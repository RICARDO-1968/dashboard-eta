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oseramos\Desktop\Projeto ETA\"/>
    </mc:Choice>
  </mc:AlternateContent>
  <xr:revisionPtr revIDLastSave="0" documentId="8_{BD2C43DE-C8F8-6343-88C9-EA733E0E5AEE}" xr6:coauthVersionLast="47" xr6:coauthVersionMax="47" xr10:uidLastSave="{00000000-0000-0000-0000-000000000000}"/>
  <bookViews>
    <workbookView xWindow="-120" yWindow="-120" windowWidth="29040" windowHeight="15720" tabRatio="709" activeTab="6" xr2:uid="{00000000-000D-0000-FFFF-FFFF00000000}"/>
  </bookViews>
  <sheets>
    <sheet name="21.04" sheetId="2" state="hidden" r:id="rId1"/>
    <sheet name="20.04" sheetId="3" state="hidden" r:id="rId2"/>
    <sheet name="19.04" sheetId="4" state="hidden" r:id="rId3"/>
    <sheet name="18.04" sheetId="5" state="hidden" r:id="rId4"/>
    <sheet name="17.04" sheetId="6" state="hidden" r:id="rId5"/>
    <sheet name="16.04" sheetId="7" state="hidden" r:id="rId6"/>
    <sheet name="EQUILIBRIO QUIMICO COM CARGA" sheetId="28" r:id="rId7"/>
    <sheet name="EQUILIBRIO QUIMICO" sheetId="10" r:id="rId8"/>
  </sheets>
  <definedNames>
    <definedName name="_xlnm._FilterDatabase" localSheetId="7" hidden="1">'EQUILIBRIO QUIMICO'!$A$1:$BG$531</definedName>
    <definedName name="_xlnm._FilterDatabase" localSheetId="6" hidden="1">'EQUILIBRIO QUIMICO COM CARGA'!$A$1:$BH$572</definedName>
    <definedName name="_xlnm.Print_Area" localSheetId="5">'16.04'!$A$1:$Y$28</definedName>
    <definedName name="_xlnm.Print_Area" localSheetId="4">'17.04'!$A$1:$Y$27</definedName>
    <definedName name="_xlnm.Print_Area" localSheetId="3">'18.04'!$A$1:$Y$27</definedName>
    <definedName name="_xlnm.Print_Area" localSheetId="2">'19.04'!$A$1:$Y$27</definedName>
    <definedName name="_xlnm.Print_Area" localSheetId="1">'20.04'!$A$1:$Y$27</definedName>
    <definedName name="_xlnm.Print_Area" localSheetId="0">'21.04'!$A$1:$Y$27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73" i="28" l="1"/>
  <c r="BH574" i="28"/>
  <c r="BH575" i="28"/>
  <c r="BH576" i="28"/>
  <c r="BH577" i="28"/>
  <c r="BH578" i="28"/>
  <c r="BC573" i="28"/>
  <c r="BD573" i="28"/>
  <c r="BE573" i="28"/>
  <c r="BF573" i="28"/>
  <c r="BG573" i="28"/>
  <c r="BC574" i="28"/>
  <c r="BD574" i="28"/>
  <c r="BE574" i="28"/>
  <c r="BF574" i="28"/>
  <c r="BG574" i="28"/>
  <c r="BC575" i="28"/>
  <c r="BD575" i="28"/>
  <c r="BE575" i="28"/>
  <c r="BF575" i="28"/>
  <c r="BG575" i="28"/>
  <c r="BC576" i="28"/>
  <c r="BD576" i="28"/>
  <c r="BE576" i="28"/>
  <c r="BF576" i="28"/>
  <c r="BG576" i="28"/>
  <c r="BC577" i="28"/>
  <c r="BD577" i="28"/>
  <c r="BE577" i="28"/>
  <c r="BF577" i="28"/>
  <c r="BG577" i="28"/>
  <c r="BC578" i="28"/>
  <c r="BD578" i="28"/>
  <c r="BE578" i="28"/>
  <c r="BF578" i="28"/>
  <c r="BG578" i="28"/>
  <c r="AX573" i="28"/>
  <c r="AY573" i="28"/>
  <c r="AZ573" i="28"/>
  <c r="BA573" i="28"/>
  <c r="BB573" i="28"/>
  <c r="AX574" i="28"/>
  <c r="AY574" i="28"/>
  <c r="AZ574" i="28"/>
  <c r="BA574" i="28"/>
  <c r="BB574" i="28"/>
  <c r="AX575" i="28"/>
  <c r="AY575" i="28"/>
  <c r="AZ575" i="28"/>
  <c r="BA575" i="28"/>
  <c r="BB575" i="28"/>
  <c r="AX576" i="28"/>
  <c r="AY576" i="28"/>
  <c r="AZ576" i="28"/>
  <c r="BA576" i="28"/>
  <c r="BB576" i="28"/>
  <c r="AX577" i="28"/>
  <c r="AY577" i="28"/>
  <c r="AZ577" i="28"/>
  <c r="BA577" i="28"/>
  <c r="BB577" i="28"/>
  <c r="AX578" i="28"/>
  <c r="AY578" i="28"/>
  <c r="AZ578" i="28"/>
  <c r="BA578" i="28"/>
  <c r="BB578" i="28"/>
  <c r="AS573" i="28"/>
  <c r="AT573" i="28"/>
  <c r="AU573" i="28"/>
  <c r="AV573" i="28"/>
  <c r="AW573" i="28"/>
  <c r="AS574" i="28"/>
  <c r="AT574" i="28"/>
  <c r="AU574" i="28"/>
  <c r="AV574" i="28"/>
  <c r="AW574" i="28"/>
  <c r="AS575" i="28"/>
  <c r="AT575" i="28"/>
  <c r="AU575" i="28"/>
  <c r="AV575" i="28"/>
  <c r="AW575" i="28"/>
  <c r="AS576" i="28"/>
  <c r="AT576" i="28"/>
  <c r="AU576" i="28"/>
  <c r="AV576" i="28"/>
  <c r="AW576" i="28"/>
  <c r="AS577" i="28"/>
  <c r="AT577" i="28"/>
  <c r="AU577" i="28"/>
  <c r="AV577" i="28"/>
  <c r="AW577" i="28"/>
  <c r="AS578" i="28"/>
  <c r="AT578" i="28"/>
  <c r="AU578" i="28"/>
  <c r="AV578" i="28"/>
  <c r="AW578" i="28"/>
  <c r="AR573" i="28"/>
  <c r="AR574" i="28"/>
  <c r="AR575" i="28"/>
  <c r="AR576" i="28"/>
  <c r="AR577" i="28"/>
  <c r="AR578" i="28"/>
  <c r="AI573" i="28"/>
  <c r="AI574" i="28"/>
  <c r="AI575" i="28"/>
  <c r="AI576" i="28"/>
  <c r="AI577" i="28"/>
  <c r="AI578" i="28"/>
  <c r="AH573" i="28"/>
  <c r="AH574" i="28"/>
  <c r="AH575" i="28"/>
  <c r="AH576" i="28"/>
  <c r="AH577" i="28"/>
  <c r="AH578" i="28"/>
  <c r="AG573" i="28"/>
  <c r="AG574" i="28"/>
  <c r="AG575" i="28"/>
  <c r="AG576" i="28"/>
  <c r="AG577" i="28"/>
  <c r="AG578" i="28"/>
  <c r="X573" i="28"/>
  <c r="X574" i="28"/>
  <c r="X575" i="28"/>
  <c r="X576" i="28"/>
  <c r="X577" i="28"/>
  <c r="X578" i="28"/>
  <c r="W573" i="28"/>
  <c r="W574" i="28"/>
  <c r="W575" i="28"/>
  <c r="W576" i="28"/>
  <c r="W577" i="28"/>
  <c r="W578" i="28"/>
  <c r="V573" i="28"/>
  <c r="V574" i="28"/>
  <c r="V575" i="28"/>
  <c r="V576" i="28"/>
  <c r="V577" i="28"/>
  <c r="V578" i="28"/>
  <c r="AH564" i="28"/>
  <c r="AH565" i="28"/>
  <c r="AH566" i="28"/>
  <c r="AH567" i="28"/>
  <c r="AH568" i="28"/>
  <c r="AH569" i="28"/>
  <c r="AH570" i="28"/>
  <c r="AH571" i="28"/>
  <c r="AH572" i="28"/>
  <c r="AG564" i="28"/>
  <c r="AG565" i="28"/>
  <c r="AG566" i="28"/>
  <c r="AG567" i="28"/>
  <c r="AG568" i="28"/>
  <c r="AG569" i="28"/>
  <c r="AG570" i="28"/>
  <c r="AG571" i="28"/>
  <c r="AG572" i="28"/>
  <c r="AH3" i="28"/>
  <c r="AH4" i="28"/>
  <c r="AH5" i="28"/>
  <c r="AH6" i="28"/>
  <c r="AH7" i="28"/>
  <c r="AH8" i="28"/>
  <c r="AH9" i="28"/>
  <c r="AH10" i="28"/>
  <c r="AH11" i="28"/>
  <c r="AH12" i="28"/>
  <c r="AH13" i="28"/>
  <c r="AH14" i="28"/>
  <c r="AH15" i="28"/>
  <c r="AH16" i="28"/>
  <c r="AH17" i="28"/>
  <c r="AH18" i="28"/>
  <c r="AH19" i="28"/>
  <c r="AH20" i="28"/>
  <c r="AH21" i="28"/>
  <c r="AH22" i="28"/>
  <c r="AH23" i="28"/>
  <c r="AH24" i="28"/>
  <c r="AH25" i="28"/>
  <c r="AH26" i="28"/>
  <c r="AH27" i="28"/>
  <c r="AH28" i="28"/>
  <c r="AH29" i="28"/>
  <c r="AH30" i="28"/>
  <c r="AH31" i="28"/>
  <c r="AH32" i="28"/>
  <c r="AH33" i="28"/>
  <c r="AH34" i="28"/>
  <c r="AH35" i="28"/>
  <c r="AH36" i="28"/>
  <c r="AH37" i="28"/>
  <c r="AH38" i="28"/>
  <c r="AH39" i="28"/>
  <c r="AH40" i="28"/>
  <c r="AH41" i="28"/>
  <c r="AH42" i="28"/>
  <c r="AH43" i="28"/>
  <c r="AH44" i="28"/>
  <c r="AH45" i="28"/>
  <c r="AH46" i="28"/>
  <c r="AH47" i="28"/>
  <c r="AH48" i="28"/>
  <c r="AH49" i="28"/>
  <c r="AH50" i="28"/>
  <c r="AH51" i="28"/>
  <c r="AH52" i="28"/>
  <c r="AH53" i="28"/>
  <c r="AH54" i="28"/>
  <c r="AH55" i="28"/>
  <c r="AH56" i="28"/>
  <c r="AH57" i="28"/>
  <c r="AH58" i="28"/>
  <c r="AH59" i="28"/>
  <c r="AH60" i="28"/>
  <c r="AH61" i="28"/>
  <c r="AH62" i="28"/>
  <c r="AH63" i="28"/>
  <c r="AH64" i="28"/>
  <c r="AH65" i="28"/>
  <c r="AH66" i="28"/>
  <c r="AH67" i="28"/>
  <c r="AH68" i="28"/>
  <c r="AH69" i="28"/>
  <c r="AH70" i="28"/>
  <c r="AH71" i="28"/>
  <c r="AH72" i="28"/>
  <c r="AH73" i="28"/>
  <c r="AH74" i="28"/>
  <c r="AH75" i="28"/>
  <c r="AH76" i="28"/>
  <c r="AH77" i="28"/>
  <c r="AH78" i="28"/>
  <c r="AH79" i="28"/>
  <c r="AH80" i="28"/>
  <c r="AH81" i="28"/>
  <c r="AH82" i="28"/>
  <c r="AH83" i="28"/>
  <c r="AH84" i="28"/>
  <c r="AH85" i="28"/>
  <c r="AH86" i="28"/>
  <c r="AH87" i="28"/>
  <c r="AH88" i="28"/>
  <c r="AH89" i="28"/>
  <c r="AH90" i="28"/>
  <c r="AH91" i="28"/>
  <c r="AH92" i="28"/>
  <c r="AH93" i="28"/>
  <c r="AH94" i="28"/>
  <c r="AH95" i="28"/>
  <c r="AH96" i="28"/>
  <c r="AH97" i="28"/>
  <c r="AH98" i="28"/>
  <c r="AH99" i="28"/>
  <c r="AH100" i="28"/>
  <c r="AH101" i="28"/>
  <c r="AH102" i="28"/>
  <c r="AH103" i="28"/>
  <c r="AH104" i="28"/>
  <c r="AH105" i="28"/>
  <c r="AH106" i="28"/>
  <c r="AH107" i="28"/>
  <c r="AH108" i="28"/>
  <c r="AH109" i="28"/>
  <c r="AH110" i="28"/>
  <c r="AH111" i="28"/>
  <c r="AH112" i="28"/>
  <c r="AH113" i="28"/>
  <c r="AH114" i="28"/>
  <c r="AH115" i="28"/>
  <c r="AH116" i="28"/>
  <c r="AH117" i="28"/>
  <c r="AH118" i="28"/>
  <c r="AH119" i="28"/>
  <c r="AH120" i="28"/>
  <c r="AH121" i="28"/>
  <c r="AH122" i="28"/>
  <c r="AH123" i="28"/>
  <c r="AH124" i="28"/>
  <c r="AH125" i="28"/>
  <c r="AH126" i="28"/>
  <c r="AH127" i="28"/>
  <c r="AH128" i="28"/>
  <c r="AH129" i="28"/>
  <c r="AH130" i="28"/>
  <c r="AH131" i="28"/>
  <c r="AH132" i="28"/>
  <c r="AH133" i="28"/>
  <c r="AH134" i="28"/>
  <c r="AH135" i="28"/>
  <c r="AH136" i="28"/>
  <c r="AH137" i="28"/>
  <c r="AH138" i="28"/>
  <c r="AH139" i="28"/>
  <c r="AH140" i="28"/>
  <c r="AH141" i="28"/>
  <c r="AH142" i="28"/>
  <c r="AH143" i="28"/>
  <c r="AH144" i="28"/>
  <c r="AH145" i="28"/>
  <c r="AH146" i="28"/>
  <c r="AH147" i="28"/>
  <c r="AH148" i="28"/>
  <c r="AH149" i="28"/>
  <c r="AH150" i="28"/>
  <c r="AH151" i="28"/>
  <c r="AH152" i="28"/>
  <c r="AH153" i="28"/>
  <c r="AH154" i="28"/>
  <c r="AH155" i="28"/>
  <c r="AH156" i="28"/>
  <c r="AH157" i="28"/>
  <c r="AH158" i="28"/>
  <c r="AH159" i="28"/>
  <c r="AH160" i="28"/>
  <c r="AH161" i="28"/>
  <c r="AH162" i="28"/>
  <c r="AH163" i="28"/>
  <c r="AH164" i="28"/>
  <c r="AH165" i="28"/>
  <c r="AH166" i="28"/>
  <c r="AH167" i="28"/>
  <c r="AH168" i="28"/>
  <c r="AH169" i="28"/>
  <c r="AH170" i="28"/>
  <c r="AH171" i="28"/>
  <c r="AH172" i="28"/>
  <c r="AH173" i="28"/>
  <c r="AH174" i="28"/>
  <c r="AH175" i="28"/>
  <c r="AH176" i="28"/>
  <c r="AH177" i="28"/>
  <c r="AH178" i="28"/>
  <c r="AH179" i="28"/>
  <c r="AH180" i="28"/>
  <c r="AH181" i="28"/>
  <c r="AH182" i="28"/>
  <c r="AH183" i="28"/>
  <c r="AH184" i="28"/>
  <c r="AH185" i="28"/>
  <c r="AH186" i="28"/>
  <c r="AH187" i="28"/>
  <c r="AH188" i="28"/>
  <c r="AH189" i="28"/>
  <c r="AH190" i="28"/>
  <c r="AH191" i="28"/>
  <c r="AH192" i="28"/>
  <c r="AH193" i="28"/>
  <c r="AH194" i="28"/>
  <c r="AH195" i="28"/>
  <c r="AH196" i="28"/>
  <c r="AH197" i="28"/>
  <c r="AH198" i="28"/>
  <c r="AH199" i="28"/>
  <c r="AH200" i="28"/>
  <c r="AH201" i="28"/>
  <c r="AH202" i="28"/>
  <c r="AH203" i="28"/>
  <c r="AH204" i="28"/>
  <c r="AH205" i="28"/>
  <c r="AH206" i="28"/>
  <c r="AH207" i="28"/>
  <c r="AH208" i="28"/>
  <c r="AH209" i="28"/>
  <c r="AH210" i="28"/>
  <c r="AH211" i="28"/>
  <c r="AH212" i="28"/>
  <c r="AH213" i="28"/>
  <c r="AH214" i="28"/>
  <c r="AH215" i="28"/>
  <c r="AH216" i="28"/>
  <c r="AH217" i="28"/>
  <c r="AH218" i="28"/>
  <c r="AH219" i="28"/>
  <c r="AH220" i="28"/>
  <c r="AH221" i="28"/>
  <c r="AH222" i="28"/>
  <c r="AH223" i="28"/>
  <c r="AH224" i="28"/>
  <c r="AH225" i="28"/>
  <c r="AH226" i="28"/>
  <c r="AH227" i="28"/>
  <c r="AH228" i="28"/>
  <c r="AH229" i="28"/>
  <c r="AH230" i="28"/>
  <c r="AH231" i="28"/>
  <c r="AH232" i="28"/>
  <c r="AH233" i="28"/>
  <c r="AH234" i="28"/>
  <c r="AH235" i="28"/>
  <c r="AH236" i="28"/>
  <c r="AH237" i="28"/>
  <c r="AH238" i="28"/>
  <c r="AH239" i="28"/>
  <c r="AH240" i="28"/>
  <c r="AH241" i="28"/>
  <c r="AH242" i="28"/>
  <c r="AH243" i="28"/>
  <c r="AH244" i="28"/>
  <c r="AH245" i="28"/>
  <c r="AH246" i="28"/>
  <c r="AH247" i="28"/>
  <c r="AH248" i="28"/>
  <c r="AH249" i="28"/>
  <c r="AH250" i="28"/>
  <c r="AH251" i="28"/>
  <c r="AH252" i="28"/>
  <c r="AH253" i="28"/>
  <c r="AH254" i="28"/>
  <c r="AH255" i="28"/>
  <c r="AH256" i="28"/>
  <c r="AH257" i="28"/>
  <c r="AH258" i="28"/>
  <c r="AH259" i="28"/>
  <c r="AH260" i="28"/>
  <c r="AH261" i="28"/>
  <c r="AH262" i="28"/>
  <c r="AH263" i="28"/>
  <c r="AH264" i="28"/>
  <c r="AH265" i="28"/>
  <c r="AH266" i="28"/>
  <c r="AH267" i="28"/>
  <c r="AH268" i="28"/>
  <c r="AH269" i="28"/>
  <c r="AH270" i="28"/>
  <c r="AH271" i="28"/>
  <c r="AH272" i="28"/>
  <c r="AH273" i="28"/>
  <c r="AH274" i="28"/>
  <c r="AH275" i="28"/>
  <c r="AH276" i="28"/>
  <c r="AH277" i="28"/>
  <c r="AH278" i="28"/>
  <c r="AH279" i="28"/>
  <c r="AH280" i="28"/>
  <c r="AH281" i="28"/>
  <c r="AH282" i="28"/>
  <c r="AH283" i="28"/>
  <c r="AH284" i="28"/>
  <c r="AH285" i="28"/>
  <c r="AH286" i="28"/>
  <c r="AH287" i="28"/>
  <c r="AH288" i="28"/>
  <c r="AH289" i="28"/>
  <c r="AH290" i="28"/>
  <c r="AH291" i="28"/>
  <c r="AH292" i="28"/>
  <c r="AH293" i="28"/>
  <c r="AH294" i="28"/>
  <c r="AH295" i="28"/>
  <c r="AH296" i="28"/>
  <c r="AH297" i="28"/>
  <c r="AH298" i="28"/>
  <c r="AH299" i="28"/>
  <c r="AH300" i="28"/>
  <c r="AH301" i="28"/>
  <c r="AH302" i="28"/>
  <c r="AH303" i="28"/>
  <c r="AH304" i="28"/>
  <c r="AH305" i="28"/>
  <c r="AH306" i="28"/>
  <c r="AH307" i="28"/>
  <c r="AH308" i="28"/>
  <c r="AH309" i="28"/>
  <c r="AH310" i="28"/>
  <c r="AH311" i="28"/>
  <c r="AH312" i="28"/>
  <c r="AH313" i="28"/>
  <c r="AH314" i="28"/>
  <c r="AH315" i="28"/>
  <c r="AH316" i="28"/>
  <c r="AH317" i="28"/>
  <c r="AH318" i="28"/>
  <c r="AH319" i="28"/>
  <c r="AH320" i="28"/>
  <c r="AH321" i="28"/>
  <c r="AH322" i="28"/>
  <c r="AH323" i="28"/>
  <c r="AH324" i="28"/>
  <c r="AH325" i="28"/>
  <c r="AH326" i="28"/>
  <c r="AH327" i="28"/>
  <c r="AH328" i="28"/>
  <c r="AH329" i="28"/>
  <c r="AH330" i="28"/>
  <c r="AH331" i="28"/>
  <c r="AH332" i="28"/>
  <c r="AH333" i="28"/>
  <c r="AH334" i="28"/>
  <c r="AH335" i="28"/>
  <c r="AH336" i="28"/>
  <c r="AH337" i="28"/>
  <c r="AH338" i="28"/>
  <c r="AH339" i="28"/>
  <c r="AH340" i="28"/>
  <c r="AH341" i="28"/>
  <c r="AH342" i="28"/>
  <c r="AH343" i="28"/>
  <c r="AH344" i="28"/>
  <c r="AH345" i="28"/>
  <c r="AH346" i="28"/>
  <c r="AH347" i="28"/>
  <c r="AH348" i="28"/>
  <c r="AH349" i="28"/>
  <c r="AH350" i="28"/>
  <c r="AH351" i="28"/>
  <c r="AH352" i="28"/>
  <c r="AH353" i="28"/>
  <c r="AH354" i="28"/>
  <c r="AH355" i="28"/>
  <c r="AH356" i="28"/>
  <c r="AH357" i="28"/>
  <c r="AH358" i="28"/>
  <c r="AH359" i="28"/>
  <c r="AH360" i="28"/>
  <c r="AH361" i="28"/>
  <c r="AH362" i="28"/>
  <c r="AH363" i="28"/>
  <c r="AH364" i="28"/>
  <c r="AH365" i="28"/>
  <c r="AH366" i="28"/>
  <c r="AH367" i="28"/>
  <c r="AH368" i="28"/>
  <c r="AH369" i="28"/>
  <c r="AH370" i="28"/>
  <c r="AH371" i="28"/>
  <c r="AH372" i="28"/>
  <c r="AH373" i="28"/>
  <c r="AH374" i="28"/>
  <c r="AH375" i="28"/>
  <c r="AH376" i="28"/>
  <c r="AH377" i="28"/>
  <c r="AH378" i="28"/>
  <c r="AH379" i="28"/>
  <c r="AH380" i="28"/>
  <c r="AH381" i="28"/>
  <c r="AH382" i="28"/>
  <c r="AH383" i="28"/>
  <c r="AH384" i="28"/>
  <c r="AH385" i="28"/>
  <c r="AH386" i="28"/>
  <c r="AH387" i="28"/>
  <c r="AH388" i="28"/>
  <c r="AH389" i="28"/>
  <c r="AH390" i="28"/>
  <c r="AH391" i="28"/>
  <c r="AH392" i="28"/>
  <c r="AH393" i="28"/>
  <c r="AH394" i="28"/>
  <c r="AH395" i="28"/>
  <c r="AH396" i="28"/>
  <c r="AH397" i="28"/>
  <c r="AH398" i="28"/>
  <c r="AH399" i="28"/>
  <c r="AH400" i="28"/>
  <c r="AH401" i="28"/>
  <c r="AH402" i="28"/>
  <c r="AH403" i="28"/>
  <c r="AH404" i="28"/>
  <c r="AH405" i="28"/>
  <c r="AH406" i="28"/>
  <c r="AH407" i="28"/>
  <c r="AH408" i="28"/>
  <c r="AH409" i="28"/>
  <c r="AH410" i="28"/>
  <c r="AH411" i="28"/>
  <c r="AH412" i="28"/>
  <c r="AH413" i="28"/>
  <c r="AH414" i="28"/>
  <c r="AH415" i="28"/>
  <c r="AH416" i="28"/>
  <c r="AH417" i="28"/>
  <c r="AH418" i="28"/>
  <c r="AH419" i="28"/>
  <c r="AH420" i="28"/>
  <c r="AH421" i="28"/>
  <c r="AH422" i="28"/>
  <c r="AH423" i="28"/>
  <c r="AH424" i="28"/>
  <c r="AH425" i="28"/>
  <c r="AH426" i="28"/>
  <c r="AH427" i="28"/>
  <c r="AH428" i="28"/>
  <c r="AH429" i="28"/>
  <c r="AH430" i="28"/>
  <c r="AH431" i="28"/>
  <c r="AH432" i="28"/>
  <c r="AH433" i="28"/>
  <c r="AH434" i="28"/>
  <c r="AH435" i="28"/>
  <c r="AH436" i="28"/>
  <c r="AH437" i="28"/>
  <c r="AH438" i="28"/>
  <c r="AH439" i="28"/>
  <c r="AH440" i="28"/>
  <c r="AH441" i="28"/>
  <c r="AH442" i="28"/>
  <c r="AH443" i="28"/>
  <c r="AH444" i="28"/>
  <c r="AH445" i="28"/>
  <c r="AH446" i="28"/>
  <c r="AH447" i="28"/>
  <c r="AH448" i="28"/>
  <c r="AH449" i="28"/>
  <c r="AH450" i="28"/>
  <c r="AH451" i="28"/>
  <c r="AH452" i="28"/>
  <c r="AH453" i="28"/>
  <c r="AH454" i="28"/>
  <c r="AH455" i="28"/>
  <c r="AH456" i="28"/>
  <c r="AH457" i="28"/>
  <c r="AH458" i="28"/>
  <c r="AH459" i="28"/>
  <c r="AH460" i="28"/>
  <c r="AH461" i="28"/>
  <c r="AH462" i="28"/>
  <c r="AH463" i="28"/>
  <c r="AH464" i="28"/>
  <c r="AH465" i="28"/>
  <c r="AH466" i="28"/>
  <c r="AH467" i="28"/>
  <c r="AH468" i="28"/>
  <c r="AH469" i="28"/>
  <c r="AH470" i="28"/>
  <c r="AH471" i="28"/>
  <c r="AH472" i="28"/>
  <c r="AH473" i="28"/>
  <c r="AH474" i="28"/>
  <c r="AH475" i="28"/>
  <c r="AH476" i="28"/>
  <c r="AH477" i="28"/>
  <c r="AH478" i="28"/>
  <c r="AH479" i="28"/>
  <c r="AH480" i="28"/>
  <c r="AH481" i="28"/>
  <c r="AH482" i="28"/>
  <c r="AH483" i="28"/>
  <c r="AH484" i="28"/>
  <c r="AH485" i="28"/>
  <c r="AH486" i="28"/>
  <c r="AH487" i="28"/>
  <c r="AH488" i="28"/>
  <c r="AH489" i="28"/>
  <c r="AH490" i="28"/>
  <c r="AH491" i="28"/>
  <c r="AH492" i="28"/>
  <c r="AH493" i="28"/>
  <c r="AH494" i="28"/>
  <c r="AH495" i="28"/>
  <c r="AH496" i="28"/>
  <c r="AH497" i="28"/>
  <c r="AH498" i="28"/>
  <c r="AH499" i="28"/>
  <c r="AH500" i="28"/>
  <c r="AH501" i="28"/>
  <c r="AH502" i="28"/>
  <c r="AH503" i="28"/>
  <c r="AH504" i="28"/>
  <c r="AH505" i="28"/>
  <c r="AH506" i="28"/>
  <c r="AH507" i="28"/>
  <c r="AH508" i="28"/>
  <c r="AH509" i="28"/>
  <c r="AH510" i="28"/>
  <c r="AH511" i="28"/>
  <c r="AH512" i="28"/>
  <c r="AH513" i="28"/>
  <c r="AH514" i="28"/>
  <c r="AH515" i="28"/>
  <c r="AH516" i="28"/>
  <c r="AH517" i="28"/>
  <c r="AH518" i="28"/>
  <c r="AH519" i="28"/>
  <c r="AH520" i="28"/>
  <c r="AH521" i="28"/>
  <c r="AH522" i="28"/>
  <c r="AH523" i="28"/>
  <c r="AH524" i="28"/>
  <c r="AH525" i="28"/>
  <c r="AH526" i="28"/>
  <c r="AH527" i="28"/>
  <c r="AH528" i="28"/>
  <c r="AH529" i="28"/>
  <c r="AH530" i="28"/>
  <c r="AH531" i="28"/>
  <c r="AH532" i="28"/>
  <c r="AH533" i="28"/>
  <c r="AH534" i="28"/>
  <c r="AH535" i="28"/>
  <c r="AH536" i="28"/>
  <c r="AH537" i="28"/>
  <c r="AH538" i="28"/>
  <c r="AH539" i="28"/>
  <c r="AH540" i="28"/>
  <c r="AH541" i="28"/>
  <c r="AH542" i="28"/>
  <c r="AH543" i="28"/>
  <c r="AH544" i="28"/>
  <c r="AH545" i="28"/>
  <c r="AH546" i="28"/>
  <c r="AH547" i="28"/>
  <c r="AH548" i="28"/>
  <c r="AH549" i="28"/>
  <c r="AH550" i="28"/>
  <c r="AH551" i="28"/>
  <c r="AH552" i="28"/>
  <c r="AH553" i="28"/>
  <c r="AH554" i="28"/>
  <c r="AH555" i="28"/>
  <c r="AH556" i="28"/>
  <c r="AH557" i="28"/>
  <c r="AH558" i="28"/>
  <c r="AH559" i="28"/>
  <c r="AH560" i="28"/>
  <c r="AH561" i="28"/>
  <c r="AH562" i="28"/>
  <c r="AH563" i="28"/>
  <c r="AG3" i="28"/>
  <c r="AG4" i="28"/>
  <c r="AG5" i="28"/>
  <c r="AG6" i="28"/>
  <c r="AG7" i="28"/>
  <c r="AG8" i="28"/>
  <c r="AG9" i="28"/>
  <c r="AG10" i="28"/>
  <c r="AG11" i="28"/>
  <c r="AG12" i="28"/>
  <c r="AG13" i="28"/>
  <c r="AG14" i="28"/>
  <c r="AG15" i="28"/>
  <c r="AG16" i="28"/>
  <c r="AG17" i="28"/>
  <c r="AG18" i="28"/>
  <c r="AG19" i="28"/>
  <c r="AG20" i="28"/>
  <c r="AG21" i="28"/>
  <c r="AG22" i="28"/>
  <c r="AG23" i="28"/>
  <c r="AG24" i="28"/>
  <c r="AG25" i="28"/>
  <c r="AG26" i="28"/>
  <c r="AG27" i="28"/>
  <c r="AG28" i="28"/>
  <c r="AG29" i="28"/>
  <c r="AG30" i="28"/>
  <c r="AG31" i="28"/>
  <c r="AG32" i="28"/>
  <c r="AG33" i="28"/>
  <c r="AG34" i="28"/>
  <c r="AG35" i="28"/>
  <c r="AG36" i="28"/>
  <c r="AG37" i="28"/>
  <c r="AG38" i="28"/>
  <c r="AG39" i="28"/>
  <c r="AG40" i="28"/>
  <c r="AG41" i="28"/>
  <c r="AG42" i="28"/>
  <c r="AG43" i="28"/>
  <c r="AG44" i="28"/>
  <c r="AG45" i="28"/>
  <c r="AG46" i="28"/>
  <c r="AG47" i="28"/>
  <c r="AG48" i="28"/>
  <c r="AG49" i="28"/>
  <c r="AG50" i="28"/>
  <c r="AG51" i="28"/>
  <c r="AG52" i="28"/>
  <c r="AG53" i="28"/>
  <c r="AG54" i="28"/>
  <c r="AG55" i="28"/>
  <c r="AG56" i="28"/>
  <c r="AG57" i="28"/>
  <c r="AG58" i="28"/>
  <c r="AG59" i="28"/>
  <c r="AG60" i="28"/>
  <c r="AG61" i="28"/>
  <c r="AG62" i="28"/>
  <c r="AG63" i="28"/>
  <c r="AG64" i="28"/>
  <c r="AG65" i="28"/>
  <c r="AG66" i="28"/>
  <c r="AG67" i="28"/>
  <c r="AG68" i="28"/>
  <c r="AG69" i="28"/>
  <c r="AG70" i="28"/>
  <c r="AG71" i="28"/>
  <c r="AG72" i="28"/>
  <c r="AG73" i="28"/>
  <c r="AG74" i="28"/>
  <c r="AG75" i="28"/>
  <c r="AG76" i="28"/>
  <c r="AG77" i="28"/>
  <c r="AG78" i="28"/>
  <c r="AG79" i="28"/>
  <c r="AG80" i="28"/>
  <c r="AG81" i="28"/>
  <c r="AG82" i="28"/>
  <c r="AG83" i="28"/>
  <c r="AG84" i="28"/>
  <c r="AG85" i="28"/>
  <c r="AG86" i="28"/>
  <c r="AG87" i="28"/>
  <c r="AG88" i="28"/>
  <c r="AG89" i="28"/>
  <c r="AG90" i="28"/>
  <c r="AG91" i="28"/>
  <c r="AG92" i="28"/>
  <c r="AG93" i="28"/>
  <c r="AG94" i="28"/>
  <c r="AG95" i="28"/>
  <c r="AG96" i="28"/>
  <c r="AG97" i="28"/>
  <c r="AG98" i="28"/>
  <c r="AG99" i="28"/>
  <c r="AG100" i="28"/>
  <c r="AG101" i="28"/>
  <c r="AG102" i="28"/>
  <c r="AG103" i="28"/>
  <c r="AG104" i="28"/>
  <c r="AG105" i="28"/>
  <c r="AG106" i="28"/>
  <c r="AG107" i="28"/>
  <c r="AG108" i="28"/>
  <c r="AG109" i="28"/>
  <c r="AG110" i="28"/>
  <c r="AG111" i="28"/>
  <c r="AG112" i="28"/>
  <c r="AG113" i="28"/>
  <c r="AG114" i="28"/>
  <c r="AG115" i="28"/>
  <c r="AG116" i="28"/>
  <c r="AG117" i="28"/>
  <c r="AG118" i="28"/>
  <c r="AG119" i="28"/>
  <c r="AG120" i="28"/>
  <c r="AG121" i="28"/>
  <c r="AG122" i="28"/>
  <c r="AG123" i="28"/>
  <c r="AG124" i="28"/>
  <c r="AG125" i="28"/>
  <c r="AG126" i="28"/>
  <c r="AG127" i="28"/>
  <c r="AG128" i="28"/>
  <c r="AG129" i="28"/>
  <c r="AG130" i="28"/>
  <c r="AG131" i="28"/>
  <c r="AG132" i="28"/>
  <c r="AG133" i="28"/>
  <c r="AG134" i="28"/>
  <c r="AG135" i="28"/>
  <c r="AG136" i="28"/>
  <c r="AG137" i="28"/>
  <c r="AG138" i="28"/>
  <c r="AG139" i="28"/>
  <c r="AG140" i="28"/>
  <c r="AG141" i="28"/>
  <c r="AG142" i="28"/>
  <c r="AG143" i="28"/>
  <c r="AG144" i="28"/>
  <c r="AG145" i="28"/>
  <c r="AG146" i="28"/>
  <c r="AG147" i="28"/>
  <c r="AG148" i="28"/>
  <c r="AG149" i="28"/>
  <c r="AG150" i="28"/>
  <c r="AG151" i="28"/>
  <c r="AG152" i="28"/>
  <c r="AG153" i="28"/>
  <c r="AG154" i="28"/>
  <c r="AG155" i="28"/>
  <c r="AG156" i="28"/>
  <c r="AG157" i="28"/>
  <c r="AG158" i="28"/>
  <c r="AG159" i="28"/>
  <c r="AG160" i="28"/>
  <c r="AG161" i="28"/>
  <c r="AG162" i="28"/>
  <c r="AG163" i="28"/>
  <c r="AG164" i="28"/>
  <c r="AG165" i="28"/>
  <c r="AG166" i="28"/>
  <c r="AG167" i="28"/>
  <c r="AG168" i="28"/>
  <c r="AG169" i="28"/>
  <c r="AG170" i="28"/>
  <c r="AG171" i="28"/>
  <c r="AG172" i="28"/>
  <c r="AG173" i="28"/>
  <c r="AG174" i="28"/>
  <c r="AG175" i="28"/>
  <c r="AG176" i="28"/>
  <c r="AG177" i="28"/>
  <c r="AG178" i="28"/>
  <c r="AG179" i="28"/>
  <c r="AG180" i="28"/>
  <c r="AG181" i="28"/>
  <c r="AG182" i="28"/>
  <c r="AG183" i="28"/>
  <c r="AG184" i="28"/>
  <c r="AG185" i="28"/>
  <c r="AG186" i="28"/>
  <c r="AG187" i="28"/>
  <c r="AG188" i="28"/>
  <c r="AG189" i="28"/>
  <c r="AG190" i="28"/>
  <c r="AG191" i="28"/>
  <c r="AG192" i="28"/>
  <c r="AG193" i="28"/>
  <c r="AG194" i="28"/>
  <c r="AG195" i="28"/>
  <c r="AG196" i="28"/>
  <c r="AG197" i="28"/>
  <c r="AG198" i="28"/>
  <c r="AG199" i="28"/>
  <c r="AG200" i="28"/>
  <c r="AG201" i="28"/>
  <c r="AG202" i="28"/>
  <c r="AG203" i="28"/>
  <c r="AG204" i="28"/>
  <c r="AG205" i="28"/>
  <c r="AG206" i="28"/>
  <c r="AG207" i="28"/>
  <c r="AG208" i="28"/>
  <c r="AG209" i="28"/>
  <c r="AG210" i="28"/>
  <c r="AG211" i="28"/>
  <c r="AG212" i="28"/>
  <c r="AG213" i="28"/>
  <c r="AG214" i="28"/>
  <c r="AG215" i="28"/>
  <c r="AG216" i="28"/>
  <c r="AG217" i="28"/>
  <c r="AG218" i="28"/>
  <c r="AG219" i="28"/>
  <c r="AG220" i="28"/>
  <c r="AG221" i="28"/>
  <c r="AG222" i="28"/>
  <c r="AG223" i="28"/>
  <c r="AG224" i="28"/>
  <c r="AG225" i="28"/>
  <c r="AG226" i="28"/>
  <c r="AG227" i="28"/>
  <c r="AG228" i="28"/>
  <c r="AG229" i="28"/>
  <c r="AG230" i="28"/>
  <c r="AG231" i="28"/>
  <c r="AG232" i="28"/>
  <c r="AG233" i="28"/>
  <c r="AG234" i="28"/>
  <c r="AG235" i="28"/>
  <c r="AG236" i="28"/>
  <c r="AG237" i="28"/>
  <c r="AG238" i="28"/>
  <c r="AG239" i="28"/>
  <c r="AG240" i="28"/>
  <c r="AG241" i="28"/>
  <c r="AG242" i="28"/>
  <c r="AG243" i="28"/>
  <c r="AG244" i="28"/>
  <c r="AG245" i="28"/>
  <c r="AG246" i="28"/>
  <c r="AG247" i="28"/>
  <c r="AG248" i="28"/>
  <c r="AG249" i="28"/>
  <c r="AG250" i="28"/>
  <c r="AG251" i="28"/>
  <c r="AG252" i="28"/>
  <c r="AG253" i="28"/>
  <c r="AG254" i="28"/>
  <c r="AG255" i="28"/>
  <c r="AG256" i="28"/>
  <c r="AG257" i="28"/>
  <c r="AG258" i="28"/>
  <c r="AG259" i="28"/>
  <c r="AG260" i="28"/>
  <c r="AG261" i="28"/>
  <c r="AG262" i="28"/>
  <c r="AG263" i="28"/>
  <c r="AG264" i="28"/>
  <c r="AG265" i="28"/>
  <c r="AG266" i="28"/>
  <c r="AG267" i="28"/>
  <c r="AG268" i="28"/>
  <c r="AG269" i="28"/>
  <c r="AG270" i="28"/>
  <c r="AG271" i="28"/>
  <c r="AG272" i="28"/>
  <c r="AG273" i="28"/>
  <c r="AG274" i="28"/>
  <c r="AG275" i="28"/>
  <c r="AG276" i="28"/>
  <c r="AG277" i="28"/>
  <c r="AG278" i="28"/>
  <c r="AG279" i="28"/>
  <c r="AG280" i="28"/>
  <c r="AG281" i="28"/>
  <c r="AG282" i="28"/>
  <c r="AG283" i="28"/>
  <c r="AG284" i="28"/>
  <c r="AG285" i="28"/>
  <c r="AG286" i="28"/>
  <c r="AG287" i="28"/>
  <c r="AG288" i="28"/>
  <c r="AG289" i="28"/>
  <c r="AG290" i="28"/>
  <c r="AG291" i="28"/>
  <c r="AG292" i="28"/>
  <c r="AG293" i="28"/>
  <c r="AG294" i="28"/>
  <c r="AG295" i="28"/>
  <c r="AG296" i="28"/>
  <c r="AG297" i="28"/>
  <c r="AG298" i="28"/>
  <c r="AG299" i="28"/>
  <c r="AG300" i="28"/>
  <c r="AG301" i="28"/>
  <c r="AG302" i="28"/>
  <c r="AG303" i="28"/>
  <c r="AG304" i="28"/>
  <c r="AG305" i="28"/>
  <c r="AG306" i="28"/>
  <c r="AG307" i="28"/>
  <c r="AG308" i="28"/>
  <c r="AG309" i="28"/>
  <c r="AG310" i="28"/>
  <c r="AG311" i="28"/>
  <c r="AG312" i="28"/>
  <c r="AG313" i="28"/>
  <c r="AG314" i="28"/>
  <c r="AG315" i="28"/>
  <c r="AG316" i="28"/>
  <c r="AG317" i="28"/>
  <c r="AG318" i="28"/>
  <c r="AG319" i="28"/>
  <c r="AG320" i="28"/>
  <c r="AG321" i="28"/>
  <c r="AG322" i="28"/>
  <c r="AG323" i="28"/>
  <c r="AG324" i="28"/>
  <c r="AG325" i="28"/>
  <c r="AG326" i="28"/>
  <c r="AG327" i="28"/>
  <c r="AG328" i="28"/>
  <c r="AG329" i="28"/>
  <c r="AG330" i="28"/>
  <c r="AG331" i="28"/>
  <c r="AG332" i="28"/>
  <c r="AG333" i="28"/>
  <c r="AG334" i="28"/>
  <c r="AG335" i="28"/>
  <c r="AG336" i="28"/>
  <c r="AG337" i="28"/>
  <c r="AG338" i="28"/>
  <c r="AG339" i="28"/>
  <c r="AG340" i="28"/>
  <c r="AG341" i="28"/>
  <c r="AG342" i="28"/>
  <c r="AG343" i="28"/>
  <c r="AG344" i="28"/>
  <c r="AG345" i="28"/>
  <c r="AG346" i="28"/>
  <c r="AG347" i="28"/>
  <c r="AG348" i="28"/>
  <c r="AG349" i="28"/>
  <c r="AG350" i="28"/>
  <c r="AG351" i="28"/>
  <c r="AG352" i="28"/>
  <c r="AG353" i="28"/>
  <c r="AG354" i="28"/>
  <c r="AG355" i="28"/>
  <c r="AG356" i="28"/>
  <c r="AG357" i="28"/>
  <c r="AG358" i="28"/>
  <c r="AG359" i="28"/>
  <c r="AG360" i="28"/>
  <c r="AG361" i="28"/>
  <c r="AG362" i="28"/>
  <c r="AG363" i="28"/>
  <c r="AG364" i="28"/>
  <c r="AG365" i="28"/>
  <c r="AG366" i="28"/>
  <c r="AG367" i="28"/>
  <c r="AG368" i="28"/>
  <c r="AG369" i="28"/>
  <c r="AG370" i="28"/>
  <c r="AG371" i="28"/>
  <c r="AG372" i="28"/>
  <c r="AG373" i="28"/>
  <c r="AG374" i="28"/>
  <c r="AG375" i="28"/>
  <c r="AG376" i="28"/>
  <c r="AG377" i="28"/>
  <c r="AG378" i="28"/>
  <c r="AG379" i="28"/>
  <c r="AG380" i="28"/>
  <c r="AG381" i="28"/>
  <c r="AG382" i="28"/>
  <c r="AG383" i="28"/>
  <c r="AG384" i="28"/>
  <c r="AG385" i="28"/>
  <c r="AG386" i="28"/>
  <c r="AG387" i="28"/>
  <c r="AG388" i="28"/>
  <c r="AG389" i="28"/>
  <c r="AG390" i="28"/>
  <c r="AG391" i="28"/>
  <c r="AG392" i="28"/>
  <c r="AG393" i="28"/>
  <c r="AG394" i="28"/>
  <c r="AG395" i="28"/>
  <c r="AG396" i="28"/>
  <c r="AG397" i="28"/>
  <c r="AG398" i="28"/>
  <c r="AG399" i="28"/>
  <c r="AG400" i="28"/>
  <c r="AG401" i="28"/>
  <c r="AG402" i="28"/>
  <c r="AG403" i="28"/>
  <c r="AG404" i="28"/>
  <c r="AG405" i="28"/>
  <c r="AG406" i="28"/>
  <c r="AG407" i="28"/>
  <c r="AG408" i="28"/>
  <c r="AG409" i="28"/>
  <c r="AG410" i="28"/>
  <c r="AG411" i="28"/>
  <c r="AG412" i="28"/>
  <c r="AG413" i="28"/>
  <c r="AG414" i="28"/>
  <c r="AG415" i="28"/>
  <c r="AG416" i="28"/>
  <c r="AG417" i="28"/>
  <c r="AG418" i="28"/>
  <c r="AG419" i="28"/>
  <c r="AG420" i="28"/>
  <c r="AG421" i="28"/>
  <c r="AG422" i="28"/>
  <c r="AG423" i="28"/>
  <c r="AG424" i="28"/>
  <c r="AG425" i="28"/>
  <c r="AG426" i="28"/>
  <c r="AG427" i="28"/>
  <c r="AG428" i="28"/>
  <c r="AG429" i="28"/>
  <c r="AG430" i="28"/>
  <c r="AG431" i="28"/>
  <c r="AG432" i="28"/>
  <c r="AG433" i="28"/>
  <c r="AG434" i="28"/>
  <c r="AG435" i="28"/>
  <c r="AG436" i="28"/>
  <c r="AG437" i="28"/>
  <c r="AG438" i="28"/>
  <c r="AG439" i="28"/>
  <c r="AG440" i="28"/>
  <c r="AG441" i="28"/>
  <c r="AG442" i="28"/>
  <c r="AG443" i="28"/>
  <c r="AG444" i="28"/>
  <c r="AG445" i="28"/>
  <c r="AG446" i="28"/>
  <c r="AG447" i="28"/>
  <c r="AG448" i="28"/>
  <c r="AG449" i="28"/>
  <c r="AG450" i="28"/>
  <c r="AG451" i="28"/>
  <c r="AG452" i="28"/>
  <c r="AG453" i="28"/>
  <c r="AG454" i="28"/>
  <c r="AG455" i="28"/>
  <c r="AG456" i="28"/>
  <c r="AG457" i="28"/>
  <c r="AG458" i="28"/>
  <c r="AG459" i="28"/>
  <c r="AG460" i="28"/>
  <c r="AG461" i="28"/>
  <c r="AG462" i="28"/>
  <c r="AG463" i="28"/>
  <c r="AG464" i="28"/>
  <c r="AG465" i="28"/>
  <c r="AG466" i="28"/>
  <c r="AG467" i="28"/>
  <c r="AG468" i="28"/>
  <c r="AG469" i="28"/>
  <c r="AG470" i="28"/>
  <c r="AG471" i="28"/>
  <c r="AG472" i="28"/>
  <c r="AG473" i="28"/>
  <c r="AG474" i="28"/>
  <c r="AG475" i="28"/>
  <c r="AG476" i="28"/>
  <c r="AG477" i="28"/>
  <c r="AG478" i="28"/>
  <c r="AG479" i="28"/>
  <c r="AG480" i="28"/>
  <c r="AG481" i="28"/>
  <c r="AG482" i="28"/>
  <c r="AG483" i="28"/>
  <c r="AG484" i="28"/>
  <c r="AG485" i="28"/>
  <c r="AG486" i="28"/>
  <c r="AG487" i="28"/>
  <c r="AG488" i="28"/>
  <c r="AG489" i="28"/>
  <c r="AG490" i="28"/>
  <c r="AG491" i="28"/>
  <c r="AG492" i="28"/>
  <c r="AG493" i="28"/>
  <c r="AG494" i="28"/>
  <c r="AG495" i="28"/>
  <c r="AG496" i="28"/>
  <c r="AG497" i="28"/>
  <c r="AG498" i="28"/>
  <c r="AG499" i="28"/>
  <c r="AG500" i="28"/>
  <c r="AG501" i="28"/>
  <c r="AG502" i="28"/>
  <c r="AG503" i="28"/>
  <c r="AG504" i="28"/>
  <c r="AG505" i="28"/>
  <c r="AG506" i="28"/>
  <c r="AG507" i="28"/>
  <c r="AG508" i="28"/>
  <c r="AG509" i="28"/>
  <c r="AG510" i="28"/>
  <c r="AG511" i="28"/>
  <c r="AG512" i="28"/>
  <c r="AG513" i="28"/>
  <c r="AG514" i="28"/>
  <c r="AG515" i="28"/>
  <c r="AG516" i="28"/>
  <c r="AG517" i="28"/>
  <c r="AG518" i="28"/>
  <c r="AG519" i="28"/>
  <c r="AG520" i="28"/>
  <c r="AG521" i="28"/>
  <c r="AG522" i="28"/>
  <c r="AG523" i="28"/>
  <c r="AG524" i="28"/>
  <c r="AG525" i="28"/>
  <c r="AG526" i="28"/>
  <c r="AG527" i="28"/>
  <c r="AG528" i="28"/>
  <c r="AG529" i="28"/>
  <c r="AG530" i="28"/>
  <c r="AG531" i="28"/>
  <c r="AG532" i="28"/>
  <c r="AG533" i="28"/>
  <c r="AG534" i="28"/>
  <c r="AG535" i="28"/>
  <c r="AG536" i="28"/>
  <c r="AG537" i="28"/>
  <c r="AG538" i="28"/>
  <c r="AG539" i="28"/>
  <c r="AG540" i="28"/>
  <c r="AG541" i="28"/>
  <c r="AG542" i="28"/>
  <c r="AG543" i="28"/>
  <c r="AG544" i="28"/>
  <c r="AG545" i="28"/>
  <c r="AG546" i="28"/>
  <c r="AG547" i="28"/>
  <c r="AG548" i="28"/>
  <c r="AG549" i="28"/>
  <c r="AG550" i="28"/>
  <c r="AG551" i="28"/>
  <c r="AG552" i="28"/>
  <c r="AG553" i="28"/>
  <c r="AG554" i="28"/>
  <c r="AG555" i="28"/>
  <c r="AG556" i="28"/>
  <c r="AG557" i="28"/>
  <c r="AG558" i="28"/>
  <c r="AG559" i="28"/>
  <c r="AG560" i="28"/>
  <c r="AG561" i="28"/>
  <c r="AG562" i="28"/>
  <c r="AG563" i="28"/>
  <c r="W3" i="28"/>
  <c r="W4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W103" i="28"/>
  <c r="W104" i="28"/>
  <c r="W105" i="28"/>
  <c r="W106" i="28"/>
  <c r="W107" i="28"/>
  <c r="W108" i="28"/>
  <c r="W109" i="28"/>
  <c r="W110" i="28"/>
  <c r="W111" i="28"/>
  <c r="W112" i="28"/>
  <c r="W113" i="28"/>
  <c r="W114" i="28"/>
  <c r="W115" i="28"/>
  <c r="W116" i="28"/>
  <c r="W117" i="28"/>
  <c r="W118" i="28"/>
  <c r="W119" i="28"/>
  <c r="W120" i="28"/>
  <c r="W121" i="28"/>
  <c r="W122" i="28"/>
  <c r="W123" i="28"/>
  <c r="W124" i="28"/>
  <c r="W125" i="28"/>
  <c r="W126" i="28"/>
  <c r="W127" i="28"/>
  <c r="W128" i="28"/>
  <c r="W129" i="28"/>
  <c r="W130" i="28"/>
  <c r="W131" i="28"/>
  <c r="W132" i="28"/>
  <c r="W133" i="28"/>
  <c r="W134" i="28"/>
  <c r="W135" i="28"/>
  <c r="W136" i="28"/>
  <c r="W137" i="28"/>
  <c r="W138" i="28"/>
  <c r="W139" i="28"/>
  <c r="W140" i="28"/>
  <c r="W141" i="28"/>
  <c r="W142" i="28"/>
  <c r="W143" i="28"/>
  <c r="W144" i="28"/>
  <c r="W145" i="28"/>
  <c r="W146" i="28"/>
  <c r="W147" i="28"/>
  <c r="W148" i="28"/>
  <c r="W149" i="28"/>
  <c r="W150" i="28"/>
  <c r="W151" i="28"/>
  <c r="W152" i="28"/>
  <c r="W153" i="28"/>
  <c r="W154" i="28"/>
  <c r="W155" i="28"/>
  <c r="W156" i="28"/>
  <c r="W157" i="28"/>
  <c r="W158" i="28"/>
  <c r="W159" i="28"/>
  <c r="W160" i="28"/>
  <c r="W161" i="28"/>
  <c r="W162" i="28"/>
  <c r="W163" i="28"/>
  <c r="W164" i="28"/>
  <c r="W165" i="28"/>
  <c r="W166" i="28"/>
  <c r="W167" i="28"/>
  <c r="W168" i="28"/>
  <c r="W169" i="28"/>
  <c r="W170" i="28"/>
  <c r="W171" i="28"/>
  <c r="W172" i="28"/>
  <c r="W173" i="28"/>
  <c r="W174" i="28"/>
  <c r="W175" i="28"/>
  <c r="W176" i="28"/>
  <c r="W177" i="28"/>
  <c r="W178" i="28"/>
  <c r="W179" i="28"/>
  <c r="W180" i="28"/>
  <c r="W181" i="28"/>
  <c r="W182" i="28"/>
  <c r="W183" i="28"/>
  <c r="W184" i="28"/>
  <c r="W185" i="28"/>
  <c r="W186" i="28"/>
  <c r="W187" i="28"/>
  <c r="W188" i="28"/>
  <c r="W189" i="28"/>
  <c r="W190" i="28"/>
  <c r="W191" i="28"/>
  <c r="W192" i="28"/>
  <c r="W193" i="28"/>
  <c r="W194" i="28"/>
  <c r="W195" i="28"/>
  <c r="W196" i="28"/>
  <c r="W197" i="28"/>
  <c r="W198" i="28"/>
  <c r="W199" i="28"/>
  <c r="W200" i="28"/>
  <c r="W201" i="28"/>
  <c r="W202" i="28"/>
  <c r="W203" i="28"/>
  <c r="W204" i="28"/>
  <c r="W205" i="28"/>
  <c r="W206" i="28"/>
  <c r="W207" i="28"/>
  <c r="W208" i="28"/>
  <c r="W209" i="28"/>
  <c r="W210" i="28"/>
  <c r="W211" i="28"/>
  <c r="W212" i="28"/>
  <c r="W213" i="28"/>
  <c r="W214" i="28"/>
  <c r="W215" i="28"/>
  <c r="W216" i="28"/>
  <c r="W217" i="28"/>
  <c r="W218" i="28"/>
  <c r="W219" i="28"/>
  <c r="W220" i="28"/>
  <c r="W221" i="28"/>
  <c r="W222" i="28"/>
  <c r="W223" i="28"/>
  <c r="W224" i="28"/>
  <c r="W225" i="28"/>
  <c r="W226" i="28"/>
  <c r="W227" i="28"/>
  <c r="W228" i="28"/>
  <c r="W229" i="28"/>
  <c r="W230" i="28"/>
  <c r="W231" i="28"/>
  <c r="W232" i="28"/>
  <c r="W233" i="28"/>
  <c r="W234" i="28"/>
  <c r="W235" i="28"/>
  <c r="W236" i="28"/>
  <c r="W237" i="28"/>
  <c r="W238" i="28"/>
  <c r="W239" i="28"/>
  <c r="W240" i="28"/>
  <c r="W241" i="28"/>
  <c r="W242" i="28"/>
  <c r="W243" i="28"/>
  <c r="W244" i="28"/>
  <c r="W245" i="28"/>
  <c r="W246" i="28"/>
  <c r="W247" i="28"/>
  <c r="W248" i="28"/>
  <c r="W249" i="28"/>
  <c r="W250" i="28"/>
  <c r="W251" i="28"/>
  <c r="W252" i="28"/>
  <c r="W253" i="28"/>
  <c r="W254" i="28"/>
  <c r="W255" i="28"/>
  <c r="W256" i="28"/>
  <c r="W257" i="28"/>
  <c r="W258" i="28"/>
  <c r="W259" i="28"/>
  <c r="W260" i="28"/>
  <c r="W261" i="28"/>
  <c r="W262" i="28"/>
  <c r="W263" i="28"/>
  <c r="W264" i="28"/>
  <c r="W265" i="28"/>
  <c r="W266" i="28"/>
  <c r="W267" i="28"/>
  <c r="W268" i="28"/>
  <c r="W269" i="28"/>
  <c r="W270" i="28"/>
  <c r="W271" i="28"/>
  <c r="W272" i="28"/>
  <c r="W273" i="28"/>
  <c r="W274" i="28"/>
  <c r="W275" i="28"/>
  <c r="W276" i="28"/>
  <c r="W277" i="28"/>
  <c r="W278" i="28"/>
  <c r="W279" i="28"/>
  <c r="W280" i="28"/>
  <c r="W281" i="28"/>
  <c r="W282" i="28"/>
  <c r="W283" i="28"/>
  <c r="W284" i="28"/>
  <c r="W285" i="28"/>
  <c r="W286" i="28"/>
  <c r="W287" i="28"/>
  <c r="W288" i="28"/>
  <c r="W289" i="28"/>
  <c r="W290" i="28"/>
  <c r="W291" i="28"/>
  <c r="W292" i="28"/>
  <c r="W293" i="28"/>
  <c r="W294" i="28"/>
  <c r="W295" i="28"/>
  <c r="W296" i="28"/>
  <c r="W297" i="28"/>
  <c r="W298" i="28"/>
  <c r="W299" i="28"/>
  <c r="W300" i="28"/>
  <c r="W301" i="28"/>
  <c r="W302" i="28"/>
  <c r="W303" i="28"/>
  <c r="W304" i="28"/>
  <c r="W305" i="28"/>
  <c r="W306" i="28"/>
  <c r="W307" i="28"/>
  <c r="W308" i="28"/>
  <c r="W309" i="28"/>
  <c r="W310" i="28"/>
  <c r="W311" i="28"/>
  <c r="W312" i="28"/>
  <c r="W313" i="28"/>
  <c r="W314" i="28"/>
  <c r="W315" i="28"/>
  <c r="W316" i="28"/>
  <c r="W317" i="28"/>
  <c r="W318" i="28"/>
  <c r="W319" i="28"/>
  <c r="W320" i="28"/>
  <c r="W321" i="28"/>
  <c r="W322" i="28"/>
  <c r="W323" i="28"/>
  <c r="W324" i="28"/>
  <c r="W325" i="28"/>
  <c r="W326" i="28"/>
  <c r="W327" i="28"/>
  <c r="W328" i="28"/>
  <c r="W329" i="28"/>
  <c r="W330" i="28"/>
  <c r="W331" i="28"/>
  <c r="W332" i="28"/>
  <c r="W333" i="28"/>
  <c r="W334" i="28"/>
  <c r="W335" i="28"/>
  <c r="W336" i="28"/>
  <c r="W337" i="28"/>
  <c r="W338" i="28"/>
  <c r="W339" i="28"/>
  <c r="W340" i="28"/>
  <c r="W341" i="28"/>
  <c r="W342" i="28"/>
  <c r="W343" i="28"/>
  <c r="W344" i="28"/>
  <c r="W345" i="28"/>
  <c r="W346" i="28"/>
  <c r="W347" i="28"/>
  <c r="W348" i="28"/>
  <c r="W349" i="28"/>
  <c r="W350" i="28"/>
  <c r="W351" i="28"/>
  <c r="W352" i="28"/>
  <c r="W353" i="28"/>
  <c r="W354" i="28"/>
  <c r="W355" i="28"/>
  <c r="W356" i="28"/>
  <c r="W357" i="28"/>
  <c r="W358" i="28"/>
  <c r="W359" i="28"/>
  <c r="W360" i="28"/>
  <c r="W361" i="28"/>
  <c r="W362" i="28"/>
  <c r="W363" i="28"/>
  <c r="W364" i="28"/>
  <c r="W365" i="28"/>
  <c r="W366" i="28"/>
  <c r="W367" i="28"/>
  <c r="W368" i="28"/>
  <c r="W369" i="28"/>
  <c r="W370" i="28"/>
  <c r="W371" i="28"/>
  <c r="W372" i="28"/>
  <c r="W373" i="28"/>
  <c r="W374" i="28"/>
  <c r="W375" i="28"/>
  <c r="W376" i="28"/>
  <c r="W377" i="28"/>
  <c r="W378" i="28"/>
  <c r="W379" i="28"/>
  <c r="W380" i="28"/>
  <c r="W381" i="28"/>
  <c r="W382" i="28"/>
  <c r="W383" i="28"/>
  <c r="W384" i="28"/>
  <c r="W385" i="28"/>
  <c r="W386" i="28"/>
  <c r="W387" i="28"/>
  <c r="W388" i="28"/>
  <c r="W389" i="28"/>
  <c r="W390" i="28"/>
  <c r="W391" i="28"/>
  <c r="W392" i="28"/>
  <c r="W393" i="28"/>
  <c r="W394" i="28"/>
  <c r="W395" i="28"/>
  <c r="W396" i="28"/>
  <c r="W397" i="28"/>
  <c r="W398" i="28"/>
  <c r="W399" i="28"/>
  <c r="W400" i="28"/>
  <c r="W401" i="28"/>
  <c r="W402" i="28"/>
  <c r="W403" i="28"/>
  <c r="W404" i="28"/>
  <c r="W405" i="28"/>
  <c r="W406" i="28"/>
  <c r="W407" i="28"/>
  <c r="W408" i="28"/>
  <c r="W409" i="28"/>
  <c r="W410" i="28"/>
  <c r="W411" i="28"/>
  <c r="W412" i="28"/>
  <c r="W413" i="28"/>
  <c r="W414" i="28"/>
  <c r="W415" i="28"/>
  <c r="W416" i="28"/>
  <c r="W417" i="28"/>
  <c r="W418" i="28"/>
  <c r="W419" i="28"/>
  <c r="W420" i="28"/>
  <c r="W421" i="28"/>
  <c r="W422" i="28"/>
  <c r="W423" i="28"/>
  <c r="W424" i="28"/>
  <c r="W425" i="28"/>
  <c r="W426" i="28"/>
  <c r="W427" i="28"/>
  <c r="W428" i="28"/>
  <c r="W429" i="28"/>
  <c r="W430" i="28"/>
  <c r="W431" i="28"/>
  <c r="W432" i="28"/>
  <c r="W433" i="28"/>
  <c r="W434" i="28"/>
  <c r="W435" i="28"/>
  <c r="W436" i="28"/>
  <c r="W437" i="28"/>
  <c r="W438" i="28"/>
  <c r="W439" i="28"/>
  <c r="W440" i="28"/>
  <c r="W441" i="28"/>
  <c r="W442" i="28"/>
  <c r="W443" i="28"/>
  <c r="W444" i="28"/>
  <c r="W445" i="28"/>
  <c r="W446" i="28"/>
  <c r="W447" i="28"/>
  <c r="W448" i="28"/>
  <c r="W449" i="28"/>
  <c r="W450" i="28"/>
  <c r="W451" i="28"/>
  <c r="W452" i="28"/>
  <c r="W453" i="28"/>
  <c r="W454" i="28"/>
  <c r="W455" i="28"/>
  <c r="W456" i="28"/>
  <c r="W457" i="28"/>
  <c r="W458" i="28"/>
  <c r="W459" i="28"/>
  <c r="W460" i="28"/>
  <c r="W461" i="28"/>
  <c r="W462" i="28"/>
  <c r="W463" i="28"/>
  <c r="W464" i="28"/>
  <c r="W465" i="28"/>
  <c r="W466" i="28"/>
  <c r="W467" i="28"/>
  <c r="W468" i="28"/>
  <c r="W469" i="28"/>
  <c r="W470" i="28"/>
  <c r="W471" i="28"/>
  <c r="W472" i="28"/>
  <c r="W473" i="28"/>
  <c r="W474" i="28"/>
  <c r="W475" i="28"/>
  <c r="W476" i="28"/>
  <c r="W477" i="28"/>
  <c r="W478" i="28"/>
  <c r="W479" i="28"/>
  <c r="W480" i="28"/>
  <c r="W481" i="28"/>
  <c r="W482" i="28"/>
  <c r="W483" i="28"/>
  <c r="W484" i="28"/>
  <c r="W485" i="28"/>
  <c r="W486" i="28"/>
  <c r="W487" i="28"/>
  <c r="W488" i="28"/>
  <c r="W489" i="28"/>
  <c r="W490" i="28"/>
  <c r="W491" i="28"/>
  <c r="W492" i="28"/>
  <c r="W493" i="28"/>
  <c r="W494" i="28"/>
  <c r="W495" i="28"/>
  <c r="W496" i="28"/>
  <c r="W497" i="28"/>
  <c r="W498" i="28"/>
  <c r="W499" i="28"/>
  <c r="W500" i="28"/>
  <c r="W501" i="28"/>
  <c r="W502" i="28"/>
  <c r="W503" i="28"/>
  <c r="W504" i="28"/>
  <c r="W505" i="28"/>
  <c r="W506" i="28"/>
  <c r="W507" i="28"/>
  <c r="W508" i="28"/>
  <c r="W509" i="28"/>
  <c r="W510" i="28"/>
  <c r="W511" i="28"/>
  <c r="W512" i="28"/>
  <c r="W513" i="28"/>
  <c r="W514" i="28"/>
  <c r="W515" i="28"/>
  <c r="W516" i="28"/>
  <c r="W517" i="28"/>
  <c r="W518" i="28"/>
  <c r="W519" i="28"/>
  <c r="W520" i="28"/>
  <c r="W521" i="28"/>
  <c r="W522" i="28"/>
  <c r="W523" i="28"/>
  <c r="W524" i="28"/>
  <c r="W525" i="28"/>
  <c r="W526" i="28"/>
  <c r="W527" i="28"/>
  <c r="W528" i="28"/>
  <c r="W529" i="28"/>
  <c r="W530" i="28"/>
  <c r="W531" i="28"/>
  <c r="W532" i="28"/>
  <c r="W533" i="28"/>
  <c r="W534" i="28"/>
  <c r="W535" i="28"/>
  <c r="W536" i="28"/>
  <c r="W537" i="28"/>
  <c r="W538" i="28"/>
  <c r="W539" i="28"/>
  <c r="W540" i="28"/>
  <c r="W541" i="28"/>
  <c r="W542" i="28"/>
  <c r="W543" i="28"/>
  <c r="W544" i="28"/>
  <c r="W545" i="28"/>
  <c r="W546" i="28"/>
  <c r="W547" i="28"/>
  <c r="W548" i="28"/>
  <c r="W549" i="28"/>
  <c r="W550" i="28"/>
  <c r="W551" i="28"/>
  <c r="W552" i="28"/>
  <c r="W553" i="28"/>
  <c r="W554" i="28"/>
  <c r="W555" i="28"/>
  <c r="W556" i="28"/>
  <c r="W557" i="28"/>
  <c r="W558" i="28"/>
  <c r="W559" i="28"/>
  <c r="W560" i="28"/>
  <c r="W561" i="28"/>
  <c r="W562" i="28"/>
  <c r="W563" i="28"/>
  <c r="W564" i="28"/>
  <c r="W565" i="28"/>
  <c r="W566" i="28"/>
  <c r="W567" i="28"/>
  <c r="W568" i="28"/>
  <c r="W569" i="28"/>
  <c r="W570" i="28"/>
  <c r="W571" i="28"/>
  <c r="W572" i="28"/>
  <c r="V567" i="28"/>
  <c r="X567" i="28"/>
  <c r="V568" i="28"/>
  <c r="X568" i="28"/>
  <c r="V569" i="28"/>
  <c r="X569" i="28"/>
  <c r="V570" i="28"/>
  <c r="V571" i="28"/>
  <c r="V572" i="28"/>
  <c r="V558" i="28"/>
  <c r="X558" i="28"/>
  <c r="V559" i="28"/>
  <c r="X559" i="28"/>
  <c r="V560" i="28"/>
  <c r="X560" i="28"/>
  <c r="V561" i="28"/>
  <c r="X561" i="28"/>
  <c r="V562" i="28"/>
  <c r="X562" i="28"/>
  <c r="V563" i="28"/>
  <c r="X563" i="28"/>
  <c r="V564" i="28"/>
  <c r="X564" i="28"/>
  <c r="V565" i="28"/>
  <c r="X565" i="28"/>
  <c r="V566" i="28"/>
  <c r="X566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X26" i="28"/>
  <c r="V27" i="28"/>
  <c r="X27" i="28"/>
  <c r="V28" i="28"/>
  <c r="X28" i="28"/>
  <c r="V29" i="28"/>
  <c r="X29" i="28"/>
  <c r="V30" i="28"/>
  <c r="X30" i="28"/>
  <c r="V31" i="28"/>
  <c r="X31" i="28"/>
  <c r="V32" i="28"/>
  <c r="X32" i="28"/>
  <c r="V33" i="28"/>
  <c r="X33" i="28"/>
  <c r="V34" i="28"/>
  <c r="X34" i="28"/>
  <c r="V35" i="28"/>
  <c r="X35" i="28"/>
  <c r="V36" i="28"/>
  <c r="X36" i="28"/>
  <c r="V37" i="28"/>
  <c r="X37" i="28"/>
  <c r="V38" i="28"/>
  <c r="X38" i="28"/>
  <c r="V39" i="28"/>
  <c r="X39" i="28"/>
  <c r="V40" i="28"/>
  <c r="X40" i="28"/>
  <c r="V41" i="28"/>
  <c r="X41" i="28"/>
  <c r="V42" i="28"/>
  <c r="X42" i="28"/>
  <c r="V43" i="28"/>
  <c r="X43" i="28"/>
  <c r="V44" i="28"/>
  <c r="X44" i="28"/>
  <c r="V45" i="28"/>
  <c r="X45" i="28"/>
  <c r="V46" i="28"/>
  <c r="X46" i="28"/>
  <c r="V47" i="28"/>
  <c r="X47" i="28"/>
  <c r="V48" i="28"/>
  <c r="X48" i="28"/>
  <c r="V49" i="28"/>
  <c r="X49" i="28"/>
  <c r="V50" i="28"/>
  <c r="X50" i="28"/>
  <c r="V51" i="28"/>
  <c r="X51" i="28"/>
  <c r="V52" i="28"/>
  <c r="X52" i="28"/>
  <c r="V53" i="28"/>
  <c r="X53" i="28"/>
  <c r="V54" i="28"/>
  <c r="X54" i="28"/>
  <c r="V55" i="28"/>
  <c r="X55" i="28"/>
  <c r="V56" i="28"/>
  <c r="X56" i="28"/>
  <c r="V57" i="28"/>
  <c r="X57" i="28"/>
  <c r="V58" i="28"/>
  <c r="X58" i="28"/>
  <c r="V59" i="28"/>
  <c r="X59" i="28"/>
  <c r="V60" i="28"/>
  <c r="X60" i="28"/>
  <c r="V61" i="28"/>
  <c r="X61" i="28"/>
  <c r="V62" i="28"/>
  <c r="X62" i="28"/>
  <c r="V63" i="28"/>
  <c r="X63" i="28"/>
  <c r="V64" i="28"/>
  <c r="X64" i="28"/>
  <c r="V65" i="28"/>
  <c r="X65" i="28"/>
  <c r="V66" i="28"/>
  <c r="X66" i="28"/>
  <c r="V67" i="28"/>
  <c r="X67" i="28"/>
  <c r="V68" i="28"/>
  <c r="X68" i="28"/>
  <c r="V69" i="28"/>
  <c r="X69" i="28"/>
  <c r="V70" i="28"/>
  <c r="X70" i="28"/>
  <c r="V71" i="28"/>
  <c r="X71" i="28"/>
  <c r="V72" i="28"/>
  <c r="X72" i="28"/>
  <c r="V73" i="28"/>
  <c r="X73" i="28"/>
  <c r="V74" i="28"/>
  <c r="X74" i="28"/>
  <c r="V75" i="28"/>
  <c r="X75" i="28"/>
  <c r="V76" i="28"/>
  <c r="X76" i="28"/>
  <c r="V77" i="28"/>
  <c r="X77" i="28"/>
  <c r="V78" i="28"/>
  <c r="X78" i="28"/>
  <c r="V79" i="28"/>
  <c r="X79" i="28"/>
  <c r="V80" i="28"/>
  <c r="X80" i="28"/>
  <c r="V81" i="28"/>
  <c r="X81" i="28"/>
  <c r="V82" i="28"/>
  <c r="X82" i="28"/>
  <c r="V83" i="28"/>
  <c r="X83" i="28"/>
  <c r="V84" i="28"/>
  <c r="X84" i="28"/>
  <c r="V85" i="28"/>
  <c r="X85" i="28"/>
  <c r="V86" i="28"/>
  <c r="X86" i="28"/>
  <c r="V87" i="28"/>
  <c r="X87" i="28"/>
  <c r="V88" i="28"/>
  <c r="X88" i="28"/>
  <c r="V89" i="28"/>
  <c r="X89" i="28"/>
  <c r="V90" i="28"/>
  <c r="X90" i="28"/>
  <c r="V91" i="28"/>
  <c r="X91" i="28"/>
  <c r="V92" i="28"/>
  <c r="X92" i="28"/>
  <c r="V93" i="28"/>
  <c r="X93" i="28"/>
  <c r="V94" i="28"/>
  <c r="X94" i="28"/>
  <c r="V95" i="28"/>
  <c r="X95" i="28"/>
  <c r="V96" i="28"/>
  <c r="X96" i="28"/>
  <c r="V97" i="28"/>
  <c r="X97" i="28"/>
  <c r="V98" i="28"/>
  <c r="X98" i="28"/>
  <c r="V99" i="28"/>
  <c r="X99" i="28"/>
  <c r="V100" i="28"/>
  <c r="X100" i="28"/>
  <c r="V101" i="28"/>
  <c r="X101" i="28"/>
  <c r="V102" i="28"/>
  <c r="X102" i="28"/>
  <c r="V103" i="28"/>
  <c r="X103" i="28"/>
  <c r="V104" i="28"/>
  <c r="X104" i="28"/>
  <c r="V105" i="28"/>
  <c r="X105" i="28"/>
  <c r="V106" i="28"/>
  <c r="X106" i="28"/>
  <c r="V107" i="28"/>
  <c r="X107" i="28"/>
  <c r="V108" i="28"/>
  <c r="X108" i="28"/>
  <c r="V109" i="28"/>
  <c r="X109" i="28"/>
  <c r="V110" i="28"/>
  <c r="X110" i="28"/>
  <c r="V111" i="28"/>
  <c r="X111" i="28"/>
  <c r="V112" i="28"/>
  <c r="X112" i="28"/>
  <c r="V113" i="28"/>
  <c r="X113" i="28"/>
  <c r="V114" i="28"/>
  <c r="X114" i="28"/>
  <c r="V115" i="28"/>
  <c r="X115" i="28"/>
  <c r="V116" i="28"/>
  <c r="X116" i="28"/>
  <c r="V117" i="28"/>
  <c r="X117" i="28"/>
  <c r="V118" i="28"/>
  <c r="X118" i="28"/>
  <c r="V119" i="28"/>
  <c r="X119" i="28"/>
  <c r="V120" i="28"/>
  <c r="X120" i="28"/>
  <c r="V121" i="28"/>
  <c r="X121" i="28"/>
  <c r="V122" i="28"/>
  <c r="X122" i="28"/>
  <c r="V123" i="28"/>
  <c r="X123" i="28"/>
  <c r="V124" i="28"/>
  <c r="X124" i="28"/>
  <c r="V125" i="28"/>
  <c r="X125" i="28"/>
  <c r="V126" i="28"/>
  <c r="X126" i="28"/>
  <c r="V127" i="28"/>
  <c r="X127" i="28"/>
  <c r="V128" i="28"/>
  <c r="X128" i="28"/>
  <c r="V129" i="28"/>
  <c r="X129" i="28"/>
  <c r="V130" i="28"/>
  <c r="X130" i="28"/>
  <c r="V131" i="28"/>
  <c r="X131" i="28"/>
  <c r="V132" i="28"/>
  <c r="X132" i="28"/>
  <c r="V133" i="28"/>
  <c r="X133" i="28"/>
  <c r="V134" i="28"/>
  <c r="X134" i="28"/>
  <c r="V135" i="28"/>
  <c r="X135" i="28"/>
  <c r="V136" i="28"/>
  <c r="X136" i="28"/>
  <c r="V137" i="28"/>
  <c r="X137" i="28"/>
  <c r="V138" i="28"/>
  <c r="X138" i="28"/>
  <c r="V139" i="28"/>
  <c r="X139" i="28"/>
  <c r="V140" i="28"/>
  <c r="X140" i="28"/>
  <c r="V141" i="28"/>
  <c r="X141" i="28"/>
  <c r="V142" i="28"/>
  <c r="X142" i="28"/>
  <c r="V143" i="28"/>
  <c r="X143" i="28"/>
  <c r="V144" i="28"/>
  <c r="X144" i="28"/>
  <c r="V145" i="28"/>
  <c r="X145" i="28"/>
  <c r="V146" i="28"/>
  <c r="X146" i="28"/>
  <c r="V147" i="28"/>
  <c r="X147" i="28"/>
  <c r="V148" i="28"/>
  <c r="X148" i="28"/>
  <c r="V149" i="28"/>
  <c r="X149" i="28"/>
  <c r="V150" i="28"/>
  <c r="X150" i="28"/>
  <c r="V151" i="28"/>
  <c r="X151" i="28"/>
  <c r="V152" i="28"/>
  <c r="X152" i="28"/>
  <c r="V153" i="28"/>
  <c r="X153" i="28"/>
  <c r="V154" i="28"/>
  <c r="X154" i="28"/>
  <c r="V155" i="28"/>
  <c r="X155" i="28"/>
  <c r="V156" i="28"/>
  <c r="X156" i="28"/>
  <c r="V157" i="28"/>
  <c r="X157" i="28"/>
  <c r="V158" i="28"/>
  <c r="X158" i="28"/>
  <c r="V159" i="28"/>
  <c r="X159" i="28"/>
  <c r="V160" i="28"/>
  <c r="X160" i="28"/>
  <c r="V161" i="28"/>
  <c r="X161" i="28"/>
  <c r="V162" i="28"/>
  <c r="X162" i="28"/>
  <c r="V163" i="28"/>
  <c r="X163" i="28"/>
  <c r="V164" i="28"/>
  <c r="X164" i="28"/>
  <c r="V165" i="28"/>
  <c r="X165" i="28"/>
  <c r="V166" i="28"/>
  <c r="X166" i="28"/>
  <c r="V167" i="28"/>
  <c r="X167" i="28"/>
  <c r="V168" i="28"/>
  <c r="X168" i="28"/>
  <c r="V169" i="28"/>
  <c r="X169" i="28"/>
  <c r="V170" i="28"/>
  <c r="X170" i="28"/>
  <c r="V171" i="28"/>
  <c r="X171" i="28"/>
  <c r="V172" i="28"/>
  <c r="X172" i="28"/>
  <c r="V173" i="28"/>
  <c r="X173" i="28"/>
  <c r="V174" i="28"/>
  <c r="X174" i="28"/>
  <c r="V175" i="28"/>
  <c r="X175" i="28"/>
  <c r="V176" i="28"/>
  <c r="X176" i="28"/>
  <c r="V177" i="28"/>
  <c r="X177" i="28"/>
  <c r="V178" i="28"/>
  <c r="X178" i="28"/>
  <c r="V179" i="28"/>
  <c r="X179" i="28"/>
  <c r="V180" i="28"/>
  <c r="X180" i="28"/>
  <c r="V181" i="28"/>
  <c r="X181" i="28"/>
  <c r="V182" i="28"/>
  <c r="X182" i="28"/>
  <c r="V183" i="28"/>
  <c r="X183" i="28"/>
  <c r="V184" i="28"/>
  <c r="X184" i="28"/>
  <c r="V185" i="28"/>
  <c r="X185" i="28"/>
  <c r="V186" i="28"/>
  <c r="X186" i="28"/>
  <c r="V187" i="28"/>
  <c r="X187" i="28"/>
  <c r="V188" i="28"/>
  <c r="X188" i="28"/>
  <c r="V189" i="28"/>
  <c r="X189" i="28"/>
  <c r="V190" i="28"/>
  <c r="X190" i="28"/>
  <c r="V191" i="28"/>
  <c r="X191" i="28"/>
  <c r="V192" i="28"/>
  <c r="X192" i="28"/>
  <c r="V193" i="28"/>
  <c r="X193" i="28"/>
  <c r="V194" i="28"/>
  <c r="X194" i="28"/>
  <c r="V195" i="28"/>
  <c r="X195" i="28"/>
  <c r="V196" i="28"/>
  <c r="X196" i="28"/>
  <c r="V197" i="28"/>
  <c r="X197" i="28"/>
  <c r="V198" i="28"/>
  <c r="X198" i="28"/>
  <c r="V199" i="28"/>
  <c r="X199" i="28"/>
  <c r="V200" i="28"/>
  <c r="X200" i="28"/>
  <c r="V201" i="28"/>
  <c r="X201" i="28"/>
  <c r="V202" i="28"/>
  <c r="X202" i="28"/>
  <c r="V203" i="28"/>
  <c r="X203" i="28"/>
  <c r="V204" i="28"/>
  <c r="X204" i="28"/>
  <c r="V205" i="28"/>
  <c r="X205" i="28"/>
  <c r="V206" i="28"/>
  <c r="X206" i="28"/>
  <c r="V207" i="28"/>
  <c r="X207" i="28"/>
  <c r="V208" i="28"/>
  <c r="X208" i="28"/>
  <c r="V209" i="28"/>
  <c r="X209" i="28"/>
  <c r="V210" i="28"/>
  <c r="X210" i="28"/>
  <c r="V211" i="28"/>
  <c r="X211" i="28"/>
  <c r="V212" i="28"/>
  <c r="X212" i="28"/>
  <c r="V213" i="28"/>
  <c r="X213" i="28"/>
  <c r="V214" i="28"/>
  <c r="X214" i="28"/>
  <c r="V215" i="28"/>
  <c r="X215" i="28"/>
  <c r="V216" i="28"/>
  <c r="X216" i="28"/>
  <c r="V217" i="28"/>
  <c r="X217" i="28"/>
  <c r="V218" i="28"/>
  <c r="X218" i="28"/>
  <c r="V219" i="28"/>
  <c r="X219" i="28"/>
  <c r="V220" i="28"/>
  <c r="X220" i="28"/>
  <c r="V221" i="28"/>
  <c r="X221" i="28"/>
  <c r="V222" i="28"/>
  <c r="X222" i="28"/>
  <c r="V223" i="28"/>
  <c r="X223" i="28"/>
  <c r="V224" i="28"/>
  <c r="X224" i="28"/>
  <c r="V225" i="28"/>
  <c r="X225" i="28"/>
  <c r="V226" i="28"/>
  <c r="X226" i="28"/>
  <c r="V227" i="28"/>
  <c r="X227" i="28"/>
  <c r="V228" i="28"/>
  <c r="X228" i="28"/>
  <c r="V229" i="28"/>
  <c r="X229" i="28"/>
  <c r="V230" i="28"/>
  <c r="X230" i="28"/>
  <c r="V231" i="28"/>
  <c r="X231" i="28"/>
  <c r="V232" i="28"/>
  <c r="X232" i="28"/>
  <c r="V233" i="28"/>
  <c r="X233" i="28"/>
  <c r="V234" i="28"/>
  <c r="X234" i="28"/>
  <c r="V235" i="28"/>
  <c r="X235" i="28"/>
  <c r="V236" i="28"/>
  <c r="X236" i="28"/>
  <c r="V237" i="28"/>
  <c r="X237" i="28"/>
  <c r="V238" i="28"/>
  <c r="X238" i="28"/>
  <c r="V239" i="28"/>
  <c r="X239" i="28"/>
  <c r="V240" i="28"/>
  <c r="X240" i="28"/>
  <c r="V241" i="28"/>
  <c r="X241" i="28"/>
  <c r="V242" i="28"/>
  <c r="X242" i="28"/>
  <c r="V243" i="28"/>
  <c r="X243" i="28"/>
  <c r="V244" i="28"/>
  <c r="X244" i="28"/>
  <c r="V245" i="28"/>
  <c r="X245" i="28"/>
  <c r="V246" i="28"/>
  <c r="X246" i="28"/>
  <c r="V247" i="28"/>
  <c r="X247" i="28"/>
  <c r="V248" i="28"/>
  <c r="X248" i="28"/>
  <c r="V249" i="28"/>
  <c r="X249" i="28"/>
  <c r="V250" i="28"/>
  <c r="X250" i="28"/>
  <c r="V251" i="28"/>
  <c r="X251" i="28"/>
  <c r="V252" i="28"/>
  <c r="X252" i="28"/>
  <c r="V253" i="28"/>
  <c r="X253" i="28"/>
  <c r="V254" i="28"/>
  <c r="X254" i="28"/>
  <c r="V255" i="28"/>
  <c r="X255" i="28"/>
  <c r="V256" i="28"/>
  <c r="X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389" i="28"/>
  <c r="V390" i="28"/>
  <c r="V391" i="28"/>
  <c r="V392" i="28"/>
  <c r="V393" i="28"/>
  <c r="V394" i="28"/>
  <c r="V395" i="28"/>
  <c r="V396" i="28"/>
  <c r="V397" i="28"/>
  <c r="V398" i="28"/>
  <c r="V399" i="28"/>
  <c r="V400" i="28"/>
  <c r="V401" i="28"/>
  <c r="V402" i="28"/>
  <c r="V403" i="28"/>
  <c r="V404" i="28"/>
  <c r="V405" i="28"/>
  <c r="V406" i="28"/>
  <c r="V407" i="28"/>
  <c r="V408" i="28"/>
  <c r="V409" i="28"/>
  <c r="V410" i="28"/>
  <c r="V411" i="28"/>
  <c r="V412" i="28"/>
  <c r="V413" i="28"/>
  <c r="V414" i="28"/>
  <c r="V415" i="28"/>
  <c r="V416" i="28"/>
  <c r="V417" i="28"/>
  <c r="V418" i="28"/>
  <c r="V419" i="28"/>
  <c r="V420" i="28"/>
  <c r="V421" i="28"/>
  <c r="V422" i="28"/>
  <c r="V423" i="28"/>
  <c r="V424" i="28"/>
  <c r="V425" i="28"/>
  <c r="V426" i="28"/>
  <c r="V427" i="28"/>
  <c r="V428" i="28"/>
  <c r="V429" i="28"/>
  <c r="V430" i="28"/>
  <c r="V431" i="28"/>
  <c r="V432" i="28"/>
  <c r="V433" i="28"/>
  <c r="V434" i="28"/>
  <c r="V435" i="28"/>
  <c r="V436" i="28"/>
  <c r="V437" i="28"/>
  <c r="V438" i="28"/>
  <c r="V439" i="28"/>
  <c r="V440" i="28"/>
  <c r="V441" i="28"/>
  <c r="V442" i="28"/>
  <c r="V443" i="28"/>
  <c r="V444" i="28"/>
  <c r="V445" i="28"/>
  <c r="V446" i="28"/>
  <c r="V447" i="28"/>
  <c r="V448" i="28"/>
  <c r="V449" i="28"/>
  <c r="V450" i="28"/>
  <c r="V451" i="28"/>
  <c r="V452" i="28"/>
  <c r="V453" i="28"/>
  <c r="V454" i="28"/>
  <c r="V455" i="28"/>
  <c r="V456" i="28"/>
  <c r="V457" i="28"/>
  <c r="V458" i="28"/>
  <c r="V459" i="28"/>
  <c r="V460" i="28"/>
  <c r="V461" i="28"/>
  <c r="V462" i="28"/>
  <c r="V463" i="28"/>
  <c r="V464" i="28"/>
  <c r="V465" i="28"/>
  <c r="V466" i="28"/>
  <c r="V467" i="28"/>
  <c r="V468" i="28"/>
  <c r="V469" i="28"/>
  <c r="V470" i="28"/>
  <c r="V471" i="28"/>
  <c r="V472" i="28"/>
  <c r="V473" i="28"/>
  <c r="V474" i="28"/>
  <c r="V475" i="28"/>
  <c r="V476" i="28"/>
  <c r="V477" i="28"/>
  <c r="V478" i="28"/>
  <c r="V479" i="28"/>
  <c r="V480" i="28"/>
  <c r="V481" i="28"/>
  <c r="V482" i="28"/>
  <c r="V483" i="28"/>
  <c r="V484" i="28"/>
  <c r="V485" i="28"/>
  <c r="V486" i="28"/>
  <c r="V487" i="28"/>
  <c r="V488" i="28"/>
  <c r="V489" i="28"/>
  <c r="V490" i="28"/>
  <c r="V491" i="28"/>
  <c r="V492" i="28"/>
  <c r="V493" i="28"/>
  <c r="V494" i="28"/>
  <c r="V495" i="28"/>
  <c r="V496" i="28"/>
  <c r="V497" i="28"/>
  <c r="V498" i="28"/>
  <c r="V499" i="28"/>
  <c r="V500" i="28"/>
  <c r="V501" i="28"/>
  <c r="V502" i="28"/>
  <c r="V503" i="28"/>
  <c r="V504" i="28"/>
  <c r="V505" i="28"/>
  <c r="V506" i="28"/>
  <c r="V507" i="28"/>
  <c r="V508" i="28"/>
  <c r="V509" i="28"/>
  <c r="V510" i="28"/>
  <c r="V511" i="28"/>
  <c r="V512" i="28"/>
  <c r="V513" i="28"/>
  <c r="V514" i="28"/>
  <c r="V515" i="28"/>
  <c r="V516" i="28"/>
  <c r="V517" i="28"/>
  <c r="V518" i="28"/>
  <c r="V519" i="28"/>
  <c r="V520" i="28"/>
  <c r="V521" i="28"/>
  <c r="V522" i="28"/>
  <c r="V523" i="28"/>
  <c r="V524" i="28"/>
  <c r="V525" i="28"/>
  <c r="V526" i="28"/>
  <c r="V527" i="28"/>
  <c r="V528" i="28"/>
  <c r="V529" i="28"/>
  <c r="V530" i="28"/>
  <c r="V531" i="28"/>
  <c r="V532" i="28"/>
  <c r="V533" i="28"/>
  <c r="V534" i="28"/>
  <c r="V535" i="28"/>
  <c r="V536" i="28"/>
  <c r="V537" i="28"/>
  <c r="V538" i="28"/>
  <c r="V539" i="28"/>
  <c r="V540" i="28"/>
  <c r="V541" i="28"/>
  <c r="V542" i="28"/>
  <c r="V543" i="28"/>
  <c r="V544" i="28"/>
  <c r="V545" i="28"/>
  <c r="V546" i="28"/>
  <c r="V547" i="28"/>
  <c r="V548" i="28"/>
  <c r="V549" i="28"/>
  <c r="V550" i="28"/>
  <c r="V551" i="28"/>
  <c r="V552" i="28"/>
  <c r="V553" i="28"/>
  <c r="V554" i="28"/>
  <c r="V555" i="28"/>
  <c r="V556" i="28"/>
  <c r="V557" i="28"/>
  <c r="V10" i="28"/>
  <c r="V11" i="28"/>
  <c r="V3" i="28"/>
  <c r="V4" i="28"/>
  <c r="V5" i="28"/>
  <c r="V6" i="28"/>
  <c r="V7" i="28"/>
  <c r="V8" i="28"/>
  <c r="V9" i="28"/>
  <c r="BH572" i="28"/>
  <c r="BG572" i="28"/>
  <c r="BF572" i="28"/>
  <c r="BD572" i="28"/>
  <c r="BC572" i="28"/>
  <c r="BB572" i="28"/>
  <c r="BA572" i="28"/>
  <c r="AZ572" i="28"/>
  <c r="BE572" i="28"/>
  <c r="AY572" i="28"/>
  <c r="AX572" i="28"/>
  <c r="AR572" i="28"/>
  <c r="BH571" i="28"/>
  <c r="BG571" i="28"/>
  <c r="BF571" i="28"/>
  <c r="BD571" i="28"/>
  <c r="BC571" i="28"/>
  <c r="BB571" i="28"/>
  <c r="BA571" i="28"/>
  <c r="AZ571" i="28"/>
  <c r="BE571" i="28"/>
  <c r="AY571" i="28"/>
  <c r="AX571" i="28"/>
  <c r="AR571" i="28"/>
  <c r="BH570" i="28"/>
  <c r="BG570" i="28"/>
  <c r="BF570" i="28"/>
  <c r="BD570" i="28"/>
  <c r="BC570" i="28"/>
  <c r="BB570" i="28"/>
  <c r="BA570" i="28"/>
  <c r="AZ570" i="28"/>
  <c r="BE570" i="28"/>
  <c r="AY570" i="28"/>
  <c r="AX570" i="28"/>
  <c r="AR570" i="28"/>
  <c r="BH569" i="28"/>
  <c r="BG569" i="28"/>
  <c r="BF569" i="28"/>
  <c r="BD569" i="28"/>
  <c r="BC569" i="28"/>
  <c r="BB569" i="28"/>
  <c r="BA569" i="28"/>
  <c r="AZ569" i="28"/>
  <c r="BE569" i="28"/>
  <c r="AY569" i="28"/>
  <c r="AX569" i="28"/>
  <c r="AR569" i="28"/>
  <c r="BH568" i="28"/>
  <c r="BG568" i="28"/>
  <c r="BF568" i="28"/>
  <c r="BD568" i="28"/>
  <c r="BC568" i="28"/>
  <c r="BB568" i="28"/>
  <c r="BA568" i="28"/>
  <c r="AZ568" i="28"/>
  <c r="BE568" i="28"/>
  <c r="AY568" i="28"/>
  <c r="AX568" i="28"/>
  <c r="AR568" i="28"/>
  <c r="BH567" i="28"/>
  <c r="BG567" i="28"/>
  <c r="BF567" i="28"/>
  <c r="BD567" i="28"/>
  <c r="BC567" i="28"/>
  <c r="BB567" i="28"/>
  <c r="BA567" i="28"/>
  <c r="AZ567" i="28"/>
  <c r="BE567" i="28"/>
  <c r="AY567" i="28"/>
  <c r="AX567" i="28"/>
  <c r="AR567" i="28"/>
  <c r="BH566" i="28"/>
  <c r="BG566" i="28"/>
  <c r="BF566" i="28"/>
  <c r="BD566" i="28"/>
  <c r="BC566" i="28"/>
  <c r="BB566" i="28"/>
  <c r="BA566" i="28"/>
  <c r="AZ566" i="28"/>
  <c r="BE566" i="28"/>
  <c r="AY566" i="28"/>
  <c r="AX566" i="28"/>
  <c r="AR566" i="28"/>
  <c r="BH565" i="28"/>
  <c r="BG565" i="28"/>
  <c r="BF565" i="28"/>
  <c r="BD565" i="28"/>
  <c r="BC565" i="28"/>
  <c r="BB565" i="28"/>
  <c r="BA565" i="28"/>
  <c r="AZ565" i="28"/>
  <c r="BE565" i="28"/>
  <c r="AY565" i="28"/>
  <c r="AX565" i="28"/>
  <c r="AR565" i="28"/>
  <c r="BH564" i="28"/>
  <c r="BG564" i="28"/>
  <c r="BF564" i="28"/>
  <c r="BD564" i="28"/>
  <c r="BC564" i="28"/>
  <c r="BB564" i="28"/>
  <c r="BA564" i="28"/>
  <c r="AZ564" i="28"/>
  <c r="BE564" i="28"/>
  <c r="AY564" i="28"/>
  <c r="AX564" i="28"/>
  <c r="AR564" i="28"/>
  <c r="BH563" i="28"/>
  <c r="BG563" i="28"/>
  <c r="BF563" i="28"/>
  <c r="BD563" i="28"/>
  <c r="BC563" i="28"/>
  <c r="BB563" i="28"/>
  <c r="BA563" i="28"/>
  <c r="AZ563" i="28"/>
  <c r="BE563" i="28"/>
  <c r="AY563" i="28"/>
  <c r="AX563" i="28"/>
  <c r="AR563" i="28"/>
  <c r="BH562" i="28"/>
  <c r="BG562" i="28"/>
  <c r="BF562" i="28"/>
  <c r="BD562" i="28"/>
  <c r="BC562" i="28"/>
  <c r="BB562" i="28"/>
  <c r="BA562" i="28"/>
  <c r="AZ562" i="28"/>
  <c r="BE562" i="28"/>
  <c r="AY562" i="28"/>
  <c r="AX562" i="28"/>
  <c r="AR562" i="28"/>
  <c r="BH561" i="28"/>
  <c r="BG561" i="28"/>
  <c r="BF561" i="28"/>
  <c r="BD561" i="28"/>
  <c r="BC561" i="28"/>
  <c r="BB561" i="28"/>
  <c r="BA561" i="28"/>
  <c r="AZ561" i="28"/>
  <c r="BE561" i="28"/>
  <c r="AY561" i="28"/>
  <c r="AX561" i="28"/>
  <c r="AR561" i="28"/>
  <c r="BH560" i="28"/>
  <c r="BG560" i="28"/>
  <c r="BF560" i="28"/>
  <c r="BD560" i="28"/>
  <c r="BC560" i="28"/>
  <c r="BB560" i="28"/>
  <c r="BA560" i="28"/>
  <c r="AZ560" i="28"/>
  <c r="BE560" i="28"/>
  <c r="AY560" i="28"/>
  <c r="AX560" i="28"/>
  <c r="AR560" i="28"/>
  <c r="BH559" i="28"/>
  <c r="BG559" i="28"/>
  <c r="BF559" i="28"/>
  <c r="BD559" i="28"/>
  <c r="BC559" i="28"/>
  <c r="BB559" i="28"/>
  <c r="BA559" i="28"/>
  <c r="AZ559" i="28"/>
  <c r="BE559" i="28"/>
  <c r="AY559" i="28"/>
  <c r="AX559" i="28"/>
  <c r="AR559" i="28"/>
  <c r="BH558" i="28"/>
  <c r="BG558" i="28"/>
  <c r="BF558" i="28"/>
  <c r="BD558" i="28"/>
  <c r="BC558" i="28"/>
  <c r="BB558" i="28"/>
  <c r="BA558" i="28"/>
  <c r="AZ558" i="28"/>
  <c r="BE558" i="28"/>
  <c r="AY558" i="28"/>
  <c r="AX558" i="28"/>
  <c r="AR558" i="28"/>
  <c r="BH557" i="28"/>
  <c r="BG557" i="28"/>
  <c r="BF557" i="28"/>
  <c r="BD557" i="28"/>
  <c r="BC557" i="28"/>
  <c r="BB557" i="28"/>
  <c r="BA557" i="28"/>
  <c r="AZ557" i="28"/>
  <c r="BE557" i="28"/>
  <c r="AY557" i="28"/>
  <c r="AX557" i="28"/>
  <c r="AR557" i="28"/>
  <c r="BH556" i="28"/>
  <c r="BG556" i="28"/>
  <c r="BF556" i="28"/>
  <c r="BD556" i="28"/>
  <c r="BC556" i="28"/>
  <c r="BB556" i="28"/>
  <c r="BA556" i="28"/>
  <c r="AZ556" i="28"/>
  <c r="BE556" i="28"/>
  <c r="AY556" i="28"/>
  <c r="AX556" i="28"/>
  <c r="AR556" i="28"/>
  <c r="BH555" i="28"/>
  <c r="BG555" i="28"/>
  <c r="BF555" i="28"/>
  <c r="BD555" i="28"/>
  <c r="BC555" i="28"/>
  <c r="BB555" i="28"/>
  <c r="BA555" i="28"/>
  <c r="AZ555" i="28"/>
  <c r="BE555" i="28"/>
  <c r="AY555" i="28"/>
  <c r="AX555" i="28"/>
  <c r="AR555" i="28"/>
  <c r="BH554" i="28"/>
  <c r="BG554" i="28"/>
  <c r="BF554" i="28"/>
  <c r="BD554" i="28"/>
  <c r="BC554" i="28"/>
  <c r="BB554" i="28"/>
  <c r="BA554" i="28"/>
  <c r="AZ554" i="28"/>
  <c r="BE554" i="28"/>
  <c r="AY554" i="28"/>
  <c r="AX554" i="28"/>
  <c r="AR554" i="28"/>
  <c r="BH553" i="28"/>
  <c r="BG553" i="28"/>
  <c r="BF553" i="28"/>
  <c r="BD553" i="28"/>
  <c r="BC553" i="28"/>
  <c r="BB553" i="28"/>
  <c r="BA553" i="28"/>
  <c r="AZ553" i="28"/>
  <c r="BE553" i="28"/>
  <c r="AY553" i="28"/>
  <c r="AX553" i="28"/>
  <c r="AR553" i="28"/>
  <c r="BH552" i="28"/>
  <c r="BG552" i="28"/>
  <c r="BF552" i="28"/>
  <c r="BD552" i="28"/>
  <c r="BC552" i="28"/>
  <c r="BB552" i="28"/>
  <c r="BA552" i="28"/>
  <c r="AZ552" i="28"/>
  <c r="BE552" i="28"/>
  <c r="AY552" i="28"/>
  <c r="AX552" i="28"/>
  <c r="AR552" i="28"/>
  <c r="BH551" i="28"/>
  <c r="BG551" i="28"/>
  <c r="BF551" i="28"/>
  <c r="BD551" i="28"/>
  <c r="BC551" i="28"/>
  <c r="BB551" i="28"/>
  <c r="BA551" i="28"/>
  <c r="AZ551" i="28"/>
  <c r="BE551" i="28"/>
  <c r="AY551" i="28"/>
  <c r="AX551" i="28"/>
  <c r="AR551" i="28"/>
  <c r="BH550" i="28"/>
  <c r="BG550" i="28"/>
  <c r="BF550" i="28"/>
  <c r="BD550" i="28"/>
  <c r="BC550" i="28"/>
  <c r="BB550" i="28"/>
  <c r="BA550" i="28"/>
  <c r="AZ550" i="28"/>
  <c r="BE550" i="28"/>
  <c r="AY550" i="28"/>
  <c r="AX550" i="28"/>
  <c r="AR550" i="28"/>
  <c r="BH549" i="28"/>
  <c r="BG549" i="28"/>
  <c r="BF549" i="28"/>
  <c r="BD549" i="28"/>
  <c r="BC549" i="28"/>
  <c r="BB549" i="28"/>
  <c r="BA549" i="28"/>
  <c r="AZ549" i="28"/>
  <c r="BE549" i="28"/>
  <c r="AY549" i="28"/>
  <c r="AX549" i="28"/>
  <c r="AR549" i="28"/>
  <c r="BH548" i="28"/>
  <c r="BG548" i="28"/>
  <c r="BF548" i="28"/>
  <c r="BD548" i="28"/>
  <c r="BC548" i="28"/>
  <c r="BB548" i="28"/>
  <c r="BA548" i="28"/>
  <c r="AZ548" i="28"/>
  <c r="BE548" i="28"/>
  <c r="AY548" i="28"/>
  <c r="AX548" i="28"/>
  <c r="AR548" i="28"/>
  <c r="BH547" i="28"/>
  <c r="BG547" i="28"/>
  <c r="BF547" i="28"/>
  <c r="BD547" i="28"/>
  <c r="BC547" i="28"/>
  <c r="BB547" i="28"/>
  <c r="BA547" i="28"/>
  <c r="AZ547" i="28"/>
  <c r="BE547" i="28"/>
  <c r="AY547" i="28"/>
  <c r="AX547" i="28"/>
  <c r="AR547" i="28"/>
  <c r="BH546" i="28"/>
  <c r="BG546" i="28"/>
  <c r="BF546" i="28"/>
  <c r="BD546" i="28"/>
  <c r="BC546" i="28"/>
  <c r="BB546" i="28"/>
  <c r="BA546" i="28"/>
  <c r="AZ546" i="28"/>
  <c r="BE546" i="28"/>
  <c r="AY546" i="28"/>
  <c r="AX546" i="28"/>
  <c r="AR546" i="28"/>
  <c r="BH545" i="28"/>
  <c r="BG545" i="28"/>
  <c r="BF545" i="28"/>
  <c r="BD545" i="28"/>
  <c r="BC545" i="28"/>
  <c r="BB545" i="28"/>
  <c r="BA545" i="28"/>
  <c r="AZ545" i="28"/>
  <c r="BE545" i="28"/>
  <c r="AY545" i="28"/>
  <c r="AX545" i="28"/>
  <c r="AR545" i="28"/>
  <c r="BH544" i="28"/>
  <c r="BG544" i="28"/>
  <c r="BF544" i="28"/>
  <c r="BD544" i="28"/>
  <c r="BC544" i="28"/>
  <c r="BB544" i="28"/>
  <c r="BA544" i="28"/>
  <c r="AZ544" i="28"/>
  <c r="BE544" i="28"/>
  <c r="AY544" i="28"/>
  <c r="AX544" i="28"/>
  <c r="AR544" i="28"/>
  <c r="BH543" i="28"/>
  <c r="BG543" i="28"/>
  <c r="BF543" i="28"/>
  <c r="BD543" i="28"/>
  <c r="BC543" i="28"/>
  <c r="BB543" i="28"/>
  <c r="BA543" i="28"/>
  <c r="AZ543" i="28"/>
  <c r="BE543" i="28"/>
  <c r="AY543" i="28"/>
  <c r="AX543" i="28"/>
  <c r="AR543" i="28"/>
  <c r="BH542" i="28"/>
  <c r="BG542" i="28"/>
  <c r="BF542" i="28"/>
  <c r="BD542" i="28"/>
  <c r="BC542" i="28"/>
  <c r="BB542" i="28"/>
  <c r="BA542" i="28"/>
  <c r="AZ542" i="28"/>
  <c r="BE542" i="28"/>
  <c r="AY542" i="28"/>
  <c r="AX542" i="28"/>
  <c r="AR542" i="28"/>
  <c r="BH541" i="28"/>
  <c r="BG541" i="28"/>
  <c r="BF541" i="28"/>
  <c r="BD541" i="28"/>
  <c r="BC541" i="28"/>
  <c r="BB541" i="28"/>
  <c r="BA541" i="28"/>
  <c r="AZ541" i="28"/>
  <c r="BE541" i="28"/>
  <c r="AY541" i="28"/>
  <c r="AX541" i="28"/>
  <c r="AR541" i="28"/>
  <c r="BH540" i="28"/>
  <c r="BG540" i="28"/>
  <c r="BF540" i="28"/>
  <c r="BD540" i="28"/>
  <c r="BC540" i="28"/>
  <c r="BB540" i="28"/>
  <c r="BA540" i="28"/>
  <c r="AZ540" i="28"/>
  <c r="BE540" i="28"/>
  <c r="AY540" i="28"/>
  <c r="AX540" i="28"/>
  <c r="AR540" i="28"/>
  <c r="BH539" i="28"/>
  <c r="BG539" i="28"/>
  <c r="BF539" i="28"/>
  <c r="BD539" i="28"/>
  <c r="BC539" i="28"/>
  <c r="BB539" i="28"/>
  <c r="BA539" i="28"/>
  <c r="AZ539" i="28"/>
  <c r="BE539" i="28"/>
  <c r="AY539" i="28"/>
  <c r="AX539" i="28"/>
  <c r="AR539" i="28"/>
  <c r="BH538" i="28"/>
  <c r="BG538" i="28"/>
  <c r="BF538" i="28"/>
  <c r="BD538" i="28"/>
  <c r="BC538" i="28"/>
  <c r="BB538" i="28"/>
  <c r="BA538" i="28"/>
  <c r="AZ538" i="28"/>
  <c r="BE538" i="28"/>
  <c r="AY538" i="28"/>
  <c r="AX538" i="28"/>
  <c r="AR538" i="28"/>
  <c r="BH537" i="28"/>
  <c r="BG537" i="28"/>
  <c r="BF537" i="28"/>
  <c r="BD537" i="28"/>
  <c r="BC537" i="28"/>
  <c r="BB537" i="28"/>
  <c r="BA537" i="28"/>
  <c r="AZ537" i="28"/>
  <c r="BE537" i="28"/>
  <c r="AY537" i="28"/>
  <c r="AX537" i="28"/>
  <c r="AR537" i="28"/>
  <c r="BH536" i="28"/>
  <c r="BG536" i="28"/>
  <c r="BF536" i="28"/>
  <c r="BD536" i="28"/>
  <c r="BC536" i="28"/>
  <c r="BB536" i="28"/>
  <c r="BA536" i="28"/>
  <c r="AZ536" i="28"/>
  <c r="BE536" i="28"/>
  <c r="AY536" i="28"/>
  <c r="AX536" i="28"/>
  <c r="AR536" i="28"/>
  <c r="AS536" i="28"/>
  <c r="BH535" i="28"/>
  <c r="BG535" i="28"/>
  <c r="BF535" i="28"/>
  <c r="BD535" i="28"/>
  <c r="BC535" i="28"/>
  <c r="BB535" i="28"/>
  <c r="BA535" i="28"/>
  <c r="AZ535" i="28"/>
  <c r="BE535" i="28"/>
  <c r="AY535" i="28"/>
  <c r="AX535" i="28"/>
  <c r="AR535" i="28"/>
  <c r="BH534" i="28"/>
  <c r="BG534" i="28"/>
  <c r="BF534" i="28"/>
  <c r="BD534" i="28"/>
  <c r="BC534" i="28"/>
  <c r="BB534" i="28"/>
  <c r="BA534" i="28"/>
  <c r="AZ534" i="28"/>
  <c r="BE534" i="28"/>
  <c r="AY534" i="28"/>
  <c r="AX534" i="28"/>
  <c r="AR534" i="28"/>
  <c r="BH533" i="28"/>
  <c r="BG533" i="28"/>
  <c r="BF533" i="28"/>
  <c r="BD533" i="28"/>
  <c r="BC533" i="28"/>
  <c r="BB533" i="28"/>
  <c r="BA533" i="28"/>
  <c r="AZ533" i="28"/>
  <c r="BE533" i="28"/>
  <c r="AY533" i="28"/>
  <c r="AX533" i="28"/>
  <c r="AR533" i="28"/>
  <c r="BH532" i="28"/>
  <c r="BG532" i="28"/>
  <c r="BF532" i="28"/>
  <c r="BD532" i="28"/>
  <c r="BC532" i="28"/>
  <c r="BB532" i="28"/>
  <c r="BA532" i="28"/>
  <c r="AZ532" i="28"/>
  <c r="BE532" i="28"/>
  <c r="AY532" i="28"/>
  <c r="AX532" i="28"/>
  <c r="AR532" i="28"/>
  <c r="BH531" i="28"/>
  <c r="BG531" i="28"/>
  <c r="BF531" i="28"/>
  <c r="BD531" i="28"/>
  <c r="BC531" i="28"/>
  <c r="BB531" i="28"/>
  <c r="BA531" i="28"/>
  <c r="AZ531" i="28"/>
  <c r="BE531" i="28"/>
  <c r="AY531" i="28"/>
  <c r="AX531" i="28"/>
  <c r="AR531" i="28"/>
  <c r="BH530" i="28"/>
  <c r="BG530" i="28"/>
  <c r="BF530" i="28"/>
  <c r="BD530" i="28"/>
  <c r="BC530" i="28"/>
  <c r="BB530" i="28"/>
  <c r="BA530" i="28"/>
  <c r="AZ530" i="28"/>
  <c r="BE530" i="28"/>
  <c r="AY530" i="28"/>
  <c r="AX530" i="28"/>
  <c r="AR530" i="28"/>
  <c r="BH529" i="28"/>
  <c r="BG529" i="28"/>
  <c r="BF529" i="28"/>
  <c r="BD529" i="28"/>
  <c r="BC529" i="28"/>
  <c r="BB529" i="28"/>
  <c r="BA529" i="28"/>
  <c r="AZ529" i="28"/>
  <c r="BE529" i="28"/>
  <c r="AY529" i="28"/>
  <c r="AX529" i="28"/>
  <c r="AR529" i="28"/>
  <c r="BH528" i="28"/>
  <c r="BG528" i="28"/>
  <c r="BF528" i="28"/>
  <c r="BD528" i="28"/>
  <c r="BC528" i="28"/>
  <c r="BB528" i="28"/>
  <c r="BA528" i="28"/>
  <c r="AZ528" i="28"/>
  <c r="BE528" i="28"/>
  <c r="AY528" i="28"/>
  <c r="AX528" i="28"/>
  <c r="AR528" i="28"/>
  <c r="AS528" i="28"/>
  <c r="BH527" i="28"/>
  <c r="BG527" i="28"/>
  <c r="BF527" i="28"/>
  <c r="BD527" i="28"/>
  <c r="BC527" i="28"/>
  <c r="BB527" i="28"/>
  <c r="BA527" i="28"/>
  <c r="AZ527" i="28"/>
  <c r="BE527" i="28"/>
  <c r="AY527" i="28"/>
  <c r="AX527" i="28"/>
  <c r="AR527" i="28"/>
  <c r="BH526" i="28"/>
  <c r="BG526" i="28"/>
  <c r="BF526" i="28"/>
  <c r="BD526" i="28"/>
  <c r="BC526" i="28"/>
  <c r="BB526" i="28"/>
  <c r="BA526" i="28"/>
  <c r="AZ526" i="28"/>
  <c r="BE526" i="28"/>
  <c r="AY526" i="28"/>
  <c r="AX526" i="28"/>
  <c r="AR526" i="28"/>
  <c r="BH525" i="28"/>
  <c r="BG525" i="28"/>
  <c r="BF525" i="28"/>
  <c r="BD525" i="28"/>
  <c r="BC525" i="28"/>
  <c r="BB525" i="28"/>
  <c r="BA525" i="28"/>
  <c r="AZ525" i="28"/>
  <c r="BE525" i="28"/>
  <c r="AY525" i="28"/>
  <c r="AX525" i="28"/>
  <c r="AR525" i="28"/>
  <c r="BH524" i="28"/>
  <c r="BG524" i="28"/>
  <c r="BF524" i="28"/>
  <c r="BD524" i="28"/>
  <c r="BC524" i="28"/>
  <c r="BB524" i="28"/>
  <c r="BA524" i="28"/>
  <c r="AZ524" i="28"/>
  <c r="BE524" i="28"/>
  <c r="AY524" i="28"/>
  <c r="AX524" i="28"/>
  <c r="AR524" i="28"/>
  <c r="BH523" i="28"/>
  <c r="BG523" i="28"/>
  <c r="BF523" i="28"/>
  <c r="BD523" i="28"/>
  <c r="BC523" i="28"/>
  <c r="BB523" i="28"/>
  <c r="BA523" i="28"/>
  <c r="AZ523" i="28"/>
  <c r="BE523" i="28"/>
  <c r="AY523" i="28"/>
  <c r="AX523" i="28"/>
  <c r="AR523" i="28"/>
  <c r="BH522" i="28"/>
  <c r="BG522" i="28"/>
  <c r="BF522" i="28"/>
  <c r="BD522" i="28"/>
  <c r="BC522" i="28"/>
  <c r="BB522" i="28"/>
  <c r="BA522" i="28"/>
  <c r="AZ522" i="28"/>
  <c r="BE522" i="28"/>
  <c r="AY522" i="28"/>
  <c r="AX522" i="28"/>
  <c r="AR522" i="28"/>
  <c r="BH521" i="28"/>
  <c r="BG521" i="28"/>
  <c r="BF521" i="28"/>
  <c r="BD521" i="28"/>
  <c r="BC521" i="28"/>
  <c r="BB521" i="28"/>
  <c r="BA521" i="28"/>
  <c r="AZ521" i="28"/>
  <c r="BE521" i="28"/>
  <c r="AY521" i="28"/>
  <c r="AX521" i="28"/>
  <c r="AR521" i="28"/>
  <c r="BH520" i="28"/>
  <c r="BG520" i="28"/>
  <c r="BF520" i="28"/>
  <c r="BD520" i="28"/>
  <c r="BC520" i="28"/>
  <c r="BB520" i="28"/>
  <c r="BA520" i="28"/>
  <c r="AZ520" i="28"/>
  <c r="BE520" i="28"/>
  <c r="AY520" i="28"/>
  <c r="AX520" i="28"/>
  <c r="AR520" i="28"/>
  <c r="BH519" i="28"/>
  <c r="BG519" i="28"/>
  <c r="BF519" i="28"/>
  <c r="BD519" i="28"/>
  <c r="BC519" i="28"/>
  <c r="BB519" i="28"/>
  <c r="BA519" i="28"/>
  <c r="AZ519" i="28"/>
  <c r="BE519" i="28"/>
  <c r="AY519" i="28"/>
  <c r="AX519" i="28"/>
  <c r="AR519" i="28"/>
  <c r="BH518" i="28"/>
  <c r="BG518" i="28"/>
  <c r="BF518" i="28"/>
  <c r="BD518" i="28"/>
  <c r="BC518" i="28"/>
  <c r="BB518" i="28"/>
  <c r="BA518" i="28"/>
  <c r="AZ518" i="28"/>
  <c r="BE518" i="28"/>
  <c r="AY518" i="28"/>
  <c r="AX518" i="28"/>
  <c r="AR518" i="28"/>
  <c r="BH517" i="28"/>
  <c r="BG517" i="28"/>
  <c r="BF517" i="28"/>
  <c r="BD517" i="28"/>
  <c r="BC517" i="28"/>
  <c r="BB517" i="28"/>
  <c r="BA517" i="28"/>
  <c r="AZ517" i="28"/>
  <c r="BE517" i="28"/>
  <c r="AY517" i="28"/>
  <c r="AX517" i="28"/>
  <c r="AR517" i="28"/>
  <c r="BH516" i="28"/>
  <c r="BG516" i="28"/>
  <c r="BF516" i="28"/>
  <c r="BD516" i="28"/>
  <c r="BC516" i="28"/>
  <c r="BB516" i="28"/>
  <c r="BA516" i="28"/>
  <c r="AZ516" i="28"/>
  <c r="BE516" i="28"/>
  <c r="AY516" i="28"/>
  <c r="AX516" i="28"/>
  <c r="AR516" i="28"/>
  <c r="BH515" i="28"/>
  <c r="BG515" i="28"/>
  <c r="BF515" i="28"/>
  <c r="BD515" i="28"/>
  <c r="BC515" i="28"/>
  <c r="BB515" i="28"/>
  <c r="BA515" i="28"/>
  <c r="AZ515" i="28"/>
  <c r="BE515" i="28"/>
  <c r="AY515" i="28"/>
  <c r="AX515" i="28"/>
  <c r="AR515" i="28"/>
  <c r="BH514" i="28"/>
  <c r="BG514" i="28"/>
  <c r="BF514" i="28"/>
  <c r="BD514" i="28"/>
  <c r="BC514" i="28"/>
  <c r="BB514" i="28"/>
  <c r="BA514" i="28"/>
  <c r="AZ514" i="28"/>
  <c r="BE514" i="28"/>
  <c r="AY514" i="28"/>
  <c r="AX514" i="28"/>
  <c r="AR514" i="28"/>
  <c r="BH513" i="28"/>
  <c r="BG513" i="28"/>
  <c r="BF513" i="28"/>
  <c r="BD513" i="28"/>
  <c r="BC513" i="28"/>
  <c r="BB513" i="28"/>
  <c r="BA513" i="28"/>
  <c r="AZ513" i="28"/>
  <c r="BE513" i="28"/>
  <c r="AY513" i="28"/>
  <c r="AX513" i="28"/>
  <c r="AR513" i="28"/>
  <c r="BH512" i="28"/>
  <c r="BG512" i="28"/>
  <c r="BF512" i="28"/>
  <c r="BD512" i="28"/>
  <c r="BC512" i="28"/>
  <c r="BB512" i="28"/>
  <c r="BA512" i="28"/>
  <c r="AZ512" i="28"/>
  <c r="BE512" i="28"/>
  <c r="AY512" i="28"/>
  <c r="AX512" i="28"/>
  <c r="AR512" i="28"/>
  <c r="AH2" i="28"/>
  <c r="AG2" i="28"/>
  <c r="W2" i="28"/>
  <c r="AY493" i="28"/>
  <c r="BF488" i="28"/>
  <c r="AR511" i="28"/>
  <c r="AR510" i="28"/>
  <c r="AU510" i="28"/>
  <c r="AR509" i="28"/>
  <c r="AR508" i="28"/>
  <c r="AR507" i="28"/>
  <c r="AU507" i="28"/>
  <c r="AR506" i="28"/>
  <c r="AR505" i="28"/>
  <c r="AU505" i="28"/>
  <c r="AR504" i="28"/>
  <c r="AR503" i="28"/>
  <c r="AU503" i="28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100" i="10"/>
  <c r="V100" i="10"/>
  <c r="U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H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U101" i="10"/>
  <c r="W101" i="10"/>
  <c r="U102" i="10"/>
  <c r="W102" i="10"/>
  <c r="U103" i="10"/>
  <c r="W103" i="10"/>
  <c r="U104" i="10"/>
  <c r="W104" i="10"/>
  <c r="U105" i="10"/>
  <c r="W105" i="10"/>
  <c r="U106" i="10"/>
  <c r="W106" i="10"/>
  <c r="U107" i="10"/>
  <c r="W107" i="10"/>
  <c r="U108" i="10"/>
  <c r="W108" i="10"/>
  <c r="U109" i="10"/>
  <c r="W109" i="10"/>
  <c r="U110" i="10"/>
  <c r="W110" i="10"/>
  <c r="U111" i="10"/>
  <c r="W111" i="10"/>
  <c r="U112" i="10"/>
  <c r="W112" i="10"/>
  <c r="U113" i="10"/>
  <c r="W113" i="10"/>
  <c r="U114" i="10"/>
  <c r="W114" i="10"/>
  <c r="U115" i="10"/>
  <c r="W115" i="10"/>
  <c r="U116" i="10"/>
  <c r="W116" i="10"/>
  <c r="U117" i="10"/>
  <c r="W117" i="10"/>
  <c r="U118" i="10"/>
  <c r="W118" i="10"/>
  <c r="U119" i="10"/>
  <c r="W119" i="10"/>
  <c r="U120" i="10"/>
  <c r="W120" i="10"/>
  <c r="U121" i="10"/>
  <c r="W121" i="10"/>
  <c r="U122" i="10"/>
  <c r="W122" i="10"/>
  <c r="U123" i="10"/>
  <c r="W123" i="10"/>
  <c r="U124" i="10"/>
  <c r="W124" i="10"/>
  <c r="U125" i="10"/>
  <c r="W125" i="10"/>
  <c r="U126" i="10"/>
  <c r="W126" i="10"/>
  <c r="U127" i="10"/>
  <c r="W127" i="10"/>
  <c r="U128" i="10"/>
  <c r="W128" i="10"/>
  <c r="U129" i="10"/>
  <c r="W129" i="10"/>
  <c r="U130" i="10"/>
  <c r="W130" i="10"/>
  <c r="U131" i="10"/>
  <c r="W131" i="10"/>
  <c r="U132" i="10"/>
  <c r="W132" i="10"/>
  <c r="U133" i="10"/>
  <c r="W133" i="10"/>
  <c r="U134" i="10"/>
  <c r="W134" i="10"/>
  <c r="U135" i="10"/>
  <c r="W135" i="10"/>
  <c r="U136" i="10"/>
  <c r="W136" i="10"/>
  <c r="U137" i="10"/>
  <c r="W137" i="10"/>
  <c r="U138" i="10"/>
  <c r="W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W320" i="10"/>
  <c r="U321" i="10"/>
  <c r="W321" i="10"/>
  <c r="U322" i="10"/>
  <c r="W322" i="10"/>
  <c r="U323" i="10"/>
  <c r="W323" i="10"/>
  <c r="U324" i="10"/>
  <c r="W324" i="10"/>
  <c r="U325" i="10"/>
  <c r="W325" i="10"/>
  <c r="U326" i="10"/>
  <c r="W326" i="10"/>
  <c r="U327" i="10"/>
  <c r="W327" i="10"/>
  <c r="U328" i="10"/>
  <c r="W328" i="10"/>
  <c r="U329" i="10"/>
  <c r="W329" i="10"/>
  <c r="U330" i="10"/>
  <c r="W330" i="10"/>
  <c r="U331" i="10"/>
  <c r="W331" i="10"/>
  <c r="U332" i="10"/>
  <c r="W332" i="10"/>
  <c r="U333" i="10"/>
  <c r="W333" i="10"/>
  <c r="U334" i="10"/>
  <c r="W334" i="10"/>
  <c r="U335" i="10"/>
  <c r="W335" i="10"/>
  <c r="U336" i="10"/>
  <c r="W336" i="10"/>
  <c r="U337" i="10"/>
  <c r="W337" i="10"/>
  <c r="U338" i="10"/>
  <c r="W338" i="10"/>
  <c r="U339" i="10"/>
  <c r="W339" i="10"/>
  <c r="U340" i="10"/>
  <c r="W340" i="10"/>
  <c r="U341" i="10"/>
  <c r="W341" i="10"/>
  <c r="U342" i="10"/>
  <c r="W342" i="10"/>
  <c r="U343" i="10"/>
  <c r="W343" i="10"/>
  <c r="U344" i="10"/>
  <c r="W344" i="10"/>
  <c r="U345" i="10"/>
  <c r="W345" i="10"/>
  <c r="U346" i="10"/>
  <c r="W346" i="10"/>
  <c r="U347" i="10"/>
  <c r="W347" i="10"/>
  <c r="U348" i="10"/>
  <c r="W348" i="10"/>
  <c r="U349" i="10"/>
  <c r="W349" i="10"/>
  <c r="U350" i="10"/>
  <c r="W350" i="10"/>
  <c r="U351" i="10"/>
  <c r="W351" i="10"/>
  <c r="U352" i="10"/>
  <c r="W352" i="10"/>
  <c r="U353" i="10"/>
  <c r="W353" i="10"/>
  <c r="U354" i="10"/>
  <c r="W354" i="10"/>
  <c r="U355" i="10"/>
  <c r="W355" i="10"/>
  <c r="U356" i="10"/>
  <c r="W356" i="10"/>
  <c r="U357" i="10"/>
  <c r="W357" i="10"/>
  <c r="U358" i="10"/>
  <c r="W358" i="10"/>
  <c r="U359" i="10"/>
  <c r="W359" i="10"/>
  <c r="U360" i="10"/>
  <c r="W360" i="10"/>
  <c r="U361" i="10"/>
  <c r="W361" i="10"/>
  <c r="U362" i="10"/>
  <c r="W362" i="10"/>
  <c r="U363" i="10"/>
  <c r="W363" i="10"/>
  <c r="U364" i="10"/>
  <c r="W364" i="10"/>
  <c r="U365" i="10"/>
  <c r="W365" i="10"/>
  <c r="U366" i="10"/>
  <c r="W366" i="10"/>
  <c r="U367" i="10"/>
  <c r="W367" i="10"/>
  <c r="U368" i="10"/>
  <c r="W368" i="10"/>
  <c r="U369" i="10"/>
  <c r="W369" i="10"/>
  <c r="U370" i="10"/>
  <c r="W370" i="10"/>
  <c r="U371" i="10"/>
  <c r="W371" i="10"/>
  <c r="U372" i="10"/>
  <c r="W372" i="10"/>
  <c r="U373" i="10"/>
  <c r="W373" i="10"/>
  <c r="U374" i="10"/>
  <c r="W374" i="10"/>
  <c r="U375" i="10"/>
  <c r="W375" i="10"/>
  <c r="U376" i="10"/>
  <c r="W376" i="10"/>
  <c r="U377" i="10"/>
  <c r="W377" i="10"/>
  <c r="U378" i="10"/>
  <c r="W378" i="10"/>
  <c r="U379" i="10"/>
  <c r="W379" i="10"/>
  <c r="U380" i="10"/>
  <c r="W380" i="10"/>
  <c r="U381" i="10"/>
  <c r="W381" i="10"/>
  <c r="U382" i="10"/>
  <c r="W382" i="10"/>
  <c r="U383" i="10"/>
  <c r="W383" i="10"/>
  <c r="U384" i="10"/>
  <c r="W384" i="10"/>
  <c r="U385" i="10"/>
  <c r="W385" i="10"/>
  <c r="U386" i="10"/>
  <c r="W386" i="10"/>
  <c r="U387" i="10"/>
  <c r="W387" i="10"/>
  <c r="U388" i="10"/>
  <c r="W388" i="10"/>
  <c r="U389" i="10"/>
  <c r="W389" i="10"/>
  <c r="U390" i="10"/>
  <c r="W390" i="10"/>
  <c r="U391" i="10"/>
  <c r="W391" i="10"/>
  <c r="U392" i="10"/>
  <c r="W392" i="10"/>
  <c r="U393" i="10"/>
  <c r="W393" i="10"/>
  <c r="U394" i="10"/>
  <c r="W394" i="10"/>
  <c r="U395" i="10"/>
  <c r="W395" i="10"/>
  <c r="U396" i="10"/>
  <c r="W396" i="10"/>
  <c r="U397" i="10"/>
  <c r="W397" i="10"/>
  <c r="U398" i="10"/>
  <c r="W398" i="10"/>
  <c r="U399" i="10"/>
  <c r="W399" i="10"/>
  <c r="U400" i="10"/>
  <c r="W400" i="10"/>
  <c r="U401" i="10"/>
  <c r="W401" i="10"/>
  <c r="U402" i="10"/>
  <c r="W402" i="10"/>
  <c r="U403" i="10"/>
  <c r="W403" i="10"/>
  <c r="U404" i="10"/>
  <c r="W404" i="10"/>
  <c r="U405" i="10"/>
  <c r="W405" i="10"/>
  <c r="U406" i="10"/>
  <c r="W406" i="10"/>
  <c r="U407" i="10"/>
  <c r="W407" i="10"/>
  <c r="U408" i="10"/>
  <c r="W408" i="10"/>
  <c r="U409" i="10"/>
  <c r="W409" i="10"/>
  <c r="U410" i="10"/>
  <c r="W410" i="10"/>
  <c r="U411" i="10"/>
  <c r="W411" i="10"/>
  <c r="U412" i="10"/>
  <c r="W412" i="10"/>
  <c r="U413" i="10"/>
  <c r="W413" i="10"/>
  <c r="U414" i="10"/>
  <c r="W414" i="10"/>
  <c r="U415" i="10"/>
  <c r="W415" i="10"/>
  <c r="U416" i="10"/>
  <c r="W416" i="10"/>
  <c r="U417" i="10"/>
  <c r="W417" i="10"/>
  <c r="U418" i="10"/>
  <c r="W418" i="10"/>
  <c r="U419" i="10"/>
  <c r="W419" i="10"/>
  <c r="U420" i="10"/>
  <c r="W420" i="10"/>
  <c r="U421" i="10"/>
  <c r="W421" i="10"/>
  <c r="U422" i="10"/>
  <c r="W422" i="10"/>
  <c r="U423" i="10"/>
  <c r="W423" i="10"/>
  <c r="U424" i="10"/>
  <c r="W424" i="10"/>
  <c r="U425" i="10"/>
  <c r="W425" i="10"/>
  <c r="U426" i="10"/>
  <c r="W426" i="10"/>
  <c r="U427" i="10"/>
  <c r="W427" i="10"/>
  <c r="U428" i="10"/>
  <c r="W428" i="10"/>
  <c r="U429" i="10"/>
  <c r="W429" i="10"/>
  <c r="U430" i="10"/>
  <c r="W430" i="10"/>
  <c r="U431" i="10"/>
  <c r="W431" i="10"/>
  <c r="U432" i="10"/>
  <c r="W432" i="10"/>
  <c r="U433" i="10"/>
  <c r="W433" i="10"/>
  <c r="U434" i="10"/>
  <c r="W434" i="10"/>
  <c r="U435" i="10"/>
  <c r="W435" i="10"/>
  <c r="U436" i="10"/>
  <c r="W436" i="10"/>
  <c r="U437" i="10"/>
  <c r="W437" i="10"/>
  <c r="U438" i="10"/>
  <c r="W438" i="10"/>
  <c r="U439" i="10"/>
  <c r="W439" i="10"/>
  <c r="U440" i="10"/>
  <c r="W440" i="10"/>
  <c r="U441" i="10"/>
  <c r="W441" i="10"/>
  <c r="U442" i="10"/>
  <c r="W442" i="10"/>
  <c r="U443" i="10"/>
  <c r="W443" i="10"/>
  <c r="U444" i="10"/>
  <c r="W444" i="10"/>
  <c r="U445" i="10"/>
  <c r="W445" i="10"/>
  <c r="U446" i="10"/>
  <c r="W446" i="10"/>
  <c r="U447" i="10"/>
  <c r="W447" i="10"/>
  <c r="U448" i="10"/>
  <c r="W448" i="10"/>
  <c r="U449" i="10"/>
  <c r="W449" i="10"/>
  <c r="U450" i="10"/>
  <c r="W450" i="10"/>
  <c r="U451" i="10"/>
  <c r="W451" i="10"/>
  <c r="U452" i="10"/>
  <c r="W452" i="10"/>
  <c r="U453" i="10"/>
  <c r="W453" i="10"/>
  <c r="U454" i="10"/>
  <c r="W454" i="10"/>
  <c r="U455" i="10"/>
  <c r="W455" i="10"/>
  <c r="U456" i="10"/>
  <c r="W456" i="10"/>
  <c r="U457" i="10"/>
  <c r="W457" i="10"/>
  <c r="U458" i="10"/>
  <c r="W458" i="10"/>
  <c r="U459" i="10"/>
  <c r="W459" i="10"/>
  <c r="U460" i="10"/>
  <c r="W460" i="10"/>
  <c r="U461" i="10"/>
  <c r="W461" i="10"/>
  <c r="U462" i="10"/>
  <c r="W462" i="10"/>
  <c r="U463" i="10"/>
  <c r="W463" i="10"/>
  <c r="U464" i="10"/>
  <c r="W464" i="10"/>
  <c r="U465" i="10"/>
  <c r="W465" i="10"/>
  <c r="U466" i="10"/>
  <c r="W466" i="10"/>
  <c r="U467" i="10"/>
  <c r="W467" i="10"/>
  <c r="U468" i="10"/>
  <c r="W468" i="10"/>
  <c r="U469" i="10"/>
  <c r="W469" i="10"/>
  <c r="U470" i="10"/>
  <c r="W470" i="10"/>
  <c r="U471" i="10"/>
  <c r="W471" i="10"/>
  <c r="U472" i="10"/>
  <c r="W472" i="10"/>
  <c r="U473" i="10"/>
  <c r="W473" i="10"/>
  <c r="U474" i="10"/>
  <c r="W474" i="10"/>
  <c r="U475" i="10"/>
  <c r="W475" i="10"/>
  <c r="U476" i="10"/>
  <c r="W476" i="10"/>
  <c r="U477" i="10"/>
  <c r="W477" i="10"/>
  <c r="U478" i="10"/>
  <c r="W478" i="10"/>
  <c r="U479" i="10"/>
  <c r="W479" i="10"/>
  <c r="U480" i="10"/>
  <c r="W480" i="10"/>
  <c r="U481" i="10"/>
  <c r="W481" i="10"/>
  <c r="U482" i="10"/>
  <c r="W482" i="10"/>
  <c r="U483" i="10"/>
  <c r="W483" i="10"/>
  <c r="U484" i="10"/>
  <c r="W484" i="10"/>
  <c r="U485" i="10"/>
  <c r="W485" i="10"/>
  <c r="U486" i="10"/>
  <c r="W486" i="10"/>
  <c r="U487" i="10"/>
  <c r="W487" i="10"/>
  <c r="U488" i="10"/>
  <c r="W488" i="10"/>
  <c r="U489" i="10"/>
  <c r="W489" i="10"/>
  <c r="U490" i="10"/>
  <c r="W490" i="10"/>
  <c r="U491" i="10"/>
  <c r="W491" i="10"/>
  <c r="U492" i="10"/>
  <c r="W492" i="10"/>
  <c r="U493" i="10"/>
  <c r="W493" i="10"/>
  <c r="U494" i="10"/>
  <c r="W494" i="10"/>
  <c r="U495" i="10"/>
  <c r="W495" i="10"/>
  <c r="U496" i="10"/>
  <c r="W496" i="10"/>
  <c r="U497" i="10"/>
  <c r="W497" i="10"/>
  <c r="U498" i="10"/>
  <c r="W498" i="10"/>
  <c r="U499" i="10"/>
  <c r="W499" i="10"/>
  <c r="U500" i="10"/>
  <c r="W500" i="10"/>
  <c r="U501" i="10"/>
  <c r="W501" i="10"/>
  <c r="U502" i="10"/>
  <c r="W502" i="10"/>
  <c r="U503" i="10"/>
  <c r="W503" i="10"/>
  <c r="U504" i="10"/>
  <c r="W504" i="10"/>
  <c r="U505" i="10"/>
  <c r="W505" i="10"/>
  <c r="U506" i="10"/>
  <c r="W506" i="10"/>
  <c r="U507" i="10"/>
  <c r="W507" i="10"/>
  <c r="U508" i="10"/>
  <c r="W508" i="10"/>
  <c r="U509" i="10"/>
  <c r="W509" i="10"/>
  <c r="U510" i="10"/>
  <c r="W510" i="10"/>
  <c r="U511" i="10"/>
  <c r="W511" i="10"/>
  <c r="U512" i="10"/>
  <c r="W512" i="10"/>
  <c r="U513" i="10"/>
  <c r="W513" i="10"/>
  <c r="U514" i="10"/>
  <c r="W514" i="10"/>
  <c r="U515" i="10"/>
  <c r="W515" i="10"/>
  <c r="U516" i="10"/>
  <c r="W516" i="10"/>
  <c r="U517" i="10"/>
  <c r="W517" i="10"/>
  <c r="U518" i="10"/>
  <c r="W518" i="10"/>
  <c r="U519" i="10"/>
  <c r="W519" i="10"/>
  <c r="U520" i="10"/>
  <c r="W520" i="10"/>
  <c r="U521" i="10"/>
  <c r="W521" i="10"/>
  <c r="U522" i="10"/>
  <c r="W522" i="10"/>
  <c r="U523" i="10"/>
  <c r="W523" i="10"/>
  <c r="U524" i="10"/>
  <c r="W524" i="10"/>
  <c r="U525" i="10"/>
  <c r="W525" i="10"/>
  <c r="U526" i="10"/>
  <c r="W526" i="10"/>
  <c r="U527" i="10"/>
  <c r="W527" i="10"/>
  <c r="U528" i="10"/>
  <c r="W528" i="10"/>
  <c r="U529" i="10"/>
  <c r="W529" i="10"/>
  <c r="U530" i="10"/>
  <c r="W530" i="10"/>
  <c r="U531" i="10"/>
  <c r="W531" i="10"/>
  <c r="V2" i="28"/>
  <c r="AR401" i="28"/>
  <c r="AV401" i="28"/>
  <c r="AW401" i="28"/>
  <c r="AX401" i="28"/>
  <c r="AY401" i="28"/>
  <c r="AZ401" i="28"/>
  <c r="BE401" i="28"/>
  <c r="BA401" i="28"/>
  <c r="BB401" i="28"/>
  <c r="BC401" i="28"/>
  <c r="BD401" i="28"/>
  <c r="BF401" i="28"/>
  <c r="BG401" i="28"/>
  <c r="BH401" i="28"/>
  <c r="AR402" i="28"/>
  <c r="AV402" i="28"/>
  <c r="AW402" i="28"/>
  <c r="AX402" i="28"/>
  <c r="AY402" i="28"/>
  <c r="AZ402" i="28"/>
  <c r="BE402" i="28"/>
  <c r="BA402" i="28"/>
  <c r="BB402" i="28"/>
  <c r="BC402" i="28"/>
  <c r="BD402" i="28"/>
  <c r="BF402" i="28"/>
  <c r="BG402" i="28"/>
  <c r="BH402" i="28"/>
  <c r="AR403" i="28"/>
  <c r="AU403" i="28"/>
  <c r="AV403" i="28"/>
  <c r="AW403" i="28"/>
  <c r="AX403" i="28"/>
  <c r="AY403" i="28"/>
  <c r="AZ403" i="28"/>
  <c r="BE403" i="28"/>
  <c r="BA403" i="28"/>
  <c r="BB403" i="28"/>
  <c r="BC403" i="28"/>
  <c r="BD403" i="28"/>
  <c r="BF403" i="28"/>
  <c r="BG403" i="28"/>
  <c r="BH403" i="28"/>
  <c r="AR404" i="28"/>
  <c r="AV404" i="28"/>
  <c r="AW404" i="28"/>
  <c r="AX404" i="28"/>
  <c r="AY404" i="28"/>
  <c r="AZ404" i="28"/>
  <c r="BE404" i="28"/>
  <c r="BA404" i="28"/>
  <c r="BB404" i="28"/>
  <c r="BC404" i="28"/>
  <c r="BD404" i="28"/>
  <c r="BF404" i="28"/>
  <c r="BG404" i="28"/>
  <c r="BH404" i="28"/>
  <c r="AR405" i="28"/>
  <c r="AU405" i="28"/>
  <c r="AV405" i="28"/>
  <c r="AW405" i="28"/>
  <c r="AX405" i="28"/>
  <c r="AY405" i="28"/>
  <c r="AZ405" i="28"/>
  <c r="BE405" i="28"/>
  <c r="BA405" i="28"/>
  <c r="BB405" i="28"/>
  <c r="BC405" i="28"/>
  <c r="BD405" i="28"/>
  <c r="BF405" i="28"/>
  <c r="BG405" i="28"/>
  <c r="BH405" i="28"/>
  <c r="AR406" i="28"/>
  <c r="AV406" i="28"/>
  <c r="AW406" i="28"/>
  <c r="AX406" i="28"/>
  <c r="AY406" i="28"/>
  <c r="AZ406" i="28"/>
  <c r="BE406" i="28"/>
  <c r="BA406" i="28"/>
  <c r="BB406" i="28"/>
  <c r="BC406" i="28"/>
  <c r="BD406" i="28"/>
  <c r="BF406" i="28"/>
  <c r="BG406" i="28"/>
  <c r="BH406" i="28"/>
  <c r="AR407" i="28"/>
  <c r="AT407" i="28"/>
  <c r="AV407" i="28"/>
  <c r="AW407" i="28"/>
  <c r="AX407" i="28"/>
  <c r="AY407" i="28"/>
  <c r="AZ407" i="28"/>
  <c r="BE407" i="28"/>
  <c r="BA407" i="28"/>
  <c r="BB407" i="28"/>
  <c r="BC407" i="28"/>
  <c r="BD407" i="28"/>
  <c r="BF407" i="28"/>
  <c r="BG407" i="28"/>
  <c r="BH407" i="28"/>
  <c r="AR408" i="28"/>
  <c r="AV408" i="28"/>
  <c r="AW408" i="28"/>
  <c r="AX408" i="28"/>
  <c r="AY408" i="28"/>
  <c r="AZ408" i="28"/>
  <c r="BE408" i="28"/>
  <c r="BA408" i="28"/>
  <c r="BB408" i="28"/>
  <c r="BC408" i="28"/>
  <c r="BD408" i="28"/>
  <c r="BF408" i="28"/>
  <c r="BG408" i="28"/>
  <c r="BH408" i="28"/>
  <c r="AR409" i="28"/>
  <c r="AV409" i="28"/>
  <c r="AW409" i="28"/>
  <c r="AX409" i="28"/>
  <c r="AY409" i="28"/>
  <c r="AZ409" i="28"/>
  <c r="BE409" i="28"/>
  <c r="BA409" i="28"/>
  <c r="BB409" i="28"/>
  <c r="BC409" i="28"/>
  <c r="BD409" i="28"/>
  <c r="BF409" i="28"/>
  <c r="BG409" i="28"/>
  <c r="BH409" i="28"/>
  <c r="AR410" i="28"/>
  <c r="AU410" i="28"/>
  <c r="AV410" i="28"/>
  <c r="AW410" i="28"/>
  <c r="AX410" i="28"/>
  <c r="AY410" i="28"/>
  <c r="AZ410" i="28"/>
  <c r="BE410" i="28"/>
  <c r="BA410" i="28"/>
  <c r="BB410" i="28"/>
  <c r="BC410" i="28"/>
  <c r="BD410" i="28"/>
  <c r="BF410" i="28"/>
  <c r="BG410" i="28"/>
  <c r="BH410" i="28"/>
  <c r="AR411" i="28"/>
  <c r="AT411" i="28"/>
  <c r="AV411" i="28"/>
  <c r="AW411" i="28"/>
  <c r="AX411" i="28"/>
  <c r="AY411" i="28"/>
  <c r="AZ411" i="28"/>
  <c r="BE411" i="28"/>
  <c r="BA411" i="28"/>
  <c r="BB411" i="28"/>
  <c r="BC411" i="28"/>
  <c r="BD411" i="28"/>
  <c r="BF411" i="28"/>
  <c r="BG411" i="28"/>
  <c r="BH411" i="28"/>
  <c r="AR412" i="28"/>
  <c r="AV412" i="28"/>
  <c r="AW412" i="28"/>
  <c r="AX412" i="28"/>
  <c r="AY412" i="28"/>
  <c r="AZ412" i="28"/>
  <c r="BE412" i="28"/>
  <c r="BA412" i="28"/>
  <c r="BB412" i="28"/>
  <c r="BC412" i="28"/>
  <c r="BD412" i="28"/>
  <c r="BF412" i="28"/>
  <c r="BG412" i="28"/>
  <c r="BH412" i="28"/>
  <c r="AR413" i="28"/>
  <c r="AS413" i="28"/>
  <c r="AV413" i="28"/>
  <c r="AW413" i="28"/>
  <c r="AX413" i="28"/>
  <c r="AY413" i="28"/>
  <c r="AZ413" i="28"/>
  <c r="BE413" i="28"/>
  <c r="BA413" i="28"/>
  <c r="BB413" i="28"/>
  <c r="BC413" i="28"/>
  <c r="BD413" i="28"/>
  <c r="BF413" i="28"/>
  <c r="BG413" i="28"/>
  <c r="BH413" i="28"/>
  <c r="AR414" i="28"/>
  <c r="AS414" i="28"/>
  <c r="AV414" i="28"/>
  <c r="AW414" i="28"/>
  <c r="AX414" i="28"/>
  <c r="AY414" i="28"/>
  <c r="AZ414" i="28"/>
  <c r="BE414" i="28"/>
  <c r="BA414" i="28"/>
  <c r="BB414" i="28"/>
  <c r="BC414" i="28"/>
  <c r="BD414" i="28"/>
  <c r="BF414" i="28"/>
  <c r="BG414" i="28"/>
  <c r="BH414" i="28"/>
  <c r="AR415" i="28"/>
  <c r="AT415" i="28"/>
  <c r="AV415" i="28"/>
  <c r="AW415" i="28"/>
  <c r="AX415" i="28"/>
  <c r="AY415" i="28"/>
  <c r="AZ415" i="28"/>
  <c r="BE415" i="28"/>
  <c r="BA415" i="28"/>
  <c r="BB415" i="28"/>
  <c r="BC415" i="28"/>
  <c r="BD415" i="28"/>
  <c r="BF415" i="28"/>
  <c r="BG415" i="28"/>
  <c r="BH415" i="28"/>
  <c r="AR416" i="28"/>
  <c r="AU416" i="28"/>
  <c r="AV416" i="28"/>
  <c r="AW416" i="28"/>
  <c r="AX416" i="28"/>
  <c r="AY416" i="28"/>
  <c r="AZ416" i="28"/>
  <c r="BE416" i="28"/>
  <c r="BA416" i="28"/>
  <c r="BB416" i="28"/>
  <c r="BC416" i="28"/>
  <c r="BD416" i="28"/>
  <c r="BF416" i="28"/>
  <c r="BG416" i="28"/>
  <c r="BH416" i="28"/>
  <c r="AR417" i="28"/>
  <c r="AU417" i="28"/>
  <c r="AV417" i="28"/>
  <c r="AW417" i="28"/>
  <c r="AX417" i="28"/>
  <c r="AY417" i="28"/>
  <c r="AZ417" i="28"/>
  <c r="BE417" i="28"/>
  <c r="BA417" i="28"/>
  <c r="BB417" i="28"/>
  <c r="BC417" i="28"/>
  <c r="BD417" i="28"/>
  <c r="BF417" i="28"/>
  <c r="BG417" i="28"/>
  <c r="BH417" i="28"/>
  <c r="AR418" i="28"/>
  <c r="AV418" i="28"/>
  <c r="AW418" i="28"/>
  <c r="AX418" i="28"/>
  <c r="AY418" i="28"/>
  <c r="AZ418" i="28"/>
  <c r="BE418" i="28"/>
  <c r="BA418" i="28"/>
  <c r="BB418" i="28"/>
  <c r="BC418" i="28"/>
  <c r="BD418" i="28"/>
  <c r="BF418" i="28"/>
  <c r="BG418" i="28"/>
  <c r="BH418" i="28"/>
  <c r="AR419" i="28"/>
  <c r="AV419" i="28"/>
  <c r="AW419" i="28"/>
  <c r="AX419" i="28"/>
  <c r="AY419" i="28"/>
  <c r="AZ419" i="28"/>
  <c r="BE419" i="28"/>
  <c r="BA419" i="28"/>
  <c r="BB419" i="28"/>
  <c r="BC419" i="28"/>
  <c r="BD419" i="28"/>
  <c r="BF419" i="28"/>
  <c r="BG419" i="28"/>
  <c r="BH419" i="28"/>
  <c r="AR420" i="28"/>
  <c r="AT420" i="28"/>
  <c r="AV420" i="28"/>
  <c r="AW420" i="28"/>
  <c r="AX420" i="28"/>
  <c r="AY420" i="28"/>
  <c r="AZ420" i="28"/>
  <c r="BE420" i="28"/>
  <c r="BA420" i="28"/>
  <c r="BB420" i="28"/>
  <c r="BC420" i="28"/>
  <c r="BD420" i="28"/>
  <c r="BF420" i="28"/>
  <c r="BG420" i="28"/>
  <c r="BH420" i="28"/>
  <c r="AR421" i="28"/>
  <c r="AS421" i="28"/>
  <c r="AV421" i="28"/>
  <c r="AW421" i="28"/>
  <c r="AX421" i="28"/>
  <c r="AY421" i="28"/>
  <c r="AZ421" i="28"/>
  <c r="BE421" i="28"/>
  <c r="BA421" i="28"/>
  <c r="BB421" i="28"/>
  <c r="BC421" i="28"/>
  <c r="BD421" i="28"/>
  <c r="BF421" i="28"/>
  <c r="BG421" i="28"/>
  <c r="BH421" i="28"/>
  <c r="AR422" i="28"/>
  <c r="AT422" i="28"/>
  <c r="AV422" i="28"/>
  <c r="AW422" i="28"/>
  <c r="AX422" i="28"/>
  <c r="AY422" i="28"/>
  <c r="AZ422" i="28"/>
  <c r="BE422" i="28"/>
  <c r="BA422" i="28"/>
  <c r="BB422" i="28"/>
  <c r="BC422" i="28"/>
  <c r="BD422" i="28"/>
  <c r="BF422" i="28"/>
  <c r="BG422" i="28"/>
  <c r="BH422" i="28"/>
  <c r="AR423" i="28"/>
  <c r="AS423" i="28"/>
  <c r="AV423" i="28"/>
  <c r="AW423" i="28"/>
  <c r="AX423" i="28"/>
  <c r="AY423" i="28"/>
  <c r="AZ423" i="28"/>
  <c r="BE423" i="28"/>
  <c r="BA423" i="28"/>
  <c r="BB423" i="28"/>
  <c r="BC423" i="28"/>
  <c r="BD423" i="28"/>
  <c r="BF423" i="28"/>
  <c r="BG423" i="28"/>
  <c r="BH423" i="28"/>
  <c r="AR424" i="28"/>
  <c r="AT424" i="28"/>
  <c r="AV424" i="28"/>
  <c r="AW424" i="28"/>
  <c r="AX424" i="28"/>
  <c r="AY424" i="28"/>
  <c r="AZ424" i="28"/>
  <c r="BE424" i="28"/>
  <c r="BA424" i="28"/>
  <c r="BB424" i="28"/>
  <c r="BC424" i="28"/>
  <c r="BD424" i="28"/>
  <c r="BF424" i="28"/>
  <c r="BG424" i="28"/>
  <c r="BH424" i="28"/>
  <c r="AR425" i="28"/>
  <c r="AS425" i="28"/>
  <c r="AV425" i="28"/>
  <c r="AW425" i="28"/>
  <c r="AX425" i="28"/>
  <c r="AY425" i="28"/>
  <c r="AZ425" i="28"/>
  <c r="BE425" i="28"/>
  <c r="BA425" i="28"/>
  <c r="BB425" i="28"/>
  <c r="BC425" i="28"/>
  <c r="BD425" i="28"/>
  <c r="BF425" i="28"/>
  <c r="BG425" i="28"/>
  <c r="BH425" i="28"/>
  <c r="AR426" i="28"/>
  <c r="AV426" i="28"/>
  <c r="AW426" i="28"/>
  <c r="AX426" i="28"/>
  <c r="AY426" i="28"/>
  <c r="AZ426" i="28"/>
  <c r="BE426" i="28"/>
  <c r="BA426" i="28"/>
  <c r="BB426" i="28"/>
  <c r="BC426" i="28"/>
  <c r="BD426" i="28"/>
  <c r="BF426" i="28"/>
  <c r="BG426" i="28"/>
  <c r="BH426" i="28"/>
  <c r="AR427" i="28"/>
  <c r="AV427" i="28"/>
  <c r="AW427" i="28"/>
  <c r="AX427" i="28"/>
  <c r="AY427" i="28"/>
  <c r="AZ427" i="28"/>
  <c r="BE427" i="28"/>
  <c r="BA427" i="28"/>
  <c r="BB427" i="28"/>
  <c r="BC427" i="28"/>
  <c r="BD427" i="28"/>
  <c r="BF427" i="28"/>
  <c r="BG427" i="28"/>
  <c r="BH427" i="28"/>
  <c r="AR428" i="28"/>
  <c r="AS428" i="28"/>
  <c r="AV428" i="28"/>
  <c r="AW428" i="28"/>
  <c r="AX428" i="28"/>
  <c r="AY428" i="28"/>
  <c r="AZ428" i="28"/>
  <c r="BE428" i="28"/>
  <c r="BA428" i="28"/>
  <c r="BB428" i="28"/>
  <c r="BC428" i="28"/>
  <c r="BD428" i="28"/>
  <c r="BF428" i="28"/>
  <c r="BG428" i="28"/>
  <c r="BH428" i="28"/>
  <c r="AR429" i="28"/>
  <c r="AV429" i="28"/>
  <c r="AW429" i="28"/>
  <c r="AX429" i="28"/>
  <c r="AY429" i="28"/>
  <c r="AZ429" i="28"/>
  <c r="BE429" i="28"/>
  <c r="BA429" i="28"/>
  <c r="BB429" i="28"/>
  <c r="BC429" i="28"/>
  <c r="BD429" i="28"/>
  <c r="BF429" i="28"/>
  <c r="BG429" i="28"/>
  <c r="BH429" i="28"/>
  <c r="AR430" i="28"/>
  <c r="AS430" i="28"/>
  <c r="AV430" i="28"/>
  <c r="AW430" i="28"/>
  <c r="AX430" i="28"/>
  <c r="AY430" i="28"/>
  <c r="AZ430" i="28"/>
  <c r="BE430" i="28"/>
  <c r="BA430" i="28"/>
  <c r="BB430" i="28"/>
  <c r="BC430" i="28"/>
  <c r="BD430" i="28"/>
  <c r="BF430" i="28"/>
  <c r="BG430" i="28"/>
  <c r="BH430" i="28"/>
  <c r="AR431" i="28"/>
  <c r="AV431" i="28"/>
  <c r="AW431" i="28"/>
  <c r="AX431" i="28"/>
  <c r="AY431" i="28"/>
  <c r="AZ431" i="28"/>
  <c r="BE431" i="28"/>
  <c r="BA431" i="28"/>
  <c r="BB431" i="28"/>
  <c r="BC431" i="28"/>
  <c r="BD431" i="28"/>
  <c r="BF431" i="28"/>
  <c r="BG431" i="28"/>
  <c r="BH431" i="28"/>
  <c r="AR432" i="28"/>
  <c r="AV432" i="28"/>
  <c r="AW432" i="28"/>
  <c r="AX432" i="28"/>
  <c r="AY432" i="28"/>
  <c r="AZ432" i="28"/>
  <c r="BE432" i="28"/>
  <c r="BA432" i="28"/>
  <c r="BB432" i="28"/>
  <c r="BC432" i="28"/>
  <c r="BD432" i="28"/>
  <c r="BF432" i="28"/>
  <c r="BG432" i="28"/>
  <c r="BH432" i="28"/>
  <c r="AR433" i="28"/>
  <c r="AS433" i="28"/>
  <c r="AV433" i="28"/>
  <c r="AW433" i="28"/>
  <c r="AX433" i="28"/>
  <c r="AY433" i="28"/>
  <c r="AZ433" i="28"/>
  <c r="BE433" i="28"/>
  <c r="BA433" i="28"/>
  <c r="BB433" i="28"/>
  <c r="BC433" i="28"/>
  <c r="BD433" i="28"/>
  <c r="BF433" i="28"/>
  <c r="BG433" i="28"/>
  <c r="BH433" i="28"/>
  <c r="AR434" i="28"/>
  <c r="AT434" i="28"/>
  <c r="AV434" i="28"/>
  <c r="AW434" i="28"/>
  <c r="AX434" i="28"/>
  <c r="AY434" i="28"/>
  <c r="AZ434" i="28"/>
  <c r="BE434" i="28"/>
  <c r="BA434" i="28"/>
  <c r="BB434" i="28"/>
  <c r="BC434" i="28"/>
  <c r="BD434" i="28"/>
  <c r="BF434" i="28"/>
  <c r="BG434" i="28"/>
  <c r="BH434" i="28"/>
  <c r="AR435" i="28"/>
  <c r="AS435" i="28"/>
  <c r="AV435" i="28"/>
  <c r="AW435" i="28"/>
  <c r="AX435" i="28"/>
  <c r="AY435" i="28"/>
  <c r="AZ435" i="28"/>
  <c r="BE435" i="28"/>
  <c r="BA435" i="28"/>
  <c r="BB435" i="28"/>
  <c r="BC435" i="28"/>
  <c r="BD435" i="28"/>
  <c r="BF435" i="28"/>
  <c r="BG435" i="28"/>
  <c r="BH435" i="28"/>
  <c r="AR436" i="28"/>
  <c r="AV436" i="28"/>
  <c r="AW436" i="28"/>
  <c r="AX436" i="28"/>
  <c r="AY436" i="28"/>
  <c r="AZ436" i="28"/>
  <c r="BE436" i="28"/>
  <c r="BA436" i="28"/>
  <c r="BB436" i="28"/>
  <c r="BC436" i="28"/>
  <c r="BD436" i="28"/>
  <c r="BF436" i="28"/>
  <c r="BG436" i="28"/>
  <c r="BH436" i="28"/>
  <c r="AR437" i="28"/>
  <c r="AT437" i="28"/>
  <c r="AV437" i="28"/>
  <c r="AW437" i="28"/>
  <c r="AX437" i="28"/>
  <c r="AY437" i="28"/>
  <c r="AZ437" i="28"/>
  <c r="BE437" i="28"/>
  <c r="BA437" i="28"/>
  <c r="BB437" i="28"/>
  <c r="BC437" i="28"/>
  <c r="BD437" i="28"/>
  <c r="BF437" i="28"/>
  <c r="BG437" i="28"/>
  <c r="BH437" i="28"/>
  <c r="AR438" i="28"/>
  <c r="AU438" i="28"/>
  <c r="AV438" i="28"/>
  <c r="AW438" i="28"/>
  <c r="AX438" i="28"/>
  <c r="AY438" i="28"/>
  <c r="AZ438" i="28"/>
  <c r="BE438" i="28"/>
  <c r="BA438" i="28"/>
  <c r="BB438" i="28"/>
  <c r="BC438" i="28"/>
  <c r="BD438" i="28"/>
  <c r="BF438" i="28"/>
  <c r="BG438" i="28"/>
  <c r="BH438" i="28"/>
  <c r="AR439" i="28"/>
  <c r="AU439" i="28"/>
  <c r="AV439" i="28"/>
  <c r="AW439" i="28"/>
  <c r="AX439" i="28"/>
  <c r="AY439" i="28"/>
  <c r="AZ439" i="28"/>
  <c r="BE439" i="28"/>
  <c r="BA439" i="28"/>
  <c r="BB439" i="28"/>
  <c r="BC439" i="28"/>
  <c r="BD439" i="28"/>
  <c r="BF439" i="28"/>
  <c r="BG439" i="28"/>
  <c r="BH439" i="28"/>
  <c r="AR440" i="28"/>
  <c r="AV440" i="28"/>
  <c r="AW440" i="28"/>
  <c r="AX440" i="28"/>
  <c r="AY440" i="28"/>
  <c r="AZ440" i="28"/>
  <c r="BE440" i="28"/>
  <c r="BA440" i="28"/>
  <c r="BB440" i="28"/>
  <c r="BC440" i="28"/>
  <c r="BD440" i="28"/>
  <c r="BF440" i="28"/>
  <c r="BG440" i="28"/>
  <c r="BH440" i="28"/>
  <c r="AR441" i="28"/>
  <c r="AV441" i="28"/>
  <c r="AW441" i="28"/>
  <c r="AX441" i="28"/>
  <c r="AY441" i="28"/>
  <c r="AZ441" i="28"/>
  <c r="BE441" i="28"/>
  <c r="BA441" i="28"/>
  <c r="BB441" i="28"/>
  <c r="BC441" i="28"/>
  <c r="BD441" i="28"/>
  <c r="BF441" i="28"/>
  <c r="BG441" i="28"/>
  <c r="BH441" i="28"/>
  <c r="AR442" i="28"/>
  <c r="AU442" i="28"/>
  <c r="AV442" i="28"/>
  <c r="AW442" i="28"/>
  <c r="AX442" i="28"/>
  <c r="AY442" i="28"/>
  <c r="AZ442" i="28"/>
  <c r="BE442" i="28"/>
  <c r="BA442" i="28"/>
  <c r="BB442" i="28"/>
  <c r="BC442" i="28"/>
  <c r="BD442" i="28"/>
  <c r="BF442" i="28"/>
  <c r="BG442" i="28"/>
  <c r="BH442" i="28"/>
  <c r="AR443" i="28"/>
  <c r="AV443" i="28"/>
  <c r="AW443" i="28"/>
  <c r="AX443" i="28"/>
  <c r="AY443" i="28"/>
  <c r="AZ443" i="28"/>
  <c r="BE443" i="28"/>
  <c r="BA443" i="28"/>
  <c r="BB443" i="28"/>
  <c r="BC443" i="28"/>
  <c r="BD443" i="28"/>
  <c r="BF443" i="28"/>
  <c r="BG443" i="28"/>
  <c r="BH443" i="28"/>
  <c r="AR444" i="28"/>
  <c r="AU444" i="28"/>
  <c r="AV444" i="28"/>
  <c r="AW444" i="28"/>
  <c r="AX444" i="28"/>
  <c r="AY444" i="28"/>
  <c r="AZ444" i="28"/>
  <c r="BE444" i="28"/>
  <c r="BA444" i="28"/>
  <c r="BB444" i="28"/>
  <c r="BC444" i="28"/>
  <c r="BD444" i="28"/>
  <c r="BF444" i="28"/>
  <c r="BG444" i="28"/>
  <c r="BH444" i="28"/>
  <c r="AR445" i="28"/>
  <c r="AV445" i="28"/>
  <c r="AW445" i="28"/>
  <c r="AX445" i="28"/>
  <c r="AY445" i="28"/>
  <c r="AZ445" i="28"/>
  <c r="BE445" i="28"/>
  <c r="BA445" i="28"/>
  <c r="BB445" i="28"/>
  <c r="BC445" i="28"/>
  <c r="BD445" i="28"/>
  <c r="BF445" i="28"/>
  <c r="BG445" i="28"/>
  <c r="BH445" i="28"/>
  <c r="AR446" i="28"/>
  <c r="AU446" i="28"/>
  <c r="AV446" i="28"/>
  <c r="AW446" i="28"/>
  <c r="AX446" i="28"/>
  <c r="AY446" i="28"/>
  <c r="AZ446" i="28"/>
  <c r="BE446" i="28"/>
  <c r="BA446" i="28"/>
  <c r="BB446" i="28"/>
  <c r="BC446" i="28"/>
  <c r="BD446" i="28"/>
  <c r="BF446" i="28"/>
  <c r="BG446" i="28"/>
  <c r="BH446" i="28"/>
  <c r="AR447" i="28"/>
  <c r="AV447" i="28"/>
  <c r="AW447" i="28"/>
  <c r="AX447" i="28"/>
  <c r="AY447" i="28"/>
  <c r="AZ447" i="28"/>
  <c r="BE447" i="28"/>
  <c r="BA447" i="28"/>
  <c r="BB447" i="28"/>
  <c r="BC447" i="28"/>
  <c r="BD447" i="28"/>
  <c r="BF447" i="28"/>
  <c r="BG447" i="28"/>
  <c r="BH447" i="28"/>
  <c r="AR448" i="28"/>
  <c r="AU448" i="28"/>
  <c r="AV448" i="28"/>
  <c r="AW448" i="28"/>
  <c r="AX448" i="28"/>
  <c r="AY448" i="28"/>
  <c r="AZ448" i="28"/>
  <c r="BE448" i="28"/>
  <c r="BA448" i="28"/>
  <c r="BB448" i="28"/>
  <c r="BC448" i="28"/>
  <c r="BD448" i="28"/>
  <c r="BF448" i="28"/>
  <c r="BG448" i="28"/>
  <c r="BH448" i="28"/>
  <c r="AR449" i="28"/>
  <c r="AV449" i="28"/>
  <c r="AW449" i="28"/>
  <c r="AX449" i="28"/>
  <c r="AY449" i="28"/>
  <c r="AZ449" i="28"/>
  <c r="BE449" i="28"/>
  <c r="BA449" i="28"/>
  <c r="BB449" i="28"/>
  <c r="BC449" i="28"/>
  <c r="BD449" i="28"/>
  <c r="BF449" i="28"/>
  <c r="BG449" i="28"/>
  <c r="BH449" i="28"/>
  <c r="AR450" i="28"/>
  <c r="AV450" i="28"/>
  <c r="AW450" i="28"/>
  <c r="AX450" i="28"/>
  <c r="AY450" i="28"/>
  <c r="AZ450" i="28"/>
  <c r="BE450" i="28"/>
  <c r="BA450" i="28"/>
  <c r="BB450" i="28"/>
  <c r="BC450" i="28"/>
  <c r="BD450" i="28"/>
  <c r="BF450" i="28"/>
  <c r="BG450" i="28"/>
  <c r="BH450" i="28"/>
  <c r="AR451" i="28"/>
  <c r="AV451" i="28"/>
  <c r="AW451" i="28"/>
  <c r="AX451" i="28"/>
  <c r="AY451" i="28"/>
  <c r="AZ451" i="28"/>
  <c r="BE451" i="28"/>
  <c r="BA451" i="28"/>
  <c r="BB451" i="28"/>
  <c r="BC451" i="28"/>
  <c r="BD451" i="28"/>
  <c r="BF451" i="28"/>
  <c r="BG451" i="28"/>
  <c r="BH451" i="28"/>
  <c r="AR452" i="28"/>
  <c r="AU452" i="28"/>
  <c r="AV452" i="28"/>
  <c r="AW452" i="28"/>
  <c r="AX452" i="28"/>
  <c r="AY452" i="28"/>
  <c r="AZ452" i="28"/>
  <c r="BE452" i="28"/>
  <c r="BA452" i="28"/>
  <c r="BB452" i="28"/>
  <c r="BC452" i="28"/>
  <c r="BD452" i="28"/>
  <c r="BF452" i="28"/>
  <c r="BG452" i="28"/>
  <c r="BH452" i="28"/>
  <c r="AR453" i="28"/>
  <c r="AU453" i="28"/>
  <c r="AV453" i="28"/>
  <c r="AW453" i="28"/>
  <c r="AX453" i="28"/>
  <c r="AY453" i="28"/>
  <c r="AZ453" i="28"/>
  <c r="BE453" i="28"/>
  <c r="BA453" i="28"/>
  <c r="BB453" i="28"/>
  <c r="BC453" i="28"/>
  <c r="BD453" i="28"/>
  <c r="BF453" i="28"/>
  <c r="BG453" i="28"/>
  <c r="BH453" i="28"/>
  <c r="AR454" i="28"/>
  <c r="AV454" i="28"/>
  <c r="AW454" i="28"/>
  <c r="AX454" i="28"/>
  <c r="AY454" i="28"/>
  <c r="AZ454" i="28"/>
  <c r="BE454" i="28"/>
  <c r="BA454" i="28"/>
  <c r="BB454" i="28"/>
  <c r="BC454" i="28"/>
  <c r="BD454" i="28"/>
  <c r="BF454" i="28"/>
  <c r="BG454" i="28"/>
  <c r="BH454" i="28"/>
  <c r="AR455" i="28"/>
  <c r="AU455" i="28"/>
  <c r="AV455" i="28"/>
  <c r="AW455" i="28"/>
  <c r="AX455" i="28"/>
  <c r="AY455" i="28"/>
  <c r="AZ455" i="28"/>
  <c r="BE455" i="28"/>
  <c r="BA455" i="28"/>
  <c r="BB455" i="28"/>
  <c r="BC455" i="28"/>
  <c r="BD455" i="28"/>
  <c r="BF455" i="28"/>
  <c r="BG455" i="28"/>
  <c r="BH455" i="28"/>
  <c r="AR456" i="28"/>
  <c r="AV456" i="28"/>
  <c r="AW456" i="28"/>
  <c r="AX456" i="28"/>
  <c r="AY456" i="28"/>
  <c r="AZ456" i="28"/>
  <c r="BE456" i="28"/>
  <c r="BA456" i="28"/>
  <c r="BB456" i="28"/>
  <c r="BC456" i="28"/>
  <c r="BD456" i="28"/>
  <c r="BF456" i="28"/>
  <c r="BG456" i="28"/>
  <c r="BH456" i="28"/>
  <c r="AR457" i="28"/>
  <c r="AV457" i="28"/>
  <c r="AW457" i="28"/>
  <c r="AX457" i="28"/>
  <c r="AY457" i="28"/>
  <c r="AZ457" i="28"/>
  <c r="BE457" i="28"/>
  <c r="BA457" i="28"/>
  <c r="BB457" i="28"/>
  <c r="BC457" i="28"/>
  <c r="BD457" i="28"/>
  <c r="BF457" i="28"/>
  <c r="BG457" i="28"/>
  <c r="BH457" i="28"/>
  <c r="AR458" i="28"/>
  <c r="AV458" i="28"/>
  <c r="AW458" i="28"/>
  <c r="AX458" i="28"/>
  <c r="AY458" i="28"/>
  <c r="AZ458" i="28"/>
  <c r="BE458" i="28"/>
  <c r="BA458" i="28"/>
  <c r="BB458" i="28"/>
  <c r="BC458" i="28"/>
  <c r="BD458" i="28"/>
  <c r="BF458" i="28"/>
  <c r="BG458" i="28"/>
  <c r="BH458" i="28"/>
  <c r="AR459" i="28"/>
  <c r="AV459" i="28"/>
  <c r="AW459" i="28"/>
  <c r="AX459" i="28"/>
  <c r="AY459" i="28"/>
  <c r="AZ459" i="28"/>
  <c r="BE459" i="28"/>
  <c r="BA459" i="28"/>
  <c r="BB459" i="28"/>
  <c r="BC459" i="28"/>
  <c r="BD459" i="28"/>
  <c r="BF459" i="28"/>
  <c r="BG459" i="28"/>
  <c r="BH459" i="28"/>
  <c r="AR460" i="28"/>
  <c r="AV460" i="28"/>
  <c r="AW460" i="28"/>
  <c r="AX460" i="28"/>
  <c r="AY460" i="28"/>
  <c r="AZ460" i="28"/>
  <c r="BE460" i="28"/>
  <c r="BA460" i="28"/>
  <c r="BB460" i="28"/>
  <c r="BC460" i="28"/>
  <c r="BD460" i="28"/>
  <c r="BF460" i="28"/>
  <c r="BG460" i="28"/>
  <c r="BH460" i="28"/>
  <c r="AR461" i="28"/>
  <c r="AV461" i="28"/>
  <c r="AW461" i="28"/>
  <c r="AX461" i="28"/>
  <c r="AY461" i="28"/>
  <c r="AZ461" i="28"/>
  <c r="BE461" i="28"/>
  <c r="BA461" i="28"/>
  <c r="BB461" i="28"/>
  <c r="BC461" i="28"/>
  <c r="BD461" i="28"/>
  <c r="BF461" i="28"/>
  <c r="BG461" i="28"/>
  <c r="BH461" i="28"/>
  <c r="AR462" i="28"/>
  <c r="AU462" i="28"/>
  <c r="AV462" i="28"/>
  <c r="AW462" i="28"/>
  <c r="AX462" i="28"/>
  <c r="AY462" i="28"/>
  <c r="AZ462" i="28"/>
  <c r="BE462" i="28"/>
  <c r="BA462" i="28"/>
  <c r="BB462" i="28"/>
  <c r="BC462" i="28"/>
  <c r="BD462" i="28"/>
  <c r="BF462" i="28"/>
  <c r="BG462" i="28"/>
  <c r="BH462" i="28"/>
  <c r="AR463" i="28"/>
  <c r="AV463" i="28"/>
  <c r="AW463" i="28"/>
  <c r="AX463" i="28"/>
  <c r="AY463" i="28"/>
  <c r="AZ463" i="28"/>
  <c r="BE463" i="28"/>
  <c r="BA463" i="28"/>
  <c r="BB463" i="28"/>
  <c r="BC463" i="28"/>
  <c r="BD463" i="28"/>
  <c r="BF463" i="28"/>
  <c r="BG463" i="28"/>
  <c r="BH463" i="28"/>
  <c r="AR464" i="28"/>
  <c r="AV464" i="28"/>
  <c r="AW464" i="28"/>
  <c r="AX464" i="28"/>
  <c r="AY464" i="28"/>
  <c r="AZ464" i="28"/>
  <c r="BE464" i="28"/>
  <c r="BA464" i="28"/>
  <c r="BB464" i="28"/>
  <c r="BC464" i="28"/>
  <c r="BD464" i="28"/>
  <c r="BF464" i="28"/>
  <c r="BG464" i="28"/>
  <c r="BH464" i="28"/>
  <c r="AR465" i="28"/>
  <c r="AV465" i="28"/>
  <c r="AW465" i="28"/>
  <c r="AX465" i="28"/>
  <c r="AY465" i="28"/>
  <c r="AZ465" i="28"/>
  <c r="BE465" i="28"/>
  <c r="BA465" i="28"/>
  <c r="BB465" i="28"/>
  <c r="BC465" i="28"/>
  <c r="BD465" i="28"/>
  <c r="BF465" i="28"/>
  <c r="BG465" i="28"/>
  <c r="BH465" i="28"/>
  <c r="AR466" i="28"/>
  <c r="AV466" i="28"/>
  <c r="AW466" i="28"/>
  <c r="AX466" i="28"/>
  <c r="AY466" i="28"/>
  <c r="AZ466" i="28"/>
  <c r="BE466" i="28"/>
  <c r="BA466" i="28"/>
  <c r="BB466" i="28"/>
  <c r="BC466" i="28"/>
  <c r="BD466" i="28"/>
  <c r="BF466" i="28"/>
  <c r="BG466" i="28"/>
  <c r="BH466" i="28"/>
  <c r="AR467" i="28"/>
  <c r="AV467" i="28"/>
  <c r="AW467" i="28"/>
  <c r="AX467" i="28"/>
  <c r="AY467" i="28"/>
  <c r="AZ467" i="28"/>
  <c r="BE467" i="28"/>
  <c r="BA467" i="28"/>
  <c r="BB467" i="28"/>
  <c r="BC467" i="28"/>
  <c r="BD467" i="28"/>
  <c r="BF467" i="28"/>
  <c r="BG467" i="28"/>
  <c r="BH467" i="28"/>
  <c r="AR468" i="28"/>
  <c r="AV468" i="28"/>
  <c r="AW468" i="28"/>
  <c r="AX468" i="28"/>
  <c r="AY468" i="28"/>
  <c r="AZ468" i="28"/>
  <c r="BE468" i="28"/>
  <c r="BA468" i="28"/>
  <c r="BB468" i="28"/>
  <c r="BC468" i="28"/>
  <c r="BD468" i="28"/>
  <c r="BF468" i="28"/>
  <c r="BG468" i="28"/>
  <c r="BH468" i="28"/>
  <c r="AR469" i="28"/>
  <c r="AV469" i="28"/>
  <c r="AW469" i="28"/>
  <c r="AX469" i="28"/>
  <c r="AY469" i="28"/>
  <c r="AZ469" i="28"/>
  <c r="BE469" i="28"/>
  <c r="BA469" i="28"/>
  <c r="BB469" i="28"/>
  <c r="BC469" i="28"/>
  <c r="BD469" i="28"/>
  <c r="BF469" i="28"/>
  <c r="BG469" i="28"/>
  <c r="BH469" i="28"/>
  <c r="AR470" i="28"/>
  <c r="AV470" i="28"/>
  <c r="AW470" i="28"/>
  <c r="AX470" i="28"/>
  <c r="AY470" i="28"/>
  <c r="AZ470" i="28"/>
  <c r="BE470" i="28"/>
  <c r="BA470" i="28"/>
  <c r="BB470" i="28"/>
  <c r="BC470" i="28"/>
  <c r="BD470" i="28"/>
  <c r="BF470" i="28"/>
  <c r="BG470" i="28"/>
  <c r="BH470" i="28"/>
  <c r="AR471" i="28"/>
  <c r="AV471" i="28"/>
  <c r="AW471" i="28"/>
  <c r="AX471" i="28"/>
  <c r="AY471" i="28"/>
  <c r="AZ471" i="28"/>
  <c r="BE471" i="28"/>
  <c r="BA471" i="28"/>
  <c r="BB471" i="28"/>
  <c r="BC471" i="28"/>
  <c r="BD471" i="28"/>
  <c r="BF471" i="28"/>
  <c r="BG471" i="28"/>
  <c r="BH471" i="28"/>
  <c r="AR472" i="28"/>
  <c r="AV472" i="28"/>
  <c r="AW472" i="28"/>
  <c r="AX472" i="28"/>
  <c r="AY472" i="28"/>
  <c r="AZ472" i="28"/>
  <c r="BE472" i="28"/>
  <c r="BA472" i="28"/>
  <c r="BB472" i="28"/>
  <c r="BC472" i="28"/>
  <c r="BD472" i="28"/>
  <c r="BF472" i="28"/>
  <c r="BG472" i="28"/>
  <c r="BH472" i="28"/>
  <c r="AR473" i="28"/>
  <c r="AS473" i="28"/>
  <c r="AV473" i="28"/>
  <c r="AW473" i="28"/>
  <c r="AX473" i="28"/>
  <c r="AY473" i="28"/>
  <c r="AZ473" i="28"/>
  <c r="BE473" i="28"/>
  <c r="BA473" i="28"/>
  <c r="BB473" i="28"/>
  <c r="BC473" i="28"/>
  <c r="BD473" i="28"/>
  <c r="BF473" i="28"/>
  <c r="BG473" i="28"/>
  <c r="BH473" i="28"/>
  <c r="AR474" i="28"/>
  <c r="AV474" i="28"/>
  <c r="AW474" i="28"/>
  <c r="AX474" i="28"/>
  <c r="AY474" i="28"/>
  <c r="AZ474" i="28"/>
  <c r="BE474" i="28"/>
  <c r="BA474" i="28"/>
  <c r="BB474" i="28"/>
  <c r="BC474" i="28"/>
  <c r="BD474" i="28"/>
  <c r="BF474" i="28"/>
  <c r="BG474" i="28"/>
  <c r="BH474" i="28"/>
  <c r="AR475" i="28"/>
  <c r="AV475" i="28"/>
  <c r="AW475" i="28"/>
  <c r="AX475" i="28"/>
  <c r="AY475" i="28"/>
  <c r="AZ475" i="28"/>
  <c r="BE475" i="28"/>
  <c r="BA475" i="28"/>
  <c r="BB475" i="28"/>
  <c r="BC475" i="28"/>
  <c r="BD475" i="28"/>
  <c r="BF475" i="28"/>
  <c r="BG475" i="28"/>
  <c r="BH475" i="28"/>
  <c r="AR476" i="28"/>
  <c r="AV476" i="28"/>
  <c r="AW476" i="28"/>
  <c r="AX476" i="28"/>
  <c r="AY476" i="28"/>
  <c r="AZ476" i="28"/>
  <c r="BE476" i="28"/>
  <c r="BA476" i="28"/>
  <c r="BB476" i="28"/>
  <c r="BC476" i="28"/>
  <c r="BD476" i="28"/>
  <c r="BF476" i="28"/>
  <c r="BG476" i="28"/>
  <c r="BH476" i="28"/>
  <c r="AR477" i="28"/>
  <c r="AV477" i="28"/>
  <c r="AW477" i="28"/>
  <c r="AX477" i="28"/>
  <c r="AY477" i="28"/>
  <c r="AZ477" i="28"/>
  <c r="BE477" i="28"/>
  <c r="BA477" i="28"/>
  <c r="BB477" i="28"/>
  <c r="BC477" i="28"/>
  <c r="BD477" i="28"/>
  <c r="BF477" i="28"/>
  <c r="BG477" i="28"/>
  <c r="BH477" i="28"/>
  <c r="AR478" i="28"/>
  <c r="AU478" i="28"/>
  <c r="AV478" i="28"/>
  <c r="AW478" i="28"/>
  <c r="AX478" i="28"/>
  <c r="AY478" i="28"/>
  <c r="AZ478" i="28"/>
  <c r="BE478" i="28"/>
  <c r="BA478" i="28"/>
  <c r="BB478" i="28"/>
  <c r="BC478" i="28"/>
  <c r="BD478" i="28"/>
  <c r="BF478" i="28"/>
  <c r="BG478" i="28"/>
  <c r="BH478" i="28"/>
  <c r="AR479" i="28"/>
  <c r="AV479" i="28"/>
  <c r="AW479" i="28"/>
  <c r="AX479" i="28"/>
  <c r="AY479" i="28"/>
  <c r="AZ479" i="28"/>
  <c r="BE479" i="28"/>
  <c r="BA479" i="28"/>
  <c r="BB479" i="28"/>
  <c r="BC479" i="28"/>
  <c r="BD479" i="28"/>
  <c r="BF479" i="28"/>
  <c r="BG479" i="28"/>
  <c r="BH479" i="28"/>
  <c r="AR480" i="28"/>
  <c r="AV480" i="28"/>
  <c r="AW480" i="28"/>
  <c r="AX480" i="28"/>
  <c r="AY480" i="28"/>
  <c r="AZ480" i="28"/>
  <c r="BE480" i="28"/>
  <c r="BA480" i="28"/>
  <c r="BB480" i="28"/>
  <c r="BC480" i="28"/>
  <c r="BD480" i="28"/>
  <c r="BF480" i="28"/>
  <c r="BG480" i="28"/>
  <c r="BH480" i="28"/>
  <c r="AR481" i="28"/>
  <c r="AU481" i="28"/>
  <c r="AV481" i="28"/>
  <c r="AW481" i="28"/>
  <c r="AX481" i="28"/>
  <c r="AY481" i="28"/>
  <c r="AZ481" i="28"/>
  <c r="BE481" i="28"/>
  <c r="BA481" i="28"/>
  <c r="BB481" i="28"/>
  <c r="BC481" i="28"/>
  <c r="BD481" i="28"/>
  <c r="BF481" i="28"/>
  <c r="BG481" i="28"/>
  <c r="BH481" i="28"/>
  <c r="AR482" i="28"/>
  <c r="AV482" i="28"/>
  <c r="AW482" i="28"/>
  <c r="AX482" i="28"/>
  <c r="AY482" i="28"/>
  <c r="AZ482" i="28"/>
  <c r="BE482" i="28"/>
  <c r="BA482" i="28"/>
  <c r="BB482" i="28"/>
  <c r="BC482" i="28"/>
  <c r="BD482" i="28"/>
  <c r="BF482" i="28"/>
  <c r="BG482" i="28"/>
  <c r="BH482" i="28"/>
  <c r="AR483" i="28"/>
  <c r="AU483" i="28"/>
  <c r="AV483" i="28"/>
  <c r="AW483" i="28"/>
  <c r="AX483" i="28"/>
  <c r="AY483" i="28"/>
  <c r="AZ483" i="28"/>
  <c r="BE483" i="28"/>
  <c r="BA483" i="28"/>
  <c r="BB483" i="28"/>
  <c r="BC483" i="28"/>
  <c r="BD483" i="28"/>
  <c r="BF483" i="28"/>
  <c r="BG483" i="28"/>
  <c r="BH483" i="28"/>
  <c r="AR484" i="28"/>
  <c r="AV484" i="28"/>
  <c r="AW484" i="28"/>
  <c r="AX484" i="28"/>
  <c r="AY484" i="28"/>
  <c r="AZ484" i="28"/>
  <c r="BE484" i="28"/>
  <c r="BA484" i="28"/>
  <c r="BB484" i="28"/>
  <c r="BC484" i="28"/>
  <c r="BD484" i="28"/>
  <c r="BF484" i="28"/>
  <c r="BG484" i="28"/>
  <c r="BH484" i="28"/>
  <c r="AR485" i="28"/>
  <c r="AV485" i="28"/>
  <c r="AW485" i="28"/>
  <c r="AX485" i="28"/>
  <c r="AY485" i="28"/>
  <c r="AZ485" i="28"/>
  <c r="BE485" i="28"/>
  <c r="BA485" i="28"/>
  <c r="BB485" i="28"/>
  <c r="BC485" i="28"/>
  <c r="BD485" i="28"/>
  <c r="BF485" i="28"/>
  <c r="BG485" i="28"/>
  <c r="BH485" i="28"/>
  <c r="AR486" i="28"/>
  <c r="AV486" i="28"/>
  <c r="AW486" i="28"/>
  <c r="AX486" i="28"/>
  <c r="AY486" i="28"/>
  <c r="AZ486" i="28"/>
  <c r="BE486" i="28"/>
  <c r="BA486" i="28"/>
  <c r="BB486" i="28"/>
  <c r="BC486" i="28"/>
  <c r="BD486" i="28"/>
  <c r="BF486" i="28"/>
  <c r="BG486" i="28"/>
  <c r="BH486" i="28"/>
  <c r="AR487" i="28"/>
  <c r="AV487" i="28"/>
  <c r="AW487" i="28"/>
  <c r="AX487" i="28"/>
  <c r="AY487" i="28"/>
  <c r="AZ487" i="28"/>
  <c r="BE487" i="28"/>
  <c r="BA487" i="28"/>
  <c r="BB487" i="28"/>
  <c r="BC487" i="28"/>
  <c r="BD487" i="28"/>
  <c r="BF487" i="28"/>
  <c r="BG487" i="28"/>
  <c r="BH487" i="28"/>
  <c r="AR488" i="28"/>
  <c r="AV488" i="28"/>
  <c r="AW488" i="28"/>
  <c r="AX488" i="28"/>
  <c r="AY488" i="28"/>
  <c r="AZ488" i="28"/>
  <c r="BE488" i="28"/>
  <c r="BA488" i="28"/>
  <c r="BB488" i="28"/>
  <c r="BC488" i="28"/>
  <c r="BD488" i="28"/>
  <c r="BG488" i="28"/>
  <c r="BH488" i="28"/>
  <c r="AR489" i="28"/>
  <c r="AV489" i="28"/>
  <c r="AW489" i="28"/>
  <c r="AX489" i="28"/>
  <c r="AY489" i="28"/>
  <c r="AZ489" i="28"/>
  <c r="BE489" i="28"/>
  <c r="BA489" i="28"/>
  <c r="BB489" i="28"/>
  <c r="BC489" i="28"/>
  <c r="BD489" i="28"/>
  <c r="BF489" i="28"/>
  <c r="BG489" i="28"/>
  <c r="BH489" i="28"/>
  <c r="AR490" i="28"/>
  <c r="AV490" i="28"/>
  <c r="AW490" i="28"/>
  <c r="AX490" i="28"/>
  <c r="AY490" i="28"/>
  <c r="AZ490" i="28"/>
  <c r="BE490" i="28"/>
  <c r="BA490" i="28"/>
  <c r="BB490" i="28"/>
  <c r="BC490" i="28"/>
  <c r="BD490" i="28"/>
  <c r="BF490" i="28"/>
  <c r="BG490" i="28"/>
  <c r="BH490" i="28"/>
  <c r="AR491" i="28"/>
  <c r="AT491" i="28"/>
  <c r="AV491" i="28"/>
  <c r="AW491" i="28"/>
  <c r="AX491" i="28"/>
  <c r="AY491" i="28"/>
  <c r="AZ491" i="28"/>
  <c r="BE491" i="28"/>
  <c r="BA491" i="28"/>
  <c r="BB491" i="28"/>
  <c r="BC491" i="28"/>
  <c r="BD491" i="28"/>
  <c r="BF491" i="28"/>
  <c r="BG491" i="28"/>
  <c r="BH491" i="28"/>
  <c r="AR492" i="28"/>
  <c r="AV492" i="28"/>
  <c r="AW492" i="28"/>
  <c r="AX492" i="28"/>
  <c r="AY492" i="28"/>
  <c r="AZ492" i="28"/>
  <c r="BE492" i="28"/>
  <c r="BA492" i="28"/>
  <c r="BB492" i="28"/>
  <c r="BC492" i="28"/>
  <c r="BD492" i="28"/>
  <c r="BF492" i="28"/>
  <c r="BG492" i="28"/>
  <c r="BH492" i="28"/>
  <c r="AR493" i="28"/>
  <c r="AV493" i="28"/>
  <c r="AW493" i="28"/>
  <c r="AX493" i="28"/>
  <c r="AZ493" i="28"/>
  <c r="BE493" i="28"/>
  <c r="BA493" i="28"/>
  <c r="BB493" i="28"/>
  <c r="BC493" i="28"/>
  <c r="BD493" i="28"/>
  <c r="BF493" i="28"/>
  <c r="BG493" i="28"/>
  <c r="BH493" i="28"/>
  <c r="AR494" i="28"/>
  <c r="AU494" i="28"/>
  <c r="AV494" i="28"/>
  <c r="AW494" i="28"/>
  <c r="AX494" i="28"/>
  <c r="AY494" i="28"/>
  <c r="AZ494" i="28"/>
  <c r="BE494" i="28"/>
  <c r="BA494" i="28"/>
  <c r="BB494" i="28"/>
  <c r="BC494" i="28"/>
  <c r="BD494" i="28"/>
  <c r="BF494" i="28"/>
  <c r="BG494" i="28"/>
  <c r="BH494" i="28"/>
  <c r="AR495" i="28"/>
  <c r="AV495" i="28"/>
  <c r="AW495" i="28"/>
  <c r="AX495" i="28"/>
  <c r="AY495" i="28"/>
  <c r="AZ495" i="28"/>
  <c r="BE495" i="28"/>
  <c r="BA495" i="28"/>
  <c r="BB495" i="28"/>
  <c r="BC495" i="28"/>
  <c r="BD495" i="28"/>
  <c r="BF495" i="28"/>
  <c r="BG495" i="28"/>
  <c r="BH495" i="28"/>
  <c r="AR496" i="28"/>
  <c r="AU496" i="28"/>
  <c r="AV496" i="28"/>
  <c r="AW496" i="28"/>
  <c r="AX496" i="28"/>
  <c r="AY496" i="28"/>
  <c r="AZ496" i="28"/>
  <c r="BE496" i="28"/>
  <c r="BA496" i="28"/>
  <c r="BB496" i="28"/>
  <c r="BC496" i="28"/>
  <c r="BD496" i="28"/>
  <c r="BF496" i="28"/>
  <c r="BG496" i="28"/>
  <c r="BH496" i="28"/>
  <c r="AR497" i="28"/>
  <c r="AV497" i="28"/>
  <c r="AW497" i="28"/>
  <c r="AX497" i="28"/>
  <c r="AY497" i="28"/>
  <c r="AZ497" i="28"/>
  <c r="BE497" i="28"/>
  <c r="BA497" i="28"/>
  <c r="BB497" i="28"/>
  <c r="BC497" i="28"/>
  <c r="BD497" i="28"/>
  <c r="BF497" i="28"/>
  <c r="BG497" i="28"/>
  <c r="BH497" i="28"/>
  <c r="AR498" i="28"/>
  <c r="AV498" i="28"/>
  <c r="AW498" i="28"/>
  <c r="AX498" i="28"/>
  <c r="AY498" i="28"/>
  <c r="AZ498" i="28"/>
  <c r="BE498" i="28"/>
  <c r="BA498" i="28"/>
  <c r="BB498" i="28"/>
  <c r="BC498" i="28"/>
  <c r="BD498" i="28"/>
  <c r="BF498" i="28"/>
  <c r="BG498" i="28"/>
  <c r="BH498" i="28"/>
  <c r="AR499" i="28"/>
  <c r="AT499" i="28"/>
  <c r="AV499" i="28"/>
  <c r="AW499" i="28"/>
  <c r="AX499" i="28"/>
  <c r="AY499" i="28"/>
  <c r="AZ499" i="28"/>
  <c r="BE499" i="28"/>
  <c r="BA499" i="28"/>
  <c r="BB499" i="28"/>
  <c r="BC499" i="28"/>
  <c r="BD499" i="28"/>
  <c r="BF499" i="28"/>
  <c r="BG499" i="28"/>
  <c r="BH499" i="28"/>
  <c r="AR500" i="28"/>
  <c r="AV500" i="28"/>
  <c r="AW500" i="28"/>
  <c r="AX500" i="28"/>
  <c r="AY500" i="28"/>
  <c r="AZ500" i="28"/>
  <c r="BE500" i="28"/>
  <c r="BA500" i="28"/>
  <c r="BB500" i="28"/>
  <c r="BC500" i="28"/>
  <c r="BD500" i="28"/>
  <c r="BF500" i="28"/>
  <c r="BG500" i="28"/>
  <c r="BH500" i="28"/>
  <c r="AR501" i="28"/>
  <c r="AV501" i="28"/>
  <c r="AW501" i="28"/>
  <c r="AX501" i="28"/>
  <c r="AY501" i="28"/>
  <c r="AZ501" i="28"/>
  <c r="BE501" i="28"/>
  <c r="BA501" i="28"/>
  <c r="BB501" i="28"/>
  <c r="BC501" i="28"/>
  <c r="BD501" i="28"/>
  <c r="BF501" i="28"/>
  <c r="BG501" i="28"/>
  <c r="BH501" i="28"/>
  <c r="AR502" i="28"/>
  <c r="AT502" i="28"/>
  <c r="AV502" i="28"/>
  <c r="AW502" i="28"/>
  <c r="AX502" i="28"/>
  <c r="AY502" i="28"/>
  <c r="AZ502" i="28"/>
  <c r="BE502" i="28"/>
  <c r="BA502" i="28"/>
  <c r="BB502" i="28"/>
  <c r="BC502" i="28"/>
  <c r="BD502" i="28"/>
  <c r="BF502" i="28"/>
  <c r="BG502" i="28"/>
  <c r="BH502" i="28"/>
  <c r="AV503" i="28"/>
  <c r="AW503" i="28"/>
  <c r="AX503" i="28"/>
  <c r="AY503" i="28"/>
  <c r="AZ503" i="28"/>
  <c r="BE503" i="28"/>
  <c r="BA503" i="28"/>
  <c r="BB503" i="28"/>
  <c r="BC503" i="28"/>
  <c r="BD503" i="28"/>
  <c r="BF503" i="28"/>
  <c r="BG503" i="28"/>
  <c r="BH503" i="28"/>
  <c r="AV504" i="28"/>
  <c r="AW504" i="28"/>
  <c r="AX504" i="28"/>
  <c r="AY504" i="28"/>
  <c r="AZ504" i="28"/>
  <c r="BE504" i="28"/>
  <c r="BA504" i="28"/>
  <c r="BB504" i="28"/>
  <c r="BC504" i="28"/>
  <c r="BD504" i="28"/>
  <c r="BF504" i="28"/>
  <c r="BG504" i="28"/>
  <c r="BH504" i="28"/>
  <c r="AV505" i="28"/>
  <c r="AW505" i="28"/>
  <c r="AX505" i="28"/>
  <c r="AY505" i="28"/>
  <c r="AZ505" i="28"/>
  <c r="BE505" i="28"/>
  <c r="BA505" i="28"/>
  <c r="BB505" i="28"/>
  <c r="BC505" i="28"/>
  <c r="BD505" i="28"/>
  <c r="BF505" i="28"/>
  <c r="BG505" i="28"/>
  <c r="BH505" i="28"/>
  <c r="AV506" i="28"/>
  <c r="AW506" i="28"/>
  <c r="AX506" i="28"/>
  <c r="AY506" i="28"/>
  <c r="AZ506" i="28"/>
  <c r="BE506" i="28"/>
  <c r="BA506" i="28"/>
  <c r="BB506" i="28"/>
  <c r="BC506" i="28"/>
  <c r="BD506" i="28"/>
  <c r="BF506" i="28"/>
  <c r="BG506" i="28"/>
  <c r="BH506" i="28"/>
  <c r="AV507" i="28"/>
  <c r="AW507" i="28"/>
  <c r="AX507" i="28"/>
  <c r="AY507" i="28"/>
  <c r="AZ507" i="28"/>
  <c r="BE507" i="28"/>
  <c r="BA507" i="28"/>
  <c r="BB507" i="28"/>
  <c r="BC507" i="28"/>
  <c r="BD507" i="28"/>
  <c r="BF507" i="28"/>
  <c r="BG507" i="28"/>
  <c r="BH507" i="28"/>
  <c r="AV508" i="28"/>
  <c r="AW508" i="28"/>
  <c r="AX508" i="28"/>
  <c r="AY508" i="28"/>
  <c r="AZ508" i="28"/>
  <c r="BE508" i="28"/>
  <c r="BA508" i="28"/>
  <c r="BB508" i="28"/>
  <c r="BC508" i="28"/>
  <c r="BD508" i="28"/>
  <c r="BF508" i="28"/>
  <c r="BG508" i="28"/>
  <c r="BH508" i="28"/>
  <c r="AV509" i="28"/>
  <c r="AW509" i="28"/>
  <c r="AX509" i="28"/>
  <c r="AY509" i="28"/>
  <c r="AZ509" i="28"/>
  <c r="BE509" i="28"/>
  <c r="BA509" i="28"/>
  <c r="BB509" i="28"/>
  <c r="BC509" i="28"/>
  <c r="BD509" i="28"/>
  <c r="BF509" i="28"/>
  <c r="BG509" i="28"/>
  <c r="BH509" i="28"/>
  <c r="AV510" i="28"/>
  <c r="AW510" i="28"/>
  <c r="AX510" i="28"/>
  <c r="AY510" i="28"/>
  <c r="AZ510" i="28"/>
  <c r="BE510" i="28"/>
  <c r="BA510" i="28"/>
  <c r="BB510" i="28"/>
  <c r="BC510" i="28"/>
  <c r="BD510" i="28"/>
  <c r="BF510" i="28"/>
  <c r="BG510" i="28"/>
  <c r="BH510" i="28"/>
  <c r="AV511" i="28"/>
  <c r="AW511" i="28"/>
  <c r="AX511" i="28"/>
  <c r="AY511" i="28"/>
  <c r="AZ511" i="28"/>
  <c r="BE511" i="28"/>
  <c r="BA511" i="28"/>
  <c r="BB511" i="28"/>
  <c r="BC511" i="28"/>
  <c r="BD511" i="28"/>
  <c r="BF511" i="28"/>
  <c r="BG511" i="28"/>
  <c r="BH511" i="28"/>
  <c r="AR377" i="28"/>
  <c r="AU377" i="28"/>
  <c r="AR376" i="28"/>
  <c r="AR375" i="28"/>
  <c r="AU375" i="28"/>
  <c r="AR374" i="28"/>
  <c r="AS374" i="28"/>
  <c r="AR373" i="28"/>
  <c r="AR372" i="28"/>
  <c r="AT372" i="28"/>
  <c r="AR371" i="28"/>
  <c r="AR370" i="28"/>
  <c r="AU370" i="28"/>
  <c r="AR369" i="28"/>
  <c r="AR368" i="28"/>
  <c r="AV9" i="28"/>
  <c r="AR225" i="28"/>
  <c r="AR224" i="28"/>
  <c r="AR223" i="28"/>
  <c r="AR222" i="28"/>
  <c r="AR221" i="28"/>
  <c r="AR220" i="28"/>
  <c r="AR219" i="28"/>
  <c r="AS219" i="28"/>
  <c r="AR218" i="28"/>
  <c r="AR217" i="28"/>
  <c r="AT217" i="28"/>
  <c r="BH400" i="28"/>
  <c r="BG400" i="28"/>
  <c r="BF400" i="28"/>
  <c r="BD400" i="28"/>
  <c r="BC400" i="28"/>
  <c r="BB400" i="28"/>
  <c r="BA400" i="28"/>
  <c r="AZ400" i="28"/>
  <c r="BE400" i="28"/>
  <c r="AY400" i="28"/>
  <c r="AX400" i="28"/>
  <c r="AW400" i="28"/>
  <c r="AV400" i="28"/>
  <c r="AR400" i="28"/>
  <c r="BH399" i="28"/>
  <c r="BG399" i="28"/>
  <c r="BF399" i="28"/>
  <c r="BD399" i="28"/>
  <c r="BC399" i="28"/>
  <c r="BB399" i="28"/>
  <c r="BA399" i="28"/>
  <c r="AZ399" i="28"/>
  <c r="BE399" i="28"/>
  <c r="AY399" i="28"/>
  <c r="AX399" i="28"/>
  <c r="AW399" i="28"/>
  <c r="AV399" i="28"/>
  <c r="AR399" i="28"/>
  <c r="BH398" i="28"/>
  <c r="BG398" i="28"/>
  <c r="BF398" i="28"/>
  <c r="BD398" i="28"/>
  <c r="BC398" i="28"/>
  <c r="BB398" i="28"/>
  <c r="BA398" i="28"/>
  <c r="AZ398" i="28"/>
  <c r="BE398" i="28"/>
  <c r="AY398" i="28"/>
  <c r="AX398" i="28"/>
  <c r="AW398" i="28"/>
  <c r="AV398" i="28"/>
  <c r="AR398" i="28"/>
  <c r="AS398" i="28"/>
  <c r="BH397" i="28"/>
  <c r="BG397" i="28"/>
  <c r="BF397" i="28"/>
  <c r="BD397" i="28"/>
  <c r="BC397" i="28"/>
  <c r="BB397" i="28"/>
  <c r="BA397" i="28"/>
  <c r="AZ397" i="28"/>
  <c r="BE397" i="28"/>
  <c r="AY397" i="28"/>
  <c r="AX397" i="28"/>
  <c r="AW397" i="28"/>
  <c r="AV397" i="28"/>
  <c r="AR397" i="28"/>
  <c r="AU397" i="28"/>
  <c r="BH396" i="28"/>
  <c r="BG396" i="28"/>
  <c r="BF396" i="28"/>
  <c r="BD396" i="28"/>
  <c r="BC396" i="28"/>
  <c r="BB396" i="28"/>
  <c r="BA396" i="28"/>
  <c r="AZ396" i="28"/>
  <c r="BE396" i="28"/>
  <c r="AY396" i="28"/>
  <c r="AX396" i="28"/>
  <c r="AW396" i="28"/>
  <c r="AV396" i="28"/>
  <c r="AR396" i="28"/>
  <c r="BH395" i="28"/>
  <c r="BG395" i="28"/>
  <c r="BF395" i="28"/>
  <c r="BD395" i="28"/>
  <c r="BC395" i="28"/>
  <c r="BB395" i="28"/>
  <c r="BA395" i="28"/>
  <c r="AZ395" i="28"/>
  <c r="BE395" i="28"/>
  <c r="AY395" i="28"/>
  <c r="AX395" i="28"/>
  <c r="AW395" i="28"/>
  <c r="AV395" i="28"/>
  <c r="AR395" i="28"/>
  <c r="BH394" i="28"/>
  <c r="BG394" i="28"/>
  <c r="BF394" i="28"/>
  <c r="BD394" i="28"/>
  <c r="BC394" i="28"/>
  <c r="BB394" i="28"/>
  <c r="BA394" i="28"/>
  <c r="AZ394" i="28"/>
  <c r="BE394" i="28"/>
  <c r="AY394" i="28"/>
  <c r="AX394" i="28"/>
  <c r="AW394" i="28"/>
  <c r="AV394" i="28"/>
  <c r="AR394" i="28"/>
  <c r="BH393" i="28"/>
  <c r="BG393" i="28"/>
  <c r="BF393" i="28"/>
  <c r="BD393" i="28"/>
  <c r="BC393" i="28"/>
  <c r="BB393" i="28"/>
  <c r="BA393" i="28"/>
  <c r="AZ393" i="28"/>
  <c r="BE393" i="28"/>
  <c r="AY393" i="28"/>
  <c r="AX393" i="28"/>
  <c r="AW393" i="28"/>
  <c r="AV393" i="28"/>
  <c r="AR393" i="28"/>
  <c r="BH392" i="28"/>
  <c r="BG392" i="28"/>
  <c r="BF392" i="28"/>
  <c r="BD392" i="28"/>
  <c r="BC392" i="28"/>
  <c r="BB392" i="28"/>
  <c r="BA392" i="28"/>
  <c r="AZ392" i="28"/>
  <c r="BE392" i="28"/>
  <c r="AY392" i="28"/>
  <c r="AX392" i="28"/>
  <c r="AW392" i="28"/>
  <c r="AV392" i="28"/>
  <c r="AR392" i="28"/>
  <c r="AS392" i="28"/>
  <c r="BH391" i="28"/>
  <c r="BG391" i="28"/>
  <c r="BF391" i="28"/>
  <c r="BD391" i="28"/>
  <c r="BC391" i="28"/>
  <c r="BB391" i="28"/>
  <c r="BA391" i="28"/>
  <c r="AZ391" i="28"/>
  <c r="BE391" i="28"/>
  <c r="AY391" i="28"/>
  <c r="AX391" i="28"/>
  <c r="AW391" i="28"/>
  <c r="AV391" i="28"/>
  <c r="AR391" i="28"/>
  <c r="AS391" i="28"/>
  <c r="BH390" i="28"/>
  <c r="BG390" i="28"/>
  <c r="BF390" i="28"/>
  <c r="BD390" i="28"/>
  <c r="BC390" i="28"/>
  <c r="BB390" i="28"/>
  <c r="BA390" i="28"/>
  <c r="AZ390" i="28"/>
  <c r="BE390" i="28"/>
  <c r="AY390" i="28"/>
  <c r="AX390" i="28"/>
  <c r="AW390" i="28"/>
  <c r="AV390" i="28"/>
  <c r="AR390" i="28"/>
  <c r="BH389" i="28"/>
  <c r="BG389" i="28"/>
  <c r="BF389" i="28"/>
  <c r="BD389" i="28"/>
  <c r="BC389" i="28"/>
  <c r="BB389" i="28"/>
  <c r="BA389" i="28"/>
  <c r="AZ389" i="28"/>
  <c r="BE389" i="28"/>
  <c r="AY389" i="28"/>
  <c r="AX389" i="28"/>
  <c r="AW389" i="28"/>
  <c r="AV389" i="28"/>
  <c r="AR389" i="28"/>
  <c r="BH388" i="28"/>
  <c r="BG388" i="28"/>
  <c r="BF388" i="28"/>
  <c r="BD388" i="28"/>
  <c r="BC388" i="28"/>
  <c r="BB388" i="28"/>
  <c r="BA388" i="28"/>
  <c r="AZ388" i="28"/>
  <c r="BE388" i="28"/>
  <c r="AY388" i="28"/>
  <c r="AX388" i="28"/>
  <c r="AW388" i="28"/>
  <c r="AV388" i="28"/>
  <c r="AR388" i="28"/>
  <c r="AU388" i="28"/>
  <c r="BH387" i="28"/>
  <c r="BG387" i="28"/>
  <c r="BF387" i="28"/>
  <c r="BD387" i="28"/>
  <c r="BC387" i="28"/>
  <c r="BB387" i="28"/>
  <c r="BA387" i="28"/>
  <c r="AZ387" i="28"/>
  <c r="BE387" i="28"/>
  <c r="AY387" i="28"/>
  <c r="AX387" i="28"/>
  <c r="AW387" i="28"/>
  <c r="AV387" i="28"/>
  <c r="AR387" i="28"/>
  <c r="BH386" i="28"/>
  <c r="BG386" i="28"/>
  <c r="BF386" i="28"/>
  <c r="BD386" i="28"/>
  <c r="BC386" i="28"/>
  <c r="BB386" i="28"/>
  <c r="BA386" i="28"/>
  <c r="AZ386" i="28"/>
  <c r="BE386" i="28"/>
  <c r="AY386" i="28"/>
  <c r="AX386" i="28"/>
  <c r="AW386" i="28"/>
  <c r="AV386" i="28"/>
  <c r="AR386" i="28"/>
  <c r="AU386" i="28"/>
  <c r="BH385" i="28"/>
  <c r="BG385" i="28"/>
  <c r="BF385" i="28"/>
  <c r="BD385" i="28"/>
  <c r="BC385" i="28"/>
  <c r="BB385" i="28"/>
  <c r="BA385" i="28"/>
  <c r="AZ385" i="28"/>
  <c r="BE385" i="28"/>
  <c r="AY385" i="28"/>
  <c r="AX385" i="28"/>
  <c r="AW385" i="28"/>
  <c r="AV385" i="28"/>
  <c r="AR385" i="28"/>
  <c r="AU385" i="28"/>
  <c r="BH384" i="28"/>
  <c r="BG384" i="28"/>
  <c r="BF384" i="28"/>
  <c r="BD384" i="28"/>
  <c r="BC384" i="28"/>
  <c r="BB384" i="28"/>
  <c r="BA384" i="28"/>
  <c r="AZ384" i="28"/>
  <c r="BE384" i="28"/>
  <c r="AY384" i="28"/>
  <c r="AX384" i="28"/>
  <c r="AW384" i="28"/>
  <c r="AV384" i="28"/>
  <c r="AR384" i="28"/>
  <c r="BH383" i="28"/>
  <c r="BG383" i="28"/>
  <c r="BF383" i="28"/>
  <c r="BD383" i="28"/>
  <c r="BC383" i="28"/>
  <c r="BB383" i="28"/>
  <c r="BA383" i="28"/>
  <c r="AZ383" i="28"/>
  <c r="BE383" i="28"/>
  <c r="AY383" i="28"/>
  <c r="AX383" i="28"/>
  <c r="AW383" i="28"/>
  <c r="AV383" i="28"/>
  <c r="AR383" i="28"/>
  <c r="BH382" i="28"/>
  <c r="BG382" i="28"/>
  <c r="BF382" i="28"/>
  <c r="BD382" i="28"/>
  <c r="BC382" i="28"/>
  <c r="BB382" i="28"/>
  <c r="BA382" i="28"/>
  <c r="AZ382" i="28"/>
  <c r="BE382" i="28"/>
  <c r="AY382" i="28"/>
  <c r="AX382" i="28"/>
  <c r="AW382" i="28"/>
  <c r="AV382" i="28"/>
  <c r="AR382" i="28"/>
  <c r="BH381" i="28"/>
  <c r="BG381" i="28"/>
  <c r="BF381" i="28"/>
  <c r="BD381" i="28"/>
  <c r="BC381" i="28"/>
  <c r="BB381" i="28"/>
  <c r="BA381" i="28"/>
  <c r="AZ381" i="28"/>
  <c r="BE381" i="28"/>
  <c r="AY381" i="28"/>
  <c r="AX381" i="28"/>
  <c r="AW381" i="28"/>
  <c r="AV381" i="28"/>
  <c r="AR381" i="28"/>
  <c r="BH380" i="28"/>
  <c r="BG380" i="28"/>
  <c r="BF380" i="28"/>
  <c r="BD380" i="28"/>
  <c r="BC380" i="28"/>
  <c r="BB380" i="28"/>
  <c r="BA380" i="28"/>
  <c r="AZ380" i="28"/>
  <c r="BE380" i="28"/>
  <c r="AY380" i="28"/>
  <c r="AX380" i="28"/>
  <c r="AW380" i="28"/>
  <c r="AV380" i="28"/>
  <c r="AR380" i="28"/>
  <c r="BH379" i="28"/>
  <c r="BG379" i="28"/>
  <c r="BF379" i="28"/>
  <c r="BD379" i="28"/>
  <c r="BC379" i="28"/>
  <c r="BB379" i="28"/>
  <c r="BA379" i="28"/>
  <c r="AZ379" i="28"/>
  <c r="BE379" i="28"/>
  <c r="AY379" i="28"/>
  <c r="AX379" i="28"/>
  <c r="AW379" i="28"/>
  <c r="AV379" i="28"/>
  <c r="AR379" i="28"/>
  <c r="BH378" i="28"/>
  <c r="BG378" i="28"/>
  <c r="BF378" i="28"/>
  <c r="BD378" i="28"/>
  <c r="BC378" i="28"/>
  <c r="BB378" i="28"/>
  <c r="BA378" i="28"/>
  <c r="AZ378" i="28"/>
  <c r="BE378" i="28"/>
  <c r="AY378" i="28"/>
  <c r="AX378" i="28"/>
  <c r="AW378" i="28"/>
  <c r="AV378" i="28"/>
  <c r="AR378" i="28"/>
  <c r="BH377" i="28"/>
  <c r="BG377" i="28"/>
  <c r="BF377" i="28"/>
  <c r="BD377" i="28"/>
  <c r="BC377" i="28"/>
  <c r="BB377" i="28"/>
  <c r="BA377" i="28"/>
  <c r="AZ377" i="28"/>
  <c r="BE377" i="28"/>
  <c r="AY377" i="28"/>
  <c r="AX377" i="28"/>
  <c r="AW377" i="28"/>
  <c r="AV377" i="28"/>
  <c r="BH376" i="28"/>
  <c r="BG376" i="28"/>
  <c r="BF376" i="28"/>
  <c r="BD376" i="28"/>
  <c r="BC376" i="28"/>
  <c r="BB376" i="28"/>
  <c r="BA376" i="28"/>
  <c r="AZ376" i="28"/>
  <c r="BE376" i="28"/>
  <c r="AY376" i="28"/>
  <c r="AX376" i="28"/>
  <c r="AW376" i="28"/>
  <c r="AV376" i="28"/>
  <c r="BH375" i="28"/>
  <c r="BG375" i="28"/>
  <c r="BF375" i="28"/>
  <c r="BD375" i="28"/>
  <c r="BC375" i="28"/>
  <c r="BB375" i="28"/>
  <c r="BA375" i="28"/>
  <c r="AZ375" i="28"/>
  <c r="BE375" i="28"/>
  <c r="AY375" i="28"/>
  <c r="AX375" i="28"/>
  <c r="AW375" i="28"/>
  <c r="AV375" i="28"/>
  <c r="BH374" i="28"/>
  <c r="BG374" i="28"/>
  <c r="BF374" i="28"/>
  <c r="BD374" i="28"/>
  <c r="BC374" i="28"/>
  <c r="BB374" i="28"/>
  <c r="BA374" i="28"/>
  <c r="AZ374" i="28"/>
  <c r="BE374" i="28"/>
  <c r="AY374" i="28"/>
  <c r="AX374" i="28"/>
  <c r="AW374" i="28"/>
  <c r="AV374" i="28"/>
  <c r="BH373" i="28"/>
  <c r="BG373" i="28"/>
  <c r="BF373" i="28"/>
  <c r="BD373" i="28"/>
  <c r="BC373" i="28"/>
  <c r="BB373" i="28"/>
  <c r="BA373" i="28"/>
  <c r="AZ373" i="28"/>
  <c r="BE373" i="28"/>
  <c r="AY373" i="28"/>
  <c r="AX373" i="28"/>
  <c r="AW373" i="28"/>
  <c r="AV373" i="28"/>
  <c r="BH372" i="28"/>
  <c r="BG372" i="28"/>
  <c r="BF372" i="28"/>
  <c r="BD372" i="28"/>
  <c r="BC372" i="28"/>
  <c r="BB372" i="28"/>
  <c r="BA372" i="28"/>
  <c r="AZ372" i="28"/>
  <c r="BE372" i="28"/>
  <c r="AY372" i="28"/>
  <c r="AX372" i="28"/>
  <c r="AW372" i="28"/>
  <c r="AV372" i="28"/>
  <c r="BH371" i="28"/>
  <c r="BG371" i="28"/>
  <c r="BF371" i="28"/>
  <c r="BD371" i="28"/>
  <c r="BC371" i="28"/>
  <c r="BB371" i="28"/>
  <c r="BA371" i="28"/>
  <c r="AZ371" i="28"/>
  <c r="BE371" i="28"/>
  <c r="AY371" i="28"/>
  <c r="AX371" i="28"/>
  <c r="AW371" i="28"/>
  <c r="AV371" i="28"/>
  <c r="BH370" i="28"/>
  <c r="BG370" i="28"/>
  <c r="BF370" i="28"/>
  <c r="BD370" i="28"/>
  <c r="BC370" i="28"/>
  <c r="BB370" i="28"/>
  <c r="BA370" i="28"/>
  <c r="AZ370" i="28"/>
  <c r="BE370" i="28"/>
  <c r="AY370" i="28"/>
  <c r="AX370" i="28"/>
  <c r="AW370" i="28"/>
  <c r="AV370" i="28"/>
  <c r="BH369" i="28"/>
  <c r="BG369" i="28"/>
  <c r="BF369" i="28"/>
  <c r="BD369" i="28"/>
  <c r="BC369" i="28"/>
  <c r="BB369" i="28"/>
  <c r="BA369" i="28"/>
  <c r="AZ369" i="28"/>
  <c r="BE369" i="28"/>
  <c r="AY369" i="28"/>
  <c r="AX369" i="28"/>
  <c r="AW369" i="28"/>
  <c r="AV369" i="28"/>
  <c r="BH368" i="28"/>
  <c r="BG368" i="28"/>
  <c r="BF368" i="28"/>
  <c r="BD368" i="28"/>
  <c r="BC368" i="28"/>
  <c r="BB368" i="28"/>
  <c r="BA368" i="28"/>
  <c r="AZ368" i="28"/>
  <c r="BE368" i="28"/>
  <c r="AY368" i="28"/>
  <c r="AX368" i="28"/>
  <c r="AW368" i="28"/>
  <c r="AV368" i="28"/>
  <c r="BH367" i="28"/>
  <c r="BG367" i="28"/>
  <c r="BF367" i="28"/>
  <c r="BD367" i="28"/>
  <c r="BC367" i="28"/>
  <c r="BB367" i="28"/>
  <c r="BA367" i="28"/>
  <c r="AZ367" i="28"/>
  <c r="BE367" i="28"/>
  <c r="AY367" i="28"/>
  <c r="AX367" i="28"/>
  <c r="AW367" i="28"/>
  <c r="AV367" i="28"/>
  <c r="AR367" i="28"/>
  <c r="BH366" i="28"/>
  <c r="BG366" i="28"/>
  <c r="BF366" i="28"/>
  <c r="BD366" i="28"/>
  <c r="BC366" i="28"/>
  <c r="BB366" i="28"/>
  <c r="BA366" i="28"/>
  <c r="AZ366" i="28"/>
  <c r="BE366" i="28"/>
  <c r="AY366" i="28"/>
  <c r="AX366" i="28"/>
  <c r="AW366" i="28"/>
  <c r="AV366" i="28"/>
  <c r="AR366" i="28"/>
  <c r="BH365" i="28"/>
  <c r="BG365" i="28"/>
  <c r="BF365" i="28"/>
  <c r="BD365" i="28"/>
  <c r="BC365" i="28"/>
  <c r="BB365" i="28"/>
  <c r="BA365" i="28"/>
  <c r="AZ365" i="28"/>
  <c r="BE365" i="28"/>
  <c r="AY365" i="28"/>
  <c r="AX365" i="28"/>
  <c r="AW365" i="28"/>
  <c r="AV365" i="28"/>
  <c r="AR365" i="28"/>
  <c r="BH364" i="28"/>
  <c r="BG364" i="28"/>
  <c r="BF364" i="28"/>
  <c r="BD364" i="28"/>
  <c r="BC364" i="28"/>
  <c r="BB364" i="28"/>
  <c r="BA364" i="28"/>
  <c r="AZ364" i="28"/>
  <c r="BE364" i="28"/>
  <c r="AY364" i="28"/>
  <c r="AX364" i="28"/>
  <c r="AW364" i="28"/>
  <c r="AV364" i="28"/>
  <c r="AR364" i="28"/>
  <c r="BH363" i="28"/>
  <c r="BG363" i="28"/>
  <c r="BF363" i="28"/>
  <c r="BD363" i="28"/>
  <c r="BC363" i="28"/>
  <c r="BB363" i="28"/>
  <c r="BA363" i="28"/>
  <c r="AZ363" i="28"/>
  <c r="BE363" i="28"/>
  <c r="AY363" i="28"/>
  <c r="AX363" i="28"/>
  <c r="AW363" i="28"/>
  <c r="AV363" i="28"/>
  <c r="AR363" i="28"/>
  <c r="BH362" i="28"/>
  <c r="BG362" i="28"/>
  <c r="BF362" i="28"/>
  <c r="BD362" i="28"/>
  <c r="BC362" i="28"/>
  <c r="BB362" i="28"/>
  <c r="BA362" i="28"/>
  <c r="AZ362" i="28"/>
  <c r="BE362" i="28"/>
  <c r="AY362" i="28"/>
  <c r="AX362" i="28"/>
  <c r="AW362" i="28"/>
  <c r="AV362" i="28"/>
  <c r="AR362" i="28"/>
  <c r="BH361" i="28"/>
  <c r="BG361" i="28"/>
  <c r="BF361" i="28"/>
  <c r="BD361" i="28"/>
  <c r="BC361" i="28"/>
  <c r="BB361" i="28"/>
  <c r="BA361" i="28"/>
  <c r="AZ361" i="28"/>
  <c r="BE361" i="28"/>
  <c r="AY361" i="28"/>
  <c r="AX361" i="28"/>
  <c r="AW361" i="28"/>
  <c r="AV361" i="28"/>
  <c r="AR361" i="28"/>
  <c r="BH360" i="28"/>
  <c r="BG360" i="28"/>
  <c r="BF360" i="28"/>
  <c r="BD360" i="28"/>
  <c r="BC360" i="28"/>
  <c r="BB360" i="28"/>
  <c r="BA360" i="28"/>
  <c r="AZ360" i="28"/>
  <c r="BE360" i="28"/>
  <c r="AY360" i="28"/>
  <c r="AX360" i="28"/>
  <c r="AW360" i="28"/>
  <c r="AV360" i="28"/>
  <c r="AR360" i="28"/>
  <c r="BH359" i="28"/>
  <c r="BG359" i="28"/>
  <c r="BF359" i="28"/>
  <c r="BD359" i="28"/>
  <c r="BC359" i="28"/>
  <c r="BB359" i="28"/>
  <c r="BA359" i="28"/>
  <c r="AZ359" i="28"/>
  <c r="BE359" i="28"/>
  <c r="AY359" i="28"/>
  <c r="AX359" i="28"/>
  <c r="AW359" i="28"/>
  <c r="AV359" i="28"/>
  <c r="AR359" i="28"/>
  <c r="BH358" i="28"/>
  <c r="BG358" i="28"/>
  <c r="BF358" i="28"/>
  <c r="BD358" i="28"/>
  <c r="BC358" i="28"/>
  <c r="BB358" i="28"/>
  <c r="BA358" i="28"/>
  <c r="AZ358" i="28"/>
  <c r="BE358" i="28"/>
  <c r="AY358" i="28"/>
  <c r="AX358" i="28"/>
  <c r="AW358" i="28"/>
  <c r="AV358" i="28"/>
  <c r="AR358" i="28"/>
  <c r="BH357" i="28"/>
  <c r="BG357" i="28"/>
  <c r="BF357" i="28"/>
  <c r="BD357" i="28"/>
  <c r="BC357" i="28"/>
  <c r="BB357" i="28"/>
  <c r="BA357" i="28"/>
  <c r="AZ357" i="28"/>
  <c r="BE357" i="28"/>
  <c r="AY357" i="28"/>
  <c r="AX357" i="28"/>
  <c r="AW357" i="28"/>
  <c r="AV357" i="28"/>
  <c r="AR357" i="28"/>
  <c r="BH356" i="28"/>
  <c r="BG356" i="28"/>
  <c r="BF356" i="28"/>
  <c r="BD356" i="28"/>
  <c r="BC356" i="28"/>
  <c r="BB356" i="28"/>
  <c r="BA356" i="28"/>
  <c r="AZ356" i="28"/>
  <c r="BE356" i="28"/>
  <c r="AY356" i="28"/>
  <c r="AX356" i="28"/>
  <c r="AW356" i="28"/>
  <c r="AV356" i="28"/>
  <c r="AR356" i="28"/>
  <c r="AS356" i="28"/>
  <c r="BH355" i="28"/>
  <c r="BG355" i="28"/>
  <c r="BF355" i="28"/>
  <c r="BD355" i="28"/>
  <c r="BC355" i="28"/>
  <c r="BB355" i="28"/>
  <c r="BA355" i="28"/>
  <c r="AZ355" i="28"/>
  <c r="BE355" i="28"/>
  <c r="AY355" i="28"/>
  <c r="AX355" i="28"/>
  <c r="AW355" i="28"/>
  <c r="AV355" i="28"/>
  <c r="AR355" i="28"/>
  <c r="BH354" i="28"/>
  <c r="BG354" i="28"/>
  <c r="BF354" i="28"/>
  <c r="BD354" i="28"/>
  <c r="BC354" i="28"/>
  <c r="BB354" i="28"/>
  <c r="BA354" i="28"/>
  <c r="AZ354" i="28"/>
  <c r="BE354" i="28"/>
  <c r="AW354" i="28"/>
  <c r="AV354" i="28"/>
  <c r="AR354" i="28"/>
  <c r="AU354" i="28"/>
  <c r="BH353" i="28"/>
  <c r="BG353" i="28"/>
  <c r="BF353" i="28"/>
  <c r="BD353" i="28"/>
  <c r="BC353" i="28"/>
  <c r="BB353" i="28"/>
  <c r="BA353" i="28"/>
  <c r="AZ353" i="28"/>
  <c r="BE353" i="28"/>
  <c r="AW353" i="28"/>
  <c r="AV353" i="28"/>
  <c r="AR353" i="28"/>
  <c r="BH352" i="28"/>
  <c r="BG352" i="28"/>
  <c r="BF352" i="28"/>
  <c r="BD352" i="28"/>
  <c r="BC352" i="28"/>
  <c r="BB352" i="28"/>
  <c r="BA352" i="28"/>
  <c r="AZ352" i="28"/>
  <c r="BE352" i="28"/>
  <c r="AW352" i="28"/>
  <c r="AV352" i="28"/>
  <c r="AR352" i="28"/>
  <c r="BH351" i="28"/>
  <c r="BG351" i="28"/>
  <c r="BF351" i="28"/>
  <c r="BD351" i="28"/>
  <c r="BC351" i="28"/>
  <c r="BB351" i="28"/>
  <c r="BA351" i="28"/>
  <c r="AZ351" i="28"/>
  <c r="BE351" i="28"/>
  <c r="AY351" i="28"/>
  <c r="AX351" i="28"/>
  <c r="AW351" i="28"/>
  <c r="AV351" i="28"/>
  <c r="AR351" i="28"/>
  <c r="BH350" i="28"/>
  <c r="BG350" i="28"/>
  <c r="BF350" i="28"/>
  <c r="BD350" i="28"/>
  <c r="BC350" i="28"/>
  <c r="BB350" i="28"/>
  <c r="BA350" i="28"/>
  <c r="AZ350" i="28"/>
  <c r="BE350" i="28"/>
  <c r="AY350" i="28"/>
  <c r="AX350" i="28"/>
  <c r="AW350" i="28"/>
  <c r="AV350" i="28"/>
  <c r="AR350" i="28"/>
  <c r="BH349" i="28"/>
  <c r="BG349" i="28"/>
  <c r="BF349" i="28"/>
  <c r="BD349" i="28"/>
  <c r="BC349" i="28"/>
  <c r="BB349" i="28"/>
  <c r="BA349" i="28"/>
  <c r="AZ349" i="28"/>
  <c r="BE349" i="28"/>
  <c r="AY349" i="28"/>
  <c r="AX349" i="28"/>
  <c r="AW349" i="28"/>
  <c r="AV349" i="28"/>
  <c r="AR349" i="28"/>
  <c r="BH348" i="28"/>
  <c r="BG348" i="28"/>
  <c r="BF348" i="28"/>
  <c r="BD348" i="28"/>
  <c r="BC348" i="28"/>
  <c r="BB348" i="28"/>
  <c r="BA348" i="28"/>
  <c r="AZ348" i="28"/>
  <c r="BE348" i="28"/>
  <c r="AY348" i="28"/>
  <c r="AX348" i="28"/>
  <c r="AW348" i="28"/>
  <c r="AV348" i="28"/>
  <c r="AR348" i="28"/>
  <c r="BH347" i="28"/>
  <c r="BG347" i="28"/>
  <c r="BF347" i="28"/>
  <c r="BD347" i="28"/>
  <c r="BC347" i="28"/>
  <c r="BB347" i="28"/>
  <c r="BA347" i="28"/>
  <c r="AZ347" i="28"/>
  <c r="BE347" i="28"/>
  <c r="AY347" i="28"/>
  <c r="AX347" i="28"/>
  <c r="AW347" i="28"/>
  <c r="AV347" i="28"/>
  <c r="AR347" i="28"/>
  <c r="BH346" i="28"/>
  <c r="BG346" i="28"/>
  <c r="BF346" i="28"/>
  <c r="BD346" i="28"/>
  <c r="BC346" i="28"/>
  <c r="BB346" i="28"/>
  <c r="BA346" i="28"/>
  <c r="AZ346" i="28"/>
  <c r="BE346" i="28"/>
  <c r="AY346" i="28"/>
  <c r="AX346" i="28"/>
  <c r="AW346" i="28"/>
  <c r="AV346" i="28"/>
  <c r="AR346" i="28"/>
  <c r="BH345" i="28"/>
  <c r="BG345" i="28"/>
  <c r="BF345" i="28"/>
  <c r="BD345" i="28"/>
  <c r="BC345" i="28"/>
  <c r="BB345" i="28"/>
  <c r="BA345" i="28"/>
  <c r="AZ345" i="28"/>
  <c r="BE345" i="28"/>
  <c r="AY345" i="28"/>
  <c r="AX345" i="28"/>
  <c r="AW345" i="28"/>
  <c r="AV345" i="28"/>
  <c r="AR345" i="28"/>
  <c r="BH344" i="28"/>
  <c r="BG344" i="28"/>
  <c r="BF344" i="28"/>
  <c r="BD344" i="28"/>
  <c r="BC344" i="28"/>
  <c r="BB344" i="28"/>
  <c r="BA344" i="28"/>
  <c r="AZ344" i="28"/>
  <c r="BE344" i="28"/>
  <c r="AY344" i="28"/>
  <c r="AX344" i="28"/>
  <c r="AW344" i="28"/>
  <c r="AV344" i="28"/>
  <c r="AR344" i="28"/>
  <c r="AT344" i="28"/>
  <c r="BH343" i="28"/>
  <c r="BG343" i="28"/>
  <c r="BF343" i="28"/>
  <c r="BD343" i="28"/>
  <c r="BC343" i="28"/>
  <c r="BB343" i="28"/>
  <c r="BA343" i="28"/>
  <c r="AZ343" i="28"/>
  <c r="BE343" i="28"/>
  <c r="AY343" i="28"/>
  <c r="AX343" i="28"/>
  <c r="AW343" i="28"/>
  <c r="AV343" i="28"/>
  <c r="AR343" i="28"/>
  <c r="BH342" i="28"/>
  <c r="BG342" i="28"/>
  <c r="BF342" i="28"/>
  <c r="BD342" i="28"/>
  <c r="BC342" i="28"/>
  <c r="BB342" i="28"/>
  <c r="BA342" i="28"/>
  <c r="AZ342" i="28"/>
  <c r="BE342" i="28"/>
  <c r="AY342" i="28"/>
  <c r="AX342" i="28"/>
  <c r="AW342" i="28"/>
  <c r="AV342" i="28"/>
  <c r="AR342" i="28"/>
  <c r="AU342" i="28"/>
  <c r="BH341" i="28"/>
  <c r="BG341" i="28"/>
  <c r="BF341" i="28"/>
  <c r="BD341" i="28"/>
  <c r="BC341" i="28"/>
  <c r="BB341" i="28"/>
  <c r="BA341" i="28"/>
  <c r="AZ341" i="28"/>
  <c r="BE341" i="28"/>
  <c r="AY341" i="28"/>
  <c r="AX341" i="28"/>
  <c r="AW341" i="28"/>
  <c r="AV341" i="28"/>
  <c r="AR341" i="28"/>
  <c r="AT341" i="28"/>
  <c r="BH340" i="28"/>
  <c r="BG340" i="28"/>
  <c r="BF340" i="28"/>
  <c r="BD340" i="28"/>
  <c r="BC340" i="28"/>
  <c r="BB340" i="28"/>
  <c r="BA340" i="28"/>
  <c r="AZ340" i="28"/>
  <c r="BE340" i="28"/>
  <c r="AY340" i="28"/>
  <c r="AX340" i="28"/>
  <c r="AW340" i="28"/>
  <c r="AV340" i="28"/>
  <c r="AR340" i="28"/>
  <c r="BH339" i="28"/>
  <c r="BG339" i="28"/>
  <c r="BF339" i="28"/>
  <c r="BD339" i="28"/>
  <c r="BC339" i="28"/>
  <c r="BB339" i="28"/>
  <c r="BA339" i="28"/>
  <c r="AZ339" i="28"/>
  <c r="BE339" i="28"/>
  <c r="AY339" i="28"/>
  <c r="AX339" i="28"/>
  <c r="AW339" i="28"/>
  <c r="AV339" i="28"/>
  <c r="AR339" i="28"/>
  <c r="AS339" i="28"/>
  <c r="BH338" i="28"/>
  <c r="BG338" i="28"/>
  <c r="BF338" i="28"/>
  <c r="BD338" i="28"/>
  <c r="BC338" i="28"/>
  <c r="BB338" i="28"/>
  <c r="BA338" i="28"/>
  <c r="AZ338" i="28"/>
  <c r="BE338" i="28"/>
  <c r="AY338" i="28"/>
  <c r="AX338" i="28"/>
  <c r="AW338" i="28"/>
  <c r="AV338" i="28"/>
  <c r="AR338" i="28"/>
  <c r="BH337" i="28"/>
  <c r="BG337" i="28"/>
  <c r="BF337" i="28"/>
  <c r="BD337" i="28"/>
  <c r="BC337" i="28"/>
  <c r="BB337" i="28"/>
  <c r="BA337" i="28"/>
  <c r="AZ337" i="28"/>
  <c r="BE337" i="28"/>
  <c r="AY337" i="28"/>
  <c r="AX337" i="28"/>
  <c r="AW337" i="28"/>
  <c r="AV337" i="28"/>
  <c r="AR337" i="28"/>
  <c r="AS337" i="28"/>
  <c r="BH336" i="28"/>
  <c r="BG336" i="28"/>
  <c r="BF336" i="28"/>
  <c r="BD336" i="28"/>
  <c r="BC336" i="28"/>
  <c r="BB336" i="28"/>
  <c r="BA336" i="28"/>
  <c r="AZ336" i="28"/>
  <c r="BE336" i="28"/>
  <c r="AY336" i="28"/>
  <c r="AX336" i="28"/>
  <c r="AW336" i="28"/>
  <c r="AV336" i="28"/>
  <c r="AR336" i="28"/>
  <c r="AS336" i="28"/>
  <c r="BH335" i="28"/>
  <c r="BG335" i="28"/>
  <c r="BF335" i="28"/>
  <c r="BD335" i="28"/>
  <c r="BC335" i="28"/>
  <c r="BB335" i="28"/>
  <c r="BA335" i="28"/>
  <c r="AZ335" i="28"/>
  <c r="BE335" i="28"/>
  <c r="AY335" i="28"/>
  <c r="AX335" i="28"/>
  <c r="AW335" i="28"/>
  <c r="AV335" i="28"/>
  <c r="AR335" i="28"/>
  <c r="AS335" i="28"/>
  <c r="BH334" i="28"/>
  <c r="BG334" i="28"/>
  <c r="BF334" i="28"/>
  <c r="BD334" i="28"/>
  <c r="BC334" i="28"/>
  <c r="BB334" i="28"/>
  <c r="BA334" i="28"/>
  <c r="AZ334" i="28"/>
  <c r="BE334" i="28"/>
  <c r="AY334" i="28"/>
  <c r="AX334" i="28"/>
  <c r="AW334" i="28"/>
  <c r="AV334" i="28"/>
  <c r="AR334" i="28"/>
  <c r="BH333" i="28"/>
  <c r="BG333" i="28"/>
  <c r="BF333" i="28"/>
  <c r="BD333" i="28"/>
  <c r="BC333" i="28"/>
  <c r="BB333" i="28"/>
  <c r="BA333" i="28"/>
  <c r="AZ333" i="28"/>
  <c r="BE333" i="28"/>
  <c r="AY333" i="28"/>
  <c r="AX333" i="28"/>
  <c r="AW333" i="28"/>
  <c r="AV333" i="28"/>
  <c r="AR333" i="28"/>
  <c r="BH332" i="28"/>
  <c r="BG332" i="28"/>
  <c r="BF332" i="28"/>
  <c r="BD332" i="28"/>
  <c r="BC332" i="28"/>
  <c r="BB332" i="28"/>
  <c r="BA332" i="28"/>
  <c r="AZ332" i="28"/>
  <c r="BE332" i="28"/>
  <c r="AY332" i="28"/>
  <c r="AX332" i="28"/>
  <c r="AW332" i="28"/>
  <c r="AV332" i="28"/>
  <c r="AR332" i="28"/>
  <c r="BH331" i="28"/>
  <c r="BG331" i="28"/>
  <c r="BF331" i="28"/>
  <c r="BD331" i="28"/>
  <c r="BC331" i="28"/>
  <c r="BB331" i="28"/>
  <c r="BA331" i="28"/>
  <c r="AZ331" i="28"/>
  <c r="BE331" i="28"/>
  <c r="AY331" i="28"/>
  <c r="AX331" i="28"/>
  <c r="AW331" i="28"/>
  <c r="AV331" i="28"/>
  <c r="AR331" i="28"/>
  <c r="BH330" i="28"/>
  <c r="BG330" i="28"/>
  <c r="BF330" i="28"/>
  <c r="BD330" i="28"/>
  <c r="BC330" i="28"/>
  <c r="BB330" i="28"/>
  <c r="BA330" i="28"/>
  <c r="AZ330" i="28"/>
  <c r="BE330" i="28"/>
  <c r="AY330" i="28"/>
  <c r="AX330" i="28"/>
  <c r="AW330" i="28"/>
  <c r="AV330" i="28"/>
  <c r="AR330" i="28"/>
  <c r="AU330" i="28"/>
  <c r="BH329" i="28"/>
  <c r="BG329" i="28"/>
  <c r="BF329" i="28"/>
  <c r="BD329" i="28"/>
  <c r="BC329" i="28"/>
  <c r="BB329" i="28"/>
  <c r="BA329" i="28"/>
  <c r="AZ329" i="28"/>
  <c r="BE329" i="28"/>
  <c r="AY329" i="28"/>
  <c r="AX329" i="28"/>
  <c r="AW329" i="28"/>
  <c r="AV329" i="28"/>
  <c r="AR329" i="28"/>
  <c r="AS329" i="28"/>
  <c r="BH328" i="28"/>
  <c r="BG328" i="28"/>
  <c r="BF328" i="28"/>
  <c r="BD328" i="28"/>
  <c r="BC328" i="28"/>
  <c r="BB328" i="28"/>
  <c r="BA328" i="28"/>
  <c r="AZ328" i="28"/>
  <c r="BE328" i="28"/>
  <c r="AY328" i="28"/>
  <c r="AX328" i="28"/>
  <c r="AW328" i="28"/>
  <c r="AV328" i="28"/>
  <c r="AR328" i="28"/>
  <c r="BH327" i="28"/>
  <c r="BG327" i="28"/>
  <c r="BF327" i="28"/>
  <c r="BD327" i="28"/>
  <c r="BC327" i="28"/>
  <c r="BB327" i="28"/>
  <c r="BA327" i="28"/>
  <c r="AZ327" i="28"/>
  <c r="BE327" i="28"/>
  <c r="AY327" i="28"/>
  <c r="AX327" i="28"/>
  <c r="AW327" i="28"/>
  <c r="AV327" i="28"/>
  <c r="AR327" i="28"/>
  <c r="BH326" i="28"/>
  <c r="BG326" i="28"/>
  <c r="BF326" i="28"/>
  <c r="BD326" i="28"/>
  <c r="BC326" i="28"/>
  <c r="BB326" i="28"/>
  <c r="BA326" i="28"/>
  <c r="AZ326" i="28"/>
  <c r="BE326" i="28"/>
  <c r="AY326" i="28"/>
  <c r="AX326" i="28"/>
  <c r="AW326" i="28"/>
  <c r="AV326" i="28"/>
  <c r="AR326" i="28"/>
  <c r="BH325" i="28"/>
  <c r="BG325" i="28"/>
  <c r="BF325" i="28"/>
  <c r="BD325" i="28"/>
  <c r="BC325" i="28"/>
  <c r="BB325" i="28"/>
  <c r="BA325" i="28"/>
  <c r="AZ325" i="28"/>
  <c r="BE325" i="28"/>
  <c r="AY325" i="28"/>
  <c r="AX325" i="28"/>
  <c r="AW325" i="28"/>
  <c r="AV325" i="28"/>
  <c r="AR325" i="28"/>
  <c r="BH324" i="28"/>
  <c r="BG324" i="28"/>
  <c r="BF324" i="28"/>
  <c r="BD324" i="28"/>
  <c r="BC324" i="28"/>
  <c r="BB324" i="28"/>
  <c r="BA324" i="28"/>
  <c r="AZ324" i="28"/>
  <c r="BE324" i="28"/>
  <c r="AY324" i="28"/>
  <c r="AX324" i="28"/>
  <c r="AW324" i="28"/>
  <c r="AV324" i="28"/>
  <c r="AR324" i="28"/>
  <c r="BH323" i="28"/>
  <c r="BG323" i="28"/>
  <c r="BF323" i="28"/>
  <c r="BD323" i="28"/>
  <c r="BC323" i="28"/>
  <c r="BB323" i="28"/>
  <c r="BA323" i="28"/>
  <c r="AZ323" i="28"/>
  <c r="BE323" i="28"/>
  <c r="AY323" i="28"/>
  <c r="AX323" i="28"/>
  <c r="AW323" i="28"/>
  <c r="AV323" i="28"/>
  <c r="AR323" i="28"/>
  <c r="AS323" i="28"/>
  <c r="BH322" i="28"/>
  <c r="BG322" i="28"/>
  <c r="BF322" i="28"/>
  <c r="BD322" i="28"/>
  <c r="BC322" i="28"/>
  <c r="BB322" i="28"/>
  <c r="BA322" i="28"/>
  <c r="AZ322" i="28"/>
  <c r="BE322" i="28"/>
  <c r="AY322" i="28"/>
  <c r="AX322" i="28"/>
  <c r="AW322" i="28"/>
  <c r="AV322" i="28"/>
  <c r="AR322" i="28"/>
  <c r="BH321" i="28"/>
  <c r="BG321" i="28"/>
  <c r="BF321" i="28"/>
  <c r="BD321" i="28"/>
  <c r="BC321" i="28"/>
  <c r="BB321" i="28"/>
  <c r="BA321" i="28"/>
  <c r="AZ321" i="28"/>
  <c r="BE321" i="28"/>
  <c r="AY321" i="28"/>
  <c r="AX321" i="28"/>
  <c r="AW321" i="28"/>
  <c r="AV321" i="28"/>
  <c r="AR321" i="28"/>
  <c r="BH320" i="28"/>
  <c r="BG320" i="28"/>
  <c r="BF320" i="28"/>
  <c r="BD320" i="28"/>
  <c r="BC320" i="28"/>
  <c r="BB320" i="28"/>
  <c r="BA320" i="28"/>
  <c r="AZ320" i="28"/>
  <c r="BE320" i="28"/>
  <c r="AY320" i="28"/>
  <c r="AX320" i="28"/>
  <c r="AW320" i="28"/>
  <c r="AV320" i="28"/>
  <c r="AR320" i="28"/>
  <c r="AU320" i="28"/>
  <c r="BH319" i="28"/>
  <c r="BG319" i="28"/>
  <c r="BF319" i="28"/>
  <c r="BD319" i="28"/>
  <c r="BC319" i="28"/>
  <c r="BB319" i="28"/>
  <c r="BA319" i="28"/>
  <c r="AZ319" i="28"/>
  <c r="BE319" i="28"/>
  <c r="AY319" i="28"/>
  <c r="AX319" i="28"/>
  <c r="AW319" i="28"/>
  <c r="AV319" i="28"/>
  <c r="AR319" i="28"/>
  <c r="BH318" i="28"/>
  <c r="BG318" i="28"/>
  <c r="BF318" i="28"/>
  <c r="BD318" i="28"/>
  <c r="BC318" i="28"/>
  <c r="BB318" i="28"/>
  <c r="BA318" i="28"/>
  <c r="AZ318" i="28"/>
  <c r="BE318" i="28"/>
  <c r="AY318" i="28"/>
  <c r="AX318" i="28"/>
  <c r="AW318" i="28"/>
  <c r="AV318" i="28"/>
  <c r="AR318" i="28"/>
  <c r="BH317" i="28"/>
  <c r="BG317" i="28"/>
  <c r="BF317" i="28"/>
  <c r="BD317" i="28"/>
  <c r="BC317" i="28"/>
  <c r="BB317" i="28"/>
  <c r="BA317" i="28"/>
  <c r="AZ317" i="28"/>
  <c r="BE317" i="28"/>
  <c r="AY317" i="28"/>
  <c r="AX317" i="28"/>
  <c r="AW317" i="28"/>
  <c r="AV317" i="28"/>
  <c r="AR317" i="28"/>
  <c r="BH316" i="28"/>
  <c r="BG316" i="28"/>
  <c r="BF316" i="28"/>
  <c r="BD316" i="28"/>
  <c r="BC316" i="28"/>
  <c r="BB316" i="28"/>
  <c r="BA316" i="28"/>
  <c r="AZ316" i="28"/>
  <c r="BE316" i="28"/>
  <c r="AY316" i="28"/>
  <c r="AX316" i="28"/>
  <c r="AW316" i="28"/>
  <c r="AV316" i="28"/>
  <c r="AR316" i="28"/>
  <c r="BH315" i="28"/>
  <c r="BG315" i="28"/>
  <c r="BF315" i="28"/>
  <c r="BD315" i="28"/>
  <c r="BC315" i="28"/>
  <c r="BB315" i="28"/>
  <c r="BA315" i="28"/>
  <c r="AZ315" i="28"/>
  <c r="BE315" i="28"/>
  <c r="AY315" i="28"/>
  <c r="AX315" i="28"/>
  <c r="AW315" i="28"/>
  <c r="AV315" i="28"/>
  <c r="AR315" i="28"/>
  <c r="BH314" i="28"/>
  <c r="BG314" i="28"/>
  <c r="BF314" i="28"/>
  <c r="BD314" i="28"/>
  <c r="BC314" i="28"/>
  <c r="BB314" i="28"/>
  <c r="BA314" i="28"/>
  <c r="AZ314" i="28"/>
  <c r="BE314" i="28"/>
  <c r="AY314" i="28"/>
  <c r="AX314" i="28"/>
  <c r="AW314" i="28"/>
  <c r="AV314" i="28"/>
  <c r="AR314" i="28"/>
  <c r="BH313" i="28"/>
  <c r="BG313" i="28"/>
  <c r="BF313" i="28"/>
  <c r="BD313" i="28"/>
  <c r="BC313" i="28"/>
  <c r="BB313" i="28"/>
  <c r="BA313" i="28"/>
  <c r="AZ313" i="28"/>
  <c r="BE313" i="28"/>
  <c r="AY313" i="28"/>
  <c r="AX313" i="28"/>
  <c r="AW313" i="28"/>
  <c r="AV313" i="28"/>
  <c r="AR313" i="28"/>
  <c r="BH312" i="28"/>
  <c r="BG312" i="28"/>
  <c r="BF312" i="28"/>
  <c r="BD312" i="28"/>
  <c r="BC312" i="28"/>
  <c r="BB312" i="28"/>
  <c r="BA312" i="28"/>
  <c r="AZ312" i="28"/>
  <c r="BE312" i="28"/>
  <c r="AY312" i="28"/>
  <c r="AX312" i="28"/>
  <c r="AW312" i="28"/>
  <c r="AV312" i="28"/>
  <c r="AR312" i="28"/>
  <c r="BH311" i="28"/>
  <c r="BG311" i="28"/>
  <c r="BF311" i="28"/>
  <c r="BD311" i="28"/>
  <c r="BC311" i="28"/>
  <c r="BB311" i="28"/>
  <c r="BA311" i="28"/>
  <c r="AZ311" i="28"/>
  <c r="BE311" i="28"/>
  <c r="AY311" i="28"/>
  <c r="AX311" i="28"/>
  <c r="AW311" i="28"/>
  <c r="AV311" i="28"/>
  <c r="AR311" i="28"/>
  <c r="BH310" i="28"/>
  <c r="BG310" i="28"/>
  <c r="BF310" i="28"/>
  <c r="BD310" i="28"/>
  <c r="BC310" i="28"/>
  <c r="BB310" i="28"/>
  <c r="BA310" i="28"/>
  <c r="AZ310" i="28"/>
  <c r="BE310" i="28"/>
  <c r="AY310" i="28"/>
  <c r="AX310" i="28"/>
  <c r="AW310" i="28"/>
  <c r="AV310" i="28"/>
  <c r="AR310" i="28"/>
  <c r="AT310" i="28"/>
  <c r="BH309" i="28"/>
  <c r="BG309" i="28"/>
  <c r="BF309" i="28"/>
  <c r="BD309" i="28"/>
  <c r="BC309" i="28"/>
  <c r="BB309" i="28"/>
  <c r="BA309" i="28"/>
  <c r="AZ309" i="28"/>
  <c r="BE309" i="28"/>
  <c r="AY309" i="28"/>
  <c r="AX309" i="28"/>
  <c r="AW309" i="28"/>
  <c r="AV309" i="28"/>
  <c r="AR309" i="28"/>
  <c r="BH308" i="28"/>
  <c r="BG308" i="28"/>
  <c r="BF308" i="28"/>
  <c r="BD308" i="28"/>
  <c r="BC308" i="28"/>
  <c r="BB308" i="28"/>
  <c r="BA308" i="28"/>
  <c r="AZ308" i="28"/>
  <c r="BE308" i="28"/>
  <c r="AY308" i="28"/>
  <c r="AX308" i="28"/>
  <c r="AW308" i="28"/>
  <c r="AV308" i="28"/>
  <c r="AR308" i="28"/>
  <c r="BH307" i="28"/>
  <c r="BG307" i="28"/>
  <c r="BF307" i="28"/>
  <c r="BD307" i="28"/>
  <c r="BC307" i="28"/>
  <c r="BB307" i="28"/>
  <c r="BA307" i="28"/>
  <c r="AZ307" i="28"/>
  <c r="BE307" i="28"/>
  <c r="AY307" i="28"/>
  <c r="AX307" i="28"/>
  <c r="AW307" i="28"/>
  <c r="AV307" i="28"/>
  <c r="AR307" i="28"/>
  <c r="BH306" i="28"/>
  <c r="BG306" i="28"/>
  <c r="BF306" i="28"/>
  <c r="BD306" i="28"/>
  <c r="BC306" i="28"/>
  <c r="BB306" i="28"/>
  <c r="BA306" i="28"/>
  <c r="AZ306" i="28"/>
  <c r="BE306" i="28"/>
  <c r="AY306" i="28"/>
  <c r="AX306" i="28"/>
  <c r="AW306" i="28"/>
  <c r="AV306" i="28"/>
  <c r="AR306" i="28"/>
  <c r="BH305" i="28"/>
  <c r="BG305" i="28"/>
  <c r="BF305" i="28"/>
  <c r="BD305" i="28"/>
  <c r="BC305" i="28"/>
  <c r="BB305" i="28"/>
  <c r="BA305" i="28"/>
  <c r="AZ305" i="28"/>
  <c r="BE305" i="28"/>
  <c r="AY305" i="28"/>
  <c r="AX305" i="28"/>
  <c r="AW305" i="28"/>
  <c r="AV305" i="28"/>
  <c r="AR305" i="28"/>
  <c r="BH304" i="28"/>
  <c r="BG304" i="28"/>
  <c r="BF304" i="28"/>
  <c r="BD304" i="28"/>
  <c r="BC304" i="28"/>
  <c r="BB304" i="28"/>
  <c r="BA304" i="28"/>
  <c r="AZ304" i="28"/>
  <c r="BE304" i="28"/>
  <c r="AY304" i="28"/>
  <c r="AX304" i="28"/>
  <c r="AW304" i="28"/>
  <c r="AV304" i="28"/>
  <c r="AR304" i="28"/>
  <c r="BH303" i="28"/>
  <c r="BG303" i="28"/>
  <c r="BF303" i="28"/>
  <c r="BD303" i="28"/>
  <c r="BC303" i="28"/>
  <c r="BB303" i="28"/>
  <c r="BA303" i="28"/>
  <c r="AZ303" i="28"/>
  <c r="BE303" i="28"/>
  <c r="AY303" i="28"/>
  <c r="AX303" i="28"/>
  <c r="AW303" i="28"/>
  <c r="AV303" i="28"/>
  <c r="AR303" i="28"/>
  <c r="BH302" i="28"/>
  <c r="BG302" i="28"/>
  <c r="BF302" i="28"/>
  <c r="BD302" i="28"/>
  <c r="BC302" i="28"/>
  <c r="BB302" i="28"/>
  <c r="BA302" i="28"/>
  <c r="AZ302" i="28"/>
  <c r="BE302" i="28"/>
  <c r="AY302" i="28"/>
  <c r="AX302" i="28"/>
  <c r="AW302" i="28"/>
  <c r="AV302" i="28"/>
  <c r="AR302" i="28"/>
  <c r="BH301" i="28"/>
  <c r="BG301" i="28"/>
  <c r="BF301" i="28"/>
  <c r="BD301" i="28"/>
  <c r="BC301" i="28"/>
  <c r="BB301" i="28"/>
  <c r="BA301" i="28"/>
  <c r="AZ301" i="28"/>
  <c r="BE301" i="28"/>
  <c r="AY301" i="28"/>
  <c r="AX301" i="28"/>
  <c r="AW301" i="28"/>
  <c r="AV301" i="28"/>
  <c r="AR301" i="28"/>
  <c r="BH300" i="28"/>
  <c r="BG300" i="28"/>
  <c r="BF300" i="28"/>
  <c r="BD300" i="28"/>
  <c r="BC300" i="28"/>
  <c r="BB300" i="28"/>
  <c r="BA300" i="28"/>
  <c r="AZ300" i="28"/>
  <c r="BE300" i="28"/>
  <c r="AY300" i="28"/>
  <c r="AX300" i="28"/>
  <c r="AW300" i="28"/>
  <c r="AV300" i="28"/>
  <c r="AR300" i="28"/>
  <c r="BH299" i="28"/>
  <c r="BG299" i="28"/>
  <c r="BF299" i="28"/>
  <c r="BD299" i="28"/>
  <c r="BC299" i="28"/>
  <c r="BB299" i="28"/>
  <c r="BA299" i="28"/>
  <c r="AZ299" i="28"/>
  <c r="BE299" i="28"/>
  <c r="AY299" i="28"/>
  <c r="AX299" i="28"/>
  <c r="AW299" i="28"/>
  <c r="AV299" i="28"/>
  <c r="AR299" i="28"/>
  <c r="BH298" i="28"/>
  <c r="BG298" i="28"/>
  <c r="BF298" i="28"/>
  <c r="BD298" i="28"/>
  <c r="BC298" i="28"/>
  <c r="BB298" i="28"/>
  <c r="BA298" i="28"/>
  <c r="AZ298" i="28"/>
  <c r="BE298" i="28"/>
  <c r="AY298" i="28"/>
  <c r="AX298" i="28"/>
  <c r="AW298" i="28"/>
  <c r="AV298" i="28"/>
  <c r="AR298" i="28"/>
  <c r="BH297" i="28"/>
  <c r="BG297" i="28"/>
  <c r="BF297" i="28"/>
  <c r="BD297" i="28"/>
  <c r="BC297" i="28"/>
  <c r="BB297" i="28"/>
  <c r="BA297" i="28"/>
  <c r="AZ297" i="28"/>
  <c r="BE297" i="28"/>
  <c r="AY297" i="28"/>
  <c r="AX297" i="28"/>
  <c r="AW297" i="28"/>
  <c r="AV297" i="28"/>
  <c r="AR297" i="28"/>
  <c r="BH296" i="28"/>
  <c r="BG296" i="28"/>
  <c r="BF296" i="28"/>
  <c r="BD296" i="28"/>
  <c r="BC296" i="28"/>
  <c r="BB296" i="28"/>
  <c r="BA296" i="28"/>
  <c r="AZ296" i="28"/>
  <c r="BE296" i="28"/>
  <c r="AY296" i="28"/>
  <c r="AX296" i="28"/>
  <c r="AW296" i="28"/>
  <c r="AV296" i="28"/>
  <c r="AR296" i="28"/>
  <c r="BH295" i="28"/>
  <c r="BG295" i="28"/>
  <c r="BF295" i="28"/>
  <c r="BD295" i="28"/>
  <c r="BC295" i="28"/>
  <c r="BB295" i="28"/>
  <c r="BA295" i="28"/>
  <c r="AZ295" i="28"/>
  <c r="BE295" i="28"/>
  <c r="AY295" i="28"/>
  <c r="AX295" i="28"/>
  <c r="AW295" i="28"/>
  <c r="AV295" i="28"/>
  <c r="AR295" i="28"/>
  <c r="BH294" i="28"/>
  <c r="BG294" i="28"/>
  <c r="BF294" i="28"/>
  <c r="BD294" i="28"/>
  <c r="BC294" i="28"/>
  <c r="BB294" i="28"/>
  <c r="BA294" i="28"/>
  <c r="AZ294" i="28"/>
  <c r="BE294" i="28"/>
  <c r="AY294" i="28"/>
  <c r="AX294" i="28"/>
  <c r="AW294" i="28"/>
  <c r="AV294" i="28"/>
  <c r="AR294" i="28"/>
  <c r="BH293" i="28"/>
  <c r="BG293" i="28"/>
  <c r="BF293" i="28"/>
  <c r="BD293" i="28"/>
  <c r="BC293" i="28"/>
  <c r="BB293" i="28"/>
  <c r="BA293" i="28"/>
  <c r="AZ293" i="28"/>
  <c r="BE293" i="28"/>
  <c r="AY293" i="28"/>
  <c r="AX293" i="28"/>
  <c r="AW293" i="28"/>
  <c r="AV293" i="28"/>
  <c r="AR293" i="28"/>
  <c r="BH292" i="28"/>
  <c r="BG292" i="28"/>
  <c r="BF292" i="28"/>
  <c r="BD292" i="28"/>
  <c r="BC292" i="28"/>
  <c r="BB292" i="28"/>
  <c r="BA292" i="28"/>
  <c r="AZ292" i="28"/>
  <c r="BE292" i="28"/>
  <c r="AY292" i="28"/>
  <c r="AX292" i="28"/>
  <c r="AW292" i="28"/>
  <c r="AV292" i="28"/>
  <c r="AR292" i="28"/>
  <c r="AU292" i="28"/>
  <c r="BH291" i="28"/>
  <c r="BG291" i="28"/>
  <c r="BF291" i="28"/>
  <c r="BD291" i="28"/>
  <c r="BC291" i="28"/>
  <c r="BB291" i="28"/>
  <c r="BA291" i="28"/>
  <c r="AZ291" i="28"/>
  <c r="BE291" i="28"/>
  <c r="AY291" i="28"/>
  <c r="AX291" i="28"/>
  <c r="AW291" i="28"/>
  <c r="AV291" i="28"/>
  <c r="AR291" i="28"/>
  <c r="BH290" i="28"/>
  <c r="BG290" i="28"/>
  <c r="BF290" i="28"/>
  <c r="BD290" i="28"/>
  <c r="BC290" i="28"/>
  <c r="BB290" i="28"/>
  <c r="BA290" i="28"/>
  <c r="AZ290" i="28"/>
  <c r="BE290" i="28"/>
  <c r="AY290" i="28"/>
  <c r="AX290" i="28"/>
  <c r="AW290" i="28"/>
  <c r="AV290" i="28"/>
  <c r="AR290" i="28"/>
  <c r="BH289" i="28"/>
  <c r="BG289" i="28"/>
  <c r="BF289" i="28"/>
  <c r="BD289" i="28"/>
  <c r="BC289" i="28"/>
  <c r="BB289" i="28"/>
  <c r="BA289" i="28"/>
  <c r="AZ289" i="28"/>
  <c r="BE289" i="28"/>
  <c r="AY289" i="28"/>
  <c r="AX289" i="28"/>
  <c r="AW289" i="28"/>
  <c r="AV289" i="28"/>
  <c r="AR289" i="28"/>
  <c r="AS289" i="28"/>
  <c r="BH288" i="28"/>
  <c r="BG288" i="28"/>
  <c r="BF288" i="28"/>
  <c r="BD288" i="28"/>
  <c r="BC288" i="28"/>
  <c r="BB288" i="28"/>
  <c r="BA288" i="28"/>
  <c r="AZ288" i="28"/>
  <c r="BE288" i="28"/>
  <c r="AY288" i="28"/>
  <c r="AX288" i="28"/>
  <c r="AW288" i="28"/>
  <c r="AV288" i="28"/>
  <c r="AR288" i="28"/>
  <c r="BH287" i="28"/>
  <c r="BG287" i="28"/>
  <c r="BF287" i="28"/>
  <c r="BD287" i="28"/>
  <c r="BC287" i="28"/>
  <c r="BB287" i="28"/>
  <c r="BA287" i="28"/>
  <c r="AZ287" i="28"/>
  <c r="BE287" i="28"/>
  <c r="AY287" i="28"/>
  <c r="AX287" i="28"/>
  <c r="AW287" i="28"/>
  <c r="AV287" i="28"/>
  <c r="AR287" i="28"/>
  <c r="BH286" i="28"/>
  <c r="BG286" i="28"/>
  <c r="BF286" i="28"/>
  <c r="BD286" i="28"/>
  <c r="BC286" i="28"/>
  <c r="BB286" i="28"/>
  <c r="BA286" i="28"/>
  <c r="AZ286" i="28"/>
  <c r="BE286" i="28"/>
  <c r="AY286" i="28"/>
  <c r="AX286" i="28"/>
  <c r="AW286" i="28"/>
  <c r="AV286" i="28"/>
  <c r="AR286" i="28"/>
  <c r="BH285" i="28"/>
  <c r="BG285" i="28"/>
  <c r="BF285" i="28"/>
  <c r="BD285" i="28"/>
  <c r="BC285" i="28"/>
  <c r="BB285" i="28"/>
  <c r="BA285" i="28"/>
  <c r="AZ285" i="28"/>
  <c r="BE285" i="28"/>
  <c r="AY285" i="28"/>
  <c r="AX285" i="28"/>
  <c r="AW285" i="28"/>
  <c r="AV285" i="28"/>
  <c r="AR285" i="28"/>
  <c r="BH284" i="28"/>
  <c r="BG284" i="28"/>
  <c r="BF284" i="28"/>
  <c r="BD284" i="28"/>
  <c r="BC284" i="28"/>
  <c r="BB284" i="28"/>
  <c r="BA284" i="28"/>
  <c r="AZ284" i="28"/>
  <c r="BE284" i="28"/>
  <c r="AY284" i="28"/>
  <c r="AX284" i="28"/>
  <c r="AW284" i="28"/>
  <c r="AV284" i="28"/>
  <c r="AR284" i="28"/>
  <c r="AT284" i="28"/>
  <c r="BH283" i="28"/>
  <c r="BG283" i="28"/>
  <c r="BF283" i="28"/>
  <c r="BD283" i="28"/>
  <c r="BC283" i="28"/>
  <c r="BB283" i="28"/>
  <c r="BA283" i="28"/>
  <c r="AZ283" i="28"/>
  <c r="BE283" i="28"/>
  <c r="AY283" i="28"/>
  <c r="AX283" i="28"/>
  <c r="AW283" i="28"/>
  <c r="AV283" i="28"/>
  <c r="AR283" i="28"/>
  <c r="BH282" i="28"/>
  <c r="BG282" i="28"/>
  <c r="BF282" i="28"/>
  <c r="BD282" i="28"/>
  <c r="BC282" i="28"/>
  <c r="BB282" i="28"/>
  <c r="BA282" i="28"/>
  <c r="AZ282" i="28"/>
  <c r="BE282" i="28"/>
  <c r="AY282" i="28"/>
  <c r="AX282" i="28"/>
  <c r="AW282" i="28"/>
  <c r="AV282" i="28"/>
  <c r="AR282" i="28"/>
  <c r="AT282" i="28"/>
  <c r="BH281" i="28"/>
  <c r="BG281" i="28"/>
  <c r="BF281" i="28"/>
  <c r="BD281" i="28"/>
  <c r="BC281" i="28"/>
  <c r="BB281" i="28"/>
  <c r="BA281" i="28"/>
  <c r="AZ281" i="28"/>
  <c r="BE281" i="28"/>
  <c r="AY281" i="28"/>
  <c r="AX281" i="28"/>
  <c r="AW281" i="28"/>
  <c r="AV281" i="28"/>
  <c r="AR281" i="28"/>
  <c r="BH280" i="28"/>
  <c r="BG280" i="28"/>
  <c r="BF280" i="28"/>
  <c r="BD280" i="28"/>
  <c r="BC280" i="28"/>
  <c r="BB280" i="28"/>
  <c r="BA280" i="28"/>
  <c r="AZ280" i="28"/>
  <c r="BE280" i="28"/>
  <c r="AY280" i="28"/>
  <c r="AX280" i="28"/>
  <c r="AW280" i="28"/>
  <c r="AV280" i="28"/>
  <c r="AR280" i="28"/>
  <c r="BH279" i="28"/>
  <c r="BG279" i="28"/>
  <c r="BF279" i="28"/>
  <c r="BD279" i="28"/>
  <c r="BC279" i="28"/>
  <c r="BB279" i="28"/>
  <c r="BA279" i="28"/>
  <c r="AZ279" i="28"/>
  <c r="BE279" i="28"/>
  <c r="AY279" i="28"/>
  <c r="AX279" i="28"/>
  <c r="AW279" i="28"/>
  <c r="AV279" i="28"/>
  <c r="AR279" i="28"/>
  <c r="BH278" i="28"/>
  <c r="BG278" i="28"/>
  <c r="BF278" i="28"/>
  <c r="BD278" i="28"/>
  <c r="BC278" i="28"/>
  <c r="BB278" i="28"/>
  <c r="BA278" i="28"/>
  <c r="AZ278" i="28"/>
  <c r="BE278" i="28"/>
  <c r="AY278" i="28"/>
  <c r="AX278" i="28"/>
  <c r="AW278" i="28"/>
  <c r="AV278" i="28"/>
  <c r="AR278" i="28"/>
  <c r="BH277" i="28"/>
  <c r="BG277" i="28"/>
  <c r="BF277" i="28"/>
  <c r="BD277" i="28"/>
  <c r="BC277" i="28"/>
  <c r="BB277" i="28"/>
  <c r="BA277" i="28"/>
  <c r="AZ277" i="28"/>
  <c r="BE277" i="28"/>
  <c r="AY277" i="28"/>
  <c r="AX277" i="28"/>
  <c r="AW277" i="28"/>
  <c r="AV277" i="28"/>
  <c r="AR277" i="28"/>
  <c r="BH276" i="28"/>
  <c r="BG276" i="28"/>
  <c r="BF276" i="28"/>
  <c r="BD276" i="28"/>
  <c r="BC276" i="28"/>
  <c r="BB276" i="28"/>
  <c r="BA276" i="28"/>
  <c r="AZ276" i="28"/>
  <c r="BE276" i="28"/>
  <c r="AY276" i="28"/>
  <c r="AX276" i="28"/>
  <c r="AW276" i="28"/>
  <c r="AV276" i="28"/>
  <c r="AR276" i="28"/>
  <c r="BH275" i="28"/>
  <c r="BG275" i="28"/>
  <c r="BF275" i="28"/>
  <c r="BD275" i="28"/>
  <c r="BC275" i="28"/>
  <c r="BB275" i="28"/>
  <c r="BA275" i="28"/>
  <c r="AZ275" i="28"/>
  <c r="BE275" i="28"/>
  <c r="AY275" i="28"/>
  <c r="AX275" i="28"/>
  <c r="AW275" i="28"/>
  <c r="AV275" i="28"/>
  <c r="AR275" i="28"/>
  <c r="BH274" i="28"/>
  <c r="BG274" i="28"/>
  <c r="BF274" i="28"/>
  <c r="BD274" i="28"/>
  <c r="BC274" i="28"/>
  <c r="BB274" i="28"/>
  <c r="BA274" i="28"/>
  <c r="AZ274" i="28"/>
  <c r="BE274" i="28"/>
  <c r="AY274" i="28"/>
  <c r="AX274" i="28"/>
  <c r="AW274" i="28"/>
  <c r="AV274" i="28"/>
  <c r="AR274" i="28"/>
  <c r="BH273" i="28"/>
  <c r="BG273" i="28"/>
  <c r="BF273" i="28"/>
  <c r="BD273" i="28"/>
  <c r="BC273" i="28"/>
  <c r="BB273" i="28"/>
  <c r="BA273" i="28"/>
  <c r="AZ273" i="28"/>
  <c r="BE273" i="28"/>
  <c r="AY273" i="28"/>
  <c r="AX273" i="28"/>
  <c r="AW273" i="28"/>
  <c r="AV273" i="28"/>
  <c r="AR273" i="28"/>
  <c r="BH272" i="28"/>
  <c r="BG272" i="28"/>
  <c r="BF272" i="28"/>
  <c r="BD272" i="28"/>
  <c r="BC272" i="28"/>
  <c r="BB272" i="28"/>
  <c r="BA272" i="28"/>
  <c r="AZ272" i="28"/>
  <c r="BE272" i="28"/>
  <c r="AY272" i="28"/>
  <c r="AX272" i="28"/>
  <c r="AW272" i="28"/>
  <c r="AV272" i="28"/>
  <c r="AR272" i="28"/>
  <c r="BH271" i="28"/>
  <c r="BG271" i="28"/>
  <c r="BF271" i="28"/>
  <c r="BD271" i="28"/>
  <c r="BC271" i="28"/>
  <c r="BB271" i="28"/>
  <c r="BA271" i="28"/>
  <c r="AZ271" i="28"/>
  <c r="BE271" i="28"/>
  <c r="AY271" i="28"/>
  <c r="AX271" i="28"/>
  <c r="AW271" i="28"/>
  <c r="AV271" i="28"/>
  <c r="AR271" i="28"/>
  <c r="BH270" i="28"/>
  <c r="BG270" i="28"/>
  <c r="BF270" i="28"/>
  <c r="BD270" i="28"/>
  <c r="BC270" i="28"/>
  <c r="BB270" i="28"/>
  <c r="BA270" i="28"/>
  <c r="AZ270" i="28"/>
  <c r="BE270" i="28"/>
  <c r="AY270" i="28"/>
  <c r="AX270" i="28"/>
  <c r="AW270" i="28"/>
  <c r="AV270" i="28"/>
  <c r="AR270" i="28"/>
  <c r="BH269" i="28"/>
  <c r="BG269" i="28"/>
  <c r="BF269" i="28"/>
  <c r="BD269" i="28"/>
  <c r="BC269" i="28"/>
  <c r="BB269" i="28"/>
  <c r="BA269" i="28"/>
  <c r="AZ269" i="28"/>
  <c r="BE269" i="28"/>
  <c r="AY269" i="28"/>
  <c r="AX269" i="28"/>
  <c r="AW269" i="28"/>
  <c r="AV269" i="28"/>
  <c r="AR269" i="28"/>
  <c r="BH268" i="28"/>
  <c r="BG268" i="28"/>
  <c r="BF268" i="28"/>
  <c r="BD268" i="28"/>
  <c r="BC268" i="28"/>
  <c r="BB268" i="28"/>
  <c r="BA268" i="28"/>
  <c r="AZ268" i="28"/>
  <c r="BE268" i="28"/>
  <c r="AY268" i="28"/>
  <c r="AX268" i="28"/>
  <c r="AW268" i="28"/>
  <c r="AV268" i="28"/>
  <c r="AR268" i="28"/>
  <c r="BH267" i="28"/>
  <c r="BG267" i="28"/>
  <c r="BF267" i="28"/>
  <c r="BD267" i="28"/>
  <c r="BC267" i="28"/>
  <c r="BB267" i="28"/>
  <c r="BA267" i="28"/>
  <c r="AZ267" i="28"/>
  <c r="BE267" i="28"/>
  <c r="AY267" i="28"/>
  <c r="AX267" i="28"/>
  <c r="AW267" i="28"/>
  <c r="AV267" i="28"/>
  <c r="AR267" i="28"/>
  <c r="BH266" i="28"/>
  <c r="BG266" i="28"/>
  <c r="BF266" i="28"/>
  <c r="BD266" i="28"/>
  <c r="BC266" i="28"/>
  <c r="BB266" i="28"/>
  <c r="BA266" i="28"/>
  <c r="AZ266" i="28"/>
  <c r="BE266" i="28"/>
  <c r="AY266" i="28"/>
  <c r="AX266" i="28"/>
  <c r="AW266" i="28"/>
  <c r="AV266" i="28"/>
  <c r="AR266" i="28"/>
  <c r="BH265" i="28"/>
  <c r="BG265" i="28"/>
  <c r="BF265" i="28"/>
  <c r="BD265" i="28"/>
  <c r="BC265" i="28"/>
  <c r="BB265" i="28"/>
  <c r="BA265" i="28"/>
  <c r="AZ265" i="28"/>
  <c r="BE265" i="28"/>
  <c r="AY265" i="28"/>
  <c r="AX265" i="28"/>
  <c r="AW265" i="28"/>
  <c r="AV265" i="28"/>
  <c r="AR265" i="28"/>
  <c r="BH264" i="28"/>
  <c r="BG264" i="28"/>
  <c r="BF264" i="28"/>
  <c r="BD264" i="28"/>
  <c r="BC264" i="28"/>
  <c r="BB264" i="28"/>
  <c r="BA264" i="28"/>
  <c r="AZ264" i="28"/>
  <c r="BE264" i="28"/>
  <c r="AY264" i="28"/>
  <c r="AX264" i="28"/>
  <c r="AW264" i="28"/>
  <c r="AV264" i="28"/>
  <c r="AR264" i="28"/>
  <c r="BH263" i="28"/>
  <c r="BG263" i="28"/>
  <c r="BF263" i="28"/>
  <c r="BD263" i="28"/>
  <c r="BC263" i="28"/>
  <c r="BB263" i="28"/>
  <c r="BA263" i="28"/>
  <c r="AZ263" i="28"/>
  <c r="BE263" i="28"/>
  <c r="AY263" i="28"/>
  <c r="AX263" i="28"/>
  <c r="AW263" i="28"/>
  <c r="AV263" i="28"/>
  <c r="AR263" i="28"/>
  <c r="BH262" i="28"/>
  <c r="BG262" i="28"/>
  <c r="BF262" i="28"/>
  <c r="BD262" i="28"/>
  <c r="BC262" i="28"/>
  <c r="BB262" i="28"/>
  <c r="BA262" i="28"/>
  <c r="AZ262" i="28"/>
  <c r="BE262" i="28"/>
  <c r="AY262" i="28"/>
  <c r="AX262" i="28"/>
  <c r="AW262" i="28"/>
  <c r="AV262" i="28"/>
  <c r="AR262" i="28"/>
  <c r="BH261" i="28"/>
  <c r="BG261" i="28"/>
  <c r="BF261" i="28"/>
  <c r="BD261" i="28"/>
  <c r="BC261" i="28"/>
  <c r="BB261" i="28"/>
  <c r="BA261" i="28"/>
  <c r="AZ261" i="28"/>
  <c r="BE261" i="28"/>
  <c r="AY261" i="28"/>
  <c r="AX261" i="28"/>
  <c r="AW261" i="28"/>
  <c r="AV261" i="28"/>
  <c r="AR261" i="28"/>
  <c r="BH260" i="28"/>
  <c r="BG260" i="28"/>
  <c r="BF260" i="28"/>
  <c r="BD260" i="28"/>
  <c r="BC260" i="28"/>
  <c r="BB260" i="28"/>
  <c r="BA260" i="28"/>
  <c r="AZ260" i="28"/>
  <c r="BE260" i="28"/>
  <c r="AY260" i="28"/>
  <c r="AX260" i="28"/>
  <c r="AW260" i="28"/>
  <c r="AV260" i="28"/>
  <c r="AR260" i="28"/>
  <c r="BH259" i="28"/>
  <c r="BG259" i="28"/>
  <c r="BF259" i="28"/>
  <c r="BD259" i="28"/>
  <c r="BC259" i="28"/>
  <c r="BB259" i="28"/>
  <c r="BA259" i="28"/>
  <c r="AZ259" i="28"/>
  <c r="BE259" i="28"/>
  <c r="AY259" i="28"/>
  <c r="AX259" i="28"/>
  <c r="AW259" i="28"/>
  <c r="AV259" i="28"/>
  <c r="AR259" i="28"/>
  <c r="BH258" i="28"/>
  <c r="BG258" i="28"/>
  <c r="BF258" i="28"/>
  <c r="BD258" i="28"/>
  <c r="BC258" i="28"/>
  <c r="BB258" i="28"/>
  <c r="BA258" i="28"/>
  <c r="AZ258" i="28"/>
  <c r="BE258" i="28"/>
  <c r="AY258" i="28"/>
  <c r="AX258" i="28"/>
  <c r="AW258" i="28"/>
  <c r="AV258" i="28"/>
  <c r="AR258" i="28"/>
  <c r="BH257" i="28"/>
  <c r="BG257" i="28"/>
  <c r="BF257" i="28"/>
  <c r="BD257" i="28"/>
  <c r="BC257" i="28"/>
  <c r="BB257" i="28"/>
  <c r="BA257" i="28"/>
  <c r="AZ257" i="28"/>
  <c r="BE257" i="28"/>
  <c r="AY257" i="28"/>
  <c r="AX257" i="28"/>
  <c r="AW257" i="28"/>
  <c r="AV257" i="28"/>
  <c r="AR257" i="28"/>
  <c r="BH256" i="28"/>
  <c r="BG256" i="28"/>
  <c r="BF256" i="28"/>
  <c r="BD256" i="28"/>
  <c r="BC256" i="28"/>
  <c r="BB256" i="28"/>
  <c r="BA256" i="28"/>
  <c r="AZ256" i="28"/>
  <c r="BE256" i="28"/>
  <c r="AY256" i="28"/>
  <c r="AX256" i="28"/>
  <c r="AW256" i="28"/>
  <c r="AV256" i="28"/>
  <c r="AR256" i="28"/>
  <c r="AU256" i="28"/>
  <c r="BH255" i="28"/>
  <c r="BG255" i="28"/>
  <c r="BF255" i="28"/>
  <c r="BD255" i="28"/>
  <c r="BC255" i="28"/>
  <c r="BB255" i="28"/>
  <c r="BA255" i="28"/>
  <c r="AZ255" i="28"/>
  <c r="BE255" i="28"/>
  <c r="AY255" i="28"/>
  <c r="AX255" i="28"/>
  <c r="AW255" i="28"/>
  <c r="AV255" i="28"/>
  <c r="AR255" i="28"/>
  <c r="AT255" i="28"/>
  <c r="BH254" i="28"/>
  <c r="BG254" i="28"/>
  <c r="BF254" i="28"/>
  <c r="BD254" i="28"/>
  <c r="BC254" i="28"/>
  <c r="BB254" i="28"/>
  <c r="BA254" i="28"/>
  <c r="AZ254" i="28"/>
  <c r="BE254" i="28"/>
  <c r="AY254" i="28"/>
  <c r="AX254" i="28"/>
  <c r="AW254" i="28"/>
  <c r="AV254" i="28"/>
  <c r="AR254" i="28"/>
  <c r="BH253" i="28"/>
  <c r="BG253" i="28"/>
  <c r="BF253" i="28"/>
  <c r="BD253" i="28"/>
  <c r="BC253" i="28"/>
  <c r="BB253" i="28"/>
  <c r="BA253" i="28"/>
  <c r="AZ253" i="28"/>
  <c r="BE253" i="28"/>
  <c r="AY253" i="28"/>
  <c r="AX253" i="28"/>
  <c r="AW253" i="28"/>
  <c r="AV253" i="28"/>
  <c r="AR253" i="28"/>
  <c r="BH252" i="28"/>
  <c r="BG252" i="28"/>
  <c r="BF252" i="28"/>
  <c r="BD252" i="28"/>
  <c r="BC252" i="28"/>
  <c r="BB252" i="28"/>
  <c r="BA252" i="28"/>
  <c r="AZ252" i="28"/>
  <c r="BE252" i="28"/>
  <c r="AY252" i="28"/>
  <c r="AX252" i="28"/>
  <c r="AW252" i="28"/>
  <c r="AV252" i="28"/>
  <c r="AR252" i="28"/>
  <c r="AT252" i="28"/>
  <c r="BH251" i="28"/>
  <c r="BG251" i="28"/>
  <c r="BF251" i="28"/>
  <c r="BD251" i="28"/>
  <c r="BC251" i="28"/>
  <c r="BB251" i="28"/>
  <c r="BA251" i="28"/>
  <c r="AZ251" i="28"/>
  <c r="BE251" i="28"/>
  <c r="AY251" i="28"/>
  <c r="AX251" i="28"/>
  <c r="AW251" i="28"/>
  <c r="AV251" i="28"/>
  <c r="AR251" i="28"/>
  <c r="BH250" i="28"/>
  <c r="BG250" i="28"/>
  <c r="BF250" i="28"/>
  <c r="BD250" i="28"/>
  <c r="BC250" i="28"/>
  <c r="BB250" i="28"/>
  <c r="BA250" i="28"/>
  <c r="AZ250" i="28"/>
  <c r="BE250" i="28"/>
  <c r="AY250" i="28"/>
  <c r="AX250" i="28"/>
  <c r="AW250" i="28"/>
  <c r="AV250" i="28"/>
  <c r="AR250" i="28"/>
  <c r="BH249" i="28"/>
  <c r="BG249" i="28"/>
  <c r="BF249" i="28"/>
  <c r="BD249" i="28"/>
  <c r="BC249" i="28"/>
  <c r="BB249" i="28"/>
  <c r="BA249" i="28"/>
  <c r="AZ249" i="28"/>
  <c r="BE249" i="28"/>
  <c r="AY249" i="28"/>
  <c r="AX249" i="28"/>
  <c r="AW249" i="28"/>
  <c r="AV249" i="28"/>
  <c r="AR249" i="28"/>
  <c r="BH248" i="28"/>
  <c r="BG248" i="28"/>
  <c r="BF248" i="28"/>
  <c r="BD248" i="28"/>
  <c r="BC248" i="28"/>
  <c r="BB248" i="28"/>
  <c r="BA248" i="28"/>
  <c r="AZ248" i="28"/>
  <c r="BE248" i="28"/>
  <c r="AY248" i="28"/>
  <c r="AX248" i="28"/>
  <c r="AW248" i="28"/>
  <c r="AV248" i="28"/>
  <c r="AR248" i="28"/>
  <c r="BH247" i="28"/>
  <c r="BG247" i="28"/>
  <c r="BF247" i="28"/>
  <c r="BD247" i="28"/>
  <c r="BC247" i="28"/>
  <c r="BB247" i="28"/>
  <c r="BA247" i="28"/>
  <c r="AZ247" i="28"/>
  <c r="BE247" i="28"/>
  <c r="AY247" i="28"/>
  <c r="AX247" i="28"/>
  <c r="AW247" i="28"/>
  <c r="AV247" i="28"/>
  <c r="AR247" i="28"/>
  <c r="BH246" i="28"/>
  <c r="BG246" i="28"/>
  <c r="BF246" i="28"/>
  <c r="BD246" i="28"/>
  <c r="BC246" i="28"/>
  <c r="BB246" i="28"/>
  <c r="BA246" i="28"/>
  <c r="AZ246" i="28"/>
  <c r="BE246" i="28"/>
  <c r="AY246" i="28"/>
  <c r="AX246" i="28"/>
  <c r="AW246" i="28"/>
  <c r="AV246" i="28"/>
  <c r="AR246" i="28"/>
  <c r="BH245" i="28"/>
  <c r="BG245" i="28"/>
  <c r="BF245" i="28"/>
  <c r="BD245" i="28"/>
  <c r="BC245" i="28"/>
  <c r="BB245" i="28"/>
  <c r="BA245" i="28"/>
  <c r="AZ245" i="28"/>
  <c r="BE245" i="28"/>
  <c r="AY245" i="28"/>
  <c r="AX245" i="28"/>
  <c r="AW245" i="28"/>
  <c r="AV245" i="28"/>
  <c r="AR245" i="28"/>
  <c r="BH244" i="28"/>
  <c r="BG244" i="28"/>
  <c r="BF244" i="28"/>
  <c r="BD244" i="28"/>
  <c r="BC244" i="28"/>
  <c r="BB244" i="28"/>
  <c r="BA244" i="28"/>
  <c r="AZ244" i="28"/>
  <c r="BE244" i="28"/>
  <c r="AY244" i="28"/>
  <c r="AX244" i="28"/>
  <c r="AW244" i="28"/>
  <c r="AV244" i="28"/>
  <c r="AR244" i="28"/>
  <c r="BH243" i="28"/>
  <c r="BG243" i="28"/>
  <c r="BF243" i="28"/>
  <c r="BD243" i="28"/>
  <c r="BC243" i="28"/>
  <c r="BB243" i="28"/>
  <c r="BA243" i="28"/>
  <c r="AZ243" i="28"/>
  <c r="BE243" i="28"/>
  <c r="AY243" i="28"/>
  <c r="AX243" i="28"/>
  <c r="AW243" i="28"/>
  <c r="AV243" i="28"/>
  <c r="AR243" i="28"/>
  <c r="BH242" i="28"/>
  <c r="BG242" i="28"/>
  <c r="BF242" i="28"/>
  <c r="BD242" i="28"/>
  <c r="BC242" i="28"/>
  <c r="BB242" i="28"/>
  <c r="BA242" i="28"/>
  <c r="AZ242" i="28"/>
  <c r="BE242" i="28"/>
  <c r="AY242" i="28"/>
  <c r="AX242" i="28"/>
  <c r="AW242" i="28"/>
  <c r="AV242" i="28"/>
  <c r="AR242" i="28"/>
  <c r="BH241" i="28"/>
  <c r="BG241" i="28"/>
  <c r="BF241" i="28"/>
  <c r="BD241" i="28"/>
  <c r="BC241" i="28"/>
  <c r="BB241" i="28"/>
  <c r="BA241" i="28"/>
  <c r="AZ241" i="28"/>
  <c r="BE241" i="28"/>
  <c r="AY241" i="28"/>
  <c r="AX241" i="28"/>
  <c r="AW241" i="28"/>
  <c r="AV241" i="28"/>
  <c r="AR241" i="28"/>
  <c r="BH240" i="28"/>
  <c r="BG240" i="28"/>
  <c r="BF240" i="28"/>
  <c r="BD240" i="28"/>
  <c r="BC240" i="28"/>
  <c r="BB240" i="28"/>
  <c r="BA240" i="28"/>
  <c r="AZ240" i="28"/>
  <c r="BE240" i="28"/>
  <c r="AY240" i="28"/>
  <c r="AX240" i="28"/>
  <c r="AW240" i="28"/>
  <c r="AV240" i="28"/>
  <c r="AR240" i="28"/>
  <c r="BH239" i="28"/>
  <c r="BG239" i="28"/>
  <c r="BF239" i="28"/>
  <c r="BD239" i="28"/>
  <c r="BC239" i="28"/>
  <c r="BB239" i="28"/>
  <c r="BA239" i="28"/>
  <c r="AZ239" i="28"/>
  <c r="BE239" i="28"/>
  <c r="AY239" i="28"/>
  <c r="AX239" i="28"/>
  <c r="AW239" i="28"/>
  <c r="AV239" i="28"/>
  <c r="AR239" i="28"/>
  <c r="BH238" i="28"/>
  <c r="BG238" i="28"/>
  <c r="BF238" i="28"/>
  <c r="BD238" i="28"/>
  <c r="BC238" i="28"/>
  <c r="BB238" i="28"/>
  <c r="BA238" i="28"/>
  <c r="AZ238" i="28"/>
  <c r="BE238" i="28"/>
  <c r="AY238" i="28"/>
  <c r="AX238" i="28"/>
  <c r="AW238" i="28"/>
  <c r="AV238" i="28"/>
  <c r="AR238" i="28"/>
  <c r="BH237" i="28"/>
  <c r="BG237" i="28"/>
  <c r="BF237" i="28"/>
  <c r="BD237" i="28"/>
  <c r="BC237" i="28"/>
  <c r="BB237" i="28"/>
  <c r="BA237" i="28"/>
  <c r="AZ237" i="28"/>
  <c r="BE237" i="28"/>
  <c r="AY237" i="28"/>
  <c r="AX237" i="28"/>
  <c r="AW237" i="28"/>
  <c r="AV237" i="28"/>
  <c r="AR237" i="28"/>
  <c r="BH236" i="28"/>
  <c r="BG236" i="28"/>
  <c r="BF236" i="28"/>
  <c r="BD236" i="28"/>
  <c r="BC236" i="28"/>
  <c r="BB236" i="28"/>
  <c r="BA236" i="28"/>
  <c r="AZ236" i="28"/>
  <c r="BE236" i="28"/>
  <c r="AY236" i="28"/>
  <c r="AX236" i="28"/>
  <c r="AW236" i="28"/>
  <c r="AV236" i="28"/>
  <c r="AR236" i="28"/>
  <c r="BH235" i="28"/>
  <c r="BG235" i="28"/>
  <c r="BF235" i="28"/>
  <c r="BD235" i="28"/>
  <c r="BC235" i="28"/>
  <c r="BB235" i="28"/>
  <c r="BA235" i="28"/>
  <c r="AZ235" i="28"/>
  <c r="BE235" i="28"/>
  <c r="AY235" i="28"/>
  <c r="AX235" i="28"/>
  <c r="AW235" i="28"/>
  <c r="AV235" i="28"/>
  <c r="AR235" i="28"/>
  <c r="BH234" i="28"/>
  <c r="BG234" i="28"/>
  <c r="BF234" i="28"/>
  <c r="BD234" i="28"/>
  <c r="BC234" i="28"/>
  <c r="BB234" i="28"/>
  <c r="BA234" i="28"/>
  <c r="AZ234" i="28"/>
  <c r="BE234" i="28"/>
  <c r="AY234" i="28"/>
  <c r="AX234" i="28"/>
  <c r="AW234" i="28"/>
  <c r="AV234" i="28"/>
  <c r="AR234" i="28"/>
  <c r="BH233" i="28"/>
  <c r="BG233" i="28"/>
  <c r="BF233" i="28"/>
  <c r="BD233" i="28"/>
  <c r="BC233" i="28"/>
  <c r="BB233" i="28"/>
  <c r="BA233" i="28"/>
  <c r="AZ233" i="28"/>
  <c r="BE233" i="28"/>
  <c r="AY233" i="28"/>
  <c r="AX233" i="28"/>
  <c r="AW233" i="28"/>
  <c r="AV233" i="28"/>
  <c r="AR233" i="28"/>
  <c r="BH232" i="28"/>
  <c r="BG232" i="28"/>
  <c r="BF232" i="28"/>
  <c r="BD232" i="28"/>
  <c r="BC232" i="28"/>
  <c r="BB232" i="28"/>
  <c r="BA232" i="28"/>
  <c r="AZ232" i="28"/>
  <c r="BE232" i="28"/>
  <c r="AY232" i="28"/>
  <c r="AX232" i="28"/>
  <c r="AW232" i="28"/>
  <c r="AV232" i="28"/>
  <c r="AR232" i="28"/>
  <c r="BH231" i="28"/>
  <c r="BG231" i="28"/>
  <c r="BF231" i="28"/>
  <c r="BD231" i="28"/>
  <c r="BC231" i="28"/>
  <c r="BB231" i="28"/>
  <c r="BA231" i="28"/>
  <c r="AZ231" i="28"/>
  <c r="BE231" i="28"/>
  <c r="AY231" i="28"/>
  <c r="AX231" i="28"/>
  <c r="AW231" i="28"/>
  <c r="AV231" i="28"/>
  <c r="AR231" i="28"/>
  <c r="BH230" i="28"/>
  <c r="BG230" i="28"/>
  <c r="BF230" i="28"/>
  <c r="BD230" i="28"/>
  <c r="BC230" i="28"/>
  <c r="BB230" i="28"/>
  <c r="BA230" i="28"/>
  <c r="AZ230" i="28"/>
  <c r="BE230" i="28"/>
  <c r="AY230" i="28"/>
  <c r="AX230" i="28"/>
  <c r="AW230" i="28"/>
  <c r="AV230" i="28"/>
  <c r="AR230" i="28"/>
  <c r="BH229" i="28"/>
  <c r="BG229" i="28"/>
  <c r="BF229" i="28"/>
  <c r="BD229" i="28"/>
  <c r="BC229" i="28"/>
  <c r="BB229" i="28"/>
  <c r="BA229" i="28"/>
  <c r="AZ229" i="28"/>
  <c r="BE229" i="28"/>
  <c r="AY229" i="28"/>
  <c r="AX229" i="28"/>
  <c r="AW229" i="28"/>
  <c r="AV229" i="28"/>
  <c r="AR229" i="28"/>
  <c r="BH228" i="28"/>
  <c r="BG228" i="28"/>
  <c r="BF228" i="28"/>
  <c r="BD228" i="28"/>
  <c r="BC228" i="28"/>
  <c r="BB228" i="28"/>
  <c r="BA228" i="28"/>
  <c r="AZ228" i="28"/>
  <c r="BE228" i="28"/>
  <c r="AY228" i="28"/>
  <c r="AX228" i="28"/>
  <c r="AW228" i="28"/>
  <c r="AV228" i="28"/>
  <c r="AR228" i="28"/>
  <c r="BH227" i="28"/>
  <c r="BG227" i="28"/>
  <c r="BF227" i="28"/>
  <c r="BD227" i="28"/>
  <c r="BC227" i="28"/>
  <c r="BB227" i="28"/>
  <c r="BA227" i="28"/>
  <c r="AZ227" i="28"/>
  <c r="BE227" i="28"/>
  <c r="AY227" i="28"/>
  <c r="AX227" i="28"/>
  <c r="AW227" i="28"/>
  <c r="AV227" i="28"/>
  <c r="AR227" i="28"/>
  <c r="BH226" i="28"/>
  <c r="BG226" i="28"/>
  <c r="BF226" i="28"/>
  <c r="BD226" i="28"/>
  <c r="BC226" i="28"/>
  <c r="BB226" i="28"/>
  <c r="BA226" i="28"/>
  <c r="AZ226" i="28"/>
  <c r="BE226" i="28"/>
  <c r="AY226" i="28"/>
  <c r="AX226" i="28"/>
  <c r="AW226" i="28"/>
  <c r="AV226" i="28"/>
  <c r="AR226" i="28"/>
  <c r="BH225" i="28"/>
  <c r="BG225" i="28"/>
  <c r="BF225" i="28"/>
  <c r="BD225" i="28"/>
  <c r="BC225" i="28"/>
  <c r="BB225" i="28"/>
  <c r="BA225" i="28"/>
  <c r="AZ225" i="28"/>
  <c r="BE225" i="28"/>
  <c r="AY225" i="28"/>
  <c r="AX225" i="28"/>
  <c r="AW225" i="28"/>
  <c r="AV225" i="28"/>
  <c r="BH224" i="28"/>
  <c r="BG224" i="28"/>
  <c r="BF224" i="28"/>
  <c r="BD224" i="28"/>
  <c r="BC224" i="28"/>
  <c r="BB224" i="28"/>
  <c r="BA224" i="28"/>
  <c r="AZ224" i="28"/>
  <c r="BE224" i="28"/>
  <c r="AY224" i="28"/>
  <c r="AX224" i="28"/>
  <c r="AW224" i="28"/>
  <c r="AV224" i="28"/>
  <c r="BH223" i="28"/>
  <c r="BG223" i="28"/>
  <c r="BF223" i="28"/>
  <c r="BD223" i="28"/>
  <c r="BC223" i="28"/>
  <c r="BB223" i="28"/>
  <c r="BA223" i="28"/>
  <c r="AZ223" i="28"/>
  <c r="BE223" i="28"/>
  <c r="AY223" i="28"/>
  <c r="AX223" i="28"/>
  <c r="AW223" i="28"/>
  <c r="AV223" i="28"/>
  <c r="BH222" i="28"/>
  <c r="BG222" i="28"/>
  <c r="BF222" i="28"/>
  <c r="BD222" i="28"/>
  <c r="BC222" i="28"/>
  <c r="BB222" i="28"/>
  <c r="BA222" i="28"/>
  <c r="AZ222" i="28"/>
  <c r="BE222" i="28"/>
  <c r="AY222" i="28"/>
  <c r="AX222" i="28"/>
  <c r="AW222" i="28"/>
  <c r="AV222" i="28"/>
  <c r="BH221" i="28"/>
  <c r="BG221" i="28"/>
  <c r="BF221" i="28"/>
  <c r="BD221" i="28"/>
  <c r="BC221" i="28"/>
  <c r="BB221" i="28"/>
  <c r="BA221" i="28"/>
  <c r="AZ221" i="28"/>
  <c r="BE221" i="28"/>
  <c r="AY221" i="28"/>
  <c r="AX221" i="28"/>
  <c r="AW221" i="28"/>
  <c r="AV221" i="28"/>
  <c r="BH220" i="28"/>
  <c r="BG220" i="28"/>
  <c r="BF220" i="28"/>
  <c r="BD220" i="28"/>
  <c r="BC220" i="28"/>
  <c r="BB220" i="28"/>
  <c r="BA220" i="28"/>
  <c r="AZ220" i="28"/>
  <c r="BE220" i="28"/>
  <c r="AY220" i="28"/>
  <c r="AX220" i="28"/>
  <c r="AW220" i="28"/>
  <c r="AV220" i="28"/>
  <c r="BH219" i="28"/>
  <c r="BG219" i="28"/>
  <c r="BF219" i="28"/>
  <c r="BD219" i="28"/>
  <c r="BC219" i="28"/>
  <c r="BB219" i="28"/>
  <c r="BA219" i="28"/>
  <c r="AZ219" i="28"/>
  <c r="BE219" i="28"/>
  <c r="AY219" i="28"/>
  <c r="AX219" i="28"/>
  <c r="AW219" i="28"/>
  <c r="AV219" i="28"/>
  <c r="BH218" i="28"/>
  <c r="BG218" i="28"/>
  <c r="BF218" i="28"/>
  <c r="BD218" i="28"/>
  <c r="BC218" i="28"/>
  <c r="BB218" i="28"/>
  <c r="BA218" i="28"/>
  <c r="AZ218" i="28"/>
  <c r="BE218" i="28"/>
  <c r="AY218" i="28"/>
  <c r="AX218" i="28"/>
  <c r="AW218" i="28"/>
  <c r="AV218" i="28"/>
  <c r="BH217" i="28"/>
  <c r="BG217" i="28"/>
  <c r="BF217" i="28"/>
  <c r="BD217" i="28"/>
  <c r="BC217" i="28"/>
  <c r="BB217" i="28"/>
  <c r="BA217" i="28"/>
  <c r="AZ217" i="28"/>
  <c r="BE217" i="28"/>
  <c r="AY217" i="28"/>
  <c r="AX217" i="28"/>
  <c r="AW217" i="28"/>
  <c r="AV217" i="28"/>
  <c r="BH216" i="28"/>
  <c r="BG216" i="28"/>
  <c r="BF216" i="28"/>
  <c r="BD216" i="28"/>
  <c r="BC216" i="28"/>
  <c r="BB216" i="28"/>
  <c r="BA216" i="28"/>
  <c r="AZ216" i="28"/>
  <c r="BE216" i="28"/>
  <c r="AY216" i="28"/>
  <c r="AX216" i="28"/>
  <c r="AW216" i="28"/>
  <c r="AV216" i="28"/>
  <c r="AR216" i="28"/>
  <c r="BH215" i="28"/>
  <c r="BG215" i="28"/>
  <c r="BF215" i="28"/>
  <c r="BD215" i="28"/>
  <c r="BC215" i="28"/>
  <c r="BB215" i="28"/>
  <c r="BA215" i="28"/>
  <c r="AZ215" i="28"/>
  <c r="BE215" i="28"/>
  <c r="AY215" i="28"/>
  <c r="AX215" i="28"/>
  <c r="AW215" i="28"/>
  <c r="AV215" i="28"/>
  <c r="AR215" i="28"/>
  <c r="BH214" i="28"/>
  <c r="BG214" i="28"/>
  <c r="BF214" i="28"/>
  <c r="BD214" i="28"/>
  <c r="BC214" i="28"/>
  <c r="BB214" i="28"/>
  <c r="BA214" i="28"/>
  <c r="AZ214" i="28"/>
  <c r="BE214" i="28"/>
  <c r="AY214" i="28"/>
  <c r="AX214" i="28"/>
  <c r="AW214" i="28"/>
  <c r="AV214" i="28"/>
  <c r="AR214" i="28"/>
  <c r="AT214" i="28"/>
  <c r="BH213" i="28"/>
  <c r="BG213" i="28"/>
  <c r="BF213" i="28"/>
  <c r="BD213" i="28"/>
  <c r="BC213" i="28"/>
  <c r="BB213" i="28"/>
  <c r="BA213" i="28"/>
  <c r="AZ213" i="28"/>
  <c r="BE213" i="28"/>
  <c r="AY213" i="28"/>
  <c r="AX213" i="28"/>
  <c r="AW213" i="28"/>
  <c r="AV213" i="28"/>
  <c r="AR213" i="28"/>
  <c r="AU213" i="28"/>
  <c r="BH212" i="28"/>
  <c r="BG212" i="28"/>
  <c r="BF212" i="28"/>
  <c r="BD212" i="28"/>
  <c r="BC212" i="28"/>
  <c r="BB212" i="28"/>
  <c r="BA212" i="28"/>
  <c r="AZ212" i="28"/>
  <c r="BE212" i="28"/>
  <c r="AY212" i="28"/>
  <c r="AX212" i="28"/>
  <c r="AW212" i="28"/>
  <c r="AV212" i="28"/>
  <c r="AR212" i="28"/>
  <c r="BH211" i="28"/>
  <c r="BG211" i="28"/>
  <c r="BF211" i="28"/>
  <c r="BD211" i="28"/>
  <c r="BC211" i="28"/>
  <c r="BB211" i="28"/>
  <c r="BA211" i="28"/>
  <c r="AZ211" i="28"/>
  <c r="BE211" i="28"/>
  <c r="AY211" i="28"/>
  <c r="AX211" i="28"/>
  <c r="AW211" i="28"/>
  <c r="AV211" i="28"/>
  <c r="AR211" i="28"/>
  <c r="BH210" i="28"/>
  <c r="BG210" i="28"/>
  <c r="BF210" i="28"/>
  <c r="BD210" i="28"/>
  <c r="BC210" i="28"/>
  <c r="BB210" i="28"/>
  <c r="BA210" i="28"/>
  <c r="AZ210" i="28"/>
  <c r="BE210" i="28"/>
  <c r="AY210" i="28"/>
  <c r="AX210" i="28"/>
  <c r="AW210" i="28"/>
  <c r="AV210" i="28"/>
  <c r="AR210" i="28"/>
  <c r="AS210" i="28"/>
  <c r="BH209" i="28"/>
  <c r="BG209" i="28"/>
  <c r="BF209" i="28"/>
  <c r="BD209" i="28"/>
  <c r="BC209" i="28"/>
  <c r="BB209" i="28"/>
  <c r="BA209" i="28"/>
  <c r="AZ209" i="28"/>
  <c r="BE209" i="28"/>
  <c r="AY209" i="28"/>
  <c r="AX209" i="28"/>
  <c r="AW209" i="28"/>
  <c r="AV209" i="28"/>
  <c r="AR209" i="28"/>
  <c r="BH208" i="28"/>
  <c r="BG208" i="28"/>
  <c r="BF208" i="28"/>
  <c r="BD208" i="28"/>
  <c r="BC208" i="28"/>
  <c r="BB208" i="28"/>
  <c r="BA208" i="28"/>
  <c r="AZ208" i="28"/>
  <c r="BE208" i="28"/>
  <c r="AY208" i="28"/>
  <c r="AX208" i="28"/>
  <c r="AW208" i="28"/>
  <c r="AV208" i="28"/>
  <c r="AR208" i="28"/>
  <c r="BH207" i="28"/>
  <c r="BG207" i="28"/>
  <c r="BF207" i="28"/>
  <c r="BD207" i="28"/>
  <c r="BC207" i="28"/>
  <c r="BB207" i="28"/>
  <c r="BA207" i="28"/>
  <c r="AZ207" i="28"/>
  <c r="BE207" i="28"/>
  <c r="AY207" i="28"/>
  <c r="AX207" i="28"/>
  <c r="AW207" i="28"/>
  <c r="AV207" i="28"/>
  <c r="AR207" i="28"/>
  <c r="BH206" i="28"/>
  <c r="BG206" i="28"/>
  <c r="BF206" i="28"/>
  <c r="BD206" i="28"/>
  <c r="BC206" i="28"/>
  <c r="BB206" i="28"/>
  <c r="BA206" i="28"/>
  <c r="AZ206" i="28"/>
  <c r="BE206" i="28"/>
  <c r="AY206" i="28"/>
  <c r="AX206" i="28"/>
  <c r="AW206" i="28"/>
  <c r="AV206" i="28"/>
  <c r="AR206" i="28"/>
  <c r="BH205" i="28"/>
  <c r="BG205" i="28"/>
  <c r="BF205" i="28"/>
  <c r="BD205" i="28"/>
  <c r="BC205" i="28"/>
  <c r="BB205" i="28"/>
  <c r="BA205" i="28"/>
  <c r="AZ205" i="28"/>
  <c r="BE205" i="28"/>
  <c r="AY205" i="28"/>
  <c r="AX205" i="28"/>
  <c r="AW205" i="28"/>
  <c r="AV205" i="28"/>
  <c r="AR205" i="28"/>
  <c r="BH204" i="28"/>
  <c r="BG204" i="28"/>
  <c r="BF204" i="28"/>
  <c r="BD204" i="28"/>
  <c r="BC204" i="28"/>
  <c r="BB204" i="28"/>
  <c r="BA204" i="28"/>
  <c r="AZ204" i="28"/>
  <c r="BE204" i="28"/>
  <c r="AY204" i="28"/>
  <c r="AX204" i="28"/>
  <c r="AW204" i="28"/>
  <c r="AV204" i="28"/>
  <c r="AR204" i="28"/>
  <c r="BH203" i="28"/>
  <c r="BG203" i="28"/>
  <c r="BF203" i="28"/>
  <c r="BD203" i="28"/>
  <c r="BC203" i="28"/>
  <c r="BB203" i="28"/>
  <c r="BA203" i="28"/>
  <c r="AZ203" i="28"/>
  <c r="BE203" i="28"/>
  <c r="AY203" i="28"/>
  <c r="AX203" i="28"/>
  <c r="AW203" i="28"/>
  <c r="AV203" i="28"/>
  <c r="AR203" i="28"/>
  <c r="BH202" i="28"/>
  <c r="BG202" i="28"/>
  <c r="BF202" i="28"/>
  <c r="BD202" i="28"/>
  <c r="BC202" i="28"/>
  <c r="BB202" i="28"/>
  <c r="BA202" i="28"/>
  <c r="AZ202" i="28"/>
  <c r="BE202" i="28"/>
  <c r="AY202" i="28"/>
  <c r="AX202" i="28"/>
  <c r="AW202" i="28"/>
  <c r="AV202" i="28"/>
  <c r="AR202" i="28"/>
  <c r="BH201" i="28"/>
  <c r="BG201" i="28"/>
  <c r="BF201" i="28"/>
  <c r="BD201" i="28"/>
  <c r="BC201" i="28"/>
  <c r="BB201" i="28"/>
  <c r="BA201" i="28"/>
  <c r="AZ201" i="28"/>
  <c r="BE201" i="28"/>
  <c r="AY201" i="28"/>
  <c r="AX201" i="28"/>
  <c r="AW201" i="28"/>
  <c r="AV201" i="28"/>
  <c r="AR201" i="28"/>
  <c r="BH200" i="28"/>
  <c r="BG200" i="28"/>
  <c r="BF200" i="28"/>
  <c r="BD200" i="28"/>
  <c r="BC200" i="28"/>
  <c r="BB200" i="28"/>
  <c r="BA200" i="28"/>
  <c r="AZ200" i="28"/>
  <c r="BE200" i="28"/>
  <c r="AY200" i="28"/>
  <c r="AX200" i="28"/>
  <c r="AW200" i="28"/>
  <c r="AV200" i="28"/>
  <c r="AR200" i="28"/>
  <c r="BH199" i="28"/>
  <c r="BG199" i="28"/>
  <c r="BF199" i="28"/>
  <c r="BD199" i="28"/>
  <c r="BC199" i="28"/>
  <c r="BB199" i="28"/>
  <c r="BA199" i="28"/>
  <c r="AZ199" i="28"/>
  <c r="BE199" i="28"/>
  <c r="AY199" i="28"/>
  <c r="AX199" i="28"/>
  <c r="AW199" i="28"/>
  <c r="AV199" i="28"/>
  <c r="AR199" i="28"/>
  <c r="BH198" i="28"/>
  <c r="BG198" i="28"/>
  <c r="BF198" i="28"/>
  <c r="BD198" i="28"/>
  <c r="BC198" i="28"/>
  <c r="BB198" i="28"/>
  <c r="BA198" i="28"/>
  <c r="AZ198" i="28"/>
  <c r="BE198" i="28"/>
  <c r="AY198" i="28"/>
  <c r="AX198" i="28"/>
  <c r="AW198" i="28"/>
  <c r="AV198" i="28"/>
  <c r="AR198" i="28"/>
  <c r="BH197" i="28"/>
  <c r="BG197" i="28"/>
  <c r="BF197" i="28"/>
  <c r="BD197" i="28"/>
  <c r="BC197" i="28"/>
  <c r="BB197" i="28"/>
  <c r="BA197" i="28"/>
  <c r="AZ197" i="28"/>
  <c r="BE197" i="28"/>
  <c r="AY197" i="28"/>
  <c r="AX197" i="28"/>
  <c r="AW197" i="28"/>
  <c r="AV197" i="28"/>
  <c r="AR197" i="28"/>
  <c r="AT197" i="28"/>
  <c r="BH196" i="28"/>
  <c r="BG196" i="28"/>
  <c r="BF196" i="28"/>
  <c r="BD196" i="28"/>
  <c r="BC196" i="28"/>
  <c r="BB196" i="28"/>
  <c r="BA196" i="28"/>
  <c r="AZ196" i="28"/>
  <c r="BE196" i="28"/>
  <c r="AY196" i="28"/>
  <c r="AX196" i="28"/>
  <c r="AW196" i="28"/>
  <c r="AV196" i="28"/>
  <c r="AR196" i="28"/>
  <c r="BH195" i="28"/>
  <c r="BG195" i="28"/>
  <c r="BF195" i="28"/>
  <c r="BD195" i="28"/>
  <c r="BC195" i="28"/>
  <c r="BB195" i="28"/>
  <c r="BA195" i="28"/>
  <c r="AZ195" i="28"/>
  <c r="BE195" i="28"/>
  <c r="AY195" i="28"/>
  <c r="AX195" i="28"/>
  <c r="AW195" i="28"/>
  <c r="AV195" i="28"/>
  <c r="AR195" i="28"/>
  <c r="BH194" i="28"/>
  <c r="BG194" i="28"/>
  <c r="BF194" i="28"/>
  <c r="BD194" i="28"/>
  <c r="BC194" i="28"/>
  <c r="BB194" i="28"/>
  <c r="BA194" i="28"/>
  <c r="AZ194" i="28"/>
  <c r="BE194" i="28"/>
  <c r="AY194" i="28"/>
  <c r="AX194" i="28"/>
  <c r="AW194" i="28"/>
  <c r="AV194" i="28"/>
  <c r="AR194" i="28"/>
  <c r="BH193" i="28"/>
  <c r="BG193" i="28"/>
  <c r="BF193" i="28"/>
  <c r="BD193" i="28"/>
  <c r="BC193" i="28"/>
  <c r="BB193" i="28"/>
  <c r="BA193" i="28"/>
  <c r="AZ193" i="28"/>
  <c r="BE193" i="28"/>
  <c r="AY193" i="28"/>
  <c r="AX193" i="28"/>
  <c r="AW193" i="28"/>
  <c r="AV193" i="28"/>
  <c r="AR193" i="28"/>
  <c r="AU193" i="28"/>
  <c r="BH192" i="28"/>
  <c r="BG192" i="28"/>
  <c r="BF192" i="28"/>
  <c r="BD192" i="28"/>
  <c r="BC192" i="28"/>
  <c r="BB192" i="28"/>
  <c r="BA192" i="28"/>
  <c r="AZ192" i="28"/>
  <c r="BE192" i="28"/>
  <c r="AY192" i="28"/>
  <c r="AX192" i="28"/>
  <c r="AW192" i="28"/>
  <c r="AV192" i="28"/>
  <c r="AR192" i="28"/>
  <c r="AS192" i="28"/>
  <c r="BH191" i="28"/>
  <c r="BG191" i="28"/>
  <c r="BF191" i="28"/>
  <c r="BD191" i="28"/>
  <c r="BC191" i="28"/>
  <c r="BB191" i="28"/>
  <c r="BA191" i="28"/>
  <c r="AZ191" i="28"/>
  <c r="BE191" i="28"/>
  <c r="AY191" i="28"/>
  <c r="AX191" i="28"/>
  <c r="AW191" i="28"/>
  <c r="AV191" i="28"/>
  <c r="AR191" i="28"/>
  <c r="BH190" i="28"/>
  <c r="BG190" i="28"/>
  <c r="BF190" i="28"/>
  <c r="BD190" i="28"/>
  <c r="BC190" i="28"/>
  <c r="BB190" i="28"/>
  <c r="BA190" i="28"/>
  <c r="AZ190" i="28"/>
  <c r="BE190" i="28"/>
  <c r="AY190" i="28"/>
  <c r="AX190" i="28"/>
  <c r="AW190" i="28"/>
  <c r="AV190" i="28"/>
  <c r="AR190" i="28"/>
  <c r="BH189" i="28"/>
  <c r="BG189" i="28"/>
  <c r="BF189" i="28"/>
  <c r="BD189" i="28"/>
  <c r="BC189" i="28"/>
  <c r="BB189" i="28"/>
  <c r="BA189" i="28"/>
  <c r="AZ189" i="28"/>
  <c r="BE189" i="28"/>
  <c r="AY189" i="28"/>
  <c r="AX189" i="28"/>
  <c r="AW189" i="28"/>
  <c r="AV189" i="28"/>
  <c r="AR189" i="28"/>
  <c r="BH188" i="28"/>
  <c r="BG188" i="28"/>
  <c r="BF188" i="28"/>
  <c r="BD188" i="28"/>
  <c r="BC188" i="28"/>
  <c r="BB188" i="28"/>
  <c r="BA188" i="28"/>
  <c r="AZ188" i="28"/>
  <c r="BE188" i="28"/>
  <c r="AY188" i="28"/>
  <c r="AX188" i="28"/>
  <c r="AW188" i="28"/>
  <c r="AV188" i="28"/>
  <c r="AR188" i="28"/>
  <c r="BH187" i="28"/>
  <c r="BG187" i="28"/>
  <c r="BF187" i="28"/>
  <c r="BD187" i="28"/>
  <c r="BC187" i="28"/>
  <c r="BB187" i="28"/>
  <c r="BA187" i="28"/>
  <c r="AZ187" i="28"/>
  <c r="BE187" i="28"/>
  <c r="AY187" i="28"/>
  <c r="AX187" i="28"/>
  <c r="AW187" i="28"/>
  <c r="AV187" i="28"/>
  <c r="AR187" i="28"/>
  <c r="BH186" i="28"/>
  <c r="BG186" i="28"/>
  <c r="BF186" i="28"/>
  <c r="BD186" i="28"/>
  <c r="BC186" i="28"/>
  <c r="BB186" i="28"/>
  <c r="BA186" i="28"/>
  <c r="AZ186" i="28"/>
  <c r="BE186" i="28"/>
  <c r="AY186" i="28"/>
  <c r="AX186" i="28"/>
  <c r="AW186" i="28"/>
  <c r="AV186" i="28"/>
  <c r="AR186" i="28"/>
  <c r="BH185" i="28"/>
  <c r="BG185" i="28"/>
  <c r="BF185" i="28"/>
  <c r="BD185" i="28"/>
  <c r="BC185" i="28"/>
  <c r="BB185" i="28"/>
  <c r="BA185" i="28"/>
  <c r="AZ185" i="28"/>
  <c r="BE185" i="28"/>
  <c r="AY185" i="28"/>
  <c r="AX185" i="28"/>
  <c r="AW185" i="28"/>
  <c r="AV185" i="28"/>
  <c r="AR185" i="28"/>
  <c r="BH184" i="28"/>
  <c r="BG184" i="28"/>
  <c r="BF184" i="28"/>
  <c r="BD184" i="28"/>
  <c r="BC184" i="28"/>
  <c r="BB184" i="28"/>
  <c r="BA184" i="28"/>
  <c r="AZ184" i="28"/>
  <c r="BE184" i="28"/>
  <c r="AY184" i="28"/>
  <c r="AX184" i="28"/>
  <c r="AW184" i="28"/>
  <c r="AV184" i="28"/>
  <c r="AR184" i="28"/>
  <c r="BH183" i="28"/>
  <c r="BG183" i="28"/>
  <c r="BF183" i="28"/>
  <c r="BD183" i="28"/>
  <c r="BC183" i="28"/>
  <c r="BB183" i="28"/>
  <c r="BA183" i="28"/>
  <c r="AZ183" i="28"/>
  <c r="BE183" i="28"/>
  <c r="AY183" i="28"/>
  <c r="AX183" i="28"/>
  <c r="AW183" i="28"/>
  <c r="AV183" i="28"/>
  <c r="AR183" i="28"/>
  <c r="BH182" i="28"/>
  <c r="BG182" i="28"/>
  <c r="BF182" i="28"/>
  <c r="BD182" i="28"/>
  <c r="BC182" i="28"/>
  <c r="BB182" i="28"/>
  <c r="BA182" i="28"/>
  <c r="AZ182" i="28"/>
  <c r="BE182" i="28"/>
  <c r="AY182" i="28"/>
  <c r="AX182" i="28"/>
  <c r="AW182" i="28"/>
  <c r="AV182" i="28"/>
  <c r="AR182" i="28"/>
  <c r="BH181" i="28"/>
  <c r="BG181" i="28"/>
  <c r="BF181" i="28"/>
  <c r="BD181" i="28"/>
  <c r="BC181" i="28"/>
  <c r="BB181" i="28"/>
  <c r="BA181" i="28"/>
  <c r="AZ181" i="28"/>
  <c r="BE181" i="28"/>
  <c r="AY181" i="28"/>
  <c r="AX181" i="28"/>
  <c r="AW181" i="28"/>
  <c r="AV181" i="28"/>
  <c r="AR181" i="28"/>
  <c r="BH180" i="28"/>
  <c r="BG180" i="28"/>
  <c r="BF180" i="28"/>
  <c r="BD180" i="28"/>
  <c r="BC180" i="28"/>
  <c r="BB180" i="28"/>
  <c r="BA180" i="28"/>
  <c r="AZ180" i="28"/>
  <c r="BE180" i="28"/>
  <c r="AY180" i="28"/>
  <c r="AX180" i="28"/>
  <c r="AW180" i="28"/>
  <c r="AV180" i="28"/>
  <c r="AR180" i="28"/>
  <c r="BH179" i="28"/>
  <c r="BG179" i="28"/>
  <c r="BF179" i="28"/>
  <c r="BD179" i="28"/>
  <c r="BC179" i="28"/>
  <c r="BB179" i="28"/>
  <c r="BA179" i="28"/>
  <c r="AZ179" i="28"/>
  <c r="BE179" i="28"/>
  <c r="AY179" i="28"/>
  <c r="AX179" i="28"/>
  <c r="AW179" i="28"/>
  <c r="AV179" i="28"/>
  <c r="AR179" i="28"/>
  <c r="BH178" i="28"/>
  <c r="BG178" i="28"/>
  <c r="BF178" i="28"/>
  <c r="BD178" i="28"/>
  <c r="BC178" i="28"/>
  <c r="BB178" i="28"/>
  <c r="BA178" i="28"/>
  <c r="AZ178" i="28"/>
  <c r="BE178" i="28"/>
  <c r="AY178" i="28"/>
  <c r="AX178" i="28"/>
  <c r="AW178" i="28"/>
  <c r="AV178" i="28"/>
  <c r="AR178" i="28"/>
  <c r="BH177" i="28"/>
  <c r="BG177" i="28"/>
  <c r="BF177" i="28"/>
  <c r="BD177" i="28"/>
  <c r="BC177" i="28"/>
  <c r="BB177" i="28"/>
  <c r="BA177" i="28"/>
  <c r="AZ177" i="28"/>
  <c r="BE177" i="28"/>
  <c r="AY177" i="28"/>
  <c r="AX177" i="28"/>
  <c r="AW177" i="28"/>
  <c r="AV177" i="28"/>
  <c r="AR177" i="28"/>
  <c r="BH176" i="28"/>
  <c r="BG176" i="28"/>
  <c r="BF176" i="28"/>
  <c r="BD176" i="28"/>
  <c r="BC176" i="28"/>
  <c r="BB176" i="28"/>
  <c r="BA176" i="28"/>
  <c r="AZ176" i="28"/>
  <c r="BE176" i="28"/>
  <c r="AY176" i="28"/>
  <c r="AX176" i="28"/>
  <c r="AW176" i="28"/>
  <c r="AV176" i="28"/>
  <c r="AR176" i="28"/>
  <c r="BH175" i="28"/>
  <c r="BG175" i="28"/>
  <c r="BF175" i="28"/>
  <c r="BD175" i="28"/>
  <c r="BC175" i="28"/>
  <c r="BB175" i="28"/>
  <c r="BA175" i="28"/>
  <c r="AZ175" i="28"/>
  <c r="BE175" i="28"/>
  <c r="AY175" i="28"/>
  <c r="AX175" i="28"/>
  <c r="AW175" i="28"/>
  <c r="AV175" i="28"/>
  <c r="AR175" i="28"/>
  <c r="BH174" i="28"/>
  <c r="BG174" i="28"/>
  <c r="BF174" i="28"/>
  <c r="BD174" i="28"/>
  <c r="BC174" i="28"/>
  <c r="BB174" i="28"/>
  <c r="BA174" i="28"/>
  <c r="AZ174" i="28"/>
  <c r="BE174" i="28"/>
  <c r="AY174" i="28"/>
  <c r="AX174" i="28"/>
  <c r="AW174" i="28"/>
  <c r="AV174" i="28"/>
  <c r="AR174" i="28"/>
  <c r="BH173" i="28"/>
  <c r="BG173" i="28"/>
  <c r="BF173" i="28"/>
  <c r="BD173" i="28"/>
  <c r="BC173" i="28"/>
  <c r="BB173" i="28"/>
  <c r="BA173" i="28"/>
  <c r="AZ173" i="28"/>
  <c r="BE173" i="28"/>
  <c r="AY173" i="28"/>
  <c r="AX173" i="28"/>
  <c r="AW173" i="28"/>
  <c r="AV173" i="28"/>
  <c r="AR173" i="28"/>
  <c r="AT173" i="28"/>
  <c r="BH172" i="28"/>
  <c r="BG172" i="28"/>
  <c r="BF172" i="28"/>
  <c r="BD172" i="28"/>
  <c r="BC172" i="28"/>
  <c r="BB172" i="28"/>
  <c r="BA172" i="28"/>
  <c r="AZ172" i="28"/>
  <c r="BE172" i="28"/>
  <c r="AY172" i="28"/>
  <c r="AX172" i="28"/>
  <c r="AW172" i="28"/>
  <c r="AV172" i="28"/>
  <c r="AR172" i="28"/>
  <c r="BH171" i="28"/>
  <c r="BG171" i="28"/>
  <c r="BF171" i="28"/>
  <c r="BD171" i="28"/>
  <c r="BC171" i="28"/>
  <c r="BB171" i="28"/>
  <c r="BA171" i="28"/>
  <c r="AZ171" i="28"/>
  <c r="BE171" i="28"/>
  <c r="AY171" i="28"/>
  <c r="AX171" i="28"/>
  <c r="AW171" i="28"/>
  <c r="AV171" i="28"/>
  <c r="AR171" i="28"/>
  <c r="BH170" i="28"/>
  <c r="BG170" i="28"/>
  <c r="BF170" i="28"/>
  <c r="BD170" i="28"/>
  <c r="BC170" i="28"/>
  <c r="BB170" i="28"/>
  <c r="BA170" i="28"/>
  <c r="AZ170" i="28"/>
  <c r="BE170" i="28"/>
  <c r="AY170" i="28"/>
  <c r="AX170" i="28"/>
  <c r="AW170" i="28"/>
  <c r="AV170" i="28"/>
  <c r="AR170" i="28"/>
  <c r="BH169" i="28"/>
  <c r="BG169" i="28"/>
  <c r="BF169" i="28"/>
  <c r="BD169" i="28"/>
  <c r="BC169" i="28"/>
  <c r="BB169" i="28"/>
  <c r="BA169" i="28"/>
  <c r="AZ169" i="28"/>
  <c r="BE169" i="28"/>
  <c r="AY169" i="28"/>
  <c r="AX169" i="28"/>
  <c r="AW169" i="28"/>
  <c r="AV169" i="28"/>
  <c r="AR169" i="28"/>
  <c r="BH168" i="28"/>
  <c r="BG168" i="28"/>
  <c r="BF168" i="28"/>
  <c r="BD168" i="28"/>
  <c r="BC168" i="28"/>
  <c r="BB168" i="28"/>
  <c r="BA168" i="28"/>
  <c r="AZ168" i="28"/>
  <c r="BE168" i="28"/>
  <c r="AY168" i="28"/>
  <c r="AX168" i="28"/>
  <c r="AW168" i="28"/>
  <c r="AV168" i="28"/>
  <c r="AR168" i="28"/>
  <c r="BH167" i="28"/>
  <c r="BG167" i="28"/>
  <c r="BF167" i="28"/>
  <c r="BD167" i="28"/>
  <c r="BC167" i="28"/>
  <c r="BB167" i="28"/>
  <c r="BA167" i="28"/>
  <c r="AZ167" i="28"/>
  <c r="BE167" i="28"/>
  <c r="AY167" i="28"/>
  <c r="AX167" i="28"/>
  <c r="AW167" i="28"/>
  <c r="AV167" i="28"/>
  <c r="AR167" i="28"/>
  <c r="BH166" i="28"/>
  <c r="BG166" i="28"/>
  <c r="BF166" i="28"/>
  <c r="BD166" i="28"/>
  <c r="BC166" i="28"/>
  <c r="BB166" i="28"/>
  <c r="BA166" i="28"/>
  <c r="AZ166" i="28"/>
  <c r="BE166" i="28"/>
  <c r="AY166" i="28"/>
  <c r="AX166" i="28"/>
  <c r="AW166" i="28"/>
  <c r="AV166" i="28"/>
  <c r="AR166" i="28"/>
  <c r="AU166" i="28"/>
  <c r="BH165" i="28"/>
  <c r="BG165" i="28"/>
  <c r="BF165" i="28"/>
  <c r="BD165" i="28"/>
  <c r="BC165" i="28"/>
  <c r="BB165" i="28"/>
  <c r="BA165" i="28"/>
  <c r="AZ165" i="28"/>
  <c r="BE165" i="28"/>
  <c r="AY165" i="28"/>
  <c r="AX165" i="28"/>
  <c r="AW165" i="28"/>
  <c r="AV165" i="28"/>
  <c r="AR165" i="28"/>
  <c r="BH164" i="28"/>
  <c r="BG164" i="28"/>
  <c r="BF164" i="28"/>
  <c r="BD164" i="28"/>
  <c r="BC164" i="28"/>
  <c r="BB164" i="28"/>
  <c r="BA164" i="28"/>
  <c r="AZ164" i="28"/>
  <c r="BE164" i="28"/>
  <c r="AY164" i="28"/>
  <c r="AX164" i="28"/>
  <c r="AW164" i="28"/>
  <c r="AV164" i="28"/>
  <c r="AR164" i="28"/>
  <c r="AT164" i="28"/>
  <c r="BH163" i="28"/>
  <c r="BG163" i="28"/>
  <c r="BF163" i="28"/>
  <c r="BD163" i="28"/>
  <c r="BC163" i="28"/>
  <c r="BB163" i="28"/>
  <c r="BA163" i="28"/>
  <c r="AZ163" i="28"/>
  <c r="BE163" i="28"/>
  <c r="AY163" i="28"/>
  <c r="AX163" i="28"/>
  <c r="AW163" i="28"/>
  <c r="AV163" i="28"/>
  <c r="AR163" i="28"/>
  <c r="AU163" i="28"/>
  <c r="BH162" i="28"/>
  <c r="BG162" i="28"/>
  <c r="BF162" i="28"/>
  <c r="BD162" i="28"/>
  <c r="BC162" i="28"/>
  <c r="BB162" i="28"/>
  <c r="BA162" i="28"/>
  <c r="AZ162" i="28"/>
  <c r="BE162" i="28"/>
  <c r="AY162" i="28"/>
  <c r="AX162" i="28"/>
  <c r="AW162" i="28"/>
  <c r="AV162" i="28"/>
  <c r="AR162" i="28"/>
  <c r="BH161" i="28"/>
  <c r="BG161" i="28"/>
  <c r="BF161" i="28"/>
  <c r="BD161" i="28"/>
  <c r="BC161" i="28"/>
  <c r="BB161" i="28"/>
  <c r="BA161" i="28"/>
  <c r="AZ161" i="28"/>
  <c r="BE161" i="28"/>
  <c r="AY161" i="28"/>
  <c r="AX161" i="28"/>
  <c r="AW161" i="28"/>
  <c r="AV161" i="28"/>
  <c r="AR161" i="28"/>
  <c r="BH160" i="28"/>
  <c r="BG160" i="28"/>
  <c r="BF160" i="28"/>
  <c r="BD160" i="28"/>
  <c r="BC160" i="28"/>
  <c r="BB160" i="28"/>
  <c r="BA160" i="28"/>
  <c r="AZ160" i="28"/>
  <c r="BE160" i="28"/>
  <c r="AY160" i="28"/>
  <c r="AX160" i="28"/>
  <c r="AW160" i="28"/>
  <c r="AV160" i="28"/>
  <c r="AR160" i="28"/>
  <c r="BH159" i="28"/>
  <c r="BG159" i="28"/>
  <c r="BF159" i="28"/>
  <c r="BD159" i="28"/>
  <c r="BC159" i="28"/>
  <c r="BB159" i="28"/>
  <c r="BA159" i="28"/>
  <c r="AZ159" i="28"/>
  <c r="BE159" i="28"/>
  <c r="AY159" i="28"/>
  <c r="AX159" i="28"/>
  <c r="AW159" i="28"/>
  <c r="AV159" i="28"/>
  <c r="AR159" i="28"/>
  <c r="BH158" i="28"/>
  <c r="BG158" i="28"/>
  <c r="BF158" i="28"/>
  <c r="BD158" i="28"/>
  <c r="BC158" i="28"/>
  <c r="BB158" i="28"/>
  <c r="BA158" i="28"/>
  <c r="AZ158" i="28"/>
  <c r="BE158" i="28"/>
  <c r="AY158" i="28"/>
  <c r="AX158" i="28"/>
  <c r="AW158" i="28"/>
  <c r="AV158" i="28"/>
  <c r="AR158" i="28"/>
  <c r="AU158" i="28"/>
  <c r="BH157" i="28"/>
  <c r="BG157" i="28"/>
  <c r="BF157" i="28"/>
  <c r="BD157" i="28"/>
  <c r="BC157" i="28"/>
  <c r="BB157" i="28"/>
  <c r="BA157" i="28"/>
  <c r="AZ157" i="28"/>
  <c r="BE157" i="28"/>
  <c r="AY157" i="28"/>
  <c r="AX157" i="28"/>
  <c r="AW157" i="28"/>
  <c r="AV157" i="28"/>
  <c r="AR157" i="28"/>
  <c r="BH156" i="28"/>
  <c r="BG156" i="28"/>
  <c r="BF156" i="28"/>
  <c r="BD156" i="28"/>
  <c r="BC156" i="28"/>
  <c r="BB156" i="28"/>
  <c r="BA156" i="28"/>
  <c r="AZ156" i="28"/>
  <c r="BE156" i="28"/>
  <c r="AY156" i="28"/>
  <c r="AX156" i="28"/>
  <c r="AW156" i="28"/>
  <c r="AV156" i="28"/>
  <c r="AR156" i="28"/>
  <c r="BH155" i="28"/>
  <c r="BG155" i="28"/>
  <c r="BF155" i="28"/>
  <c r="BD155" i="28"/>
  <c r="BC155" i="28"/>
  <c r="BB155" i="28"/>
  <c r="BA155" i="28"/>
  <c r="AZ155" i="28"/>
  <c r="BE155" i="28"/>
  <c r="AY155" i="28"/>
  <c r="AX155" i="28"/>
  <c r="AW155" i="28"/>
  <c r="AV155" i="28"/>
  <c r="AR155" i="28"/>
  <c r="BH154" i="28"/>
  <c r="BG154" i="28"/>
  <c r="BF154" i="28"/>
  <c r="BD154" i="28"/>
  <c r="BC154" i="28"/>
  <c r="BB154" i="28"/>
  <c r="BA154" i="28"/>
  <c r="AZ154" i="28"/>
  <c r="BE154" i="28"/>
  <c r="AY154" i="28"/>
  <c r="AX154" i="28"/>
  <c r="AW154" i="28"/>
  <c r="AV154" i="28"/>
  <c r="AR154" i="28"/>
  <c r="BH153" i="28"/>
  <c r="BG153" i="28"/>
  <c r="BF153" i="28"/>
  <c r="BD153" i="28"/>
  <c r="BC153" i="28"/>
  <c r="BB153" i="28"/>
  <c r="BA153" i="28"/>
  <c r="AZ153" i="28"/>
  <c r="BE153" i="28"/>
  <c r="AY153" i="28"/>
  <c r="AX153" i="28"/>
  <c r="AW153" i="28"/>
  <c r="AV153" i="28"/>
  <c r="AR153" i="28"/>
  <c r="BH152" i="28"/>
  <c r="BG152" i="28"/>
  <c r="BF152" i="28"/>
  <c r="BD152" i="28"/>
  <c r="BC152" i="28"/>
  <c r="BB152" i="28"/>
  <c r="BA152" i="28"/>
  <c r="AZ152" i="28"/>
  <c r="BE152" i="28"/>
  <c r="AY152" i="28"/>
  <c r="AX152" i="28"/>
  <c r="AW152" i="28"/>
  <c r="AV152" i="28"/>
  <c r="AR152" i="28"/>
  <c r="BH151" i="28"/>
  <c r="BG151" i="28"/>
  <c r="BF151" i="28"/>
  <c r="BD151" i="28"/>
  <c r="BC151" i="28"/>
  <c r="BB151" i="28"/>
  <c r="BA151" i="28"/>
  <c r="AZ151" i="28"/>
  <c r="BE151" i="28"/>
  <c r="AY151" i="28"/>
  <c r="AX151" i="28"/>
  <c r="AW151" i="28"/>
  <c r="AV151" i="28"/>
  <c r="AR151" i="28"/>
  <c r="AT151" i="28"/>
  <c r="BH150" i="28"/>
  <c r="BG150" i="28"/>
  <c r="BF150" i="28"/>
  <c r="BD150" i="28"/>
  <c r="BC150" i="28"/>
  <c r="BB150" i="28"/>
  <c r="BA150" i="28"/>
  <c r="AZ150" i="28"/>
  <c r="BE150" i="28"/>
  <c r="AY150" i="28"/>
  <c r="AX150" i="28"/>
  <c r="AW150" i="28"/>
  <c r="AV150" i="28"/>
  <c r="AR150" i="28"/>
  <c r="BH149" i="28"/>
  <c r="BG149" i="28"/>
  <c r="BF149" i="28"/>
  <c r="BD149" i="28"/>
  <c r="BC149" i="28"/>
  <c r="BB149" i="28"/>
  <c r="BA149" i="28"/>
  <c r="AZ149" i="28"/>
  <c r="BE149" i="28"/>
  <c r="AY149" i="28"/>
  <c r="AX149" i="28"/>
  <c r="AW149" i="28"/>
  <c r="AV149" i="28"/>
  <c r="AR149" i="28"/>
  <c r="BH148" i="28"/>
  <c r="BG148" i="28"/>
  <c r="BF148" i="28"/>
  <c r="BD148" i="28"/>
  <c r="BC148" i="28"/>
  <c r="BB148" i="28"/>
  <c r="BA148" i="28"/>
  <c r="AZ148" i="28"/>
  <c r="BE148" i="28"/>
  <c r="AY148" i="28"/>
  <c r="AX148" i="28"/>
  <c r="AW148" i="28"/>
  <c r="AV148" i="28"/>
  <c r="AR148" i="28"/>
  <c r="BH147" i="28"/>
  <c r="BG147" i="28"/>
  <c r="BF147" i="28"/>
  <c r="BD147" i="28"/>
  <c r="BC147" i="28"/>
  <c r="BB147" i="28"/>
  <c r="BA147" i="28"/>
  <c r="AZ147" i="28"/>
  <c r="BE147" i="28"/>
  <c r="AY147" i="28"/>
  <c r="AX147" i="28"/>
  <c r="AW147" i="28"/>
  <c r="AV147" i="28"/>
  <c r="AR147" i="28"/>
  <c r="BH146" i="28"/>
  <c r="BG146" i="28"/>
  <c r="BF146" i="28"/>
  <c r="BD146" i="28"/>
  <c r="BC146" i="28"/>
  <c r="BB146" i="28"/>
  <c r="BA146" i="28"/>
  <c r="AZ146" i="28"/>
  <c r="BE146" i="28"/>
  <c r="AY146" i="28"/>
  <c r="AX146" i="28"/>
  <c r="AW146" i="28"/>
  <c r="AV146" i="28"/>
  <c r="AR146" i="28"/>
  <c r="BH145" i="28"/>
  <c r="BG145" i="28"/>
  <c r="BF145" i="28"/>
  <c r="BD145" i="28"/>
  <c r="BC145" i="28"/>
  <c r="BB145" i="28"/>
  <c r="BA145" i="28"/>
  <c r="AZ145" i="28"/>
  <c r="BE145" i="28"/>
  <c r="AY145" i="28"/>
  <c r="AX145" i="28"/>
  <c r="AW145" i="28"/>
  <c r="AV145" i="28"/>
  <c r="AR145" i="28"/>
  <c r="BH144" i="28"/>
  <c r="BG144" i="28"/>
  <c r="BF144" i="28"/>
  <c r="BD144" i="28"/>
  <c r="BC144" i="28"/>
  <c r="BB144" i="28"/>
  <c r="BA144" i="28"/>
  <c r="AZ144" i="28"/>
  <c r="BE144" i="28"/>
  <c r="AY144" i="28"/>
  <c r="AX144" i="28"/>
  <c r="AW144" i="28"/>
  <c r="AV144" i="28"/>
  <c r="AR144" i="28"/>
  <c r="AS144" i="28"/>
  <c r="BH143" i="28"/>
  <c r="BG143" i="28"/>
  <c r="BF143" i="28"/>
  <c r="BD143" i="28"/>
  <c r="BC143" i="28"/>
  <c r="BB143" i="28"/>
  <c r="BA143" i="28"/>
  <c r="AZ143" i="28"/>
  <c r="BE143" i="28"/>
  <c r="AY143" i="28"/>
  <c r="AX143" i="28"/>
  <c r="AW143" i="28"/>
  <c r="AV143" i="28"/>
  <c r="AR143" i="28"/>
  <c r="AU143" i="28"/>
  <c r="BH142" i="28"/>
  <c r="BG142" i="28"/>
  <c r="BF142" i="28"/>
  <c r="BD142" i="28"/>
  <c r="BC142" i="28"/>
  <c r="BB142" i="28"/>
  <c r="BA142" i="28"/>
  <c r="AZ142" i="28"/>
  <c r="BE142" i="28"/>
  <c r="AY142" i="28"/>
  <c r="AX142" i="28"/>
  <c r="AW142" i="28"/>
  <c r="AV142" i="28"/>
  <c r="AR142" i="28"/>
  <c r="BH141" i="28"/>
  <c r="BG141" i="28"/>
  <c r="BF141" i="28"/>
  <c r="BD141" i="28"/>
  <c r="BC141" i="28"/>
  <c r="BB141" i="28"/>
  <c r="BA141" i="28"/>
  <c r="AZ141" i="28"/>
  <c r="BE141" i="28"/>
  <c r="AY141" i="28"/>
  <c r="AX141" i="28"/>
  <c r="AW141" i="28"/>
  <c r="AV141" i="28"/>
  <c r="AR141" i="28"/>
  <c r="BH140" i="28"/>
  <c r="BG140" i="28"/>
  <c r="BF140" i="28"/>
  <c r="BD140" i="28"/>
  <c r="BC140" i="28"/>
  <c r="BB140" i="28"/>
  <c r="BA140" i="28"/>
  <c r="AZ140" i="28"/>
  <c r="BE140" i="28"/>
  <c r="AY140" i="28"/>
  <c r="AX140" i="28"/>
  <c r="AW140" i="28"/>
  <c r="AV140" i="28"/>
  <c r="AR140" i="28"/>
  <c r="BH139" i="28"/>
  <c r="BG139" i="28"/>
  <c r="BF139" i="28"/>
  <c r="BD139" i="28"/>
  <c r="BC139" i="28"/>
  <c r="BB139" i="28"/>
  <c r="BA139" i="28"/>
  <c r="AZ139" i="28"/>
  <c r="BE139" i="28"/>
  <c r="AY139" i="28"/>
  <c r="AX139" i="28"/>
  <c r="AW139" i="28"/>
  <c r="AV139" i="28"/>
  <c r="AR139" i="28"/>
  <c r="BH138" i="28"/>
  <c r="BG138" i="28"/>
  <c r="BF138" i="28"/>
  <c r="BD138" i="28"/>
  <c r="BC138" i="28"/>
  <c r="BB138" i="28"/>
  <c r="BA138" i="28"/>
  <c r="AZ138" i="28"/>
  <c r="BE138" i="28"/>
  <c r="AY138" i="28"/>
  <c r="AX138" i="28"/>
  <c r="AW138" i="28"/>
  <c r="AV138" i="28"/>
  <c r="AR138" i="28"/>
  <c r="BH137" i="28"/>
  <c r="BG137" i="28"/>
  <c r="BF137" i="28"/>
  <c r="BD137" i="28"/>
  <c r="BC137" i="28"/>
  <c r="BB137" i="28"/>
  <c r="BA137" i="28"/>
  <c r="AZ137" i="28"/>
  <c r="BE137" i="28"/>
  <c r="AY137" i="28"/>
  <c r="AX137" i="28"/>
  <c r="AW137" i="28"/>
  <c r="AV137" i="28"/>
  <c r="AR137" i="28"/>
  <c r="BH136" i="28"/>
  <c r="BG136" i="28"/>
  <c r="BF136" i="28"/>
  <c r="BD136" i="28"/>
  <c r="BC136" i="28"/>
  <c r="BB136" i="28"/>
  <c r="BA136" i="28"/>
  <c r="AZ136" i="28"/>
  <c r="BE136" i="28"/>
  <c r="AY136" i="28"/>
  <c r="AX136" i="28"/>
  <c r="AW136" i="28"/>
  <c r="AV136" i="28"/>
  <c r="AR136" i="28"/>
  <c r="BH135" i="28"/>
  <c r="BG135" i="28"/>
  <c r="BF135" i="28"/>
  <c r="BD135" i="28"/>
  <c r="BC135" i="28"/>
  <c r="BB135" i="28"/>
  <c r="BA135" i="28"/>
  <c r="AZ135" i="28"/>
  <c r="BE135" i="28"/>
  <c r="AY135" i="28"/>
  <c r="AX135" i="28"/>
  <c r="AW135" i="28"/>
  <c r="AV135" i="28"/>
  <c r="AR135" i="28"/>
  <c r="BH134" i="28"/>
  <c r="BG134" i="28"/>
  <c r="BF134" i="28"/>
  <c r="BD134" i="28"/>
  <c r="BC134" i="28"/>
  <c r="BB134" i="28"/>
  <c r="BA134" i="28"/>
  <c r="AZ134" i="28"/>
  <c r="BE134" i="28"/>
  <c r="AY134" i="28"/>
  <c r="AX134" i="28"/>
  <c r="AW134" i="28"/>
  <c r="AV134" i="28"/>
  <c r="AR134" i="28"/>
  <c r="BH133" i="28"/>
  <c r="BG133" i="28"/>
  <c r="BF133" i="28"/>
  <c r="BD133" i="28"/>
  <c r="BC133" i="28"/>
  <c r="BB133" i="28"/>
  <c r="BA133" i="28"/>
  <c r="AZ133" i="28"/>
  <c r="BE133" i="28"/>
  <c r="AY133" i="28"/>
  <c r="AX133" i="28"/>
  <c r="AW133" i="28"/>
  <c r="AV133" i="28"/>
  <c r="AR133" i="28"/>
  <c r="AT133" i="28"/>
  <c r="BH132" i="28"/>
  <c r="BG132" i="28"/>
  <c r="BF132" i="28"/>
  <c r="BD132" i="28"/>
  <c r="BC132" i="28"/>
  <c r="BB132" i="28"/>
  <c r="BA132" i="28"/>
  <c r="AZ132" i="28"/>
  <c r="BE132" i="28"/>
  <c r="AY132" i="28"/>
  <c r="AX132" i="28"/>
  <c r="AW132" i="28"/>
  <c r="AV132" i="28"/>
  <c r="AR132" i="28"/>
  <c r="BH131" i="28"/>
  <c r="BG131" i="28"/>
  <c r="BF131" i="28"/>
  <c r="BD131" i="28"/>
  <c r="BC131" i="28"/>
  <c r="BB131" i="28"/>
  <c r="BA131" i="28"/>
  <c r="AZ131" i="28"/>
  <c r="BE131" i="28"/>
  <c r="AY131" i="28"/>
  <c r="AX131" i="28"/>
  <c r="AW131" i="28"/>
  <c r="AV131" i="28"/>
  <c r="AR131" i="28"/>
  <c r="BH130" i="28"/>
  <c r="BG130" i="28"/>
  <c r="BF130" i="28"/>
  <c r="BD130" i="28"/>
  <c r="BC130" i="28"/>
  <c r="BB130" i="28"/>
  <c r="BA130" i="28"/>
  <c r="AZ130" i="28"/>
  <c r="BE130" i="28"/>
  <c r="AY130" i="28"/>
  <c r="AX130" i="28"/>
  <c r="AW130" i="28"/>
  <c r="AV130" i="28"/>
  <c r="AR130" i="28"/>
  <c r="AS130" i="28"/>
  <c r="BH129" i="28"/>
  <c r="BG129" i="28"/>
  <c r="BF129" i="28"/>
  <c r="BD129" i="28"/>
  <c r="BC129" i="28"/>
  <c r="BB129" i="28"/>
  <c r="BA129" i="28"/>
  <c r="AZ129" i="28"/>
  <c r="BE129" i="28"/>
  <c r="AY129" i="28"/>
  <c r="AX129" i="28"/>
  <c r="AW129" i="28"/>
  <c r="AV129" i="28"/>
  <c r="AR129" i="28"/>
  <c r="BH128" i="28"/>
  <c r="BG128" i="28"/>
  <c r="BF128" i="28"/>
  <c r="BD128" i="28"/>
  <c r="BC128" i="28"/>
  <c r="BB128" i="28"/>
  <c r="BA128" i="28"/>
  <c r="AZ128" i="28"/>
  <c r="BE128" i="28"/>
  <c r="AY128" i="28"/>
  <c r="AX128" i="28"/>
  <c r="AW128" i="28"/>
  <c r="AV128" i="28"/>
  <c r="AR128" i="28"/>
  <c r="BH127" i="28"/>
  <c r="BG127" i="28"/>
  <c r="BF127" i="28"/>
  <c r="BD127" i="28"/>
  <c r="BC127" i="28"/>
  <c r="BB127" i="28"/>
  <c r="BA127" i="28"/>
  <c r="AZ127" i="28"/>
  <c r="BE127" i="28"/>
  <c r="AY127" i="28"/>
  <c r="AX127" i="28"/>
  <c r="AW127" i="28"/>
  <c r="AV127" i="28"/>
  <c r="AR127" i="28"/>
  <c r="BH126" i="28"/>
  <c r="BG126" i="28"/>
  <c r="BF126" i="28"/>
  <c r="BD126" i="28"/>
  <c r="BC126" i="28"/>
  <c r="BB126" i="28"/>
  <c r="BA126" i="28"/>
  <c r="AZ126" i="28"/>
  <c r="BE126" i="28"/>
  <c r="AY126" i="28"/>
  <c r="AX126" i="28"/>
  <c r="AW126" i="28"/>
  <c r="AV126" i="28"/>
  <c r="AR126" i="28"/>
  <c r="BH125" i="28"/>
  <c r="BG125" i="28"/>
  <c r="BF125" i="28"/>
  <c r="BD125" i="28"/>
  <c r="BC125" i="28"/>
  <c r="BB125" i="28"/>
  <c r="BA125" i="28"/>
  <c r="AZ125" i="28"/>
  <c r="BE125" i="28"/>
  <c r="AY125" i="28"/>
  <c r="AX125" i="28"/>
  <c r="AW125" i="28"/>
  <c r="AV125" i="28"/>
  <c r="AR125" i="28"/>
  <c r="BH124" i="28"/>
  <c r="BG124" i="28"/>
  <c r="BF124" i="28"/>
  <c r="BD124" i="28"/>
  <c r="BC124" i="28"/>
  <c r="BB124" i="28"/>
  <c r="BA124" i="28"/>
  <c r="AZ124" i="28"/>
  <c r="BE124" i="28"/>
  <c r="AY124" i="28"/>
  <c r="AX124" i="28"/>
  <c r="AW124" i="28"/>
  <c r="AV124" i="28"/>
  <c r="AR124" i="28"/>
  <c r="AU124" i="28"/>
  <c r="BH123" i="28"/>
  <c r="BG123" i="28"/>
  <c r="BF123" i="28"/>
  <c r="BD123" i="28"/>
  <c r="BC123" i="28"/>
  <c r="BB123" i="28"/>
  <c r="BA123" i="28"/>
  <c r="AZ123" i="28"/>
  <c r="BE123" i="28"/>
  <c r="AY123" i="28"/>
  <c r="AX123" i="28"/>
  <c r="AW123" i="28"/>
  <c r="AV123" i="28"/>
  <c r="AR123" i="28"/>
  <c r="BH122" i="28"/>
  <c r="BG122" i="28"/>
  <c r="BF122" i="28"/>
  <c r="BD122" i="28"/>
  <c r="BC122" i="28"/>
  <c r="BB122" i="28"/>
  <c r="BA122" i="28"/>
  <c r="AZ122" i="28"/>
  <c r="BE122" i="28"/>
  <c r="AY122" i="28"/>
  <c r="AX122" i="28"/>
  <c r="AW122" i="28"/>
  <c r="AV122" i="28"/>
  <c r="AR122" i="28"/>
  <c r="BH121" i="28"/>
  <c r="BG121" i="28"/>
  <c r="BF121" i="28"/>
  <c r="BD121" i="28"/>
  <c r="BC121" i="28"/>
  <c r="BB121" i="28"/>
  <c r="BA121" i="28"/>
  <c r="AZ121" i="28"/>
  <c r="BE121" i="28"/>
  <c r="AY121" i="28"/>
  <c r="AX121" i="28"/>
  <c r="AW121" i="28"/>
  <c r="AV121" i="28"/>
  <c r="AR121" i="28"/>
  <c r="AU121" i="28"/>
  <c r="BH120" i="28"/>
  <c r="BG120" i="28"/>
  <c r="BF120" i="28"/>
  <c r="BD120" i="28"/>
  <c r="BC120" i="28"/>
  <c r="BB120" i="28"/>
  <c r="BA120" i="28"/>
  <c r="AZ120" i="28"/>
  <c r="BE120" i="28"/>
  <c r="AY120" i="28"/>
  <c r="AX120" i="28"/>
  <c r="AW120" i="28"/>
  <c r="AV120" i="28"/>
  <c r="AR120" i="28"/>
  <c r="AU120" i="28"/>
  <c r="BH119" i="28"/>
  <c r="BG119" i="28"/>
  <c r="BF119" i="28"/>
  <c r="BD119" i="28"/>
  <c r="BC119" i="28"/>
  <c r="BB119" i="28"/>
  <c r="BA119" i="28"/>
  <c r="AZ119" i="28"/>
  <c r="BE119" i="28"/>
  <c r="AY119" i="28"/>
  <c r="AX119" i="28"/>
  <c r="AW119" i="28"/>
  <c r="AV119" i="28"/>
  <c r="AR119" i="28"/>
  <c r="BH118" i="28"/>
  <c r="BG118" i="28"/>
  <c r="BF118" i="28"/>
  <c r="BD118" i="28"/>
  <c r="BC118" i="28"/>
  <c r="BB118" i="28"/>
  <c r="BA118" i="28"/>
  <c r="AZ118" i="28"/>
  <c r="BE118" i="28"/>
  <c r="AY118" i="28"/>
  <c r="AX118" i="28"/>
  <c r="AW118" i="28"/>
  <c r="AV118" i="28"/>
  <c r="AR118" i="28"/>
  <c r="BH117" i="28"/>
  <c r="BG117" i="28"/>
  <c r="BF117" i="28"/>
  <c r="BD117" i="28"/>
  <c r="BC117" i="28"/>
  <c r="BB117" i="28"/>
  <c r="BA117" i="28"/>
  <c r="AZ117" i="28"/>
  <c r="BE117" i="28"/>
  <c r="AY117" i="28"/>
  <c r="AX117" i="28"/>
  <c r="AW117" i="28"/>
  <c r="AV117" i="28"/>
  <c r="AR117" i="28"/>
  <c r="AU117" i="28"/>
  <c r="BH116" i="28"/>
  <c r="BG116" i="28"/>
  <c r="BF116" i="28"/>
  <c r="BD116" i="28"/>
  <c r="BC116" i="28"/>
  <c r="BB116" i="28"/>
  <c r="BA116" i="28"/>
  <c r="AZ116" i="28"/>
  <c r="BE116" i="28"/>
  <c r="AY116" i="28"/>
  <c r="AX116" i="28"/>
  <c r="AW116" i="28"/>
  <c r="AV116" i="28"/>
  <c r="AR116" i="28"/>
  <c r="AU116" i="28"/>
  <c r="BH115" i="28"/>
  <c r="BG115" i="28"/>
  <c r="BF115" i="28"/>
  <c r="BD115" i="28"/>
  <c r="BC115" i="28"/>
  <c r="BB115" i="28"/>
  <c r="BA115" i="28"/>
  <c r="AZ115" i="28"/>
  <c r="BE115" i="28"/>
  <c r="AY115" i="28"/>
  <c r="AX115" i="28"/>
  <c r="AW115" i="28"/>
  <c r="AV115" i="28"/>
  <c r="AR115" i="28"/>
  <c r="BH114" i="28"/>
  <c r="BG114" i="28"/>
  <c r="BF114" i="28"/>
  <c r="BD114" i="28"/>
  <c r="BC114" i="28"/>
  <c r="BB114" i="28"/>
  <c r="BA114" i="28"/>
  <c r="AZ114" i="28"/>
  <c r="BE114" i="28"/>
  <c r="AY114" i="28"/>
  <c r="AX114" i="28"/>
  <c r="AW114" i="28"/>
  <c r="AV114" i="28"/>
  <c r="AR114" i="28"/>
  <c r="AS114" i="28"/>
  <c r="BH113" i="28"/>
  <c r="BG113" i="28"/>
  <c r="BF113" i="28"/>
  <c r="BD113" i="28"/>
  <c r="BC113" i="28"/>
  <c r="BB113" i="28"/>
  <c r="BA113" i="28"/>
  <c r="AZ113" i="28"/>
  <c r="BE113" i="28"/>
  <c r="AY113" i="28"/>
  <c r="AX113" i="28"/>
  <c r="AW113" i="28"/>
  <c r="AV113" i="28"/>
  <c r="AR113" i="28"/>
  <c r="BH112" i="28"/>
  <c r="BG112" i="28"/>
  <c r="BF112" i="28"/>
  <c r="BD112" i="28"/>
  <c r="BC112" i="28"/>
  <c r="BB112" i="28"/>
  <c r="BA112" i="28"/>
  <c r="AZ112" i="28"/>
  <c r="BE112" i="28"/>
  <c r="AY112" i="28"/>
  <c r="AX112" i="28"/>
  <c r="AW112" i="28"/>
  <c r="AV112" i="28"/>
  <c r="AR112" i="28"/>
  <c r="BH111" i="28"/>
  <c r="BG111" i="28"/>
  <c r="BF111" i="28"/>
  <c r="BD111" i="28"/>
  <c r="BC111" i="28"/>
  <c r="BB111" i="28"/>
  <c r="BA111" i="28"/>
  <c r="AZ111" i="28"/>
  <c r="BE111" i="28"/>
  <c r="AY111" i="28"/>
  <c r="AX111" i="28"/>
  <c r="AW111" i="28"/>
  <c r="AV111" i="28"/>
  <c r="AR111" i="28"/>
  <c r="BH110" i="28"/>
  <c r="BG110" i="28"/>
  <c r="BF110" i="28"/>
  <c r="BD110" i="28"/>
  <c r="BC110" i="28"/>
  <c r="BB110" i="28"/>
  <c r="BA110" i="28"/>
  <c r="AZ110" i="28"/>
  <c r="BE110" i="28"/>
  <c r="AY110" i="28"/>
  <c r="AX110" i="28"/>
  <c r="AW110" i="28"/>
  <c r="AV110" i="28"/>
  <c r="AR110" i="28"/>
  <c r="AS110" i="28"/>
  <c r="BH109" i="28"/>
  <c r="BG109" i="28"/>
  <c r="BF109" i="28"/>
  <c r="BD109" i="28"/>
  <c r="BC109" i="28"/>
  <c r="BB109" i="28"/>
  <c r="BA109" i="28"/>
  <c r="AZ109" i="28"/>
  <c r="BE109" i="28"/>
  <c r="AY109" i="28"/>
  <c r="AX109" i="28"/>
  <c r="AW109" i="28"/>
  <c r="AV109" i="28"/>
  <c r="AR109" i="28"/>
  <c r="BH108" i="28"/>
  <c r="BG108" i="28"/>
  <c r="BF108" i="28"/>
  <c r="BD108" i="28"/>
  <c r="BC108" i="28"/>
  <c r="BB108" i="28"/>
  <c r="BA108" i="28"/>
  <c r="AZ108" i="28"/>
  <c r="BE108" i="28"/>
  <c r="AY108" i="28"/>
  <c r="AX108" i="28"/>
  <c r="AW108" i="28"/>
  <c r="AV108" i="28"/>
  <c r="AR108" i="28"/>
  <c r="BH107" i="28"/>
  <c r="BG107" i="28"/>
  <c r="BF107" i="28"/>
  <c r="BD107" i="28"/>
  <c r="BC107" i="28"/>
  <c r="BB107" i="28"/>
  <c r="BA107" i="28"/>
  <c r="AZ107" i="28"/>
  <c r="BE107" i="28"/>
  <c r="AY107" i="28"/>
  <c r="AX107" i="28"/>
  <c r="AW107" i="28"/>
  <c r="AV107" i="28"/>
  <c r="AR107" i="28"/>
  <c r="AS107" i="28"/>
  <c r="BH106" i="28"/>
  <c r="BG106" i="28"/>
  <c r="BF106" i="28"/>
  <c r="BD106" i="28"/>
  <c r="BC106" i="28"/>
  <c r="BB106" i="28"/>
  <c r="BA106" i="28"/>
  <c r="AZ106" i="28"/>
  <c r="BE106" i="28"/>
  <c r="AY106" i="28"/>
  <c r="AX106" i="28"/>
  <c r="AW106" i="28"/>
  <c r="AV106" i="28"/>
  <c r="AR106" i="28"/>
  <c r="AT106" i="28"/>
  <c r="BH105" i="28"/>
  <c r="BG105" i="28"/>
  <c r="BF105" i="28"/>
  <c r="BD105" i="28"/>
  <c r="BC105" i="28"/>
  <c r="BB105" i="28"/>
  <c r="BA105" i="28"/>
  <c r="AZ105" i="28"/>
  <c r="BE105" i="28"/>
  <c r="AY105" i="28"/>
  <c r="AX105" i="28"/>
  <c r="AW105" i="28"/>
  <c r="AV105" i="28"/>
  <c r="AR105" i="28"/>
  <c r="AT105" i="28"/>
  <c r="BH104" i="28"/>
  <c r="BG104" i="28"/>
  <c r="BF104" i="28"/>
  <c r="BD104" i="28"/>
  <c r="BC104" i="28"/>
  <c r="BB104" i="28"/>
  <c r="BA104" i="28"/>
  <c r="AZ104" i="28"/>
  <c r="BE104" i="28"/>
  <c r="AY104" i="28"/>
  <c r="AX104" i="28"/>
  <c r="AW104" i="28"/>
  <c r="AV104" i="28"/>
  <c r="AR104" i="28"/>
  <c r="AS104" i="28"/>
  <c r="BH103" i="28"/>
  <c r="BG103" i="28"/>
  <c r="BF103" i="28"/>
  <c r="BD103" i="28"/>
  <c r="BC103" i="28"/>
  <c r="BB103" i="28"/>
  <c r="BA103" i="28"/>
  <c r="AZ103" i="28"/>
  <c r="BE103" i="28"/>
  <c r="AY103" i="28"/>
  <c r="AX103" i="28"/>
  <c r="AW103" i="28"/>
  <c r="AV103" i="28"/>
  <c r="AR103" i="28"/>
  <c r="BH102" i="28"/>
  <c r="BG102" i="28"/>
  <c r="BF102" i="28"/>
  <c r="BD102" i="28"/>
  <c r="BC102" i="28"/>
  <c r="BB102" i="28"/>
  <c r="BA102" i="28"/>
  <c r="AZ102" i="28"/>
  <c r="BE102" i="28"/>
  <c r="AY102" i="28"/>
  <c r="AX102" i="28"/>
  <c r="AW102" i="28"/>
  <c r="AV102" i="28"/>
  <c r="AR102" i="28"/>
  <c r="BH101" i="28"/>
  <c r="BG101" i="28"/>
  <c r="BF101" i="28"/>
  <c r="BD101" i="28"/>
  <c r="BC101" i="28"/>
  <c r="BB101" i="28"/>
  <c r="BA101" i="28"/>
  <c r="AZ101" i="28"/>
  <c r="BE101" i="28"/>
  <c r="AY101" i="28"/>
  <c r="AX101" i="28"/>
  <c r="AW101" i="28"/>
  <c r="AV101" i="28"/>
  <c r="AR101" i="28"/>
  <c r="AT101" i="28"/>
  <c r="BH100" i="28"/>
  <c r="BG100" i="28"/>
  <c r="BF100" i="28"/>
  <c r="BD100" i="28"/>
  <c r="BC100" i="28"/>
  <c r="BB100" i="28"/>
  <c r="BA100" i="28"/>
  <c r="AZ100" i="28"/>
  <c r="BE100" i="28"/>
  <c r="AY100" i="28"/>
  <c r="AX100" i="28"/>
  <c r="AW100" i="28"/>
  <c r="AV100" i="28"/>
  <c r="AR100" i="28"/>
  <c r="BH99" i="28"/>
  <c r="BG99" i="28"/>
  <c r="BF99" i="28"/>
  <c r="BD99" i="28"/>
  <c r="BC99" i="28"/>
  <c r="BB99" i="28"/>
  <c r="BA99" i="28"/>
  <c r="AZ99" i="28"/>
  <c r="BE99" i="28"/>
  <c r="AY99" i="28"/>
  <c r="AX99" i="28"/>
  <c r="AW99" i="28"/>
  <c r="AV99" i="28"/>
  <c r="AR99" i="28"/>
  <c r="BH98" i="28"/>
  <c r="BG98" i="28"/>
  <c r="BF98" i="28"/>
  <c r="BD98" i="28"/>
  <c r="BC98" i="28"/>
  <c r="BB98" i="28"/>
  <c r="BA98" i="28"/>
  <c r="AZ98" i="28"/>
  <c r="BE98" i="28"/>
  <c r="AY98" i="28"/>
  <c r="AX98" i="28"/>
  <c r="AW98" i="28"/>
  <c r="AV98" i="28"/>
  <c r="AR98" i="28"/>
  <c r="AT98" i="28"/>
  <c r="BH97" i="28"/>
  <c r="BG97" i="28"/>
  <c r="BF97" i="28"/>
  <c r="BD97" i="28"/>
  <c r="BC97" i="28"/>
  <c r="BB97" i="28"/>
  <c r="BA97" i="28"/>
  <c r="AZ97" i="28"/>
  <c r="BE97" i="28"/>
  <c r="AY97" i="28"/>
  <c r="AX97" i="28"/>
  <c r="AW97" i="28"/>
  <c r="AV97" i="28"/>
  <c r="AR97" i="28"/>
  <c r="AT97" i="28"/>
  <c r="BH96" i="28"/>
  <c r="BG96" i="28"/>
  <c r="BF96" i="28"/>
  <c r="BD96" i="28"/>
  <c r="BC96" i="28"/>
  <c r="BB96" i="28"/>
  <c r="BA96" i="28"/>
  <c r="AZ96" i="28"/>
  <c r="BE96" i="28"/>
  <c r="AY96" i="28"/>
  <c r="AX96" i="28"/>
  <c r="AW96" i="28"/>
  <c r="AV96" i="28"/>
  <c r="AR96" i="28"/>
  <c r="BH95" i="28"/>
  <c r="BG95" i="28"/>
  <c r="BF95" i="28"/>
  <c r="BD95" i="28"/>
  <c r="BC95" i="28"/>
  <c r="BB95" i="28"/>
  <c r="BA95" i="28"/>
  <c r="AZ95" i="28"/>
  <c r="BE95" i="28"/>
  <c r="AY95" i="28"/>
  <c r="AX95" i="28"/>
  <c r="AW95" i="28"/>
  <c r="AV95" i="28"/>
  <c r="AR95" i="28"/>
  <c r="AT95" i="28"/>
  <c r="BH94" i="28"/>
  <c r="BG94" i="28"/>
  <c r="BF94" i="28"/>
  <c r="BD94" i="28"/>
  <c r="BC94" i="28"/>
  <c r="BB94" i="28"/>
  <c r="BA94" i="28"/>
  <c r="AZ94" i="28"/>
  <c r="BE94" i="28"/>
  <c r="AY94" i="28"/>
  <c r="AX94" i="28"/>
  <c r="AW94" i="28"/>
  <c r="AV94" i="28"/>
  <c r="AR94" i="28"/>
  <c r="BH93" i="28"/>
  <c r="BG93" i="28"/>
  <c r="BF93" i="28"/>
  <c r="BD93" i="28"/>
  <c r="BC93" i="28"/>
  <c r="BB93" i="28"/>
  <c r="BA93" i="28"/>
  <c r="AZ93" i="28"/>
  <c r="BE93" i="28"/>
  <c r="AY93" i="28"/>
  <c r="AX93" i="28"/>
  <c r="AW93" i="28"/>
  <c r="AV93" i="28"/>
  <c r="AR93" i="28"/>
  <c r="BH92" i="28"/>
  <c r="BG92" i="28"/>
  <c r="BF92" i="28"/>
  <c r="BD92" i="28"/>
  <c r="BC92" i="28"/>
  <c r="BB92" i="28"/>
  <c r="BA92" i="28"/>
  <c r="AZ92" i="28"/>
  <c r="BE92" i="28"/>
  <c r="AY92" i="28"/>
  <c r="AX92" i="28"/>
  <c r="AW92" i="28"/>
  <c r="AV92" i="28"/>
  <c r="AR92" i="28"/>
  <c r="AU92" i="28"/>
  <c r="BH91" i="28"/>
  <c r="BG91" i="28"/>
  <c r="BF91" i="28"/>
  <c r="BD91" i="28"/>
  <c r="BC91" i="28"/>
  <c r="BB91" i="28"/>
  <c r="BA91" i="28"/>
  <c r="AZ91" i="28"/>
  <c r="BE91" i="28"/>
  <c r="AY91" i="28"/>
  <c r="AX91" i="28"/>
  <c r="AW91" i="28"/>
  <c r="AV91" i="28"/>
  <c r="AR91" i="28"/>
  <c r="BH90" i="28"/>
  <c r="BG90" i="28"/>
  <c r="BF90" i="28"/>
  <c r="BD90" i="28"/>
  <c r="BC90" i="28"/>
  <c r="BB90" i="28"/>
  <c r="BA90" i="28"/>
  <c r="AZ90" i="28"/>
  <c r="BE90" i="28"/>
  <c r="AY90" i="28"/>
  <c r="AX90" i="28"/>
  <c r="AW90" i="28"/>
  <c r="AV90" i="28"/>
  <c r="AR90" i="28"/>
  <c r="BH89" i="28"/>
  <c r="BG89" i="28"/>
  <c r="BF89" i="28"/>
  <c r="BD89" i="28"/>
  <c r="BC89" i="28"/>
  <c r="BB89" i="28"/>
  <c r="BA89" i="28"/>
  <c r="AZ89" i="28"/>
  <c r="BE89" i="28"/>
  <c r="AY89" i="28"/>
  <c r="AX89" i="28"/>
  <c r="AW89" i="28"/>
  <c r="AV89" i="28"/>
  <c r="AR89" i="28"/>
  <c r="BH88" i="28"/>
  <c r="BG88" i="28"/>
  <c r="BF88" i="28"/>
  <c r="BD88" i="28"/>
  <c r="BC88" i="28"/>
  <c r="BB88" i="28"/>
  <c r="BA88" i="28"/>
  <c r="AZ88" i="28"/>
  <c r="BE88" i="28"/>
  <c r="AY88" i="28"/>
  <c r="AX88" i="28"/>
  <c r="AW88" i="28"/>
  <c r="AV88" i="28"/>
  <c r="AR88" i="28"/>
  <c r="BH87" i="28"/>
  <c r="BG87" i="28"/>
  <c r="BF87" i="28"/>
  <c r="BD87" i="28"/>
  <c r="BC87" i="28"/>
  <c r="BB87" i="28"/>
  <c r="BA87" i="28"/>
  <c r="AZ87" i="28"/>
  <c r="BE87" i="28"/>
  <c r="AY87" i="28"/>
  <c r="AX87" i="28"/>
  <c r="AW87" i="28"/>
  <c r="AV87" i="28"/>
  <c r="AR87" i="28"/>
  <c r="AU87" i="28"/>
  <c r="BH86" i="28"/>
  <c r="BG86" i="28"/>
  <c r="BF86" i="28"/>
  <c r="BD86" i="28"/>
  <c r="BC86" i="28"/>
  <c r="BB86" i="28"/>
  <c r="BA86" i="28"/>
  <c r="AZ86" i="28"/>
  <c r="BE86" i="28"/>
  <c r="AY86" i="28"/>
  <c r="AX86" i="28"/>
  <c r="AW86" i="28"/>
  <c r="AV86" i="28"/>
  <c r="AR86" i="28"/>
  <c r="BH85" i="28"/>
  <c r="BG85" i="28"/>
  <c r="BF85" i="28"/>
  <c r="BD85" i="28"/>
  <c r="BC85" i="28"/>
  <c r="BB85" i="28"/>
  <c r="BA85" i="28"/>
  <c r="AZ85" i="28"/>
  <c r="BE85" i="28"/>
  <c r="AY85" i="28"/>
  <c r="AX85" i="28"/>
  <c r="AW85" i="28"/>
  <c r="AV85" i="28"/>
  <c r="AR85" i="28"/>
  <c r="BH84" i="28"/>
  <c r="BG84" i="28"/>
  <c r="BF84" i="28"/>
  <c r="BD84" i="28"/>
  <c r="BC84" i="28"/>
  <c r="BB84" i="28"/>
  <c r="BA84" i="28"/>
  <c r="AZ84" i="28"/>
  <c r="BE84" i="28"/>
  <c r="AY84" i="28"/>
  <c r="AX84" i="28"/>
  <c r="AW84" i="28"/>
  <c r="AV84" i="28"/>
  <c r="AR84" i="28"/>
  <c r="BH83" i="28"/>
  <c r="BG83" i="28"/>
  <c r="BF83" i="28"/>
  <c r="BD83" i="28"/>
  <c r="BC83" i="28"/>
  <c r="BB83" i="28"/>
  <c r="BA83" i="28"/>
  <c r="AZ83" i="28"/>
  <c r="BE83" i="28"/>
  <c r="AY83" i="28"/>
  <c r="AX83" i="28"/>
  <c r="AW83" i="28"/>
  <c r="AV83" i="28"/>
  <c r="AR83" i="28"/>
  <c r="AT83" i="28"/>
  <c r="BH82" i="28"/>
  <c r="BG82" i="28"/>
  <c r="BF82" i="28"/>
  <c r="BD82" i="28"/>
  <c r="BC82" i="28"/>
  <c r="BB82" i="28"/>
  <c r="BA82" i="28"/>
  <c r="AZ82" i="28"/>
  <c r="BE82" i="28"/>
  <c r="AY82" i="28"/>
  <c r="AX82" i="28"/>
  <c r="AW82" i="28"/>
  <c r="AV82" i="28"/>
  <c r="AR82" i="28"/>
  <c r="AT82" i="28"/>
  <c r="BH81" i="28"/>
  <c r="BG81" i="28"/>
  <c r="BF81" i="28"/>
  <c r="BD81" i="28"/>
  <c r="BC81" i="28"/>
  <c r="BB81" i="28"/>
  <c r="BA81" i="28"/>
  <c r="AZ81" i="28"/>
  <c r="BE81" i="28"/>
  <c r="AY81" i="28"/>
  <c r="AX81" i="28"/>
  <c r="AW81" i="28"/>
  <c r="AV81" i="28"/>
  <c r="AR81" i="28"/>
  <c r="BH80" i="28"/>
  <c r="BG80" i="28"/>
  <c r="BF80" i="28"/>
  <c r="BD80" i="28"/>
  <c r="BC80" i="28"/>
  <c r="BB80" i="28"/>
  <c r="BA80" i="28"/>
  <c r="AZ80" i="28"/>
  <c r="BE80" i="28"/>
  <c r="AY80" i="28"/>
  <c r="AX80" i="28"/>
  <c r="AW80" i="28"/>
  <c r="AV80" i="28"/>
  <c r="AR80" i="28"/>
  <c r="BH79" i="28"/>
  <c r="BG79" i="28"/>
  <c r="BF79" i="28"/>
  <c r="BD79" i="28"/>
  <c r="BC79" i="28"/>
  <c r="BB79" i="28"/>
  <c r="BA79" i="28"/>
  <c r="AZ79" i="28"/>
  <c r="BE79" i="28"/>
  <c r="AY79" i="28"/>
  <c r="AX79" i="28"/>
  <c r="AW79" i="28"/>
  <c r="AV79" i="28"/>
  <c r="AR79" i="28"/>
  <c r="BH78" i="28"/>
  <c r="BG78" i="28"/>
  <c r="BF78" i="28"/>
  <c r="BD78" i="28"/>
  <c r="BC78" i="28"/>
  <c r="BB78" i="28"/>
  <c r="BA78" i="28"/>
  <c r="AZ78" i="28"/>
  <c r="BE78" i="28"/>
  <c r="AY78" i="28"/>
  <c r="AX78" i="28"/>
  <c r="AW78" i="28"/>
  <c r="AV78" i="28"/>
  <c r="AR78" i="28"/>
  <c r="BH77" i="28"/>
  <c r="BG77" i="28"/>
  <c r="BF77" i="28"/>
  <c r="BD77" i="28"/>
  <c r="BC77" i="28"/>
  <c r="BB77" i="28"/>
  <c r="BA77" i="28"/>
  <c r="AZ77" i="28"/>
  <c r="BE77" i="28"/>
  <c r="AY77" i="28"/>
  <c r="AX77" i="28"/>
  <c r="AW77" i="28"/>
  <c r="AV77" i="28"/>
  <c r="AR77" i="28"/>
  <c r="AU77" i="28"/>
  <c r="BH76" i="28"/>
  <c r="BG76" i="28"/>
  <c r="BF76" i="28"/>
  <c r="BD76" i="28"/>
  <c r="BC76" i="28"/>
  <c r="BB76" i="28"/>
  <c r="BA76" i="28"/>
  <c r="AZ76" i="28"/>
  <c r="BE76" i="28"/>
  <c r="AY76" i="28"/>
  <c r="AX76" i="28"/>
  <c r="AW76" i="28"/>
  <c r="AV76" i="28"/>
  <c r="AR76" i="28"/>
  <c r="BH75" i="28"/>
  <c r="BG75" i="28"/>
  <c r="BF75" i="28"/>
  <c r="BD75" i="28"/>
  <c r="BC75" i="28"/>
  <c r="BB75" i="28"/>
  <c r="BA75" i="28"/>
  <c r="AZ75" i="28"/>
  <c r="BE75" i="28"/>
  <c r="AY75" i="28"/>
  <c r="AX75" i="28"/>
  <c r="AW75" i="28"/>
  <c r="AV75" i="28"/>
  <c r="AR75" i="28"/>
  <c r="AS75" i="28"/>
  <c r="BH74" i="28"/>
  <c r="BG74" i="28"/>
  <c r="BF74" i="28"/>
  <c r="BD74" i="28"/>
  <c r="BC74" i="28"/>
  <c r="BB74" i="28"/>
  <c r="BA74" i="28"/>
  <c r="AZ74" i="28"/>
  <c r="BE74" i="28"/>
  <c r="AY74" i="28"/>
  <c r="AX74" i="28"/>
  <c r="AW74" i="28"/>
  <c r="AV74" i="28"/>
  <c r="AR74" i="28"/>
  <c r="BH73" i="28"/>
  <c r="BG73" i="28"/>
  <c r="BF73" i="28"/>
  <c r="BD73" i="28"/>
  <c r="BC73" i="28"/>
  <c r="BB73" i="28"/>
  <c r="BA73" i="28"/>
  <c r="AZ73" i="28"/>
  <c r="BE73" i="28"/>
  <c r="AY73" i="28"/>
  <c r="AX73" i="28"/>
  <c r="AW73" i="28"/>
  <c r="AV73" i="28"/>
  <c r="AR73" i="28"/>
  <c r="BH72" i="28"/>
  <c r="BG72" i="28"/>
  <c r="BF72" i="28"/>
  <c r="BD72" i="28"/>
  <c r="BC72" i="28"/>
  <c r="BB72" i="28"/>
  <c r="BA72" i="28"/>
  <c r="AZ72" i="28"/>
  <c r="BE72" i="28"/>
  <c r="AY72" i="28"/>
  <c r="AX72" i="28"/>
  <c r="AW72" i="28"/>
  <c r="AV72" i="28"/>
  <c r="AR72" i="28"/>
  <c r="BH71" i="28"/>
  <c r="BG71" i="28"/>
  <c r="BF71" i="28"/>
  <c r="BD71" i="28"/>
  <c r="BC71" i="28"/>
  <c r="BB71" i="28"/>
  <c r="BA71" i="28"/>
  <c r="AZ71" i="28"/>
  <c r="BE71" i="28"/>
  <c r="AY71" i="28"/>
  <c r="AX71" i="28"/>
  <c r="AW71" i="28"/>
  <c r="AV71" i="28"/>
  <c r="AR71" i="28"/>
  <c r="AU71" i="28"/>
  <c r="BH70" i="28"/>
  <c r="BG70" i="28"/>
  <c r="BF70" i="28"/>
  <c r="BD70" i="28"/>
  <c r="BC70" i="28"/>
  <c r="BB70" i="28"/>
  <c r="BA70" i="28"/>
  <c r="AZ70" i="28"/>
  <c r="BE70" i="28"/>
  <c r="AY70" i="28"/>
  <c r="AX70" i="28"/>
  <c r="AW70" i="28"/>
  <c r="AV70" i="28"/>
  <c r="AR70" i="28"/>
  <c r="AU70" i="28"/>
  <c r="BH69" i="28"/>
  <c r="BG69" i="28"/>
  <c r="BF69" i="28"/>
  <c r="BD69" i="28"/>
  <c r="BC69" i="28"/>
  <c r="BB69" i="28"/>
  <c r="BA69" i="28"/>
  <c r="AZ69" i="28"/>
  <c r="BE69" i="28"/>
  <c r="AY69" i="28"/>
  <c r="AX69" i="28"/>
  <c r="AW69" i="28"/>
  <c r="AV69" i="28"/>
  <c r="AR69" i="28"/>
  <c r="BH68" i="28"/>
  <c r="BG68" i="28"/>
  <c r="BF68" i="28"/>
  <c r="BD68" i="28"/>
  <c r="BC68" i="28"/>
  <c r="BB68" i="28"/>
  <c r="BA68" i="28"/>
  <c r="AZ68" i="28"/>
  <c r="BE68" i="28"/>
  <c r="AY68" i="28"/>
  <c r="AX68" i="28"/>
  <c r="AW68" i="28"/>
  <c r="AV68" i="28"/>
  <c r="AR68" i="28"/>
  <c r="BH67" i="28"/>
  <c r="BG67" i="28"/>
  <c r="BF67" i="28"/>
  <c r="BD67" i="28"/>
  <c r="BC67" i="28"/>
  <c r="BB67" i="28"/>
  <c r="BA67" i="28"/>
  <c r="AZ67" i="28"/>
  <c r="BE67" i="28"/>
  <c r="AY67" i="28"/>
  <c r="AX67" i="28"/>
  <c r="AW67" i="28"/>
  <c r="AV67" i="28"/>
  <c r="AR67" i="28"/>
  <c r="BH66" i="28"/>
  <c r="BG66" i="28"/>
  <c r="BF66" i="28"/>
  <c r="BD66" i="28"/>
  <c r="BC66" i="28"/>
  <c r="BB66" i="28"/>
  <c r="BA66" i="28"/>
  <c r="AZ66" i="28"/>
  <c r="BE66" i="28"/>
  <c r="AY66" i="28"/>
  <c r="AX66" i="28"/>
  <c r="AW66" i="28"/>
  <c r="AV66" i="28"/>
  <c r="AR66" i="28"/>
  <c r="BH65" i="28"/>
  <c r="BG65" i="28"/>
  <c r="BF65" i="28"/>
  <c r="BD65" i="28"/>
  <c r="BC65" i="28"/>
  <c r="BB65" i="28"/>
  <c r="BA65" i="28"/>
  <c r="AZ65" i="28"/>
  <c r="BE65" i="28"/>
  <c r="AY65" i="28"/>
  <c r="AX65" i="28"/>
  <c r="AW65" i="28"/>
  <c r="AV65" i="28"/>
  <c r="AR65" i="28"/>
  <c r="AT65" i="28"/>
  <c r="BH64" i="28"/>
  <c r="BG64" i="28"/>
  <c r="BF64" i="28"/>
  <c r="BD64" i="28"/>
  <c r="BC64" i="28"/>
  <c r="BB64" i="28"/>
  <c r="BA64" i="28"/>
  <c r="AZ64" i="28"/>
  <c r="BE64" i="28"/>
  <c r="AY64" i="28"/>
  <c r="AX64" i="28"/>
  <c r="AW64" i="28"/>
  <c r="AV64" i="28"/>
  <c r="AR64" i="28"/>
  <c r="BH63" i="28"/>
  <c r="BG63" i="28"/>
  <c r="BF63" i="28"/>
  <c r="BD63" i="28"/>
  <c r="BC63" i="28"/>
  <c r="BB63" i="28"/>
  <c r="BA63" i="28"/>
  <c r="AZ63" i="28"/>
  <c r="BE63" i="28"/>
  <c r="AY63" i="28"/>
  <c r="AX63" i="28"/>
  <c r="AW63" i="28"/>
  <c r="AV63" i="28"/>
  <c r="AR63" i="28"/>
  <c r="BH62" i="28"/>
  <c r="BG62" i="28"/>
  <c r="BF62" i="28"/>
  <c r="BD62" i="28"/>
  <c r="BC62" i="28"/>
  <c r="BB62" i="28"/>
  <c r="BA62" i="28"/>
  <c r="AZ62" i="28"/>
  <c r="BE62" i="28"/>
  <c r="AY62" i="28"/>
  <c r="AX62" i="28"/>
  <c r="AW62" i="28"/>
  <c r="AV62" i="28"/>
  <c r="AR62" i="28"/>
  <c r="AU62" i="28"/>
  <c r="BH61" i="28"/>
  <c r="BG61" i="28"/>
  <c r="BF61" i="28"/>
  <c r="BD61" i="28"/>
  <c r="BC61" i="28"/>
  <c r="BB61" i="28"/>
  <c r="BA61" i="28"/>
  <c r="AZ61" i="28"/>
  <c r="BE61" i="28"/>
  <c r="AY61" i="28"/>
  <c r="AX61" i="28"/>
  <c r="AW61" i="28"/>
  <c r="AV61" i="28"/>
  <c r="AR61" i="28"/>
  <c r="BH60" i="28"/>
  <c r="BG60" i="28"/>
  <c r="BF60" i="28"/>
  <c r="BD60" i="28"/>
  <c r="BC60" i="28"/>
  <c r="BB60" i="28"/>
  <c r="BA60" i="28"/>
  <c r="AZ60" i="28"/>
  <c r="BE60" i="28"/>
  <c r="AY60" i="28"/>
  <c r="AX60" i="28"/>
  <c r="AW60" i="28"/>
  <c r="AV60" i="28"/>
  <c r="AR60" i="28"/>
  <c r="BH59" i="28"/>
  <c r="BG59" i="28"/>
  <c r="BF59" i="28"/>
  <c r="BD59" i="28"/>
  <c r="BC59" i="28"/>
  <c r="BB59" i="28"/>
  <c r="BA59" i="28"/>
  <c r="AZ59" i="28"/>
  <c r="BE59" i="28"/>
  <c r="AY59" i="28"/>
  <c r="AX59" i="28"/>
  <c r="AW59" i="28"/>
  <c r="AV59" i="28"/>
  <c r="AR59" i="28"/>
  <c r="AU59" i="28"/>
  <c r="BH58" i="28"/>
  <c r="BG58" i="28"/>
  <c r="BF58" i="28"/>
  <c r="BD58" i="28"/>
  <c r="BC58" i="28"/>
  <c r="BB58" i="28"/>
  <c r="BA58" i="28"/>
  <c r="AZ58" i="28"/>
  <c r="BE58" i="28"/>
  <c r="AY58" i="28"/>
  <c r="AX58" i="28"/>
  <c r="AW58" i="28"/>
  <c r="AV58" i="28"/>
  <c r="AR58" i="28"/>
  <c r="AS58" i="28"/>
  <c r="BH57" i="28"/>
  <c r="BG57" i="28"/>
  <c r="BF57" i="28"/>
  <c r="BD57" i="28"/>
  <c r="BC57" i="28"/>
  <c r="BB57" i="28"/>
  <c r="BA57" i="28"/>
  <c r="AZ57" i="28"/>
  <c r="BE57" i="28"/>
  <c r="AY57" i="28"/>
  <c r="AX57" i="28"/>
  <c r="AW57" i="28"/>
  <c r="AV57" i="28"/>
  <c r="AR57" i="28"/>
  <c r="AU57" i="28"/>
  <c r="BH56" i="28"/>
  <c r="BG56" i="28"/>
  <c r="BF56" i="28"/>
  <c r="BD56" i="28"/>
  <c r="BC56" i="28"/>
  <c r="BB56" i="28"/>
  <c r="BA56" i="28"/>
  <c r="AZ56" i="28"/>
  <c r="BE56" i="28"/>
  <c r="AY56" i="28"/>
  <c r="AX56" i="28"/>
  <c r="AW56" i="28"/>
  <c r="AV56" i="28"/>
  <c r="AR56" i="28"/>
  <c r="BH55" i="28"/>
  <c r="BG55" i="28"/>
  <c r="BF55" i="28"/>
  <c r="BD55" i="28"/>
  <c r="BC55" i="28"/>
  <c r="BB55" i="28"/>
  <c r="BA55" i="28"/>
  <c r="AZ55" i="28"/>
  <c r="BE55" i="28"/>
  <c r="AY55" i="28"/>
  <c r="AX55" i="28"/>
  <c r="AW55" i="28"/>
  <c r="AV55" i="28"/>
  <c r="AR55" i="28"/>
  <c r="BH54" i="28"/>
  <c r="BG54" i="28"/>
  <c r="BF54" i="28"/>
  <c r="BD54" i="28"/>
  <c r="BC54" i="28"/>
  <c r="BB54" i="28"/>
  <c r="BA54" i="28"/>
  <c r="AZ54" i="28"/>
  <c r="BE54" i="28"/>
  <c r="AY54" i="28"/>
  <c r="AX54" i="28"/>
  <c r="AW54" i="28"/>
  <c r="AV54" i="28"/>
  <c r="AR54" i="28"/>
  <c r="AS54" i="28"/>
  <c r="BH53" i="28"/>
  <c r="BG53" i="28"/>
  <c r="BF53" i="28"/>
  <c r="BD53" i="28"/>
  <c r="BC53" i="28"/>
  <c r="BB53" i="28"/>
  <c r="BA53" i="28"/>
  <c r="AZ53" i="28"/>
  <c r="BE53" i="28"/>
  <c r="AY53" i="28"/>
  <c r="AX53" i="28"/>
  <c r="AW53" i="28"/>
  <c r="AV53" i="28"/>
  <c r="AR53" i="28"/>
  <c r="AU53" i="28"/>
  <c r="BH52" i="28"/>
  <c r="BG52" i="28"/>
  <c r="BF52" i="28"/>
  <c r="BD52" i="28"/>
  <c r="BC52" i="28"/>
  <c r="BB52" i="28"/>
  <c r="BA52" i="28"/>
  <c r="AZ52" i="28"/>
  <c r="BE52" i="28"/>
  <c r="AY52" i="28"/>
  <c r="AX52" i="28"/>
  <c r="AW52" i="28"/>
  <c r="AV52" i="28"/>
  <c r="AR52" i="28"/>
  <c r="BH51" i="28"/>
  <c r="BG51" i="28"/>
  <c r="BF51" i="28"/>
  <c r="BD51" i="28"/>
  <c r="BC51" i="28"/>
  <c r="BB51" i="28"/>
  <c r="BA51" i="28"/>
  <c r="AZ51" i="28"/>
  <c r="BE51" i="28"/>
  <c r="AY51" i="28"/>
  <c r="AX51" i="28"/>
  <c r="AW51" i="28"/>
  <c r="AV51" i="28"/>
  <c r="AR51" i="28"/>
  <c r="AU51" i="28"/>
  <c r="BH50" i="28"/>
  <c r="BG50" i="28"/>
  <c r="BF50" i="28"/>
  <c r="BD50" i="28"/>
  <c r="BC50" i="28"/>
  <c r="BB50" i="28"/>
  <c r="BA50" i="28"/>
  <c r="AZ50" i="28"/>
  <c r="BE50" i="28"/>
  <c r="AY50" i="28"/>
  <c r="AX50" i="28"/>
  <c r="AW50" i="28"/>
  <c r="AV50" i="28"/>
  <c r="AR50" i="28"/>
  <c r="BH49" i="28"/>
  <c r="BG49" i="28"/>
  <c r="BF49" i="28"/>
  <c r="BD49" i="28"/>
  <c r="BC49" i="28"/>
  <c r="BB49" i="28"/>
  <c r="BA49" i="28"/>
  <c r="AZ49" i="28"/>
  <c r="BE49" i="28"/>
  <c r="AY49" i="28"/>
  <c r="AX49" i="28"/>
  <c r="AW49" i="28"/>
  <c r="AV49" i="28"/>
  <c r="AR49" i="28"/>
  <c r="BH48" i="28"/>
  <c r="BG48" i="28"/>
  <c r="BF48" i="28"/>
  <c r="BD48" i="28"/>
  <c r="BC48" i="28"/>
  <c r="BB48" i="28"/>
  <c r="BA48" i="28"/>
  <c r="AZ48" i="28"/>
  <c r="BE48" i="28"/>
  <c r="AY48" i="28"/>
  <c r="AX48" i="28"/>
  <c r="AW48" i="28"/>
  <c r="AV48" i="28"/>
  <c r="AR48" i="28"/>
  <c r="AU48" i="28"/>
  <c r="BH47" i="28"/>
  <c r="BG47" i="28"/>
  <c r="BF47" i="28"/>
  <c r="BD47" i="28"/>
  <c r="BC47" i="28"/>
  <c r="BB47" i="28"/>
  <c r="BA47" i="28"/>
  <c r="AZ47" i="28"/>
  <c r="BE47" i="28"/>
  <c r="AY47" i="28"/>
  <c r="AX47" i="28"/>
  <c r="AW47" i="28"/>
  <c r="AV47" i="28"/>
  <c r="AR47" i="28"/>
  <c r="BH46" i="28"/>
  <c r="BG46" i="28"/>
  <c r="BF46" i="28"/>
  <c r="BD46" i="28"/>
  <c r="BC46" i="28"/>
  <c r="BB46" i="28"/>
  <c r="BA46" i="28"/>
  <c r="AZ46" i="28"/>
  <c r="BE46" i="28"/>
  <c r="AY46" i="28"/>
  <c r="AX46" i="28"/>
  <c r="AW46" i="28"/>
  <c r="AV46" i="28"/>
  <c r="AR46" i="28"/>
  <c r="BH45" i="28"/>
  <c r="BG45" i="28"/>
  <c r="BF45" i="28"/>
  <c r="BD45" i="28"/>
  <c r="BC45" i="28"/>
  <c r="BB45" i="28"/>
  <c r="BA45" i="28"/>
  <c r="AZ45" i="28"/>
  <c r="BE45" i="28"/>
  <c r="AY45" i="28"/>
  <c r="AX45" i="28"/>
  <c r="AW45" i="28"/>
  <c r="AV45" i="28"/>
  <c r="AR45" i="28"/>
  <c r="BH44" i="28"/>
  <c r="BG44" i="28"/>
  <c r="BF44" i="28"/>
  <c r="BD44" i="28"/>
  <c r="BC44" i="28"/>
  <c r="BB44" i="28"/>
  <c r="BA44" i="28"/>
  <c r="AZ44" i="28"/>
  <c r="BE44" i="28"/>
  <c r="AY44" i="28"/>
  <c r="AX44" i="28"/>
  <c r="AW44" i="28"/>
  <c r="AV44" i="28"/>
  <c r="AR44" i="28"/>
  <c r="AT44" i="28"/>
  <c r="BH43" i="28"/>
  <c r="BG43" i="28"/>
  <c r="BF43" i="28"/>
  <c r="BD43" i="28"/>
  <c r="BC43" i="28"/>
  <c r="BB43" i="28"/>
  <c r="BA43" i="28"/>
  <c r="AZ43" i="28"/>
  <c r="BE43" i="28"/>
  <c r="AY43" i="28"/>
  <c r="AX43" i="28"/>
  <c r="AW43" i="28"/>
  <c r="AV43" i="28"/>
  <c r="AR43" i="28"/>
  <c r="BH42" i="28"/>
  <c r="BG42" i="28"/>
  <c r="BF42" i="28"/>
  <c r="BD42" i="28"/>
  <c r="BC42" i="28"/>
  <c r="BB42" i="28"/>
  <c r="BA42" i="28"/>
  <c r="AZ42" i="28"/>
  <c r="BE42" i="28"/>
  <c r="AY42" i="28"/>
  <c r="AX42" i="28"/>
  <c r="AW42" i="28"/>
  <c r="AV42" i="28"/>
  <c r="AR42" i="28"/>
  <c r="BH41" i="28"/>
  <c r="BG41" i="28"/>
  <c r="BF41" i="28"/>
  <c r="BD41" i="28"/>
  <c r="BC41" i="28"/>
  <c r="BB41" i="28"/>
  <c r="BA41" i="28"/>
  <c r="AZ41" i="28"/>
  <c r="BE41" i="28"/>
  <c r="AY41" i="28"/>
  <c r="AX41" i="28"/>
  <c r="AW41" i="28"/>
  <c r="AV41" i="28"/>
  <c r="AR41" i="28"/>
  <c r="BH40" i="28"/>
  <c r="BG40" i="28"/>
  <c r="BF40" i="28"/>
  <c r="BD40" i="28"/>
  <c r="BC40" i="28"/>
  <c r="BB40" i="28"/>
  <c r="BA40" i="28"/>
  <c r="AZ40" i="28"/>
  <c r="BE40" i="28"/>
  <c r="AY40" i="28"/>
  <c r="AX40" i="28"/>
  <c r="AW40" i="28"/>
  <c r="AV40" i="28"/>
  <c r="AR40" i="28"/>
  <c r="BH39" i="28"/>
  <c r="BG39" i="28"/>
  <c r="BF39" i="28"/>
  <c r="BD39" i="28"/>
  <c r="BC39" i="28"/>
  <c r="BB39" i="28"/>
  <c r="BA39" i="28"/>
  <c r="AZ39" i="28"/>
  <c r="BE39" i="28"/>
  <c r="AY39" i="28"/>
  <c r="AX39" i="28"/>
  <c r="AW39" i="28"/>
  <c r="AV39" i="28"/>
  <c r="AR39" i="28"/>
  <c r="BH38" i="28"/>
  <c r="BG38" i="28"/>
  <c r="BF38" i="28"/>
  <c r="BD38" i="28"/>
  <c r="BC38" i="28"/>
  <c r="BB38" i="28"/>
  <c r="BA38" i="28"/>
  <c r="AZ38" i="28"/>
  <c r="BE38" i="28"/>
  <c r="AY38" i="28"/>
  <c r="AX38" i="28"/>
  <c r="AW38" i="28"/>
  <c r="AV38" i="28"/>
  <c r="AR38" i="28"/>
  <c r="BH37" i="28"/>
  <c r="BG37" i="28"/>
  <c r="BF37" i="28"/>
  <c r="BD37" i="28"/>
  <c r="BC37" i="28"/>
  <c r="BB37" i="28"/>
  <c r="BA37" i="28"/>
  <c r="AZ37" i="28"/>
  <c r="BE37" i="28"/>
  <c r="AY37" i="28"/>
  <c r="AX37" i="28"/>
  <c r="AW37" i="28"/>
  <c r="AV37" i="28"/>
  <c r="AR37" i="28"/>
  <c r="AS37" i="28"/>
  <c r="BH36" i="28"/>
  <c r="BG36" i="28"/>
  <c r="BF36" i="28"/>
  <c r="BD36" i="28"/>
  <c r="BC36" i="28"/>
  <c r="BB36" i="28"/>
  <c r="BA36" i="28"/>
  <c r="AZ36" i="28"/>
  <c r="BE36" i="28"/>
  <c r="AY36" i="28"/>
  <c r="AX36" i="28"/>
  <c r="AW36" i="28"/>
  <c r="AV36" i="28"/>
  <c r="AR36" i="28"/>
  <c r="BH35" i="28"/>
  <c r="BG35" i="28"/>
  <c r="BF35" i="28"/>
  <c r="BD35" i="28"/>
  <c r="BC35" i="28"/>
  <c r="BB35" i="28"/>
  <c r="BA35" i="28"/>
  <c r="AZ35" i="28"/>
  <c r="BE35" i="28"/>
  <c r="AY35" i="28"/>
  <c r="AX35" i="28"/>
  <c r="AW35" i="28"/>
  <c r="AV35" i="28"/>
  <c r="AR35" i="28"/>
  <c r="BH34" i="28"/>
  <c r="BG34" i="28"/>
  <c r="BF34" i="28"/>
  <c r="BD34" i="28"/>
  <c r="BC34" i="28"/>
  <c r="BB34" i="28"/>
  <c r="BA34" i="28"/>
  <c r="AZ34" i="28"/>
  <c r="BE34" i="28"/>
  <c r="AY34" i="28"/>
  <c r="AX34" i="28"/>
  <c r="AW34" i="28"/>
  <c r="AV34" i="28"/>
  <c r="AR34" i="28"/>
  <c r="BH33" i="28"/>
  <c r="BG33" i="28"/>
  <c r="BF33" i="28"/>
  <c r="BD33" i="28"/>
  <c r="BC33" i="28"/>
  <c r="BB33" i="28"/>
  <c r="BA33" i="28"/>
  <c r="AZ33" i="28"/>
  <c r="BE33" i="28"/>
  <c r="AY33" i="28"/>
  <c r="AX33" i="28"/>
  <c r="AW33" i="28"/>
  <c r="AV33" i="28"/>
  <c r="AR33" i="28"/>
  <c r="BH32" i="28"/>
  <c r="BG32" i="28"/>
  <c r="BF32" i="28"/>
  <c r="BD32" i="28"/>
  <c r="BC32" i="28"/>
  <c r="BB32" i="28"/>
  <c r="BA32" i="28"/>
  <c r="AZ32" i="28"/>
  <c r="BE32" i="28"/>
  <c r="AY32" i="28"/>
  <c r="AX32" i="28"/>
  <c r="AW32" i="28"/>
  <c r="AV32" i="28"/>
  <c r="AR32" i="28"/>
  <c r="BH31" i="28"/>
  <c r="BG31" i="28"/>
  <c r="BF31" i="28"/>
  <c r="BD31" i="28"/>
  <c r="BC31" i="28"/>
  <c r="BB31" i="28"/>
  <c r="BA31" i="28"/>
  <c r="AZ31" i="28"/>
  <c r="BE31" i="28"/>
  <c r="AY31" i="28"/>
  <c r="AX31" i="28"/>
  <c r="AW31" i="28"/>
  <c r="AV31" i="28"/>
  <c r="AR31" i="28"/>
  <c r="BH30" i="28"/>
  <c r="BG30" i="28"/>
  <c r="BF30" i="28"/>
  <c r="BD30" i="28"/>
  <c r="BC30" i="28"/>
  <c r="BB30" i="28"/>
  <c r="BA30" i="28"/>
  <c r="AZ30" i="28"/>
  <c r="BE30" i="28"/>
  <c r="AY30" i="28"/>
  <c r="AX30" i="28"/>
  <c r="AW30" i="28"/>
  <c r="AV30" i="28"/>
  <c r="AR30" i="28"/>
  <c r="BH29" i="28"/>
  <c r="BG29" i="28"/>
  <c r="BF29" i="28"/>
  <c r="BD29" i="28"/>
  <c r="BC29" i="28"/>
  <c r="BB29" i="28"/>
  <c r="BA29" i="28"/>
  <c r="AZ29" i="28"/>
  <c r="BE29" i="28"/>
  <c r="AY29" i="28"/>
  <c r="AX29" i="28"/>
  <c r="AW29" i="28"/>
  <c r="AV29" i="28"/>
  <c r="AR29" i="28"/>
  <c r="AS29" i="28"/>
  <c r="BH28" i="28"/>
  <c r="BG28" i="28"/>
  <c r="BF28" i="28"/>
  <c r="BD28" i="28"/>
  <c r="BC28" i="28"/>
  <c r="BB28" i="28"/>
  <c r="BA28" i="28"/>
  <c r="AZ28" i="28"/>
  <c r="BE28" i="28"/>
  <c r="AY28" i="28"/>
  <c r="AX28" i="28"/>
  <c r="AW28" i="28"/>
  <c r="AV28" i="28"/>
  <c r="AR28" i="28"/>
  <c r="BH27" i="28"/>
  <c r="BG27" i="28"/>
  <c r="BF27" i="28"/>
  <c r="BD27" i="28"/>
  <c r="BC27" i="28"/>
  <c r="BB27" i="28"/>
  <c r="BA27" i="28"/>
  <c r="AZ27" i="28"/>
  <c r="BE27" i="28"/>
  <c r="AY27" i="28"/>
  <c r="AX27" i="28"/>
  <c r="AW27" i="28"/>
  <c r="AV27" i="28"/>
  <c r="AR27" i="28"/>
  <c r="BH26" i="28"/>
  <c r="BG26" i="28"/>
  <c r="BF26" i="28"/>
  <c r="BD26" i="28"/>
  <c r="BC26" i="28"/>
  <c r="BB26" i="28"/>
  <c r="BA26" i="28"/>
  <c r="AZ26" i="28"/>
  <c r="BE26" i="28"/>
  <c r="AY26" i="28"/>
  <c r="AX26" i="28"/>
  <c r="AW26" i="28"/>
  <c r="AV26" i="28"/>
  <c r="AR26" i="28"/>
  <c r="BH25" i="28"/>
  <c r="BG25" i="28"/>
  <c r="BF25" i="28"/>
  <c r="BD25" i="28"/>
  <c r="BC25" i="28"/>
  <c r="BB25" i="28"/>
  <c r="BA25" i="28"/>
  <c r="AZ25" i="28"/>
  <c r="BE25" i="28"/>
  <c r="AY25" i="28"/>
  <c r="AX25" i="28"/>
  <c r="AW25" i="28"/>
  <c r="AV25" i="28"/>
  <c r="AR25" i="28"/>
  <c r="BH24" i="28"/>
  <c r="BG24" i="28"/>
  <c r="BF24" i="28"/>
  <c r="BD24" i="28"/>
  <c r="BC24" i="28"/>
  <c r="BB24" i="28"/>
  <c r="BA24" i="28"/>
  <c r="AZ24" i="28"/>
  <c r="BE24" i="28"/>
  <c r="AY24" i="28"/>
  <c r="AX24" i="28"/>
  <c r="AW24" i="28"/>
  <c r="AV24" i="28"/>
  <c r="AR24" i="28"/>
  <c r="BH23" i="28"/>
  <c r="BG23" i="28"/>
  <c r="BF23" i="28"/>
  <c r="BD23" i="28"/>
  <c r="BC23" i="28"/>
  <c r="BB23" i="28"/>
  <c r="BA23" i="28"/>
  <c r="AZ23" i="28"/>
  <c r="BE23" i="28"/>
  <c r="AY23" i="28"/>
  <c r="AX23" i="28"/>
  <c r="AW23" i="28"/>
  <c r="AV23" i="28"/>
  <c r="AR23" i="28"/>
  <c r="BH22" i="28"/>
  <c r="BG22" i="28"/>
  <c r="BF22" i="28"/>
  <c r="BD22" i="28"/>
  <c r="BC22" i="28"/>
  <c r="BB22" i="28"/>
  <c r="BA22" i="28"/>
  <c r="AZ22" i="28"/>
  <c r="BE22" i="28"/>
  <c r="AY22" i="28"/>
  <c r="AX22" i="28"/>
  <c r="AW22" i="28"/>
  <c r="AV22" i="28"/>
  <c r="AR22" i="28"/>
  <c r="BH21" i="28"/>
  <c r="BG21" i="28"/>
  <c r="BF21" i="28"/>
  <c r="BD21" i="28"/>
  <c r="BC21" i="28"/>
  <c r="BB21" i="28"/>
  <c r="BA21" i="28"/>
  <c r="AZ21" i="28"/>
  <c r="BE21" i="28"/>
  <c r="AY21" i="28"/>
  <c r="AX21" i="28"/>
  <c r="AW21" i="28"/>
  <c r="AV21" i="28"/>
  <c r="AR21" i="28"/>
  <c r="BH20" i="28"/>
  <c r="BG20" i="28"/>
  <c r="BF20" i="28"/>
  <c r="BD20" i="28"/>
  <c r="BC20" i="28"/>
  <c r="BB20" i="28"/>
  <c r="BA20" i="28"/>
  <c r="AZ20" i="28"/>
  <c r="BE20" i="28"/>
  <c r="AY20" i="28"/>
  <c r="AX20" i="28"/>
  <c r="AW20" i="28"/>
  <c r="AV20" i="28"/>
  <c r="AR20" i="28"/>
  <c r="BH19" i="28"/>
  <c r="BG19" i="28"/>
  <c r="BF19" i="28"/>
  <c r="BD19" i="28"/>
  <c r="BC19" i="28"/>
  <c r="BB19" i="28"/>
  <c r="BA19" i="28"/>
  <c r="AZ19" i="28"/>
  <c r="BE19" i="28"/>
  <c r="AY19" i="28"/>
  <c r="AX19" i="28"/>
  <c r="AW19" i="28"/>
  <c r="AV19" i="28"/>
  <c r="AR19" i="28"/>
  <c r="BH18" i="28"/>
  <c r="BG18" i="28"/>
  <c r="BF18" i="28"/>
  <c r="BD18" i="28"/>
  <c r="BC18" i="28"/>
  <c r="BB18" i="28"/>
  <c r="BA18" i="28"/>
  <c r="AZ18" i="28"/>
  <c r="BE18" i="28"/>
  <c r="AY18" i="28"/>
  <c r="AX18" i="28"/>
  <c r="AW18" i="28"/>
  <c r="AV18" i="28"/>
  <c r="AR18" i="28"/>
  <c r="BH17" i="28"/>
  <c r="BG17" i="28"/>
  <c r="BF17" i="28"/>
  <c r="BD17" i="28"/>
  <c r="BC17" i="28"/>
  <c r="BB17" i="28"/>
  <c r="BA17" i="28"/>
  <c r="AZ17" i="28"/>
  <c r="BE17" i="28"/>
  <c r="AY17" i="28"/>
  <c r="AX17" i="28"/>
  <c r="AW17" i="28"/>
  <c r="AV17" i="28"/>
  <c r="AR17" i="28"/>
  <c r="BH16" i="28"/>
  <c r="BG16" i="28"/>
  <c r="BF16" i="28"/>
  <c r="BD16" i="28"/>
  <c r="BC16" i="28"/>
  <c r="BB16" i="28"/>
  <c r="BA16" i="28"/>
  <c r="AZ16" i="28"/>
  <c r="BE16" i="28"/>
  <c r="AY16" i="28"/>
  <c r="AX16" i="28"/>
  <c r="AW16" i="28"/>
  <c r="AV16" i="28"/>
  <c r="AR16" i="28"/>
  <c r="BH15" i="28"/>
  <c r="BG15" i="28"/>
  <c r="BF15" i="28"/>
  <c r="BD15" i="28"/>
  <c r="BC15" i="28"/>
  <c r="BB15" i="28"/>
  <c r="BA15" i="28"/>
  <c r="AZ15" i="28"/>
  <c r="BE15" i="28"/>
  <c r="AY15" i="28"/>
  <c r="AX15" i="28"/>
  <c r="AW15" i="28"/>
  <c r="AV15" i="28"/>
  <c r="AR15" i="28"/>
  <c r="BH14" i="28"/>
  <c r="BG14" i="28"/>
  <c r="BF14" i="28"/>
  <c r="BD14" i="28"/>
  <c r="BC14" i="28"/>
  <c r="BB14" i="28"/>
  <c r="BA14" i="28"/>
  <c r="AZ14" i="28"/>
  <c r="BE14" i="28"/>
  <c r="AY14" i="28"/>
  <c r="AX14" i="28"/>
  <c r="AW14" i="28"/>
  <c r="AV14" i="28"/>
  <c r="AR14" i="28"/>
  <c r="BH13" i="28"/>
  <c r="BG13" i="28"/>
  <c r="BF13" i="28"/>
  <c r="BD13" i="28"/>
  <c r="BC13" i="28"/>
  <c r="BB13" i="28"/>
  <c r="BA13" i="28"/>
  <c r="AZ13" i="28"/>
  <c r="BE13" i="28"/>
  <c r="AY13" i="28"/>
  <c r="AX13" i="28"/>
  <c r="AW13" i="28"/>
  <c r="AV13" i="28"/>
  <c r="AR13" i="28"/>
  <c r="BH12" i="28"/>
  <c r="BG12" i="28"/>
  <c r="BF12" i="28"/>
  <c r="BD12" i="28"/>
  <c r="BC12" i="28"/>
  <c r="BB12" i="28"/>
  <c r="BA12" i="28"/>
  <c r="AZ12" i="28"/>
  <c r="BE12" i="28"/>
  <c r="AY12" i="28"/>
  <c r="AX12" i="28"/>
  <c r="AW12" i="28"/>
  <c r="AV12" i="28"/>
  <c r="AR12" i="28"/>
  <c r="BH11" i="28"/>
  <c r="BG11" i="28"/>
  <c r="BF11" i="28"/>
  <c r="BD11" i="28"/>
  <c r="BC11" i="28"/>
  <c r="BB11" i="28"/>
  <c r="BA11" i="28"/>
  <c r="AZ11" i="28"/>
  <c r="BE11" i="28"/>
  <c r="AY11" i="28"/>
  <c r="AX11" i="28"/>
  <c r="AW11" i="28"/>
  <c r="AV11" i="28"/>
  <c r="AR11" i="28"/>
  <c r="BH10" i="28"/>
  <c r="BG10" i="28"/>
  <c r="BF10" i="28"/>
  <c r="BD10" i="28"/>
  <c r="BC10" i="28"/>
  <c r="BB10" i="28"/>
  <c r="BA10" i="28"/>
  <c r="AZ10" i="28"/>
  <c r="BE10" i="28"/>
  <c r="AY10" i="28"/>
  <c r="AX10" i="28"/>
  <c r="AW10" i="28"/>
  <c r="AV10" i="28"/>
  <c r="AR10" i="28"/>
  <c r="BH9" i="28"/>
  <c r="BG9" i="28"/>
  <c r="BF9" i="28"/>
  <c r="BD9" i="28"/>
  <c r="BC9" i="28"/>
  <c r="BB9" i="28"/>
  <c r="BA9" i="28"/>
  <c r="AZ9" i="28"/>
  <c r="BE9" i="28"/>
  <c r="AY9" i="28"/>
  <c r="AX9" i="28"/>
  <c r="AW9" i="28"/>
  <c r="AR9" i="28"/>
  <c r="BH8" i="28"/>
  <c r="BG8" i="28"/>
  <c r="BF8" i="28"/>
  <c r="BD8" i="28"/>
  <c r="BC8" i="28"/>
  <c r="BB8" i="28"/>
  <c r="BA8" i="28"/>
  <c r="AZ8" i="28"/>
  <c r="BE8" i="28"/>
  <c r="AY8" i="28"/>
  <c r="AX8" i="28"/>
  <c r="AW8" i="28"/>
  <c r="AV8" i="28"/>
  <c r="AR8" i="28"/>
  <c r="BH7" i="28"/>
  <c r="BG7" i="28"/>
  <c r="BF7" i="28"/>
  <c r="BD7" i="28"/>
  <c r="BC7" i="28"/>
  <c r="BB7" i="28"/>
  <c r="BA7" i="28"/>
  <c r="AZ7" i="28"/>
  <c r="BE7" i="28"/>
  <c r="AY7" i="28"/>
  <c r="AX7" i="28"/>
  <c r="AW7" i="28"/>
  <c r="AV7" i="28"/>
  <c r="AR7" i="28"/>
  <c r="BH6" i="28"/>
  <c r="BG6" i="28"/>
  <c r="BF6" i="28"/>
  <c r="BD6" i="28"/>
  <c r="BC6" i="28"/>
  <c r="BB6" i="28"/>
  <c r="BA6" i="28"/>
  <c r="AZ6" i="28"/>
  <c r="BE6" i="28"/>
  <c r="AY6" i="28"/>
  <c r="AX6" i="28"/>
  <c r="AW6" i="28"/>
  <c r="AV6" i="28"/>
  <c r="AR6" i="28"/>
  <c r="BH5" i="28"/>
  <c r="BG5" i="28"/>
  <c r="BF5" i="28"/>
  <c r="BD5" i="28"/>
  <c r="BC5" i="28"/>
  <c r="BB5" i="28"/>
  <c r="BA5" i="28"/>
  <c r="AZ5" i="28"/>
  <c r="BE5" i="28"/>
  <c r="AY5" i="28"/>
  <c r="AX5" i="28"/>
  <c r="AW5" i="28"/>
  <c r="AV5" i="28"/>
  <c r="AR5" i="28"/>
  <c r="BH4" i="28"/>
  <c r="BG4" i="28"/>
  <c r="BF4" i="28"/>
  <c r="BD4" i="28"/>
  <c r="BC4" i="28"/>
  <c r="BB4" i="28"/>
  <c r="BA4" i="28"/>
  <c r="AZ4" i="28"/>
  <c r="BE4" i="28"/>
  <c r="AY4" i="28"/>
  <c r="AX4" i="28"/>
  <c r="AW4" i="28"/>
  <c r="AV4" i="28"/>
  <c r="AR4" i="28"/>
  <c r="BH3" i="28"/>
  <c r="BG3" i="28"/>
  <c r="BF3" i="28"/>
  <c r="BD3" i="28"/>
  <c r="BC3" i="28"/>
  <c r="BB3" i="28"/>
  <c r="BA3" i="28"/>
  <c r="AZ3" i="28"/>
  <c r="BE3" i="28"/>
  <c r="AY3" i="28"/>
  <c r="AX3" i="28"/>
  <c r="AW3" i="28"/>
  <c r="AV3" i="28"/>
  <c r="AR3" i="28"/>
  <c r="BH2" i="28"/>
  <c r="BG2" i="28"/>
  <c r="BF2" i="28"/>
  <c r="BD2" i="28"/>
  <c r="BC2" i="28"/>
  <c r="BB2" i="28"/>
  <c r="BA2" i="28"/>
  <c r="AZ2" i="28"/>
  <c r="BE2" i="28"/>
  <c r="AY2" i="28"/>
  <c r="AX2" i="28"/>
  <c r="AW2" i="28"/>
  <c r="AV2" i="28"/>
  <c r="AR2" i="28"/>
  <c r="BC2" i="10"/>
  <c r="AQ4" i="10"/>
  <c r="AR4" i="10"/>
  <c r="AQ5" i="10"/>
  <c r="AR5" i="10"/>
  <c r="AQ6" i="10"/>
  <c r="AQ7" i="10"/>
  <c r="AT7" i="10"/>
  <c r="AQ8" i="10"/>
  <c r="AR8" i="10"/>
  <c r="AQ9" i="10"/>
  <c r="AR9" i="10"/>
  <c r="AQ10" i="10"/>
  <c r="AR10" i="10"/>
  <c r="AQ11" i="10"/>
  <c r="AQ12" i="10"/>
  <c r="AR12" i="10"/>
  <c r="AQ13" i="10"/>
  <c r="AR13" i="10"/>
  <c r="AQ14" i="10"/>
  <c r="AT14" i="10"/>
  <c r="AQ15" i="10"/>
  <c r="AT15" i="10"/>
  <c r="AQ16" i="10"/>
  <c r="AR16" i="10"/>
  <c r="AQ17" i="10"/>
  <c r="AT17" i="10"/>
  <c r="AQ18" i="10"/>
  <c r="AT18" i="10"/>
  <c r="AQ19" i="10"/>
  <c r="AT19" i="10"/>
  <c r="AQ20" i="10"/>
  <c r="AS20" i="10"/>
  <c r="AQ21" i="10"/>
  <c r="AR21" i="10"/>
  <c r="AQ22" i="10"/>
  <c r="AS22" i="10"/>
  <c r="AQ23" i="10"/>
  <c r="AR23" i="10"/>
  <c r="AQ24" i="10"/>
  <c r="AR24" i="10"/>
  <c r="AQ25" i="10"/>
  <c r="AQ26" i="10"/>
  <c r="AT26" i="10"/>
  <c r="AQ27" i="10"/>
  <c r="AT27" i="10"/>
  <c r="AQ28" i="10"/>
  <c r="AR28" i="10"/>
  <c r="AQ29" i="10"/>
  <c r="AR29" i="10"/>
  <c r="AQ30" i="10"/>
  <c r="AR30" i="10"/>
  <c r="AQ31" i="10"/>
  <c r="AR31" i="10"/>
  <c r="AQ32" i="10"/>
  <c r="AT32" i="10"/>
  <c r="AQ33" i="10"/>
  <c r="AR33" i="10"/>
  <c r="AQ34" i="10"/>
  <c r="AS34" i="10"/>
  <c r="AQ35" i="10"/>
  <c r="AQ36" i="10"/>
  <c r="AT36" i="10"/>
  <c r="AQ37" i="10"/>
  <c r="AT37" i="10"/>
  <c r="AQ38" i="10"/>
  <c r="AR38" i="10"/>
  <c r="AQ39" i="10"/>
  <c r="AR39" i="10"/>
  <c r="AQ40" i="10"/>
  <c r="AT40" i="10"/>
  <c r="AQ41" i="10"/>
  <c r="AT41" i="10"/>
  <c r="AQ42" i="10"/>
  <c r="AQ43" i="10"/>
  <c r="AT43" i="10"/>
  <c r="AQ44" i="10"/>
  <c r="AR44" i="10"/>
  <c r="AQ45" i="10"/>
  <c r="AT45" i="10"/>
  <c r="AQ46" i="10"/>
  <c r="AQ47" i="10"/>
  <c r="AR47" i="10"/>
  <c r="AQ48" i="10"/>
  <c r="AR48" i="10"/>
  <c r="AQ49" i="10"/>
  <c r="AT49" i="10"/>
  <c r="AQ50" i="10"/>
  <c r="AT50" i="10"/>
  <c r="AQ51" i="10"/>
  <c r="AS51" i="10"/>
  <c r="AQ52" i="10"/>
  <c r="AS52" i="10"/>
  <c r="AQ53" i="10"/>
  <c r="AT53" i="10"/>
  <c r="AQ54" i="10"/>
  <c r="AS54" i="10"/>
  <c r="AQ55" i="10"/>
  <c r="AT55" i="10"/>
  <c r="AQ56" i="10"/>
  <c r="AS56" i="10"/>
  <c r="AQ57" i="10"/>
  <c r="AT57" i="10"/>
  <c r="AQ58" i="10"/>
  <c r="AT58" i="10"/>
  <c r="AQ59" i="10"/>
  <c r="AR59" i="10"/>
  <c r="AQ60" i="10"/>
  <c r="AR60" i="10"/>
  <c r="AQ61" i="10"/>
  <c r="AT61" i="10"/>
  <c r="AQ62" i="10"/>
  <c r="AQ63" i="10"/>
  <c r="AQ64" i="10"/>
  <c r="AR64" i="10"/>
  <c r="AQ65" i="10"/>
  <c r="AT65" i="10"/>
  <c r="AQ66" i="10"/>
  <c r="AR66" i="10"/>
  <c r="AQ67" i="10"/>
  <c r="AR67" i="10"/>
  <c r="AQ68" i="10"/>
  <c r="AT68" i="10"/>
  <c r="AQ69" i="10"/>
  <c r="AT69" i="10"/>
  <c r="AQ70" i="10"/>
  <c r="AQ71" i="10"/>
  <c r="AS71" i="10"/>
  <c r="AQ72" i="10"/>
  <c r="AR72" i="10"/>
  <c r="AQ73" i="10"/>
  <c r="AR73" i="10"/>
  <c r="AQ74" i="10"/>
  <c r="AQ75" i="10"/>
  <c r="AT75" i="10"/>
  <c r="AQ76" i="10"/>
  <c r="AQ77" i="10"/>
  <c r="AR77" i="10"/>
  <c r="AQ78" i="10"/>
  <c r="AR78" i="10"/>
  <c r="AQ79" i="10"/>
  <c r="AR79" i="10"/>
  <c r="AQ80" i="10"/>
  <c r="AR80" i="10"/>
  <c r="AQ81" i="10"/>
  <c r="AT81" i="10"/>
  <c r="AQ82" i="10"/>
  <c r="AR82" i="10"/>
  <c r="AQ83" i="10"/>
  <c r="AR83" i="10"/>
  <c r="AQ84" i="10"/>
  <c r="AQ85" i="10"/>
  <c r="AT85" i="10"/>
  <c r="AQ86" i="10"/>
  <c r="AT86" i="10"/>
  <c r="AQ87" i="10"/>
  <c r="AR87" i="10"/>
  <c r="AQ88" i="10"/>
  <c r="AR88" i="10"/>
  <c r="AQ89" i="10"/>
  <c r="AQ90" i="10"/>
  <c r="AR90" i="10"/>
  <c r="AQ91" i="10"/>
  <c r="AT91" i="10"/>
  <c r="AQ92" i="10"/>
  <c r="AT92" i="10"/>
  <c r="AQ93" i="10"/>
  <c r="AR93" i="10"/>
  <c r="AQ94" i="10"/>
  <c r="AT94" i="10"/>
  <c r="AQ95" i="10"/>
  <c r="AT95" i="10"/>
  <c r="AQ96" i="10"/>
  <c r="AR96" i="10"/>
  <c r="AQ97" i="10"/>
  <c r="AT97" i="10"/>
  <c r="AQ98" i="10"/>
  <c r="AR98" i="10"/>
  <c r="AQ99" i="10"/>
  <c r="AR99" i="10"/>
  <c r="AQ100" i="10"/>
  <c r="AS100" i="10"/>
  <c r="AQ101" i="10"/>
  <c r="AQ102" i="10"/>
  <c r="AR102" i="10"/>
  <c r="AQ103" i="10"/>
  <c r="AR103" i="10"/>
  <c r="AQ104" i="10"/>
  <c r="AQ105" i="10"/>
  <c r="AQ106" i="10"/>
  <c r="AS106" i="10"/>
  <c r="AQ107" i="10"/>
  <c r="AQ108" i="10"/>
  <c r="AS108" i="10"/>
  <c r="AQ109" i="10"/>
  <c r="AR109" i="10"/>
  <c r="AQ110" i="10"/>
  <c r="AR110" i="10"/>
  <c r="AQ111" i="10"/>
  <c r="AR111" i="10"/>
  <c r="AQ112" i="10"/>
  <c r="AQ113" i="10"/>
  <c r="AT113" i="10"/>
  <c r="AQ114" i="10"/>
  <c r="AQ115" i="10"/>
  <c r="AT115" i="10"/>
  <c r="AQ116" i="10"/>
  <c r="AR116" i="10"/>
  <c r="AQ117" i="10"/>
  <c r="AR117" i="10"/>
  <c r="AQ118" i="10"/>
  <c r="AR118" i="10"/>
  <c r="AQ119" i="10"/>
  <c r="AS119" i="10"/>
  <c r="AQ120" i="10"/>
  <c r="AS120" i="10"/>
  <c r="AQ121" i="10"/>
  <c r="AR121" i="10"/>
  <c r="AQ122" i="10"/>
  <c r="AQ123" i="10"/>
  <c r="AR123" i="10"/>
  <c r="AQ124" i="10"/>
  <c r="AT124" i="10"/>
  <c r="AQ125" i="10"/>
  <c r="AT125" i="10"/>
  <c r="AQ126" i="10"/>
  <c r="AR126" i="10"/>
  <c r="AQ127" i="10"/>
  <c r="AR127" i="10"/>
  <c r="AQ128" i="10"/>
  <c r="AT128" i="10"/>
  <c r="AQ129" i="10"/>
  <c r="AT129" i="10"/>
  <c r="AQ130" i="10"/>
  <c r="AT130" i="10"/>
  <c r="AQ131" i="10"/>
  <c r="AT131" i="10"/>
  <c r="AQ132" i="10"/>
  <c r="AR132" i="10"/>
  <c r="AQ133" i="10"/>
  <c r="AS133" i="10"/>
  <c r="AQ134" i="10"/>
  <c r="AR134" i="10"/>
  <c r="AQ135" i="10"/>
  <c r="AR135" i="10"/>
  <c r="AQ136" i="10"/>
  <c r="AQ137" i="10"/>
  <c r="AS137" i="10"/>
  <c r="AQ138" i="10"/>
  <c r="AT138" i="10"/>
  <c r="AQ139" i="10"/>
  <c r="AS139" i="10"/>
  <c r="AQ140" i="10"/>
  <c r="AR140" i="10"/>
  <c r="AQ141" i="10"/>
  <c r="AR141" i="10"/>
  <c r="AQ142" i="10"/>
  <c r="AT142" i="10"/>
  <c r="AQ143" i="10"/>
  <c r="AQ144" i="10"/>
  <c r="AR144" i="10"/>
  <c r="AQ145" i="10"/>
  <c r="AT145" i="10"/>
  <c r="AQ146" i="10"/>
  <c r="AQ147" i="10"/>
  <c r="AR147" i="10"/>
  <c r="AQ148" i="10"/>
  <c r="AT148" i="10"/>
  <c r="AQ149" i="10"/>
  <c r="AT149" i="10"/>
  <c r="AQ150" i="10"/>
  <c r="AR150" i="10"/>
  <c r="AQ151" i="10"/>
  <c r="AT151" i="10"/>
  <c r="AQ152" i="10"/>
  <c r="AS152" i="10"/>
  <c r="AQ153" i="10"/>
  <c r="AR153" i="10"/>
  <c r="AQ154" i="10"/>
  <c r="AR154" i="10"/>
  <c r="AQ155" i="10"/>
  <c r="AQ156" i="10"/>
  <c r="AQ157" i="10"/>
  <c r="AT157" i="10"/>
  <c r="AQ158" i="10"/>
  <c r="AS158" i="10"/>
  <c r="AQ159" i="10"/>
  <c r="AR159" i="10"/>
  <c r="AQ160" i="10"/>
  <c r="AR160" i="10"/>
  <c r="AQ161" i="10"/>
  <c r="AT161" i="10"/>
  <c r="AQ162" i="10"/>
  <c r="AT162" i="10"/>
  <c r="AQ163" i="10"/>
  <c r="AT163" i="10"/>
  <c r="AQ164" i="10"/>
  <c r="AQ165" i="10"/>
  <c r="AS165" i="10"/>
  <c r="AQ166" i="10"/>
  <c r="AQ167" i="10"/>
  <c r="AR167" i="10"/>
  <c r="AQ168" i="10"/>
  <c r="AQ169" i="10"/>
  <c r="AR169" i="10"/>
  <c r="AQ170" i="10"/>
  <c r="AR170" i="10"/>
  <c r="AQ171" i="10"/>
  <c r="AT171" i="10"/>
  <c r="AQ172" i="10"/>
  <c r="AR172" i="10"/>
  <c r="AQ173" i="10"/>
  <c r="AQ174" i="10"/>
  <c r="AS174" i="10"/>
  <c r="AQ175" i="10"/>
  <c r="AR175" i="10"/>
  <c r="AQ176" i="10"/>
  <c r="AT176" i="10"/>
  <c r="AQ177" i="10"/>
  <c r="AR177" i="10"/>
  <c r="AQ178" i="10"/>
  <c r="AR178" i="10"/>
  <c r="AQ179" i="10"/>
  <c r="AS179" i="10"/>
  <c r="AQ180" i="10"/>
  <c r="AR180" i="10"/>
  <c r="AQ181" i="10"/>
  <c r="AS181" i="10"/>
  <c r="AQ182" i="10"/>
  <c r="AT182" i="10"/>
  <c r="AQ183" i="10"/>
  <c r="AT183" i="10"/>
  <c r="AQ184" i="10"/>
  <c r="AS184" i="10"/>
  <c r="AQ185" i="10"/>
  <c r="AQ186" i="10"/>
  <c r="AT186" i="10"/>
  <c r="AQ187" i="10"/>
  <c r="AT187" i="10"/>
  <c r="AQ188" i="10"/>
  <c r="AT188" i="10"/>
  <c r="AQ189" i="10"/>
  <c r="AR189" i="10"/>
  <c r="AQ190" i="10"/>
  <c r="AQ191" i="10"/>
  <c r="AQ192" i="10"/>
  <c r="AT192" i="10"/>
  <c r="AQ193" i="10"/>
  <c r="AQ194" i="10"/>
  <c r="AR194" i="10"/>
  <c r="AQ195" i="10"/>
  <c r="AT195" i="10"/>
  <c r="AQ196" i="10"/>
  <c r="AT196" i="10"/>
  <c r="AQ197" i="10"/>
  <c r="AT197" i="10"/>
  <c r="AQ198" i="10"/>
  <c r="AQ199" i="10"/>
  <c r="AQ200" i="10"/>
  <c r="AS200" i="10"/>
  <c r="AQ201" i="10"/>
  <c r="AT201" i="10"/>
  <c r="AQ202" i="10"/>
  <c r="AQ203" i="10"/>
  <c r="AT203" i="10"/>
  <c r="AQ204" i="10"/>
  <c r="AT204" i="10"/>
  <c r="AQ205" i="10"/>
  <c r="AQ206" i="10"/>
  <c r="AQ207" i="10"/>
  <c r="AS207" i="10"/>
  <c r="AQ208" i="10"/>
  <c r="AT208" i="10"/>
  <c r="AQ209" i="10"/>
  <c r="AR209" i="10"/>
  <c r="AQ210" i="10"/>
  <c r="AR210" i="10"/>
  <c r="AQ211" i="10"/>
  <c r="AT211" i="10"/>
  <c r="AQ212" i="10"/>
  <c r="AR212" i="10"/>
  <c r="AQ213" i="10"/>
  <c r="AR213" i="10"/>
  <c r="AQ214" i="10"/>
  <c r="AT214" i="10"/>
  <c r="AQ215" i="10"/>
  <c r="AR215" i="10"/>
  <c r="AQ216" i="10"/>
  <c r="AT216" i="10"/>
  <c r="AQ217" i="10"/>
  <c r="AT217" i="10"/>
  <c r="AQ218" i="10"/>
  <c r="AT218" i="10"/>
  <c r="AQ219" i="10"/>
  <c r="AR219" i="10"/>
  <c r="AQ220" i="10"/>
  <c r="AS220" i="10"/>
  <c r="AQ221" i="10"/>
  <c r="AS221" i="10"/>
  <c r="AQ222" i="10"/>
  <c r="AT222" i="10"/>
  <c r="AQ223" i="10"/>
  <c r="AQ224" i="10"/>
  <c r="AT224" i="10"/>
  <c r="AQ225" i="10"/>
  <c r="AT225" i="10"/>
  <c r="AQ226" i="10"/>
  <c r="AS226" i="10"/>
  <c r="AQ227" i="10"/>
  <c r="AR227" i="10"/>
  <c r="AQ228" i="10"/>
  <c r="AQ229" i="10"/>
  <c r="AT229" i="10"/>
  <c r="AQ230" i="10"/>
  <c r="AR230" i="10"/>
  <c r="AQ231" i="10"/>
  <c r="AT231" i="10"/>
  <c r="AQ232" i="10"/>
  <c r="AT232" i="10"/>
  <c r="AQ233" i="10"/>
  <c r="AQ234" i="10"/>
  <c r="AS234" i="10"/>
  <c r="AQ235" i="10"/>
  <c r="AQ236" i="10"/>
  <c r="AT236" i="10"/>
  <c r="AQ237" i="10"/>
  <c r="AQ238" i="10"/>
  <c r="AT238" i="10"/>
  <c r="AQ239" i="10"/>
  <c r="AR239" i="10"/>
  <c r="AQ240" i="10"/>
  <c r="AQ241" i="10"/>
  <c r="AR241" i="10"/>
  <c r="AQ242" i="10"/>
  <c r="AR242" i="10"/>
  <c r="AQ243" i="10"/>
  <c r="AQ244" i="10"/>
  <c r="AQ245" i="10"/>
  <c r="AT245" i="10"/>
  <c r="AQ246" i="10"/>
  <c r="AT246" i="10"/>
  <c r="AQ247" i="10"/>
  <c r="AS247" i="10"/>
  <c r="AQ248" i="10"/>
  <c r="AR248" i="10"/>
  <c r="AQ249" i="10"/>
  <c r="AS249" i="10"/>
  <c r="AQ250" i="10"/>
  <c r="AR250" i="10"/>
  <c r="AQ251" i="10"/>
  <c r="AT251" i="10"/>
  <c r="AQ252" i="10"/>
  <c r="AT252" i="10"/>
  <c r="AQ253" i="10"/>
  <c r="AS253" i="10"/>
  <c r="AQ254" i="10"/>
  <c r="AT254" i="10"/>
  <c r="AQ255" i="10"/>
  <c r="AR255" i="10"/>
  <c r="AQ256" i="10"/>
  <c r="AT256" i="10"/>
  <c r="AQ257" i="10"/>
  <c r="AS257" i="10"/>
  <c r="AQ258" i="10"/>
  <c r="AT258" i="10"/>
  <c r="AQ259" i="10"/>
  <c r="AS259" i="10"/>
  <c r="AQ260" i="10"/>
  <c r="AT260" i="10"/>
  <c r="AQ261" i="10"/>
  <c r="AR261" i="10"/>
  <c r="AQ262" i="10"/>
  <c r="AT262" i="10"/>
  <c r="AQ263" i="10"/>
  <c r="AR263" i="10"/>
  <c r="AQ264" i="10"/>
  <c r="AR264" i="10"/>
  <c r="AQ265" i="10"/>
  <c r="AQ266" i="10"/>
  <c r="AS266" i="10"/>
  <c r="AQ267" i="10"/>
  <c r="AT267" i="10"/>
  <c r="AQ268" i="10"/>
  <c r="AR268" i="10"/>
  <c r="AQ269" i="10"/>
  <c r="AQ270" i="10"/>
  <c r="AR270" i="10"/>
  <c r="AQ271" i="10"/>
  <c r="AR271" i="10"/>
  <c r="AQ272" i="10"/>
  <c r="AQ273" i="10"/>
  <c r="AT273" i="10"/>
  <c r="AQ274" i="10"/>
  <c r="AR274" i="10"/>
  <c r="AQ275" i="10"/>
  <c r="AR275" i="10"/>
  <c r="AQ276" i="10"/>
  <c r="AT276" i="10"/>
  <c r="AQ277" i="10"/>
  <c r="AR277" i="10"/>
  <c r="AQ278" i="10"/>
  <c r="AS278" i="10"/>
  <c r="AQ279" i="10"/>
  <c r="AR279" i="10"/>
  <c r="AQ280" i="10"/>
  <c r="AR280" i="10"/>
  <c r="AQ281" i="10"/>
  <c r="AT281" i="10"/>
  <c r="AQ282" i="10"/>
  <c r="AQ283" i="10"/>
  <c r="AT283" i="10"/>
  <c r="AQ284" i="10"/>
  <c r="AS284" i="10"/>
  <c r="AQ285" i="10"/>
  <c r="AQ286" i="10"/>
  <c r="AR286" i="10"/>
  <c r="AQ287" i="10"/>
  <c r="AR287" i="10"/>
  <c r="AQ288" i="10"/>
  <c r="AT288" i="10"/>
  <c r="AQ289" i="10"/>
  <c r="AQ290" i="10"/>
  <c r="AR290" i="10"/>
  <c r="AQ291" i="10"/>
  <c r="AQ292" i="10"/>
  <c r="AR292" i="10"/>
  <c r="AQ293" i="10"/>
  <c r="AT293" i="10"/>
  <c r="AQ294" i="10"/>
  <c r="AT294" i="10"/>
  <c r="AQ295" i="10"/>
  <c r="AS295" i="10"/>
  <c r="AQ296" i="10"/>
  <c r="AT296" i="10"/>
  <c r="AQ297" i="10"/>
  <c r="AS297" i="10"/>
  <c r="AQ298" i="10"/>
  <c r="AS298" i="10"/>
  <c r="AQ299" i="10"/>
  <c r="AR299" i="10"/>
  <c r="AQ300" i="10"/>
  <c r="AT300" i="10"/>
  <c r="AQ301" i="10"/>
  <c r="AR301" i="10"/>
  <c r="AQ302" i="10"/>
  <c r="AT302" i="10"/>
  <c r="AQ303" i="10"/>
  <c r="AQ304" i="10"/>
  <c r="AS304" i="10"/>
  <c r="AQ305" i="10"/>
  <c r="AT305" i="10"/>
  <c r="AQ306" i="10"/>
  <c r="AQ307" i="10"/>
  <c r="AR307" i="10"/>
  <c r="AQ308" i="10"/>
  <c r="AR308" i="10"/>
  <c r="AQ309" i="10"/>
  <c r="AQ310" i="10"/>
  <c r="AT310" i="10"/>
  <c r="AQ311" i="10"/>
  <c r="AR311" i="10"/>
  <c r="AQ312" i="10"/>
  <c r="AS312" i="10"/>
  <c r="AQ313" i="10"/>
  <c r="AR313" i="10"/>
  <c r="AQ314" i="10"/>
  <c r="AT314" i="10"/>
  <c r="AQ315" i="10"/>
  <c r="AT315" i="10"/>
  <c r="AQ316" i="10"/>
  <c r="AR316" i="10"/>
  <c r="AQ317" i="10"/>
  <c r="AT317" i="10"/>
  <c r="AQ318" i="10"/>
  <c r="AS318" i="10"/>
  <c r="AQ319" i="10"/>
  <c r="AS319" i="10"/>
  <c r="AQ320" i="10"/>
  <c r="AT320" i="10"/>
  <c r="AQ321" i="10"/>
  <c r="AQ322" i="10"/>
  <c r="AQ323" i="10"/>
  <c r="AS323" i="10"/>
  <c r="AQ324" i="10"/>
  <c r="AQ325" i="10"/>
  <c r="AS325" i="10"/>
  <c r="AQ326" i="10"/>
  <c r="AT326" i="10"/>
  <c r="AQ327" i="10"/>
  <c r="AR327" i="10"/>
  <c r="AQ328" i="10"/>
  <c r="AQ329" i="10"/>
  <c r="AS329" i="10"/>
  <c r="AQ330" i="10"/>
  <c r="AQ331" i="10"/>
  <c r="AT331" i="10"/>
  <c r="AQ332" i="10"/>
  <c r="AT332" i="10"/>
  <c r="AQ333" i="10"/>
  <c r="AS333" i="10"/>
  <c r="AQ334" i="10"/>
  <c r="AT334" i="10"/>
  <c r="AQ335" i="10"/>
  <c r="AQ336" i="10"/>
  <c r="AT336" i="10"/>
  <c r="AQ337" i="10"/>
  <c r="AR337" i="10"/>
  <c r="AQ338" i="10"/>
  <c r="AR338" i="10"/>
  <c r="AQ339" i="10"/>
  <c r="AR339" i="10"/>
  <c r="AQ340" i="10"/>
  <c r="AT340" i="10"/>
  <c r="AQ341" i="10"/>
  <c r="AT341" i="10"/>
  <c r="AQ342" i="10"/>
  <c r="AS342" i="10"/>
  <c r="AQ343" i="10"/>
  <c r="AS343" i="10"/>
  <c r="AQ344" i="10"/>
  <c r="AT344" i="10"/>
  <c r="AQ345" i="10"/>
  <c r="AQ346" i="10"/>
  <c r="AQ347" i="10"/>
  <c r="AT347" i="10"/>
  <c r="AQ348" i="10"/>
  <c r="AS348" i="10"/>
  <c r="AQ349" i="10"/>
  <c r="AQ350" i="10"/>
  <c r="AS350" i="10"/>
  <c r="AQ351" i="10"/>
  <c r="AQ352" i="10"/>
  <c r="AT352" i="10"/>
  <c r="AQ353" i="10"/>
  <c r="AQ354" i="10"/>
  <c r="AT354" i="10"/>
  <c r="AQ355" i="10"/>
  <c r="AS355" i="10"/>
  <c r="AQ356" i="10"/>
  <c r="AS356" i="10"/>
  <c r="AQ357" i="10"/>
  <c r="AQ358" i="10"/>
  <c r="AS358" i="10"/>
  <c r="AQ359" i="10"/>
  <c r="AR359" i="10"/>
  <c r="AQ360" i="10"/>
  <c r="AS360" i="10"/>
  <c r="AQ361" i="10"/>
  <c r="AQ362" i="10"/>
  <c r="AS362" i="10"/>
  <c r="AQ363" i="10"/>
  <c r="AR363" i="10"/>
  <c r="AQ364" i="10"/>
  <c r="AT364" i="10"/>
  <c r="AQ365" i="10"/>
  <c r="AQ366" i="10"/>
  <c r="AR366" i="10"/>
  <c r="AQ367" i="10"/>
  <c r="AS367" i="10"/>
  <c r="AQ368" i="10"/>
  <c r="AS368" i="10"/>
  <c r="AQ369" i="10"/>
  <c r="AQ370" i="10"/>
  <c r="AR370" i="10"/>
  <c r="AQ371" i="10"/>
  <c r="AT371" i="10"/>
  <c r="AQ372" i="10"/>
  <c r="AR372" i="10"/>
  <c r="AQ373" i="10"/>
  <c r="AQ374" i="10"/>
  <c r="AR374" i="10"/>
  <c r="AQ375" i="10"/>
  <c r="AR375" i="10"/>
  <c r="AQ376" i="10"/>
  <c r="AT376" i="10"/>
  <c r="AQ377" i="10"/>
  <c r="AQ378" i="10"/>
  <c r="AS378" i="10"/>
  <c r="AQ379" i="10"/>
  <c r="AR379" i="10"/>
  <c r="AQ380" i="10"/>
  <c r="AS380" i="10"/>
  <c r="AQ381" i="10"/>
  <c r="AQ382" i="10"/>
  <c r="AS382" i="10"/>
  <c r="AQ383" i="10"/>
  <c r="AT383" i="10"/>
  <c r="AQ384" i="10"/>
  <c r="AS384" i="10"/>
  <c r="AQ385" i="10"/>
  <c r="AQ386" i="10"/>
  <c r="AS386" i="10"/>
  <c r="AQ387" i="10"/>
  <c r="AT387" i="10"/>
  <c r="AQ388" i="10"/>
  <c r="AQ389" i="10"/>
  <c r="AQ390" i="10"/>
  <c r="AQ391" i="10"/>
  <c r="AT391" i="10"/>
  <c r="AQ392" i="10"/>
  <c r="AT392" i="10"/>
  <c r="AQ393" i="10"/>
  <c r="AQ394" i="10"/>
  <c r="AS394" i="10"/>
  <c r="AQ395" i="10"/>
  <c r="AT395" i="10"/>
  <c r="AQ396" i="10"/>
  <c r="AS396" i="10"/>
  <c r="AQ397" i="10"/>
  <c r="AQ398" i="10"/>
  <c r="AR398" i="10"/>
  <c r="AQ399" i="10"/>
  <c r="AS399" i="10"/>
  <c r="AQ400" i="10"/>
  <c r="AS400" i="10"/>
  <c r="AQ401" i="10"/>
  <c r="AQ402" i="10"/>
  <c r="AR402" i="10"/>
  <c r="AQ403" i="10"/>
  <c r="AQ404" i="10"/>
  <c r="AS404" i="10"/>
  <c r="AQ405" i="10"/>
  <c r="AQ406" i="10"/>
  <c r="AT406" i="10"/>
  <c r="AQ407" i="10"/>
  <c r="AR407" i="10"/>
  <c r="AQ408" i="10"/>
  <c r="AR408" i="10"/>
  <c r="AQ409" i="10"/>
  <c r="AQ410" i="10"/>
  <c r="AR410" i="10"/>
  <c r="AQ411" i="10"/>
  <c r="AR411" i="10"/>
  <c r="AQ412" i="10"/>
  <c r="AR412" i="10"/>
  <c r="AQ413" i="10"/>
  <c r="AQ414" i="10"/>
  <c r="AT414" i="10"/>
  <c r="AQ415" i="10"/>
  <c r="AS415" i="10"/>
  <c r="AQ416" i="10"/>
  <c r="AQ417" i="10"/>
  <c r="AQ418" i="10"/>
  <c r="AT418" i="10"/>
  <c r="AQ419" i="10"/>
  <c r="AS419" i="10"/>
  <c r="AQ420" i="10"/>
  <c r="AR420" i="10"/>
  <c r="AQ421" i="10"/>
  <c r="AQ422" i="10"/>
  <c r="AQ423" i="10"/>
  <c r="AR423" i="10"/>
  <c r="AQ424" i="10"/>
  <c r="AT424" i="10"/>
  <c r="AQ425" i="10"/>
  <c r="AQ426" i="10"/>
  <c r="AQ427" i="10"/>
  <c r="AT427" i="10"/>
  <c r="AQ428" i="10"/>
  <c r="AS428" i="10"/>
  <c r="AQ429" i="10"/>
  <c r="AQ430" i="10"/>
  <c r="AS430" i="10"/>
  <c r="AQ431" i="10"/>
  <c r="AR431" i="10"/>
  <c r="AQ432" i="10"/>
  <c r="AT432" i="10"/>
  <c r="AQ433" i="10"/>
  <c r="AQ434" i="10"/>
  <c r="AQ435" i="10"/>
  <c r="AQ436" i="10"/>
  <c r="AR436" i="10"/>
  <c r="AQ437" i="10"/>
  <c r="AQ438" i="10"/>
  <c r="AQ439" i="10"/>
  <c r="AR439" i="10"/>
  <c r="AQ440" i="10"/>
  <c r="AS440" i="10"/>
  <c r="AQ441" i="10"/>
  <c r="AR441" i="10"/>
  <c r="AQ442" i="10"/>
  <c r="AT442" i="10"/>
  <c r="AQ443" i="10"/>
  <c r="AR443" i="10"/>
  <c r="AQ444" i="10"/>
  <c r="AR444" i="10"/>
  <c r="AQ445" i="10"/>
  <c r="AT445" i="10"/>
  <c r="AQ446" i="10"/>
  <c r="AT446" i="10"/>
  <c r="AQ447" i="10"/>
  <c r="AT447" i="10"/>
  <c r="AQ448" i="10"/>
  <c r="AR448" i="10"/>
  <c r="AQ449" i="10"/>
  <c r="AT449" i="10"/>
  <c r="AQ450" i="10"/>
  <c r="AT450" i="10"/>
  <c r="AQ451" i="10"/>
  <c r="AR451" i="10"/>
  <c r="AQ452" i="10"/>
  <c r="AR452" i="10"/>
  <c r="AQ453" i="10"/>
  <c r="AR453" i="10"/>
  <c r="AQ454" i="10"/>
  <c r="AT454" i="10"/>
  <c r="AQ455" i="10"/>
  <c r="AS455" i="10"/>
  <c r="AQ456" i="10"/>
  <c r="AR456" i="10"/>
  <c r="AQ457" i="10"/>
  <c r="AT457" i="10"/>
  <c r="AQ458" i="10"/>
  <c r="AT458" i="10"/>
  <c r="AQ459" i="10"/>
  <c r="AS459" i="10"/>
  <c r="AQ460" i="10"/>
  <c r="AR460" i="10"/>
  <c r="AQ461" i="10"/>
  <c r="AS461" i="10"/>
  <c r="AQ462" i="10"/>
  <c r="AQ463" i="10"/>
  <c r="AR463" i="10"/>
  <c r="AQ464" i="10"/>
  <c r="AR464" i="10"/>
  <c r="AQ465" i="10"/>
  <c r="AT465" i="10"/>
  <c r="AQ466" i="10"/>
  <c r="AT466" i="10"/>
  <c r="AQ467" i="10"/>
  <c r="AS467" i="10"/>
  <c r="AQ468" i="10"/>
  <c r="AR468" i="10"/>
  <c r="AQ469" i="10"/>
  <c r="AR469" i="10"/>
  <c r="AQ470" i="10"/>
  <c r="AT470" i="10"/>
  <c r="AQ471" i="10"/>
  <c r="AT471" i="10"/>
  <c r="AQ472" i="10"/>
  <c r="AR472" i="10"/>
  <c r="AQ473" i="10"/>
  <c r="AT473" i="10"/>
  <c r="AQ474" i="10"/>
  <c r="AT474" i="10"/>
  <c r="AQ475" i="10"/>
  <c r="AR475" i="10"/>
  <c r="AQ476" i="10"/>
  <c r="AR476" i="10"/>
  <c r="AQ477" i="10"/>
  <c r="AT477" i="10"/>
  <c r="AQ478" i="10"/>
  <c r="AT478" i="10"/>
  <c r="AQ479" i="10"/>
  <c r="AT479" i="10"/>
  <c r="AQ480" i="10"/>
  <c r="AR480" i="10"/>
  <c r="AQ481" i="10"/>
  <c r="AQ482" i="10"/>
  <c r="AT482" i="10"/>
  <c r="AQ483" i="10"/>
  <c r="AR483" i="10"/>
  <c r="AQ484" i="10"/>
  <c r="AR484" i="10"/>
  <c r="AQ485" i="10"/>
  <c r="AT485" i="10"/>
  <c r="AQ486" i="10"/>
  <c r="AT486" i="10"/>
  <c r="AQ487" i="10"/>
  <c r="AQ488" i="10"/>
  <c r="AR488" i="10"/>
  <c r="AQ489" i="10"/>
  <c r="AR489" i="10"/>
  <c r="AQ490" i="10"/>
  <c r="AT490" i="10"/>
  <c r="AQ491" i="10"/>
  <c r="AR491" i="10"/>
  <c r="AQ492" i="10"/>
  <c r="AR492" i="10"/>
  <c r="AQ493" i="10"/>
  <c r="AQ494" i="10"/>
  <c r="AT494" i="10"/>
  <c r="AQ495" i="10"/>
  <c r="AS495" i="10"/>
  <c r="AQ496" i="10"/>
  <c r="AR496" i="10"/>
  <c r="AQ497" i="10"/>
  <c r="AS497" i="10"/>
  <c r="AQ498" i="10"/>
  <c r="AT498" i="10"/>
  <c r="AQ499" i="10"/>
  <c r="AT499" i="10"/>
  <c r="AQ500" i="10"/>
  <c r="AR500" i="10"/>
  <c r="AQ501" i="10"/>
  <c r="AS501" i="10"/>
  <c r="AQ502" i="10"/>
  <c r="AQ503" i="10"/>
  <c r="AT503" i="10"/>
  <c r="AQ504" i="10"/>
  <c r="AR504" i="10"/>
  <c r="AQ505" i="10"/>
  <c r="AQ506" i="10"/>
  <c r="AT506" i="10"/>
  <c r="AQ507" i="10"/>
  <c r="AS507" i="10"/>
  <c r="AQ508" i="10"/>
  <c r="AR508" i="10"/>
  <c r="AQ509" i="10"/>
  <c r="AR509" i="10"/>
  <c r="AQ510" i="10"/>
  <c r="AT510" i="10"/>
  <c r="AQ511" i="10"/>
  <c r="AT511" i="10"/>
  <c r="AQ512" i="10"/>
  <c r="AR512" i="10"/>
  <c r="AQ513" i="10"/>
  <c r="AS513" i="10"/>
  <c r="AQ514" i="10"/>
  <c r="AT514" i="10"/>
  <c r="AQ515" i="10"/>
  <c r="AQ516" i="10"/>
  <c r="AR516" i="10"/>
  <c r="AQ517" i="10"/>
  <c r="AT517" i="10"/>
  <c r="AQ518" i="10"/>
  <c r="AT518" i="10"/>
  <c r="AQ519" i="10"/>
  <c r="AS519" i="10"/>
  <c r="AQ520" i="10"/>
  <c r="AR520" i="10"/>
  <c r="AQ521" i="10"/>
  <c r="AS521" i="10"/>
  <c r="AQ522" i="10"/>
  <c r="AT522" i="10"/>
  <c r="AQ523" i="10"/>
  <c r="AQ524" i="10"/>
  <c r="AR524" i="10"/>
  <c r="AQ525" i="10"/>
  <c r="AR525" i="10"/>
  <c r="AQ526" i="10"/>
  <c r="AT526" i="10"/>
  <c r="AQ527" i="10"/>
  <c r="AR527" i="10"/>
  <c r="AQ528" i="10"/>
  <c r="AR528" i="10"/>
  <c r="AQ529" i="10"/>
  <c r="AQ530" i="10"/>
  <c r="AT530" i="10"/>
  <c r="AQ531" i="10"/>
  <c r="AR531" i="10"/>
  <c r="AQ3" i="10"/>
  <c r="AR3" i="10"/>
  <c r="AQ2" i="10"/>
  <c r="AT2" i="10"/>
  <c r="BG531" i="10"/>
  <c r="BF531" i="10"/>
  <c r="BE531" i="10"/>
  <c r="BC531" i="10"/>
  <c r="BB531" i="10"/>
  <c r="BA531" i="10"/>
  <c r="AZ531" i="10"/>
  <c r="AY531" i="10"/>
  <c r="BD531" i="10"/>
  <c r="AX531" i="10"/>
  <c r="AW531" i="10"/>
  <c r="AV531" i="10"/>
  <c r="AU531" i="10"/>
  <c r="BG530" i="10"/>
  <c r="BF530" i="10"/>
  <c r="BE530" i="10"/>
  <c r="BC530" i="10"/>
  <c r="BB530" i="10"/>
  <c r="BA530" i="10"/>
  <c r="AZ530" i="10"/>
  <c r="AY530" i="10"/>
  <c r="BD530" i="10"/>
  <c r="AX530" i="10"/>
  <c r="AW530" i="10"/>
  <c r="AV530" i="10"/>
  <c r="AU530" i="10"/>
  <c r="BG529" i="10"/>
  <c r="BF529" i="10"/>
  <c r="BE529" i="10"/>
  <c r="BC529" i="10"/>
  <c r="BB529" i="10"/>
  <c r="BA529" i="10"/>
  <c r="AZ529" i="10"/>
  <c r="AY529" i="10"/>
  <c r="BD529" i="10"/>
  <c r="AX529" i="10"/>
  <c r="AW529" i="10"/>
  <c r="AV529" i="10"/>
  <c r="AU529" i="10"/>
  <c r="BG528" i="10"/>
  <c r="BF528" i="10"/>
  <c r="BE528" i="10"/>
  <c r="BC528" i="10"/>
  <c r="BB528" i="10"/>
  <c r="BA528" i="10"/>
  <c r="AZ528" i="10"/>
  <c r="AY528" i="10"/>
  <c r="BD528" i="10"/>
  <c r="AX528" i="10"/>
  <c r="AW528" i="10"/>
  <c r="AV528" i="10"/>
  <c r="AU528" i="10"/>
  <c r="BG527" i="10"/>
  <c r="BF527" i="10"/>
  <c r="BE527" i="10"/>
  <c r="BC527" i="10"/>
  <c r="BB527" i="10"/>
  <c r="BA527" i="10"/>
  <c r="AZ527" i="10"/>
  <c r="AY527" i="10"/>
  <c r="BD527" i="10"/>
  <c r="AX527" i="10"/>
  <c r="AW527" i="10"/>
  <c r="AV527" i="10"/>
  <c r="AU527" i="10"/>
  <c r="BG526" i="10"/>
  <c r="BF526" i="10"/>
  <c r="BE526" i="10"/>
  <c r="BC526" i="10"/>
  <c r="BB526" i="10"/>
  <c r="BA526" i="10"/>
  <c r="AZ526" i="10"/>
  <c r="AY526" i="10"/>
  <c r="BD526" i="10"/>
  <c r="AX526" i="10"/>
  <c r="AW526" i="10"/>
  <c r="AV526" i="10"/>
  <c r="AU526" i="10"/>
  <c r="BG525" i="10"/>
  <c r="BF525" i="10"/>
  <c r="BE525" i="10"/>
  <c r="BC525" i="10"/>
  <c r="BB525" i="10"/>
  <c r="BA525" i="10"/>
  <c r="AZ525" i="10"/>
  <c r="AY525" i="10"/>
  <c r="BD525" i="10"/>
  <c r="AX525" i="10"/>
  <c r="AW525" i="10"/>
  <c r="AV525" i="10"/>
  <c r="AU525" i="10"/>
  <c r="BG524" i="10"/>
  <c r="BF524" i="10"/>
  <c r="BE524" i="10"/>
  <c r="BC524" i="10"/>
  <c r="BB524" i="10"/>
  <c r="BA524" i="10"/>
  <c r="AZ524" i="10"/>
  <c r="AY524" i="10"/>
  <c r="BD524" i="10"/>
  <c r="AX524" i="10"/>
  <c r="AW524" i="10"/>
  <c r="AV524" i="10"/>
  <c r="AU524" i="10"/>
  <c r="BG523" i="10"/>
  <c r="BF523" i="10"/>
  <c r="BE523" i="10"/>
  <c r="BC523" i="10"/>
  <c r="BB523" i="10"/>
  <c r="BA523" i="10"/>
  <c r="AZ523" i="10"/>
  <c r="AY523" i="10"/>
  <c r="BD523" i="10"/>
  <c r="AX523" i="10"/>
  <c r="AW523" i="10"/>
  <c r="AV523" i="10"/>
  <c r="AU523" i="10"/>
  <c r="BG522" i="10"/>
  <c r="BF522" i="10"/>
  <c r="BE522" i="10"/>
  <c r="BC522" i="10"/>
  <c r="BB522" i="10"/>
  <c r="BA522" i="10"/>
  <c r="AZ522" i="10"/>
  <c r="AY522" i="10"/>
  <c r="BD522" i="10"/>
  <c r="AX522" i="10"/>
  <c r="AW522" i="10"/>
  <c r="AV522" i="10"/>
  <c r="AU522" i="10"/>
  <c r="BG521" i="10"/>
  <c r="BF521" i="10"/>
  <c r="BE521" i="10"/>
  <c r="BC521" i="10"/>
  <c r="BB521" i="10"/>
  <c r="BA521" i="10"/>
  <c r="AZ521" i="10"/>
  <c r="AY521" i="10"/>
  <c r="BD521" i="10"/>
  <c r="AX521" i="10"/>
  <c r="AW521" i="10"/>
  <c r="AV521" i="10"/>
  <c r="AU521" i="10"/>
  <c r="BG520" i="10"/>
  <c r="BF520" i="10"/>
  <c r="BE520" i="10"/>
  <c r="BC520" i="10"/>
  <c r="BB520" i="10"/>
  <c r="BA520" i="10"/>
  <c r="AZ520" i="10"/>
  <c r="AY520" i="10"/>
  <c r="BD520" i="10"/>
  <c r="AX520" i="10"/>
  <c r="AW520" i="10"/>
  <c r="AV520" i="10"/>
  <c r="AU520" i="10"/>
  <c r="BG519" i="10"/>
  <c r="BF519" i="10"/>
  <c r="BE519" i="10"/>
  <c r="BC519" i="10"/>
  <c r="BB519" i="10"/>
  <c r="BA519" i="10"/>
  <c r="AZ519" i="10"/>
  <c r="AY519" i="10"/>
  <c r="BD519" i="10"/>
  <c r="AX519" i="10"/>
  <c r="AW519" i="10"/>
  <c r="AV519" i="10"/>
  <c r="AU519" i="10"/>
  <c r="BG518" i="10"/>
  <c r="BF518" i="10"/>
  <c r="BE518" i="10"/>
  <c r="BC518" i="10"/>
  <c r="BB518" i="10"/>
  <c r="BA518" i="10"/>
  <c r="AZ518" i="10"/>
  <c r="AY518" i="10"/>
  <c r="BD518" i="10"/>
  <c r="AX518" i="10"/>
  <c r="AW518" i="10"/>
  <c r="AV518" i="10"/>
  <c r="AU518" i="10"/>
  <c r="BG517" i="10"/>
  <c r="BF517" i="10"/>
  <c r="BE517" i="10"/>
  <c r="BC517" i="10"/>
  <c r="BB517" i="10"/>
  <c r="BA517" i="10"/>
  <c r="AZ517" i="10"/>
  <c r="AY517" i="10"/>
  <c r="BD517" i="10"/>
  <c r="AX517" i="10"/>
  <c r="AW517" i="10"/>
  <c r="AV517" i="10"/>
  <c r="AU517" i="10"/>
  <c r="BG516" i="10"/>
  <c r="BF516" i="10"/>
  <c r="BE516" i="10"/>
  <c r="BC516" i="10"/>
  <c r="BB516" i="10"/>
  <c r="BA516" i="10"/>
  <c r="AZ516" i="10"/>
  <c r="AY516" i="10"/>
  <c r="BD516" i="10"/>
  <c r="AX516" i="10"/>
  <c r="AW516" i="10"/>
  <c r="AV516" i="10"/>
  <c r="AU516" i="10"/>
  <c r="BG515" i="10"/>
  <c r="BF515" i="10"/>
  <c r="BE515" i="10"/>
  <c r="BC515" i="10"/>
  <c r="BB515" i="10"/>
  <c r="BA515" i="10"/>
  <c r="AZ515" i="10"/>
  <c r="AY515" i="10"/>
  <c r="BD515" i="10"/>
  <c r="AX515" i="10"/>
  <c r="AW515" i="10"/>
  <c r="AV515" i="10"/>
  <c r="AU515" i="10"/>
  <c r="BG514" i="10"/>
  <c r="BF514" i="10"/>
  <c r="BE514" i="10"/>
  <c r="BC514" i="10"/>
  <c r="BB514" i="10"/>
  <c r="BA514" i="10"/>
  <c r="AZ514" i="10"/>
  <c r="AY514" i="10"/>
  <c r="BD514" i="10"/>
  <c r="AX514" i="10"/>
  <c r="AW514" i="10"/>
  <c r="AV514" i="10"/>
  <c r="AU514" i="10"/>
  <c r="BG513" i="10"/>
  <c r="BF513" i="10"/>
  <c r="BE513" i="10"/>
  <c r="BC513" i="10"/>
  <c r="BB513" i="10"/>
  <c r="BA513" i="10"/>
  <c r="AZ513" i="10"/>
  <c r="AY513" i="10"/>
  <c r="BD513" i="10"/>
  <c r="AX513" i="10"/>
  <c r="AW513" i="10"/>
  <c r="AV513" i="10"/>
  <c r="AU513" i="10"/>
  <c r="BG512" i="10"/>
  <c r="BF512" i="10"/>
  <c r="BE512" i="10"/>
  <c r="BC512" i="10"/>
  <c r="BB512" i="10"/>
  <c r="BA512" i="10"/>
  <c r="AZ512" i="10"/>
  <c r="AY512" i="10"/>
  <c r="BD512" i="10"/>
  <c r="AX512" i="10"/>
  <c r="AW512" i="10"/>
  <c r="AV512" i="10"/>
  <c r="AU512" i="10"/>
  <c r="BG511" i="10"/>
  <c r="BF511" i="10"/>
  <c r="BE511" i="10"/>
  <c r="BC511" i="10"/>
  <c r="BB511" i="10"/>
  <c r="BA511" i="10"/>
  <c r="AZ511" i="10"/>
  <c r="AY511" i="10"/>
  <c r="BD511" i="10"/>
  <c r="AX511" i="10"/>
  <c r="AW511" i="10"/>
  <c r="AV511" i="10"/>
  <c r="AU511" i="10"/>
  <c r="BG510" i="10"/>
  <c r="BF510" i="10"/>
  <c r="BE510" i="10"/>
  <c r="BC510" i="10"/>
  <c r="BB510" i="10"/>
  <c r="BA510" i="10"/>
  <c r="AZ510" i="10"/>
  <c r="AY510" i="10"/>
  <c r="BD510" i="10"/>
  <c r="AX510" i="10"/>
  <c r="AW510" i="10"/>
  <c r="AV510" i="10"/>
  <c r="AU510" i="10"/>
  <c r="BG509" i="10"/>
  <c r="BF509" i="10"/>
  <c r="BE509" i="10"/>
  <c r="BC509" i="10"/>
  <c r="BB509" i="10"/>
  <c r="BA509" i="10"/>
  <c r="AZ509" i="10"/>
  <c r="AY509" i="10"/>
  <c r="BD509" i="10"/>
  <c r="AX509" i="10"/>
  <c r="AW509" i="10"/>
  <c r="AV509" i="10"/>
  <c r="AU509" i="10"/>
  <c r="BG508" i="10"/>
  <c r="BF508" i="10"/>
  <c r="BE508" i="10"/>
  <c r="BC508" i="10"/>
  <c r="BB508" i="10"/>
  <c r="BA508" i="10"/>
  <c r="AZ508" i="10"/>
  <c r="AY508" i="10"/>
  <c r="BD508" i="10"/>
  <c r="AX508" i="10"/>
  <c r="AW508" i="10"/>
  <c r="AV508" i="10"/>
  <c r="AU508" i="10"/>
  <c r="BG507" i="10"/>
  <c r="BF507" i="10"/>
  <c r="BE507" i="10"/>
  <c r="BC507" i="10"/>
  <c r="BB507" i="10"/>
  <c r="BA507" i="10"/>
  <c r="AZ507" i="10"/>
  <c r="AY507" i="10"/>
  <c r="BD507" i="10"/>
  <c r="AX507" i="10"/>
  <c r="AW507" i="10"/>
  <c r="AV507" i="10"/>
  <c r="AU507" i="10"/>
  <c r="BG506" i="10"/>
  <c r="BF506" i="10"/>
  <c r="BE506" i="10"/>
  <c r="BC506" i="10"/>
  <c r="BB506" i="10"/>
  <c r="BA506" i="10"/>
  <c r="AZ506" i="10"/>
  <c r="AY506" i="10"/>
  <c r="BD506" i="10"/>
  <c r="AX506" i="10"/>
  <c r="AW506" i="10"/>
  <c r="AV506" i="10"/>
  <c r="AU506" i="10"/>
  <c r="BG505" i="10"/>
  <c r="BF505" i="10"/>
  <c r="BE505" i="10"/>
  <c r="BC505" i="10"/>
  <c r="BB505" i="10"/>
  <c r="BA505" i="10"/>
  <c r="AZ505" i="10"/>
  <c r="AY505" i="10"/>
  <c r="BD505" i="10"/>
  <c r="AX505" i="10"/>
  <c r="AW505" i="10"/>
  <c r="AV505" i="10"/>
  <c r="AU505" i="10"/>
  <c r="BG504" i="10"/>
  <c r="BF504" i="10"/>
  <c r="BE504" i="10"/>
  <c r="BC504" i="10"/>
  <c r="BB504" i="10"/>
  <c r="BA504" i="10"/>
  <c r="AZ504" i="10"/>
  <c r="AY504" i="10"/>
  <c r="BD504" i="10"/>
  <c r="AX504" i="10"/>
  <c r="AW504" i="10"/>
  <c r="AV504" i="10"/>
  <c r="AU504" i="10"/>
  <c r="BG503" i="10"/>
  <c r="BF503" i="10"/>
  <c r="BE503" i="10"/>
  <c r="BC503" i="10"/>
  <c r="BB503" i="10"/>
  <c r="BA503" i="10"/>
  <c r="AZ503" i="10"/>
  <c r="AY503" i="10"/>
  <c r="BD503" i="10"/>
  <c r="AX503" i="10"/>
  <c r="AW503" i="10"/>
  <c r="AV503" i="10"/>
  <c r="AU503" i="10"/>
  <c r="BG502" i="10"/>
  <c r="BF502" i="10"/>
  <c r="BE502" i="10"/>
  <c r="BC502" i="10"/>
  <c r="BB502" i="10"/>
  <c r="BA502" i="10"/>
  <c r="AZ502" i="10"/>
  <c r="AY502" i="10"/>
  <c r="BD502" i="10"/>
  <c r="AX502" i="10"/>
  <c r="AW502" i="10"/>
  <c r="AV502" i="10"/>
  <c r="AU502" i="10"/>
  <c r="BG501" i="10"/>
  <c r="BF501" i="10"/>
  <c r="BE501" i="10"/>
  <c r="BC501" i="10"/>
  <c r="BB501" i="10"/>
  <c r="BA501" i="10"/>
  <c r="AZ501" i="10"/>
  <c r="AY501" i="10"/>
  <c r="BD501" i="10"/>
  <c r="AX501" i="10"/>
  <c r="AW501" i="10"/>
  <c r="AV501" i="10"/>
  <c r="AU501" i="10"/>
  <c r="BG500" i="10"/>
  <c r="BF500" i="10"/>
  <c r="BE500" i="10"/>
  <c r="BC500" i="10"/>
  <c r="BB500" i="10"/>
  <c r="BA500" i="10"/>
  <c r="AZ500" i="10"/>
  <c r="AY500" i="10"/>
  <c r="BD500" i="10"/>
  <c r="AX500" i="10"/>
  <c r="AW500" i="10"/>
  <c r="AV500" i="10"/>
  <c r="AU500" i="10"/>
  <c r="BG499" i="10"/>
  <c r="BF499" i="10"/>
  <c r="BE499" i="10"/>
  <c r="BC499" i="10"/>
  <c r="BB499" i="10"/>
  <c r="BA499" i="10"/>
  <c r="AZ499" i="10"/>
  <c r="AY499" i="10"/>
  <c r="BD499" i="10"/>
  <c r="AX499" i="10"/>
  <c r="AW499" i="10"/>
  <c r="AV499" i="10"/>
  <c r="AU499" i="10"/>
  <c r="BG498" i="10"/>
  <c r="BF498" i="10"/>
  <c r="BE498" i="10"/>
  <c r="BC498" i="10"/>
  <c r="BB498" i="10"/>
  <c r="BA498" i="10"/>
  <c r="AZ498" i="10"/>
  <c r="AY498" i="10"/>
  <c r="BD498" i="10"/>
  <c r="AX498" i="10"/>
  <c r="AW498" i="10"/>
  <c r="AV498" i="10"/>
  <c r="AU498" i="10"/>
  <c r="BG497" i="10"/>
  <c r="BF497" i="10"/>
  <c r="BE497" i="10"/>
  <c r="BC497" i="10"/>
  <c r="BB497" i="10"/>
  <c r="BA497" i="10"/>
  <c r="AZ497" i="10"/>
  <c r="AY497" i="10"/>
  <c r="BD497" i="10"/>
  <c r="AX497" i="10"/>
  <c r="AW497" i="10"/>
  <c r="AV497" i="10"/>
  <c r="AU497" i="10"/>
  <c r="BG496" i="10"/>
  <c r="BF496" i="10"/>
  <c r="BE496" i="10"/>
  <c r="BC496" i="10"/>
  <c r="BB496" i="10"/>
  <c r="BA496" i="10"/>
  <c r="AZ496" i="10"/>
  <c r="AY496" i="10"/>
  <c r="BD496" i="10"/>
  <c r="AX496" i="10"/>
  <c r="AW496" i="10"/>
  <c r="AV496" i="10"/>
  <c r="AU496" i="10"/>
  <c r="BG495" i="10"/>
  <c r="BF495" i="10"/>
  <c r="BE495" i="10"/>
  <c r="BC495" i="10"/>
  <c r="BB495" i="10"/>
  <c r="BA495" i="10"/>
  <c r="AZ495" i="10"/>
  <c r="AY495" i="10"/>
  <c r="BD495" i="10"/>
  <c r="AX495" i="10"/>
  <c r="AW495" i="10"/>
  <c r="AV495" i="10"/>
  <c r="AU495" i="10"/>
  <c r="BG494" i="10"/>
  <c r="BF494" i="10"/>
  <c r="BE494" i="10"/>
  <c r="BC494" i="10"/>
  <c r="BB494" i="10"/>
  <c r="BA494" i="10"/>
  <c r="AZ494" i="10"/>
  <c r="AY494" i="10"/>
  <c r="BD494" i="10"/>
  <c r="AX494" i="10"/>
  <c r="AW494" i="10"/>
  <c r="AV494" i="10"/>
  <c r="AU494" i="10"/>
  <c r="BG493" i="10"/>
  <c r="BF493" i="10"/>
  <c r="BE493" i="10"/>
  <c r="BC493" i="10"/>
  <c r="BB493" i="10"/>
  <c r="BA493" i="10"/>
  <c r="AZ493" i="10"/>
  <c r="AY493" i="10"/>
  <c r="BD493" i="10"/>
  <c r="AX493" i="10"/>
  <c r="AW493" i="10"/>
  <c r="AV493" i="10"/>
  <c r="AU493" i="10"/>
  <c r="BG492" i="10"/>
  <c r="BF492" i="10"/>
  <c r="BE492" i="10"/>
  <c r="BC492" i="10"/>
  <c r="BB492" i="10"/>
  <c r="BA492" i="10"/>
  <c r="AZ492" i="10"/>
  <c r="AY492" i="10"/>
  <c r="BD492" i="10"/>
  <c r="AX492" i="10"/>
  <c r="AW492" i="10"/>
  <c r="AV492" i="10"/>
  <c r="AU492" i="10"/>
  <c r="AW483" i="10"/>
  <c r="BC483" i="10"/>
  <c r="BE483" i="10"/>
  <c r="BF483" i="10"/>
  <c r="AV483" i="10"/>
  <c r="AX483" i="10"/>
  <c r="AU483" i="10"/>
  <c r="BG483" i="10"/>
  <c r="AY483" i="10"/>
  <c r="BD483" i="10"/>
  <c r="AZ483" i="10"/>
  <c r="BA483" i="10"/>
  <c r="BB483" i="10"/>
  <c r="BG491" i="10"/>
  <c r="BF491" i="10"/>
  <c r="BE491" i="10"/>
  <c r="BC491" i="10"/>
  <c r="BB491" i="10"/>
  <c r="BA491" i="10"/>
  <c r="AZ491" i="10"/>
  <c r="AY491" i="10"/>
  <c r="BD491" i="10"/>
  <c r="AX491" i="10"/>
  <c r="AW491" i="10"/>
  <c r="AV491" i="10"/>
  <c r="AU491" i="10"/>
  <c r="BG490" i="10"/>
  <c r="BF490" i="10"/>
  <c r="BE490" i="10"/>
  <c r="BC490" i="10"/>
  <c r="BB490" i="10"/>
  <c r="BA490" i="10"/>
  <c r="AZ490" i="10"/>
  <c r="AY490" i="10"/>
  <c r="BD490" i="10"/>
  <c r="AX490" i="10"/>
  <c r="AW490" i="10"/>
  <c r="AV490" i="10"/>
  <c r="AU490" i="10"/>
  <c r="BG489" i="10"/>
  <c r="BF489" i="10"/>
  <c r="BE489" i="10"/>
  <c r="BC489" i="10"/>
  <c r="BB489" i="10"/>
  <c r="BA489" i="10"/>
  <c r="AZ489" i="10"/>
  <c r="AY489" i="10"/>
  <c r="BD489" i="10"/>
  <c r="AX489" i="10"/>
  <c r="AW489" i="10"/>
  <c r="AV489" i="10"/>
  <c r="AU489" i="10"/>
  <c r="BG488" i="10"/>
  <c r="BF488" i="10"/>
  <c r="BE488" i="10"/>
  <c r="BC488" i="10"/>
  <c r="BB488" i="10"/>
  <c r="BA488" i="10"/>
  <c r="AZ488" i="10"/>
  <c r="AY488" i="10"/>
  <c r="BD488" i="10"/>
  <c r="AX488" i="10"/>
  <c r="AW488" i="10"/>
  <c r="AV488" i="10"/>
  <c r="AU488" i="10"/>
  <c r="BG487" i="10"/>
  <c r="BF487" i="10"/>
  <c r="BE487" i="10"/>
  <c r="BC487" i="10"/>
  <c r="BB487" i="10"/>
  <c r="BA487" i="10"/>
  <c r="AZ487" i="10"/>
  <c r="AY487" i="10"/>
  <c r="BD487" i="10"/>
  <c r="AX487" i="10"/>
  <c r="AW487" i="10"/>
  <c r="AV487" i="10"/>
  <c r="AU487" i="10"/>
  <c r="BG486" i="10"/>
  <c r="BF486" i="10"/>
  <c r="BE486" i="10"/>
  <c r="BC486" i="10"/>
  <c r="BB486" i="10"/>
  <c r="BA486" i="10"/>
  <c r="AZ486" i="10"/>
  <c r="AY486" i="10"/>
  <c r="BD486" i="10"/>
  <c r="AX486" i="10"/>
  <c r="AW486" i="10"/>
  <c r="AV486" i="10"/>
  <c r="AU486" i="10"/>
  <c r="BG485" i="10"/>
  <c r="BF485" i="10"/>
  <c r="BE485" i="10"/>
  <c r="BC485" i="10"/>
  <c r="BB485" i="10"/>
  <c r="BA485" i="10"/>
  <c r="AZ485" i="10"/>
  <c r="AY485" i="10"/>
  <c r="BD485" i="10"/>
  <c r="AX485" i="10"/>
  <c r="AW485" i="10"/>
  <c r="AV485" i="10"/>
  <c r="AU485" i="10"/>
  <c r="BG484" i="10"/>
  <c r="BF484" i="10"/>
  <c r="BE484" i="10"/>
  <c r="BC484" i="10"/>
  <c r="BB484" i="10"/>
  <c r="BA484" i="10"/>
  <c r="AZ484" i="10"/>
  <c r="AY484" i="10"/>
  <c r="BD484" i="10"/>
  <c r="AX484" i="10"/>
  <c r="AW484" i="10"/>
  <c r="AV484" i="10"/>
  <c r="AU484" i="10"/>
  <c r="BG482" i="10"/>
  <c r="BF482" i="10"/>
  <c r="BE482" i="10"/>
  <c r="BC482" i="10"/>
  <c r="BB482" i="10"/>
  <c r="BA482" i="10"/>
  <c r="AZ482" i="10"/>
  <c r="AY482" i="10"/>
  <c r="BD482" i="10"/>
  <c r="AX482" i="10"/>
  <c r="AW482" i="10"/>
  <c r="AV482" i="10"/>
  <c r="AU482" i="10"/>
  <c r="AW479" i="10"/>
  <c r="BC479" i="10"/>
  <c r="BE479" i="10"/>
  <c r="BF479" i="10"/>
  <c r="AV479" i="10"/>
  <c r="AX479" i="10"/>
  <c r="AU479" i="10"/>
  <c r="BG479" i="10"/>
  <c r="AY479" i="10"/>
  <c r="BD479" i="10"/>
  <c r="AZ479" i="10"/>
  <c r="BA479" i="10"/>
  <c r="AW473" i="10"/>
  <c r="AX473" i="10"/>
  <c r="AW472" i="10"/>
  <c r="AX472" i="10"/>
  <c r="BB479" i="10"/>
  <c r="BG481" i="10"/>
  <c r="BF481" i="10"/>
  <c r="BE481" i="10"/>
  <c r="BC481" i="10"/>
  <c r="BB481" i="10"/>
  <c r="BA481" i="10"/>
  <c r="AZ481" i="10"/>
  <c r="AY481" i="10"/>
  <c r="BD481" i="10"/>
  <c r="AX481" i="10"/>
  <c r="AW481" i="10"/>
  <c r="AV481" i="10"/>
  <c r="AU481" i="10"/>
  <c r="BG480" i="10"/>
  <c r="BF480" i="10"/>
  <c r="BE480" i="10"/>
  <c r="BC480" i="10"/>
  <c r="BB480" i="10"/>
  <c r="BA480" i="10"/>
  <c r="AZ480" i="10"/>
  <c r="AY480" i="10"/>
  <c r="BD480" i="10"/>
  <c r="AX480" i="10"/>
  <c r="AW480" i="10"/>
  <c r="AV480" i="10"/>
  <c r="AU480" i="10"/>
  <c r="BG478" i="10"/>
  <c r="BF478" i="10"/>
  <c r="BE478" i="10"/>
  <c r="BC478" i="10"/>
  <c r="BB478" i="10"/>
  <c r="BA478" i="10"/>
  <c r="AZ478" i="10"/>
  <c r="AY478" i="10"/>
  <c r="BD478" i="10"/>
  <c r="AX478" i="10"/>
  <c r="AW478" i="10"/>
  <c r="AV478" i="10"/>
  <c r="AU478" i="10"/>
  <c r="BG477" i="10"/>
  <c r="BF477" i="10"/>
  <c r="BE477" i="10"/>
  <c r="BC477" i="10"/>
  <c r="BB477" i="10"/>
  <c r="BA477" i="10"/>
  <c r="AZ477" i="10"/>
  <c r="AY477" i="10"/>
  <c r="BD477" i="10"/>
  <c r="AX477" i="10"/>
  <c r="AW477" i="10"/>
  <c r="AV477" i="10"/>
  <c r="AU477" i="10"/>
  <c r="BG476" i="10"/>
  <c r="BF476" i="10"/>
  <c r="BE476" i="10"/>
  <c r="BC476" i="10"/>
  <c r="BB476" i="10"/>
  <c r="BA476" i="10"/>
  <c r="AZ476" i="10"/>
  <c r="AY476" i="10"/>
  <c r="BD476" i="10"/>
  <c r="AX476" i="10"/>
  <c r="AW476" i="10"/>
  <c r="AV476" i="10"/>
  <c r="AU476" i="10"/>
  <c r="BG475" i="10"/>
  <c r="BF475" i="10"/>
  <c r="BE475" i="10"/>
  <c r="BC475" i="10"/>
  <c r="BB475" i="10"/>
  <c r="BA475" i="10"/>
  <c r="AZ475" i="10"/>
  <c r="AY475" i="10"/>
  <c r="BD475" i="10"/>
  <c r="AX475" i="10"/>
  <c r="AW475" i="10"/>
  <c r="AV475" i="10"/>
  <c r="AU475" i="10"/>
  <c r="BG474" i="10"/>
  <c r="BF474" i="10"/>
  <c r="BE474" i="10"/>
  <c r="BC474" i="10"/>
  <c r="BB474" i="10"/>
  <c r="BA474" i="10"/>
  <c r="AZ474" i="10"/>
  <c r="AY474" i="10"/>
  <c r="BD474" i="10"/>
  <c r="AX474" i="10"/>
  <c r="AW474" i="10"/>
  <c r="AV474" i="10"/>
  <c r="AU474" i="10"/>
  <c r="BG473" i="10"/>
  <c r="BF473" i="10"/>
  <c r="BE473" i="10"/>
  <c r="BC473" i="10"/>
  <c r="BB473" i="10"/>
  <c r="BA473" i="10"/>
  <c r="AZ473" i="10"/>
  <c r="AY473" i="10"/>
  <c r="BD473" i="10"/>
  <c r="AV473" i="10"/>
  <c r="AU473" i="10"/>
  <c r="BG472" i="10"/>
  <c r="BF472" i="10"/>
  <c r="BE472" i="10"/>
  <c r="BC472" i="10"/>
  <c r="BB472" i="10"/>
  <c r="BA472" i="10"/>
  <c r="AZ472" i="10"/>
  <c r="AY472" i="10"/>
  <c r="BD472" i="10"/>
  <c r="AV472" i="10"/>
  <c r="AU472" i="10"/>
  <c r="AV466" i="10"/>
  <c r="AU462" i="10"/>
  <c r="AV462" i="10"/>
  <c r="AU463" i="10"/>
  <c r="AV463" i="10"/>
  <c r="AU464" i="10"/>
  <c r="AV464" i="10"/>
  <c r="AU465" i="10"/>
  <c r="AV465" i="10"/>
  <c r="AW465" i="10"/>
  <c r="AX465" i="10"/>
  <c r="AU466" i="10"/>
  <c r="AW466" i="10"/>
  <c r="AX466" i="10"/>
  <c r="AU467" i="10"/>
  <c r="AV467" i="10"/>
  <c r="AW467" i="10"/>
  <c r="AX467" i="10"/>
  <c r="AU468" i="10"/>
  <c r="AV468" i="10"/>
  <c r="AW468" i="10"/>
  <c r="AX468" i="10"/>
  <c r="AU469" i="10"/>
  <c r="AV469" i="10"/>
  <c r="AW469" i="10"/>
  <c r="AX469" i="10"/>
  <c r="AU470" i="10"/>
  <c r="AV470" i="10"/>
  <c r="AW470" i="10"/>
  <c r="AX470" i="10"/>
  <c r="AU471" i="10"/>
  <c r="AV471" i="10"/>
  <c r="AW471" i="10"/>
  <c r="AX471" i="10"/>
  <c r="AY462" i="10"/>
  <c r="BD462" i="10"/>
  <c r="AZ462" i="10"/>
  <c r="BA462" i="10"/>
  <c r="BB462" i="10"/>
  <c r="BC462" i="10"/>
  <c r="BE462" i="10"/>
  <c r="BF462" i="10"/>
  <c r="BG462" i="10"/>
  <c r="AY463" i="10"/>
  <c r="BD463" i="10"/>
  <c r="AZ463" i="10"/>
  <c r="BA463" i="10"/>
  <c r="BB463" i="10"/>
  <c r="BC463" i="10"/>
  <c r="BE463" i="10"/>
  <c r="BF463" i="10"/>
  <c r="BG463" i="10"/>
  <c r="AY464" i="10"/>
  <c r="BD464" i="10"/>
  <c r="AZ464" i="10"/>
  <c r="BA464" i="10"/>
  <c r="BB464" i="10"/>
  <c r="BC464" i="10"/>
  <c r="BE464" i="10"/>
  <c r="BF464" i="10"/>
  <c r="BG464" i="10"/>
  <c r="AY465" i="10"/>
  <c r="BD465" i="10"/>
  <c r="AZ465" i="10"/>
  <c r="BA465" i="10"/>
  <c r="BB465" i="10"/>
  <c r="BC465" i="10"/>
  <c r="BE465" i="10"/>
  <c r="BF465" i="10"/>
  <c r="BG465" i="10"/>
  <c r="AY466" i="10"/>
  <c r="BD466" i="10"/>
  <c r="AZ466" i="10"/>
  <c r="BA466" i="10"/>
  <c r="BB466" i="10"/>
  <c r="BC466" i="10"/>
  <c r="BE466" i="10"/>
  <c r="BF466" i="10"/>
  <c r="BG466" i="10"/>
  <c r="AY467" i="10"/>
  <c r="BD467" i="10"/>
  <c r="AZ467" i="10"/>
  <c r="BA467" i="10"/>
  <c r="BB467" i="10"/>
  <c r="BC467" i="10"/>
  <c r="BE467" i="10"/>
  <c r="BF467" i="10"/>
  <c r="BG467" i="10"/>
  <c r="AY468" i="10"/>
  <c r="BD468" i="10"/>
  <c r="AZ468" i="10"/>
  <c r="BA468" i="10"/>
  <c r="BB468" i="10"/>
  <c r="BC468" i="10"/>
  <c r="BE468" i="10"/>
  <c r="BF468" i="10"/>
  <c r="BG468" i="10"/>
  <c r="AY469" i="10"/>
  <c r="BD469" i="10"/>
  <c r="AZ469" i="10"/>
  <c r="BA469" i="10"/>
  <c r="BB469" i="10"/>
  <c r="BC469" i="10"/>
  <c r="BE469" i="10"/>
  <c r="BF469" i="10"/>
  <c r="BG469" i="10"/>
  <c r="AY470" i="10"/>
  <c r="BD470" i="10"/>
  <c r="AZ470" i="10"/>
  <c r="BA470" i="10"/>
  <c r="BB470" i="10"/>
  <c r="BC470" i="10"/>
  <c r="BE470" i="10"/>
  <c r="BF470" i="10"/>
  <c r="BG470" i="10"/>
  <c r="AY471" i="10"/>
  <c r="BD471" i="10"/>
  <c r="AZ471" i="10"/>
  <c r="BA471" i="10"/>
  <c r="BB471" i="10"/>
  <c r="BC471" i="10"/>
  <c r="BE471" i="10"/>
  <c r="BF471" i="10"/>
  <c r="BG471" i="10"/>
  <c r="AU458" i="10"/>
  <c r="AV458" i="10"/>
  <c r="AW458" i="10"/>
  <c r="AX458" i="10"/>
  <c r="AY458" i="10"/>
  <c r="BD458" i="10"/>
  <c r="AZ458" i="10"/>
  <c r="BA458" i="10"/>
  <c r="BB458" i="10"/>
  <c r="BC458" i="10"/>
  <c r="BE458" i="10"/>
  <c r="BF458" i="10"/>
  <c r="BG458" i="10"/>
  <c r="AU459" i="10"/>
  <c r="AV459" i="10"/>
  <c r="AW459" i="10"/>
  <c r="AX459" i="10"/>
  <c r="AY459" i="10"/>
  <c r="BD459" i="10"/>
  <c r="AZ459" i="10"/>
  <c r="BA459" i="10"/>
  <c r="BB459" i="10"/>
  <c r="BC459" i="10"/>
  <c r="BE459" i="10"/>
  <c r="BF459" i="10"/>
  <c r="BG459" i="10"/>
  <c r="AU460" i="10"/>
  <c r="AV460" i="10"/>
  <c r="AW460" i="10"/>
  <c r="AX460" i="10"/>
  <c r="AY460" i="10"/>
  <c r="BD460" i="10"/>
  <c r="AZ460" i="10"/>
  <c r="BA460" i="10"/>
  <c r="BB460" i="10"/>
  <c r="BC460" i="10"/>
  <c r="BE460" i="10"/>
  <c r="BF460" i="10"/>
  <c r="BG460" i="10"/>
  <c r="AU461" i="10"/>
  <c r="AV461" i="10"/>
  <c r="AW461" i="10"/>
  <c r="AX461" i="10"/>
  <c r="AY461" i="10"/>
  <c r="BD461" i="10"/>
  <c r="AZ461" i="10"/>
  <c r="BA461" i="10"/>
  <c r="BB461" i="10"/>
  <c r="BC461" i="10"/>
  <c r="BE461" i="10"/>
  <c r="BF461" i="10"/>
  <c r="BG461" i="10"/>
  <c r="AV2" i="10"/>
  <c r="AV3" i="10"/>
  <c r="AV4" i="10"/>
  <c r="AV5" i="10"/>
  <c r="AV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V29" i="10"/>
  <c r="AV30" i="10"/>
  <c r="AV31" i="10"/>
  <c r="AV32" i="10"/>
  <c r="AV33" i="10"/>
  <c r="AV34" i="10"/>
  <c r="AV35" i="10"/>
  <c r="AV36" i="10"/>
  <c r="AV37" i="10"/>
  <c r="AV38" i="10"/>
  <c r="AV39" i="10"/>
  <c r="AV40" i="10"/>
  <c r="AV41" i="10"/>
  <c r="AV42" i="10"/>
  <c r="AV43" i="10"/>
  <c r="AV44" i="10"/>
  <c r="AV45" i="10"/>
  <c r="AV46" i="10"/>
  <c r="AV47" i="10"/>
  <c r="AV48" i="10"/>
  <c r="AV49" i="10"/>
  <c r="AV50" i="10"/>
  <c r="AV51" i="10"/>
  <c r="AV52" i="10"/>
  <c r="AV53" i="10"/>
  <c r="AV54" i="10"/>
  <c r="AV55" i="10"/>
  <c r="AV56" i="10"/>
  <c r="AV57" i="10"/>
  <c r="AV58" i="10"/>
  <c r="AV59" i="10"/>
  <c r="AV60" i="10"/>
  <c r="AV61" i="10"/>
  <c r="AV62" i="10"/>
  <c r="AV63" i="10"/>
  <c r="AV64" i="10"/>
  <c r="AV65" i="10"/>
  <c r="AV66" i="10"/>
  <c r="AV67" i="10"/>
  <c r="AV68" i="10"/>
  <c r="AV69" i="10"/>
  <c r="AV70" i="10"/>
  <c r="AV71" i="10"/>
  <c r="AV72" i="10"/>
  <c r="AV73" i="10"/>
  <c r="AV74" i="10"/>
  <c r="AV75" i="10"/>
  <c r="AV76" i="10"/>
  <c r="AV77" i="10"/>
  <c r="AV78" i="10"/>
  <c r="AV79" i="10"/>
  <c r="AV80" i="10"/>
  <c r="AV81" i="10"/>
  <c r="AV82" i="10"/>
  <c r="AV83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109" i="10"/>
  <c r="AV110" i="10"/>
  <c r="AV111" i="10"/>
  <c r="AV112" i="10"/>
  <c r="AV113" i="10"/>
  <c r="AV114" i="10"/>
  <c r="AV115" i="10"/>
  <c r="AV116" i="10"/>
  <c r="AV117" i="10"/>
  <c r="AV118" i="10"/>
  <c r="AV119" i="10"/>
  <c r="AV120" i="10"/>
  <c r="AV121" i="10"/>
  <c r="AV122" i="10"/>
  <c r="AV123" i="10"/>
  <c r="AV124" i="10"/>
  <c r="AV125" i="10"/>
  <c r="AV126" i="10"/>
  <c r="AV127" i="10"/>
  <c r="AV128" i="10"/>
  <c r="AV129" i="10"/>
  <c r="AV130" i="10"/>
  <c r="AV131" i="10"/>
  <c r="AV132" i="10"/>
  <c r="AV133" i="10"/>
  <c r="AV134" i="10"/>
  <c r="AV135" i="10"/>
  <c r="AV136" i="10"/>
  <c r="AV137" i="10"/>
  <c r="AV138" i="10"/>
  <c r="AV139" i="10"/>
  <c r="AV140" i="10"/>
  <c r="AV141" i="10"/>
  <c r="AV142" i="10"/>
  <c r="AV143" i="10"/>
  <c r="AV144" i="10"/>
  <c r="AV145" i="10"/>
  <c r="AV146" i="10"/>
  <c r="AV147" i="10"/>
  <c r="AV148" i="10"/>
  <c r="AV149" i="10"/>
  <c r="AV150" i="10"/>
  <c r="AV151" i="10"/>
  <c r="AV152" i="10"/>
  <c r="AV153" i="10"/>
  <c r="AV154" i="10"/>
  <c r="AV155" i="10"/>
  <c r="AV156" i="10"/>
  <c r="AV157" i="10"/>
  <c r="AV158" i="10"/>
  <c r="AV159" i="10"/>
  <c r="AV160" i="10"/>
  <c r="AV161" i="10"/>
  <c r="AV162" i="10"/>
  <c r="AV163" i="10"/>
  <c r="AV164" i="10"/>
  <c r="AV165" i="10"/>
  <c r="AV166" i="10"/>
  <c r="AV167" i="10"/>
  <c r="AV168" i="10"/>
  <c r="AV169" i="10"/>
  <c r="AV170" i="10"/>
  <c r="AV171" i="10"/>
  <c r="AV172" i="10"/>
  <c r="AV173" i="10"/>
  <c r="AV174" i="10"/>
  <c r="AV175" i="10"/>
  <c r="AV176" i="10"/>
  <c r="AV177" i="10"/>
  <c r="AV178" i="10"/>
  <c r="AV179" i="10"/>
  <c r="AV180" i="10"/>
  <c r="AV181" i="10"/>
  <c r="AV182" i="10"/>
  <c r="AV183" i="10"/>
  <c r="AV184" i="10"/>
  <c r="AV185" i="10"/>
  <c r="AV186" i="10"/>
  <c r="AV187" i="10"/>
  <c r="AV188" i="10"/>
  <c r="AV189" i="10"/>
  <c r="AV190" i="10"/>
  <c r="AV191" i="10"/>
  <c r="AV192" i="10"/>
  <c r="AV193" i="10"/>
  <c r="AV194" i="10"/>
  <c r="AV195" i="10"/>
  <c r="AV196" i="10"/>
  <c r="AV197" i="10"/>
  <c r="AV198" i="10"/>
  <c r="AV199" i="10"/>
  <c r="AV200" i="10"/>
  <c r="AV201" i="10"/>
  <c r="AV202" i="10"/>
  <c r="AV203" i="10"/>
  <c r="AV204" i="10"/>
  <c r="AV205" i="10"/>
  <c r="AV206" i="10"/>
  <c r="AV207" i="10"/>
  <c r="AV208" i="10"/>
  <c r="AV209" i="10"/>
  <c r="AV210" i="10"/>
  <c r="AV211" i="10"/>
  <c r="AV212" i="10"/>
  <c r="AV213" i="10"/>
  <c r="AV214" i="10"/>
  <c r="AV215" i="10"/>
  <c r="AV216" i="10"/>
  <c r="AV217" i="10"/>
  <c r="AV218" i="10"/>
  <c r="AV219" i="10"/>
  <c r="AV220" i="10"/>
  <c r="AV221" i="10"/>
  <c r="AV222" i="10"/>
  <c r="AV223" i="10"/>
  <c r="AV224" i="10"/>
  <c r="AV225" i="10"/>
  <c r="AV226" i="10"/>
  <c r="AV227" i="10"/>
  <c r="AV228" i="10"/>
  <c r="AV229" i="10"/>
  <c r="AV230" i="10"/>
  <c r="AV231" i="10"/>
  <c r="AV232" i="10"/>
  <c r="AV233" i="10"/>
  <c r="AV234" i="10"/>
  <c r="AV235" i="10"/>
  <c r="AV236" i="10"/>
  <c r="AV237" i="10"/>
  <c r="AV238" i="10"/>
  <c r="AV239" i="10"/>
  <c r="AV240" i="10"/>
  <c r="AV241" i="10"/>
  <c r="AV242" i="10"/>
  <c r="AV243" i="10"/>
  <c r="AV244" i="10"/>
  <c r="AV245" i="10"/>
  <c r="AV246" i="10"/>
  <c r="AV247" i="10"/>
  <c r="AV248" i="10"/>
  <c r="AV249" i="10"/>
  <c r="AV250" i="10"/>
  <c r="AV251" i="10"/>
  <c r="AV252" i="10"/>
  <c r="AV253" i="10"/>
  <c r="AV254" i="10"/>
  <c r="AV255" i="10"/>
  <c r="AV256" i="10"/>
  <c r="AV257" i="10"/>
  <c r="AV258" i="10"/>
  <c r="AV259" i="10"/>
  <c r="AV260" i="10"/>
  <c r="AV261" i="10"/>
  <c r="AV262" i="10"/>
  <c r="AV263" i="10"/>
  <c r="AV264" i="10"/>
  <c r="AV265" i="10"/>
  <c r="AV266" i="10"/>
  <c r="AV267" i="10"/>
  <c r="AV268" i="10"/>
  <c r="AV269" i="10"/>
  <c r="AV270" i="10"/>
  <c r="AV271" i="10"/>
  <c r="AV272" i="10"/>
  <c r="AV273" i="10"/>
  <c r="AV274" i="10"/>
  <c r="AV275" i="10"/>
  <c r="AV276" i="10"/>
  <c r="AV277" i="10"/>
  <c r="AV278" i="10"/>
  <c r="AV279" i="10"/>
  <c r="AV280" i="10"/>
  <c r="AV281" i="10"/>
  <c r="AV282" i="10"/>
  <c r="AV283" i="10"/>
  <c r="AV284" i="10"/>
  <c r="AV285" i="10"/>
  <c r="AV286" i="10"/>
  <c r="AV287" i="10"/>
  <c r="AV288" i="10"/>
  <c r="AV289" i="10"/>
  <c r="AV290" i="10"/>
  <c r="AV291" i="10"/>
  <c r="AV292" i="10"/>
  <c r="AV293" i="10"/>
  <c r="AV294" i="10"/>
  <c r="AV295" i="10"/>
  <c r="AV296" i="10"/>
  <c r="AV297" i="10"/>
  <c r="AV298" i="10"/>
  <c r="AV299" i="10"/>
  <c r="AV300" i="10"/>
  <c r="AV301" i="10"/>
  <c r="AV302" i="10"/>
  <c r="AV303" i="10"/>
  <c r="AV304" i="10"/>
  <c r="AV305" i="10"/>
  <c r="AV306" i="10"/>
  <c r="AV307" i="10"/>
  <c r="AV308" i="10"/>
  <c r="AV309" i="10"/>
  <c r="AV310" i="10"/>
  <c r="AV311" i="10"/>
  <c r="AV312" i="10"/>
  <c r="AV313" i="10"/>
  <c r="AV314" i="10"/>
  <c r="AV315" i="10"/>
  <c r="AV316" i="10"/>
  <c r="AV317" i="10"/>
  <c r="AV318" i="10"/>
  <c r="AV319" i="10"/>
  <c r="AV320" i="10"/>
  <c r="AV321" i="10"/>
  <c r="AV322" i="10"/>
  <c r="AV323" i="10"/>
  <c r="AV324" i="10"/>
  <c r="AV325" i="10"/>
  <c r="AV326" i="10"/>
  <c r="AV327" i="10"/>
  <c r="AV328" i="10"/>
  <c r="AV329" i="10"/>
  <c r="AV330" i="10"/>
  <c r="AV331" i="10"/>
  <c r="AV332" i="10"/>
  <c r="AV333" i="10"/>
  <c r="AV334" i="10"/>
  <c r="AV335" i="10"/>
  <c r="AV336" i="10"/>
  <c r="AV337" i="10"/>
  <c r="AV338" i="10"/>
  <c r="AV339" i="10"/>
  <c r="AV340" i="10"/>
  <c r="AV341" i="10"/>
  <c r="AV342" i="10"/>
  <c r="AV343" i="10"/>
  <c r="AV344" i="10"/>
  <c r="AV345" i="10"/>
  <c r="AV346" i="10"/>
  <c r="AV347" i="10"/>
  <c r="AV348" i="10"/>
  <c r="AV349" i="10"/>
  <c r="AV350" i="10"/>
  <c r="AV351" i="10"/>
  <c r="AV352" i="10"/>
  <c r="AV353" i="10"/>
  <c r="AV354" i="10"/>
  <c r="AV355" i="10"/>
  <c r="AV356" i="10"/>
  <c r="AV357" i="10"/>
  <c r="AV358" i="10"/>
  <c r="AV359" i="10"/>
  <c r="AV360" i="10"/>
  <c r="AV361" i="10"/>
  <c r="AV362" i="10"/>
  <c r="AV363" i="10"/>
  <c r="AV364" i="10"/>
  <c r="AV365" i="10"/>
  <c r="AV366" i="10"/>
  <c r="AV367" i="10"/>
  <c r="AV368" i="10"/>
  <c r="AV369" i="10"/>
  <c r="AV370" i="10"/>
  <c r="AV371" i="10"/>
  <c r="AV372" i="10"/>
  <c r="AV373" i="10"/>
  <c r="AV374" i="10"/>
  <c r="AV375" i="10"/>
  <c r="AV376" i="10"/>
  <c r="AV377" i="10"/>
  <c r="AV378" i="10"/>
  <c r="AV379" i="10"/>
  <c r="AV380" i="10"/>
  <c r="AV381" i="10"/>
  <c r="AV382" i="10"/>
  <c r="AV383" i="10"/>
  <c r="AV384" i="10"/>
  <c r="AV385" i="10"/>
  <c r="AV386" i="10"/>
  <c r="AV387" i="10"/>
  <c r="AV388" i="10"/>
  <c r="AV389" i="10"/>
  <c r="AV390" i="10"/>
  <c r="AV391" i="10"/>
  <c r="AV392" i="10"/>
  <c r="AV393" i="10"/>
  <c r="AV394" i="10"/>
  <c r="AV395" i="10"/>
  <c r="AV396" i="10"/>
  <c r="AV397" i="10"/>
  <c r="AV398" i="10"/>
  <c r="AV399" i="10"/>
  <c r="AV400" i="10"/>
  <c r="AV401" i="10"/>
  <c r="AV402" i="10"/>
  <c r="AV403" i="10"/>
  <c r="AV404" i="10"/>
  <c r="AV405" i="10"/>
  <c r="AV406" i="10"/>
  <c r="AV407" i="10"/>
  <c r="AV408" i="10"/>
  <c r="AV409" i="10"/>
  <c r="AV410" i="10"/>
  <c r="AV411" i="10"/>
  <c r="AV412" i="10"/>
  <c r="AV413" i="10"/>
  <c r="AV414" i="10"/>
  <c r="AV415" i="10"/>
  <c r="AV416" i="10"/>
  <c r="AV417" i="10"/>
  <c r="AV418" i="10"/>
  <c r="AV419" i="10"/>
  <c r="AV420" i="10"/>
  <c r="AV421" i="10"/>
  <c r="AV422" i="10"/>
  <c r="AV423" i="10"/>
  <c r="AV424" i="10"/>
  <c r="AV425" i="10"/>
  <c r="AV426" i="10"/>
  <c r="AV427" i="10"/>
  <c r="AV428" i="10"/>
  <c r="AV429" i="10"/>
  <c r="AV430" i="10"/>
  <c r="AV431" i="10"/>
  <c r="AV432" i="10"/>
  <c r="AV433" i="10"/>
  <c r="AV434" i="10"/>
  <c r="AV435" i="10"/>
  <c r="AV436" i="10"/>
  <c r="AV437" i="10"/>
  <c r="AV438" i="10"/>
  <c r="AV439" i="10"/>
  <c r="AV440" i="10"/>
  <c r="AV441" i="10"/>
  <c r="AV442" i="10"/>
  <c r="AV443" i="10"/>
  <c r="AV444" i="10"/>
  <c r="AV445" i="10"/>
  <c r="AV446" i="10"/>
  <c r="AV447" i="10"/>
  <c r="AV448" i="10"/>
  <c r="AV449" i="10"/>
  <c r="AV450" i="10"/>
  <c r="AV451" i="10"/>
  <c r="AV452" i="10"/>
  <c r="AV453" i="10"/>
  <c r="AV454" i="10"/>
  <c r="AV455" i="10"/>
  <c r="AV456" i="10"/>
  <c r="AV457" i="10"/>
  <c r="AU457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U71" i="10"/>
  <c r="AU72" i="10"/>
  <c r="AU73" i="10"/>
  <c r="AU74" i="10"/>
  <c r="AU75" i="10"/>
  <c r="AU76" i="10"/>
  <c r="AU77" i="10"/>
  <c r="AU78" i="10"/>
  <c r="AU79" i="10"/>
  <c r="AU80" i="10"/>
  <c r="AU81" i="10"/>
  <c r="AU82" i="10"/>
  <c r="AU83" i="10"/>
  <c r="AU84" i="10"/>
  <c r="AU85" i="10"/>
  <c r="AU86" i="10"/>
  <c r="AU87" i="10"/>
  <c r="AU88" i="10"/>
  <c r="AU89" i="10"/>
  <c r="AU90" i="10"/>
  <c r="AU91" i="10"/>
  <c r="AU92" i="10"/>
  <c r="AU93" i="10"/>
  <c r="AU94" i="10"/>
  <c r="AU95" i="10"/>
  <c r="AU96" i="10"/>
  <c r="AU97" i="10"/>
  <c r="AU98" i="10"/>
  <c r="AU99" i="10"/>
  <c r="AU100" i="10"/>
  <c r="AU101" i="10"/>
  <c r="AU102" i="10"/>
  <c r="AU103" i="10"/>
  <c r="AU104" i="10"/>
  <c r="AU105" i="10"/>
  <c r="AU106" i="10"/>
  <c r="AU107" i="10"/>
  <c r="AU108" i="10"/>
  <c r="AU109" i="10"/>
  <c r="AU110" i="10"/>
  <c r="AU111" i="10"/>
  <c r="AU112" i="10"/>
  <c r="AU113" i="10"/>
  <c r="AU114" i="10"/>
  <c r="AU115" i="10"/>
  <c r="AU116" i="10"/>
  <c r="AU117" i="10"/>
  <c r="AU118" i="10"/>
  <c r="AU119" i="10"/>
  <c r="AU120" i="10"/>
  <c r="AU121" i="10"/>
  <c r="AU122" i="10"/>
  <c r="AU123" i="10"/>
  <c r="AU124" i="10"/>
  <c r="AU125" i="10"/>
  <c r="AU126" i="10"/>
  <c r="AU127" i="10"/>
  <c r="AU128" i="10"/>
  <c r="AU129" i="10"/>
  <c r="AU130" i="10"/>
  <c r="AU131" i="10"/>
  <c r="AU132" i="10"/>
  <c r="AU133" i="10"/>
  <c r="AU134" i="10"/>
  <c r="AU135" i="10"/>
  <c r="AU136" i="10"/>
  <c r="AU137" i="10"/>
  <c r="AU138" i="10"/>
  <c r="AU139" i="10"/>
  <c r="AU140" i="10"/>
  <c r="AU141" i="10"/>
  <c r="AU142" i="10"/>
  <c r="AU143" i="10"/>
  <c r="AU144" i="10"/>
  <c r="AU145" i="10"/>
  <c r="AU146" i="10"/>
  <c r="AU147" i="10"/>
  <c r="AU148" i="10"/>
  <c r="AU149" i="10"/>
  <c r="AU150" i="10"/>
  <c r="AU151" i="10"/>
  <c r="AU152" i="10"/>
  <c r="AU153" i="10"/>
  <c r="AU154" i="10"/>
  <c r="AU155" i="10"/>
  <c r="AU156" i="10"/>
  <c r="AU157" i="10"/>
  <c r="AU158" i="10"/>
  <c r="AU159" i="10"/>
  <c r="AU160" i="10"/>
  <c r="AU161" i="10"/>
  <c r="AU162" i="10"/>
  <c r="AU163" i="10"/>
  <c r="AU164" i="10"/>
  <c r="AU165" i="10"/>
  <c r="AU166" i="10"/>
  <c r="AU167" i="10"/>
  <c r="AU168" i="10"/>
  <c r="AU169" i="10"/>
  <c r="AU170" i="10"/>
  <c r="AU171" i="10"/>
  <c r="AU172" i="10"/>
  <c r="AU173" i="10"/>
  <c r="AU174" i="10"/>
  <c r="AU175" i="10"/>
  <c r="AU176" i="10"/>
  <c r="AU177" i="10"/>
  <c r="AU178" i="10"/>
  <c r="AU179" i="10"/>
  <c r="AU180" i="10"/>
  <c r="AU181" i="10"/>
  <c r="AU182" i="10"/>
  <c r="AU183" i="10"/>
  <c r="AU184" i="10"/>
  <c r="AU185" i="10"/>
  <c r="AU186" i="10"/>
  <c r="AU41" i="10"/>
  <c r="AU42" i="10"/>
  <c r="AU43" i="10"/>
  <c r="AU44" i="10"/>
  <c r="AU45" i="10"/>
  <c r="AU46" i="10"/>
  <c r="AU34" i="10"/>
  <c r="AU35" i="10"/>
  <c r="AU36" i="10"/>
  <c r="AU37" i="10"/>
  <c r="AU38" i="10"/>
  <c r="AU39" i="10"/>
  <c r="AU40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11" i="10"/>
  <c r="AU12" i="10"/>
  <c r="AU13" i="10"/>
  <c r="AU14" i="10"/>
  <c r="AU15" i="10"/>
  <c r="AU16" i="10"/>
  <c r="AU17" i="10"/>
  <c r="AU18" i="10"/>
  <c r="AU19" i="10"/>
  <c r="AU3" i="10"/>
  <c r="AU4" i="10"/>
  <c r="AU5" i="10"/>
  <c r="AU6" i="10"/>
  <c r="AU7" i="10"/>
  <c r="AU8" i="10"/>
  <c r="AU9" i="10"/>
  <c r="AU10" i="10"/>
  <c r="AU2" i="10"/>
  <c r="AU187" i="10"/>
  <c r="AU188" i="10"/>
  <c r="AU189" i="10"/>
  <c r="AU190" i="10"/>
  <c r="AU191" i="10"/>
  <c r="AU192" i="10"/>
  <c r="AU193" i="10"/>
  <c r="AU194" i="10"/>
  <c r="AU195" i="10"/>
  <c r="AU196" i="10"/>
  <c r="AU197" i="10"/>
  <c r="AU198" i="10"/>
  <c r="AU199" i="10"/>
  <c r="AU200" i="10"/>
  <c r="AU201" i="10"/>
  <c r="AU202" i="10"/>
  <c r="AU203" i="10"/>
  <c r="AU204" i="10"/>
  <c r="AU205" i="10"/>
  <c r="AU206" i="10"/>
  <c r="AU207" i="10"/>
  <c r="AU208" i="10"/>
  <c r="AU209" i="10"/>
  <c r="AU210" i="10"/>
  <c r="AU211" i="10"/>
  <c r="AU212" i="10"/>
  <c r="AU213" i="10"/>
  <c r="AU214" i="10"/>
  <c r="AU215" i="10"/>
  <c r="AU216" i="10"/>
  <c r="AU217" i="10"/>
  <c r="AU218" i="10"/>
  <c r="AU219" i="10"/>
  <c r="AU220" i="10"/>
  <c r="AU221" i="10"/>
  <c r="AU222" i="10"/>
  <c r="AU223" i="10"/>
  <c r="AU224" i="10"/>
  <c r="AU225" i="10"/>
  <c r="AU226" i="10"/>
  <c r="AU227" i="10"/>
  <c r="AU228" i="10"/>
  <c r="AU229" i="10"/>
  <c r="AU230" i="10"/>
  <c r="AU231" i="10"/>
  <c r="AU232" i="10"/>
  <c r="AU233" i="10"/>
  <c r="AU234" i="10"/>
  <c r="AU235" i="10"/>
  <c r="AU236" i="10"/>
  <c r="AU237" i="10"/>
  <c r="AU238" i="10"/>
  <c r="AU239" i="10"/>
  <c r="AU240" i="10"/>
  <c r="AU241" i="10"/>
  <c r="AU242" i="10"/>
  <c r="AU243" i="10"/>
  <c r="AU244" i="10"/>
  <c r="AU245" i="10"/>
  <c r="AU246" i="10"/>
  <c r="AU247" i="10"/>
  <c r="AU248" i="10"/>
  <c r="AU249" i="10"/>
  <c r="AU250" i="10"/>
  <c r="AU251" i="10"/>
  <c r="AU252" i="10"/>
  <c r="AU253" i="10"/>
  <c r="AU254" i="10"/>
  <c r="AU255" i="10"/>
  <c r="AU256" i="10"/>
  <c r="AU257" i="10"/>
  <c r="AU258" i="10"/>
  <c r="AU259" i="10"/>
  <c r="AU260" i="10"/>
  <c r="AU261" i="10"/>
  <c r="AU262" i="10"/>
  <c r="AU263" i="10"/>
  <c r="AU264" i="10"/>
  <c r="AU265" i="10"/>
  <c r="AU266" i="10"/>
  <c r="AU267" i="10"/>
  <c r="AU268" i="10"/>
  <c r="AU269" i="10"/>
  <c r="AU270" i="10"/>
  <c r="AU271" i="10"/>
  <c r="AU272" i="10"/>
  <c r="AU273" i="10"/>
  <c r="AU274" i="10"/>
  <c r="AU275" i="10"/>
  <c r="AU276" i="10"/>
  <c r="AU277" i="10"/>
  <c r="AU278" i="10"/>
  <c r="AU279" i="10"/>
  <c r="AU280" i="10"/>
  <c r="AU281" i="10"/>
  <c r="AU282" i="10"/>
  <c r="AU283" i="10"/>
  <c r="AU284" i="10"/>
  <c r="AU285" i="10"/>
  <c r="AU286" i="10"/>
  <c r="AU287" i="10"/>
  <c r="AU288" i="10"/>
  <c r="AU289" i="10"/>
  <c r="AU290" i="10"/>
  <c r="AU291" i="10"/>
  <c r="AU292" i="10"/>
  <c r="AU293" i="10"/>
  <c r="AU294" i="10"/>
  <c r="AU295" i="10"/>
  <c r="AU296" i="10"/>
  <c r="AU297" i="10"/>
  <c r="AU298" i="10"/>
  <c r="AU299" i="10"/>
  <c r="AU300" i="10"/>
  <c r="AU301" i="10"/>
  <c r="AU302" i="10"/>
  <c r="AU303" i="10"/>
  <c r="AU304" i="10"/>
  <c r="AU305" i="10"/>
  <c r="AU306" i="10"/>
  <c r="AU307" i="10"/>
  <c r="AU308" i="10"/>
  <c r="AU309" i="10"/>
  <c r="AU310" i="10"/>
  <c r="AU311" i="10"/>
  <c r="AU312" i="10"/>
  <c r="AU313" i="10"/>
  <c r="AU314" i="10"/>
  <c r="AU315" i="10"/>
  <c r="AU316" i="10"/>
  <c r="AU317" i="10"/>
  <c r="AU318" i="10"/>
  <c r="AU319" i="10"/>
  <c r="AU320" i="10"/>
  <c r="AU321" i="10"/>
  <c r="AU322" i="10"/>
  <c r="AU323" i="10"/>
  <c r="AU324" i="10"/>
  <c r="AU325" i="10"/>
  <c r="AU326" i="10"/>
  <c r="AU327" i="10"/>
  <c r="AU328" i="10"/>
  <c r="AU329" i="10"/>
  <c r="AU330" i="10"/>
  <c r="AU331" i="10"/>
  <c r="AU332" i="10"/>
  <c r="AU333" i="10"/>
  <c r="AU334" i="10"/>
  <c r="AU335" i="10"/>
  <c r="AU336" i="10"/>
  <c r="AU337" i="10"/>
  <c r="AU338" i="10"/>
  <c r="AU339" i="10"/>
  <c r="AU340" i="10"/>
  <c r="AU341" i="10"/>
  <c r="AU342" i="10"/>
  <c r="AU343" i="10"/>
  <c r="AU344" i="10"/>
  <c r="AU345" i="10"/>
  <c r="AU346" i="10"/>
  <c r="AU347" i="10"/>
  <c r="AU348" i="10"/>
  <c r="AU349" i="10"/>
  <c r="AU350" i="10"/>
  <c r="AU351" i="10"/>
  <c r="AU352" i="10"/>
  <c r="AU353" i="10"/>
  <c r="AU354" i="10"/>
  <c r="AU355" i="10"/>
  <c r="AU356" i="10"/>
  <c r="AU357" i="10"/>
  <c r="AU358" i="10"/>
  <c r="AU359" i="10"/>
  <c r="AU360" i="10"/>
  <c r="AU361" i="10"/>
  <c r="AU362" i="10"/>
  <c r="AU363" i="10"/>
  <c r="AU364" i="10"/>
  <c r="AU365" i="10"/>
  <c r="AU366" i="10"/>
  <c r="AU367" i="10"/>
  <c r="AU368" i="10"/>
  <c r="AU369" i="10"/>
  <c r="AU370" i="10"/>
  <c r="AU371" i="10"/>
  <c r="AU372" i="10"/>
  <c r="AU373" i="10"/>
  <c r="AU374" i="10"/>
  <c r="AU375" i="10"/>
  <c r="AU376" i="10"/>
  <c r="AU377" i="10"/>
  <c r="AU378" i="10"/>
  <c r="AU379" i="10"/>
  <c r="AU380" i="10"/>
  <c r="AU381" i="10"/>
  <c r="AU382" i="10"/>
  <c r="AU383" i="10"/>
  <c r="AU384" i="10"/>
  <c r="AU385" i="10"/>
  <c r="AU386" i="10"/>
  <c r="AU387" i="10"/>
  <c r="AU388" i="10"/>
  <c r="AU389" i="10"/>
  <c r="AU390" i="10"/>
  <c r="AU391" i="10"/>
  <c r="AU392" i="10"/>
  <c r="AU393" i="10"/>
  <c r="AU394" i="10"/>
  <c r="AU395" i="10"/>
  <c r="AU396" i="10"/>
  <c r="AU397" i="10"/>
  <c r="AU398" i="10"/>
  <c r="AU399" i="10"/>
  <c r="AU400" i="10"/>
  <c r="AU401" i="10"/>
  <c r="AU402" i="10"/>
  <c r="AU403" i="10"/>
  <c r="AU404" i="10"/>
  <c r="AU405" i="10"/>
  <c r="AU406" i="10"/>
  <c r="AU407" i="10"/>
  <c r="AU408" i="10"/>
  <c r="AU409" i="10"/>
  <c r="AU410" i="10"/>
  <c r="AU411" i="10"/>
  <c r="AU412" i="10"/>
  <c r="AU413" i="10"/>
  <c r="AU414" i="10"/>
  <c r="AU415" i="10"/>
  <c r="AU416" i="10"/>
  <c r="AU417" i="10"/>
  <c r="AU418" i="10"/>
  <c r="AU419" i="10"/>
  <c r="AU420" i="10"/>
  <c r="AU421" i="10"/>
  <c r="AU422" i="10"/>
  <c r="AU423" i="10"/>
  <c r="AU424" i="10"/>
  <c r="AU425" i="10"/>
  <c r="AU426" i="10"/>
  <c r="AU427" i="10"/>
  <c r="AU428" i="10"/>
  <c r="AU429" i="10"/>
  <c r="AU430" i="10"/>
  <c r="AU431" i="10"/>
  <c r="AU432" i="10"/>
  <c r="AU433" i="10"/>
  <c r="AU434" i="10"/>
  <c r="AU435" i="10"/>
  <c r="AU436" i="10"/>
  <c r="AU437" i="10"/>
  <c r="AU438" i="10"/>
  <c r="AU439" i="10"/>
  <c r="AU440" i="10"/>
  <c r="AU441" i="10"/>
  <c r="AU442" i="10"/>
  <c r="AU443" i="10"/>
  <c r="AU444" i="10"/>
  <c r="AU445" i="10"/>
  <c r="AU446" i="10"/>
  <c r="AU447" i="10"/>
  <c r="AU448" i="10"/>
  <c r="AU449" i="10"/>
  <c r="AU450" i="10"/>
  <c r="AU451" i="10"/>
  <c r="AU452" i="10"/>
  <c r="AU453" i="10"/>
  <c r="AU454" i="10"/>
  <c r="AU455" i="10"/>
  <c r="AU456" i="10"/>
  <c r="AW457" i="10"/>
  <c r="BG457" i="10"/>
  <c r="BF457" i="10"/>
  <c r="BE457" i="10"/>
  <c r="BC457" i="10"/>
  <c r="BB457" i="10"/>
  <c r="BA457" i="10"/>
  <c r="AZ457" i="10"/>
  <c r="AY457" i="10"/>
  <c r="BD457" i="10"/>
  <c r="AX457" i="10"/>
  <c r="BG456" i="10"/>
  <c r="BF456" i="10"/>
  <c r="BE456" i="10"/>
  <c r="BC456" i="10"/>
  <c r="BB456" i="10"/>
  <c r="BA456" i="10"/>
  <c r="AZ456" i="10"/>
  <c r="AY456" i="10"/>
  <c r="BD456" i="10"/>
  <c r="AX456" i="10"/>
  <c r="AW456" i="10"/>
  <c r="BG455" i="10"/>
  <c r="BF455" i="10"/>
  <c r="BE455" i="10"/>
  <c r="BC455" i="10"/>
  <c r="BB455" i="10"/>
  <c r="BA455" i="10"/>
  <c r="AZ455" i="10"/>
  <c r="AY455" i="10"/>
  <c r="BD455" i="10"/>
  <c r="AX455" i="10"/>
  <c r="AW455" i="10"/>
  <c r="BG454" i="10"/>
  <c r="BF454" i="10"/>
  <c r="BE454" i="10"/>
  <c r="BC454" i="10"/>
  <c r="BB454" i="10"/>
  <c r="BA454" i="10"/>
  <c r="AZ454" i="10"/>
  <c r="AY454" i="10"/>
  <c r="BD454" i="10"/>
  <c r="AX454" i="10"/>
  <c r="AW454" i="10"/>
  <c r="BG453" i="10"/>
  <c r="BF453" i="10"/>
  <c r="BE453" i="10"/>
  <c r="BC453" i="10"/>
  <c r="BB453" i="10"/>
  <c r="BA453" i="10"/>
  <c r="AZ453" i="10"/>
  <c r="AY453" i="10"/>
  <c r="BD453" i="10"/>
  <c r="AX453" i="10"/>
  <c r="AW453" i="10"/>
  <c r="BG452" i="10"/>
  <c r="BF452" i="10"/>
  <c r="BE452" i="10"/>
  <c r="BC452" i="10"/>
  <c r="BB452" i="10"/>
  <c r="BA452" i="10"/>
  <c r="AZ452" i="10"/>
  <c r="AY452" i="10"/>
  <c r="BD452" i="10"/>
  <c r="AX452" i="10"/>
  <c r="AW452" i="10"/>
  <c r="BG451" i="10"/>
  <c r="BF451" i="10"/>
  <c r="BE451" i="10"/>
  <c r="BC451" i="10"/>
  <c r="BB451" i="10"/>
  <c r="BA451" i="10"/>
  <c r="AZ451" i="10"/>
  <c r="AY451" i="10"/>
  <c r="BD451" i="10"/>
  <c r="AX451" i="10"/>
  <c r="AW451" i="10"/>
  <c r="BG450" i="10"/>
  <c r="BF450" i="10"/>
  <c r="BE450" i="10"/>
  <c r="BC450" i="10"/>
  <c r="BB450" i="10"/>
  <c r="BA450" i="10"/>
  <c r="AZ450" i="10"/>
  <c r="AY450" i="10"/>
  <c r="BD450" i="10"/>
  <c r="AX450" i="10"/>
  <c r="AW450" i="10"/>
  <c r="BG449" i="10"/>
  <c r="BF449" i="10"/>
  <c r="BE449" i="10"/>
  <c r="BC449" i="10"/>
  <c r="BB449" i="10"/>
  <c r="BA449" i="10"/>
  <c r="AZ449" i="10"/>
  <c r="AY449" i="10"/>
  <c r="BD449" i="10"/>
  <c r="AX449" i="10"/>
  <c r="AW449" i="10"/>
  <c r="BG448" i="10"/>
  <c r="BF448" i="10"/>
  <c r="BE448" i="10"/>
  <c r="BC448" i="10"/>
  <c r="BB448" i="10"/>
  <c r="BA448" i="10"/>
  <c r="AZ448" i="10"/>
  <c r="AY448" i="10"/>
  <c r="BD448" i="10"/>
  <c r="AX448" i="10"/>
  <c r="AW448" i="10"/>
  <c r="BG447" i="10"/>
  <c r="BF447" i="10"/>
  <c r="BE447" i="10"/>
  <c r="BC447" i="10"/>
  <c r="BB447" i="10"/>
  <c r="BA447" i="10"/>
  <c r="AZ447" i="10"/>
  <c r="AY447" i="10"/>
  <c r="BD447" i="10"/>
  <c r="AX447" i="10"/>
  <c r="AW447" i="10"/>
  <c r="BG446" i="10"/>
  <c r="BF446" i="10"/>
  <c r="BE446" i="10"/>
  <c r="BC446" i="10"/>
  <c r="BB446" i="10"/>
  <c r="BA446" i="10"/>
  <c r="AZ446" i="10"/>
  <c r="AY446" i="10"/>
  <c r="BD446" i="10"/>
  <c r="AX446" i="10"/>
  <c r="AW446" i="10"/>
  <c r="BG445" i="10"/>
  <c r="BF445" i="10"/>
  <c r="BE445" i="10"/>
  <c r="BC445" i="10"/>
  <c r="BB445" i="10"/>
  <c r="BA445" i="10"/>
  <c r="AZ445" i="10"/>
  <c r="AY445" i="10"/>
  <c r="BD445" i="10"/>
  <c r="AX445" i="10"/>
  <c r="AW445" i="10"/>
  <c r="BG444" i="10"/>
  <c r="BF444" i="10"/>
  <c r="BE444" i="10"/>
  <c r="BC444" i="10"/>
  <c r="BB444" i="10"/>
  <c r="BA444" i="10"/>
  <c r="AZ444" i="10"/>
  <c r="AY444" i="10"/>
  <c r="BD444" i="10"/>
  <c r="AX444" i="10"/>
  <c r="AW444" i="10"/>
  <c r="BG443" i="10"/>
  <c r="BF443" i="10"/>
  <c r="BE443" i="10"/>
  <c r="BC443" i="10"/>
  <c r="BB443" i="10"/>
  <c r="BA443" i="10"/>
  <c r="AZ443" i="10"/>
  <c r="AY443" i="10"/>
  <c r="BD443" i="10"/>
  <c r="AX443" i="10"/>
  <c r="AW443" i="10"/>
  <c r="BG442" i="10"/>
  <c r="BF442" i="10"/>
  <c r="BE442" i="10"/>
  <c r="BC442" i="10"/>
  <c r="BB442" i="10"/>
  <c r="BA442" i="10"/>
  <c r="AZ442" i="10"/>
  <c r="AY442" i="10"/>
  <c r="BD442" i="10"/>
  <c r="AX442" i="10"/>
  <c r="AW442" i="10"/>
  <c r="BG441" i="10"/>
  <c r="BF441" i="10"/>
  <c r="BE441" i="10"/>
  <c r="BC441" i="10"/>
  <c r="BB441" i="10"/>
  <c r="BA441" i="10"/>
  <c r="AZ441" i="10"/>
  <c r="AY441" i="10"/>
  <c r="BD441" i="10"/>
  <c r="AX441" i="10"/>
  <c r="AW441" i="10"/>
  <c r="BG440" i="10"/>
  <c r="BF440" i="10"/>
  <c r="BE440" i="10"/>
  <c r="BC440" i="10"/>
  <c r="BB440" i="10"/>
  <c r="BA440" i="10"/>
  <c r="AZ440" i="10"/>
  <c r="AY440" i="10"/>
  <c r="BD440" i="10"/>
  <c r="AX440" i="10"/>
  <c r="AW440" i="10"/>
  <c r="BG439" i="10"/>
  <c r="BF439" i="10"/>
  <c r="BE439" i="10"/>
  <c r="BC439" i="10"/>
  <c r="BB439" i="10"/>
  <c r="BA439" i="10"/>
  <c r="AZ439" i="10"/>
  <c r="AY439" i="10"/>
  <c r="BD439" i="10"/>
  <c r="AX439" i="10"/>
  <c r="AW439" i="10"/>
  <c r="BG438" i="10"/>
  <c r="BF438" i="10"/>
  <c r="BE438" i="10"/>
  <c r="BC438" i="10"/>
  <c r="BB438" i="10"/>
  <c r="BA438" i="10"/>
  <c r="AZ438" i="10"/>
  <c r="AY438" i="10"/>
  <c r="BD438" i="10"/>
  <c r="AX438" i="10"/>
  <c r="AW438" i="10"/>
  <c r="BG437" i="10"/>
  <c r="BF437" i="10"/>
  <c r="BE437" i="10"/>
  <c r="BC437" i="10"/>
  <c r="BB437" i="10"/>
  <c r="BA437" i="10"/>
  <c r="AZ437" i="10"/>
  <c r="AY437" i="10"/>
  <c r="BD437" i="10"/>
  <c r="AX437" i="10"/>
  <c r="AW437" i="10"/>
  <c r="BG436" i="10"/>
  <c r="BF436" i="10"/>
  <c r="BE436" i="10"/>
  <c r="BC436" i="10"/>
  <c r="BB436" i="10"/>
  <c r="BA436" i="10"/>
  <c r="AZ436" i="10"/>
  <c r="AY436" i="10"/>
  <c r="BD436" i="10"/>
  <c r="AX436" i="10"/>
  <c r="AW436" i="10"/>
  <c r="BG435" i="10"/>
  <c r="BF435" i="10"/>
  <c r="BE435" i="10"/>
  <c r="BC435" i="10"/>
  <c r="BB435" i="10"/>
  <c r="BA435" i="10"/>
  <c r="AZ435" i="10"/>
  <c r="AY435" i="10"/>
  <c r="BD435" i="10"/>
  <c r="AX435" i="10"/>
  <c r="AW435" i="10"/>
  <c r="BG434" i="10"/>
  <c r="BF434" i="10"/>
  <c r="BE434" i="10"/>
  <c r="BC434" i="10"/>
  <c r="BB434" i="10"/>
  <c r="BA434" i="10"/>
  <c r="AZ434" i="10"/>
  <c r="AY434" i="10"/>
  <c r="BD434" i="10"/>
  <c r="AX434" i="10"/>
  <c r="AW434" i="10"/>
  <c r="BG433" i="10"/>
  <c r="BF433" i="10"/>
  <c r="BE433" i="10"/>
  <c r="BC433" i="10"/>
  <c r="BB433" i="10"/>
  <c r="BA433" i="10"/>
  <c r="AZ433" i="10"/>
  <c r="AY433" i="10"/>
  <c r="BD433" i="10"/>
  <c r="AX433" i="10"/>
  <c r="AW433" i="10"/>
  <c r="BG432" i="10"/>
  <c r="BF432" i="10"/>
  <c r="BE432" i="10"/>
  <c r="BC432" i="10"/>
  <c r="BB432" i="10"/>
  <c r="BA432" i="10"/>
  <c r="AZ432" i="10"/>
  <c r="AY432" i="10"/>
  <c r="BD432" i="10"/>
  <c r="AX432" i="10"/>
  <c r="AW432" i="10"/>
  <c r="BG431" i="10"/>
  <c r="BF431" i="10"/>
  <c r="BE431" i="10"/>
  <c r="BC431" i="10"/>
  <c r="BB431" i="10"/>
  <c r="BA431" i="10"/>
  <c r="AZ431" i="10"/>
  <c r="AY431" i="10"/>
  <c r="BD431" i="10"/>
  <c r="AX431" i="10"/>
  <c r="AW431" i="10"/>
  <c r="BG430" i="10"/>
  <c r="BF430" i="10"/>
  <c r="BE430" i="10"/>
  <c r="BC430" i="10"/>
  <c r="BB430" i="10"/>
  <c r="BA430" i="10"/>
  <c r="AZ430" i="10"/>
  <c r="AY430" i="10"/>
  <c r="BD430" i="10"/>
  <c r="AX430" i="10"/>
  <c r="AW430" i="10"/>
  <c r="BG429" i="10"/>
  <c r="BF429" i="10"/>
  <c r="BE429" i="10"/>
  <c r="BC429" i="10"/>
  <c r="BB429" i="10"/>
  <c r="BA429" i="10"/>
  <c r="AZ429" i="10"/>
  <c r="AY429" i="10"/>
  <c r="BD429" i="10"/>
  <c r="AX429" i="10"/>
  <c r="AW429" i="10"/>
  <c r="BG428" i="10"/>
  <c r="BF428" i="10"/>
  <c r="BE428" i="10"/>
  <c r="BC428" i="10"/>
  <c r="BB428" i="10"/>
  <c r="BA428" i="10"/>
  <c r="AZ428" i="10"/>
  <c r="AY428" i="10"/>
  <c r="BD428" i="10"/>
  <c r="AX428" i="10"/>
  <c r="AW428" i="10"/>
  <c r="BG427" i="10"/>
  <c r="BF427" i="10"/>
  <c r="BE427" i="10"/>
  <c r="BC427" i="10"/>
  <c r="BB427" i="10"/>
  <c r="BA427" i="10"/>
  <c r="AZ427" i="10"/>
  <c r="AY427" i="10"/>
  <c r="BD427" i="10"/>
  <c r="AX427" i="10"/>
  <c r="AW427" i="10"/>
  <c r="BG426" i="10"/>
  <c r="BF426" i="10"/>
  <c r="BE426" i="10"/>
  <c r="BC426" i="10"/>
  <c r="BB426" i="10"/>
  <c r="BA426" i="10"/>
  <c r="AZ426" i="10"/>
  <c r="AY426" i="10"/>
  <c r="BD426" i="10"/>
  <c r="AX426" i="10"/>
  <c r="AW426" i="10"/>
  <c r="BG425" i="10"/>
  <c r="BF425" i="10"/>
  <c r="BE425" i="10"/>
  <c r="BC425" i="10"/>
  <c r="BB425" i="10"/>
  <c r="BA425" i="10"/>
  <c r="AZ425" i="10"/>
  <c r="AY425" i="10"/>
  <c r="BD425" i="10"/>
  <c r="AX425" i="10"/>
  <c r="AW425" i="10"/>
  <c r="BG424" i="10"/>
  <c r="BF424" i="10"/>
  <c r="BE424" i="10"/>
  <c r="BC424" i="10"/>
  <c r="BB424" i="10"/>
  <c r="BA424" i="10"/>
  <c r="AZ424" i="10"/>
  <c r="AY424" i="10"/>
  <c r="BD424" i="10"/>
  <c r="AX424" i="10"/>
  <c r="AW424" i="10"/>
  <c r="BG423" i="10"/>
  <c r="BF423" i="10"/>
  <c r="BE423" i="10"/>
  <c r="BC423" i="10"/>
  <c r="BB423" i="10"/>
  <c r="BA423" i="10"/>
  <c r="AZ423" i="10"/>
  <c r="AY423" i="10"/>
  <c r="BD423" i="10"/>
  <c r="AX423" i="10"/>
  <c r="AW423" i="10"/>
  <c r="BG422" i="10"/>
  <c r="BF422" i="10"/>
  <c r="BE422" i="10"/>
  <c r="BC422" i="10"/>
  <c r="BB422" i="10"/>
  <c r="BA422" i="10"/>
  <c r="AZ422" i="10"/>
  <c r="AY422" i="10"/>
  <c r="BD422" i="10"/>
  <c r="AX422" i="10"/>
  <c r="AW422" i="10"/>
  <c r="BG421" i="10"/>
  <c r="BF421" i="10"/>
  <c r="BE421" i="10"/>
  <c r="BC421" i="10"/>
  <c r="BB421" i="10"/>
  <c r="BA421" i="10"/>
  <c r="AZ421" i="10"/>
  <c r="AY421" i="10"/>
  <c r="BD421" i="10"/>
  <c r="AX421" i="10"/>
  <c r="AW421" i="10"/>
  <c r="BG420" i="10"/>
  <c r="BF420" i="10"/>
  <c r="BE420" i="10"/>
  <c r="BC420" i="10"/>
  <c r="BB420" i="10"/>
  <c r="BA420" i="10"/>
  <c r="AZ420" i="10"/>
  <c r="AY420" i="10"/>
  <c r="BD420" i="10"/>
  <c r="AX420" i="10"/>
  <c r="AW420" i="10"/>
  <c r="BG419" i="10"/>
  <c r="BF419" i="10"/>
  <c r="BE419" i="10"/>
  <c r="BC419" i="10"/>
  <c r="BB419" i="10"/>
  <c r="BA419" i="10"/>
  <c r="AZ419" i="10"/>
  <c r="AY419" i="10"/>
  <c r="BD419" i="10"/>
  <c r="AX419" i="10"/>
  <c r="AW419" i="10"/>
  <c r="BG418" i="10"/>
  <c r="BF418" i="10"/>
  <c r="BE418" i="10"/>
  <c r="BC418" i="10"/>
  <c r="BB418" i="10"/>
  <c r="BA418" i="10"/>
  <c r="AZ418" i="10"/>
  <c r="AY418" i="10"/>
  <c r="BD418" i="10"/>
  <c r="AX418" i="10"/>
  <c r="AW418" i="10"/>
  <c r="BG417" i="10"/>
  <c r="BF417" i="10"/>
  <c r="BE417" i="10"/>
  <c r="BC417" i="10"/>
  <c r="BB417" i="10"/>
  <c r="BA417" i="10"/>
  <c r="AZ417" i="10"/>
  <c r="AY417" i="10"/>
  <c r="BD417" i="10"/>
  <c r="AX417" i="10"/>
  <c r="AW417" i="10"/>
  <c r="BG416" i="10"/>
  <c r="BF416" i="10"/>
  <c r="BE416" i="10"/>
  <c r="BC416" i="10"/>
  <c r="BB416" i="10"/>
  <c r="BA416" i="10"/>
  <c r="AZ416" i="10"/>
  <c r="AY416" i="10"/>
  <c r="BD416" i="10"/>
  <c r="AX416" i="10"/>
  <c r="AW416" i="10"/>
  <c r="BG415" i="10"/>
  <c r="BF415" i="10"/>
  <c r="BE415" i="10"/>
  <c r="BC415" i="10"/>
  <c r="BB415" i="10"/>
  <c r="BA415" i="10"/>
  <c r="AZ415" i="10"/>
  <c r="AY415" i="10"/>
  <c r="BD415" i="10"/>
  <c r="AX415" i="10"/>
  <c r="AW415" i="10"/>
  <c r="BG414" i="10"/>
  <c r="BF414" i="10"/>
  <c r="BE414" i="10"/>
  <c r="BC414" i="10"/>
  <c r="BB414" i="10"/>
  <c r="BA414" i="10"/>
  <c r="AZ414" i="10"/>
  <c r="AY414" i="10"/>
  <c r="BD414" i="10"/>
  <c r="AX414" i="10"/>
  <c r="AW414" i="10"/>
  <c r="BG413" i="10"/>
  <c r="BF413" i="10"/>
  <c r="BE413" i="10"/>
  <c r="BC413" i="10"/>
  <c r="BB413" i="10"/>
  <c r="BA413" i="10"/>
  <c r="AZ413" i="10"/>
  <c r="AY413" i="10"/>
  <c r="BD413" i="10"/>
  <c r="AX413" i="10"/>
  <c r="AW413" i="10"/>
  <c r="BG412" i="10"/>
  <c r="BF412" i="10"/>
  <c r="BE412" i="10"/>
  <c r="BC412" i="10"/>
  <c r="BB412" i="10"/>
  <c r="BA412" i="10"/>
  <c r="AZ412" i="10"/>
  <c r="AY412" i="10"/>
  <c r="BD412" i="10"/>
  <c r="AX412" i="10"/>
  <c r="AW412" i="10"/>
  <c r="BG411" i="10"/>
  <c r="BF411" i="10"/>
  <c r="BE411" i="10"/>
  <c r="BC411" i="10"/>
  <c r="BB411" i="10"/>
  <c r="BA411" i="10"/>
  <c r="AZ411" i="10"/>
  <c r="AY411" i="10"/>
  <c r="BD411" i="10"/>
  <c r="AX411" i="10"/>
  <c r="AW411" i="10"/>
  <c r="BG410" i="10"/>
  <c r="BF410" i="10"/>
  <c r="BE410" i="10"/>
  <c r="BC410" i="10"/>
  <c r="BB410" i="10"/>
  <c r="BA410" i="10"/>
  <c r="AZ410" i="10"/>
  <c r="AY410" i="10"/>
  <c r="BD410" i="10"/>
  <c r="AX410" i="10"/>
  <c r="AW410" i="10"/>
  <c r="BG409" i="10"/>
  <c r="BF409" i="10"/>
  <c r="BE409" i="10"/>
  <c r="BC409" i="10"/>
  <c r="BB409" i="10"/>
  <c r="BA409" i="10"/>
  <c r="AZ409" i="10"/>
  <c r="AY409" i="10"/>
  <c r="BD409" i="10"/>
  <c r="AX409" i="10"/>
  <c r="AW409" i="10"/>
  <c r="BG408" i="10"/>
  <c r="BF408" i="10"/>
  <c r="BE408" i="10"/>
  <c r="BC408" i="10"/>
  <c r="BB408" i="10"/>
  <c r="BA408" i="10"/>
  <c r="AZ408" i="10"/>
  <c r="AY408" i="10"/>
  <c r="BD408" i="10"/>
  <c r="AX408" i="10"/>
  <c r="AW408" i="10"/>
  <c r="BG407" i="10"/>
  <c r="BF407" i="10"/>
  <c r="BE407" i="10"/>
  <c r="BC407" i="10"/>
  <c r="BB407" i="10"/>
  <c r="BA407" i="10"/>
  <c r="AZ407" i="10"/>
  <c r="AY407" i="10"/>
  <c r="BD407" i="10"/>
  <c r="AX407" i="10"/>
  <c r="AW407" i="10"/>
  <c r="BG406" i="10"/>
  <c r="BF406" i="10"/>
  <c r="BE406" i="10"/>
  <c r="BC406" i="10"/>
  <c r="BB406" i="10"/>
  <c r="BA406" i="10"/>
  <c r="AZ406" i="10"/>
  <c r="AY406" i="10"/>
  <c r="BD406" i="10"/>
  <c r="AX406" i="10"/>
  <c r="AW406" i="10"/>
  <c r="BG405" i="10"/>
  <c r="BF405" i="10"/>
  <c r="BE405" i="10"/>
  <c r="BC405" i="10"/>
  <c r="BB405" i="10"/>
  <c r="BA405" i="10"/>
  <c r="AZ405" i="10"/>
  <c r="AY405" i="10"/>
  <c r="BD405" i="10"/>
  <c r="AX405" i="10"/>
  <c r="AW405" i="10"/>
  <c r="BG404" i="10"/>
  <c r="BF404" i="10"/>
  <c r="BE404" i="10"/>
  <c r="BC404" i="10"/>
  <c r="BB404" i="10"/>
  <c r="BA404" i="10"/>
  <c r="AZ404" i="10"/>
  <c r="AY404" i="10"/>
  <c r="BD404" i="10"/>
  <c r="AX404" i="10"/>
  <c r="AW404" i="10"/>
  <c r="BG403" i="10"/>
  <c r="BF403" i="10"/>
  <c r="BE403" i="10"/>
  <c r="BC403" i="10"/>
  <c r="BB403" i="10"/>
  <c r="BA403" i="10"/>
  <c r="AZ403" i="10"/>
  <c r="AY403" i="10"/>
  <c r="BD403" i="10"/>
  <c r="AX403" i="10"/>
  <c r="AW403" i="10"/>
  <c r="BG402" i="10"/>
  <c r="BF402" i="10"/>
  <c r="BE402" i="10"/>
  <c r="BC402" i="10"/>
  <c r="BB402" i="10"/>
  <c r="BA402" i="10"/>
  <c r="AZ402" i="10"/>
  <c r="AY402" i="10"/>
  <c r="BD402" i="10"/>
  <c r="AX402" i="10"/>
  <c r="AW402" i="10"/>
  <c r="BG401" i="10"/>
  <c r="BF401" i="10"/>
  <c r="BE401" i="10"/>
  <c r="BC401" i="10"/>
  <c r="BB401" i="10"/>
  <c r="BA401" i="10"/>
  <c r="AZ401" i="10"/>
  <c r="AY401" i="10"/>
  <c r="BD401" i="10"/>
  <c r="AX401" i="10"/>
  <c r="AW401" i="10"/>
  <c r="BG400" i="10"/>
  <c r="BF400" i="10"/>
  <c r="BE400" i="10"/>
  <c r="BC400" i="10"/>
  <c r="BB400" i="10"/>
  <c r="BA400" i="10"/>
  <c r="AZ400" i="10"/>
  <c r="AY400" i="10"/>
  <c r="BD400" i="10"/>
  <c r="AX400" i="10"/>
  <c r="AW400" i="10"/>
  <c r="AW398" i="10"/>
  <c r="AX398" i="10"/>
  <c r="AY398" i="10"/>
  <c r="BD398" i="10"/>
  <c r="AZ398" i="10"/>
  <c r="BA398" i="10"/>
  <c r="BB398" i="10"/>
  <c r="BC398" i="10"/>
  <c r="BE398" i="10"/>
  <c r="BF398" i="10"/>
  <c r="BG398" i="10"/>
  <c r="AW399" i="10"/>
  <c r="AX399" i="10"/>
  <c r="AY399" i="10"/>
  <c r="BD399" i="10"/>
  <c r="AZ399" i="10"/>
  <c r="BA399" i="10"/>
  <c r="BB399" i="10"/>
  <c r="BC399" i="10"/>
  <c r="BE399" i="10"/>
  <c r="BF399" i="10"/>
  <c r="BG399" i="10"/>
  <c r="AW390" i="10"/>
  <c r="AX390" i="10"/>
  <c r="AY390" i="10"/>
  <c r="BD390" i="10"/>
  <c r="AZ390" i="10"/>
  <c r="BA390" i="10"/>
  <c r="BB390" i="10"/>
  <c r="BC390" i="10"/>
  <c r="BE390" i="10"/>
  <c r="BF390" i="10"/>
  <c r="BG390" i="10"/>
  <c r="AW391" i="10"/>
  <c r="AX391" i="10"/>
  <c r="AY391" i="10"/>
  <c r="BD391" i="10"/>
  <c r="AZ391" i="10"/>
  <c r="BA391" i="10"/>
  <c r="BB391" i="10"/>
  <c r="BC391" i="10"/>
  <c r="BE391" i="10"/>
  <c r="BF391" i="10"/>
  <c r="BG391" i="10"/>
  <c r="AW392" i="10"/>
  <c r="AX392" i="10"/>
  <c r="AY392" i="10"/>
  <c r="BD392" i="10"/>
  <c r="AZ392" i="10"/>
  <c r="BA392" i="10"/>
  <c r="BB392" i="10"/>
  <c r="BC392" i="10"/>
  <c r="BE392" i="10"/>
  <c r="BF392" i="10"/>
  <c r="BG392" i="10"/>
  <c r="AW393" i="10"/>
  <c r="AX393" i="10"/>
  <c r="AY393" i="10"/>
  <c r="BD393" i="10"/>
  <c r="AZ393" i="10"/>
  <c r="BA393" i="10"/>
  <c r="BB393" i="10"/>
  <c r="BC393" i="10"/>
  <c r="BE393" i="10"/>
  <c r="BF393" i="10"/>
  <c r="BG393" i="10"/>
  <c r="AW394" i="10"/>
  <c r="AX394" i="10"/>
  <c r="AY394" i="10"/>
  <c r="BD394" i="10"/>
  <c r="AZ394" i="10"/>
  <c r="BA394" i="10"/>
  <c r="BB394" i="10"/>
  <c r="BC394" i="10"/>
  <c r="BE394" i="10"/>
  <c r="BF394" i="10"/>
  <c r="BG394" i="10"/>
  <c r="AW395" i="10"/>
  <c r="AX395" i="10"/>
  <c r="AY395" i="10"/>
  <c r="BD395" i="10"/>
  <c r="AZ395" i="10"/>
  <c r="BA395" i="10"/>
  <c r="BB395" i="10"/>
  <c r="BC395" i="10"/>
  <c r="BE395" i="10"/>
  <c r="BF395" i="10"/>
  <c r="BG395" i="10"/>
  <c r="AW396" i="10"/>
  <c r="AX396" i="10"/>
  <c r="AY396" i="10"/>
  <c r="BD396" i="10"/>
  <c r="AZ396" i="10"/>
  <c r="BA396" i="10"/>
  <c r="BB396" i="10"/>
  <c r="BC396" i="10"/>
  <c r="BE396" i="10"/>
  <c r="BF396" i="10"/>
  <c r="BG396" i="10"/>
  <c r="AW397" i="10"/>
  <c r="AX397" i="10"/>
  <c r="AY397" i="10"/>
  <c r="BD397" i="10"/>
  <c r="AZ397" i="10"/>
  <c r="BA397" i="10"/>
  <c r="BB397" i="10"/>
  <c r="BC397" i="10"/>
  <c r="BE397" i="10"/>
  <c r="BF397" i="10"/>
  <c r="BG397" i="10"/>
  <c r="AW359" i="10"/>
  <c r="AX359" i="10"/>
  <c r="AW360" i="10"/>
  <c r="AX360" i="10"/>
  <c r="AW361" i="10"/>
  <c r="AX361" i="10"/>
  <c r="AW362" i="10"/>
  <c r="AX362" i="10"/>
  <c r="AW363" i="10"/>
  <c r="AX363" i="10"/>
  <c r="AW364" i="10"/>
  <c r="AX364" i="10"/>
  <c r="AW365" i="10"/>
  <c r="AX365" i="10"/>
  <c r="AW366" i="10"/>
  <c r="AX366" i="10"/>
  <c r="AW367" i="10"/>
  <c r="AX367" i="10"/>
  <c r="AW368" i="10"/>
  <c r="AX368" i="10"/>
  <c r="AW369" i="10"/>
  <c r="AX369" i="10"/>
  <c r="AW370" i="10"/>
  <c r="AX370" i="10"/>
  <c r="AW371" i="10"/>
  <c r="AX371" i="10"/>
  <c r="AW372" i="10"/>
  <c r="AX372" i="10"/>
  <c r="AW373" i="10"/>
  <c r="AX373" i="10"/>
  <c r="AW374" i="10"/>
  <c r="AX374" i="10"/>
  <c r="AW375" i="10"/>
  <c r="AX375" i="10"/>
  <c r="AW376" i="10"/>
  <c r="AX376" i="10"/>
  <c r="AW377" i="10"/>
  <c r="AX377" i="10"/>
  <c r="AW378" i="10"/>
  <c r="AX378" i="10"/>
  <c r="AW379" i="10"/>
  <c r="AX379" i="10"/>
  <c r="AW380" i="10"/>
  <c r="AX380" i="10"/>
  <c r="AW381" i="10"/>
  <c r="AX381" i="10"/>
  <c r="AW382" i="10"/>
  <c r="AX382" i="10"/>
  <c r="AW383" i="10"/>
  <c r="AX383" i="10"/>
  <c r="AW384" i="10"/>
  <c r="AX384" i="10"/>
  <c r="AW385" i="10"/>
  <c r="AX385" i="10"/>
  <c r="AW386" i="10"/>
  <c r="AX386" i="10"/>
  <c r="AW387" i="10"/>
  <c r="AX387" i="10"/>
  <c r="AW388" i="10"/>
  <c r="AX388" i="10"/>
  <c r="AW389" i="10"/>
  <c r="AX389" i="10"/>
  <c r="AY359" i="10"/>
  <c r="BD359" i="10"/>
  <c r="AZ359" i="10"/>
  <c r="BA359" i="10"/>
  <c r="BB359" i="10"/>
  <c r="BC359" i="10"/>
  <c r="BE359" i="10"/>
  <c r="BF359" i="10"/>
  <c r="BG359" i="10"/>
  <c r="AY360" i="10"/>
  <c r="BD360" i="10"/>
  <c r="AZ360" i="10"/>
  <c r="BA360" i="10"/>
  <c r="BB360" i="10"/>
  <c r="BC360" i="10"/>
  <c r="BE360" i="10"/>
  <c r="BF360" i="10"/>
  <c r="BG360" i="10"/>
  <c r="AY361" i="10"/>
  <c r="BD361" i="10"/>
  <c r="AZ361" i="10"/>
  <c r="BA361" i="10"/>
  <c r="BB361" i="10"/>
  <c r="BC361" i="10"/>
  <c r="BE361" i="10"/>
  <c r="BF361" i="10"/>
  <c r="BG361" i="10"/>
  <c r="AY362" i="10"/>
  <c r="BD362" i="10"/>
  <c r="AZ362" i="10"/>
  <c r="BA362" i="10"/>
  <c r="BB362" i="10"/>
  <c r="BC362" i="10"/>
  <c r="BE362" i="10"/>
  <c r="BF362" i="10"/>
  <c r="BG362" i="10"/>
  <c r="AY363" i="10"/>
  <c r="BD363" i="10"/>
  <c r="AZ363" i="10"/>
  <c r="BA363" i="10"/>
  <c r="BB363" i="10"/>
  <c r="BC363" i="10"/>
  <c r="BE363" i="10"/>
  <c r="BF363" i="10"/>
  <c r="BG363" i="10"/>
  <c r="AY364" i="10"/>
  <c r="BD364" i="10"/>
  <c r="AZ364" i="10"/>
  <c r="BA364" i="10"/>
  <c r="BB364" i="10"/>
  <c r="BC364" i="10"/>
  <c r="BE364" i="10"/>
  <c r="BF364" i="10"/>
  <c r="BG364" i="10"/>
  <c r="AY365" i="10"/>
  <c r="BD365" i="10"/>
  <c r="AZ365" i="10"/>
  <c r="BA365" i="10"/>
  <c r="BB365" i="10"/>
  <c r="BC365" i="10"/>
  <c r="BE365" i="10"/>
  <c r="BF365" i="10"/>
  <c r="BG365" i="10"/>
  <c r="AY366" i="10"/>
  <c r="BD366" i="10"/>
  <c r="AZ366" i="10"/>
  <c r="BA366" i="10"/>
  <c r="BB366" i="10"/>
  <c r="BC366" i="10"/>
  <c r="BE366" i="10"/>
  <c r="BF366" i="10"/>
  <c r="BG366" i="10"/>
  <c r="AY367" i="10"/>
  <c r="BD367" i="10"/>
  <c r="AZ367" i="10"/>
  <c r="BA367" i="10"/>
  <c r="BB367" i="10"/>
  <c r="BC367" i="10"/>
  <c r="BE367" i="10"/>
  <c r="BF367" i="10"/>
  <c r="BG367" i="10"/>
  <c r="AY368" i="10"/>
  <c r="BD368" i="10"/>
  <c r="AZ368" i="10"/>
  <c r="BA368" i="10"/>
  <c r="BB368" i="10"/>
  <c r="BC368" i="10"/>
  <c r="BE368" i="10"/>
  <c r="BF368" i="10"/>
  <c r="BG368" i="10"/>
  <c r="AY369" i="10"/>
  <c r="BD369" i="10"/>
  <c r="AZ369" i="10"/>
  <c r="BA369" i="10"/>
  <c r="BB369" i="10"/>
  <c r="BC369" i="10"/>
  <c r="BE369" i="10"/>
  <c r="BF369" i="10"/>
  <c r="BG369" i="10"/>
  <c r="AY370" i="10"/>
  <c r="BD370" i="10"/>
  <c r="AZ370" i="10"/>
  <c r="BA370" i="10"/>
  <c r="BB370" i="10"/>
  <c r="BC370" i="10"/>
  <c r="BE370" i="10"/>
  <c r="BF370" i="10"/>
  <c r="BG370" i="10"/>
  <c r="AY371" i="10"/>
  <c r="BD371" i="10"/>
  <c r="AZ371" i="10"/>
  <c r="BA371" i="10"/>
  <c r="BB371" i="10"/>
  <c r="BC371" i="10"/>
  <c r="BE371" i="10"/>
  <c r="BF371" i="10"/>
  <c r="BG371" i="10"/>
  <c r="AY372" i="10"/>
  <c r="BD372" i="10"/>
  <c r="AZ372" i="10"/>
  <c r="BA372" i="10"/>
  <c r="BB372" i="10"/>
  <c r="BC372" i="10"/>
  <c r="BE372" i="10"/>
  <c r="BF372" i="10"/>
  <c r="BG372" i="10"/>
  <c r="AY373" i="10"/>
  <c r="BD373" i="10"/>
  <c r="AZ373" i="10"/>
  <c r="BA373" i="10"/>
  <c r="BB373" i="10"/>
  <c r="BC373" i="10"/>
  <c r="BE373" i="10"/>
  <c r="BF373" i="10"/>
  <c r="BG373" i="10"/>
  <c r="AY374" i="10"/>
  <c r="BD374" i="10"/>
  <c r="AZ374" i="10"/>
  <c r="BA374" i="10"/>
  <c r="BB374" i="10"/>
  <c r="BC374" i="10"/>
  <c r="BE374" i="10"/>
  <c r="BF374" i="10"/>
  <c r="BG374" i="10"/>
  <c r="AY375" i="10"/>
  <c r="BD375" i="10"/>
  <c r="AZ375" i="10"/>
  <c r="BA375" i="10"/>
  <c r="BB375" i="10"/>
  <c r="BC375" i="10"/>
  <c r="BE375" i="10"/>
  <c r="BF375" i="10"/>
  <c r="BG375" i="10"/>
  <c r="AY376" i="10"/>
  <c r="BD376" i="10"/>
  <c r="AZ376" i="10"/>
  <c r="BA376" i="10"/>
  <c r="BB376" i="10"/>
  <c r="BC376" i="10"/>
  <c r="BE376" i="10"/>
  <c r="BF376" i="10"/>
  <c r="BG376" i="10"/>
  <c r="AY377" i="10"/>
  <c r="BD377" i="10"/>
  <c r="AZ377" i="10"/>
  <c r="BA377" i="10"/>
  <c r="BB377" i="10"/>
  <c r="BC377" i="10"/>
  <c r="BE377" i="10"/>
  <c r="BF377" i="10"/>
  <c r="BG377" i="10"/>
  <c r="AY378" i="10"/>
  <c r="BD378" i="10"/>
  <c r="AZ378" i="10"/>
  <c r="BA378" i="10"/>
  <c r="BB378" i="10"/>
  <c r="BC378" i="10"/>
  <c r="BE378" i="10"/>
  <c r="BF378" i="10"/>
  <c r="BG378" i="10"/>
  <c r="AY379" i="10"/>
  <c r="BD379" i="10"/>
  <c r="AZ379" i="10"/>
  <c r="BA379" i="10"/>
  <c r="BB379" i="10"/>
  <c r="BC379" i="10"/>
  <c r="BE379" i="10"/>
  <c r="BF379" i="10"/>
  <c r="BG379" i="10"/>
  <c r="AY380" i="10"/>
  <c r="BD380" i="10"/>
  <c r="AZ380" i="10"/>
  <c r="BA380" i="10"/>
  <c r="BB380" i="10"/>
  <c r="BC380" i="10"/>
  <c r="BE380" i="10"/>
  <c r="BF380" i="10"/>
  <c r="BG380" i="10"/>
  <c r="AY381" i="10"/>
  <c r="BD381" i="10"/>
  <c r="AZ381" i="10"/>
  <c r="BA381" i="10"/>
  <c r="BB381" i="10"/>
  <c r="BC381" i="10"/>
  <c r="BE381" i="10"/>
  <c r="BF381" i="10"/>
  <c r="BG381" i="10"/>
  <c r="AY382" i="10"/>
  <c r="BD382" i="10"/>
  <c r="AZ382" i="10"/>
  <c r="BA382" i="10"/>
  <c r="BB382" i="10"/>
  <c r="BC382" i="10"/>
  <c r="BE382" i="10"/>
  <c r="BF382" i="10"/>
  <c r="BG382" i="10"/>
  <c r="AY383" i="10"/>
  <c r="BD383" i="10"/>
  <c r="AZ383" i="10"/>
  <c r="BA383" i="10"/>
  <c r="BB383" i="10"/>
  <c r="BC383" i="10"/>
  <c r="BE383" i="10"/>
  <c r="BF383" i="10"/>
  <c r="BG383" i="10"/>
  <c r="AY384" i="10"/>
  <c r="BD384" i="10"/>
  <c r="AZ384" i="10"/>
  <c r="BA384" i="10"/>
  <c r="BB384" i="10"/>
  <c r="BC384" i="10"/>
  <c r="BE384" i="10"/>
  <c r="BF384" i="10"/>
  <c r="BG384" i="10"/>
  <c r="AY385" i="10"/>
  <c r="BD385" i="10"/>
  <c r="AZ385" i="10"/>
  <c r="BA385" i="10"/>
  <c r="BB385" i="10"/>
  <c r="BC385" i="10"/>
  <c r="BE385" i="10"/>
  <c r="BF385" i="10"/>
  <c r="BG385" i="10"/>
  <c r="AY386" i="10"/>
  <c r="BD386" i="10"/>
  <c r="AZ386" i="10"/>
  <c r="BA386" i="10"/>
  <c r="BB386" i="10"/>
  <c r="BC386" i="10"/>
  <c r="BE386" i="10"/>
  <c r="BF386" i="10"/>
  <c r="BG386" i="10"/>
  <c r="AY387" i="10"/>
  <c r="BD387" i="10"/>
  <c r="AZ387" i="10"/>
  <c r="BA387" i="10"/>
  <c r="BB387" i="10"/>
  <c r="BC387" i="10"/>
  <c r="BE387" i="10"/>
  <c r="BF387" i="10"/>
  <c r="BG387" i="10"/>
  <c r="AY388" i="10"/>
  <c r="BD388" i="10"/>
  <c r="AZ388" i="10"/>
  <c r="BA388" i="10"/>
  <c r="BB388" i="10"/>
  <c r="BC388" i="10"/>
  <c r="BE388" i="10"/>
  <c r="BF388" i="10"/>
  <c r="BG388" i="10"/>
  <c r="AY389" i="10"/>
  <c r="BD389" i="10"/>
  <c r="AZ389" i="10"/>
  <c r="BA389" i="10"/>
  <c r="BB389" i="10"/>
  <c r="BC389" i="10"/>
  <c r="BE389" i="10"/>
  <c r="BF389" i="10"/>
  <c r="BG389" i="10"/>
  <c r="BG358" i="10"/>
  <c r="BF358" i="10"/>
  <c r="BE358" i="10"/>
  <c r="BC358" i="10"/>
  <c r="BB358" i="10"/>
  <c r="BA358" i="10"/>
  <c r="AZ358" i="10"/>
  <c r="AY358" i="10"/>
  <c r="BD358" i="10"/>
  <c r="AX358" i="10"/>
  <c r="AW358" i="10"/>
  <c r="BG357" i="10"/>
  <c r="BF357" i="10"/>
  <c r="BE357" i="10"/>
  <c r="BC357" i="10"/>
  <c r="BB357" i="10"/>
  <c r="BA357" i="10"/>
  <c r="AZ357" i="10"/>
  <c r="AY357" i="10"/>
  <c r="BD357" i="10"/>
  <c r="AX357" i="10"/>
  <c r="AW357" i="10"/>
  <c r="BG356" i="10"/>
  <c r="BF356" i="10"/>
  <c r="BE356" i="10"/>
  <c r="BC356" i="10"/>
  <c r="BB356" i="10"/>
  <c r="BA356" i="10"/>
  <c r="AZ356" i="10"/>
  <c r="AY356" i="10"/>
  <c r="BD356" i="10"/>
  <c r="AX356" i="10"/>
  <c r="AW356" i="10"/>
  <c r="BG355" i="10"/>
  <c r="BF355" i="10"/>
  <c r="BE355" i="10"/>
  <c r="BC355" i="10"/>
  <c r="BB355" i="10"/>
  <c r="BA355" i="10"/>
  <c r="AZ355" i="10"/>
  <c r="AY355" i="10"/>
  <c r="BD355" i="10"/>
  <c r="AX355" i="10"/>
  <c r="AW355" i="10"/>
  <c r="BG354" i="10"/>
  <c r="BF354" i="10"/>
  <c r="BE354" i="10"/>
  <c r="BC354" i="10"/>
  <c r="BB354" i="10"/>
  <c r="BA354" i="10"/>
  <c r="AZ354" i="10"/>
  <c r="AY354" i="10"/>
  <c r="BD354" i="10"/>
  <c r="AX354" i="10"/>
  <c r="AW354" i="10"/>
  <c r="BG353" i="10"/>
  <c r="BF353" i="10"/>
  <c r="BE353" i="10"/>
  <c r="BC353" i="10"/>
  <c r="BB353" i="10"/>
  <c r="BA353" i="10"/>
  <c r="AZ353" i="10"/>
  <c r="AY353" i="10"/>
  <c r="BD353" i="10"/>
  <c r="AX353" i="10"/>
  <c r="AW353" i="10"/>
  <c r="BG352" i="10"/>
  <c r="BF352" i="10"/>
  <c r="BE352" i="10"/>
  <c r="BC352" i="10"/>
  <c r="BB352" i="10"/>
  <c r="BA352" i="10"/>
  <c r="AZ352" i="10"/>
  <c r="AY352" i="10"/>
  <c r="BD352" i="10"/>
  <c r="AX352" i="10"/>
  <c r="AW352" i="10"/>
  <c r="BG351" i="10"/>
  <c r="BF351" i="10"/>
  <c r="BE351" i="10"/>
  <c r="BC351" i="10"/>
  <c r="BB351" i="10"/>
  <c r="BA351" i="10"/>
  <c r="AZ351" i="10"/>
  <c r="AY351" i="10"/>
  <c r="BD351" i="10"/>
  <c r="AX351" i="10"/>
  <c r="AW351" i="10"/>
  <c r="BG350" i="10"/>
  <c r="BF350" i="10"/>
  <c r="BE350" i="10"/>
  <c r="BC350" i="10"/>
  <c r="BB350" i="10"/>
  <c r="BA350" i="10"/>
  <c r="AZ350" i="10"/>
  <c r="AY350" i="10"/>
  <c r="BD350" i="10"/>
  <c r="AX350" i="10"/>
  <c r="AW350" i="10"/>
  <c r="BG349" i="10"/>
  <c r="BF349" i="10"/>
  <c r="BE349" i="10"/>
  <c r="BC349" i="10"/>
  <c r="BB349" i="10"/>
  <c r="BA349" i="10"/>
  <c r="AZ349" i="10"/>
  <c r="AY349" i="10"/>
  <c r="BD349" i="10"/>
  <c r="AX349" i="10"/>
  <c r="AW349" i="10"/>
  <c r="BG348" i="10"/>
  <c r="BF348" i="10"/>
  <c r="BE348" i="10"/>
  <c r="BC348" i="10"/>
  <c r="BB348" i="10"/>
  <c r="BA348" i="10"/>
  <c r="AZ348" i="10"/>
  <c r="AY348" i="10"/>
  <c r="BD348" i="10"/>
  <c r="AX348" i="10"/>
  <c r="AW348" i="10"/>
  <c r="BG347" i="10"/>
  <c r="BF347" i="10"/>
  <c r="BE347" i="10"/>
  <c r="BC347" i="10"/>
  <c r="BB347" i="10"/>
  <c r="BA347" i="10"/>
  <c r="AZ347" i="10"/>
  <c r="AY347" i="10"/>
  <c r="BD347" i="10"/>
  <c r="AX347" i="10"/>
  <c r="AW347" i="10"/>
  <c r="BG346" i="10"/>
  <c r="BF346" i="10"/>
  <c r="BE346" i="10"/>
  <c r="BC346" i="10"/>
  <c r="BB346" i="10"/>
  <c r="BA346" i="10"/>
  <c r="AZ346" i="10"/>
  <c r="AY346" i="10"/>
  <c r="BD346" i="10"/>
  <c r="AX346" i="10"/>
  <c r="AW346" i="10"/>
  <c r="BG345" i="10"/>
  <c r="BF345" i="10"/>
  <c r="BE345" i="10"/>
  <c r="BC345" i="10"/>
  <c r="BB345" i="10"/>
  <c r="BA345" i="10"/>
  <c r="AZ345" i="10"/>
  <c r="AY345" i="10"/>
  <c r="BD345" i="10"/>
  <c r="AX345" i="10"/>
  <c r="AW345" i="10"/>
  <c r="BG344" i="10"/>
  <c r="BF344" i="10"/>
  <c r="BE344" i="10"/>
  <c r="BC344" i="10"/>
  <c r="BB344" i="10"/>
  <c r="BA344" i="10"/>
  <c r="AZ344" i="10"/>
  <c r="AY344" i="10"/>
  <c r="BD344" i="10"/>
  <c r="AX344" i="10"/>
  <c r="AW344" i="10"/>
  <c r="BG343" i="10"/>
  <c r="BF343" i="10"/>
  <c r="BE343" i="10"/>
  <c r="BC343" i="10"/>
  <c r="BB343" i="10"/>
  <c r="BA343" i="10"/>
  <c r="AZ343" i="10"/>
  <c r="AY343" i="10"/>
  <c r="BD343" i="10"/>
  <c r="AX343" i="10"/>
  <c r="AW343" i="10"/>
  <c r="BG342" i="10"/>
  <c r="BF342" i="10"/>
  <c r="BE342" i="10"/>
  <c r="BC342" i="10"/>
  <c r="BB342" i="10"/>
  <c r="BA342" i="10"/>
  <c r="AZ342" i="10"/>
  <c r="AY342" i="10"/>
  <c r="BD342" i="10"/>
  <c r="AX342" i="10"/>
  <c r="AW342" i="10"/>
  <c r="BG341" i="10"/>
  <c r="BF341" i="10"/>
  <c r="BE341" i="10"/>
  <c r="BC341" i="10"/>
  <c r="BB341" i="10"/>
  <c r="BA341" i="10"/>
  <c r="AZ341" i="10"/>
  <c r="AY341" i="10"/>
  <c r="BD341" i="10"/>
  <c r="AX341" i="10"/>
  <c r="AW341" i="10"/>
  <c r="BG340" i="10"/>
  <c r="BF340" i="10"/>
  <c r="BE340" i="10"/>
  <c r="BC340" i="10"/>
  <c r="BB340" i="10"/>
  <c r="BA340" i="10"/>
  <c r="AZ340" i="10"/>
  <c r="AY340" i="10"/>
  <c r="BD340" i="10"/>
  <c r="AX340" i="10"/>
  <c r="AW340" i="10"/>
  <c r="BG339" i="10"/>
  <c r="BF339" i="10"/>
  <c r="BE339" i="10"/>
  <c r="BC339" i="10"/>
  <c r="BB339" i="10"/>
  <c r="BA339" i="10"/>
  <c r="AZ339" i="10"/>
  <c r="AY339" i="10"/>
  <c r="BD339" i="10"/>
  <c r="AX339" i="10"/>
  <c r="AW339" i="10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56" i="10"/>
  <c r="AX57" i="10"/>
  <c r="AX58" i="10"/>
  <c r="AX59" i="10"/>
  <c r="AX60" i="10"/>
  <c r="AX61" i="10"/>
  <c r="AX62" i="10"/>
  <c r="AX63" i="10"/>
  <c r="AX64" i="10"/>
  <c r="AX65" i="10"/>
  <c r="AX66" i="10"/>
  <c r="AX67" i="10"/>
  <c r="AX68" i="10"/>
  <c r="AX69" i="10"/>
  <c r="AX70" i="10"/>
  <c r="AX71" i="10"/>
  <c r="AX72" i="10"/>
  <c r="AX73" i="10"/>
  <c r="AX74" i="10"/>
  <c r="AX75" i="10"/>
  <c r="AX76" i="10"/>
  <c r="AX77" i="10"/>
  <c r="AX78" i="10"/>
  <c r="AX79" i="10"/>
  <c r="AX80" i="10"/>
  <c r="AX81" i="10"/>
  <c r="AX82" i="10"/>
  <c r="AX83" i="10"/>
  <c r="AX84" i="10"/>
  <c r="AX85" i="10"/>
  <c r="AX86" i="10"/>
  <c r="AX87" i="10"/>
  <c r="AX88" i="10"/>
  <c r="AX89" i="10"/>
  <c r="AX90" i="10"/>
  <c r="AX91" i="10"/>
  <c r="AX92" i="10"/>
  <c r="AX93" i="10"/>
  <c r="AX94" i="10"/>
  <c r="AX95" i="10"/>
  <c r="AX96" i="10"/>
  <c r="AX97" i="10"/>
  <c r="AX98" i="10"/>
  <c r="AX99" i="10"/>
  <c r="AX100" i="10"/>
  <c r="AX101" i="10"/>
  <c r="AX102" i="10"/>
  <c r="AX103" i="10"/>
  <c r="AX104" i="10"/>
  <c r="AX105" i="10"/>
  <c r="AX106" i="10"/>
  <c r="AX107" i="10"/>
  <c r="AX108" i="10"/>
  <c r="AX109" i="10"/>
  <c r="AX110" i="10"/>
  <c r="AX111" i="10"/>
  <c r="AX112" i="10"/>
  <c r="AX113" i="10"/>
  <c r="AX114" i="10"/>
  <c r="AX115" i="10"/>
  <c r="AX116" i="10"/>
  <c r="AX117" i="10"/>
  <c r="AX118" i="10"/>
  <c r="AX119" i="10"/>
  <c r="AX120" i="10"/>
  <c r="AX121" i="10"/>
  <c r="AX122" i="10"/>
  <c r="AX123" i="10"/>
  <c r="AX124" i="10"/>
  <c r="AX125" i="10"/>
  <c r="AX126" i="10"/>
  <c r="AX127" i="10"/>
  <c r="AX128" i="10"/>
  <c r="AX129" i="10"/>
  <c r="AX130" i="10"/>
  <c r="AX131" i="10"/>
  <c r="AX132" i="10"/>
  <c r="AX133" i="10"/>
  <c r="AX134" i="10"/>
  <c r="AX135" i="10"/>
  <c r="AX136" i="10"/>
  <c r="AX137" i="10"/>
  <c r="AX138" i="10"/>
  <c r="AX139" i="10"/>
  <c r="AX140" i="10"/>
  <c r="AX141" i="10"/>
  <c r="AX142" i="10"/>
  <c r="AX143" i="10"/>
  <c r="AX144" i="10"/>
  <c r="AX145" i="10"/>
  <c r="AX146" i="10"/>
  <c r="AX147" i="10"/>
  <c r="AX148" i="10"/>
  <c r="AX149" i="10"/>
  <c r="AX150" i="10"/>
  <c r="AX151" i="10"/>
  <c r="AX152" i="10"/>
  <c r="AX153" i="10"/>
  <c r="AX154" i="10"/>
  <c r="AX155" i="10"/>
  <c r="AX156" i="10"/>
  <c r="AX157" i="10"/>
  <c r="AX158" i="10"/>
  <c r="AX159" i="10"/>
  <c r="AX160" i="10"/>
  <c r="AX161" i="10"/>
  <c r="AX162" i="10"/>
  <c r="AX163" i="10"/>
  <c r="AX164" i="10"/>
  <c r="AX165" i="10"/>
  <c r="AX166" i="10"/>
  <c r="AX167" i="10"/>
  <c r="AX168" i="10"/>
  <c r="AX169" i="10"/>
  <c r="AX170" i="10"/>
  <c r="AX171" i="10"/>
  <c r="AX172" i="10"/>
  <c r="AX173" i="10"/>
  <c r="AX174" i="10"/>
  <c r="AX175" i="10"/>
  <c r="AX176" i="10"/>
  <c r="AX177" i="10"/>
  <c r="AX178" i="10"/>
  <c r="AX179" i="10"/>
  <c r="AX180" i="10"/>
  <c r="AX181" i="10"/>
  <c r="AX182" i="10"/>
  <c r="AX183" i="10"/>
  <c r="AX184" i="10"/>
  <c r="AX185" i="10"/>
  <c r="AX186" i="10"/>
  <c r="AX187" i="10"/>
  <c r="AX188" i="10"/>
  <c r="AX189" i="10"/>
  <c r="AX190" i="10"/>
  <c r="AX191" i="10"/>
  <c r="AX192" i="10"/>
  <c r="AX193" i="10"/>
  <c r="AX194" i="10"/>
  <c r="AX195" i="10"/>
  <c r="AX196" i="10"/>
  <c r="AX197" i="10"/>
  <c r="AX198" i="10"/>
  <c r="AX199" i="10"/>
  <c r="AX200" i="10"/>
  <c r="AX201" i="10"/>
  <c r="AX202" i="10"/>
  <c r="AX203" i="10"/>
  <c r="AX204" i="10"/>
  <c r="AX205" i="10"/>
  <c r="AX206" i="10"/>
  <c r="AX207" i="10"/>
  <c r="AX208" i="10"/>
  <c r="AX209" i="10"/>
  <c r="AX210" i="10"/>
  <c r="AX211" i="10"/>
  <c r="AX212" i="10"/>
  <c r="AX213" i="10"/>
  <c r="AX214" i="10"/>
  <c r="AX215" i="10"/>
  <c r="AX216" i="10"/>
  <c r="AX217" i="10"/>
  <c r="AX218" i="10"/>
  <c r="AX219" i="10"/>
  <c r="AX220" i="10"/>
  <c r="AX221" i="10"/>
  <c r="AX222" i="10"/>
  <c r="AX223" i="10"/>
  <c r="AX224" i="10"/>
  <c r="AX225" i="10"/>
  <c r="AX226" i="10"/>
  <c r="AX227" i="10"/>
  <c r="AX228" i="10"/>
  <c r="AX229" i="10"/>
  <c r="AX230" i="10"/>
  <c r="AX231" i="10"/>
  <c r="AX232" i="10"/>
  <c r="AX233" i="10"/>
  <c r="AX234" i="10"/>
  <c r="AX235" i="10"/>
  <c r="AX236" i="10"/>
  <c r="AX237" i="10"/>
  <c r="AX238" i="10"/>
  <c r="AX239" i="10"/>
  <c r="AX240" i="10"/>
  <c r="AX241" i="10"/>
  <c r="AX242" i="10"/>
  <c r="AX243" i="10"/>
  <c r="AX244" i="10"/>
  <c r="AX245" i="10"/>
  <c r="AX246" i="10"/>
  <c r="AX247" i="10"/>
  <c r="AX248" i="10"/>
  <c r="AX249" i="10"/>
  <c r="AX250" i="10"/>
  <c r="AX251" i="10"/>
  <c r="AX252" i="10"/>
  <c r="AX253" i="10"/>
  <c r="AX254" i="10"/>
  <c r="AX255" i="10"/>
  <c r="AX256" i="10"/>
  <c r="AX257" i="10"/>
  <c r="AX258" i="10"/>
  <c r="AX259" i="10"/>
  <c r="AX260" i="10"/>
  <c r="AX261" i="10"/>
  <c r="AX262" i="10"/>
  <c r="AX263" i="10"/>
  <c r="AX264" i="10"/>
  <c r="AX265" i="10"/>
  <c r="AX266" i="10"/>
  <c r="AX267" i="10"/>
  <c r="AX268" i="10"/>
  <c r="AX269" i="10"/>
  <c r="AX270" i="10"/>
  <c r="AX271" i="10"/>
  <c r="AX272" i="10"/>
  <c r="AX273" i="10"/>
  <c r="AX274" i="10"/>
  <c r="AX275" i="10"/>
  <c r="AX276" i="10"/>
  <c r="AX277" i="10"/>
  <c r="AX278" i="10"/>
  <c r="AX279" i="10"/>
  <c r="AX280" i="10"/>
  <c r="AX281" i="10"/>
  <c r="AX282" i="10"/>
  <c r="AX283" i="10"/>
  <c r="AX284" i="10"/>
  <c r="AX285" i="10"/>
  <c r="AX286" i="10"/>
  <c r="AX287" i="10"/>
  <c r="AX288" i="10"/>
  <c r="AX289" i="10"/>
  <c r="AX290" i="10"/>
  <c r="AX291" i="10"/>
  <c r="AX292" i="10"/>
  <c r="AX293" i="10"/>
  <c r="AX294" i="10"/>
  <c r="AX295" i="10"/>
  <c r="AX296" i="10"/>
  <c r="AX297" i="10"/>
  <c r="AX298" i="10"/>
  <c r="AX299" i="10"/>
  <c r="AX300" i="10"/>
  <c r="AX301" i="10"/>
  <c r="AX302" i="10"/>
  <c r="AX303" i="10"/>
  <c r="AX304" i="10"/>
  <c r="AX305" i="10"/>
  <c r="AX306" i="10"/>
  <c r="AX307" i="10"/>
  <c r="AX308" i="10"/>
  <c r="AX309" i="10"/>
  <c r="AX310" i="10"/>
  <c r="AX311" i="10"/>
  <c r="AX312" i="10"/>
  <c r="AX313" i="10"/>
  <c r="AX314" i="10"/>
  <c r="AX315" i="10"/>
  <c r="AX316" i="10"/>
  <c r="AX317" i="10"/>
  <c r="AX318" i="10"/>
  <c r="AX319" i="10"/>
  <c r="AX320" i="10"/>
  <c r="AX321" i="10"/>
  <c r="AX322" i="10"/>
  <c r="AX323" i="10"/>
  <c r="AX324" i="10"/>
  <c r="AX325" i="10"/>
  <c r="AX326" i="10"/>
  <c r="AX327" i="10"/>
  <c r="AX328" i="10"/>
  <c r="AX329" i="10"/>
  <c r="AX330" i="10"/>
  <c r="AX331" i="10"/>
  <c r="AX332" i="10"/>
  <c r="AX333" i="10"/>
  <c r="AX334" i="10"/>
  <c r="AX335" i="10"/>
  <c r="AX336" i="10"/>
  <c r="AX337" i="10"/>
  <c r="AX338" i="10"/>
  <c r="AX2" i="10"/>
  <c r="AW2" i="10"/>
  <c r="AW24" i="10"/>
  <c r="AW25" i="10"/>
  <c r="AW26" i="10"/>
  <c r="AW27" i="10"/>
  <c r="AW28" i="10"/>
  <c r="AW29" i="10"/>
  <c r="AW30" i="10"/>
  <c r="AW31" i="10"/>
  <c r="AW32" i="10"/>
  <c r="AW33" i="10"/>
  <c r="AW34" i="10"/>
  <c r="AW35" i="10"/>
  <c r="AW36" i="10"/>
  <c r="AW37" i="10"/>
  <c r="AW38" i="10"/>
  <c r="AW39" i="10"/>
  <c r="AW40" i="10"/>
  <c r="AW41" i="10"/>
  <c r="AW42" i="10"/>
  <c r="AW43" i="10"/>
  <c r="AW44" i="10"/>
  <c r="AW45" i="10"/>
  <c r="AW46" i="10"/>
  <c r="AW47" i="10"/>
  <c r="AW48" i="10"/>
  <c r="AW49" i="10"/>
  <c r="AW50" i="10"/>
  <c r="AW51" i="10"/>
  <c r="AW52" i="10"/>
  <c r="AW53" i="10"/>
  <c r="AW54" i="10"/>
  <c r="AW55" i="10"/>
  <c r="AW56" i="10"/>
  <c r="AW57" i="10"/>
  <c r="AW58" i="10"/>
  <c r="AW59" i="10"/>
  <c r="AW60" i="10"/>
  <c r="AW61" i="10"/>
  <c r="AW62" i="10"/>
  <c r="AW63" i="10"/>
  <c r="AW64" i="10"/>
  <c r="AW65" i="10"/>
  <c r="AW66" i="10"/>
  <c r="AW67" i="10"/>
  <c r="AW68" i="10"/>
  <c r="AW69" i="10"/>
  <c r="AW70" i="10"/>
  <c r="AW71" i="10"/>
  <c r="AW72" i="10"/>
  <c r="AW73" i="10"/>
  <c r="AW74" i="10"/>
  <c r="AW75" i="10"/>
  <c r="AW76" i="10"/>
  <c r="AW77" i="10"/>
  <c r="AW78" i="10"/>
  <c r="AW79" i="10"/>
  <c r="AW80" i="10"/>
  <c r="AW81" i="10"/>
  <c r="AW82" i="10"/>
  <c r="AW83" i="10"/>
  <c r="AW84" i="10"/>
  <c r="AW85" i="10"/>
  <c r="AW86" i="10"/>
  <c r="AW87" i="10"/>
  <c r="AW88" i="10"/>
  <c r="AW89" i="10"/>
  <c r="AW90" i="10"/>
  <c r="AW91" i="10"/>
  <c r="AW92" i="10"/>
  <c r="AW93" i="10"/>
  <c r="AW94" i="10"/>
  <c r="AW95" i="10"/>
  <c r="AW96" i="10"/>
  <c r="AW97" i="10"/>
  <c r="AW98" i="10"/>
  <c r="AW99" i="10"/>
  <c r="AW100" i="10"/>
  <c r="AW101" i="10"/>
  <c r="AW102" i="10"/>
  <c r="AW103" i="10"/>
  <c r="AW104" i="10"/>
  <c r="AW105" i="10"/>
  <c r="AW106" i="10"/>
  <c r="AW107" i="10"/>
  <c r="AW108" i="10"/>
  <c r="AW109" i="10"/>
  <c r="AW110" i="10"/>
  <c r="AW111" i="10"/>
  <c r="AW112" i="10"/>
  <c r="AW113" i="10"/>
  <c r="AW114" i="10"/>
  <c r="AW115" i="10"/>
  <c r="AW116" i="10"/>
  <c r="AW117" i="10"/>
  <c r="AW118" i="10"/>
  <c r="AW119" i="10"/>
  <c r="AW120" i="10"/>
  <c r="AW121" i="10"/>
  <c r="AW122" i="10"/>
  <c r="AW123" i="10"/>
  <c r="AW124" i="10"/>
  <c r="AW125" i="10"/>
  <c r="AW126" i="10"/>
  <c r="AW127" i="10"/>
  <c r="AW128" i="10"/>
  <c r="AW129" i="10"/>
  <c r="AW130" i="10"/>
  <c r="AW131" i="10"/>
  <c r="AW132" i="10"/>
  <c r="AW133" i="10"/>
  <c r="AW134" i="10"/>
  <c r="AW135" i="10"/>
  <c r="AW136" i="10"/>
  <c r="AW137" i="10"/>
  <c r="AW138" i="10"/>
  <c r="AW139" i="10"/>
  <c r="AW140" i="10"/>
  <c r="AW141" i="10"/>
  <c r="AW142" i="10"/>
  <c r="AW143" i="10"/>
  <c r="AW144" i="10"/>
  <c r="AW145" i="10"/>
  <c r="AW146" i="10"/>
  <c r="AW147" i="10"/>
  <c r="AW148" i="10"/>
  <c r="AW149" i="10"/>
  <c r="AW150" i="10"/>
  <c r="AW151" i="10"/>
  <c r="AW152" i="10"/>
  <c r="AW153" i="10"/>
  <c r="AW154" i="10"/>
  <c r="AW155" i="10"/>
  <c r="AW156" i="10"/>
  <c r="AW157" i="10"/>
  <c r="AW158" i="10"/>
  <c r="AW159" i="10"/>
  <c r="AW160" i="10"/>
  <c r="AW161" i="10"/>
  <c r="AW162" i="10"/>
  <c r="AW163" i="10"/>
  <c r="AW164" i="10"/>
  <c r="AW165" i="10"/>
  <c r="AW166" i="10"/>
  <c r="AW167" i="10"/>
  <c r="AW168" i="10"/>
  <c r="AW169" i="10"/>
  <c r="AW170" i="10"/>
  <c r="AW171" i="10"/>
  <c r="AW172" i="10"/>
  <c r="AW173" i="10"/>
  <c r="AW174" i="10"/>
  <c r="AW175" i="10"/>
  <c r="AW176" i="10"/>
  <c r="AW177" i="10"/>
  <c r="AW178" i="10"/>
  <c r="AW179" i="10"/>
  <c r="AW180" i="10"/>
  <c r="AW181" i="10"/>
  <c r="AW182" i="10"/>
  <c r="AW183" i="10"/>
  <c r="AW184" i="10"/>
  <c r="AW185" i="10"/>
  <c r="AW186" i="10"/>
  <c r="AW187" i="10"/>
  <c r="AW188" i="10"/>
  <c r="AW189" i="10"/>
  <c r="AW190" i="10"/>
  <c r="AW191" i="10"/>
  <c r="AW192" i="10"/>
  <c r="AW193" i="10"/>
  <c r="AW194" i="10"/>
  <c r="AW195" i="10"/>
  <c r="AW196" i="10"/>
  <c r="AW197" i="10"/>
  <c r="AW198" i="10"/>
  <c r="AW199" i="10"/>
  <c r="AW200" i="10"/>
  <c r="AW201" i="10"/>
  <c r="AW202" i="10"/>
  <c r="AW203" i="10"/>
  <c r="AW204" i="10"/>
  <c r="AW205" i="10"/>
  <c r="AW206" i="10"/>
  <c r="AW207" i="10"/>
  <c r="AW208" i="10"/>
  <c r="AW209" i="10"/>
  <c r="AW210" i="10"/>
  <c r="AW211" i="10"/>
  <c r="AW212" i="10"/>
  <c r="AW213" i="10"/>
  <c r="AW214" i="10"/>
  <c r="AW215" i="10"/>
  <c r="AW216" i="10"/>
  <c r="AW217" i="10"/>
  <c r="AW218" i="10"/>
  <c r="AW219" i="10"/>
  <c r="AW220" i="10"/>
  <c r="AW221" i="10"/>
  <c r="AW222" i="10"/>
  <c r="AW223" i="10"/>
  <c r="AW224" i="10"/>
  <c r="AW225" i="10"/>
  <c r="AW226" i="10"/>
  <c r="AW227" i="10"/>
  <c r="AW228" i="10"/>
  <c r="AW229" i="10"/>
  <c r="AW230" i="10"/>
  <c r="AW231" i="10"/>
  <c r="AW232" i="10"/>
  <c r="AW233" i="10"/>
  <c r="AW234" i="10"/>
  <c r="AW235" i="10"/>
  <c r="AW236" i="10"/>
  <c r="AW237" i="10"/>
  <c r="AW238" i="10"/>
  <c r="AW239" i="10"/>
  <c r="AW240" i="10"/>
  <c r="AW241" i="10"/>
  <c r="AW242" i="10"/>
  <c r="AW243" i="10"/>
  <c r="AW244" i="10"/>
  <c r="AW245" i="10"/>
  <c r="AW246" i="10"/>
  <c r="AW247" i="10"/>
  <c r="AW248" i="10"/>
  <c r="AW249" i="10"/>
  <c r="AW250" i="10"/>
  <c r="AW251" i="10"/>
  <c r="AW252" i="10"/>
  <c r="AW253" i="10"/>
  <c r="AW254" i="10"/>
  <c r="AW255" i="10"/>
  <c r="AW256" i="10"/>
  <c r="AW257" i="10"/>
  <c r="AW258" i="10"/>
  <c r="AW259" i="10"/>
  <c r="AW260" i="10"/>
  <c r="AW261" i="10"/>
  <c r="AW262" i="10"/>
  <c r="AW263" i="10"/>
  <c r="AW264" i="10"/>
  <c r="AW265" i="10"/>
  <c r="AW266" i="10"/>
  <c r="AW267" i="10"/>
  <c r="AW268" i="10"/>
  <c r="AW269" i="10"/>
  <c r="AW270" i="10"/>
  <c r="AW271" i="10"/>
  <c r="AW272" i="10"/>
  <c r="AW273" i="10"/>
  <c r="AW274" i="10"/>
  <c r="AW275" i="10"/>
  <c r="AW276" i="10"/>
  <c r="AW277" i="10"/>
  <c r="AW278" i="10"/>
  <c r="AW279" i="10"/>
  <c r="AW280" i="10"/>
  <c r="AW281" i="10"/>
  <c r="AW282" i="10"/>
  <c r="AW283" i="10"/>
  <c r="AW284" i="10"/>
  <c r="AW285" i="10"/>
  <c r="AW286" i="10"/>
  <c r="AW287" i="10"/>
  <c r="AW288" i="10"/>
  <c r="AW289" i="10"/>
  <c r="AW290" i="10"/>
  <c r="AW291" i="10"/>
  <c r="AW292" i="10"/>
  <c r="AW293" i="10"/>
  <c r="AW294" i="10"/>
  <c r="AW295" i="10"/>
  <c r="AW296" i="10"/>
  <c r="AW297" i="10"/>
  <c r="AW298" i="10"/>
  <c r="AW299" i="10"/>
  <c r="AW300" i="10"/>
  <c r="AW301" i="10"/>
  <c r="AW302" i="10"/>
  <c r="AW303" i="10"/>
  <c r="AW304" i="10"/>
  <c r="AW305" i="10"/>
  <c r="AW306" i="10"/>
  <c r="AW307" i="10"/>
  <c r="AW308" i="10"/>
  <c r="AW309" i="10"/>
  <c r="AW310" i="10"/>
  <c r="AW311" i="10"/>
  <c r="AW312" i="10"/>
  <c r="AW313" i="10"/>
  <c r="AW314" i="10"/>
  <c r="AW315" i="10"/>
  <c r="AW316" i="10"/>
  <c r="AW317" i="10"/>
  <c r="AW318" i="10"/>
  <c r="AW319" i="10"/>
  <c r="AW320" i="10"/>
  <c r="AW321" i="10"/>
  <c r="AW322" i="10"/>
  <c r="AW323" i="10"/>
  <c r="AW324" i="10"/>
  <c r="AW325" i="10"/>
  <c r="AW326" i="10"/>
  <c r="AW327" i="10"/>
  <c r="AW328" i="10"/>
  <c r="AW329" i="10"/>
  <c r="AW330" i="10"/>
  <c r="AW331" i="10"/>
  <c r="AW332" i="10"/>
  <c r="AW333" i="10"/>
  <c r="AW334" i="10"/>
  <c r="AW335" i="10"/>
  <c r="AW336" i="10"/>
  <c r="AW337" i="10"/>
  <c r="AW338" i="10"/>
  <c r="AW3" i="10"/>
  <c r="AW4" i="10"/>
  <c r="AW5" i="10"/>
  <c r="AW6" i="10"/>
  <c r="AW7" i="10"/>
  <c r="AW8" i="10"/>
  <c r="AW9" i="10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BG338" i="10"/>
  <c r="BF338" i="10"/>
  <c r="BE338" i="10"/>
  <c r="BC338" i="10"/>
  <c r="BB338" i="10"/>
  <c r="BA338" i="10"/>
  <c r="AZ338" i="10"/>
  <c r="AY338" i="10"/>
  <c r="BD338" i="10"/>
  <c r="BG337" i="10"/>
  <c r="BF337" i="10"/>
  <c r="BE337" i="10"/>
  <c r="BC337" i="10"/>
  <c r="BB337" i="10"/>
  <c r="BA337" i="10"/>
  <c r="AZ337" i="10"/>
  <c r="AY337" i="10"/>
  <c r="BD337" i="10"/>
  <c r="BG336" i="10"/>
  <c r="BF336" i="10"/>
  <c r="BE336" i="10"/>
  <c r="BC336" i="10"/>
  <c r="BB336" i="10"/>
  <c r="BA336" i="10"/>
  <c r="AZ336" i="10"/>
  <c r="AY336" i="10"/>
  <c r="BD336" i="10"/>
  <c r="BG335" i="10"/>
  <c r="BF335" i="10"/>
  <c r="BE335" i="10"/>
  <c r="BC335" i="10"/>
  <c r="BB335" i="10"/>
  <c r="BA335" i="10"/>
  <c r="AZ335" i="10"/>
  <c r="AY335" i="10"/>
  <c r="BD335" i="10"/>
  <c r="BG334" i="10"/>
  <c r="BF334" i="10"/>
  <c r="BE334" i="10"/>
  <c r="BC334" i="10"/>
  <c r="BB334" i="10"/>
  <c r="BA334" i="10"/>
  <c r="AZ334" i="10"/>
  <c r="AY334" i="10"/>
  <c r="BD334" i="10"/>
  <c r="BG333" i="10"/>
  <c r="BF333" i="10"/>
  <c r="BE333" i="10"/>
  <c r="BC333" i="10"/>
  <c r="BB333" i="10"/>
  <c r="BA333" i="10"/>
  <c r="AZ333" i="10"/>
  <c r="AY333" i="10"/>
  <c r="BD333" i="10"/>
  <c r="BG332" i="10"/>
  <c r="BF332" i="10"/>
  <c r="BE332" i="10"/>
  <c r="BC332" i="10"/>
  <c r="BB332" i="10"/>
  <c r="BA332" i="10"/>
  <c r="AZ332" i="10"/>
  <c r="AY332" i="10"/>
  <c r="BD332" i="10"/>
  <c r="BG331" i="10"/>
  <c r="BF331" i="10"/>
  <c r="BE331" i="10"/>
  <c r="BC331" i="10"/>
  <c r="BB331" i="10"/>
  <c r="BA331" i="10"/>
  <c r="AZ331" i="10"/>
  <c r="AY331" i="10"/>
  <c r="BD331" i="10"/>
  <c r="BG330" i="10"/>
  <c r="BF330" i="10"/>
  <c r="BE330" i="10"/>
  <c r="BC330" i="10"/>
  <c r="BB330" i="10"/>
  <c r="BA330" i="10"/>
  <c r="AZ330" i="10"/>
  <c r="AY330" i="10"/>
  <c r="BD330" i="10"/>
  <c r="BG329" i="10"/>
  <c r="BF329" i="10"/>
  <c r="BE329" i="10"/>
  <c r="BC329" i="10"/>
  <c r="BB329" i="10"/>
  <c r="BA329" i="10"/>
  <c r="AZ329" i="10"/>
  <c r="AY329" i="10"/>
  <c r="BD329" i="10"/>
  <c r="BC10" i="10"/>
  <c r="BC11" i="10"/>
  <c r="BC12" i="10"/>
  <c r="BC13" i="10"/>
  <c r="BC14" i="10"/>
  <c r="BC15" i="10"/>
  <c r="BC16" i="10"/>
  <c r="BC17" i="10"/>
  <c r="BC18" i="10"/>
  <c r="BC19" i="10"/>
  <c r="BC20" i="10"/>
  <c r="BC21" i="10"/>
  <c r="BC22" i="10"/>
  <c r="BC23" i="10"/>
  <c r="BC24" i="10"/>
  <c r="BC25" i="10"/>
  <c r="BC26" i="10"/>
  <c r="BC27" i="10"/>
  <c r="BC28" i="10"/>
  <c r="BC29" i="10"/>
  <c r="BC30" i="10"/>
  <c r="BC31" i="10"/>
  <c r="BC32" i="10"/>
  <c r="BC33" i="10"/>
  <c r="BC34" i="10"/>
  <c r="BC35" i="10"/>
  <c r="BC36" i="10"/>
  <c r="BC37" i="10"/>
  <c r="BC38" i="10"/>
  <c r="BC39" i="10"/>
  <c r="BC40" i="10"/>
  <c r="BC41" i="10"/>
  <c r="BC42" i="10"/>
  <c r="BC43" i="10"/>
  <c r="BC44" i="10"/>
  <c r="BC45" i="10"/>
  <c r="BC46" i="10"/>
  <c r="BC47" i="10"/>
  <c r="BC48" i="10"/>
  <c r="BC49" i="10"/>
  <c r="BC50" i="10"/>
  <c r="BC51" i="10"/>
  <c r="BC52" i="10"/>
  <c r="BC53" i="10"/>
  <c r="BC54" i="10"/>
  <c r="BC55" i="10"/>
  <c r="BC56" i="10"/>
  <c r="BC57" i="10"/>
  <c r="BC58" i="10"/>
  <c r="BC59" i="10"/>
  <c r="BC60" i="10"/>
  <c r="BC61" i="10"/>
  <c r="BC62" i="10"/>
  <c r="BC63" i="10"/>
  <c r="BC64" i="10"/>
  <c r="BC65" i="10"/>
  <c r="BC66" i="10"/>
  <c r="BC67" i="10"/>
  <c r="BC68" i="10"/>
  <c r="BC69" i="10"/>
  <c r="BC70" i="10"/>
  <c r="BC71" i="10"/>
  <c r="BC72" i="10"/>
  <c r="BC73" i="10"/>
  <c r="BC74" i="10"/>
  <c r="BC75" i="10"/>
  <c r="BC76" i="10"/>
  <c r="BC77" i="10"/>
  <c r="BC78" i="10"/>
  <c r="BC79" i="10"/>
  <c r="BC80" i="10"/>
  <c r="BC81" i="10"/>
  <c r="BC82" i="10"/>
  <c r="BC83" i="10"/>
  <c r="BC84" i="10"/>
  <c r="BC85" i="10"/>
  <c r="BC86" i="10"/>
  <c r="BC87" i="10"/>
  <c r="BC88" i="10"/>
  <c r="BC89" i="10"/>
  <c r="BC90" i="10"/>
  <c r="BC91" i="10"/>
  <c r="BC92" i="10"/>
  <c r="BC93" i="10"/>
  <c r="BC94" i="10"/>
  <c r="BC95" i="10"/>
  <c r="BC96" i="10"/>
  <c r="BC97" i="10"/>
  <c r="BC98" i="10"/>
  <c r="BC99" i="10"/>
  <c r="BC100" i="10"/>
  <c r="BC101" i="10"/>
  <c r="BC102" i="10"/>
  <c r="BC103" i="10"/>
  <c r="BC104" i="10"/>
  <c r="BC105" i="10"/>
  <c r="BC106" i="10"/>
  <c r="BC107" i="10"/>
  <c r="BC108" i="10"/>
  <c r="BC109" i="10"/>
  <c r="BC110" i="10"/>
  <c r="BC111" i="10"/>
  <c r="BC112" i="10"/>
  <c r="BC113" i="10"/>
  <c r="BC114" i="10"/>
  <c r="BC115" i="10"/>
  <c r="BC116" i="10"/>
  <c r="BC117" i="10"/>
  <c r="BC118" i="10"/>
  <c r="BC119" i="10"/>
  <c r="BC120" i="10"/>
  <c r="BC121" i="10"/>
  <c r="BC122" i="10"/>
  <c r="BC123" i="10"/>
  <c r="BC124" i="10"/>
  <c r="BC125" i="10"/>
  <c r="BC126" i="10"/>
  <c r="BC127" i="10"/>
  <c r="BC128" i="10"/>
  <c r="BC129" i="10"/>
  <c r="BC130" i="10"/>
  <c r="BC131" i="10"/>
  <c r="BC132" i="10"/>
  <c r="BC133" i="10"/>
  <c r="BC134" i="10"/>
  <c r="BC135" i="10"/>
  <c r="BC136" i="10"/>
  <c r="BC137" i="10"/>
  <c r="BC138" i="10"/>
  <c r="BC139" i="10"/>
  <c r="BC140" i="10"/>
  <c r="BC141" i="10"/>
  <c r="BC142" i="10"/>
  <c r="BC143" i="10"/>
  <c r="BC144" i="10"/>
  <c r="BC145" i="10"/>
  <c r="BC146" i="10"/>
  <c r="BC147" i="10"/>
  <c r="BC148" i="10"/>
  <c r="BC149" i="10"/>
  <c r="BC150" i="10"/>
  <c r="BC151" i="10"/>
  <c r="BC152" i="10"/>
  <c r="BC153" i="10"/>
  <c r="BC154" i="10"/>
  <c r="BC155" i="10"/>
  <c r="BC156" i="10"/>
  <c r="BC157" i="10"/>
  <c r="BC158" i="10"/>
  <c r="BC159" i="10"/>
  <c r="BC160" i="10"/>
  <c r="BC161" i="10"/>
  <c r="BC162" i="10"/>
  <c r="BC163" i="10"/>
  <c r="BC164" i="10"/>
  <c r="BC165" i="10"/>
  <c r="BC166" i="10"/>
  <c r="BC167" i="10"/>
  <c r="BC168" i="10"/>
  <c r="BC169" i="10"/>
  <c r="BC170" i="10"/>
  <c r="BC171" i="10"/>
  <c r="BC172" i="10"/>
  <c r="BC173" i="10"/>
  <c r="BC174" i="10"/>
  <c r="BC175" i="10"/>
  <c r="BC176" i="10"/>
  <c r="BC177" i="10"/>
  <c r="BC178" i="10"/>
  <c r="BC179" i="10"/>
  <c r="BC180" i="10"/>
  <c r="BC181" i="10"/>
  <c r="BC182" i="10"/>
  <c r="BC183" i="10"/>
  <c r="BC184" i="10"/>
  <c r="BC185" i="10"/>
  <c r="BC186" i="10"/>
  <c r="BC187" i="10"/>
  <c r="BC188" i="10"/>
  <c r="BC189" i="10"/>
  <c r="BC190" i="10"/>
  <c r="BC191" i="10"/>
  <c r="BC192" i="10"/>
  <c r="BC193" i="10"/>
  <c r="BC194" i="10"/>
  <c r="BC195" i="10"/>
  <c r="BC196" i="10"/>
  <c r="BC197" i="10"/>
  <c r="BC198" i="10"/>
  <c r="BC199" i="10"/>
  <c r="BC200" i="10"/>
  <c r="BC201" i="10"/>
  <c r="BC202" i="10"/>
  <c r="BC203" i="10"/>
  <c r="BC204" i="10"/>
  <c r="BC205" i="10"/>
  <c r="BC206" i="10"/>
  <c r="BC207" i="10"/>
  <c r="BC208" i="10"/>
  <c r="BC209" i="10"/>
  <c r="BC210" i="10"/>
  <c r="BC211" i="10"/>
  <c r="BC212" i="10"/>
  <c r="BC213" i="10"/>
  <c r="BC214" i="10"/>
  <c r="BC215" i="10"/>
  <c r="BC216" i="10"/>
  <c r="BC217" i="10"/>
  <c r="BC218" i="10"/>
  <c r="BC219" i="10"/>
  <c r="BC220" i="10"/>
  <c r="BC221" i="10"/>
  <c r="BC222" i="10"/>
  <c r="BC223" i="10"/>
  <c r="BC224" i="10"/>
  <c r="BC225" i="10"/>
  <c r="BC226" i="10"/>
  <c r="BC227" i="10"/>
  <c r="BC228" i="10"/>
  <c r="BC229" i="10"/>
  <c r="BC230" i="10"/>
  <c r="BC231" i="10"/>
  <c r="BC232" i="10"/>
  <c r="BC233" i="10"/>
  <c r="BC234" i="10"/>
  <c r="BC235" i="10"/>
  <c r="BC236" i="10"/>
  <c r="BC237" i="10"/>
  <c r="BC238" i="10"/>
  <c r="BC239" i="10"/>
  <c r="BC240" i="10"/>
  <c r="BC241" i="10"/>
  <c r="BC242" i="10"/>
  <c r="BC243" i="10"/>
  <c r="BC244" i="10"/>
  <c r="BC245" i="10"/>
  <c r="BC246" i="10"/>
  <c r="BC247" i="10"/>
  <c r="BC248" i="10"/>
  <c r="BC249" i="10"/>
  <c r="BC250" i="10"/>
  <c r="BC251" i="10"/>
  <c r="BC252" i="10"/>
  <c r="BC253" i="10"/>
  <c r="BC254" i="10"/>
  <c r="BC255" i="10"/>
  <c r="BC256" i="10"/>
  <c r="BC257" i="10"/>
  <c r="BC258" i="10"/>
  <c r="BC259" i="10"/>
  <c r="BC260" i="10"/>
  <c r="BC261" i="10"/>
  <c r="BC262" i="10"/>
  <c r="BC263" i="10"/>
  <c r="BC264" i="10"/>
  <c r="BC265" i="10"/>
  <c r="BC266" i="10"/>
  <c r="BC267" i="10"/>
  <c r="BC268" i="10"/>
  <c r="BC269" i="10"/>
  <c r="BC270" i="10"/>
  <c r="BC271" i="10"/>
  <c r="BC272" i="10"/>
  <c r="BC273" i="10"/>
  <c r="BC274" i="10"/>
  <c r="BC275" i="10"/>
  <c r="BC276" i="10"/>
  <c r="BC277" i="10"/>
  <c r="BC278" i="10"/>
  <c r="BC279" i="10"/>
  <c r="BC280" i="10"/>
  <c r="BC281" i="10"/>
  <c r="BC282" i="10"/>
  <c r="BC283" i="10"/>
  <c r="BC284" i="10"/>
  <c r="BC285" i="10"/>
  <c r="BC286" i="10"/>
  <c r="BC287" i="10"/>
  <c r="BC288" i="10"/>
  <c r="BC289" i="10"/>
  <c r="BC290" i="10"/>
  <c r="BC291" i="10"/>
  <c r="BC292" i="10"/>
  <c r="BC293" i="10"/>
  <c r="BC294" i="10"/>
  <c r="BC295" i="10"/>
  <c r="BC296" i="10"/>
  <c r="BC297" i="10"/>
  <c r="BC298" i="10"/>
  <c r="BC299" i="10"/>
  <c r="BC300" i="10"/>
  <c r="BC301" i="10"/>
  <c r="BC302" i="10"/>
  <c r="BC303" i="10"/>
  <c r="BC304" i="10"/>
  <c r="BC305" i="10"/>
  <c r="BC306" i="10"/>
  <c r="BC307" i="10"/>
  <c r="BC308" i="10"/>
  <c r="BC309" i="10"/>
  <c r="BC310" i="10"/>
  <c r="BC311" i="10"/>
  <c r="BC312" i="10"/>
  <c r="BC313" i="10"/>
  <c r="BC314" i="10"/>
  <c r="BC315" i="10"/>
  <c r="BC316" i="10"/>
  <c r="BC317" i="10"/>
  <c r="BC318" i="10"/>
  <c r="BC319" i="10"/>
  <c r="BC320" i="10"/>
  <c r="BC321" i="10"/>
  <c r="BC322" i="10"/>
  <c r="BC323" i="10"/>
  <c r="BC324" i="10"/>
  <c r="BC325" i="10"/>
  <c r="BC326" i="10"/>
  <c r="BC327" i="10"/>
  <c r="BC328" i="10"/>
  <c r="BC3" i="10"/>
  <c r="BC4" i="10"/>
  <c r="BC5" i="10"/>
  <c r="BC6" i="10"/>
  <c r="BC7" i="10"/>
  <c r="BC8" i="10"/>
  <c r="BC9" i="10"/>
  <c r="BE2" i="10"/>
  <c r="AY319" i="10"/>
  <c r="BD319" i="10"/>
  <c r="BG328" i="10"/>
  <c r="BF328" i="10"/>
  <c r="BE328" i="10"/>
  <c r="BB328" i="10"/>
  <c r="BA328" i="10"/>
  <c r="AZ328" i="10"/>
  <c r="AY328" i="10"/>
  <c r="BD328" i="10"/>
  <c r="BG327" i="10"/>
  <c r="BF327" i="10"/>
  <c r="BE327" i="10"/>
  <c r="BB327" i="10"/>
  <c r="BA327" i="10"/>
  <c r="AZ327" i="10"/>
  <c r="AY327" i="10"/>
  <c r="BD327" i="10"/>
  <c r="BG326" i="10"/>
  <c r="BF326" i="10"/>
  <c r="BE326" i="10"/>
  <c r="BB326" i="10"/>
  <c r="BA326" i="10"/>
  <c r="AZ326" i="10"/>
  <c r="AY326" i="10"/>
  <c r="BD326" i="10"/>
  <c r="BG325" i="10"/>
  <c r="BF325" i="10"/>
  <c r="BE325" i="10"/>
  <c r="BB325" i="10"/>
  <c r="BA325" i="10"/>
  <c r="AZ325" i="10"/>
  <c r="AY325" i="10"/>
  <c r="BD325" i="10"/>
  <c r="BG324" i="10"/>
  <c r="BF324" i="10"/>
  <c r="BE324" i="10"/>
  <c r="BB324" i="10"/>
  <c r="BA324" i="10"/>
  <c r="AZ324" i="10"/>
  <c r="AY324" i="10"/>
  <c r="BD324" i="10"/>
  <c r="BG323" i="10"/>
  <c r="BF323" i="10"/>
  <c r="BE323" i="10"/>
  <c r="BB323" i="10"/>
  <c r="BA323" i="10"/>
  <c r="AZ323" i="10"/>
  <c r="AY323" i="10"/>
  <c r="BD323" i="10"/>
  <c r="BG322" i="10"/>
  <c r="BF322" i="10"/>
  <c r="BE322" i="10"/>
  <c r="BB322" i="10"/>
  <c r="BA322" i="10"/>
  <c r="AZ322" i="10"/>
  <c r="AY322" i="10"/>
  <c r="BD322" i="10"/>
  <c r="BG321" i="10"/>
  <c r="BF321" i="10"/>
  <c r="BE321" i="10"/>
  <c r="BB321" i="10"/>
  <c r="BA321" i="10"/>
  <c r="AZ321" i="10"/>
  <c r="AY321" i="10"/>
  <c r="BD321" i="10"/>
  <c r="BG320" i="10"/>
  <c r="BF320" i="10"/>
  <c r="BE320" i="10"/>
  <c r="BB320" i="10"/>
  <c r="BA320" i="10"/>
  <c r="AZ320" i="10"/>
  <c r="AY320" i="10"/>
  <c r="BD320" i="10"/>
  <c r="BG319" i="10"/>
  <c r="BF319" i="10"/>
  <c r="BE319" i="10"/>
  <c r="BB319" i="10"/>
  <c r="BA319" i="10"/>
  <c r="AZ319" i="10"/>
  <c r="BG318" i="10"/>
  <c r="BF318" i="10"/>
  <c r="BE318" i="10"/>
  <c r="BB318" i="10"/>
  <c r="BA318" i="10"/>
  <c r="AZ318" i="10"/>
  <c r="AY318" i="10"/>
  <c r="BD318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49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E169" i="10"/>
  <c r="BE170" i="10"/>
  <c r="BE171" i="10"/>
  <c r="BE172" i="10"/>
  <c r="BE173" i="10"/>
  <c r="BE174" i="10"/>
  <c r="BE175" i="10"/>
  <c r="BE176" i="10"/>
  <c r="BE177" i="10"/>
  <c r="BE178" i="10"/>
  <c r="BE179" i="10"/>
  <c r="BE180" i="10"/>
  <c r="BE181" i="10"/>
  <c r="BE182" i="10"/>
  <c r="BE183" i="10"/>
  <c r="BE184" i="10"/>
  <c r="BE185" i="10"/>
  <c r="BE186" i="10"/>
  <c r="BE187" i="10"/>
  <c r="BE188" i="10"/>
  <c r="BE189" i="10"/>
  <c r="BE190" i="10"/>
  <c r="BE191" i="10"/>
  <c r="BE192" i="10"/>
  <c r="BE193" i="10"/>
  <c r="BE194" i="10"/>
  <c r="BE195" i="10"/>
  <c r="BE196" i="10"/>
  <c r="BE197" i="10"/>
  <c r="BE198" i="10"/>
  <c r="BE199" i="10"/>
  <c r="BE200" i="10"/>
  <c r="BE201" i="10"/>
  <c r="BE202" i="10"/>
  <c r="BE203" i="10"/>
  <c r="BE204" i="10"/>
  <c r="BE205" i="10"/>
  <c r="BE206" i="10"/>
  <c r="BE207" i="10"/>
  <c r="BE208" i="10"/>
  <c r="BE209" i="10"/>
  <c r="BE210" i="10"/>
  <c r="BE211" i="10"/>
  <c r="BE212" i="10"/>
  <c r="BE213" i="10"/>
  <c r="BE214" i="10"/>
  <c r="BE215" i="10"/>
  <c r="BE216" i="10"/>
  <c r="BE217" i="10"/>
  <c r="BE218" i="10"/>
  <c r="BE219" i="10"/>
  <c r="BE220" i="10"/>
  <c r="BE221" i="10"/>
  <c r="BE222" i="10"/>
  <c r="BE223" i="10"/>
  <c r="BE224" i="10"/>
  <c r="BE225" i="10"/>
  <c r="BE226" i="10"/>
  <c r="BE227" i="10"/>
  <c r="BE228" i="10"/>
  <c r="BE229" i="10"/>
  <c r="BE230" i="10"/>
  <c r="BE231" i="10"/>
  <c r="BE232" i="10"/>
  <c r="BE233" i="10"/>
  <c r="BE234" i="10"/>
  <c r="BE235" i="10"/>
  <c r="BE236" i="10"/>
  <c r="BE237" i="10"/>
  <c r="BE238" i="10"/>
  <c r="BE239" i="10"/>
  <c r="BE240" i="10"/>
  <c r="BE241" i="10"/>
  <c r="BE242" i="10"/>
  <c r="BE243" i="10"/>
  <c r="BE244" i="10"/>
  <c r="BE245" i="10"/>
  <c r="BE246" i="10"/>
  <c r="BE247" i="10"/>
  <c r="BE248" i="10"/>
  <c r="BE249" i="10"/>
  <c r="BE250" i="10"/>
  <c r="BE251" i="10"/>
  <c r="BE252" i="10"/>
  <c r="BE253" i="10"/>
  <c r="BE254" i="10"/>
  <c r="BE255" i="10"/>
  <c r="BE256" i="10"/>
  <c r="BE257" i="10"/>
  <c r="BE258" i="10"/>
  <c r="BE259" i="10"/>
  <c r="BE260" i="10"/>
  <c r="BE261" i="10"/>
  <c r="BE262" i="10"/>
  <c r="BE263" i="10"/>
  <c r="BE264" i="10"/>
  <c r="BE265" i="10"/>
  <c r="BE266" i="10"/>
  <c r="BE267" i="10"/>
  <c r="BE268" i="10"/>
  <c r="BE269" i="10"/>
  <c r="BE270" i="10"/>
  <c r="BE271" i="10"/>
  <c r="BE272" i="10"/>
  <c r="BE273" i="10"/>
  <c r="BE274" i="10"/>
  <c r="BE275" i="10"/>
  <c r="BE276" i="10"/>
  <c r="BE277" i="10"/>
  <c r="BE278" i="10"/>
  <c r="BE279" i="10"/>
  <c r="BE280" i="10"/>
  <c r="BE281" i="10"/>
  <c r="BE282" i="10"/>
  <c r="BE283" i="10"/>
  <c r="BE284" i="10"/>
  <c r="BE285" i="10"/>
  <c r="BE286" i="10"/>
  <c r="BE287" i="10"/>
  <c r="BE288" i="10"/>
  <c r="BE289" i="10"/>
  <c r="BE290" i="10"/>
  <c r="BE291" i="10"/>
  <c r="BE292" i="10"/>
  <c r="BE293" i="10"/>
  <c r="BE294" i="10"/>
  <c r="BE295" i="10"/>
  <c r="BE296" i="10"/>
  <c r="BE297" i="10"/>
  <c r="BE298" i="10"/>
  <c r="BE299" i="10"/>
  <c r="BE300" i="10"/>
  <c r="BE301" i="10"/>
  <c r="BE302" i="10"/>
  <c r="BE303" i="10"/>
  <c r="BE304" i="10"/>
  <c r="BE305" i="10"/>
  <c r="BE306" i="10"/>
  <c r="BE307" i="10"/>
  <c r="BE308" i="10"/>
  <c r="BE309" i="10"/>
  <c r="BE310" i="10"/>
  <c r="BE311" i="10"/>
  <c r="BE312" i="10"/>
  <c r="BE313" i="10"/>
  <c r="BE314" i="10"/>
  <c r="BE315" i="10"/>
  <c r="BE316" i="10"/>
  <c r="BE317" i="10"/>
  <c r="BF2" i="10"/>
  <c r="BE3" i="10"/>
  <c r="BE4" i="10"/>
  <c r="BE5" i="10"/>
  <c r="BE6" i="10"/>
  <c r="BE7" i="10"/>
  <c r="BE8" i="10"/>
  <c r="BE9" i="10"/>
  <c r="BE10" i="10"/>
  <c r="BG3" i="10"/>
  <c r="BG4" i="10"/>
  <c r="BG5" i="10"/>
  <c r="BG6" i="10"/>
  <c r="BG7" i="10"/>
  <c r="BG8" i="10"/>
  <c r="BG9" i="10"/>
  <c r="BG10" i="10"/>
  <c r="BG11" i="10"/>
  <c r="BG12" i="10"/>
  <c r="BG13" i="10"/>
  <c r="BG14" i="10"/>
  <c r="BG15" i="10"/>
  <c r="BG16" i="10"/>
  <c r="BG17" i="10"/>
  <c r="BG18" i="10"/>
  <c r="BG19" i="10"/>
  <c r="BG20" i="10"/>
  <c r="BG21" i="10"/>
  <c r="BG22" i="10"/>
  <c r="BG23" i="10"/>
  <c r="BG24" i="10"/>
  <c r="BG25" i="10"/>
  <c r="BG26" i="10"/>
  <c r="BG27" i="10"/>
  <c r="BG28" i="10"/>
  <c r="BG29" i="10"/>
  <c r="BG30" i="10"/>
  <c r="BG31" i="10"/>
  <c r="BG32" i="10"/>
  <c r="BG33" i="10"/>
  <c r="BG34" i="10"/>
  <c r="BG35" i="10"/>
  <c r="BG36" i="10"/>
  <c r="BG37" i="10"/>
  <c r="BG38" i="10"/>
  <c r="BG39" i="10"/>
  <c r="BG40" i="10"/>
  <c r="BG41" i="10"/>
  <c r="BG42" i="10"/>
  <c r="BG43" i="10"/>
  <c r="BG44" i="10"/>
  <c r="BG45" i="10"/>
  <c r="BG46" i="10"/>
  <c r="BG47" i="10"/>
  <c r="BG48" i="10"/>
  <c r="BG49" i="10"/>
  <c r="BG50" i="10"/>
  <c r="BG51" i="10"/>
  <c r="BG52" i="10"/>
  <c r="BG53" i="10"/>
  <c r="BG54" i="10"/>
  <c r="BG55" i="10"/>
  <c r="BG56" i="10"/>
  <c r="BG57" i="10"/>
  <c r="BG58" i="10"/>
  <c r="BG59" i="10"/>
  <c r="BG60" i="10"/>
  <c r="BG61" i="10"/>
  <c r="BG62" i="10"/>
  <c r="BG63" i="10"/>
  <c r="BG64" i="10"/>
  <c r="BG65" i="10"/>
  <c r="BG66" i="10"/>
  <c r="BG67" i="10"/>
  <c r="BG68" i="10"/>
  <c r="BG69" i="10"/>
  <c r="BG70" i="10"/>
  <c r="BG71" i="10"/>
  <c r="BG72" i="10"/>
  <c r="BG73" i="10"/>
  <c r="BG74" i="10"/>
  <c r="BG75" i="10"/>
  <c r="BG76" i="10"/>
  <c r="BG77" i="10"/>
  <c r="BG78" i="10"/>
  <c r="BG79" i="10"/>
  <c r="BG80" i="10"/>
  <c r="BG81" i="10"/>
  <c r="BG82" i="10"/>
  <c r="BG83" i="10"/>
  <c r="BG84" i="10"/>
  <c r="BG85" i="10"/>
  <c r="BG86" i="10"/>
  <c r="BG87" i="10"/>
  <c r="BG88" i="10"/>
  <c r="BG89" i="10"/>
  <c r="BG90" i="10"/>
  <c r="BG91" i="10"/>
  <c r="BG92" i="10"/>
  <c r="BG93" i="10"/>
  <c r="BG94" i="10"/>
  <c r="BG95" i="10"/>
  <c r="BG96" i="10"/>
  <c r="BG97" i="10"/>
  <c r="BG98" i="10"/>
  <c r="BG99" i="10"/>
  <c r="BG100" i="10"/>
  <c r="BG101" i="10"/>
  <c r="BG102" i="10"/>
  <c r="BG103" i="10"/>
  <c r="BG104" i="10"/>
  <c r="BG105" i="10"/>
  <c r="BG106" i="10"/>
  <c r="BG107" i="10"/>
  <c r="BG108" i="10"/>
  <c r="BG109" i="10"/>
  <c r="BG110" i="10"/>
  <c r="BG111" i="10"/>
  <c r="BG112" i="10"/>
  <c r="BG113" i="10"/>
  <c r="BG114" i="10"/>
  <c r="BG115" i="10"/>
  <c r="BG116" i="10"/>
  <c r="BG117" i="10"/>
  <c r="BG118" i="10"/>
  <c r="BG119" i="10"/>
  <c r="BG120" i="10"/>
  <c r="BG121" i="10"/>
  <c r="BG122" i="10"/>
  <c r="BG123" i="10"/>
  <c r="BG124" i="10"/>
  <c r="BG125" i="10"/>
  <c r="BG126" i="10"/>
  <c r="BG127" i="10"/>
  <c r="BG128" i="10"/>
  <c r="BG129" i="10"/>
  <c r="BG130" i="10"/>
  <c r="BG131" i="10"/>
  <c r="BG132" i="10"/>
  <c r="BG133" i="10"/>
  <c r="BG134" i="10"/>
  <c r="BG135" i="10"/>
  <c r="BG136" i="10"/>
  <c r="BG137" i="10"/>
  <c r="BG138" i="10"/>
  <c r="BG139" i="10"/>
  <c r="BG140" i="10"/>
  <c r="BG141" i="10"/>
  <c r="BG142" i="10"/>
  <c r="BG143" i="10"/>
  <c r="BG144" i="10"/>
  <c r="BG145" i="10"/>
  <c r="BG146" i="10"/>
  <c r="BG147" i="10"/>
  <c r="BG148" i="10"/>
  <c r="BG149" i="10"/>
  <c r="BG150" i="10"/>
  <c r="BG151" i="10"/>
  <c r="BG152" i="10"/>
  <c r="BG153" i="10"/>
  <c r="BG154" i="10"/>
  <c r="BG155" i="10"/>
  <c r="BG156" i="10"/>
  <c r="BG157" i="10"/>
  <c r="BG158" i="10"/>
  <c r="BG159" i="10"/>
  <c r="BG160" i="10"/>
  <c r="BG161" i="10"/>
  <c r="BG162" i="10"/>
  <c r="BG163" i="10"/>
  <c r="BG164" i="10"/>
  <c r="BG165" i="10"/>
  <c r="BG166" i="10"/>
  <c r="BG167" i="10"/>
  <c r="BG168" i="10"/>
  <c r="BG169" i="10"/>
  <c r="BG170" i="10"/>
  <c r="BG171" i="10"/>
  <c r="BG172" i="10"/>
  <c r="BG173" i="10"/>
  <c r="BG174" i="10"/>
  <c r="BG175" i="10"/>
  <c r="BG176" i="10"/>
  <c r="BG177" i="10"/>
  <c r="BG178" i="10"/>
  <c r="BG179" i="10"/>
  <c r="BG180" i="10"/>
  <c r="BG181" i="10"/>
  <c r="BG182" i="10"/>
  <c r="BG183" i="10"/>
  <c r="BG184" i="10"/>
  <c r="BG185" i="10"/>
  <c r="BG186" i="10"/>
  <c r="BG187" i="10"/>
  <c r="BG188" i="10"/>
  <c r="BG189" i="10"/>
  <c r="BG190" i="10"/>
  <c r="BG191" i="10"/>
  <c r="BG192" i="10"/>
  <c r="BG193" i="10"/>
  <c r="BG194" i="10"/>
  <c r="BG195" i="10"/>
  <c r="BG196" i="10"/>
  <c r="BG197" i="10"/>
  <c r="BG198" i="10"/>
  <c r="BG199" i="10"/>
  <c r="BG200" i="10"/>
  <c r="BG201" i="10"/>
  <c r="BG202" i="10"/>
  <c r="BG203" i="10"/>
  <c r="BG204" i="10"/>
  <c r="BG205" i="10"/>
  <c r="BG206" i="10"/>
  <c r="BG207" i="10"/>
  <c r="BG208" i="10"/>
  <c r="BG209" i="10"/>
  <c r="BG210" i="10"/>
  <c r="BG211" i="10"/>
  <c r="BG212" i="10"/>
  <c r="BG213" i="10"/>
  <c r="BG214" i="10"/>
  <c r="BG215" i="10"/>
  <c r="BG216" i="10"/>
  <c r="BG217" i="10"/>
  <c r="BG218" i="10"/>
  <c r="BG219" i="10"/>
  <c r="BG220" i="10"/>
  <c r="BG221" i="10"/>
  <c r="BG222" i="10"/>
  <c r="BG223" i="10"/>
  <c r="BG224" i="10"/>
  <c r="BG225" i="10"/>
  <c r="BG226" i="10"/>
  <c r="BG227" i="10"/>
  <c r="BG228" i="10"/>
  <c r="BG229" i="10"/>
  <c r="BG230" i="10"/>
  <c r="BG231" i="10"/>
  <c r="BG232" i="10"/>
  <c r="BG233" i="10"/>
  <c r="BG234" i="10"/>
  <c r="BG235" i="10"/>
  <c r="BG236" i="10"/>
  <c r="BG237" i="10"/>
  <c r="BG238" i="10"/>
  <c r="BG239" i="10"/>
  <c r="BG240" i="10"/>
  <c r="BG241" i="10"/>
  <c r="BG242" i="10"/>
  <c r="BG243" i="10"/>
  <c r="BG244" i="10"/>
  <c r="BG245" i="10"/>
  <c r="BG246" i="10"/>
  <c r="BG247" i="10"/>
  <c r="BG248" i="10"/>
  <c r="BG249" i="10"/>
  <c r="BG250" i="10"/>
  <c r="BG251" i="10"/>
  <c r="BG252" i="10"/>
  <c r="BG253" i="10"/>
  <c r="BG254" i="10"/>
  <c r="BG255" i="10"/>
  <c r="BG256" i="10"/>
  <c r="BG257" i="10"/>
  <c r="BG258" i="10"/>
  <c r="BG259" i="10"/>
  <c r="BG260" i="10"/>
  <c r="BG261" i="10"/>
  <c r="BG262" i="10"/>
  <c r="BG263" i="10"/>
  <c r="BG264" i="10"/>
  <c r="BG265" i="10"/>
  <c r="BG266" i="10"/>
  <c r="BG267" i="10"/>
  <c r="BG268" i="10"/>
  <c r="BG269" i="10"/>
  <c r="BG270" i="10"/>
  <c r="BG271" i="10"/>
  <c r="BG272" i="10"/>
  <c r="BG273" i="10"/>
  <c r="BG274" i="10"/>
  <c r="BG275" i="10"/>
  <c r="BG276" i="10"/>
  <c r="BG277" i="10"/>
  <c r="BG278" i="10"/>
  <c r="BG279" i="10"/>
  <c r="BG280" i="10"/>
  <c r="BG281" i="10"/>
  <c r="BG282" i="10"/>
  <c r="BG283" i="10"/>
  <c r="BG284" i="10"/>
  <c r="BG285" i="10"/>
  <c r="BG286" i="10"/>
  <c r="BG287" i="10"/>
  <c r="BG288" i="10"/>
  <c r="BG289" i="10"/>
  <c r="BG290" i="10"/>
  <c r="BG291" i="10"/>
  <c r="BG292" i="10"/>
  <c r="BG293" i="10"/>
  <c r="BG294" i="10"/>
  <c r="BG295" i="10"/>
  <c r="BG296" i="10"/>
  <c r="BG297" i="10"/>
  <c r="BG298" i="10"/>
  <c r="BG299" i="10"/>
  <c r="BG300" i="10"/>
  <c r="BG301" i="10"/>
  <c r="BG302" i="10"/>
  <c r="BG303" i="10"/>
  <c r="BG304" i="10"/>
  <c r="BG305" i="10"/>
  <c r="BG306" i="10"/>
  <c r="BG307" i="10"/>
  <c r="BG308" i="10"/>
  <c r="BG309" i="10"/>
  <c r="BG310" i="10"/>
  <c r="BG311" i="10"/>
  <c r="BG312" i="10"/>
  <c r="BG313" i="10"/>
  <c r="BG314" i="10"/>
  <c r="BG315" i="10"/>
  <c r="BG316" i="10"/>
  <c r="BG317" i="10"/>
  <c r="BG2" i="10"/>
  <c r="BF21" i="10"/>
  <c r="BF22" i="10"/>
  <c r="BF23" i="10"/>
  <c r="BF24" i="10"/>
  <c r="BF25" i="10"/>
  <c r="BF26" i="10"/>
  <c r="BF27" i="10"/>
  <c r="BF28" i="10"/>
  <c r="BF29" i="10"/>
  <c r="BF30" i="10"/>
  <c r="BF31" i="10"/>
  <c r="BF32" i="10"/>
  <c r="BF33" i="10"/>
  <c r="BF34" i="10"/>
  <c r="BF35" i="10"/>
  <c r="BF36" i="10"/>
  <c r="BF37" i="10"/>
  <c r="BF38" i="10"/>
  <c r="BF39" i="10"/>
  <c r="BF40" i="10"/>
  <c r="BF41" i="10"/>
  <c r="BF42" i="10"/>
  <c r="BF43" i="10"/>
  <c r="BF44" i="10"/>
  <c r="BF45" i="10"/>
  <c r="BF46" i="10"/>
  <c r="BF47" i="10"/>
  <c r="BF48" i="10"/>
  <c r="BF49" i="10"/>
  <c r="BF50" i="10"/>
  <c r="BF51" i="10"/>
  <c r="BF52" i="10"/>
  <c r="BF53" i="10"/>
  <c r="BF54" i="10"/>
  <c r="BF55" i="10"/>
  <c r="BF56" i="10"/>
  <c r="BF57" i="10"/>
  <c r="BF58" i="10"/>
  <c r="BF59" i="10"/>
  <c r="BF60" i="10"/>
  <c r="BF61" i="10"/>
  <c r="BF62" i="10"/>
  <c r="BF63" i="10"/>
  <c r="BF64" i="10"/>
  <c r="BF65" i="10"/>
  <c r="BF66" i="10"/>
  <c r="BF67" i="10"/>
  <c r="BF68" i="10"/>
  <c r="BF69" i="10"/>
  <c r="BF70" i="10"/>
  <c r="BF71" i="10"/>
  <c r="BF72" i="10"/>
  <c r="BF73" i="10"/>
  <c r="BF74" i="10"/>
  <c r="BF75" i="10"/>
  <c r="BF76" i="10"/>
  <c r="BF77" i="10"/>
  <c r="BF78" i="10"/>
  <c r="BF79" i="10"/>
  <c r="BF80" i="10"/>
  <c r="BF81" i="10"/>
  <c r="BF82" i="10"/>
  <c r="BF83" i="10"/>
  <c r="BF84" i="10"/>
  <c r="BF85" i="10"/>
  <c r="BF86" i="10"/>
  <c r="BF87" i="10"/>
  <c r="BF88" i="10"/>
  <c r="BF89" i="10"/>
  <c r="BF90" i="10"/>
  <c r="BF91" i="10"/>
  <c r="BF92" i="10"/>
  <c r="BF93" i="10"/>
  <c r="BF94" i="10"/>
  <c r="BF95" i="10"/>
  <c r="BF96" i="10"/>
  <c r="BF97" i="10"/>
  <c r="BF98" i="10"/>
  <c r="BF99" i="10"/>
  <c r="BF100" i="10"/>
  <c r="BF101" i="10"/>
  <c r="BF102" i="10"/>
  <c r="BF103" i="10"/>
  <c r="BF104" i="10"/>
  <c r="BF105" i="10"/>
  <c r="BF106" i="10"/>
  <c r="BF107" i="10"/>
  <c r="BF108" i="10"/>
  <c r="BF109" i="10"/>
  <c r="BF110" i="10"/>
  <c r="BF111" i="10"/>
  <c r="BF112" i="10"/>
  <c r="BF113" i="10"/>
  <c r="BF114" i="10"/>
  <c r="BF115" i="10"/>
  <c r="BF116" i="10"/>
  <c r="BF117" i="10"/>
  <c r="BF118" i="10"/>
  <c r="BF119" i="10"/>
  <c r="BF120" i="10"/>
  <c r="BF121" i="10"/>
  <c r="BF122" i="10"/>
  <c r="BF123" i="10"/>
  <c r="BF124" i="10"/>
  <c r="BF125" i="10"/>
  <c r="BF126" i="10"/>
  <c r="BF127" i="10"/>
  <c r="BF128" i="10"/>
  <c r="BF129" i="10"/>
  <c r="BF130" i="10"/>
  <c r="BF131" i="10"/>
  <c r="BF132" i="10"/>
  <c r="BF133" i="10"/>
  <c r="BF134" i="10"/>
  <c r="BF135" i="10"/>
  <c r="BF136" i="10"/>
  <c r="BF137" i="10"/>
  <c r="BF138" i="10"/>
  <c r="BF139" i="10"/>
  <c r="BF140" i="10"/>
  <c r="BF141" i="10"/>
  <c r="BF142" i="10"/>
  <c r="BF143" i="10"/>
  <c r="BF144" i="10"/>
  <c r="BF145" i="10"/>
  <c r="BF146" i="10"/>
  <c r="BF147" i="10"/>
  <c r="BF148" i="10"/>
  <c r="BF149" i="10"/>
  <c r="BF150" i="10"/>
  <c r="BF151" i="10"/>
  <c r="BF152" i="10"/>
  <c r="BF153" i="10"/>
  <c r="BF154" i="10"/>
  <c r="BF155" i="10"/>
  <c r="BF156" i="10"/>
  <c r="BF157" i="10"/>
  <c r="BF158" i="10"/>
  <c r="BF159" i="10"/>
  <c r="BF160" i="10"/>
  <c r="BF161" i="10"/>
  <c r="BF162" i="10"/>
  <c r="BF163" i="10"/>
  <c r="BF164" i="10"/>
  <c r="BF165" i="10"/>
  <c r="BF166" i="10"/>
  <c r="BF167" i="10"/>
  <c r="BF168" i="10"/>
  <c r="BF169" i="10"/>
  <c r="BF170" i="10"/>
  <c r="BF171" i="10"/>
  <c r="BF172" i="10"/>
  <c r="BF173" i="10"/>
  <c r="BF174" i="10"/>
  <c r="BF175" i="10"/>
  <c r="BF176" i="10"/>
  <c r="BF177" i="10"/>
  <c r="BF178" i="10"/>
  <c r="BF179" i="10"/>
  <c r="BF180" i="10"/>
  <c r="BF181" i="10"/>
  <c r="BF182" i="10"/>
  <c r="BF183" i="10"/>
  <c r="BF184" i="10"/>
  <c r="BF185" i="10"/>
  <c r="BF186" i="10"/>
  <c r="BF187" i="10"/>
  <c r="BF188" i="10"/>
  <c r="BF189" i="10"/>
  <c r="BF190" i="10"/>
  <c r="BF191" i="10"/>
  <c r="BF192" i="10"/>
  <c r="BF193" i="10"/>
  <c r="BF194" i="10"/>
  <c r="BF195" i="10"/>
  <c r="BF196" i="10"/>
  <c r="BF197" i="10"/>
  <c r="BF198" i="10"/>
  <c r="BF199" i="10"/>
  <c r="BF200" i="10"/>
  <c r="BF201" i="10"/>
  <c r="BF202" i="10"/>
  <c r="BF203" i="10"/>
  <c r="BF204" i="10"/>
  <c r="BF205" i="10"/>
  <c r="BF206" i="10"/>
  <c r="BF207" i="10"/>
  <c r="BF208" i="10"/>
  <c r="BF209" i="10"/>
  <c r="BF210" i="10"/>
  <c r="BF211" i="10"/>
  <c r="BF212" i="10"/>
  <c r="BF213" i="10"/>
  <c r="BF214" i="10"/>
  <c r="BF215" i="10"/>
  <c r="BF216" i="10"/>
  <c r="BF217" i="10"/>
  <c r="BF218" i="10"/>
  <c r="BF219" i="10"/>
  <c r="BF220" i="10"/>
  <c r="BF221" i="10"/>
  <c r="BF222" i="10"/>
  <c r="BF223" i="10"/>
  <c r="BF224" i="10"/>
  <c r="BF225" i="10"/>
  <c r="BF226" i="10"/>
  <c r="BF227" i="10"/>
  <c r="BF228" i="10"/>
  <c r="BF229" i="10"/>
  <c r="BF230" i="10"/>
  <c r="BF231" i="10"/>
  <c r="BF232" i="10"/>
  <c r="BF233" i="10"/>
  <c r="BF234" i="10"/>
  <c r="BF235" i="10"/>
  <c r="BF236" i="10"/>
  <c r="BF237" i="10"/>
  <c r="BF238" i="10"/>
  <c r="BF239" i="10"/>
  <c r="BF240" i="10"/>
  <c r="BF241" i="10"/>
  <c r="BF242" i="10"/>
  <c r="BF243" i="10"/>
  <c r="BF244" i="10"/>
  <c r="BF245" i="10"/>
  <c r="BF246" i="10"/>
  <c r="BF247" i="10"/>
  <c r="BF248" i="10"/>
  <c r="BF249" i="10"/>
  <c r="BF250" i="10"/>
  <c r="BF251" i="10"/>
  <c r="BF252" i="10"/>
  <c r="BF253" i="10"/>
  <c r="BF254" i="10"/>
  <c r="BF255" i="10"/>
  <c r="BF256" i="10"/>
  <c r="BF257" i="10"/>
  <c r="BF258" i="10"/>
  <c r="BF259" i="10"/>
  <c r="BF260" i="10"/>
  <c r="BF261" i="10"/>
  <c r="BF262" i="10"/>
  <c r="BF263" i="10"/>
  <c r="BF264" i="10"/>
  <c r="BF265" i="10"/>
  <c r="BF266" i="10"/>
  <c r="BF267" i="10"/>
  <c r="BF268" i="10"/>
  <c r="BF269" i="10"/>
  <c r="BF270" i="10"/>
  <c r="BF271" i="10"/>
  <c r="BF272" i="10"/>
  <c r="BF273" i="10"/>
  <c r="BF274" i="10"/>
  <c r="BF275" i="10"/>
  <c r="BF276" i="10"/>
  <c r="BF277" i="10"/>
  <c r="BF278" i="10"/>
  <c r="BF279" i="10"/>
  <c r="BF280" i="10"/>
  <c r="BF281" i="10"/>
  <c r="BF282" i="10"/>
  <c r="BF283" i="10"/>
  <c r="BF284" i="10"/>
  <c r="BF285" i="10"/>
  <c r="BF286" i="10"/>
  <c r="BF287" i="10"/>
  <c r="BF288" i="10"/>
  <c r="BF289" i="10"/>
  <c r="BF290" i="10"/>
  <c r="BF291" i="10"/>
  <c r="BF292" i="10"/>
  <c r="BF293" i="10"/>
  <c r="BF294" i="10"/>
  <c r="BF295" i="10"/>
  <c r="BF296" i="10"/>
  <c r="BF297" i="10"/>
  <c r="BF298" i="10"/>
  <c r="BF299" i="10"/>
  <c r="BF300" i="10"/>
  <c r="BF301" i="10"/>
  <c r="BF302" i="10"/>
  <c r="BF303" i="10"/>
  <c r="BF304" i="10"/>
  <c r="BF305" i="10"/>
  <c r="BF306" i="10"/>
  <c r="BF307" i="10"/>
  <c r="BF308" i="10"/>
  <c r="BF309" i="10"/>
  <c r="BF310" i="10"/>
  <c r="BF311" i="10"/>
  <c r="BF312" i="10"/>
  <c r="BF313" i="10"/>
  <c r="BF314" i="10"/>
  <c r="BF315" i="10"/>
  <c r="BF316" i="10"/>
  <c r="BF317" i="10"/>
  <c r="BF11" i="10"/>
  <c r="BF12" i="10"/>
  <c r="BF13" i="10"/>
  <c r="BF14" i="10"/>
  <c r="BF15" i="10"/>
  <c r="BF16" i="10"/>
  <c r="BF17" i="10"/>
  <c r="BF18" i="10"/>
  <c r="BF19" i="10"/>
  <c r="BF20" i="10"/>
  <c r="BF3" i="10"/>
  <c r="BF4" i="10"/>
  <c r="BF5" i="10"/>
  <c r="BF6" i="10"/>
  <c r="BF7" i="10"/>
  <c r="BF8" i="10"/>
  <c r="BF9" i="10"/>
  <c r="BF10" i="10"/>
  <c r="BA3" i="10"/>
  <c r="BA4" i="10"/>
  <c r="BA5" i="10"/>
  <c r="BA6" i="10"/>
  <c r="BA7" i="10"/>
  <c r="BA8" i="10"/>
  <c r="BA9" i="10"/>
  <c r="BA10" i="10"/>
  <c r="BA11" i="10"/>
  <c r="BA12" i="10"/>
  <c r="BA13" i="10"/>
  <c r="BA14" i="10"/>
  <c r="BA15" i="10"/>
  <c r="BA16" i="10"/>
  <c r="BA17" i="10"/>
  <c r="BA18" i="10"/>
  <c r="BA19" i="10"/>
  <c r="BA20" i="10"/>
  <c r="BA21" i="10"/>
  <c r="BA22" i="10"/>
  <c r="BA23" i="10"/>
  <c r="BA24" i="10"/>
  <c r="BA25" i="10"/>
  <c r="BA26" i="10"/>
  <c r="BA27" i="10"/>
  <c r="BA28" i="10"/>
  <c r="BA29" i="10"/>
  <c r="BA30" i="10"/>
  <c r="BA31" i="10"/>
  <c r="BA32" i="10"/>
  <c r="BA33" i="10"/>
  <c r="BA34" i="10"/>
  <c r="BA35" i="10"/>
  <c r="BA36" i="10"/>
  <c r="BA37" i="10"/>
  <c r="BA38" i="10"/>
  <c r="BA39" i="10"/>
  <c r="BA40" i="10"/>
  <c r="BA41" i="10"/>
  <c r="BA42" i="10"/>
  <c r="BA43" i="10"/>
  <c r="BA44" i="10"/>
  <c r="BA45" i="10"/>
  <c r="BA46" i="10"/>
  <c r="BA47" i="10"/>
  <c r="BA48" i="10"/>
  <c r="BA49" i="10"/>
  <c r="BA50" i="10"/>
  <c r="BA51" i="10"/>
  <c r="BA52" i="10"/>
  <c r="BA53" i="10"/>
  <c r="BA54" i="10"/>
  <c r="BA55" i="10"/>
  <c r="BA56" i="10"/>
  <c r="BA57" i="10"/>
  <c r="BA58" i="10"/>
  <c r="BA59" i="10"/>
  <c r="BA60" i="10"/>
  <c r="BA61" i="10"/>
  <c r="BA62" i="10"/>
  <c r="BA63" i="10"/>
  <c r="BA64" i="10"/>
  <c r="BA65" i="10"/>
  <c r="BA66" i="10"/>
  <c r="BA67" i="10"/>
  <c r="BA68" i="10"/>
  <c r="BA69" i="10"/>
  <c r="BA70" i="10"/>
  <c r="BA71" i="10"/>
  <c r="BA72" i="10"/>
  <c r="BA73" i="10"/>
  <c r="BA74" i="10"/>
  <c r="BA75" i="10"/>
  <c r="BA76" i="10"/>
  <c r="BA77" i="10"/>
  <c r="BA78" i="10"/>
  <c r="BA79" i="10"/>
  <c r="BA80" i="10"/>
  <c r="BA81" i="10"/>
  <c r="BA82" i="10"/>
  <c r="BA83" i="10"/>
  <c r="BA84" i="10"/>
  <c r="BA85" i="10"/>
  <c r="BA86" i="10"/>
  <c r="BA87" i="10"/>
  <c r="BA88" i="10"/>
  <c r="BA89" i="10"/>
  <c r="BA90" i="10"/>
  <c r="BA91" i="10"/>
  <c r="BA92" i="10"/>
  <c r="BA93" i="10"/>
  <c r="BA94" i="10"/>
  <c r="BA95" i="10"/>
  <c r="BA96" i="10"/>
  <c r="BA97" i="10"/>
  <c r="BA98" i="10"/>
  <c r="BA99" i="10"/>
  <c r="BA100" i="10"/>
  <c r="BA101" i="10"/>
  <c r="BA102" i="10"/>
  <c r="BA103" i="10"/>
  <c r="BA104" i="10"/>
  <c r="BA105" i="10"/>
  <c r="BA106" i="10"/>
  <c r="BA107" i="10"/>
  <c r="BA108" i="10"/>
  <c r="BA109" i="10"/>
  <c r="BA110" i="10"/>
  <c r="BA111" i="10"/>
  <c r="BA112" i="10"/>
  <c r="BA113" i="10"/>
  <c r="BA114" i="10"/>
  <c r="BA115" i="10"/>
  <c r="BA116" i="10"/>
  <c r="BA117" i="10"/>
  <c r="BA118" i="10"/>
  <c r="BA119" i="10"/>
  <c r="BA120" i="10"/>
  <c r="BA121" i="10"/>
  <c r="BA122" i="10"/>
  <c r="BA123" i="10"/>
  <c r="BA124" i="10"/>
  <c r="BA125" i="10"/>
  <c r="BA126" i="10"/>
  <c r="BA127" i="10"/>
  <c r="BA128" i="10"/>
  <c r="BA129" i="10"/>
  <c r="BA130" i="10"/>
  <c r="BA131" i="10"/>
  <c r="BA132" i="10"/>
  <c r="BA133" i="10"/>
  <c r="BA134" i="10"/>
  <c r="BA135" i="10"/>
  <c r="BA136" i="10"/>
  <c r="BA137" i="10"/>
  <c r="BA138" i="10"/>
  <c r="BA139" i="10"/>
  <c r="BA140" i="10"/>
  <c r="BA141" i="10"/>
  <c r="BA142" i="10"/>
  <c r="BA143" i="10"/>
  <c r="BA144" i="10"/>
  <c r="BA145" i="10"/>
  <c r="BA146" i="10"/>
  <c r="BA147" i="10"/>
  <c r="BA148" i="10"/>
  <c r="BA149" i="10"/>
  <c r="BA150" i="10"/>
  <c r="BA151" i="10"/>
  <c r="BA152" i="10"/>
  <c r="BA153" i="10"/>
  <c r="BA154" i="10"/>
  <c r="BA155" i="10"/>
  <c r="BA156" i="10"/>
  <c r="BA157" i="10"/>
  <c r="BA158" i="10"/>
  <c r="BA159" i="10"/>
  <c r="BA160" i="10"/>
  <c r="BA161" i="10"/>
  <c r="BA162" i="10"/>
  <c r="BA163" i="10"/>
  <c r="BA164" i="10"/>
  <c r="BA165" i="10"/>
  <c r="BA166" i="10"/>
  <c r="BA167" i="10"/>
  <c r="BA168" i="10"/>
  <c r="BA169" i="10"/>
  <c r="BA170" i="10"/>
  <c r="BA171" i="10"/>
  <c r="BA172" i="10"/>
  <c r="BA173" i="10"/>
  <c r="BA174" i="10"/>
  <c r="BA175" i="10"/>
  <c r="BA176" i="10"/>
  <c r="BA177" i="10"/>
  <c r="BA178" i="10"/>
  <c r="BA179" i="10"/>
  <c r="BA180" i="10"/>
  <c r="BA181" i="10"/>
  <c r="BA182" i="10"/>
  <c r="BA183" i="10"/>
  <c r="BA184" i="10"/>
  <c r="BA185" i="10"/>
  <c r="BA186" i="10"/>
  <c r="BA187" i="10"/>
  <c r="BA188" i="10"/>
  <c r="BA189" i="10"/>
  <c r="BA190" i="10"/>
  <c r="BA191" i="10"/>
  <c r="BA192" i="10"/>
  <c r="BA193" i="10"/>
  <c r="BA194" i="10"/>
  <c r="BA195" i="10"/>
  <c r="BA196" i="10"/>
  <c r="BA197" i="10"/>
  <c r="BA198" i="10"/>
  <c r="BA199" i="10"/>
  <c r="BA200" i="10"/>
  <c r="BA201" i="10"/>
  <c r="BA202" i="10"/>
  <c r="BA203" i="10"/>
  <c r="BA204" i="10"/>
  <c r="BA205" i="10"/>
  <c r="BA206" i="10"/>
  <c r="BA207" i="10"/>
  <c r="BA208" i="10"/>
  <c r="BA209" i="10"/>
  <c r="BA210" i="10"/>
  <c r="BA211" i="10"/>
  <c r="BA212" i="10"/>
  <c r="BA213" i="10"/>
  <c r="BA214" i="10"/>
  <c r="BA215" i="10"/>
  <c r="BA216" i="10"/>
  <c r="BA217" i="10"/>
  <c r="BA218" i="10"/>
  <c r="BA219" i="10"/>
  <c r="BA220" i="10"/>
  <c r="BA221" i="10"/>
  <c r="BA222" i="10"/>
  <c r="BA223" i="10"/>
  <c r="BA224" i="10"/>
  <c r="BA225" i="10"/>
  <c r="BA226" i="10"/>
  <c r="BA227" i="10"/>
  <c r="BA228" i="10"/>
  <c r="BA229" i="10"/>
  <c r="BA230" i="10"/>
  <c r="BA231" i="10"/>
  <c r="BA232" i="10"/>
  <c r="BA233" i="10"/>
  <c r="BA234" i="10"/>
  <c r="BA235" i="10"/>
  <c r="BA236" i="10"/>
  <c r="BA237" i="10"/>
  <c r="BA238" i="10"/>
  <c r="BA239" i="10"/>
  <c r="BA240" i="10"/>
  <c r="BA241" i="10"/>
  <c r="BA242" i="10"/>
  <c r="BA243" i="10"/>
  <c r="BA244" i="10"/>
  <c r="BA245" i="10"/>
  <c r="BA246" i="10"/>
  <c r="BA247" i="10"/>
  <c r="BA248" i="10"/>
  <c r="BA249" i="10"/>
  <c r="BA250" i="10"/>
  <c r="BA251" i="10"/>
  <c r="BA252" i="10"/>
  <c r="BA253" i="10"/>
  <c r="BA254" i="10"/>
  <c r="BA255" i="10"/>
  <c r="BA256" i="10"/>
  <c r="BA257" i="10"/>
  <c r="BA258" i="10"/>
  <c r="BA259" i="10"/>
  <c r="BA260" i="10"/>
  <c r="BA261" i="10"/>
  <c r="BA262" i="10"/>
  <c r="BA263" i="10"/>
  <c r="BA264" i="10"/>
  <c r="BA265" i="10"/>
  <c r="BA266" i="10"/>
  <c r="BA267" i="10"/>
  <c r="BA268" i="10"/>
  <c r="BA269" i="10"/>
  <c r="BA270" i="10"/>
  <c r="BA271" i="10"/>
  <c r="BA272" i="10"/>
  <c r="BA273" i="10"/>
  <c r="BA274" i="10"/>
  <c r="BA275" i="10"/>
  <c r="BA276" i="10"/>
  <c r="BA277" i="10"/>
  <c r="BA278" i="10"/>
  <c r="BA279" i="10"/>
  <c r="BA280" i="10"/>
  <c r="BA281" i="10"/>
  <c r="BA282" i="10"/>
  <c r="BA283" i="10"/>
  <c r="BA284" i="10"/>
  <c r="BA285" i="10"/>
  <c r="BA286" i="10"/>
  <c r="BA287" i="10"/>
  <c r="BA288" i="10"/>
  <c r="BA289" i="10"/>
  <c r="BA290" i="10"/>
  <c r="BA291" i="10"/>
  <c r="BA292" i="10"/>
  <c r="BA293" i="10"/>
  <c r="BA294" i="10"/>
  <c r="BA295" i="10"/>
  <c r="BA296" i="10"/>
  <c r="BA297" i="10"/>
  <c r="BA298" i="10"/>
  <c r="BA299" i="10"/>
  <c r="BA300" i="10"/>
  <c r="BA301" i="10"/>
  <c r="BA302" i="10"/>
  <c r="BA303" i="10"/>
  <c r="BA304" i="10"/>
  <c r="BA305" i="10"/>
  <c r="BA306" i="10"/>
  <c r="BA307" i="10"/>
  <c r="BA308" i="10"/>
  <c r="BA309" i="10"/>
  <c r="BA310" i="10"/>
  <c r="BA311" i="10"/>
  <c r="BA312" i="10"/>
  <c r="BA313" i="10"/>
  <c r="BA314" i="10"/>
  <c r="BA315" i="10"/>
  <c r="BA316" i="10"/>
  <c r="BA317" i="10"/>
  <c r="BA2" i="10"/>
  <c r="AY10" i="10"/>
  <c r="BD10" i="10"/>
  <c r="AY11" i="10"/>
  <c r="BD11" i="10"/>
  <c r="AY12" i="10"/>
  <c r="BD12" i="10"/>
  <c r="AY13" i="10"/>
  <c r="BD13" i="10"/>
  <c r="AY14" i="10"/>
  <c r="BD14" i="10"/>
  <c r="AY15" i="10"/>
  <c r="BD15" i="10"/>
  <c r="AY16" i="10"/>
  <c r="BD16" i="10"/>
  <c r="AY17" i="10"/>
  <c r="BD17" i="10"/>
  <c r="AY18" i="10"/>
  <c r="BD18" i="10"/>
  <c r="AY19" i="10"/>
  <c r="BD19" i="10"/>
  <c r="AY20" i="10"/>
  <c r="BD20" i="10"/>
  <c r="AY21" i="10"/>
  <c r="BD21" i="10"/>
  <c r="AY22" i="10"/>
  <c r="BD22" i="10"/>
  <c r="AY23" i="10"/>
  <c r="BD23" i="10"/>
  <c r="AY24" i="10"/>
  <c r="BD24" i="10"/>
  <c r="AY25" i="10"/>
  <c r="BD25" i="10"/>
  <c r="AY26" i="10"/>
  <c r="BD26" i="10"/>
  <c r="AY27" i="10"/>
  <c r="BD27" i="10"/>
  <c r="AY28" i="10"/>
  <c r="BD28" i="10"/>
  <c r="AY29" i="10"/>
  <c r="BD29" i="10"/>
  <c r="AY30" i="10"/>
  <c r="BD30" i="10"/>
  <c r="AY31" i="10"/>
  <c r="BD31" i="10"/>
  <c r="AY32" i="10"/>
  <c r="BD32" i="10"/>
  <c r="AY33" i="10"/>
  <c r="BD33" i="10"/>
  <c r="AY34" i="10"/>
  <c r="BD34" i="10"/>
  <c r="AY35" i="10"/>
  <c r="BD35" i="10"/>
  <c r="AY36" i="10"/>
  <c r="BD36" i="10"/>
  <c r="AY37" i="10"/>
  <c r="BD37" i="10"/>
  <c r="AY38" i="10"/>
  <c r="BD38" i="10"/>
  <c r="AY39" i="10"/>
  <c r="BD39" i="10"/>
  <c r="AY40" i="10"/>
  <c r="BD40" i="10"/>
  <c r="AY41" i="10"/>
  <c r="BD41" i="10"/>
  <c r="AY42" i="10"/>
  <c r="BD42" i="10"/>
  <c r="AY43" i="10"/>
  <c r="BD43" i="10"/>
  <c r="AY44" i="10"/>
  <c r="BD44" i="10"/>
  <c r="AY45" i="10"/>
  <c r="BD45" i="10"/>
  <c r="AY46" i="10"/>
  <c r="BD46" i="10"/>
  <c r="AY47" i="10"/>
  <c r="BD47" i="10"/>
  <c r="AY48" i="10"/>
  <c r="BD48" i="10"/>
  <c r="AY49" i="10"/>
  <c r="BD49" i="10"/>
  <c r="AY50" i="10"/>
  <c r="BD50" i="10"/>
  <c r="AY51" i="10"/>
  <c r="BD51" i="10"/>
  <c r="AY52" i="10"/>
  <c r="BD52" i="10"/>
  <c r="AY53" i="10"/>
  <c r="BD53" i="10"/>
  <c r="AY54" i="10"/>
  <c r="BD54" i="10"/>
  <c r="AY55" i="10"/>
  <c r="BD55" i="10"/>
  <c r="AY56" i="10"/>
  <c r="BD56" i="10"/>
  <c r="AY57" i="10"/>
  <c r="BD57" i="10"/>
  <c r="AY58" i="10"/>
  <c r="BD58" i="10"/>
  <c r="AY59" i="10"/>
  <c r="BD59" i="10"/>
  <c r="AY60" i="10"/>
  <c r="BD60" i="10"/>
  <c r="AY61" i="10"/>
  <c r="BD61" i="10"/>
  <c r="AY62" i="10"/>
  <c r="BD62" i="10"/>
  <c r="AY63" i="10"/>
  <c r="BD63" i="10"/>
  <c r="AY64" i="10"/>
  <c r="BD64" i="10"/>
  <c r="AY65" i="10"/>
  <c r="BD65" i="10"/>
  <c r="AY66" i="10"/>
  <c r="BD66" i="10"/>
  <c r="AY67" i="10"/>
  <c r="BD67" i="10"/>
  <c r="AY68" i="10"/>
  <c r="BD68" i="10"/>
  <c r="AY69" i="10"/>
  <c r="BD69" i="10"/>
  <c r="AY70" i="10"/>
  <c r="BD70" i="10"/>
  <c r="AY71" i="10"/>
  <c r="BD71" i="10"/>
  <c r="AY72" i="10"/>
  <c r="BD72" i="10"/>
  <c r="AY73" i="10"/>
  <c r="BD73" i="10"/>
  <c r="AY74" i="10"/>
  <c r="BD74" i="10"/>
  <c r="AY75" i="10"/>
  <c r="BD75" i="10"/>
  <c r="AY76" i="10"/>
  <c r="BD76" i="10"/>
  <c r="AY77" i="10"/>
  <c r="BD77" i="10"/>
  <c r="AY78" i="10"/>
  <c r="BD78" i="10"/>
  <c r="AY79" i="10"/>
  <c r="BD79" i="10"/>
  <c r="AY80" i="10"/>
  <c r="BD80" i="10"/>
  <c r="AY81" i="10"/>
  <c r="BD81" i="10"/>
  <c r="AY82" i="10"/>
  <c r="BD82" i="10"/>
  <c r="AY83" i="10"/>
  <c r="BD83" i="10"/>
  <c r="AY84" i="10"/>
  <c r="BD84" i="10"/>
  <c r="AY85" i="10"/>
  <c r="BD85" i="10"/>
  <c r="AY86" i="10"/>
  <c r="BD86" i="10"/>
  <c r="AY87" i="10"/>
  <c r="BD87" i="10"/>
  <c r="AY88" i="10"/>
  <c r="BD88" i="10"/>
  <c r="AY89" i="10"/>
  <c r="BD89" i="10"/>
  <c r="AY90" i="10"/>
  <c r="BD90" i="10"/>
  <c r="AY91" i="10"/>
  <c r="BD91" i="10"/>
  <c r="AY92" i="10"/>
  <c r="BD92" i="10"/>
  <c r="AY93" i="10"/>
  <c r="BD93" i="10"/>
  <c r="AY94" i="10"/>
  <c r="BD94" i="10"/>
  <c r="AY95" i="10"/>
  <c r="BD95" i="10"/>
  <c r="AY96" i="10"/>
  <c r="BD96" i="10"/>
  <c r="AY97" i="10"/>
  <c r="BD97" i="10"/>
  <c r="AY98" i="10"/>
  <c r="BD98" i="10"/>
  <c r="AY99" i="10"/>
  <c r="BD99" i="10"/>
  <c r="AY100" i="10"/>
  <c r="BD100" i="10"/>
  <c r="AY101" i="10"/>
  <c r="BD101" i="10"/>
  <c r="AY102" i="10"/>
  <c r="BD102" i="10"/>
  <c r="AY103" i="10"/>
  <c r="BD103" i="10"/>
  <c r="AY104" i="10"/>
  <c r="BD104" i="10"/>
  <c r="AY105" i="10"/>
  <c r="BD105" i="10"/>
  <c r="AY106" i="10"/>
  <c r="BD106" i="10"/>
  <c r="AY107" i="10"/>
  <c r="BD107" i="10"/>
  <c r="AY108" i="10"/>
  <c r="BD108" i="10"/>
  <c r="AY109" i="10"/>
  <c r="BD109" i="10"/>
  <c r="AY110" i="10"/>
  <c r="BD110" i="10"/>
  <c r="AY111" i="10"/>
  <c r="BD111" i="10"/>
  <c r="AY112" i="10"/>
  <c r="BD112" i="10"/>
  <c r="AY113" i="10"/>
  <c r="BD113" i="10"/>
  <c r="AY114" i="10"/>
  <c r="BD114" i="10"/>
  <c r="AY115" i="10"/>
  <c r="BD115" i="10"/>
  <c r="AY116" i="10"/>
  <c r="BD116" i="10"/>
  <c r="AY117" i="10"/>
  <c r="BD117" i="10"/>
  <c r="AY118" i="10"/>
  <c r="BD118" i="10"/>
  <c r="AY119" i="10"/>
  <c r="BD119" i="10"/>
  <c r="AY120" i="10"/>
  <c r="BD120" i="10"/>
  <c r="AY121" i="10"/>
  <c r="BD121" i="10"/>
  <c r="AY122" i="10"/>
  <c r="BD122" i="10"/>
  <c r="AY123" i="10"/>
  <c r="BD123" i="10"/>
  <c r="AY124" i="10"/>
  <c r="BD124" i="10"/>
  <c r="AY125" i="10"/>
  <c r="BD125" i="10"/>
  <c r="AY126" i="10"/>
  <c r="BD126" i="10"/>
  <c r="AY127" i="10"/>
  <c r="BD127" i="10"/>
  <c r="AY128" i="10"/>
  <c r="BD128" i="10"/>
  <c r="AY129" i="10"/>
  <c r="BD129" i="10"/>
  <c r="AY130" i="10"/>
  <c r="BD130" i="10"/>
  <c r="AY131" i="10"/>
  <c r="BD131" i="10"/>
  <c r="AY132" i="10"/>
  <c r="BD132" i="10"/>
  <c r="AY133" i="10"/>
  <c r="BD133" i="10"/>
  <c r="AY134" i="10"/>
  <c r="BD134" i="10"/>
  <c r="AY135" i="10"/>
  <c r="BD135" i="10"/>
  <c r="AY136" i="10"/>
  <c r="BD136" i="10"/>
  <c r="AY137" i="10"/>
  <c r="BD137" i="10"/>
  <c r="AY138" i="10"/>
  <c r="BD138" i="10"/>
  <c r="AY139" i="10"/>
  <c r="BD139" i="10"/>
  <c r="AY140" i="10"/>
  <c r="BD140" i="10"/>
  <c r="AY141" i="10"/>
  <c r="BD141" i="10"/>
  <c r="AY142" i="10"/>
  <c r="BD142" i="10"/>
  <c r="AY143" i="10"/>
  <c r="BD143" i="10"/>
  <c r="AY144" i="10"/>
  <c r="BD144" i="10"/>
  <c r="AY145" i="10"/>
  <c r="BD145" i="10"/>
  <c r="AY146" i="10"/>
  <c r="BD146" i="10"/>
  <c r="AY147" i="10"/>
  <c r="BD147" i="10"/>
  <c r="AY148" i="10"/>
  <c r="BD148" i="10"/>
  <c r="AY149" i="10"/>
  <c r="BD149" i="10"/>
  <c r="AY150" i="10"/>
  <c r="BD150" i="10"/>
  <c r="AY151" i="10"/>
  <c r="BD151" i="10"/>
  <c r="AY152" i="10"/>
  <c r="BD152" i="10"/>
  <c r="AY153" i="10"/>
  <c r="BD153" i="10"/>
  <c r="AY154" i="10"/>
  <c r="BD154" i="10"/>
  <c r="AY155" i="10"/>
  <c r="BD155" i="10"/>
  <c r="AY156" i="10"/>
  <c r="BD156" i="10"/>
  <c r="AY157" i="10"/>
  <c r="BD157" i="10"/>
  <c r="AY158" i="10"/>
  <c r="BD158" i="10"/>
  <c r="AY159" i="10"/>
  <c r="BD159" i="10"/>
  <c r="AY160" i="10"/>
  <c r="BD160" i="10"/>
  <c r="AY161" i="10"/>
  <c r="BD161" i="10"/>
  <c r="AY162" i="10"/>
  <c r="BD162" i="10"/>
  <c r="AY163" i="10"/>
  <c r="BD163" i="10"/>
  <c r="AY164" i="10"/>
  <c r="BD164" i="10"/>
  <c r="AY165" i="10"/>
  <c r="BD165" i="10"/>
  <c r="AY166" i="10"/>
  <c r="BD166" i="10"/>
  <c r="AY167" i="10"/>
  <c r="BD167" i="10"/>
  <c r="AY168" i="10"/>
  <c r="BD168" i="10"/>
  <c r="AY169" i="10"/>
  <c r="BD169" i="10"/>
  <c r="AY170" i="10"/>
  <c r="BD170" i="10"/>
  <c r="AY171" i="10"/>
  <c r="BD171" i="10"/>
  <c r="AY172" i="10"/>
  <c r="BD172" i="10"/>
  <c r="AY173" i="10"/>
  <c r="BD173" i="10"/>
  <c r="AY174" i="10"/>
  <c r="BD174" i="10"/>
  <c r="AY175" i="10"/>
  <c r="BD175" i="10"/>
  <c r="AY176" i="10"/>
  <c r="BD176" i="10"/>
  <c r="AY177" i="10"/>
  <c r="BD177" i="10"/>
  <c r="AY178" i="10"/>
  <c r="BD178" i="10"/>
  <c r="AY179" i="10"/>
  <c r="BD179" i="10"/>
  <c r="AY180" i="10"/>
  <c r="BD180" i="10"/>
  <c r="AY181" i="10"/>
  <c r="BD181" i="10"/>
  <c r="AY182" i="10"/>
  <c r="BD182" i="10"/>
  <c r="AY183" i="10"/>
  <c r="BD183" i="10"/>
  <c r="AY184" i="10"/>
  <c r="BD184" i="10"/>
  <c r="AY185" i="10"/>
  <c r="BD185" i="10"/>
  <c r="AY186" i="10"/>
  <c r="BD186" i="10"/>
  <c r="AY187" i="10"/>
  <c r="BD187" i="10"/>
  <c r="AY188" i="10"/>
  <c r="BD188" i="10"/>
  <c r="AY189" i="10"/>
  <c r="BD189" i="10"/>
  <c r="AY190" i="10"/>
  <c r="BD190" i="10"/>
  <c r="AY191" i="10"/>
  <c r="BD191" i="10"/>
  <c r="AY192" i="10"/>
  <c r="BD192" i="10"/>
  <c r="AY193" i="10"/>
  <c r="BD193" i="10"/>
  <c r="AY194" i="10"/>
  <c r="BD194" i="10"/>
  <c r="AY195" i="10"/>
  <c r="BD195" i="10"/>
  <c r="AY196" i="10"/>
  <c r="BD196" i="10"/>
  <c r="AY197" i="10"/>
  <c r="BD197" i="10"/>
  <c r="AY198" i="10"/>
  <c r="BD198" i="10"/>
  <c r="AY199" i="10"/>
  <c r="BD199" i="10"/>
  <c r="AY200" i="10"/>
  <c r="BD200" i="10"/>
  <c r="AY201" i="10"/>
  <c r="BD201" i="10"/>
  <c r="AY202" i="10"/>
  <c r="BD202" i="10"/>
  <c r="AY203" i="10"/>
  <c r="BD203" i="10"/>
  <c r="AY204" i="10"/>
  <c r="BD204" i="10"/>
  <c r="AY205" i="10"/>
  <c r="BD205" i="10"/>
  <c r="AY206" i="10"/>
  <c r="BD206" i="10"/>
  <c r="AY207" i="10"/>
  <c r="BD207" i="10"/>
  <c r="AY208" i="10"/>
  <c r="BD208" i="10"/>
  <c r="AY209" i="10"/>
  <c r="BD209" i="10"/>
  <c r="AY210" i="10"/>
  <c r="BD210" i="10"/>
  <c r="AY211" i="10"/>
  <c r="BD211" i="10"/>
  <c r="AY212" i="10"/>
  <c r="BD212" i="10"/>
  <c r="AY213" i="10"/>
  <c r="BD213" i="10"/>
  <c r="AY214" i="10"/>
  <c r="BD214" i="10"/>
  <c r="AY215" i="10"/>
  <c r="BD215" i="10"/>
  <c r="AY216" i="10"/>
  <c r="BD216" i="10"/>
  <c r="AY217" i="10"/>
  <c r="BD217" i="10"/>
  <c r="AY218" i="10"/>
  <c r="BD218" i="10"/>
  <c r="AY219" i="10"/>
  <c r="BD219" i="10"/>
  <c r="AY220" i="10"/>
  <c r="BD220" i="10"/>
  <c r="AY221" i="10"/>
  <c r="BD221" i="10"/>
  <c r="AY222" i="10"/>
  <c r="BD222" i="10"/>
  <c r="AY223" i="10"/>
  <c r="BD223" i="10"/>
  <c r="AY224" i="10"/>
  <c r="BD224" i="10"/>
  <c r="AY225" i="10"/>
  <c r="BD225" i="10"/>
  <c r="AY226" i="10"/>
  <c r="BD226" i="10"/>
  <c r="AY227" i="10"/>
  <c r="BD227" i="10"/>
  <c r="AY228" i="10"/>
  <c r="BD228" i="10"/>
  <c r="AY229" i="10"/>
  <c r="BD229" i="10"/>
  <c r="AY230" i="10"/>
  <c r="BD230" i="10"/>
  <c r="AY231" i="10"/>
  <c r="BD231" i="10"/>
  <c r="AY232" i="10"/>
  <c r="BD232" i="10"/>
  <c r="AY233" i="10"/>
  <c r="BD233" i="10"/>
  <c r="AY234" i="10"/>
  <c r="BD234" i="10"/>
  <c r="AY235" i="10"/>
  <c r="BD235" i="10"/>
  <c r="AY236" i="10"/>
  <c r="BD236" i="10"/>
  <c r="AY237" i="10"/>
  <c r="BD237" i="10"/>
  <c r="AY238" i="10"/>
  <c r="BD238" i="10"/>
  <c r="AY239" i="10"/>
  <c r="BD239" i="10"/>
  <c r="AY240" i="10"/>
  <c r="BD240" i="10"/>
  <c r="AY241" i="10"/>
  <c r="BD241" i="10"/>
  <c r="AY242" i="10"/>
  <c r="BD242" i="10"/>
  <c r="AY243" i="10"/>
  <c r="BD243" i="10"/>
  <c r="AY244" i="10"/>
  <c r="BD244" i="10"/>
  <c r="AY245" i="10"/>
  <c r="BD245" i="10"/>
  <c r="AY246" i="10"/>
  <c r="BD246" i="10"/>
  <c r="AY247" i="10"/>
  <c r="BD247" i="10"/>
  <c r="AY248" i="10"/>
  <c r="BD248" i="10"/>
  <c r="AY249" i="10"/>
  <c r="BD249" i="10"/>
  <c r="AY250" i="10"/>
  <c r="BD250" i="10"/>
  <c r="AY251" i="10"/>
  <c r="BD251" i="10"/>
  <c r="AY252" i="10"/>
  <c r="BD252" i="10"/>
  <c r="AY253" i="10"/>
  <c r="BD253" i="10"/>
  <c r="AY254" i="10"/>
  <c r="BD254" i="10"/>
  <c r="AY255" i="10"/>
  <c r="BD255" i="10"/>
  <c r="AY256" i="10"/>
  <c r="BD256" i="10"/>
  <c r="AY257" i="10"/>
  <c r="BD257" i="10"/>
  <c r="AY258" i="10"/>
  <c r="BD258" i="10"/>
  <c r="AY259" i="10"/>
  <c r="BD259" i="10"/>
  <c r="AY260" i="10"/>
  <c r="BD260" i="10"/>
  <c r="AY261" i="10"/>
  <c r="BD261" i="10"/>
  <c r="AY262" i="10"/>
  <c r="BD262" i="10"/>
  <c r="AY263" i="10"/>
  <c r="BD263" i="10"/>
  <c r="AY264" i="10"/>
  <c r="BD264" i="10"/>
  <c r="AY265" i="10"/>
  <c r="BD265" i="10"/>
  <c r="AY266" i="10"/>
  <c r="BD266" i="10"/>
  <c r="AY267" i="10"/>
  <c r="BD267" i="10"/>
  <c r="AY268" i="10"/>
  <c r="BD268" i="10"/>
  <c r="AY269" i="10"/>
  <c r="BD269" i="10"/>
  <c r="AY270" i="10"/>
  <c r="BD270" i="10"/>
  <c r="AY271" i="10"/>
  <c r="BD271" i="10"/>
  <c r="AY272" i="10"/>
  <c r="BD272" i="10"/>
  <c r="AY273" i="10"/>
  <c r="BD273" i="10"/>
  <c r="AY274" i="10"/>
  <c r="BD274" i="10"/>
  <c r="AY275" i="10"/>
  <c r="BD275" i="10"/>
  <c r="AY276" i="10"/>
  <c r="BD276" i="10"/>
  <c r="AY277" i="10"/>
  <c r="BD277" i="10"/>
  <c r="AY278" i="10"/>
  <c r="BD278" i="10"/>
  <c r="AY279" i="10"/>
  <c r="BD279" i="10"/>
  <c r="AY280" i="10"/>
  <c r="BD280" i="10"/>
  <c r="AY281" i="10"/>
  <c r="BD281" i="10"/>
  <c r="AY282" i="10"/>
  <c r="BD282" i="10"/>
  <c r="AY283" i="10"/>
  <c r="BD283" i="10"/>
  <c r="AY284" i="10"/>
  <c r="BD284" i="10"/>
  <c r="AY285" i="10"/>
  <c r="BD285" i="10"/>
  <c r="AY286" i="10"/>
  <c r="BD286" i="10"/>
  <c r="AY287" i="10"/>
  <c r="BD287" i="10"/>
  <c r="AY288" i="10"/>
  <c r="BD288" i="10"/>
  <c r="AY289" i="10"/>
  <c r="BD289" i="10"/>
  <c r="AY290" i="10"/>
  <c r="BD290" i="10"/>
  <c r="AY291" i="10"/>
  <c r="BD291" i="10"/>
  <c r="AY292" i="10"/>
  <c r="BD292" i="10"/>
  <c r="AY293" i="10"/>
  <c r="BD293" i="10"/>
  <c r="AY294" i="10"/>
  <c r="BD294" i="10"/>
  <c r="AY295" i="10"/>
  <c r="BD295" i="10"/>
  <c r="AY296" i="10"/>
  <c r="BD296" i="10"/>
  <c r="AY297" i="10"/>
  <c r="BD297" i="10"/>
  <c r="AY298" i="10"/>
  <c r="BD298" i="10"/>
  <c r="AY299" i="10"/>
  <c r="BD299" i="10"/>
  <c r="AY300" i="10"/>
  <c r="BD300" i="10"/>
  <c r="AY301" i="10"/>
  <c r="BD301" i="10"/>
  <c r="AY302" i="10"/>
  <c r="BD302" i="10"/>
  <c r="AY303" i="10"/>
  <c r="BD303" i="10"/>
  <c r="AY304" i="10"/>
  <c r="BD304" i="10"/>
  <c r="AY305" i="10"/>
  <c r="BD305" i="10"/>
  <c r="AY306" i="10"/>
  <c r="BD306" i="10"/>
  <c r="AY307" i="10"/>
  <c r="BD307" i="10"/>
  <c r="AY308" i="10"/>
  <c r="BD308" i="10"/>
  <c r="AY309" i="10"/>
  <c r="BD309" i="10"/>
  <c r="AY310" i="10"/>
  <c r="BD310" i="10"/>
  <c r="AY311" i="10"/>
  <c r="BD311" i="10"/>
  <c r="AY312" i="10"/>
  <c r="BD312" i="10"/>
  <c r="AY313" i="10"/>
  <c r="BD313" i="10"/>
  <c r="AY314" i="10"/>
  <c r="BD314" i="10"/>
  <c r="AY315" i="10"/>
  <c r="BD315" i="10"/>
  <c r="AY316" i="10"/>
  <c r="BD316" i="10"/>
  <c r="AY317" i="10"/>
  <c r="BD317" i="10"/>
  <c r="AY3" i="10"/>
  <c r="BD3" i="10"/>
  <c r="AY4" i="10"/>
  <c r="BD4" i="10"/>
  <c r="AY5" i="10"/>
  <c r="BD5" i="10"/>
  <c r="AY6" i="10"/>
  <c r="BD6" i="10"/>
  <c r="AY7" i="10"/>
  <c r="BD7" i="10"/>
  <c r="AY8" i="10"/>
  <c r="BD8" i="10"/>
  <c r="AY9" i="10"/>
  <c r="BD9" i="10"/>
  <c r="AY2" i="10"/>
  <c r="BD2" i="10"/>
  <c r="AZ10" i="10"/>
  <c r="AZ11" i="10"/>
  <c r="AZ12" i="10"/>
  <c r="AZ13" i="10"/>
  <c r="AZ14" i="10"/>
  <c r="AZ15" i="10"/>
  <c r="AZ16" i="10"/>
  <c r="AZ17" i="10"/>
  <c r="AZ18" i="10"/>
  <c r="AZ19" i="10"/>
  <c r="AZ20" i="10"/>
  <c r="AZ21" i="10"/>
  <c r="AZ22" i="10"/>
  <c r="AZ23" i="10"/>
  <c r="AZ24" i="10"/>
  <c r="AZ25" i="10"/>
  <c r="AZ26" i="10"/>
  <c r="AZ27" i="10"/>
  <c r="AZ28" i="10"/>
  <c r="AZ29" i="10"/>
  <c r="AZ30" i="10"/>
  <c r="AZ31" i="10"/>
  <c r="AZ32" i="10"/>
  <c r="AZ33" i="10"/>
  <c r="AZ34" i="10"/>
  <c r="AZ35" i="10"/>
  <c r="AZ36" i="10"/>
  <c r="AZ37" i="10"/>
  <c r="AZ38" i="10"/>
  <c r="AZ39" i="10"/>
  <c r="AZ40" i="10"/>
  <c r="AZ41" i="10"/>
  <c r="AZ42" i="10"/>
  <c r="AZ43" i="10"/>
  <c r="AZ44" i="10"/>
  <c r="AZ45" i="10"/>
  <c r="AZ46" i="10"/>
  <c r="AZ47" i="10"/>
  <c r="AZ48" i="10"/>
  <c r="AZ49" i="10"/>
  <c r="AZ50" i="10"/>
  <c r="AZ51" i="10"/>
  <c r="AZ52" i="10"/>
  <c r="AZ53" i="10"/>
  <c r="AZ54" i="10"/>
  <c r="AZ55" i="10"/>
  <c r="AZ56" i="10"/>
  <c r="AZ57" i="10"/>
  <c r="AZ58" i="10"/>
  <c r="AZ59" i="10"/>
  <c r="AZ60" i="10"/>
  <c r="AZ61" i="10"/>
  <c r="AZ62" i="10"/>
  <c r="AZ63" i="10"/>
  <c r="AZ64" i="10"/>
  <c r="AZ65" i="10"/>
  <c r="AZ66" i="10"/>
  <c r="AZ67" i="10"/>
  <c r="AZ68" i="10"/>
  <c r="AZ69" i="10"/>
  <c r="AZ70" i="10"/>
  <c r="AZ71" i="10"/>
  <c r="AZ72" i="10"/>
  <c r="AZ73" i="10"/>
  <c r="AZ74" i="10"/>
  <c r="AZ75" i="10"/>
  <c r="AZ76" i="10"/>
  <c r="AZ77" i="10"/>
  <c r="AZ78" i="10"/>
  <c r="AZ79" i="10"/>
  <c r="AZ80" i="10"/>
  <c r="AZ81" i="10"/>
  <c r="AZ82" i="10"/>
  <c r="AZ83" i="10"/>
  <c r="AZ84" i="10"/>
  <c r="AZ85" i="10"/>
  <c r="AZ86" i="10"/>
  <c r="AZ87" i="10"/>
  <c r="AZ88" i="10"/>
  <c r="AZ89" i="10"/>
  <c r="AZ90" i="10"/>
  <c r="AZ91" i="10"/>
  <c r="AZ92" i="10"/>
  <c r="AZ93" i="10"/>
  <c r="AZ94" i="10"/>
  <c r="AZ95" i="10"/>
  <c r="AZ96" i="10"/>
  <c r="AZ97" i="10"/>
  <c r="AZ98" i="10"/>
  <c r="AZ99" i="10"/>
  <c r="AZ100" i="10"/>
  <c r="AZ101" i="10"/>
  <c r="AZ102" i="10"/>
  <c r="AZ103" i="10"/>
  <c r="AZ104" i="10"/>
  <c r="AZ105" i="10"/>
  <c r="AZ106" i="10"/>
  <c r="AZ107" i="10"/>
  <c r="AZ108" i="10"/>
  <c r="AZ109" i="10"/>
  <c r="AZ110" i="10"/>
  <c r="AZ111" i="10"/>
  <c r="AZ112" i="10"/>
  <c r="AZ113" i="10"/>
  <c r="AZ114" i="10"/>
  <c r="AZ115" i="10"/>
  <c r="AZ116" i="10"/>
  <c r="AZ117" i="10"/>
  <c r="AZ118" i="10"/>
  <c r="AZ119" i="10"/>
  <c r="AZ120" i="10"/>
  <c r="AZ121" i="10"/>
  <c r="AZ122" i="10"/>
  <c r="AZ123" i="10"/>
  <c r="AZ124" i="10"/>
  <c r="AZ125" i="10"/>
  <c r="AZ126" i="10"/>
  <c r="AZ127" i="10"/>
  <c r="AZ128" i="10"/>
  <c r="AZ129" i="10"/>
  <c r="AZ130" i="10"/>
  <c r="AZ131" i="10"/>
  <c r="AZ132" i="10"/>
  <c r="AZ133" i="10"/>
  <c r="AZ134" i="10"/>
  <c r="AZ135" i="10"/>
  <c r="AZ136" i="10"/>
  <c r="AZ137" i="10"/>
  <c r="AZ138" i="10"/>
  <c r="AZ139" i="10"/>
  <c r="AZ140" i="10"/>
  <c r="AZ141" i="10"/>
  <c r="AZ142" i="10"/>
  <c r="AZ143" i="10"/>
  <c r="AZ144" i="10"/>
  <c r="AZ145" i="10"/>
  <c r="AZ146" i="10"/>
  <c r="AZ147" i="10"/>
  <c r="AZ148" i="10"/>
  <c r="AZ149" i="10"/>
  <c r="AZ150" i="10"/>
  <c r="AZ151" i="10"/>
  <c r="AZ152" i="10"/>
  <c r="AZ153" i="10"/>
  <c r="AZ154" i="10"/>
  <c r="AZ155" i="10"/>
  <c r="AZ156" i="10"/>
  <c r="AZ157" i="10"/>
  <c r="AZ158" i="10"/>
  <c r="AZ159" i="10"/>
  <c r="AZ160" i="10"/>
  <c r="AZ161" i="10"/>
  <c r="AZ162" i="10"/>
  <c r="AZ163" i="10"/>
  <c r="AZ164" i="10"/>
  <c r="AZ165" i="10"/>
  <c r="AZ166" i="10"/>
  <c r="AZ167" i="10"/>
  <c r="AZ168" i="10"/>
  <c r="AZ169" i="10"/>
  <c r="AZ170" i="10"/>
  <c r="AZ171" i="10"/>
  <c r="AZ172" i="10"/>
  <c r="AZ173" i="10"/>
  <c r="AZ174" i="10"/>
  <c r="AZ175" i="10"/>
  <c r="AZ176" i="10"/>
  <c r="AZ177" i="10"/>
  <c r="AZ178" i="10"/>
  <c r="AZ179" i="10"/>
  <c r="AZ180" i="10"/>
  <c r="AZ181" i="10"/>
  <c r="AZ182" i="10"/>
  <c r="AZ183" i="10"/>
  <c r="AZ184" i="10"/>
  <c r="AZ185" i="10"/>
  <c r="AZ186" i="10"/>
  <c r="AZ187" i="10"/>
  <c r="AZ188" i="10"/>
  <c r="AZ189" i="10"/>
  <c r="AZ190" i="10"/>
  <c r="AZ191" i="10"/>
  <c r="AZ192" i="10"/>
  <c r="AZ193" i="10"/>
  <c r="AZ194" i="10"/>
  <c r="AZ195" i="10"/>
  <c r="AZ196" i="10"/>
  <c r="AZ197" i="10"/>
  <c r="AZ198" i="10"/>
  <c r="AZ199" i="10"/>
  <c r="AZ200" i="10"/>
  <c r="AZ201" i="10"/>
  <c r="AZ202" i="10"/>
  <c r="AZ203" i="10"/>
  <c r="AZ204" i="10"/>
  <c r="AZ205" i="10"/>
  <c r="AZ206" i="10"/>
  <c r="AZ207" i="10"/>
  <c r="AZ208" i="10"/>
  <c r="AZ209" i="10"/>
  <c r="AZ210" i="10"/>
  <c r="AZ211" i="10"/>
  <c r="AZ212" i="10"/>
  <c r="AZ213" i="10"/>
  <c r="AZ214" i="10"/>
  <c r="AZ215" i="10"/>
  <c r="AZ216" i="10"/>
  <c r="AZ217" i="10"/>
  <c r="AZ218" i="10"/>
  <c r="AZ219" i="10"/>
  <c r="AZ220" i="10"/>
  <c r="AZ221" i="10"/>
  <c r="AZ222" i="10"/>
  <c r="AZ223" i="10"/>
  <c r="AZ224" i="10"/>
  <c r="AZ225" i="10"/>
  <c r="AZ226" i="10"/>
  <c r="AZ227" i="10"/>
  <c r="AZ228" i="10"/>
  <c r="AZ229" i="10"/>
  <c r="AZ230" i="10"/>
  <c r="AZ231" i="10"/>
  <c r="AZ232" i="10"/>
  <c r="AZ233" i="10"/>
  <c r="AZ234" i="10"/>
  <c r="AZ235" i="10"/>
  <c r="AZ236" i="10"/>
  <c r="AZ237" i="10"/>
  <c r="AZ238" i="10"/>
  <c r="AZ239" i="10"/>
  <c r="AZ240" i="10"/>
  <c r="AZ241" i="10"/>
  <c r="AZ242" i="10"/>
  <c r="AZ243" i="10"/>
  <c r="AZ244" i="10"/>
  <c r="AZ245" i="10"/>
  <c r="AZ246" i="10"/>
  <c r="AZ247" i="10"/>
  <c r="AZ248" i="10"/>
  <c r="AZ249" i="10"/>
  <c r="AZ250" i="10"/>
  <c r="AZ251" i="10"/>
  <c r="AZ252" i="10"/>
  <c r="AZ253" i="10"/>
  <c r="AZ254" i="10"/>
  <c r="AZ255" i="10"/>
  <c r="AZ256" i="10"/>
  <c r="AZ257" i="10"/>
  <c r="AZ258" i="10"/>
  <c r="AZ259" i="10"/>
  <c r="AZ260" i="10"/>
  <c r="AZ261" i="10"/>
  <c r="AZ262" i="10"/>
  <c r="AZ263" i="10"/>
  <c r="AZ264" i="10"/>
  <c r="AZ265" i="10"/>
  <c r="AZ266" i="10"/>
  <c r="AZ267" i="10"/>
  <c r="AZ268" i="10"/>
  <c r="AZ269" i="10"/>
  <c r="AZ270" i="10"/>
  <c r="AZ271" i="10"/>
  <c r="AZ272" i="10"/>
  <c r="AZ273" i="10"/>
  <c r="AZ274" i="10"/>
  <c r="AZ275" i="10"/>
  <c r="AZ276" i="10"/>
  <c r="AZ277" i="10"/>
  <c r="AZ278" i="10"/>
  <c r="AZ279" i="10"/>
  <c r="AZ280" i="10"/>
  <c r="AZ281" i="10"/>
  <c r="AZ282" i="10"/>
  <c r="AZ283" i="10"/>
  <c r="AZ284" i="10"/>
  <c r="AZ285" i="10"/>
  <c r="AZ286" i="10"/>
  <c r="AZ287" i="10"/>
  <c r="AZ288" i="10"/>
  <c r="AZ289" i="10"/>
  <c r="AZ290" i="10"/>
  <c r="AZ291" i="10"/>
  <c r="AZ292" i="10"/>
  <c r="AZ293" i="10"/>
  <c r="AZ294" i="10"/>
  <c r="AZ295" i="10"/>
  <c r="AZ296" i="10"/>
  <c r="AZ297" i="10"/>
  <c r="AZ298" i="10"/>
  <c r="AZ299" i="10"/>
  <c r="AZ300" i="10"/>
  <c r="AZ301" i="10"/>
  <c r="AZ302" i="10"/>
  <c r="AZ303" i="10"/>
  <c r="AZ304" i="10"/>
  <c r="AZ305" i="10"/>
  <c r="AZ306" i="10"/>
  <c r="AZ307" i="10"/>
  <c r="AZ308" i="10"/>
  <c r="AZ309" i="10"/>
  <c r="AZ310" i="10"/>
  <c r="AZ311" i="10"/>
  <c r="AZ312" i="10"/>
  <c r="AZ313" i="10"/>
  <c r="AZ314" i="10"/>
  <c r="AZ315" i="10"/>
  <c r="AZ316" i="10"/>
  <c r="AZ317" i="10"/>
  <c r="AZ4" i="10"/>
  <c r="AZ5" i="10"/>
  <c r="AZ6" i="10"/>
  <c r="AZ7" i="10"/>
  <c r="AZ8" i="10"/>
  <c r="AZ9" i="10"/>
  <c r="AZ3" i="10"/>
  <c r="AZ2" i="10"/>
  <c r="BB3" i="10"/>
  <c r="BB4" i="10"/>
  <c r="BB5" i="10"/>
  <c r="BB6" i="10"/>
  <c r="BB7" i="10"/>
  <c r="BB8" i="10"/>
  <c r="BB9" i="10"/>
  <c r="BB10" i="10"/>
  <c r="BB11" i="10"/>
  <c r="BB12" i="10"/>
  <c r="BB13" i="10"/>
  <c r="BB14" i="10"/>
  <c r="BB15" i="10"/>
  <c r="BB16" i="10"/>
  <c r="BB17" i="10"/>
  <c r="BB18" i="10"/>
  <c r="BB19" i="10"/>
  <c r="BB20" i="10"/>
  <c r="BB21" i="10"/>
  <c r="BB22" i="10"/>
  <c r="BB23" i="10"/>
  <c r="BB24" i="10"/>
  <c r="BB25" i="10"/>
  <c r="BB26" i="10"/>
  <c r="BB27" i="10"/>
  <c r="BB28" i="10"/>
  <c r="BB29" i="10"/>
  <c r="BB30" i="10"/>
  <c r="BB31" i="10"/>
  <c r="BB32" i="10"/>
  <c r="BB33" i="10"/>
  <c r="BB34" i="10"/>
  <c r="BB35" i="10"/>
  <c r="BB36" i="10"/>
  <c r="BB37" i="10"/>
  <c r="BB38" i="10"/>
  <c r="BB39" i="10"/>
  <c r="BB40" i="10"/>
  <c r="BB41" i="10"/>
  <c r="BB42" i="10"/>
  <c r="BB43" i="10"/>
  <c r="BB44" i="10"/>
  <c r="BB45" i="10"/>
  <c r="BB46" i="10"/>
  <c r="BB47" i="10"/>
  <c r="BB48" i="10"/>
  <c r="BB49" i="10"/>
  <c r="BB50" i="10"/>
  <c r="BB51" i="10"/>
  <c r="BB52" i="10"/>
  <c r="BB53" i="10"/>
  <c r="BB54" i="10"/>
  <c r="BB55" i="10"/>
  <c r="BB56" i="10"/>
  <c r="BB57" i="10"/>
  <c r="BB58" i="10"/>
  <c r="BB59" i="10"/>
  <c r="BB60" i="10"/>
  <c r="BB61" i="10"/>
  <c r="BB62" i="10"/>
  <c r="BB63" i="10"/>
  <c r="BB64" i="10"/>
  <c r="BB65" i="10"/>
  <c r="BB66" i="10"/>
  <c r="BB67" i="10"/>
  <c r="BB68" i="10"/>
  <c r="BB69" i="10"/>
  <c r="BB70" i="10"/>
  <c r="BB71" i="10"/>
  <c r="BB72" i="10"/>
  <c r="BB73" i="10"/>
  <c r="BB74" i="10"/>
  <c r="BB75" i="10"/>
  <c r="BB76" i="10"/>
  <c r="BB77" i="10"/>
  <c r="BB78" i="10"/>
  <c r="BB79" i="10"/>
  <c r="BB80" i="10"/>
  <c r="BB81" i="10"/>
  <c r="BB82" i="10"/>
  <c r="BB83" i="10"/>
  <c r="BB84" i="10"/>
  <c r="BB85" i="10"/>
  <c r="BB86" i="10"/>
  <c r="BB87" i="10"/>
  <c r="BB88" i="10"/>
  <c r="BB89" i="10"/>
  <c r="BB90" i="10"/>
  <c r="BB91" i="10"/>
  <c r="BB92" i="10"/>
  <c r="BB93" i="10"/>
  <c r="BB94" i="10"/>
  <c r="BB95" i="10"/>
  <c r="BB96" i="10"/>
  <c r="BB97" i="10"/>
  <c r="BB98" i="10"/>
  <c r="BB99" i="10"/>
  <c r="BB100" i="10"/>
  <c r="BB101" i="10"/>
  <c r="BB102" i="10"/>
  <c r="BB103" i="10"/>
  <c r="BB104" i="10"/>
  <c r="BB105" i="10"/>
  <c r="BB106" i="10"/>
  <c r="BB107" i="10"/>
  <c r="BB108" i="10"/>
  <c r="BB109" i="10"/>
  <c r="BB110" i="10"/>
  <c r="BB111" i="10"/>
  <c r="BB112" i="10"/>
  <c r="BB113" i="10"/>
  <c r="BB114" i="10"/>
  <c r="BB115" i="10"/>
  <c r="BB116" i="10"/>
  <c r="BB117" i="10"/>
  <c r="BB118" i="10"/>
  <c r="BB119" i="10"/>
  <c r="BB120" i="10"/>
  <c r="BB121" i="10"/>
  <c r="BB122" i="10"/>
  <c r="BB123" i="10"/>
  <c r="BB124" i="10"/>
  <c r="BB125" i="10"/>
  <c r="BB126" i="10"/>
  <c r="BB127" i="10"/>
  <c r="BB128" i="10"/>
  <c r="BB129" i="10"/>
  <c r="BB130" i="10"/>
  <c r="BB131" i="10"/>
  <c r="BB132" i="10"/>
  <c r="BB133" i="10"/>
  <c r="BB134" i="10"/>
  <c r="BB135" i="10"/>
  <c r="BB136" i="10"/>
  <c r="BB137" i="10"/>
  <c r="BB138" i="10"/>
  <c r="BB139" i="10"/>
  <c r="BB140" i="10"/>
  <c r="BB141" i="10"/>
  <c r="BB142" i="10"/>
  <c r="BB143" i="10"/>
  <c r="BB144" i="10"/>
  <c r="BB145" i="10"/>
  <c r="BB146" i="10"/>
  <c r="BB147" i="10"/>
  <c r="BB148" i="10"/>
  <c r="BB149" i="10"/>
  <c r="BB150" i="10"/>
  <c r="BB151" i="10"/>
  <c r="BB152" i="10"/>
  <c r="BB153" i="10"/>
  <c r="BB154" i="10"/>
  <c r="BB155" i="10"/>
  <c r="BB156" i="10"/>
  <c r="BB157" i="10"/>
  <c r="BB158" i="10"/>
  <c r="BB159" i="10"/>
  <c r="BB160" i="10"/>
  <c r="BB161" i="10"/>
  <c r="BB162" i="10"/>
  <c r="BB163" i="10"/>
  <c r="BB164" i="10"/>
  <c r="BB165" i="10"/>
  <c r="BB166" i="10"/>
  <c r="BB167" i="10"/>
  <c r="BB168" i="10"/>
  <c r="BB169" i="10"/>
  <c r="BB170" i="10"/>
  <c r="BB171" i="10"/>
  <c r="BB172" i="10"/>
  <c r="BB173" i="10"/>
  <c r="BB174" i="10"/>
  <c r="BB175" i="10"/>
  <c r="BB176" i="10"/>
  <c r="BB177" i="10"/>
  <c r="BB178" i="10"/>
  <c r="BB179" i="10"/>
  <c r="BB180" i="10"/>
  <c r="BB181" i="10"/>
  <c r="BB182" i="10"/>
  <c r="BB183" i="10"/>
  <c r="BB184" i="10"/>
  <c r="BB185" i="10"/>
  <c r="BB186" i="10"/>
  <c r="BB187" i="10"/>
  <c r="BB188" i="10"/>
  <c r="BB189" i="10"/>
  <c r="BB190" i="10"/>
  <c r="BB191" i="10"/>
  <c r="BB192" i="10"/>
  <c r="BB193" i="10"/>
  <c r="BB194" i="10"/>
  <c r="BB195" i="10"/>
  <c r="BB196" i="10"/>
  <c r="BB197" i="10"/>
  <c r="BB198" i="10"/>
  <c r="BB199" i="10"/>
  <c r="BB200" i="10"/>
  <c r="BB201" i="10"/>
  <c r="BB202" i="10"/>
  <c r="BB203" i="10"/>
  <c r="BB204" i="10"/>
  <c r="BB205" i="10"/>
  <c r="BB206" i="10"/>
  <c r="BB207" i="10"/>
  <c r="BB208" i="10"/>
  <c r="BB209" i="10"/>
  <c r="BB210" i="10"/>
  <c r="BB211" i="10"/>
  <c r="BB212" i="10"/>
  <c r="BB213" i="10"/>
  <c r="BB214" i="10"/>
  <c r="BB215" i="10"/>
  <c r="BB216" i="10"/>
  <c r="BB217" i="10"/>
  <c r="BB218" i="10"/>
  <c r="BB219" i="10"/>
  <c r="BB220" i="10"/>
  <c r="BB221" i="10"/>
  <c r="BB222" i="10"/>
  <c r="BB223" i="10"/>
  <c r="BB224" i="10"/>
  <c r="BB225" i="10"/>
  <c r="BB226" i="10"/>
  <c r="BB227" i="10"/>
  <c r="BB228" i="10"/>
  <c r="BB229" i="10"/>
  <c r="BB230" i="10"/>
  <c r="BB231" i="10"/>
  <c r="BB232" i="10"/>
  <c r="BB233" i="10"/>
  <c r="BB234" i="10"/>
  <c r="BB235" i="10"/>
  <c r="BB236" i="10"/>
  <c r="BB237" i="10"/>
  <c r="BB238" i="10"/>
  <c r="BB239" i="10"/>
  <c r="BB240" i="10"/>
  <c r="BB241" i="10"/>
  <c r="BB242" i="10"/>
  <c r="BB243" i="10"/>
  <c r="BB244" i="10"/>
  <c r="BB245" i="10"/>
  <c r="BB246" i="10"/>
  <c r="BB247" i="10"/>
  <c r="BB248" i="10"/>
  <c r="BB249" i="10"/>
  <c r="BB250" i="10"/>
  <c r="BB251" i="10"/>
  <c r="BB252" i="10"/>
  <c r="BB253" i="10"/>
  <c r="BB254" i="10"/>
  <c r="BB255" i="10"/>
  <c r="BB256" i="10"/>
  <c r="BB257" i="10"/>
  <c r="BB258" i="10"/>
  <c r="BB259" i="10"/>
  <c r="BB260" i="10"/>
  <c r="BB261" i="10"/>
  <c r="BB262" i="10"/>
  <c r="BB263" i="10"/>
  <c r="BB264" i="10"/>
  <c r="BB265" i="10"/>
  <c r="BB266" i="10"/>
  <c r="BB267" i="10"/>
  <c r="BB268" i="10"/>
  <c r="BB269" i="10"/>
  <c r="BB270" i="10"/>
  <c r="BB271" i="10"/>
  <c r="BB272" i="10"/>
  <c r="BB273" i="10"/>
  <c r="BB274" i="10"/>
  <c r="BB275" i="10"/>
  <c r="BB276" i="10"/>
  <c r="BB277" i="10"/>
  <c r="BB278" i="10"/>
  <c r="BB279" i="10"/>
  <c r="BB280" i="10"/>
  <c r="BB281" i="10"/>
  <c r="BB282" i="10"/>
  <c r="BB283" i="10"/>
  <c r="BB284" i="10"/>
  <c r="BB285" i="10"/>
  <c r="BB286" i="10"/>
  <c r="BB287" i="10"/>
  <c r="BB288" i="10"/>
  <c r="BB289" i="10"/>
  <c r="BB290" i="10"/>
  <c r="BB291" i="10"/>
  <c r="BB292" i="10"/>
  <c r="BB293" i="10"/>
  <c r="BB294" i="10"/>
  <c r="BB295" i="10"/>
  <c r="BB296" i="10"/>
  <c r="BB297" i="10"/>
  <c r="BB298" i="10"/>
  <c r="BB299" i="10"/>
  <c r="BB300" i="10"/>
  <c r="BB301" i="10"/>
  <c r="BB302" i="10"/>
  <c r="BB303" i="10"/>
  <c r="BB304" i="10"/>
  <c r="BB305" i="10"/>
  <c r="BB306" i="10"/>
  <c r="BB307" i="10"/>
  <c r="BB308" i="10"/>
  <c r="BB309" i="10"/>
  <c r="BB310" i="10"/>
  <c r="BB311" i="10"/>
  <c r="BB312" i="10"/>
  <c r="BB313" i="10"/>
  <c r="BB314" i="10"/>
  <c r="BB315" i="10"/>
  <c r="BB316" i="10"/>
  <c r="BB317" i="10"/>
  <c r="BB2" i="10"/>
  <c r="AR156" i="10"/>
  <c r="AT156" i="10"/>
  <c r="AS438" i="10"/>
  <c r="AT438" i="10"/>
  <c r="AS321" i="10"/>
  <c r="AR321" i="10"/>
  <c r="AS322" i="10"/>
  <c r="AR322" i="10"/>
  <c r="AT351" i="10"/>
  <c r="AR351" i="10"/>
  <c r="AT289" i="10"/>
  <c r="AS289" i="10"/>
  <c r="AT403" i="10"/>
  <c r="AR403" i="10"/>
  <c r="AS493" i="10"/>
  <c r="AT493" i="10"/>
  <c r="AR449" i="10"/>
  <c r="AR334" i="10"/>
  <c r="AT101" i="10"/>
  <c r="AT420" i="10"/>
  <c r="AT52" i="10"/>
  <c r="AS387" i="10"/>
  <c r="AS196" i="10"/>
  <c r="AR196" i="10"/>
  <c r="AT453" i="10"/>
  <c r="AS471" i="10"/>
  <c r="AR342" i="10"/>
  <c r="AT12" i="10"/>
  <c r="AS411" i="10"/>
  <c r="AT443" i="10"/>
  <c r="AR333" i="10"/>
  <c r="AS216" i="10"/>
  <c r="AR137" i="10"/>
  <c r="AS218" i="10"/>
  <c r="AS403" i="10"/>
  <c r="AS334" i="10"/>
  <c r="AR319" i="10"/>
  <c r="AR218" i="10"/>
  <c r="AS30" i="10"/>
  <c r="AS449" i="10"/>
  <c r="AS114" i="10"/>
  <c r="AR65" i="10"/>
  <c r="AR249" i="10"/>
  <c r="AR216" i="10"/>
  <c r="AR81" i="10"/>
  <c r="AS64" i="10"/>
  <c r="AT415" i="10"/>
  <c r="AR382" i="10"/>
  <c r="AS315" i="10"/>
  <c r="AR497" i="10"/>
  <c r="AT463" i="10"/>
  <c r="AS432" i="10"/>
  <c r="AS80" i="10"/>
  <c r="AT298" i="10"/>
  <c r="AS262" i="10"/>
  <c r="AT312" i="10"/>
  <c r="AR262" i="10"/>
  <c r="AT144" i="10"/>
  <c r="AR312" i="10"/>
  <c r="AS195" i="10"/>
  <c r="AT160" i="10"/>
  <c r="AR92" i="10"/>
  <c r="AS509" i="10"/>
  <c r="AR493" i="10"/>
  <c r="AT358" i="10"/>
  <c r="AS277" i="10"/>
  <c r="AS91" i="10"/>
  <c r="AS375" i="10"/>
  <c r="AR358" i="10"/>
  <c r="AT104" i="10"/>
  <c r="AS391" i="10"/>
  <c r="AS241" i="10"/>
  <c r="AS47" i="10"/>
  <c r="AR91" i="10"/>
  <c r="AR432" i="10"/>
  <c r="AR138" i="10"/>
  <c r="AT184" i="10"/>
  <c r="AT400" i="10"/>
  <c r="AT277" i="10"/>
  <c r="AR184" i="10"/>
  <c r="AS151" i="10"/>
  <c r="AT9" i="10"/>
  <c r="AT368" i="10"/>
  <c r="AS211" i="10"/>
  <c r="AS398" i="10"/>
  <c r="AR368" i="10"/>
  <c r="AR305" i="10"/>
  <c r="AR276" i="10"/>
  <c r="AR211" i="10"/>
  <c r="AT165" i="10"/>
  <c r="AS39" i="10"/>
  <c r="AR22" i="10"/>
  <c r="AT411" i="10"/>
  <c r="AT382" i="10"/>
  <c r="AS287" i="10"/>
  <c r="AT21" i="10"/>
  <c r="AS453" i="10"/>
  <c r="AS424" i="10"/>
  <c r="AS395" i="10"/>
  <c r="AS68" i="10"/>
  <c r="AR424" i="10"/>
  <c r="AR395" i="10"/>
  <c r="AS332" i="10"/>
  <c r="AR130" i="10"/>
  <c r="AR51" i="10"/>
  <c r="AT284" i="10"/>
  <c r="AR465" i="10"/>
  <c r="AR284" i="10"/>
  <c r="AR207" i="10"/>
  <c r="AS129" i="10"/>
  <c r="AR50" i="10"/>
  <c r="AT140" i="10"/>
  <c r="AR507" i="10"/>
  <c r="AS344" i="10"/>
  <c r="AS154" i="10"/>
  <c r="AS140" i="10"/>
  <c r="AR68" i="10"/>
  <c r="AR52" i="10"/>
  <c r="AS38" i="10"/>
  <c r="AS9" i="10"/>
  <c r="AR384" i="10"/>
  <c r="AR344" i="10"/>
  <c r="AS260" i="10"/>
  <c r="AT356" i="10"/>
  <c r="AT274" i="10"/>
  <c r="AS37" i="10"/>
  <c r="AR356" i="10"/>
  <c r="AR343" i="10"/>
  <c r="AS274" i="10"/>
  <c r="AR259" i="10"/>
  <c r="AT108" i="10"/>
  <c r="AR37" i="10"/>
  <c r="AR471" i="10"/>
  <c r="AT419" i="10"/>
  <c r="AT394" i="10"/>
  <c r="AT367" i="10"/>
  <c r="AT431" i="10"/>
  <c r="AT404" i="10"/>
  <c r="AR394" i="10"/>
  <c r="AS352" i="10"/>
  <c r="AR296" i="10"/>
  <c r="AR163" i="10"/>
  <c r="AS431" i="10"/>
  <c r="AR404" i="10"/>
  <c r="AR352" i="10"/>
  <c r="AT135" i="10"/>
  <c r="AR119" i="10"/>
  <c r="AT483" i="10"/>
  <c r="AT322" i="10"/>
  <c r="AT219" i="10"/>
  <c r="AS469" i="10"/>
  <c r="AS351" i="10"/>
  <c r="AS231" i="10"/>
  <c r="AS75" i="10"/>
  <c r="AS475" i="10"/>
  <c r="AT342" i="10"/>
  <c r="AR331" i="10"/>
  <c r="AT319" i="10"/>
  <c r="AR231" i="10"/>
  <c r="AS138" i="10"/>
  <c r="AR75" i="10"/>
  <c r="AR34" i="10"/>
  <c r="AR517" i="10"/>
  <c r="AS473" i="10"/>
  <c r="AS463" i="10"/>
  <c r="AT439" i="10"/>
  <c r="AT329" i="10"/>
  <c r="AT279" i="10"/>
  <c r="AT177" i="10"/>
  <c r="AR473" i="10"/>
  <c r="AS439" i="10"/>
  <c r="AT362" i="10"/>
  <c r="AR329" i="10"/>
  <c r="AS279" i="10"/>
  <c r="AS204" i="10"/>
  <c r="AS177" i="10"/>
  <c r="AR148" i="10"/>
  <c r="AR57" i="10"/>
  <c r="AS32" i="10"/>
  <c r="AR485" i="10"/>
  <c r="AR362" i="10"/>
  <c r="AR254" i="10"/>
  <c r="AT241" i="10"/>
  <c r="AS215" i="10"/>
  <c r="AR204" i="10"/>
  <c r="AR32" i="10"/>
  <c r="AR461" i="10"/>
  <c r="AR438" i="10"/>
  <c r="AR387" i="10"/>
  <c r="AR315" i="10"/>
  <c r="AR253" i="10"/>
  <c r="AR203" i="10"/>
  <c r="AT120" i="10"/>
  <c r="AR108" i="10"/>
  <c r="AS82" i="10"/>
  <c r="AR18" i="10"/>
  <c r="AT525" i="10"/>
  <c r="AR513" i="10"/>
  <c r="AS337" i="10"/>
  <c r="AT134" i="10"/>
  <c r="AR120" i="10"/>
  <c r="AS525" i="10"/>
  <c r="AS252" i="10"/>
  <c r="AS336" i="10"/>
  <c r="AT287" i="10"/>
  <c r="AR252" i="10"/>
  <c r="AR157" i="10"/>
  <c r="AT119" i="10"/>
  <c r="AR415" i="10"/>
  <c r="AR323" i="10"/>
  <c r="AR289" i="10"/>
  <c r="AS135" i="10"/>
  <c r="AS121" i="10"/>
  <c r="AT423" i="10"/>
  <c r="AS412" i="10"/>
  <c r="AT379" i="10"/>
  <c r="AT321" i="10"/>
  <c r="AS242" i="10"/>
  <c r="AT167" i="10"/>
  <c r="AT412" i="10"/>
  <c r="AT242" i="10"/>
  <c r="AS517" i="10"/>
  <c r="AS479" i="10"/>
  <c r="AT469" i="10"/>
  <c r="AS423" i="10"/>
  <c r="AS379" i="10"/>
  <c r="AS296" i="10"/>
  <c r="AS276" i="10"/>
  <c r="AS167" i="10"/>
  <c r="AT154" i="10"/>
  <c r="AS96" i="10"/>
  <c r="AT103" i="10"/>
  <c r="AT513" i="10"/>
  <c r="AS261" i="10"/>
  <c r="AT239" i="10"/>
  <c r="AS113" i="10"/>
  <c r="AS103" i="10"/>
  <c r="AT261" i="10"/>
  <c r="AT408" i="10"/>
  <c r="AT384" i="10"/>
  <c r="AR350" i="10"/>
  <c r="AT304" i="10"/>
  <c r="AR273" i="10"/>
  <c r="AS239" i="10"/>
  <c r="AR188" i="10"/>
  <c r="AS162" i="10"/>
  <c r="AR113" i="10"/>
  <c r="AS40" i="10"/>
  <c r="AT30" i="10"/>
  <c r="AS310" i="10"/>
  <c r="AR195" i="10"/>
  <c r="AR151" i="10"/>
  <c r="AR139" i="10"/>
  <c r="AR100" i="10"/>
  <c r="AT80" i="10"/>
  <c r="AS18" i="10"/>
  <c r="AT327" i="10"/>
  <c r="AT118" i="10"/>
  <c r="AS511" i="10"/>
  <c r="AT428" i="10"/>
  <c r="AR367" i="10"/>
  <c r="AS327" i="10"/>
  <c r="AT194" i="10"/>
  <c r="AS118" i="10"/>
  <c r="AT99" i="10"/>
  <c r="AR511" i="10"/>
  <c r="AS499" i="10"/>
  <c r="AS489" i="10"/>
  <c r="AR457" i="10"/>
  <c r="AR428" i="10"/>
  <c r="AT378" i="10"/>
  <c r="AR318" i="10"/>
  <c r="AT266" i="10"/>
  <c r="AT247" i="10"/>
  <c r="AR214" i="10"/>
  <c r="AS194" i="10"/>
  <c r="AT181" i="10"/>
  <c r="AS99" i="10"/>
  <c r="AR56" i="10"/>
  <c r="AT28" i="10"/>
  <c r="AS17" i="10"/>
  <c r="AT4" i="10"/>
  <c r="AR499" i="10"/>
  <c r="AT407" i="10"/>
  <c r="AR378" i="10"/>
  <c r="AR266" i="10"/>
  <c r="AR181" i="10"/>
  <c r="AT169" i="10"/>
  <c r="AS159" i="10"/>
  <c r="AR36" i="10"/>
  <c r="AS28" i="10"/>
  <c r="AR17" i="10"/>
  <c r="AS407" i="10"/>
  <c r="AS317" i="10"/>
  <c r="AT213" i="10"/>
  <c r="AS169" i="10"/>
  <c r="AR455" i="10"/>
  <c r="AS364" i="10"/>
  <c r="AR317" i="10"/>
  <c r="AT255" i="10"/>
  <c r="AS213" i="10"/>
  <c r="AT180" i="10"/>
  <c r="AS116" i="10"/>
  <c r="AT98" i="10"/>
  <c r="AT66" i="10"/>
  <c r="AT44" i="10"/>
  <c r="AT497" i="10"/>
  <c r="AS445" i="10"/>
  <c r="AT343" i="10"/>
  <c r="AT333" i="10"/>
  <c r="AS283" i="10"/>
  <c r="AT221" i="10"/>
  <c r="AS124" i="10"/>
  <c r="AS98" i="10"/>
  <c r="AT54" i="10"/>
  <c r="AS44" i="10"/>
  <c r="AT34" i="10"/>
  <c r="AS465" i="10"/>
  <c r="AR445" i="10"/>
  <c r="AR396" i="10"/>
  <c r="AR283" i="10"/>
  <c r="AS254" i="10"/>
  <c r="AR221" i="10"/>
  <c r="AS157" i="10"/>
  <c r="AR124" i="10"/>
  <c r="AS65" i="10"/>
  <c r="AR54" i="10"/>
  <c r="AS14" i="10"/>
  <c r="AR505" i="10"/>
  <c r="AS505" i="10"/>
  <c r="AS485" i="10"/>
  <c r="AR459" i="10"/>
  <c r="AT398" i="10"/>
  <c r="AT390" i="10"/>
  <c r="AR390" i="10"/>
  <c r="AS390" i="10"/>
  <c r="AS372" i="10"/>
  <c r="AS339" i="10"/>
  <c r="AS305" i="10"/>
  <c r="AR272" i="10"/>
  <c r="AS272" i="10"/>
  <c r="AR245" i="10"/>
  <c r="AR226" i="10"/>
  <c r="AS190" i="10"/>
  <c r="AT190" i="10"/>
  <c r="AT116" i="10"/>
  <c r="AR495" i="10"/>
  <c r="AT495" i="10"/>
  <c r="AR467" i="10"/>
  <c r="AT467" i="10"/>
  <c r="AS363" i="10"/>
  <c r="AT363" i="10"/>
  <c r="AR347" i="10"/>
  <c r="AS347" i="10"/>
  <c r="AT237" i="10"/>
  <c r="AR237" i="10"/>
  <c r="AS237" i="10"/>
  <c r="AT210" i="10"/>
  <c r="AS210" i="10"/>
  <c r="AR200" i="10"/>
  <c r="AT200" i="10"/>
  <c r="AR152" i="10"/>
  <c r="AT152" i="10"/>
  <c r="AR106" i="10"/>
  <c r="AT106" i="10"/>
  <c r="AR440" i="10"/>
  <c r="AT440" i="10"/>
  <c r="AR380" i="10"/>
  <c r="AT380" i="10"/>
  <c r="AS371" i="10"/>
  <c r="AR355" i="10"/>
  <c r="AT355" i="10"/>
  <c r="AS141" i="10"/>
  <c r="AT141" i="10"/>
  <c r="AS72" i="10"/>
  <c r="AT72" i="10"/>
  <c r="AS61" i="10"/>
  <c r="AS53" i="10"/>
  <c r="AS335" i="10"/>
  <c r="AT335" i="10"/>
  <c r="AR503" i="10"/>
  <c r="AS503" i="10"/>
  <c r="AS457" i="10"/>
  <c r="AS406" i="10"/>
  <c r="AR406" i="10"/>
  <c r="AR371" i="10"/>
  <c r="AR278" i="10"/>
  <c r="AT278" i="10"/>
  <c r="AR243" i="10"/>
  <c r="AT243" i="10"/>
  <c r="AR225" i="10"/>
  <c r="AS225" i="10"/>
  <c r="AS188" i="10"/>
  <c r="AR179" i="10"/>
  <c r="AT179" i="10"/>
  <c r="AR61" i="10"/>
  <c r="AR53" i="10"/>
  <c r="AS45" i="10"/>
  <c r="AR45" i="10"/>
  <c r="AS36" i="10"/>
  <c r="AR20" i="10"/>
  <c r="AT20" i="10"/>
  <c r="AR430" i="10"/>
  <c r="AT430" i="10"/>
  <c r="AT422" i="10"/>
  <c r="AR422" i="10"/>
  <c r="AS422" i="10"/>
  <c r="AT386" i="10"/>
  <c r="AT360" i="10"/>
  <c r="AS320" i="10"/>
  <c r="AS302" i="10"/>
  <c r="AS268" i="10"/>
  <c r="AT268" i="10"/>
  <c r="AS251" i="10"/>
  <c r="AR234" i="10"/>
  <c r="AT234" i="10"/>
  <c r="AS131" i="10"/>
  <c r="AS97" i="10"/>
  <c r="AT79" i="10"/>
  <c r="AS79" i="10"/>
  <c r="AR521" i="10"/>
  <c r="AT521" i="10"/>
  <c r="AR295" i="10"/>
  <c r="AT295" i="10"/>
  <c r="AS270" i="10"/>
  <c r="AT270" i="10"/>
  <c r="AR236" i="10"/>
  <c r="AS236" i="10"/>
  <c r="AS198" i="10"/>
  <c r="AR198" i="10"/>
  <c r="AT198" i="10"/>
  <c r="AR133" i="10"/>
  <c r="AT133" i="10"/>
  <c r="AT71" i="10"/>
  <c r="AR71" i="10"/>
  <c r="AR354" i="10"/>
  <c r="AS354" i="10"/>
  <c r="AS123" i="10"/>
  <c r="AT123" i="10"/>
  <c r="AR114" i="10"/>
  <c r="AT114" i="10"/>
  <c r="AT70" i="10"/>
  <c r="AR70" i="10"/>
  <c r="AS70" i="10"/>
  <c r="AT529" i="10"/>
  <c r="AR529" i="10"/>
  <c r="AS529" i="10"/>
  <c r="AR501" i="10"/>
  <c r="AT501" i="10"/>
  <c r="AS447" i="10"/>
  <c r="AR447" i="10"/>
  <c r="AS370" i="10"/>
  <c r="AT370" i="10"/>
  <c r="AR294" i="10"/>
  <c r="AS294" i="10"/>
  <c r="AR224" i="10"/>
  <c r="AS224" i="10"/>
  <c r="AS150" i="10"/>
  <c r="AT150" i="10"/>
  <c r="AR89" i="10"/>
  <c r="AS89" i="10"/>
  <c r="AT89" i="10"/>
  <c r="AS60" i="10"/>
  <c r="AT60" i="10"/>
  <c r="AT35" i="10"/>
  <c r="AR35" i="10"/>
  <c r="AS35" i="10"/>
  <c r="AR19" i="10"/>
  <c r="AS19" i="10"/>
  <c r="AT527" i="10"/>
  <c r="AT519" i="10"/>
  <c r="AR519" i="10"/>
  <c r="AR386" i="10"/>
  <c r="AR360" i="10"/>
  <c r="AR335" i="10"/>
  <c r="AR320" i="10"/>
  <c r="AR302" i="10"/>
  <c r="AT259" i="10"/>
  <c r="AR251" i="10"/>
  <c r="AR158" i="10"/>
  <c r="AT158" i="10"/>
  <c r="AS148" i="10"/>
  <c r="AR131" i="10"/>
  <c r="AR97" i="10"/>
  <c r="AT51" i="10"/>
  <c r="AR58" i="10"/>
  <c r="AS58" i="10"/>
  <c r="AT481" i="10"/>
  <c r="AR481" i="10"/>
  <c r="AS481" i="10"/>
  <c r="AR232" i="10"/>
  <c r="AS232" i="10"/>
  <c r="AS78" i="10"/>
  <c r="AT78" i="10"/>
  <c r="AS26" i="10"/>
  <c r="AR26" i="10"/>
  <c r="AS301" i="10"/>
  <c r="AT301" i="10"/>
  <c r="AT291" i="10"/>
  <c r="AR291" i="10"/>
  <c r="AS291" i="10"/>
  <c r="AS359" i="10"/>
  <c r="AT359" i="10"/>
  <c r="AT275" i="10"/>
  <c r="AS275" i="10"/>
  <c r="AS175" i="10"/>
  <c r="AT175" i="10"/>
  <c r="AT146" i="10"/>
  <c r="AR146" i="10"/>
  <c r="AS146" i="10"/>
  <c r="AT507" i="10"/>
  <c r="AR479" i="10"/>
  <c r="AT436" i="10"/>
  <c r="AS427" i="10"/>
  <c r="AR419" i="10"/>
  <c r="AT402" i="10"/>
  <c r="AS402" i="10"/>
  <c r="AS392" i="10"/>
  <c r="AR310" i="10"/>
  <c r="AR300" i="10"/>
  <c r="AS300" i="10"/>
  <c r="AT290" i="10"/>
  <c r="AS290" i="10"/>
  <c r="AS281" i="10"/>
  <c r="AT240" i="10"/>
  <c r="AR240" i="10"/>
  <c r="AS240" i="10"/>
  <c r="AT220" i="10"/>
  <c r="AR183" i="10"/>
  <c r="AS183" i="10"/>
  <c r="AS156" i="10"/>
  <c r="AS145" i="10"/>
  <c r="AR129" i="10"/>
  <c r="AS110" i="10"/>
  <c r="AT110" i="10"/>
  <c r="AS95" i="10"/>
  <c r="AR95" i="10"/>
  <c r="AS49" i="10"/>
  <c r="AR40" i="10"/>
  <c r="AS436" i="10"/>
  <c r="AR427" i="10"/>
  <c r="AR392" i="10"/>
  <c r="AT366" i="10"/>
  <c r="AT325" i="10"/>
  <c r="AR325" i="10"/>
  <c r="AT299" i="10"/>
  <c r="AR281" i="10"/>
  <c r="AR257" i="10"/>
  <c r="AT257" i="10"/>
  <c r="AR220" i="10"/>
  <c r="AS203" i="10"/>
  <c r="AT174" i="10"/>
  <c r="AR174" i="10"/>
  <c r="AS163" i="10"/>
  <c r="AR145" i="10"/>
  <c r="AT137" i="10"/>
  <c r="AR94" i="10"/>
  <c r="AT76" i="10"/>
  <c r="AR76" i="10"/>
  <c r="AS76" i="10"/>
  <c r="AT56" i="10"/>
  <c r="AR49" i="10"/>
  <c r="AS24" i="10"/>
  <c r="AT24" i="10"/>
  <c r="AS15" i="10"/>
  <c r="AR15" i="10"/>
  <c r="AR487" i="10"/>
  <c r="AT487" i="10"/>
  <c r="AT435" i="10"/>
  <c r="AR435" i="10"/>
  <c r="AS435" i="10"/>
  <c r="AR418" i="10"/>
  <c r="AS418" i="10"/>
  <c r="AR256" i="10"/>
  <c r="AS256" i="10"/>
  <c r="AR182" i="10"/>
  <c r="AS182" i="10"/>
  <c r="AS83" i="10"/>
  <c r="AT83" i="10"/>
  <c r="AS59" i="10"/>
  <c r="AT59" i="10"/>
  <c r="AS434" i="10"/>
  <c r="AR434" i="10"/>
  <c r="AT308" i="10"/>
  <c r="AS308" i="10"/>
  <c r="AS280" i="10"/>
  <c r="AT280" i="10"/>
  <c r="AR228" i="10"/>
  <c r="AS228" i="10"/>
  <c r="AT172" i="10"/>
  <c r="AS172" i="10"/>
  <c r="AT136" i="10"/>
  <c r="AR136" i="10"/>
  <c r="AS136" i="10"/>
  <c r="AS93" i="10"/>
  <c r="AT93" i="10"/>
  <c r="AS48" i="10"/>
  <c r="AT48" i="10"/>
  <c r="AS23" i="10"/>
  <c r="AT23" i="10"/>
  <c r="AR383" i="10"/>
  <c r="AS383" i="10"/>
  <c r="AT264" i="10"/>
  <c r="AS264" i="10"/>
  <c r="AT193" i="10"/>
  <c r="AR193" i="10"/>
  <c r="AS193" i="10"/>
  <c r="AR477" i="10"/>
  <c r="AS477" i="10"/>
  <c r="AR399" i="10"/>
  <c r="AT399" i="10"/>
  <c r="AR391" i="10"/>
  <c r="AR364" i="10"/>
  <c r="AR348" i="10"/>
  <c r="AT348" i="10"/>
  <c r="AR340" i="10"/>
  <c r="AS340" i="10"/>
  <c r="AS263" i="10"/>
  <c r="AT263" i="10"/>
  <c r="AS238" i="10"/>
  <c r="AR162" i="10"/>
  <c r="AS125" i="10"/>
  <c r="AS74" i="10"/>
  <c r="AR74" i="10"/>
  <c r="AT74" i="10"/>
  <c r="AR55" i="10"/>
  <c r="AS55" i="10"/>
  <c r="AT112" i="10"/>
  <c r="AR112" i="10"/>
  <c r="AT515" i="10"/>
  <c r="AR515" i="10"/>
  <c r="AS515" i="10"/>
  <c r="AR341" i="10"/>
  <c r="AS341" i="10"/>
  <c r="AT173" i="10"/>
  <c r="AR173" i="10"/>
  <c r="AS173" i="10"/>
  <c r="AS155" i="10"/>
  <c r="AR155" i="10"/>
  <c r="AT155" i="10"/>
  <c r="AT3" i="10"/>
  <c r="AS3" i="10"/>
  <c r="AT505" i="10"/>
  <c r="AT459" i="10"/>
  <c r="AT372" i="10"/>
  <c r="AT339" i="10"/>
  <c r="AS316" i="10"/>
  <c r="AT316" i="10"/>
  <c r="AR297" i="10"/>
  <c r="AT297" i="10"/>
  <c r="AT272" i="10"/>
  <c r="AS245" i="10"/>
  <c r="AR238" i="10"/>
  <c r="AT226" i="10"/>
  <c r="AR190" i="10"/>
  <c r="AS142" i="10"/>
  <c r="AR125" i="10"/>
  <c r="AS13" i="10"/>
  <c r="AT13" i="10"/>
  <c r="AT461" i="10"/>
  <c r="AT455" i="10"/>
  <c r="AT323" i="10"/>
  <c r="AT318" i="10"/>
  <c r="AT253" i="10"/>
  <c r="AT100" i="10"/>
  <c r="AT337" i="10"/>
  <c r="AS331" i="10"/>
  <c r="AT207" i="10"/>
  <c r="AT139" i="10"/>
  <c r="AS81" i="10"/>
  <c r="AT38" i="10"/>
  <c r="AT8" i="10"/>
  <c r="AS8" i="10"/>
  <c r="AT5" i="10"/>
  <c r="AS12" i="10"/>
  <c r="AS4" i="10"/>
  <c r="AT509" i="10"/>
  <c r="AT489" i="10"/>
  <c r="AT475" i="10"/>
  <c r="AT375" i="10"/>
  <c r="AT159" i="10"/>
  <c r="AT121" i="10"/>
  <c r="AT96" i="10"/>
  <c r="AT82" i="10"/>
  <c r="AT64" i="10"/>
  <c r="AT47" i="10"/>
  <c r="AT39" i="10"/>
  <c r="AT16" i="10"/>
  <c r="AS16" i="10"/>
  <c r="AR400" i="10"/>
  <c r="AT338" i="10"/>
  <c r="AR332" i="10"/>
  <c r="AR304" i="10"/>
  <c r="AR298" i="10"/>
  <c r="AR260" i="10"/>
  <c r="AR247" i="10"/>
  <c r="AT215" i="10"/>
  <c r="AR165" i="10"/>
  <c r="AS134" i="10"/>
  <c r="AR115" i="10"/>
  <c r="AS57" i="10"/>
  <c r="AS21" i="10"/>
  <c r="AT33" i="10"/>
  <c r="AS33" i="10"/>
  <c r="AS512" i="10"/>
  <c r="AT512" i="10"/>
  <c r="AS472" i="10"/>
  <c r="AT472" i="10"/>
  <c r="AT311" i="10"/>
  <c r="AS311" i="10"/>
  <c r="AR303" i="10"/>
  <c r="AS303" i="10"/>
  <c r="AT303" i="10"/>
  <c r="AS250" i="10"/>
  <c r="AT250" i="10"/>
  <c r="AR176" i="10"/>
  <c r="AS176" i="10"/>
  <c r="AS126" i="10"/>
  <c r="AT126" i="10"/>
  <c r="AS523" i="10"/>
  <c r="AR506" i="10"/>
  <c r="AS506" i="10"/>
  <c r="AS483" i="10"/>
  <c r="AR466" i="10"/>
  <c r="AS466" i="10"/>
  <c r="AS443" i="10"/>
  <c r="AR426" i="10"/>
  <c r="AS426" i="10"/>
  <c r="AT426" i="10"/>
  <c r="AS420" i="10"/>
  <c r="AT396" i="10"/>
  <c r="AT350" i="10"/>
  <c r="AS255" i="10"/>
  <c r="AT249" i="10"/>
  <c r="AS243" i="10"/>
  <c r="AS233" i="10"/>
  <c r="AT233" i="10"/>
  <c r="AR233" i="10"/>
  <c r="AS66" i="10"/>
  <c r="AS43" i="10"/>
  <c r="AS500" i="10"/>
  <c r="AT500" i="10"/>
  <c r="AS460" i="10"/>
  <c r="AT460" i="10"/>
  <c r="AR437" i="10"/>
  <c r="AS437" i="10"/>
  <c r="AT437" i="10"/>
  <c r="AR414" i="10"/>
  <c r="AS414" i="10"/>
  <c r="AR373" i="10"/>
  <c r="AS373" i="10"/>
  <c r="AT373" i="10"/>
  <c r="AS214" i="10"/>
  <c r="AR208" i="10"/>
  <c r="AS208" i="10"/>
  <c r="AR201" i="10"/>
  <c r="AS201" i="10"/>
  <c r="AR43" i="10"/>
  <c r="AS516" i="10"/>
  <c r="AT516" i="10"/>
  <c r="AS476" i="10"/>
  <c r="AT476" i="10"/>
  <c r="AR349" i="10"/>
  <c r="AS349" i="10"/>
  <c r="AT349" i="10"/>
  <c r="AR309" i="10"/>
  <c r="AS309" i="10"/>
  <c r="AT309" i="10"/>
  <c r="AR186" i="10"/>
  <c r="AS186" i="10"/>
  <c r="AS527" i="10"/>
  <c r="AR510" i="10"/>
  <c r="AS510" i="10"/>
  <c r="AS487" i="10"/>
  <c r="AR470" i="10"/>
  <c r="AS470" i="10"/>
  <c r="AS206" i="10"/>
  <c r="AT206" i="10"/>
  <c r="AR206" i="10"/>
  <c r="AR142" i="10"/>
  <c r="AS112" i="10"/>
  <c r="AR41" i="10"/>
  <c r="AS41" i="10"/>
  <c r="AR7" i="10"/>
  <c r="AS7" i="10"/>
  <c r="AS484" i="10"/>
  <c r="AT484" i="10"/>
  <c r="AS504" i="10"/>
  <c r="AT504" i="10"/>
  <c r="AS464" i="10"/>
  <c r="AT464" i="10"/>
  <c r="AR388" i="10"/>
  <c r="AS388" i="10"/>
  <c r="AT388" i="10"/>
  <c r="AR199" i="10"/>
  <c r="AS199" i="10"/>
  <c r="AT199" i="10"/>
  <c r="AR6" i="10"/>
  <c r="AS6" i="10"/>
  <c r="AT6" i="10"/>
  <c r="AS132" i="10"/>
  <c r="AT132" i="10"/>
  <c r="AR42" i="10"/>
  <c r="AS42" i="10"/>
  <c r="AT42" i="10"/>
  <c r="AR498" i="10"/>
  <c r="AS498" i="10"/>
  <c r="AR458" i="10"/>
  <c r="AS458" i="10"/>
  <c r="AR192" i="10"/>
  <c r="AS192" i="10"/>
  <c r="AR166" i="10"/>
  <c r="AS166" i="10"/>
  <c r="AT166" i="10"/>
  <c r="AR11" i="10"/>
  <c r="AS11" i="10"/>
  <c r="AS496" i="10"/>
  <c r="AT496" i="10"/>
  <c r="AS456" i="10"/>
  <c r="AT456" i="10"/>
  <c r="AR27" i="10"/>
  <c r="AS27" i="10"/>
  <c r="AR357" i="10"/>
  <c r="AS357" i="10"/>
  <c r="AT357" i="10"/>
  <c r="AR285" i="10"/>
  <c r="AS285" i="10"/>
  <c r="AT285" i="10"/>
  <c r="AR478" i="10"/>
  <c r="AS478" i="10"/>
  <c r="AR397" i="10"/>
  <c r="AS397" i="10"/>
  <c r="AT397" i="10"/>
  <c r="AS328" i="10"/>
  <c r="AT328" i="10"/>
  <c r="AR328" i="10"/>
  <c r="AS374" i="10"/>
  <c r="AT374" i="10"/>
  <c r="AS448" i="10"/>
  <c r="AT448" i="10"/>
  <c r="AR522" i="10"/>
  <c r="AS522" i="10"/>
  <c r="AR161" i="10"/>
  <c r="AS161" i="10"/>
  <c r="AS452" i="10"/>
  <c r="AT452" i="10"/>
  <c r="AS230" i="10"/>
  <c r="AT230" i="10"/>
  <c r="AR526" i="10"/>
  <c r="AS526" i="10"/>
  <c r="AR486" i="10"/>
  <c r="AS486" i="10"/>
  <c r="AR446" i="10"/>
  <c r="AS446" i="10"/>
  <c r="AR377" i="10"/>
  <c r="AS377" i="10"/>
  <c r="AT377" i="10"/>
  <c r="AR306" i="10"/>
  <c r="AS306" i="10"/>
  <c r="AT306" i="10"/>
  <c r="AR104" i="10"/>
  <c r="AS104" i="10"/>
  <c r="AS87" i="10"/>
  <c r="AT87" i="10"/>
  <c r="AR502" i="10"/>
  <c r="AS502" i="10"/>
  <c r="AR462" i="10"/>
  <c r="AS462" i="10"/>
  <c r="AS235" i="10"/>
  <c r="AT235" i="10"/>
  <c r="AR222" i="10"/>
  <c r="AS222" i="10"/>
  <c r="AR85" i="10"/>
  <c r="AS85" i="10"/>
  <c r="AR450" i="10"/>
  <c r="AS450" i="10"/>
  <c r="AS127" i="10"/>
  <c r="AT127" i="10"/>
  <c r="AR518" i="10"/>
  <c r="AS518" i="10"/>
  <c r="AR425" i="10"/>
  <c r="AS425" i="10"/>
  <c r="AT425" i="10"/>
  <c r="AR482" i="10"/>
  <c r="AS482" i="10"/>
  <c r="AT531" i="10"/>
  <c r="AS520" i="10"/>
  <c r="AT520" i="10"/>
  <c r="AT491" i="10"/>
  <c r="AS480" i="10"/>
  <c r="AT480" i="10"/>
  <c r="AT451" i="10"/>
  <c r="AR324" i="10"/>
  <c r="AS324" i="10"/>
  <c r="AT324" i="10"/>
  <c r="AR314" i="10"/>
  <c r="AS314" i="10"/>
  <c r="AR258" i="10"/>
  <c r="AS258" i="10"/>
  <c r="AR229" i="10"/>
  <c r="AS229" i="10"/>
  <c r="AT178" i="10"/>
  <c r="AS147" i="10"/>
  <c r="AT147" i="10"/>
  <c r="AS117" i="10"/>
  <c r="AT117" i="10"/>
  <c r="AS111" i="10"/>
  <c r="AT111" i="10"/>
  <c r="AR369" i="10"/>
  <c r="AS369" i="10"/>
  <c r="AT369" i="10"/>
  <c r="AS330" i="10"/>
  <c r="AT330" i="10"/>
  <c r="AS269" i="10"/>
  <c r="AT269" i="10"/>
  <c r="AR490" i="10"/>
  <c r="AS490" i="10"/>
  <c r="AR433" i="10"/>
  <c r="AS433" i="10"/>
  <c r="AT433" i="10"/>
  <c r="AR346" i="10"/>
  <c r="AS346" i="10"/>
  <c r="AT346" i="10"/>
  <c r="AR293" i="10"/>
  <c r="AS293" i="10"/>
  <c r="AS524" i="10"/>
  <c r="AT524" i="10"/>
  <c r="AS102" i="10"/>
  <c r="AT102" i="10"/>
  <c r="AS209" i="10"/>
  <c r="AT209" i="10"/>
  <c r="AR454" i="10"/>
  <c r="AS454" i="10"/>
  <c r="AR107" i="10"/>
  <c r="AS107" i="10"/>
  <c r="AT107" i="10"/>
  <c r="AS528" i="10"/>
  <c r="AT528" i="10"/>
  <c r="AS488" i="10"/>
  <c r="AT488" i="10"/>
  <c r="AR401" i="10"/>
  <c r="AS401" i="10"/>
  <c r="AT401" i="10"/>
  <c r="AT77" i="10"/>
  <c r="AS77" i="10"/>
  <c r="AR442" i="10"/>
  <c r="AS442" i="10"/>
  <c r="AS492" i="10"/>
  <c r="AT492" i="10"/>
  <c r="AR429" i="10"/>
  <c r="AS429" i="10"/>
  <c r="AT429" i="10"/>
  <c r="AS531" i="10"/>
  <c r="AR514" i="10"/>
  <c r="AS514" i="10"/>
  <c r="AS491" i="10"/>
  <c r="AR474" i="10"/>
  <c r="AS474" i="10"/>
  <c r="AS451" i="10"/>
  <c r="AT434" i="10"/>
  <c r="AT410" i="10"/>
  <c r="AR376" i="10"/>
  <c r="AS376" i="10"/>
  <c r="AR353" i="10"/>
  <c r="AS353" i="10"/>
  <c r="AT353" i="10"/>
  <c r="AR336" i="10"/>
  <c r="AS178" i="10"/>
  <c r="AR62" i="10"/>
  <c r="AS62" i="10"/>
  <c r="AT62" i="10"/>
  <c r="AS46" i="10"/>
  <c r="AT46" i="10"/>
  <c r="AR46" i="10"/>
  <c r="AT22" i="10"/>
  <c r="AS416" i="10"/>
  <c r="AT416" i="10"/>
  <c r="AR530" i="10"/>
  <c r="AS530" i="10"/>
  <c r="AR171" i="10"/>
  <c r="AS171" i="10"/>
  <c r="AS444" i="10"/>
  <c r="AT444" i="10"/>
  <c r="AR244" i="10"/>
  <c r="AS244" i="10"/>
  <c r="AT244" i="10"/>
  <c r="AR345" i="10"/>
  <c r="AS345" i="10"/>
  <c r="AT345" i="10"/>
  <c r="AR494" i="10"/>
  <c r="AS494" i="10"/>
  <c r="AS168" i="10"/>
  <c r="AT168" i="10"/>
  <c r="AR168" i="10"/>
  <c r="AS191" i="10"/>
  <c r="AT191" i="10"/>
  <c r="AR191" i="10"/>
  <c r="AS508" i="10"/>
  <c r="AT508" i="10"/>
  <c r="AT502" i="10"/>
  <c r="AS468" i="10"/>
  <c r="AT468" i="10"/>
  <c r="AT462" i="10"/>
  <c r="AR416" i="10"/>
  <c r="AS410" i="10"/>
  <c r="AR330" i="10"/>
  <c r="AR269" i="10"/>
  <c r="AR235" i="10"/>
  <c r="AT228" i="10"/>
  <c r="AR223" i="10"/>
  <c r="AS223" i="10"/>
  <c r="AT223" i="10"/>
  <c r="AR217" i="10"/>
  <c r="AS217" i="10"/>
  <c r="AR197" i="10"/>
  <c r="AS197" i="10"/>
  <c r="AS92" i="10"/>
  <c r="AR86" i="10"/>
  <c r="AS86" i="10"/>
  <c r="AT11" i="10"/>
  <c r="AR187" i="10"/>
  <c r="AS187" i="10"/>
  <c r="AR105" i="10"/>
  <c r="AS105" i="10"/>
  <c r="AT105" i="10"/>
  <c r="AR405" i="10"/>
  <c r="AS405" i="10"/>
  <c r="AT405" i="10"/>
  <c r="AS273" i="10"/>
  <c r="AS248" i="10"/>
  <c r="AT248" i="10"/>
  <c r="AR202" i="10"/>
  <c r="AS202" i="10"/>
  <c r="AT202" i="10"/>
  <c r="AS130" i="10"/>
  <c r="AS115" i="10"/>
  <c r="AR381" i="10"/>
  <c r="AS381" i="10"/>
  <c r="AT381" i="10"/>
  <c r="AR288" i="10"/>
  <c r="AS288" i="10"/>
  <c r="AS212" i="10"/>
  <c r="AT212" i="10"/>
  <c r="AS31" i="10"/>
  <c r="AT31" i="10"/>
  <c r="AR409" i="10"/>
  <c r="AS409" i="10"/>
  <c r="AT409" i="10"/>
  <c r="AS227" i="10"/>
  <c r="AT227" i="10"/>
  <c r="AS90" i="10"/>
  <c r="AT90" i="10"/>
  <c r="AR84" i="10"/>
  <c r="AS84" i="10"/>
  <c r="AT84" i="10"/>
  <c r="AS50" i="10"/>
  <c r="AR25" i="10"/>
  <c r="AS25" i="10"/>
  <c r="AT25" i="10"/>
  <c r="AR413" i="10"/>
  <c r="AS413" i="10"/>
  <c r="AT413" i="10"/>
  <c r="AS408" i="10"/>
  <c r="AS366" i="10"/>
  <c r="AS338" i="10"/>
  <c r="AS313" i="10"/>
  <c r="AT313" i="10"/>
  <c r="AS205" i="10"/>
  <c r="AS180" i="10"/>
  <c r="AS144" i="10"/>
  <c r="AS94" i="10"/>
  <c r="AS5" i="10"/>
  <c r="AS441" i="10"/>
  <c r="AT441" i="10"/>
  <c r="AR361" i="10"/>
  <c r="AS361" i="10"/>
  <c r="AT361" i="10"/>
  <c r="AS292" i="10"/>
  <c r="AT292" i="10"/>
  <c r="AS170" i="10"/>
  <c r="AT170" i="10"/>
  <c r="AR164" i="10"/>
  <c r="AS164" i="10"/>
  <c r="AT164" i="10"/>
  <c r="AR149" i="10"/>
  <c r="AS149" i="10"/>
  <c r="AS10" i="10"/>
  <c r="AT10" i="10"/>
  <c r="AR389" i="10"/>
  <c r="AS389" i="10"/>
  <c r="AT389" i="10"/>
  <c r="AS307" i="10"/>
  <c r="AT307" i="10"/>
  <c r="AR246" i="10"/>
  <c r="AS246" i="10"/>
  <c r="AR63" i="10"/>
  <c r="AS63" i="10"/>
  <c r="AT63" i="10"/>
  <c r="AR417" i="10"/>
  <c r="AS417" i="10"/>
  <c r="AT417" i="10"/>
  <c r="AS286" i="10"/>
  <c r="AT286" i="10"/>
  <c r="AR128" i="10"/>
  <c r="AS128" i="10"/>
  <c r="AS88" i="10"/>
  <c r="AT88" i="10"/>
  <c r="AS29" i="10"/>
  <c r="AT29" i="10"/>
  <c r="AR282" i="10"/>
  <c r="AS282" i="10"/>
  <c r="AT282" i="10"/>
  <c r="AS109" i="10"/>
  <c r="AT109" i="10"/>
  <c r="AR69" i="10"/>
  <c r="AS69" i="10"/>
  <c r="AR365" i="10"/>
  <c r="AS365" i="10"/>
  <c r="AT365" i="10"/>
  <c r="AS271" i="10"/>
  <c r="AT271" i="10"/>
  <c r="AR143" i="10"/>
  <c r="AS143" i="10"/>
  <c r="AT143" i="10"/>
  <c r="AS73" i="10"/>
  <c r="AT73" i="10"/>
  <c r="AR14" i="10"/>
  <c r="AR385" i="10"/>
  <c r="AS385" i="10"/>
  <c r="AT385" i="10"/>
  <c r="AR393" i="10"/>
  <c r="AS393" i="10"/>
  <c r="AT393" i="10"/>
  <c r="AR265" i="10"/>
  <c r="AS265" i="10"/>
  <c r="AT265" i="10"/>
  <c r="AS189" i="10"/>
  <c r="AT189" i="10"/>
  <c r="AR267" i="10"/>
  <c r="AS267" i="10"/>
  <c r="AR185" i="10"/>
  <c r="AS185" i="10"/>
  <c r="AT185" i="10"/>
  <c r="AR421" i="10"/>
  <c r="AS421" i="10"/>
  <c r="AT421" i="10"/>
  <c r="AR326" i="10"/>
  <c r="AS326" i="10"/>
  <c r="AS153" i="10"/>
  <c r="AT153" i="10"/>
  <c r="AR122" i="10"/>
  <c r="AS122" i="10"/>
  <c r="AT122" i="10"/>
  <c r="AS67" i="10"/>
  <c r="AT67" i="10"/>
  <c r="AS299" i="10"/>
  <c r="AS219" i="10"/>
  <c r="AS160" i="10"/>
  <c r="AR2" i="10"/>
  <c r="AS2" i="10"/>
  <c r="W100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AR205" i="10"/>
  <c r="AT205" i="10"/>
  <c r="AR523" i="10"/>
  <c r="AT523" i="10"/>
  <c r="AS101" i="10"/>
  <c r="AR101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100" i="10"/>
  <c r="X257" i="28"/>
  <c r="X258" i="28"/>
  <c r="X259" i="28"/>
  <c r="X260" i="28"/>
  <c r="X261" i="28"/>
  <c r="X262" i="28"/>
  <c r="X263" i="28"/>
  <c r="X264" i="28"/>
  <c r="X265" i="28"/>
  <c r="X266" i="28"/>
  <c r="X437" i="28"/>
  <c r="X438" i="28"/>
  <c r="X439" i="28"/>
  <c r="X440" i="28"/>
  <c r="X441" i="28"/>
  <c r="X442" i="28"/>
  <c r="X443" i="28"/>
  <c r="X444" i="28"/>
  <c r="X445" i="28"/>
  <c r="X446" i="28"/>
  <c r="X447" i="28"/>
  <c r="X448" i="28"/>
  <c r="X449" i="28"/>
  <c r="X450" i="28"/>
  <c r="X451" i="28"/>
  <c r="X452" i="28"/>
  <c r="X453" i="28"/>
  <c r="X454" i="28"/>
  <c r="X455" i="28"/>
  <c r="X456" i="28"/>
  <c r="X457" i="28"/>
  <c r="X458" i="28"/>
  <c r="X459" i="28"/>
  <c r="X460" i="28"/>
  <c r="X461" i="28"/>
  <c r="X462" i="28"/>
  <c r="X463" i="28"/>
  <c r="X464" i="28"/>
  <c r="X465" i="28"/>
  <c r="X466" i="28"/>
  <c r="X467" i="28"/>
  <c r="X468" i="28"/>
  <c r="X469" i="28"/>
  <c r="X470" i="28"/>
  <c r="X471" i="28"/>
  <c r="X472" i="28"/>
  <c r="X473" i="28"/>
  <c r="X474" i="28"/>
  <c r="X475" i="28"/>
  <c r="X476" i="28"/>
  <c r="X477" i="28"/>
  <c r="X478" i="28"/>
  <c r="X479" i="28"/>
  <c r="X480" i="28"/>
  <c r="X481" i="28"/>
  <c r="X482" i="28"/>
  <c r="X483" i="28"/>
  <c r="X484" i="28"/>
  <c r="X485" i="28"/>
  <c r="X486" i="28"/>
  <c r="X487" i="28"/>
  <c r="X488" i="28"/>
  <c r="X489" i="28"/>
  <c r="X490" i="28"/>
  <c r="X491" i="28"/>
  <c r="X492" i="28"/>
  <c r="X493" i="28"/>
  <c r="X494" i="28"/>
  <c r="X495" i="28"/>
  <c r="X496" i="28"/>
  <c r="X497" i="28"/>
  <c r="X498" i="28"/>
  <c r="X499" i="28"/>
  <c r="X500" i="28"/>
  <c r="X501" i="28"/>
  <c r="X502" i="28"/>
  <c r="X503" i="28"/>
  <c r="X504" i="28"/>
  <c r="X505" i="28"/>
  <c r="X506" i="28"/>
  <c r="X507" i="28"/>
  <c r="X508" i="28"/>
  <c r="X509" i="28"/>
  <c r="X510" i="28"/>
  <c r="X511" i="28"/>
  <c r="X512" i="28"/>
  <c r="X513" i="28"/>
  <c r="X514" i="28"/>
  <c r="X515" i="28"/>
  <c r="X516" i="28"/>
  <c r="X517" i="28"/>
  <c r="X518" i="28"/>
  <c r="X519" i="28"/>
  <c r="X520" i="28"/>
  <c r="X521" i="28"/>
  <c r="X522" i="28"/>
  <c r="X523" i="28"/>
  <c r="X524" i="28"/>
  <c r="X525" i="28"/>
  <c r="X526" i="28"/>
  <c r="X527" i="28"/>
  <c r="X528" i="28"/>
  <c r="X529" i="28"/>
  <c r="X530" i="28"/>
  <c r="X531" i="28"/>
  <c r="X532" i="28"/>
  <c r="X533" i="28"/>
  <c r="X534" i="28"/>
  <c r="X535" i="28"/>
  <c r="X536" i="28"/>
  <c r="X537" i="28"/>
  <c r="X538" i="28"/>
  <c r="X539" i="28"/>
  <c r="X540" i="28"/>
  <c r="X541" i="28"/>
  <c r="X542" i="28"/>
  <c r="X543" i="28"/>
  <c r="X544" i="28"/>
  <c r="X545" i="28"/>
  <c r="X546" i="28"/>
  <c r="X547" i="28"/>
  <c r="X548" i="28"/>
  <c r="X549" i="28"/>
  <c r="X550" i="28"/>
  <c r="X551" i="28"/>
  <c r="X552" i="28"/>
  <c r="X553" i="28"/>
  <c r="X554" i="28"/>
  <c r="X555" i="28"/>
  <c r="X556" i="28"/>
  <c r="X557" i="28"/>
  <c r="X267" i="28"/>
  <c r="X268" i="28"/>
  <c r="X269" i="28"/>
  <c r="X270" i="28"/>
  <c r="X271" i="28"/>
  <c r="X357" i="28"/>
  <c r="X358" i="28"/>
  <c r="X359" i="28"/>
  <c r="X360" i="28"/>
  <c r="X361" i="28"/>
  <c r="X362" i="28"/>
  <c r="X363" i="28"/>
  <c r="X364" i="28"/>
  <c r="X365" i="28"/>
  <c r="X366" i="28"/>
  <c r="X367" i="28"/>
  <c r="X368" i="28"/>
  <c r="X369" i="28"/>
  <c r="X370" i="28"/>
  <c r="X371" i="28"/>
  <c r="X372" i="28"/>
  <c r="X373" i="28"/>
  <c r="X374" i="28"/>
  <c r="X375" i="28"/>
  <c r="X376" i="28"/>
  <c r="X377" i="28"/>
  <c r="X378" i="28"/>
  <c r="X379" i="28"/>
  <c r="X380" i="28"/>
  <c r="X381" i="28"/>
  <c r="X382" i="28"/>
  <c r="X383" i="28"/>
  <c r="X384" i="28"/>
  <c r="X385" i="28"/>
  <c r="X386" i="28"/>
  <c r="X387" i="28"/>
  <c r="X388" i="28"/>
  <c r="X389" i="28"/>
  <c r="X390" i="28"/>
  <c r="X391" i="28"/>
  <c r="X392" i="28"/>
  <c r="X393" i="28"/>
  <c r="X394" i="28"/>
  <c r="X395" i="28"/>
  <c r="X396" i="28"/>
  <c r="X397" i="28"/>
  <c r="X398" i="28"/>
  <c r="X399" i="28"/>
  <c r="X400" i="28"/>
  <c r="X401" i="28"/>
  <c r="X402" i="28"/>
  <c r="X403" i="28"/>
  <c r="X404" i="28"/>
  <c r="X405" i="28"/>
  <c r="X406" i="28"/>
  <c r="X407" i="28"/>
  <c r="X408" i="28"/>
  <c r="X409" i="28"/>
  <c r="X410" i="28"/>
  <c r="X411" i="28"/>
  <c r="X412" i="28"/>
  <c r="X413" i="28"/>
  <c r="X414" i="28"/>
  <c r="X415" i="28"/>
  <c r="X416" i="28"/>
  <c r="X417" i="28"/>
  <c r="X418" i="28"/>
  <c r="X419" i="28"/>
  <c r="X420" i="28"/>
  <c r="X421" i="28"/>
  <c r="X422" i="28"/>
  <c r="X423" i="28"/>
  <c r="X424" i="28"/>
  <c r="X425" i="28"/>
  <c r="X426" i="28"/>
  <c r="X427" i="28"/>
  <c r="X428" i="28"/>
  <c r="X429" i="28"/>
  <c r="X430" i="28"/>
  <c r="X431" i="28"/>
  <c r="X432" i="28"/>
  <c r="X433" i="28"/>
  <c r="X434" i="28"/>
  <c r="X435" i="28"/>
  <c r="X436" i="28"/>
  <c r="X272" i="28"/>
  <c r="X273" i="28"/>
  <c r="X274" i="28"/>
  <c r="X275" i="28"/>
  <c r="X276" i="28"/>
  <c r="X277" i="28"/>
  <c r="X278" i="28"/>
  <c r="X279" i="28"/>
  <c r="X280" i="28"/>
  <c r="X281" i="28"/>
  <c r="X282" i="28"/>
  <c r="X283" i="28"/>
  <c r="X284" i="28"/>
  <c r="X285" i="28"/>
  <c r="X286" i="28"/>
  <c r="X287" i="28"/>
  <c r="X288" i="28"/>
  <c r="X289" i="28"/>
  <c r="X290" i="28"/>
  <c r="X291" i="28"/>
  <c r="X292" i="28"/>
  <c r="X293" i="28"/>
  <c r="X294" i="28"/>
  <c r="X295" i="28"/>
  <c r="X296" i="28"/>
  <c r="X297" i="28"/>
  <c r="X298" i="28"/>
  <c r="X299" i="28"/>
  <c r="X300" i="28"/>
  <c r="X301" i="28"/>
  <c r="X302" i="28"/>
  <c r="X303" i="28"/>
  <c r="X304" i="28"/>
  <c r="X305" i="28"/>
  <c r="X306" i="28"/>
  <c r="X307" i="28"/>
  <c r="X308" i="28"/>
  <c r="X309" i="28"/>
  <c r="X310" i="28"/>
  <c r="X311" i="28"/>
  <c r="X312" i="28"/>
  <c r="X313" i="28"/>
  <c r="X314" i="28"/>
  <c r="X315" i="28"/>
  <c r="X316" i="28"/>
  <c r="X317" i="28"/>
  <c r="X318" i="28"/>
  <c r="X319" i="28"/>
  <c r="X320" i="28"/>
  <c r="X321" i="28"/>
  <c r="X322" i="28"/>
  <c r="X323" i="28"/>
  <c r="X324" i="28"/>
  <c r="X325" i="28"/>
  <c r="X326" i="28"/>
  <c r="X327" i="28"/>
  <c r="X328" i="28"/>
  <c r="X329" i="28"/>
  <c r="X330" i="28"/>
  <c r="X331" i="28"/>
  <c r="X332" i="28"/>
  <c r="X333" i="28"/>
  <c r="X334" i="28"/>
  <c r="X335" i="28"/>
  <c r="X336" i="28"/>
  <c r="X337" i="28"/>
  <c r="X338" i="28"/>
  <c r="X339" i="28"/>
  <c r="X340" i="28"/>
  <c r="X341" i="28"/>
  <c r="X342" i="28"/>
  <c r="X343" i="28"/>
  <c r="X344" i="28"/>
  <c r="X345" i="28"/>
  <c r="X346" i="28"/>
  <c r="X347" i="28"/>
  <c r="X348" i="28"/>
  <c r="X349" i="28"/>
  <c r="X350" i="28"/>
  <c r="X351" i="28"/>
  <c r="X352" i="28"/>
  <c r="X353" i="28"/>
  <c r="X354" i="28"/>
  <c r="X355" i="28"/>
  <c r="X356" i="28"/>
  <c r="AI3" i="28"/>
  <c r="AI4" i="28"/>
  <c r="AI5" i="28"/>
  <c r="AI6" i="28"/>
  <c r="AI7" i="28"/>
  <c r="AI8" i="28"/>
  <c r="AI9" i="28"/>
  <c r="AI10" i="28"/>
  <c r="AI11" i="28"/>
  <c r="AI12" i="28"/>
  <c r="AI13" i="28"/>
  <c r="AI14" i="28"/>
  <c r="AI15" i="28"/>
  <c r="AI16" i="28"/>
  <c r="AI17" i="28"/>
  <c r="AI18" i="28"/>
  <c r="AI19" i="28"/>
  <c r="AI20" i="28"/>
  <c r="AI21" i="28"/>
  <c r="AI22" i="28"/>
  <c r="AI23" i="28"/>
  <c r="AI24" i="28"/>
  <c r="AI25" i="28"/>
  <c r="AI26" i="28"/>
  <c r="AI27" i="28"/>
  <c r="AI28" i="28"/>
  <c r="AI29" i="28"/>
  <c r="AI30" i="28"/>
  <c r="AI31" i="28"/>
  <c r="AI32" i="28"/>
  <c r="AI33" i="28"/>
  <c r="AI34" i="28"/>
  <c r="AI35" i="28"/>
  <c r="AI36" i="28"/>
  <c r="AI37" i="28"/>
  <c r="AI38" i="28"/>
  <c r="AI39" i="28"/>
  <c r="AI40" i="28"/>
  <c r="AI41" i="28"/>
  <c r="AI42" i="28"/>
  <c r="AI43" i="28"/>
  <c r="AI44" i="28"/>
  <c r="AI45" i="28"/>
  <c r="AI46" i="28"/>
  <c r="AI47" i="28"/>
  <c r="AI48" i="28"/>
  <c r="AI49" i="28"/>
  <c r="AI50" i="28"/>
  <c r="AI51" i="28"/>
  <c r="AI52" i="28"/>
  <c r="AI53" i="28"/>
  <c r="AI54" i="28"/>
  <c r="AI55" i="28"/>
  <c r="AI56" i="28"/>
  <c r="AI57" i="28"/>
  <c r="AI58" i="28"/>
  <c r="AI59" i="28"/>
  <c r="AI60" i="28"/>
  <c r="AI61" i="28"/>
  <c r="AI62" i="28"/>
  <c r="AI63" i="28"/>
  <c r="AI64" i="28"/>
  <c r="AI65" i="28"/>
  <c r="AI66" i="28"/>
  <c r="AI67" i="28"/>
  <c r="AI68" i="28"/>
  <c r="AI69" i="28"/>
  <c r="AI70" i="28"/>
  <c r="AI71" i="28"/>
  <c r="AI72" i="28"/>
  <c r="AI73" i="28"/>
  <c r="AI74" i="28"/>
  <c r="AI75" i="28"/>
  <c r="AI76" i="28"/>
  <c r="AI77" i="28"/>
  <c r="AI78" i="28"/>
  <c r="AI79" i="28"/>
  <c r="AI80" i="28"/>
  <c r="AI81" i="28"/>
  <c r="AI82" i="28"/>
  <c r="AI83" i="28"/>
  <c r="AI84" i="28"/>
  <c r="AI85" i="28"/>
  <c r="AI86" i="28"/>
  <c r="AI87" i="28"/>
  <c r="AI88" i="28"/>
  <c r="AI89" i="28"/>
  <c r="AI90" i="28"/>
  <c r="AI91" i="28"/>
  <c r="AI92" i="28"/>
  <c r="AI93" i="28"/>
  <c r="AI94" i="28"/>
  <c r="AI95" i="28"/>
  <c r="AI96" i="28"/>
  <c r="AI97" i="28"/>
  <c r="AI98" i="28"/>
  <c r="AI99" i="28"/>
  <c r="AI100" i="28"/>
  <c r="AI101" i="28"/>
  <c r="AI102" i="28"/>
  <c r="AI103" i="28"/>
  <c r="AI104" i="28"/>
  <c r="AI105" i="28"/>
  <c r="AI106" i="28"/>
  <c r="AI107" i="28"/>
  <c r="AI108" i="28"/>
  <c r="AI109" i="28"/>
  <c r="AI110" i="28"/>
  <c r="AI111" i="28"/>
  <c r="AI112" i="28"/>
  <c r="AI113" i="28"/>
  <c r="AI114" i="28"/>
  <c r="AI115" i="28"/>
  <c r="AI116" i="28"/>
  <c r="AI117" i="28"/>
  <c r="AI118" i="28"/>
  <c r="AI119" i="28"/>
  <c r="AI120" i="28"/>
  <c r="AI121" i="28"/>
  <c r="AI122" i="28"/>
  <c r="AI123" i="28"/>
  <c r="AI124" i="28"/>
  <c r="AI125" i="28"/>
  <c r="AI126" i="28"/>
  <c r="AI127" i="28"/>
  <c r="AI128" i="28"/>
  <c r="AI129" i="28"/>
  <c r="AI130" i="28"/>
  <c r="AI131" i="28"/>
  <c r="AI132" i="28"/>
  <c r="AI133" i="28"/>
  <c r="AI134" i="28"/>
  <c r="AI135" i="28"/>
  <c r="AI136" i="28"/>
  <c r="AI137" i="28"/>
  <c r="AI138" i="28"/>
  <c r="AI139" i="28"/>
  <c r="AI140" i="28"/>
  <c r="AI141" i="28"/>
  <c r="AI142" i="28"/>
  <c r="AI143" i="28"/>
  <c r="AI144" i="28"/>
  <c r="AI145" i="28"/>
  <c r="AI146" i="28"/>
  <c r="AI147" i="28"/>
  <c r="AI148" i="28"/>
  <c r="AI149" i="28"/>
  <c r="AI150" i="28"/>
  <c r="AI151" i="28"/>
  <c r="AI152" i="28"/>
  <c r="AI153" i="28"/>
  <c r="AI154" i="28"/>
  <c r="AI155" i="28"/>
  <c r="AI156" i="28"/>
  <c r="AI157" i="28"/>
  <c r="AI158" i="28"/>
  <c r="AI159" i="28"/>
  <c r="AI160" i="28"/>
  <c r="AI161" i="28"/>
  <c r="AI162" i="28"/>
  <c r="AI163" i="28"/>
  <c r="AI164" i="28"/>
  <c r="AI165" i="28"/>
  <c r="AI166" i="28"/>
  <c r="AI167" i="28"/>
  <c r="AI168" i="28"/>
  <c r="AI169" i="28"/>
  <c r="AI170" i="28"/>
  <c r="AI171" i="28"/>
  <c r="AI172" i="28"/>
  <c r="AI173" i="28"/>
  <c r="AI174" i="28"/>
  <c r="AI175" i="28"/>
  <c r="AI176" i="28"/>
  <c r="AI177" i="28"/>
  <c r="AI178" i="28"/>
  <c r="AI179" i="28"/>
  <c r="AI180" i="28"/>
  <c r="AI181" i="28"/>
  <c r="AI182" i="28"/>
  <c r="AI183" i="28"/>
  <c r="AI184" i="28"/>
  <c r="AI185" i="28"/>
  <c r="AI186" i="28"/>
  <c r="AI187" i="28"/>
  <c r="AI188" i="28"/>
  <c r="AI189" i="28"/>
  <c r="AI190" i="28"/>
  <c r="AI191" i="28"/>
  <c r="AI192" i="28"/>
  <c r="AI193" i="28"/>
  <c r="AI194" i="28"/>
  <c r="AI195" i="28"/>
  <c r="AI196" i="28"/>
  <c r="AI197" i="28"/>
  <c r="AI198" i="28"/>
  <c r="AI199" i="28"/>
  <c r="AI200" i="28"/>
  <c r="AI201" i="28"/>
  <c r="AI202" i="28"/>
  <c r="AI203" i="28"/>
  <c r="AI204" i="28"/>
  <c r="AI205" i="28"/>
  <c r="AI206" i="28"/>
  <c r="AI207" i="28"/>
  <c r="AI208" i="28"/>
  <c r="AI209" i="28"/>
  <c r="AI210" i="28"/>
  <c r="AI211" i="28"/>
  <c r="AI212" i="28"/>
  <c r="AI213" i="28"/>
  <c r="AI214" i="28"/>
  <c r="AI215" i="28"/>
  <c r="AI216" i="28"/>
  <c r="AI217" i="28"/>
  <c r="AI218" i="28"/>
  <c r="AI219" i="28"/>
  <c r="AI220" i="28"/>
  <c r="AI221" i="28"/>
  <c r="AI222" i="28"/>
  <c r="AI223" i="28"/>
  <c r="AI224" i="28"/>
  <c r="AI225" i="28"/>
  <c r="AI226" i="28"/>
  <c r="AI227" i="28"/>
  <c r="AI228" i="28"/>
  <c r="AI229" i="28"/>
  <c r="AI230" i="28"/>
  <c r="AI231" i="28"/>
  <c r="AI232" i="28"/>
  <c r="AI233" i="28"/>
  <c r="AI234" i="28"/>
  <c r="AI235" i="28"/>
  <c r="AI236" i="28"/>
  <c r="AI237" i="28"/>
  <c r="AI238" i="28"/>
  <c r="AI239" i="28"/>
  <c r="AI240" i="28"/>
  <c r="AI241" i="28"/>
  <c r="AI242" i="28"/>
  <c r="AI243" i="28"/>
  <c r="AI244" i="28"/>
  <c r="AI245" i="28"/>
  <c r="AI246" i="28"/>
  <c r="AI247" i="28"/>
  <c r="AI248" i="28"/>
  <c r="AI249" i="28"/>
  <c r="AI250" i="28"/>
  <c r="AI251" i="28"/>
  <c r="AI252" i="28"/>
  <c r="AI253" i="28"/>
  <c r="AI254" i="28"/>
  <c r="AI255" i="28"/>
  <c r="AI256" i="28"/>
  <c r="AI257" i="28"/>
  <c r="AI258" i="28"/>
  <c r="AI259" i="28"/>
  <c r="AI260" i="28"/>
  <c r="AI261" i="28"/>
  <c r="AI262" i="28"/>
  <c r="AI263" i="28"/>
  <c r="AI264" i="28"/>
  <c r="AI265" i="28"/>
  <c r="AI266" i="28"/>
  <c r="AI267" i="28"/>
  <c r="AI268" i="28"/>
  <c r="AI269" i="28"/>
  <c r="AI270" i="28"/>
  <c r="AI271" i="28"/>
  <c r="AI272" i="28"/>
  <c r="AI273" i="28"/>
  <c r="AI274" i="28"/>
  <c r="AI275" i="28"/>
  <c r="AI276" i="28"/>
  <c r="AI277" i="28"/>
  <c r="AI278" i="28"/>
  <c r="AI279" i="28"/>
  <c r="AI280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353" i="28"/>
  <c r="AI354" i="28"/>
  <c r="AI355" i="28"/>
  <c r="AI356" i="28"/>
  <c r="AI357" i="28"/>
  <c r="AI358" i="28"/>
  <c r="AI359" i="28"/>
  <c r="AI360" i="28"/>
  <c r="AI361" i="28"/>
  <c r="AI362" i="28"/>
  <c r="AI363" i="28"/>
  <c r="AI364" i="28"/>
  <c r="AI365" i="28"/>
  <c r="AI366" i="28"/>
  <c r="AI367" i="28"/>
  <c r="AI368" i="28"/>
  <c r="AI369" i="28"/>
  <c r="AI370" i="28"/>
  <c r="AI371" i="28"/>
  <c r="AI372" i="28"/>
  <c r="AI373" i="28"/>
  <c r="AI374" i="28"/>
  <c r="AI375" i="28"/>
  <c r="AI376" i="28"/>
  <c r="AI377" i="28"/>
  <c r="AI378" i="28"/>
  <c r="AI379" i="28"/>
  <c r="AI380" i="28"/>
  <c r="AI381" i="28"/>
  <c r="AI382" i="28"/>
  <c r="AI383" i="28"/>
  <c r="AI384" i="28"/>
  <c r="AI385" i="28"/>
  <c r="AI386" i="28"/>
  <c r="AI387" i="28"/>
  <c r="AI388" i="28"/>
  <c r="AI389" i="28"/>
  <c r="AI390" i="28"/>
  <c r="AI391" i="28"/>
  <c r="AI392" i="28"/>
  <c r="AI393" i="28"/>
  <c r="AI394" i="28"/>
  <c r="AI395" i="28"/>
  <c r="AI396" i="28"/>
  <c r="AI397" i="28"/>
  <c r="AI398" i="28"/>
  <c r="AI399" i="28"/>
  <c r="AI400" i="28"/>
  <c r="AI401" i="28"/>
  <c r="AI402" i="28"/>
  <c r="AI403" i="28"/>
  <c r="AI404" i="28"/>
  <c r="AI405" i="28"/>
  <c r="AI406" i="28"/>
  <c r="AI407" i="28"/>
  <c r="AI408" i="28"/>
  <c r="AI409" i="28"/>
  <c r="AI410" i="28"/>
  <c r="AI411" i="28"/>
  <c r="AI412" i="28"/>
  <c r="AI413" i="28"/>
  <c r="AI414" i="28"/>
  <c r="AI415" i="28"/>
  <c r="AI416" i="28"/>
  <c r="AI417" i="28"/>
  <c r="AI418" i="28"/>
  <c r="AI419" i="28"/>
  <c r="AI420" i="28"/>
  <c r="AI421" i="28"/>
  <c r="AI422" i="28"/>
  <c r="AI423" i="28"/>
  <c r="AI424" i="28"/>
  <c r="AI425" i="28"/>
  <c r="AI426" i="28"/>
  <c r="AI427" i="28"/>
  <c r="AI428" i="28"/>
  <c r="AI429" i="28"/>
  <c r="AI430" i="28"/>
  <c r="AI431" i="28"/>
  <c r="AI432" i="28"/>
  <c r="AI433" i="28"/>
  <c r="AI434" i="28"/>
  <c r="AI435" i="28"/>
  <c r="AI436" i="28"/>
  <c r="AI437" i="28"/>
  <c r="AI438" i="28"/>
  <c r="AI439" i="28"/>
  <c r="AI440" i="28"/>
  <c r="AI441" i="28"/>
  <c r="AI442" i="28"/>
  <c r="AI443" i="28"/>
  <c r="AI444" i="28"/>
  <c r="AI445" i="28"/>
  <c r="AI446" i="28"/>
  <c r="AI447" i="28"/>
  <c r="AI448" i="28"/>
  <c r="AI449" i="28"/>
  <c r="AI450" i="28"/>
  <c r="AI451" i="28"/>
  <c r="AI452" i="28"/>
  <c r="AI453" i="28"/>
  <c r="AI454" i="28"/>
  <c r="AI455" i="28"/>
  <c r="AI456" i="28"/>
  <c r="AI457" i="28"/>
  <c r="AI458" i="28"/>
  <c r="AI459" i="28"/>
  <c r="AI460" i="28"/>
  <c r="AI461" i="28"/>
  <c r="AI462" i="28"/>
  <c r="AI463" i="28"/>
  <c r="AI464" i="28"/>
  <c r="AI465" i="28"/>
  <c r="AI466" i="28"/>
  <c r="AI467" i="28"/>
  <c r="AI468" i="28"/>
  <c r="AI469" i="28"/>
  <c r="AI470" i="28"/>
  <c r="AI471" i="28"/>
  <c r="AI472" i="28"/>
  <c r="AI473" i="28"/>
  <c r="AI474" i="28"/>
  <c r="AI475" i="28"/>
  <c r="AI476" i="28"/>
  <c r="AI477" i="28"/>
  <c r="AI478" i="28"/>
  <c r="AI479" i="28"/>
  <c r="AI480" i="28"/>
  <c r="AI481" i="28"/>
  <c r="AI482" i="28"/>
  <c r="AI483" i="28"/>
  <c r="AI484" i="28"/>
  <c r="AI485" i="28"/>
  <c r="AI486" i="28"/>
  <c r="AI487" i="28"/>
  <c r="AI488" i="28"/>
  <c r="AI489" i="28"/>
  <c r="AI490" i="28"/>
  <c r="AI491" i="28"/>
  <c r="AI492" i="28"/>
  <c r="AI493" i="28"/>
  <c r="AI494" i="28"/>
  <c r="AI495" i="28"/>
  <c r="AI496" i="28"/>
  <c r="AI497" i="28"/>
  <c r="AI498" i="28"/>
  <c r="AI499" i="28"/>
  <c r="AI500" i="28"/>
  <c r="AI501" i="28"/>
  <c r="AI502" i="28"/>
  <c r="AI503" i="28"/>
  <c r="AI504" i="28"/>
  <c r="AI505" i="28"/>
  <c r="AI506" i="28"/>
  <c r="AI507" i="28"/>
  <c r="AI508" i="28"/>
  <c r="AI509" i="28"/>
  <c r="AI510" i="28"/>
  <c r="AI511" i="28"/>
  <c r="AI512" i="28"/>
  <c r="AW512" i="28"/>
  <c r="AI513" i="28"/>
  <c r="AW513" i="28"/>
  <c r="AI514" i="28"/>
  <c r="AW514" i="28"/>
  <c r="AI515" i="28"/>
  <c r="AW515" i="28"/>
  <c r="AI516" i="28"/>
  <c r="AW516" i="28"/>
  <c r="AI517" i="28"/>
  <c r="AW517" i="28"/>
  <c r="AI518" i="28"/>
  <c r="AW518" i="28"/>
  <c r="AI519" i="28"/>
  <c r="AW519" i="28"/>
  <c r="AI520" i="28"/>
  <c r="AW520" i="28"/>
  <c r="AI521" i="28"/>
  <c r="AW521" i="28"/>
  <c r="AI522" i="28"/>
  <c r="AW522" i="28"/>
  <c r="AI523" i="28"/>
  <c r="AW523" i="28"/>
  <c r="AI524" i="28"/>
  <c r="AW524" i="28"/>
  <c r="AI525" i="28"/>
  <c r="AW525" i="28"/>
  <c r="AI526" i="28"/>
  <c r="AW526" i="28"/>
  <c r="AI527" i="28"/>
  <c r="AW527" i="28"/>
  <c r="AI528" i="28"/>
  <c r="AI529" i="28"/>
  <c r="AI530" i="28"/>
  <c r="AI531" i="28"/>
  <c r="AI532" i="28"/>
  <c r="AI533" i="28"/>
  <c r="AI534" i="28"/>
  <c r="AI535" i="28"/>
  <c r="AI536" i="28"/>
  <c r="AI537" i="28"/>
  <c r="AI538" i="28"/>
  <c r="AI539" i="28"/>
  <c r="AI540" i="28"/>
  <c r="AI541" i="28"/>
  <c r="AI542" i="28"/>
  <c r="AI543" i="28"/>
  <c r="AI544" i="28"/>
  <c r="AI545" i="28"/>
  <c r="AI546" i="28"/>
  <c r="AI547" i="28"/>
  <c r="AI548" i="28"/>
  <c r="AI549" i="28"/>
  <c r="AI550" i="28"/>
  <c r="AI551" i="28"/>
  <c r="AI552" i="28"/>
  <c r="AI553" i="28"/>
  <c r="AI554" i="28"/>
  <c r="AI555" i="28"/>
  <c r="AI556" i="28"/>
  <c r="X2" i="28"/>
  <c r="AI564" i="28"/>
  <c r="AI565" i="28"/>
  <c r="AI566" i="28"/>
  <c r="AI567" i="28"/>
  <c r="AI568" i="28"/>
  <c r="AI569" i="28"/>
  <c r="AI570" i="28"/>
  <c r="AI571" i="28"/>
  <c r="AI572" i="28"/>
  <c r="AI557" i="28"/>
  <c r="AI558" i="28"/>
  <c r="AI559" i="28"/>
  <c r="AI560" i="28"/>
  <c r="AI561" i="28"/>
  <c r="AI562" i="28"/>
  <c r="AI563" i="28"/>
  <c r="X3" i="28"/>
  <c r="X4" i="28"/>
  <c r="X5" i="28"/>
  <c r="X6" i="28"/>
  <c r="X7" i="28"/>
  <c r="X8" i="28"/>
  <c r="X9" i="28"/>
  <c r="X10" i="28"/>
  <c r="X11" i="28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570" i="28"/>
  <c r="X571" i="28"/>
  <c r="X572" i="28"/>
  <c r="AS572" i="28"/>
  <c r="AU572" i="28"/>
  <c r="AT572" i="28"/>
  <c r="AS571" i="28"/>
  <c r="AT571" i="28"/>
  <c r="AU571" i="28"/>
  <c r="AU570" i="28"/>
  <c r="AT570" i="28"/>
  <c r="AS570" i="28"/>
  <c r="AU569" i="28"/>
  <c r="AT569" i="28"/>
  <c r="AS569" i="28"/>
  <c r="AU568" i="28"/>
  <c r="AT568" i="28"/>
  <c r="AS568" i="28"/>
  <c r="AT567" i="28"/>
  <c r="AU567" i="28"/>
  <c r="AS567" i="28"/>
  <c r="AU566" i="28"/>
  <c r="AT566" i="28"/>
  <c r="AS566" i="28"/>
  <c r="AU565" i="28"/>
  <c r="AT565" i="28"/>
  <c r="AS565" i="28"/>
  <c r="AU564" i="28"/>
  <c r="AT564" i="28"/>
  <c r="AS564" i="28"/>
  <c r="AT563" i="28"/>
  <c r="AS563" i="28"/>
  <c r="AU563" i="28"/>
  <c r="AT562" i="28"/>
  <c r="AU562" i="28"/>
  <c r="AS562" i="28"/>
  <c r="AU561" i="28"/>
  <c r="AS561" i="28"/>
  <c r="AT561" i="28"/>
  <c r="AU560" i="28"/>
  <c r="AT560" i="28"/>
  <c r="AS560" i="28"/>
  <c r="AU559" i="28"/>
  <c r="AT559" i="28"/>
  <c r="AS559" i="28"/>
  <c r="AS558" i="28"/>
  <c r="AU558" i="28"/>
  <c r="AT558" i="28"/>
  <c r="AU557" i="28"/>
  <c r="AT557" i="28"/>
  <c r="AS557" i="28"/>
  <c r="AS556" i="28"/>
  <c r="AU556" i="28"/>
  <c r="AT556" i="28"/>
  <c r="AT555" i="28"/>
  <c r="AS555" i="28"/>
  <c r="AU555" i="28"/>
  <c r="AT554" i="28"/>
  <c r="AS554" i="28"/>
  <c r="AU554" i="28"/>
  <c r="AT553" i="28"/>
  <c r="AU553" i="28"/>
  <c r="AS553" i="28"/>
  <c r="AS552" i="28"/>
  <c r="AU552" i="28"/>
  <c r="AT552" i="28"/>
  <c r="AT551" i="28"/>
  <c r="AS551" i="28"/>
  <c r="AU551" i="28"/>
  <c r="AU550" i="28"/>
  <c r="AT550" i="28"/>
  <c r="AS550" i="28"/>
  <c r="AT549" i="28"/>
  <c r="AS549" i="28"/>
  <c r="AU549" i="28"/>
  <c r="AU548" i="28"/>
  <c r="AS548" i="28"/>
  <c r="AT548" i="28"/>
  <c r="AT547" i="28"/>
  <c r="AS547" i="28"/>
  <c r="AU547" i="28"/>
  <c r="AS546" i="28"/>
  <c r="AT546" i="28"/>
  <c r="AU546" i="28"/>
  <c r="AU545" i="28"/>
  <c r="AS545" i="28"/>
  <c r="AT545" i="28"/>
  <c r="AS544" i="28"/>
  <c r="AT544" i="28"/>
  <c r="AU544" i="28"/>
  <c r="AT543" i="28"/>
  <c r="AU543" i="28"/>
  <c r="AS543" i="28"/>
  <c r="AS542" i="28"/>
  <c r="AT542" i="28"/>
  <c r="AU542" i="28"/>
  <c r="AU541" i="28"/>
  <c r="AT541" i="28"/>
  <c r="AS541" i="28"/>
  <c r="AS540" i="28"/>
  <c r="AT540" i="28"/>
  <c r="AU540" i="28"/>
  <c r="AS539" i="28"/>
  <c r="AU539" i="28"/>
  <c r="AT539" i="28"/>
  <c r="AS538" i="28"/>
  <c r="AU538" i="28"/>
  <c r="AT538" i="28"/>
  <c r="AS537" i="28"/>
  <c r="AU537" i="28"/>
  <c r="AT537" i="28"/>
  <c r="AU536" i="28"/>
  <c r="AT536" i="28"/>
  <c r="AS535" i="28"/>
  <c r="AU535" i="28"/>
  <c r="AT535" i="28"/>
  <c r="AT534" i="28"/>
  <c r="AS534" i="28"/>
  <c r="AU534" i="28"/>
  <c r="AS533" i="28"/>
  <c r="AT533" i="28"/>
  <c r="AU533" i="28"/>
  <c r="AT532" i="28"/>
  <c r="AU532" i="28"/>
  <c r="AS532" i="28"/>
  <c r="AT531" i="28"/>
  <c r="AU531" i="28"/>
  <c r="AS531" i="28"/>
  <c r="AT530" i="28"/>
  <c r="AU530" i="28"/>
  <c r="AS530" i="28"/>
  <c r="AS529" i="28"/>
  <c r="AU529" i="28"/>
  <c r="AT529" i="28"/>
  <c r="AU528" i="28"/>
  <c r="AT528" i="28"/>
  <c r="AI2" i="28"/>
  <c r="AT404" i="28"/>
  <c r="AU404" i="28"/>
  <c r="AS404" i="28"/>
  <c r="AT405" i="28"/>
  <c r="AS405" i="28"/>
  <c r="AS406" i="28"/>
  <c r="AU406" i="28"/>
  <c r="AT406" i="28"/>
  <c r="AU407" i="28"/>
  <c r="AS407" i="28"/>
  <c r="AU408" i="28"/>
  <c r="AT408" i="28"/>
  <c r="AS408" i="28"/>
  <c r="AU409" i="28"/>
  <c r="AS409" i="28"/>
  <c r="AT409" i="28"/>
  <c r="AT410" i="28"/>
  <c r="AS410" i="28"/>
  <c r="AS411" i="28"/>
  <c r="AU411" i="28"/>
  <c r="AT412" i="28"/>
  <c r="AS412" i="28"/>
  <c r="AU412" i="28"/>
  <c r="AU413" i="28"/>
  <c r="AT413" i="28"/>
  <c r="AT414" i="28"/>
  <c r="AU414" i="28"/>
  <c r="AS415" i="28"/>
  <c r="AU415" i="28"/>
  <c r="AT416" i="28"/>
  <c r="AS416" i="28"/>
  <c r="AT417" i="28"/>
  <c r="AS417" i="28"/>
  <c r="AS418" i="28"/>
  <c r="AU418" i="28"/>
  <c r="AT418" i="28"/>
  <c r="AU419" i="28"/>
  <c r="AS419" i="28"/>
  <c r="AT419" i="28"/>
  <c r="AU525" i="28"/>
  <c r="AT525" i="28"/>
  <c r="AS525" i="28"/>
  <c r="AT510" i="28"/>
  <c r="AS510" i="28"/>
  <c r="AT509" i="28"/>
  <c r="AS509" i="28"/>
  <c r="AU509" i="28"/>
  <c r="AS508" i="28"/>
  <c r="AT508" i="28"/>
  <c r="AU508" i="28"/>
  <c r="AT507" i="28"/>
  <c r="AS507" i="28"/>
  <c r="AU506" i="28"/>
  <c r="AS506" i="28"/>
  <c r="AT506" i="28"/>
  <c r="AS505" i="28"/>
  <c r="AT505" i="28"/>
  <c r="AU504" i="28"/>
  <c r="AS504" i="28"/>
  <c r="AT504" i="28"/>
  <c r="AT503" i="28"/>
  <c r="AS503" i="28"/>
  <c r="AT401" i="28"/>
  <c r="AU401" i="28"/>
  <c r="AS401" i="28"/>
  <c r="AU402" i="28"/>
  <c r="AT402" i="28"/>
  <c r="AS402" i="28"/>
  <c r="AT403" i="28"/>
  <c r="AS403" i="28"/>
  <c r="AS420" i="28"/>
  <c r="AU420" i="28"/>
  <c r="AU421" i="28"/>
  <c r="AT421" i="28"/>
  <c r="AU422" i="28"/>
  <c r="AS422" i="28"/>
  <c r="AT423" i="28"/>
  <c r="AU423" i="28"/>
  <c r="AS424" i="28"/>
  <c r="AU424" i="28"/>
  <c r="AU425" i="28"/>
  <c r="AT425" i="28"/>
  <c r="AT426" i="28"/>
  <c r="AS426" i="28"/>
  <c r="AU426" i="28"/>
  <c r="AU427" i="28"/>
  <c r="AS427" i="28"/>
  <c r="AT427" i="28"/>
  <c r="AT428" i="28"/>
  <c r="AU428" i="28"/>
  <c r="AT429" i="28"/>
  <c r="AS429" i="28"/>
  <c r="AU429" i="28"/>
  <c r="AT430" i="28"/>
  <c r="AU430" i="28"/>
  <c r="AT431" i="28"/>
  <c r="AU431" i="28"/>
  <c r="AS431" i="28"/>
  <c r="AU432" i="28"/>
  <c r="AS432" i="28"/>
  <c r="AT432" i="28"/>
  <c r="AT433" i="28"/>
  <c r="AU433" i="28"/>
  <c r="AS434" i="28"/>
  <c r="AU434" i="28"/>
  <c r="AU435" i="28"/>
  <c r="AT435" i="28"/>
  <c r="AS436" i="28"/>
  <c r="AT436" i="28"/>
  <c r="AU436" i="28"/>
  <c r="AS437" i="28"/>
  <c r="AU437" i="28"/>
  <c r="AS438" i="28"/>
  <c r="AT438" i="28"/>
  <c r="AT439" i="28"/>
  <c r="AS439" i="28"/>
  <c r="AU440" i="28"/>
  <c r="AT440" i="28"/>
  <c r="AS440" i="28"/>
  <c r="AU441" i="28"/>
  <c r="AT441" i="28"/>
  <c r="AS441" i="28"/>
  <c r="AS442" i="28"/>
  <c r="AT442" i="28"/>
  <c r="AU443" i="28"/>
  <c r="AT443" i="28"/>
  <c r="AS443" i="28"/>
  <c r="AS444" i="28"/>
  <c r="AT444" i="28"/>
  <c r="AS445" i="28"/>
  <c r="AT445" i="28"/>
  <c r="AU445" i="28"/>
  <c r="AS446" i="28"/>
  <c r="AT446" i="28"/>
  <c r="AT447" i="28"/>
  <c r="AU447" i="28"/>
  <c r="AS447" i="28"/>
  <c r="AT448" i="28"/>
  <c r="AS448" i="28"/>
  <c r="AU449" i="28"/>
  <c r="AS449" i="28"/>
  <c r="AT449" i="28"/>
  <c r="AT450" i="28"/>
  <c r="AS450" i="28"/>
  <c r="AU450" i="28"/>
  <c r="AS451" i="28"/>
  <c r="AU451" i="28"/>
  <c r="AT451" i="28"/>
  <c r="AS452" i="28"/>
  <c r="AT452" i="28"/>
  <c r="AT453" i="28"/>
  <c r="AS453" i="28"/>
  <c r="AS454" i="28"/>
  <c r="AT454" i="28"/>
  <c r="AU454" i="28"/>
  <c r="AS455" i="28"/>
  <c r="AT455" i="28"/>
  <c r="AS456" i="28"/>
  <c r="AU456" i="28"/>
  <c r="AT456" i="28"/>
  <c r="AU457" i="28"/>
  <c r="AS457" i="28"/>
  <c r="AT457" i="28"/>
  <c r="AS458" i="28"/>
  <c r="AU458" i="28"/>
  <c r="AT458" i="28"/>
  <c r="AU459" i="28"/>
  <c r="AS459" i="28"/>
  <c r="AT459" i="28"/>
  <c r="AU460" i="28"/>
  <c r="AS460" i="28"/>
  <c r="AT460" i="28"/>
  <c r="AU461" i="28"/>
  <c r="AS461" i="28"/>
  <c r="AT461" i="28"/>
  <c r="AT462" i="28"/>
  <c r="AS462" i="28"/>
  <c r="AS463" i="28"/>
  <c r="AU463" i="28"/>
  <c r="AT463" i="28"/>
  <c r="AU464" i="28"/>
  <c r="AS464" i="28"/>
  <c r="AT464" i="28"/>
  <c r="AS465" i="28"/>
  <c r="AT465" i="28"/>
  <c r="AU465" i="28"/>
  <c r="AT466" i="28"/>
  <c r="AS466" i="28"/>
  <c r="AU466" i="28"/>
  <c r="AT467" i="28"/>
  <c r="AU467" i="28"/>
  <c r="AS467" i="28"/>
  <c r="AS468" i="28"/>
  <c r="AT468" i="28"/>
  <c r="AU468" i="28"/>
  <c r="AU469" i="28"/>
  <c r="AT469" i="28"/>
  <c r="AS469" i="28"/>
  <c r="AU470" i="28"/>
  <c r="AS470" i="28"/>
  <c r="AT470" i="28"/>
  <c r="AU471" i="28"/>
  <c r="AS471" i="28"/>
  <c r="AT471" i="28"/>
  <c r="AS472" i="28"/>
  <c r="AU472" i="28"/>
  <c r="AT472" i="28"/>
  <c r="AU473" i="28"/>
  <c r="AT473" i="28"/>
  <c r="AS474" i="28"/>
  <c r="AT474" i="28"/>
  <c r="AU474" i="28"/>
  <c r="AS475" i="28"/>
  <c r="AT475" i="28"/>
  <c r="AU475" i="28"/>
  <c r="AT476" i="28"/>
  <c r="AU476" i="28"/>
  <c r="AS476" i="28"/>
  <c r="AT477" i="28"/>
  <c r="AU477" i="28"/>
  <c r="AS477" i="28"/>
  <c r="AT478" i="28"/>
  <c r="AS478" i="28"/>
  <c r="AT479" i="28"/>
  <c r="AS479" i="28"/>
  <c r="AU479" i="28"/>
  <c r="AT480" i="28"/>
  <c r="AU480" i="28"/>
  <c r="AS480" i="28"/>
  <c r="AT481" i="28"/>
  <c r="AS481" i="28"/>
  <c r="AT482" i="28"/>
  <c r="AU482" i="28"/>
  <c r="AS482" i="28"/>
  <c r="AS483" i="28"/>
  <c r="AT483" i="28"/>
  <c r="AT484" i="28"/>
  <c r="AU484" i="28"/>
  <c r="AS484" i="28"/>
  <c r="AS485" i="28"/>
  <c r="AU485" i="28"/>
  <c r="AT485" i="28"/>
  <c r="AS486" i="28"/>
  <c r="AT486" i="28"/>
  <c r="AU486" i="28"/>
  <c r="AT487" i="28"/>
  <c r="AU487" i="28"/>
  <c r="AS487" i="28"/>
  <c r="AT488" i="28"/>
  <c r="AU488" i="28"/>
  <c r="AS488" i="28"/>
  <c r="AU489" i="28"/>
  <c r="AS489" i="28"/>
  <c r="AT489" i="28"/>
  <c r="AS490" i="28"/>
  <c r="AT490" i="28"/>
  <c r="AU490" i="28"/>
  <c r="AS491" i="28"/>
  <c r="AU491" i="28"/>
  <c r="AU492" i="28"/>
  <c r="AT492" i="28"/>
  <c r="AS492" i="28"/>
  <c r="AT493" i="28"/>
  <c r="AS493" i="28"/>
  <c r="AU493" i="28"/>
  <c r="AT494" i="28"/>
  <c r="AS494" i="28"/>
  <c r="AU495" i="28"/>
  <c r="AT495" i="28"/>
  <c r="AS495" i="28"/>
  <c r="AT496" i="28"/>
  <c r="AS496" i="28"/>
  <c r="AS497" i="28"/>
  <c r="AT497" i="28"/>
  <c r="AU497" i="28"/>
  <c r="AT498" i="28"/>
  <c r="AU498" i="28"/>
  <c r="AS498" i="28"/>
  <c r="AU499" i="28"/>
  <c r="AS499" i="28"/>
  <c r="AT500" i="28"/>
  <c r="AS500" i="28"/>
  <c r="AU500" i="28"/>
  <c r="AS501" i="28"/>
  <c r="AU501" i="28"/>
  <c r="AT501" i="28"/>
  <c r="AS502" i="28"/>
  <c r="AU502" i="28"/>
  <c r="AT377" i="28"/>
  <c r="AS377" i="28"/>
  <c r="AU376" i="28"/>
  <c r="AT376" i="28"/>
  <c r="AS376" i="28"/>
  <c r="AS375" i="28"/>
  <c r="AT375" i="28"/>
  <c r="AT374" i="28"/>
  <c r="AU374" i="28"/>
  <c r="AU373" i="28"/>
  <c r="AS373" i="28"/>
  <c r="AT373" i="28"/>
  <c r="AU372" i="28"/>
  <c r="AS372" i="28"/>
  <c r="AS371" i="28"/>
  <c r="AU371" i="28"/>
  <c r="AT371" i="28"/>
  <c r="AT370" i="28"/>
  <c r="AS370" i="28"/>
  <c r="AT369" i="28"/>
  <c r="AU369" i="28"/>
  <c r="AS369" i="28"/>
  <c r="AU368" i="28"/>
  <c r="AT368" i="28"/>
  <c r="AS368" i="28"/>
  <c r="AS225" i="28"/>
  <c r="AT225" i="28"/>
  <c r="AU225" i="28"/>
  <c r="AU224" i="28"/>
  <c r="AS224" i="28"/>
  <c r="AT224" i="28"/>
  <c r="AU223" i="28"/>
  <c r="AT223" i="28"/>
  <c r="AS223" i="28"/>
  <c r="AS222" i="28"/>
  <c r="AT222" i="28"/>
  <c r="AU222" i="28"/>
  <c r="AS221" i="28"/>
  <c r="AU221" i="28"/>
  <c r="AT221" i="28"/>
  <c r="AU220" i="28"/>
  <c r="AT220" i="28"/>
  <c r="AS220" i="28"/>
  <c r="AT219" i="28"/>
  <c r="AU219" i="28"/>
  <c r="AU218" i="28"/>
  <c r="AS218" i="28"/>
  <c r="AT218" i="28"/>
  <c r="AS217" i="28"/>
  <c r="AU217" i="28"/>
  <c r="AU400" i="28"/>
  <c r="AS400" i="28"/>
  <c r="AT400" i="28"/>
  <c r="AT399" i="28"/>
  <c r="AU399" i="28"/>
  <c r="AS399" i="28"/>
  <c r="AU398" i="28"/>
  <c r="AT398" i="28"/>
  <c r="AS397" i="28"/>
  <c r="AT397" i="28"/>
  <c r="AT396" i="28"/>
  <c r="AS396" i="28"/>
  <c r="AU396" i="28"/>
  <c r="AU395" i="28"/>
  <c r="AS395" i="28"/>
  <c r="AT395" i="28"/>
  <c r="AS394" i="28"/>
  <c r="AT394" i="28"/>
  <c r="AU394" i="28"/>
  <c r="AT393" i="28"/>
  <c r="AS393" i="28"/>
  <c r="AU393" i="28"/>
  <c r="AT392" i="28"/>
  <c r="AU392" i="28"/>
  <c r="AU391" i="28"/>
  <c r="AT391" i="28"/>
  <c r="AU390" i="28"/>
  <c r="AS390" i="28"/>
  <c r="AT390" i="28"/>
  <c r="AU389" i="28"/>
  <c r="AS389" i="28"/>
  <c r="AT389" i="28"/>
  <c r="AS388" i="28"/>
  <c r="AT388" i="28"/>
  <c r="AS387" i="28"/>
  <c r="AT387" i="28"/>
  <c r="AU387" i="28"/>
  <c r="AS386" i="28"/>
  <c r="AT386" i="28"/>
  <c r="AT385" i="28"/>
  <c r="AS385" i="28"/>
  <c r="AT384" i="28"/>
  <c r="AS384" i="28"/>
  <c r="AU384" i="28"/>
  <c r="AS383" i="28"/>
  <c r="AU383" i="28"/>
  <c r="AT383" i="28"/>
  <c r="AS382" i="28"/>
  <c r="AT382" i="28"/>
  <c r="AU382" i="28"/>
  <c r="AS381" i="28"/>
  <c r="AU381" i="28"/>
  <c r="AT381" i="28"/>
  <c r="AS380" i="28"/>
  <c r="AU380" i="28"/>
  <c r="AT380" i="28"/>
  <c r="AT379" i="28"/>
  <c r="AU379" i="28"/>
  <c r="AS379" i="28"/>
  <c r="AS378" i="28"/>
  <c r="AT378" i="28"/>
  <c r="AU378" i="28"/>
  <c r="AS367" i="28"/>
  <c r="AT367" i="28"/>
  <c r="AU367" i="28"/>
  <c r="AT366" i="28"/>
  <c r="AS366" i="28"/>
  <c r="AU366" i="28"/>
  <c r="AT365" i="28"/>
  <c r="AU365" i="28"/>
  <c r="AS365" i="28"/>
  <c r="AT364" i="28"/>
  <c r="AU364" i="28"/>
  <c r="AS364" i="28"/>
  <c r="AS363" i="28"/>
  <c r="AT363" i="28"/>
  <c r="AU363" i="28"/>
  <c r="AU362" i="28"/>
  <c r="AT362" i="28"/>
  <c r="AS362" i="28"/>
  <c r="AU361" i="28"/>
  <c r="AS361" i="28"/>
  <c r="AT361" i="28"/>
  <c r="AS360" i="28"/>
  <c r="AU360" i="28"/>
  <c r="AT360" i="28"/>
  <c r="AS359" i="28"/>
  <c r="AT359" i="28"/>
  <c r="AU359" i="28"/>
  <c r="AS358" i="28"/>
  <c r="AT358" i="28"/>
  <c r="AU358" i="28"/>
  <c r="AS357" i="28"/>
  <c r="AU357" i="28"/>
  <c r="AT357" i="28"/>
  <c r="AT356" i="28"/>
  <c r="AU356" i="28"/>
  <c r="AT355" i="28"/>
  <c r="AU355" i="28"/>
  <c r="AS355" i="28"/>
  <c r="AS354" i="28"/>
  <c r="AT354" i="28"/>
  <c r="AS353" i="28"/>
  <c r="AT353" i="28"/>
  <c r="AU353" i="28"/>
  <c r="AU352" i="28"/>
  <c r="AS352" i="28"/>
  <c r="AT352" i="28"/>
  <c r="AU351" i="28"/>
  <c r="AT351" i="28"/>
  <c r="AS351" i="28"/>
  <c r="AU350" i="28"/>
  <c r="AS350" i="28"/>
  <c r="AT350" i="28"/>
  <c r="AS349" i="28"/>
  <c r="AU349" i="28"/>
  <c r="AT349" i="28"/>
  <c r="AT348" i="28"/>
  <c r="AU348" i="28"/>
  <c r="AS348" i="28"/>
  <c r="AU347" i="28"/>
  <c r="AT347" i="28"/>
  <c r="AS347" i="28"/>
  <c r="AT346" i="28"/>
  <c r="AS346" i="28"/>
  <c r="AU346" i="28"/>
  <c r="AT345" i="28"/>
  <c r="AU345" i="28"/>
  <c r="AS345" i="28"/>
  <c r="AS344" i="28"/>
  <c r="AU344" i="28"/>
  <c r="AS343" i="28"/>
  <c r="AU343" i="28"/>
  <c r="AT343" i="28"/>
  <c r="AT342" i="28"/>
  <c r="AS342" i="28"/>
  <c r="AS341" i="28"/>
  <c r="AU341" i="28"/>
  <c r="AS340" i="28"/>
  <c r="AU340" i="28"/>
  <c r="AT340" i="28"/>
  <c r="AT339" i="28"/>
  <c r="AU339" i="28"/>
  <c r="AS338" i="28"/>
  <c r="AU338" i="28"/>
  <c r="AT338" i="28"/>
  <c r="AU337" i="28"/>
  <c r="AT337" i="28"/>
  <c r="AU336" i="28"/>
  <c r="AT336" i="28"/>
  <c r="AU335" i="28"/>
  <c r="AT335" i="28"/>
  <c r="AT334" i="28"/>
  <c r="AS334" i="28"/>
  <c r="AU334" i="28"/>
  <c r="AS333" i="28"/>
  <c r="AU333" i="28"/>
  <c r="AT333" i="28"/>
  <c r="AT332" i="28"/>
  <c r="AS332" i="28"/>
  <c r="AU332" i="28"/>
  <c r="AU331" i="28"/>
  <c r="AT331" i="28"/>
  <c r="AS331" i="28"/>
  <c r="AS330" i="28"/>
  <c r="AT330" i="28"/>
  <c r="AU329" i="28"/>
  <c r="AT329" i="28"/>
  <c r="AU328" i="28"/>
  <c r="AS328" i="28"/>
  <c r="AT328" i="28"/>
  <c r="AU327" i="28"/>
  <c r="AS327" i="28"/>
  <c r="AT327" i="28"/>
  <c r="AT326" i="28"/>
  <c r="AU326" i="28"/>
  <c r="AS326" i="28"/>
  <c r="AU325" i="28"/>
  <c r="AT325" i="28"/>
  <c r="AS325" i="28"/>
  <c r="AS324" i="28"/>
  <c r="AT324" i="28"/>
  <c r="AU324" i="28"/>
  <c r="AU323" i="28"/>
  <c r="AT323" i="28"/>
  <c r="AT322" i="28"/>
  <c r="AU322" i="28"/>
  <c r="AS322" i="28"/>
  <c r="AT321" i="28"/>
  <c r="AS321" i="28"/>
  <c r="AU321" i="28"/>
  <c r="AT320" i="28"/>
  <c r="AS320" i="28"/>
  <c r="AT319" i="28"/>
  <c r="AS319" i="28"/>
  <c r="AU319" i="28"/>
  <c r="AS318" i="28"/>
  <c r="AT318" i="28"/>
  <c r="AU318" i="28"/>
  <c r="AS317" i="28"/>
  <c r="AU317" i="28"/>
  <c r="AT317" i="28"/>
  <c r="AS316" i="28"/>
  <c r="AT316" i="28"/>
  <c r="AU316" i="28"/>
  <c r="AT315" i="28"/>
  <c r="AU315" i="28"/>
  <c r="AS315" i="28"/>
  <c r="AT314" i="28"/>
  <c r="AS314" i="28"/>
  <c r="AU314" i="28"/>
  <c r="AU313" i="28"/>
  <c r="AT313" i="28"/>
  <c r="AS313" i="28"/>
  <c r="AS312" i="28"/>
  <c r="AT312" i="28"/>
  <c r="AU312" i="28"/>
  <c r="AU311" i="28"/>
  <c r="AS311" i="28"/>
  <c r="AT311" i="28"/>
  <c r="AS310" i="28"/>
  <c r="AU310" i="28"/>
  <c r="AS309" i="28"/>
  <c r="AU309" i="28"/>
  <c r="AT309" i="28"/>
  <c r="AS308" i="28"/>
  <c r="AU308" i="28"/>
  <c r="AT308" i="28"/>
  <c r="AT307" i="28"/>
  <c r="AS307" i="28"/>
  <c r="AU307" i="28"/>
  <c r="AS306" i="28"/>
  <c r="AT306" i="28"/>
  <c r="AU306" i="28"/>
  <c r="AU305" i="28"/>
  <c r="AS305" i="28"/>
  <c r="AT305" i="28"/>
  <c r="AS304" i="28"/>
  <c r="AT304" i="28"/>
  <c r="AU304" i="28"/>
  <c r="AU303" i="28"/>
  <c r="AT303" i="28"/>
  <c r="AS303" i="28"/>
  <c r="AU302" i="28"/>
  <c r="AS302" i="28"/>
  <c r="AT302" i="28"/>
  <c r="AT301" i="28"/>
  <c r="AS301" i="28"/>
  <c r="AU301" i="28"/>
  <c r="AS300" i="28"/>
  <c r="AT300" i="28"/>
  <c r="AU300" i="28"/>
  <c r="AU299" i="28"/>
  <c r="AS299" i="28"/>
  <c r="AT299" i="28"/>
  <c r="AU298" i="28"/>
  <c r="AT298" i="28"/>
  <c r="AS298" i="28"/>
  <c r="AT297" i="28"/>
  <c r="AS297" i="28"/>
  <c r="AU297" i="28"/>
  <c r="AT296" i="28"/>
  <c r="AU296" i="28"/>
  <c r="AS296" i="28"/>
  <c r="AT295" i="28"/>
  <c r="AU295" i="28"/>
  <c r="AS295" i="28"/>
  <c r="AU294" i="28"/>
  <c r="AS294" i="28"/>
  <c r="AT294" i="28"/>
  <c r="AU293" i="28"/>
  <c r="AS293" i="28"/>
  <c r="AT293" i="28"/>
  <c r="AT292" i="28"/>
  <c r="AS292" i="28"/>
  <c r="AT291" i="28"/>
  <c r="AU291" i="28"/>
  <c r="AS291" i="28"/>
  <c r="AU290" i="28"/>
  <c r="AS290" i="28"/>
  <c r="AT290" i="28"/>
  <c r="AU289" i="28"/>
  <c r="AT289" i="28"/>
  <c r="AT288" i="28"/>
  <c r="AS288" i="28"/>
  <c r="AU288" i="28"/>
  <c r="AS287" i="28"/>
  <c r="AU287" i="28"/>
  <c r="AT287" i="28"/>
  <c r="AU286" i="28"/>
  <c r="AT286" i="28"/>
  <c r="AS286" i="28"/>
  <c r="AU285" i="28"/>
  <c r="AS285" i="28"/>
  <c r="AT285" i="28"/>
  <c r="AS284" i="28"/>
  <c r="AU284" i="28"/>
  <c r="AS283" i="28"/>
  <c r="AT283" i="28"/>
  <c r="AU283" i="28"/>
  <c r="AU282" i="28"/>
  <c r="AS282" i="28"/>
  <c r="AT281" i="28"/>
  <c r="AU281" i="28"/>
  <c r="AS281" i="28"/>
  <c r="AT280" i="28"/>
  <c r="AU280" i="28"/>
  <c r="AS280" i="28"/>
  <c r="AT279" i="28"/>
  <c r="AS279" i="28"/>
  <c r="AU279" i="28"/>
  <c r="AT278" i="28"/>
  <c r="AS278" i="28"/>
  <c r="AU278" i="28"/>
  <c r="AU277" i="28"/>
  <c r="AT277" i="28"/>
  <c r="AS277" i="28"/>
  <c r="AT276" i="28"/>
  <c r="AU276" i="28"/>
  <c r="AS276" i="28"/>
  <c r="AU275" i="28"/>
  <c r="AT275" i="28"/>
  <c r="AS275" i="28"/>
  <c r="AU274" i="28"/>
  <c r="AS274" i="28"/>
  <c r="AT274" i="28"/>
  <c r="AU273" i="28"/>
  <c r="AS273" i="28"/>
  <c r="AT273" i="28"/>
  <c r="AS272" i="28"/>
  <c r="AU272" i="28"/>
  <c r="AT272" i="28"/>
  <c r="AT271" i="28"/>
  <c r="AS271" i="28"/>
  <c r="AU271" i="28"/>
  <c r="AS270" i="28"/>
  <c r="AT270" i="28"/>
  <c r="AU270" i="28"/>
  <c r="AU269" i="28"/>
  <c r="AT269" i="28"/>
  <c r="AS269" i="28"/>
  <c r="AS268" i="28"/>
  <c r="AU268" i="28"/>
  <c r="AT268" i="28"/>
  <c r="AU267" i="28"/>
  <c r="AS267" i="28"/>
  <c r="AT267" i="28"/>
  <c r="AT266" i="28"/>
  <c r="AU266" i="28"/>
  <c r="AS266" i="28"/>
  <c r="AT265" i="28"/>
  <c r="AU265" i="28"/>
  <c r="AS265" i="28"/>
  <c r="AT264" i="28"/>
  <c r="AU264" i="28"/>
  <c r="AS264" i="28"/>
  <c r="AU263" i="28"/>
  <c r="AT263" i="28"/>
  <c r="AS263" i="28"/>
  <c r="AT262" i="28"/>
  <c r="AU262" i="28"/>
  <c r="AS262" i="28"/>
  <c r="AS261" i="28"/>
  <c r="AU261" i="28"/>
  <c r="AT261" i="28"/>
  <c r="AU260" i="28"/>
  <c r="AS260" i="28"/>
  <c r="AT260" i="28"/>
  <c r="AT259" i="28"/>
  <c r="AU259" i="28"/>
  <c r="AS259" i="28"/>
  <c r="AU258" i="28"/>
  <c r="AS258" i="28"/>
  <c r="AT258" i="28"/>
  <c r="AT257" i="28"/>
  <c r="AS257" i="28"/>
  <c r="AU257" i="28"/>
  <c r="AT256" i="28"/>
  <c r="AS256" i="28"/>
  <c r="AS255" i="28"/>
  <c r="AU255" i="28"/>
  <c r="AU254" i="28"/>
  <c r="AT254" i="28"/>
  <c r="AS254" i="28"/>
  <c r="AT253" i="28"/>
  <c r="AU253" i="28"/>
  <c r="AS253" i="28"/>
  <c r="AS252" i="28"/>
  <c r="AU252" i="28"/>
  <c r="AT251" i="28"/>
  <c r="AU251" i="28"/>
  <c r="AS251" i="28"/>
  <c r="AT250" i="28"/>
  <c r="AS250" i="28"/>
  <c r="AU250" i="28"/>
  <c r="AS249" i="28"/>
  <c r="AT249" i="28"/>
  <c r="AU249" i="28"/>
  <c r="AU248" i="28"/>
  <c r="AS248" i="28"/>
  <c r="AT248" i="28"/>
  <c r="AS247" i="28"/>
  <c r="AT247" i="28"/>
  <c r="AU247" i="28"/>
  <c r="AT246" i="28"/>
  <c r="AS246" i="28"/>
  <c r="AU246" i="28"/>
  <c r="AU245" i="28"/>
  <c r="AS245" i="28"/>
  <c r="AT245" i="28"/>
  <c r="AU244" i="28"/>
  <c r="AT244" i="28"/>
  <c r="AS244" i="28"/>
  <c r="AU243" i="28"/>
  <c r="AS243" i="28"/>
  <c r="AT243" i="28"/>
  <c r="AT242" i="28"/>
  <c r="AU242" i="28"/>
  <c r="AS242" i="28"/>
  <c r="AU241" i="28"/>
  <c r="AT241" i="28"/>
  <c r="AS241" i="28"/>
  <c r="AT240" i="28"/>
  <c r="AS240" i="28"/>
  <c r="AU240" i="28"/>
  <c r="AU239" i="28"/>
  <c r="AT239" i="28"/>
  <c r="AS239" i="28"/>
  <c r="AS238" i="28"/>
  <c r="AT238" i="28"/>
  <c r="AU238" i="28"/>
  <c r="AS237" i="28"/>
  <c r="AU237" i="28"/>
  <c r="AT237" i="28"/>
  <c r="AS236" i="28"/>
  <c r="AT236" i="28"/>
  <c r="AU236" i="28"/>
  <c r="AT235" i="28"/>
  <c r="AU235" i="28"/>
  <c r="AS235" i="28"/>
  <c r="AT234" i="28"/>
  <c r="AU234" i="28"/>
  <c r="AS234" i="28"/>
  <c r="AT233" i="28"/>
  <c r="AU233" i="28"/>
  <c r="AS233" i="28"/>
  <c r="AT232" i="28"/>
  <c r="AS232" i="28"/>
  <c r="AU232" i="28"/>
  <c r="AU231" i="28"/>
  <c r="AS231" i="28"/>
  <c r="AT231" i="28"/>
  <c r="AS230" i="28"/>
  <c r="AT230" i="28"/>
  <c r="AU230" i="28"/>
  <c r="AU229" i="28"/>
  <c r="AS229" i="28"/>
  <c r="AT229" i="28"/>
  <c r="AS228" i="28"/>
  <c r="AT228" i="28"/>
  <c r="AU228" i="28"/>
  <c r="AT227" i="28"/>
  <c r="AS227" i="28"/>
  <c r="AU227" i="28"/>
  <c r="AS226" i="28"/>
  <c r="AU226" i="28"/>
  <c r="AT226" i="28"/>
  <c r="AU216" i="28"/>
  <c r="AT216" i="28"/>
  <c r="AS216" i="28"/>
  <c r="AS215" i="28"/>
  <c r="AT215" i="28"/>
  <c r="AU215" i="28"/>
  <c r="AS214" i="28"/>
  <c r="AU214" i="28"/>
  <c r="AT213" i="28"/>
  <c r="AS213" i="28"/>
  <c r="AT212" i="28"/>
  <c r="AS212" i="28"/>
  <c r="AU212" i="28"/>
  <c r="AS211" i="28"/>
  <c r="AT211" i="28"/>
  <c r="AU211" i="28"/>
  <c r="AU210" i="28"/>
  <c r="AT210" i="28"/>
  <c r="AS209" i="28"/>
  <c r="AU209" i="28"/>
  <c r="AT209" i="28"/>
  <c r="AT208" i="28"/>
  <c r="AU208" i="28"/>
  <c r="AS208" i="28"/>
  <c r="AS207" i="28"/>
  <c r="AU207" i="28"/>
  <c r="AT207" i="28"/>
  <c r="AT206" i="28"/>
  <c r="AS206" i="28"/>
  <c r="AU206" i="28"/>
  <c r="AS205" i="28"/>
  <c r="AU205" i="28"/>
  <c r="AT205" i="28"/>
  <c r="AU204" i="28"/>
  <c r="AS204" i="28"/>
  <c r="AT204" i="28"/>
  <c r="AT203" i="28"/>
  <c r="AU203" i="28"/>
  <c r="AS203" i="28"/>
  <c r="AU202" i="28"/>
  <c r="AT202" i="28"/>
  <c r="AS202" i="28"/>
  <c r="AS201" i="28"/>
  <c r="AU201" i="28"/>
  <c r="AT201" i="28"/>
  <c r="AT200" i="28"/>
  <c r="AS200" i="28"/>
  <c r="AU200" i="28"/>
  <c r="AT199" i="28"/>
  <c r="AU199" i="28"/>
  <c r="AS199" i="28"/>
  <c r="AS198" i="28"/>
  <c r="AU198" i="28"/>
  <c r="AT198" i="28"/>
  <c r="AU197" i="28"/>
  <c r="AS197" i="28"/>
  <c r="AU196" i="28"/>
  <c r="AS196" i="28"/>
  <c r="AT196" i="28"/>
  <c r="AT195" i="28"/>
  <c r="AS195" i="28"/>
  <c r="AU195" i="28"/>
  <c r="AS194" i="28"/>
  <c r="AT194" i="28"/>
  <c r="AU194" i="28"/>
  <c r="AT193" i="28"/>
  <c r="AS193" i="28"/>
  <c r="AT192" i="28"/>
  <c r="AU192" i="28"/>
  <c r="AS191" i="28"/>
  <c r="AT191" i="28"/>
  <c r="AU191" i="28"/>
  <c r="AT190" i="28"/>
  <c r="AU190" i="28"/>
  <c r="AS190" i="28"/>
  <c r="AS189" i="28"/>
  <c r="AU189" i="28"/>
  <c r="AT189" i="28"/>
  <c r="AS188" i="28"/>
  <c r="AT188" i="28"/>
  <c r="AU188" i="28"/>
  <c r="AS187" i="28"/>
  <c r="AU187" i="28"/>
  <c r="AT187" i="28"/>
  <c r="AU186" i="28"/>
  <c r="AS186" i="28"/>
  <c r="AT186" i="28"/>
  <c r="AT185" i="28"/>
  <c r="AU185" i="28"/>
  <c r="AS185" i="28"/>
  <c r="AT184" i="28"/>
  <c r="AU184" i="28"/>
  <c r="AS184" i="28"/>
  <c r="AU183" i="28"/>
  <c r="AS183" i="28"/>
  <c r="AT183" i="28"/>
  <c r="AT182" i="28"/>
  <c r="AU182" i="28"/>
  <c r="AS182" i="28"/>
  <c r="AU181" i="28"/>
  <c r="AT181" i="28"/>
  <c r="AS181" i="28"/>
  <c r="AT180" i="28"/>
  <c r="AS180" i="28"/>
  <c r="AU180" i="28"/>
  <c r="AS179" i="28"/>
  <c r="AU179" i="28"/>
  <c r="AT179" i="28"/>
  <c r="AU178" i="28"/>
  <c r="AT178" i="28"/>
  <c r="AS178" i="28"/>
  <c r="AU177" i="28"/>
  <c r="AS177" i="28"/>
  <c r="AT177" i="28"/>
  <c r="AU176" i="28"/>
  <c r="AS176" i="28"/>
  <c r="AT176" i="28"/>
  <c r="AU175" i="28"/>
  <c r="AS175" i="28"/>
  <c r="AT175" i="28"/>
  <c r="AS174" i="28"/>
  <c r="AU174" i="28"/>
  <c r="AT174" i="28"/>
  <c r="AS173" i="28"/>
  <c r="AU173" i="28"/>
  <c r="AS172" i="28"/>
  <c r="AT172" i="28"/>
  <c r="AU172" i="28"/>
  <c r="AS171" i="28"/>
  <c r="AT171" i="28"/>
  <c r="AU171" i="28"/>
  <c r="AS170" i="28"/>
  <c r="AU170" i="28"/>
  <c r="AT170" i="28"/>
  <c r="AU169" i="28"/>
  <c r="AT169" i="28"/>
  <c r="AS169" i="28"/>
  <c r="AT168" i="28"/>
  <c r="AS168" i="28"/>
  <c r="AU168" i="28"/>
  <c r="AT167" i="28"/>
  <c r="AU167" i="28"/>
  <c r="AS167" i="28"/>
  <c r="AT166" i="28"/>
  <c r="AS166" i="28"/>
  <c r="AU165" i="28"/>
  <c r="AS165" i="28"/>
  <c r="AT165" i="28"/>
  <c r="AU164" i="28"/>
  <c r="AS164" i="28"/>
  <c r="AT163" i="28"/>
  <c r="AS163" i="28"/>
  <c r="AT162" i="28"/>
  <c r="AS162" i="28"/>
  <c r="AU162" i="28"/>
  <c r="AT161" i="28"/>
  <c r="AU161" i="28"/>
  <c r="AS161" i="28"/>
  <c r="AS160" i="28"/>
  <c r="AU160" i="28"/>
  <c r="AT160" i="28"/>
  <c r="AS159" i="28"/>
  <c r="AU159" i="28"/>
  <c r="AT159" i="28"/>
  <c r="AT158" i="28"/>
  <c r="AS158" i="28"/>
  <c r="AU157" i="28"/>
  <c r="AS157" i="28"/>
  <c r="AT157" i="28"/>
  <c r="AU156" i="28"/>
  <c r="AS156" i="28"/>
  <c r="AT156" i="28"/>
  <c r="AS155" i="28"/>
  <c r="AU155" i="28"/>
  <c r="AT155" i="28"/>
  <c r="AT154" i="28"/>
  <c r="AS154" i="28"/>
  <c r="AU154" i="28"/>
  <c r="AS153" i="28"/>
  <c r="AT153" i="28"/>
  <c r="AU153" i="28"/>
  <c r="AT152" i="28"/>
  <c r="AS152" i="28"/>
  <c r="AU152" i="28"/>
  <c r="AU151" i="28"/>
  <c r="AS151" i="28"/>
  <c r="AS150" i="28"/>
  <c r="AU150" i="28"/>
  <c r="AT150" i="28"/>
  <c r="AT149" i="28"/>
  <c r="AS149" i="28"/>
  <c r="AU149" i="28"/>
  <c r="AS148" i="28"/>
  <c r="AU148" i="28"/>
  <c r="AT148" i="28"/>
  <c r="AU147" i="28"/>
  <c r="AS147" i="28"/>
  <c r="AT147" i="28"/>
  <c r="AS146" i="28"/>
  <c r="AU146" i="28"/>
  <c r="AT146" i="28"/>
  <c r="AS145" i="28"/>
  <c r="AT145" i="28"/>
  <c r="AU145" i="28"/>
  <c r="AU144" i="28"/>
  <c r="AT144" i="28"/>
  <c r="AS143" i="28"/>
  <c r="AT143" i="28"/>
  <c r="AT142" i="28"/>
  <c r="AS142" i="28"/>
  <c r="AU142" i="28"/>
  <c r="AS141" i="28"/>
  <c r="AT141" i="28"/>
  <c r="AU141" i="28"/>
  <c r="AS140" i="28"/>
  <c r="AU140" i="28"/>
  <c r="AT140" i="28"/>
  <c r="AS139" i="28"/>
  <c r="AU139" i="28"/>
  <c r="AT139" i="28"/>
  <c r="AU138" i="28"/>
  <c r="AS138" i="28"/>
  <c r="AT138" i="28"/>
  <c r="AU137" i="28"/>
  <c r="AT137" i="28"/>
  <c r="AS137" i="28"/>
  <c r="AS136" i="28"/>
  <c r="AT136" i="28"/>
  <c r="AU136" i="28"/>
  <c r="AT135" i="28"/>
  <c r="AS135" i="28"/>
  <c r="AU135" i="28"/>
  <c r="AT134" i="28"/>
  <c r="AS134" i="28"/>
  <c r="AU134" i="28"/>
  <c r="AU133" i="28"/>
  <c r="AS133" i="28"/>
  <c r="AS132" i="28"/>
  <c r="AU132" i="28"/>
  <c r="AT132" i="28"/>
  <c r="AU131" i="28"/>
  <c r="AS131" i="28"/>
  <c r="AT131" i="28"/>
  <c r="AT130" i="28"/>
  <c r="AU130" i="28"/>
  <c r="AT129" i="28"/>
  <c r="AS129" i="28"/>
  <c r="AU129" i="28"/>
  <c r="AT128" i="28"/>
  <c r="AS128" i="28"/>
  <c r="AU128" i="28"/>
  <c r="AT127" i="28"/>
  <c r="AS127" i="28"/>
  <c r="AU127" i="28"/>
  <c r="AS126" i="28"/>
  <c r="AT126" i="28"/>
  <c r="AU126" i="28"/>
  <c r="AT125" i="28"/>
  <c r="AS125" i="28"/>
  <c r="AU125" i="28"/>
  <c r="AT124" i="28"/>
  <c r="AS124" i="28"/>
  <c r="AS123" i="28"/>
  <c r="AT123" i="28"/>
  <c r="AU123" i="28"/>
  <c r="AU122" i="28"/>
  <c r="AS122" i="28"/>
  <c r="AT122" i="28"/>
  <c r="AS121" i="28"/>
  <c r="AT121" i="28"/>
  <c r="AS120" i="28"/>
  <c r="AT120" i="28"/>
  <c r="AS119" i="28"/>
  <c r="AU119" i="28"/>
  <c r="AT119" i="28"/>
  <c r="AU118" i="28"/>
  <c r="AS118" i="28"/>
  <c r="AT118" i="28"/>
  <c r="AT117" i="28"/>
  <c r="AS117" i="28"/>
  <c r="AT116" i="28"/>
  <c r="AS116" i="28"/>
  <c r="AT115" i="28"/>
  <c r="AU115" i="28"/>
  <c r="AS115" i="28"/>
  <c r="AT114" i="28"/>
  <c r="AU114" i="28"/>
  <c r="AT113" i="28"/>
  <c r="AS113" i="28"/>
  <c r="AU113" i="28"/>
  <c r="AT112" i="28"/>
  <c r="AS112" i="28"/>
  <c r="AU112" i="28"/>
  <c r="AT111" i="28"/>
  <c r="AS111" i="28"/>
  <c r="AU111" i="28"/>
  <c r="AU110" i="28"/>
  <c r="AT110" i="28"/>
  <c r="AU109" i="28"/>
  <c r="AS109" i="28"/>
  <c r="AT109" i="28"/>
  <c r="AT108" i="28"/>
  <c r="AS108" i="28"/>
  <c r="AU108" i="28"/>
  <c r="AU107" i="28"/>
  <c r="AT107" i="28"/>
  <c r="AS106" i="28"/>
  <c r="AU106" i="28"/>
  <c r="AU105" i="28"/>
  <c r="AS105" i="28"/>
  <c r="AU104" i="28"/>
  <c r="AT104" i="28"/>
  <c r="AS103" i="28"/>
  <c r="AU103" i="28"/>
  <c r="AT103" i="28"/>
  <c r="AS102" i="28"/>
  <c r="AU102" i="28"/>
  <c r="AT102" i="28"/>
  <c r="AS101" i="28"/>
  <c r="AU101" i="28"/>
  <c r="AU100" i="28"/>
  <c r="AS100" i="28"/>
  <c r="AT100" i="28"/>
  <c r="AT99" i="28"/>
  <c r="AU99" i="28"/>
  <c r="AS99" i="28"/>
  <c r="AS98" i="28"/>
  <c r="AU98" i="28"/>
  <c r="AS97" i="28"/>
  <c r="AU97" i="28"/>
  <c r="AS96" i="28"/>
  <c r="AU96" i="28"/>
  <c r="AT96" i="28"/>
  <c r="AS95" i="28"/>
  <c r="AU95" i="28"/>
  <c r="AU94" i="28"/>
  <c r="AS94" i="28"/>
  <c r="AT94" i="28"/>
  <c r="AU93" i="28"/>
  <c r="AS93" i="28"/>
  <c r="AT93" i="28"/>
  <c r="AT92" i="28"/>
  <c r="AS92" i="28"/>
  <c r="AT91" i="28"/>
  <c r="AS91" i="28"/>
  <c r="AU91" i="28"/>
  <c r="AS90" i="28"/>
  <c r="AU90" i="28"/>
  <c r="AT90" i="28"/>
  <c r="AS89" i="28"/>
  <c r="AT89" i="28"/>
  <c r="AU89" i="28"/>
  <c r="AU88" i="28"/>
  <c r="AT88" i="28"/>
  <c r="AS88" i="28"/>
  <c r="AT87" i="28"/>
  <c r="AS87" i="28"/>
  <c r="AT86" i="28"/>
  <c r="AS86" i="28"/>
  <c r="AU86" i="28"/>
  <c r="AS85" i="28"/>
  <c r="AT85" i="28"/>
  <c r="AU85" i="28"/>
  <c r="AT84" i="28"/>
  <c r="AS84" i="28"/>
  <c r="AU84" i="28"/>
  <c r="AS83" i="28"/>
  <c r="AU83" i="28"/>
  <c r="AU82" i="28"/>
  <c r="AS82" i="28"/>
  <c r="AT81" i="28"/>
  <c r="AS81" i="28"/>
  <c r="AU81" i="28"/>
  <c r="AT80" i="28"/>
  <c r="AS80" i="28"/>
  <c r="AU80" i="28"/>
  <c r="AT79" i="28"/>
  <c r="AS79" i="28"/>
  <c r="AU79" i="28"/>
  <c r="AU78" i="28"/>
  <c r="AT78" i="28"/>
  <c r="AS78" i="28"/>
  <c r="AT77" i="28"/>
  <c r="AS77" i="28"/>
  <c r="AT76" i="28"/>
  <c r="AS76" i="28"/>
  <c r="AU76" i="28"/>
  <c r="AT75" i="28"/>
  <c r="AU75" i="28"/>
  <c r="AU74" i="28"/>
  <c r="AT74" i="28"/>
  <c r="AS74" i="28"/>
  <c r="AS73" i="28"/>
  <c r="AT73" i="28"/>
  <c r="AU73" i="28"/>
  <c r="AT72" i="28"/>
  <c r="AS72" i="28"/>
  <c r="AU72" i="28"/>
  <c r="AT71" i="28"/>
  <c r="AS71" i="28"/>
  <c r="AT70" i="28"/>
  <c r="AS70" i="28"/>
  <c r="AU69" i="28"/>
  <c r="AT69" i="28"/>
  <c r="AS69" i="28"/>
  <c r="AS68" i="28"/>
  <c r="AT68" i="28"/>
  <c r="AU68" i="28"/>
  <c r="AT67" i="28"/>
  <c r="AU67" i="28"/>
  <c r="AS67" i="28"/>
  <c r="AS66" i="28"/>
  <c r="AU66" i="28"/>
  <c r="AT66" i="28"/>
  <c r="AU65" i="28"/>
  <c r="AS65" i="28"/>
  <c r="AT64" i="28"/>
  <c r="AS64" i="28"/>
  <c r="AU64" i="28"/>
  <c r="AS63" i="28"/>
  <c r="AU63" i="28"/>
  <c r="AT63" i="28"/>
  <c r="AT62" i="28"/>
  <c r="AS62" i="28"/>
  <c r="AS61" i="28"/>
  <c r="AU61" i="28"/>
  <c r="AT61" i="28"/>
  <c r="AT60" i="28"/>
  <c r="AU60" i="28"/>
  <c r="AS60" i="28"/>
  <c r="AS59" i="28"/>
  <c r="AT59" i="28"/>
  <c r="AU58" i="28"/>
  <c r="AT58" i="28"/>
  <c r="AS57" i="28"/>
  <c r="AT57" i="28"/>
  <c r="AT56" i="28"/>
  <c r="AS56" i="28"/>
  <c r="AU56" i="28"/>
  <c r="AU55" i="28"/>
  <c r="AS55" i="28"/>
  <c r="AT55" i="28"/>
  <c r="AT54" i="28"/>
  <c r="AU54" i="28"/>
  <c r="AT53" i="28"/>
  <c r="AS53" i="28"/>
  <c r="AS52" i="28"/>
  <c r="AU52" i="28"/>
  <c r="AT52" i="28"/>
  <c r="AS51" i="28"/>
  <c r="AT51" i="28"/>
  <c r="AT50" i="28"/>
  <c r="AU50" i="28"/>
  <c r="AS50" i="28"/>
  <c r="AS49" i="28"/>
  <c r="AU49" i="28"/>
  <c r="AT49" i="28"/>
  <c r="AT48" i="28"/>
  <c r="AS48" i="28"/>
  <c r="AT47" i="28"/>
  <c r="AS47" i="28"/>
  <c r="AU47" i="28"/>
  <c r="AT46" i="28"/>
  <c r="AU46" i="28"/>
  <c r="AS46" i="28"/>
  <c r="AT45" i="28"/>
  <c r="AU45" i="28"/>
  <c r="AS45" i="28"/>
  <c r="AU44" i="28"/>
  <c r="AS44" i="28"/>
  <c r="AU43" i="28"/>
  <c r="AS43" i="28"/>
  <c r="AT43" i="28"/>
  <c r="AU42" i="28"/>
  <c r="AS42" i="28"/>
  <c r="AT42" i="28"/>
  <c r="AS41" i="28"/>
  <c r="AT41" i="28"/>
  <c r="AU41" i="28"/>
  <c r="AU40" i="28"/>
  <c r="AS40" i="28"/>
  <c r="AT40" i="28"/>
  <c r="AS39" i="28"/>
  <c r="AU39" i="28"/>
  <c r="AT39" i="28"/>
  <c r="AU38" i="28"/>
  <c r="AS38" i="28"/>
  <c r="AT38" i="28"/>
  <c r="AT37" i="28"/>
  <c r="AU37" i="28"/>
  <c r="AS36" i="28"/>
  <c r="AU36" i="28"/>
  <c r="AT36" i="28"/>
  <c r="AS35" i="28"/>
  <c r="AU35" i="28"/>
  <c r="AT35" i="28"/>
  <c r="AS34" i="28"/>
  <c r="AT34" i="28"/>
  <c r="AU34" i="28"/>
  <c r="AS33" i="28"/>
  <c r="AT33" i="28"/>
  <c r="AU33" i="28"/>
  <c r="AS32" i="28"/>
  <c r="AU32" i="28"/>
  <c r="AT32" i="28"/>
  <c r="AS31" i="28"/>
  <c r="AU31" i="28"/>
  <c r="AT31" i="28"/>
  <c r="AT30" i="28"/>
  <c r="AU30" i="28"/>
  <c r="AS30" i="28"/>
  <c r="AU29" i="28"/>
  <c r="AT29" i="28"/>
  <c r="AT28" i="28"/>
  <c r="AU28" i="28"/>
  <c r="AS28" i="28"/>
  <c r="AU27" i="28"/>
  <c r="AT27" i="28"/>
  <c r="AS27" i="28"/>
  <c r="AU26" i="28"/>
  <c r="AS26" i="28"/>
  <c r="AT26" i="28"/>
  <c r="AU25" i="28"/>
  <c r="AS25" i="28"/>
  <c r="AT25" i="28"/>
  <c r="AU24" i="28"/>
  <c r="AT24" i="28"/>
  <c r="AS24" i="28"/>
  <c r="AS23" i="28"/>
  <c r="AT23" i="28"/>
  <c r="AU23" i="28"/>
  <c r="AS22" i="28"/>
  <c r="AU22" i="28"/>
  <c r="AT22" i="28"/>
  <c r="AU21" i="28"/>
  <c r="AT21" i="28"/>
  <c r="AS21" i="28"/>
  <c r="AT20" i="28"/>
  <c r="AU20" i="28"/>
  <c r="AS20" i="28"/>
  <c r="AU19" i="28"/>
  <c r="AT19" i="28"/>
  <c r="AS19" i="28"/>
  <c r="AT18" i="28"/>
  <c r="AU18" i="28"/>
  <c r="AS18" i="28"/>
  <c r="AU17" i="28"/>
  <c r="AT17" i="28"/>
  <c r="AS17" i="28"/>
  <c r="AS16" i="28"/>
  <c r="AT16" i="28"/>
  <c r="AU16" i="28"/>
  <c r="AT15" i="28"/>
  <c r="AU15" i="28"/>
  <c r="AS15" i="28"/>
  <c r="AT14" i="28"/>
  <c r="AU14" i="28"/>
  <c r="AS14" i="28"/>
  <c r="AT13" i="28"/>
  <c r="AS13" i="28"/>
  <c r="AU13" i="28"/>
  <c r="AT12" i="28"/>
  <c r="AU12" i="28"/>
  <c r="AS12" i="28"/>
  <c r="AS11" i="28"/>
  <c r="AU11" i="28"/>
  <c r="AT11" i="28"/>
  <c r="AU10" i="28"/>
  <c r="AS10" i="28"/>
  <c r="AT10" i="28"/>
  <c r="AU9" i="28"/>
  <c r="AS9" i="28"/>
  <c r="AT9" i="28"/>
  <c r="AS8" i="28"/>
  <c r="AU8" i="28"/>
  <c r="AT8" i="28"/>
  <c r="AT7" i="28"/>
  <c r="AS7" i="28"/>
  <c r="AU7" i="28"/>
  <c r="AU6" i="28"/>
  <c r="AT6" i="28"/>
  <c r="AS6" i="28"/>
  <c r="AS5" i="28"/>
  <c r="AU5" i="28"/>
  <c r="AT5" i="28"/>
  <c r="AT4" i="28"/>
  <c r="AU4" i="28"/>
  <c r="AS4" i="28"/>
  <c r="AU3" i="28"/>
  <c r="AS3" i="28"/>
  <c r="AT3" i="28"/>
  <c r="AU2" i="28"/>
  <c r="AS2" i="28"/>
  <c r="AT2" i="28"/>
  <c r="AU527" i="28"/>
  <c r="AT527" i="28"/>
  <c r="AS527" i="28"/>
  <c r="AU526" i="28"/>
  <c r="AT526" i="28"/>
  <c r="AS526" i="28"/>
  <c r="AU524" i="28"/>
  <c r="AT524" i="28"/>
  <c r="AS524" i="28"/>
  <c r="AU523" i="28"/>
  <c r="AT523" i="28"/>
  <c r="AS523" i="28"/>
  <c r="AS522" i="28"/>
  <c r="AT522" i="28"/>
  <c r="AU522" i="28"/>
  <c r="AT521" i="28"/>
  <c r="AS521" i="28"/>
  <c r="AU521" i="28"/>
  <c r="AU520" i="28"/>
  <c r="AS520" i="28"/>
  <c r="AT520" i="28"/>
  <c r="AT519" i="28"/>
  <c r="AS519" i="28"/>
  <c r="AU519" i="28"/>
  <c r="AS518" i="28"/>
  <c r="AT518" i="28"/>
  <c r="AU518" i="28"/>
  <c r="AU517" i="28"/>
  <c r="AS517" i="28"/>
  <c r="AT517" i="28"/>
  <c r="AS516" i="28"/>
  <c r="AT516" i="28"/>
  <c r="AU516" i="28"/>
  <c r="AU515" i="28"/>
  <c r="AS515" i="28"/>
  <c r="AT515" i="28"/>
  <c r="AS514" i="28"/>
  <c r="AU514" i="28"/>
  <c r="AT514" i="28"/>
  <c r="AT513" i="28"/>
  <c r="AS513" i="28"/>
  <c r="AU513" i="28"/>
  <c r="AU512" i="28"/>
  <c r="AS512" i="28"/>
  <c r="AT512" i="28"/>
  <c r="AU511" i="28"/>
  <c r="AS511" i="28"/>
  <c r="AT511" i="28"/>
  <c r="AV527" i="28"/>
  <c r="AV526" i="28"/>
  <c r="AV525" i="28"/>
  <c r="AV524" i="28"/>
  <c r="AV523" i="28"/>
  <c r="AV522" i="28"/>
  <c r="AV521" i="28"/>
  <c r="AV520" i="28"/>
  <c r="AV519" i="28"/>
  <c r="AV518" i="28"/>
  <c r="AV517" i="28"/>
  <c r="AV516" i="28"/>
  <c r="AV515" i="28"/>
  <c r="AV514" i="28"/>
  <c r="AV513" i="28"/>
  <c r="AV512" i="28"/>
  <c r="AV532" i="28"/>
  <c r="AV533" i="28"/>
  <c r="AV571" i="28"/>
  <c r="AV570" i="28"/>
  <c r="AV538" i="28"/>
  <c r="AV567" i="28"/>
  <c r="AV534" i="28"/>
  <c r="AV529" i="28"/>
  <c r="AV546" i="28"/>
  <c r="AV530" i="28"/>
  <c r="AV547" i="28"/>
  <c r="AV562" i="28"/>
  <c r="AV564" i="28"/>
  <c r="AV549" i="28"/>
  <c r="AV572" i="28"/>
  <c r="AV563" i="28"/>
  <c r="AV531" i="28"/>
  <c r="AV536" i="28"/>
  <c r="AV556" i="28"/>
  <c r="AV568" i="28"/>
  <c r="AV552" i="28"/>
  <c r="AV560" i="28"/>
  <c r="AV551" i="28"/>
  <c r="AV557" i="28"/>
  <c r="AV540" i="28"/>
  <c r="AV559" i="28"/>
  <c r="AV542" i="28"/>
  <c r="AV545" i="28"/>
  <c r="AV539" i="28"/>
  <c r="AV535" i="28"/>
  <c r="AV548" i="28"/>
  <c r="AV544" i="28"/>
  <c r="AV554" i="28"/>
  <c r="AV541" i="28"/>
  <c r="AV553" i="28"/>
  <c r="AV555" i="28"/>
  <c r="AV537" i="28"/>
  <c r="AV558" i="28"/>
  <c r="AV565" i="28"/>
  <c r="AV566" i="28"/>
  <c r="AV528" i="28"/>
  <c r="AV550" i="28"/>
  <c r="AV543" i="28"/>
  <c r="AV561" i="28"/>
  <c r="AV569" i="28"/>
  <c r="AW568" i="28"/>
  <c r="AW548" i="28"/>
  <c r="AW563" i="28"/>
  <c r="AW555" i="28"/>
  <c r="AW543" i="28"/>
  <c r="AW551" i="28"/>
  <c r="AW572" i="28"/>
  <c r="AW544" i="28"/>
  <c r="AW558" i="28"/>
  <c r="AW560" i="28"/>
  <c r="AW536" i="28"/>
  <c r="AW547" i="28"/>
  <c r="AW561" i="28"/>
  <c r="AW569" i="28"/>
  <c r="AW541" i="28"/>
  <c r="AW538" i="28"/>
  <c r="AW529" i="28"/>
  <c r="AW531" i="28"/>
  <c r="AW550" i="28"/>
  <c r="AW570" i="28"/>
  <c r="AW537" i="28"/>
  <c r="AW532" i="28"/>
  <c r="AW553" i="28"/>
  <c r="AW562" i="28"/>
  <c r="AW571" i="28"/>
  <c r="AW540" i="28"/>
  <c r="AW567" i="28"/>
  <c r="AW552" i="28"/>
  <c r="AW534" i="28"/>
  <c r="AW564" i="28"/>
  <c r="AW559" i="28"/>
  <c r="AW565" i="28"/>
  <c r="AW554" i="28"/>
  <c r="AW535" i="28"/>
  <c r="AW556" i="28"/>
  <c r="AW528" i="28"/>
  <c r="AW566" i="28"/>
  <c r="AW549" i="28"/>
  <c r="AW545" i="28"/>
  <c r="AW546" i="28"/>
  <c r="AW539" i="28"/>
  <c r="AW530" i="28"/>
  <c r="AW542" i="28"/>
  <c r="AW533" i="28"/>
  <c r="AW557" i="28"/>
</calcChain>
</file>

<file path=xl/sharedStrings.xml><?xml version="1.0" encoding="utf-8"?>
<sst xmlns="http://schemas.openxmlformats.org/spreadsheetml/2006/main" count="1688" uniqueCount="114">
  <si>
    <t>HORA</t>
  </si>
  <si>
    <t>VA</t>
  </si>
  <si>
    <t>ETA BRASÍLIA</t>
  </si>
  <si>
    <t>ESTUDO EQUILÍBRIO QUÍMICO H20 COAGULADA</t>
  </si>
  <si>
    <t>LADOS PAR E ÍMAR</t>
  </si>
  <si>
    <t>DATA:</t>
  </si>
  <si>
    <t>TURNO I</t>
  </si>
  <si>
    <t>TURNO II</t>
  </si>
  <si>
    <t>Vazões H20</t>
  </si>
  <si>
    <t>TOR (l/s)</t>
  </si>
  <si>
    <t>SM (l/s)</t>
  </si>
  <si>
    <t>BNN (l/s)</t>
  </si>
  <si>
    <t>TOTAL (l/s)</t>
  </si>
  <si>
    <t>CAL (s/n)</t>
  </si>
  <si>
    <t>PAC (mg/l)</t>
  </si>
  <si>
    <t>1ª Camara</t>
  </si>
  <si>
    <t>2ª Camara</t>
  </si>
  <si>
    <t>3ª Camara</t>
  </si>
  <si>
    <t>TEMP (°c)</t>
  </si>
  <si>
    <t>PH</t>
  </si>
  <si>
    <t>TURB</t>
  </si>
  <si>
    <t>COR</t>
  </si>
  <si>
    <t>ALC. (mg/l)</t>
  </si>
  <si>
    <t>TURB PAPEL FILTRO</t>
  </si>
  <si>
    <t>TURB. FLOT. CLP</t>
  </si>
  <si>
    <t>DOSAGENS</t>
  </si>
  <si>
    <t>FLOCULAÇÃO GRADIENTES</t>
  </si>
  <si>
    <t>LABORATÓRIO ETA-BRUTA COMPOSTA</t>
  </si>
  <si>
    <t>FLOCULADOR / FLOTADOR PAR - N° 6</t>
  </si>
  <si>
    <t>FLOCULADOR / FLOTADOR ÍMPAR - N° 5</t>
  </si>
  <si>
    <t>OBSERVAÇÕES:</t>
  </si>
  <si>
    <t>Andréa / Jamir</t>
  </si>
  <si>
    <t>Maciel / Mathias</t>
  </si>
  <si>
    <t>-</t>
  </si>
  <si>
    <t>S</t>
  </si>
  <si>
    <t>Andréa / Pierry</t>
  </si>
  <si>
    <t>Leandro / Cláudio</t>
  </si>
  <si>
    <t>,,49</t>
  </si>
  <si>
    <t>Cláudio Py / Leandro</t>
  </si>
  <si>
    <t>MACIEL/MATHIAS</t>
  </si>
  <si>
    <t>*Intrajoranda</t>
  </si>
  <si>
    <t>*</t>
  </si>
  <si>
    <t>* Intrajoranda</t>
  </si>
  <si>
    <t>**</t>
  </si>
  <si>
    <t>** ETA DESATIVADA</t>
  </si>
  <si>
    <t>FLOCULADOR / FLOTADOR PAR - N° 4</t>
  </si>
  <si>
    <t>FLOCULADOR / FLOTADOR ÍMPAR - N° 3</t>
  </si>
  <si>
    <t>DATA</t>
  </si>
  <si>
    <t>VAZÃO ÁGUA BRUTA TOR (L/s)</t>
  </si>
  <si>
    <t>VAZÃO ÁGUA BRUTA SM (L/s)</t>
  </si>
  <si>
    <t>VAZÃO ÁGUA BRUTA BNN (L/s)</t>
  </si>
  <si>
    <t>VAZÃO ÁGUA BRUTA TOTAL (L/s)</t>
  </si>
  <si>
    <t>DOS CAL (s/n)</t>
  </si>
  <si>
    <t>DOS PAC (mg/L)</t>
  </si>
  <si>
    <t>FLOC GRAD 2ª Câmara</t>
  </si>
  <si>
    <t>FLOC GRAD 3ª Câmara</t>
  </si>
  <si>
    <t>ÁGUA BRUTA TEMP (°C)</t>
  </si>
  <si>
    <t>ÁGUA BRUTA pH</t>
  </si>
  <si>
    <t>ÁGUA BRUTA TURB (uT)</t>
  </si>
  <si>
    <t>ÁGUA BRUTA COR (uC)</t>
  </si>
  <si>
    <t>ÁGUA BRUTA ALC. (mg/L)</t>
  </si>
  <si>
    <t>ÁGUA FILTRADA TURB (uT)</t>
  </si>
  <si>
    <t>LADO PAR Nº FLOC.</t>
  </si>
  <si>
    <t>LADO PAR Nº FLOT.</t>
  </si>
  <si>
    <t>LADO ÍMPAR Nº FLOC.</t>
  </si>
  <si>
    <t>LADO ÍMPAR Nº FLOT.</t>
  </si>
  <si>
    <t>LADO PAR ÁGUA COAGULADA pH</t>
  </si>
  <si>
    <t>LADO PAR ÁGUA COAGULADA ALC. (mg/L)</t>
  </si>
  <si>
    <t>LADO PAR FLOTAÇÃO Pressão Sat. (bar)</t>
  </si>
  <si>
    <t>LADO PAR FLOTAÇÃO Vazão Rec.(L/s)</t>
  </si>
  <si>
    <t>LADO PAR ÁGUA COAGULADA TURB PAPEL FILTRO (uT)</t>
  </si>
  <si>
    <t>LADO PAR FLOTAÇÃO TURB CLARIFICADA CLP (uT)</t>
  </si>
  <si>
    <t>LADO ÍMPAR FLOTAÇÃO Pressão Sat. (bar)</t>
  </si>
  <si>
    <t>LADO ÍMPAR FLOTAÇÃO Vazão Rec.(L/s)</t>
  </si>
  <si>
    <t>LADO ÍMPAR ÁGUA COAGULADA pH</t>
  </si>
  <si>
    <t>LADO ÍMPAR ÁGUA COAGULADA ALC. (mg/l)</t>
  </si>
  <si>
    <t>LADO ÍMPAR ÁGUA COAGULADA TURB PAPEL FILTRO (uT)</t>
  </si>
  <si>
    <t>LADO ÍMPAR FLOTAÇÃO TURB CLARIFICADA CLP (uT)</t>
  </si>
  <si>
    <t>N</t>
  </si>
  <si>
    <t>FAIXA_TURB_FILT</t>
  </si>
  <si>
    <t>FAIXA_TURB_BRUTA</t>
  </si>
  <si>
    <t>TIPO_AGUA_BRUTA</t>
  </si>
  <si>
    <t>FAIXA_COR_BRUTA</t>
  </si>
  <si>
    <t>FAIXA_ALC_BRUTA</t>
  </si>
  <si>
    <t>FAIXA_TURB_CLAR_ÍMPAR</t>
  </si>
  <si>
    <t>FAIXA_TURB_CLAR_PAR</t>
  </si>
  <si>
    <t>FAIXA_TURB_PAPEL_FILTRO_PAR</t>
  </si>
  <si>
    <t>FAIXA_TURB_PAPEL_FILTRO_ÍMPAR</t>
  </si>
  <si>
    <t>TAXA_REMOÇÃO_PAR</t>
  </si>
  <si>
    <t>TAXA_REMOÇÃO_ÍMPAR</t>
  </si>
  <si>
    <t>TAXA_RECIR. _PAR</t>
  </si>
  <si>
    <t>TAXA_RECIR. _ÍMPAR</t>
  </si>
  <si>
    <t>Q_TOTAL</t>
  </si>
  <si>
    <t>%TOR</t>
  </si>
  <si>
    <t>%SM</t>
  </si>
  <si>
    <t>%BNN</t>
  </si>
  <si>
    <t>CARGA (CSV)</t>
  </si>
  <si>
    <t>FLOC GRAD 1ª Câmara</t>
  </si>
  <si>
    <t>11:30</t>
  </si>
  <si>
    <t>15:30</t>
  </si>
  <si>
    <t>17:30</t>
  </si>
  <si>
    <t>19:30</t>
  </si>
  <si>
    <t>21:30</t>
  </si>
  <si>
    <t>23:30</t>
  </si>
  <si>
    <t>03:30</t>
  </si>
  <si>
    <t>Sa (SOLUBILIDADE DO AR NA ÁGUA A 25ºC)</t>
  </si>
  <si>
    <t>Pa (PRESSÃO ATMOSFÉRICA - DF)</t>
  </si>
  <si>
    <t>f (TAXA DE EFICIÊNCIA DO SATURADOR)</t>
  </si>
  <si>
    <t>LADO PAR A/S (RELAÇÃO  MASSA DE AR / MASSA DE SST</t>
  </si>
  <si>
    <t xml:space="preserve"> LADO PAR Car(CONCENTRAÇÃO DE AR DISPONÍVEL NA ZONA DE MISTURA (mg/L))</t>
  </si>
  <si>
    <t xml:space="preserve"> LADO ÍMPAR Car(CONCENTRAÇÃO DE AR DISPONÍVEL NA ZONA DE MISTURA (mg/L))</t>
  </si>
  <si>
    <t>LADO PAR SST_coag (CONCENTRAÇÃO DE SÓLIDOS SUSPENSOS TOTAIS (mg/L)</t>
  </si>
  <si>
    <t>LADO ÍMPAR SST_coag (CONCENTRAÇÃO DE SÓLIDOS SUSPENSOS TOTAIS (mg/L)</t>
  </si>
  <si>
    <t>LADO ÍMPAR A/S (RELAÇÃO  MASSA DE AR / MASSA DE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</si>
</sst>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wrapText="1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/>
    <xf numFmtId="0" fontId="0" fillId="0" borderId="12" xfId="0" applyBorder="1"/>
    <xf numFmtId="0" fontId="0" fillId="0" borderId="2" xfId="0" applyBorder="1"/>
    <xf numFmtId="16" fontId="0" fillId="0" borderId="0" xfId="0" applyNumberFormat="1"/>
    <xf numFmtId="20" fontId="2" fillId="0" borderId="6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2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0" xfId="0" applyNumberFormat="1"/>
    <xf numFmtId="9" fontId="1" fillId="0" borderId="16" xfId="0" applyNumberFormat="1" applyFont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0" xfId="0" applyNumberFormat="1"/>
    <xf numFmtId="9" fontId="0" fillId="0" borderId="13" xfId="0" quotePrefix="1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14" fontId="6" fillId="0" borderId="9" xfId="0" applyNumberFormat="1" applyFont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0" xfId="0" applyNumberFormat="1" applyFont="1"/>
    <xf numFmtId="14" fontId="6" fillId="0" borderId="10" xfId="0" quotePrefix="1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0" xfId="0" applyNumberFormat="1"/>
    <xf numFmtId="2" fontId="0" fillId="0" borderId="16" xfId="0" applyNumberFormat="1" applyBorder="1" applyAlignment="1">
      <alignment horizontal="center" vertical="center"/>
    </xf>
    <xf numFmtId="2" fontId="0" fillId="0" borderId="10" xfId="0" quotePrefix="1" applyNumberForma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0" xfId="0" applyNumberFormat="1"/>
    <xf numFmtId="1" fontId="0" fillId="0" borderId="5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0" xfId="0" applyNumberFormat="1"/>
    <xf numFmtId="164" fontId="0" fillId="0" borderId="5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1" fontId="0" fillId="0" borderId="13" xfId="0" applyNumberForma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 wrapText="1"/>
    </xf>
    <xf numFmtId="9" fontId="0" fillId="0" borderId="13" xfId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 wrapText="1"/>
    </xf>
    <xf numFmtId="49" fontId="0" fillId="0" borderId="13" xfId="0" quotePrefix="1" applyNumberFormat="1" applyBorder="1" applyAlignment="1">
      <alignment horizontal="center" vertical="center"/>
    </xf>
    <xf numFmtId="49" fontId="0" fillId="0" borderId="15" xfId="0" quotePrefix="1" applyNumberFormat="1" applyBorder="1"/>
    <xf numFmtId="49" fontId="0" fillId="0" borderId="15" xfId="0" applyNumberFormat="1" applyBorder="1"/>
    <xf numFmtId="165" fontId="6" fillId="0" borderId="10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0" xfId="0" applyNumberFormat="1" applyFont="1"/>
    <xf numFmtId="49" fontId="0" fillId="0" borderId="5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0" xfId="0" quotePrefix="1" applyNumberFormat="1" applyBorder="1" applyAlignment="1">
      <alignment horizontal="center" vertical="center"/>
    </xf>
    <xf numFmtId="164" fontId="0" fillId="0" borderId="10" xfId="0" quotePrefix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B4EE-27AE-41E8-89D4-1980ACCC207C}">
  <dimension ref="B2:Y28"/>
  <sheetViews>
    <sheetView view="pageBreakPreview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46136</v>
      </c>
      <c r="E5" t="s">
        <v>6</v>
      </c>
      <c r="F5" t="s">
        <v>31</v>
      </c>
    </row>
    <row r="6" spans="2:25" x14ac:dyDescent="0.2">
      <c r="E6" t="s">
        <v>7</v>
      </c>
      <c r="F6" t="s">
        <v>32</v>
      </c>
    </row>
    <row r="7" spans="2:25" ht="15.75" thickBot="1" x14ac:dyDescent="0.25"/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2">
      <c r="B10" s="6">
        <v>0.3125</v>
      </c>
      <c r="C10" s="9">
        <v>1918</v>
      </c>
      <c r="D10" s="9" t="s">
        <v>33</v>
      </c>
      <c r="E10" s="9">
        <v>500</v>
      </c>
      <c r="F10" s="9">
        <v>1996</v>
      </c>
      <c r="G10" s="9" t="s">
        <v>34</v>
      </c>
      <c r="H10" s="9">
        <v>3.4</v>
      </c>
      <c r="I10" s="9">
        <v>90</v>
      </c>
      <c r="J10" s="9">
        <v>90</v>
      </c>
      <c r="K10" s="9">
        <v>90</v>
      </c>
      <c r="L10" s="9">
        <v>23.3</v>
      </c>
      <c r="M10" s="9">
        <v>6.8</v>
      </c>
      <c r="N10" s="9">
        <v>3.84</v>
      </c>
      <c r="O10" s="9">
        <v>16</v>
      </c>
      <c r="P10" s="9">
        <v>7.1</v>
      </c>
      <c r="Q10" s="9">
        <v>6.8</v>
      </c>
      <c r="R10" s="9">
        <v>8.1</v>
      </c>
      <c r="S10" s="9">
        <v>0.14000000000000001</v>
      </c>
      <c r="T10" s="9">
        <v>0.86</v>
      </c>
      <c r="U10" s="9">
        <v>6.9</v>
      </c>
      <c r="V10" s="9">
        <v>7.4</v>
      </c>
      <c r="W10" s="9">
        <v>0.14000000000000001</v>
      </c>
      <c r="X10" s="9">
        <v>0.87</v>
      </c>
    </row>
    <row r="11" spans="2:25" s="3" customFormat="1" ht="33" customHeight="1" x14ac:dyDescent="0.2">
      <c r="B11" s="7">
        <v>0.39583333333333331</v>
      </c>
      <c r="C11" s="10">
        <v>590</v>
      </c>
      <c r="D11" s="10" t="s">
        <v>33</v>
      </c>
      <c r="E11" s="10">
        <v>525</v>
      </c>
      <c r="F11" s="10">
        <v>1300</v>
      </c>
      <c r="G11" s="10" t="s">
        <v>34</v>
      </c>
      <c r="H11" s="10">
        <v>3.4</v>
      </c>
      <c r="I11" s="10">
        <v>90</v>
      </c>
      <c r="J11" s="10">
        <v>90</v>
      </c>
      <c r="K11" s="10">
        <v>90</v>
      </c>
      <c r="L11" s="10">
        <v>23.6</v>
      </c>
      <c r="M11" s="10">
        <v>6.8</v>
      </c>
      <c r="N11" s="10">
        <v>3.59</v>
      </c>
      <c r="O11" s="10">
        <v>14</v>
      </c>
      <c r="P11" s="10">
        <v>7.2</v>
      </c>
      <c r="Q11" s="10">
        <v>6.9</v>
      </c>
      <c r="R11" s="10">
        <v>8</v>
      </c>
      <c r="S11" s="10">
        <v>0.19</v>
      </c>
      <c r="T11" s="10">
        <v>1.23</v>
      </c>
      <c r="U11" s="10">
        <v>6.9</v>
      </c>
      <c r="V11" s="10">
        <v>6.8</v>
      </c>
      <c r="W11" s="10">
        <v>0.2</v>
      </c>
      <c r="X11" s="10">
        <v>1.62</v>
      </c>
    </row>
    <row r="12" spans="2:25" s="3" customFormat="1" ht="33" customHeight="1" x14ac:dyDescent="0.2">
      <c r="B12" s="7">
        <v>0.47916666666666669</v>
      </c>
      <c r="C12" s="10">
        <v>590</v>
      </c>
      <c r="D12" s="10" t="s">
        <v>33</v>
      </c>
      <c r="E12" s="10">
        <v>525</v>
      </c>
      <c r="F12" s="10">
        <v>1291</v>
      </c>
      <c r="G12" s="10" t="s">
        <v>34</v>
      </c>
      <c r="H12" s="10">
        <v>3.4</v>
      </c>
      <c r="I12" s="10">
        <v>90</v>
      </c>
      <c r="J12" s="10">
        <v>90</v>
      </c>
      <c r="K12" s="10">
        <v>90</v>
      </c>
      <c r="L12" s="10">
        <v>24.3</v>
      </c>
      <c r="M12" s="10">
        <v>6.7</v>
      </c>
      <c r="N12" s="10">
        <v>4.1500000000000004</v>
      </c>
      <c r="O12" s="10">
        <v>17</v>
      </c>
      <c r="P12" s="10">
        <v>7.4</v>
      </c>
      <c r="Q12" s="10">
        <v>6.9</v>
      </c>
      <c r="R12" s="10">
        <v>8.1999999999999993</v>
      </c>
      <c r="S12" s="10">
        <v>0.16</v>
      </c>
      <c r="T12" s="10">
        <v>1.52</v>
      </c>
      <c r="U12" s="10">
        <v>6.8</v>
      </c>
      <c r="V12" s="10">
        <v>7.4</v>
      </c>
      <c r="W12" s="10">
        <v>0.18</v>
      </c>
      <c r="X12" s="10">
        <v>2.2000000000000002</v>
      </c>
    </row>
    <row r="13" spans="2:25" s="3" customFormat="1" ht="33" customHeight="1" x14ac:dyDescent="0.2">
      <c r="B13" s="7">
        <v>0.5625</v>
      </c>
      <c r="C13" s="10">
        <v>590</v>
      </c>
      <c r="D13" s="10" t="s">
        <v>33</v>
      </c>
      <c r="E13" s="10">
        <v>525</v>
      </c>
      <c r="F13" s="10">
        <v>12190</v>
      </c>
      <c r="G13" s="10" t="s">
        <v>34</v>
      </c>
      <c r="H13" s="10">
        <v>3.4</v>
      </c>
      <c r="I13" s="10">
        <v>90</v>
      </c>
      <c r="J13" s="10">
        <v>90</v>
      </c>
      <c r="K13" s="10">
        <v>90</v>
      </c>
      <c r="L13" s="10">
        <v>24.8</v>
      </c>
      <c r="M13" s="10">
        <v>6.8</v>
      </c>
      <c r="N13" s="10">
        <v>4.68</v>
      </c>
      <c r="O13" s="10">
        <v>19</v>
      </c>
      <c r="P13" s="10">
        <v>7.9</v>
      </c>
      <c r="Q13" s="10">
        <v>6.9</v>
      </c>
      <c r="R13" s="10">
        <v>9.4</v>
      </c>
      <c r="S13" s="10">
        <v>0.14000000000000001</v>
      </c>
      <c r="T13" s="10">
        <v>1.64</v>
      </c>
      <c r="U13" s="10">
        <v>6.9</v>
      </c>
      <c r="V13" s="10">
        <v>8.1</v>
      </c>
      <c r="W13" s="10">
        <v>0.18</v>
      </c>
      <c r="X13" s="10">
        <v>1.51</v>
      </c>
    </row>
    <row r="14" spans="2:25" s="3" customFormat="1" ht="33" customHeight="1" x14ac:dyDescent="0.2">
      <c r="B14" s="7">
        <v>0.64583333333333337</v>
      </c>
      <c r="C14" s="10">
        <v>1240</v>
      </c>
      <c r="D14" s="10" t="s">
        <v>33</v>
      </c>
      <c r="E14" s="10">
        <v>500</v>
      </c>
      <c r="F14" s="10">
        <v>1980</v>
      </c>
      <c r="G14" s="10" t="s">
        <v>34</v>
      </c>
      <c r="H14" s="10">
        <v>3.4</v>
      </c>
      <c r="I14" s="10">
        <v>90</v>
      </c>
      <c r="J14" s="10">
        <v>90</v>
      </c>
      <c r="K14" s="10">
        <v>90</v>
      </c>
      <c r="L14" s="10">
        <v>25.4</v>
      </c>
      <c r="M14" s="10">
        <v>6.8</v>
      </c>
      <c r="N14" s="10">
        <v>4.08</v>
      </c>
      <c r="O14" s="10">
        <v>14</v>
      </c>
      <c r="P14" s="10">
        <v>6.9</v>
      </c>
      <c r="Q14" s="10">
        <v>6.8</v>
      </c>
      <c r="R14" s="10">
        <v>6.7</v>
      </c>
      <c r="S14" s="10">
        <v>0.23</v>
      </c>
      <c r="T14" s="10">
        <v>1.33</v>
      </c>
      <c r="U14" s="10">
        <v>6.7</v>
      </c>
      <c r="V14" s="10">
        <v>7.3</v>
      </c>
      <c r="W14" s="10">
        <v>0.25</v>
      </c>
      <c r="X14" s="10">
        <v>1.56</v>
      </c>
    </row>
    <row r="15" spans="2:25" s="3" customFormat="1" ht="33" customHeight="1" x14ac:dyDescent="0.2">
      <c r="B15" s="7">
        <v>0.72916666666666663</v>
      </c>
      <c r="C15" s="10">
        <v>1201</v>
      </c>
      <c r="D15" s="10" t="s">
        <v>33</v>
      </c>
      <c r="E15" s="10">
        <v>499.2</v>
      </c>
      <c r="F15" s="10">
        <v>1906</v>
      </c>
      <c r="G15" s="10" t="s">
        <v>34</v>
      </c>
      <c r="H15" s="10">
        <v>3.4</v>
      </c>
      <c r="I15" s="10">
        <v>90</v>
      </c>
      <c r="J15" s="10">
        <v>90</v>
      </c>
      <c r="K15" s="10">
        <v>90</v>
      </c>
      <c r="L15" s="10">
        <v>25</v>
      </c>
      <c r="M15" s="10">
        <v>6.7</v>
      </c>
      <c r="N15" s="10">
        <v>4.4000000000000004</v>
      </c>
      <c r="O15" s="10">
        <v>16</v>
      </c>
      <c r="P15" s="10">
        <v>5.7</v>
      </c>
      <c r="Q15" s="10">
        <v>6.7</v>
      </c>
      <c r="R15" s="10">
        <v>6</v>
      </c>
      <c r="S15" s="10">
        <v>0.16</v>
      </c>
      <c r="T15" s="10">
        <v>1.23</v>
      </c>
      <c r="U15" s="10">
        <v>6.7</v>
      </c>
      <c r="V15" s="10">
        <v>5.5</v>
      </c>
      <c r="W15" s="10">
        <v>0.21</v>
      </c>
      <c r="X15" s="10">
        <v>1.68</v>
      </c>
    </row>
    <row r="16" spans="2:25" s="3" customFormat="1" ht="33" customHeight="1" x14ac:dyDescent="0.2">
      <c r="B16" s="7">
        <v>0.8125</v>
      </c>
      <c r="C16" s="10">
        <v>1112</v>
      </c>
      <c r="D16" s="10">
        <v>86</v>
      </c>
      <c r="E16" s="10">
        <v>500</v>
      </c>
      <c r="F16" s="10">
        <v>1828</v>
      </c>
      <c r="G16" s="10" t="s">
        <v>34</v>
      </c>
      <c r="H16" s="10">
        <v>3.4</v>
      </c>
      <c r="I16" s="10">
        <v>90</v>
      </c>
      <c r="J16" s="10">
        <v>90</v>
      </c>
      <c r="K16" s="10">
        <v>90</v>
      </c>
      <c r="L16" s="10">
        <v>24.7</v>
      </c>
      <c r="M16" s="10">
        <v>6.8</v>
      </c>
      <c r="N16" s="10">
        <v>4.38</v>
      </c>
      <c r="O16" s="10">
        <v>15</v>
      </c>
      <c r="P16" s="10">
        <v>9.3000000000000007</v>
      </c>
      <c r="Q16" s="10">
        <v>6.8</v>
      </c>
      <c r="R16" s="10">
        <v>8.1</v>
      </c>
      <c r="S16" s="10">
        <v>0.24</v>
      </c>
      <c r="T16" s="10">
        <v>1.1100000000000001</v>
      </c>
      <c r="U16" s="10">
        <v>6.8</v>
      </c>
      <c r="V16" s="10">
        <v>9.8000000000000007</v>
      </c>
      <c r="W16" s="10">
        <v>0.28999999999999998</v>
      </c>
      <c r="X16" s="10">
        <v>1.91</v>
      </c>
    </row>
    <row r="17" spans="2:24" s="3" customFormat="1" ht="33" customHeight="1" x14ac:dyDescent="0.2">
      <c r="B17" s="7">
        <v>0.89583333333333337</v>
      </c>
      <c r="C17" s="10">
        <v>1232</v>
      </c>
      <c r="D17" s="10">
        <v>87</v>
      </c>
      <c r="E17" s="10">
        <v>500</v>
      </c>
      <c r="F17" s="10">
        <v>1845</v>
      </c>
      <c r="G17" s="10" t="s">
        <v>34</v>
      </c>
      <c r="H17" s="10">
        <v>3.4</v>
      </c>
      <c r="I17" s="10">
        <v>90</v>
      </c>
      <c r="J17" s="10">
        <v>90</v>
      </c>
      <c r="K17" s="10">
        <v>90</v>
      </c>
      <c r="L17" s="10">
        <v>24.5</v>
      </c>
      <c r="M17" s="10">
        <v>6.8</v>
      </c>
      <c r="N17" s="10">
        <v>4.21</v>
      </c>
      <c r="O17" s="10">
        <v>13</v>
      </c>
      <c r="P17" s="10">
        <v>8.6</v>
      </c>
      <c r="Q17" s="10">
        <v>6.8</v>
      </c>
      <c r="R17" s="10">
        <v>8.5</v>
      </c>
      <c r="S17" s="10">
        <v>0.2</v>
      </c>
      <c r="T17" s="10">
        <v>0.88</v>
      </c>
      <c r="U17" s="10">
        <v>6.8</v>
      </c>
      <c r="V17" s="10">
        <v>8.6999999999999993</v>
      </c>
      <c r="W17" s="10">
        <v>0.25</v>
      </c>
      <c r="X17" s="10">
        <v>1.0900000000000001</v>
      </c>
    </row>
    <row r="18" spans="2:24" s="3" customFormat="1" ht="33" customHeight="1" x14ac:dyDescent="0.2">
      <c r="B18" s="7">
        <v>0.97916666666666663</v>
      </c>
      <c r="C18" s="10">
        <v>1208</v>
      </c>
      <c r="D18" s="10">
        <v>85</v>
      </c>
      <c r="E18" s="10">
        <v>500</v>
      </c>
      <c r="F18" s="10">
        <v>1834</v>
      </c>
      <c r="G18" s="10" t="s">
        <v>34</v>
      </c>
      <c r="H18" s="10">
        <v>3.4</v>
      </c>
      <c r="I18" s="10">
        <v>90</v>
      </c>
      <c r="J18" s="10">
        <v>90</v>
      </c>
      <c r="K18" s="10">
        <v>90</v>
      </c>
      <c r="L18" s="10">
        <v>24.2</v>
      </c>
      <c r="M18" s="10">
        <v>6.7</v>
      </c>
      <c r="N18" s="10">
        <v>3.84</v>
      </c>
      <c r="O18" s="10">
        <v>15</v>
      </c>
      <c r="P18" s="10">
        <v>8.8000000000000007</v>
      </c>
      <c r="Q18" s="10">
        <v>6.8</v>
      </c>
      <c r="R18" s="10">
        <v>7.3</v>
      </c>
      <c r="S18" s="10">
        <v>0.21</v>
      </c>
      <c r="T18" s="10">
        <v>0.85</v>
      </c>
      <c r="U18" s="10">
        <v>6.8</v>
      </c>
      <c r="V18" s="10">
        <v>6.9</v>
      </c>
      <c r="W18" s="10">
        <v>0.17</v>
      </c>
      <c r="X18" s="10">
        <v>0.78</v>
      </c>
    </row>
    <row r="19" spans="2:24" s="3" customFormat="1" ht="33" customHeight="1" x14ac:dyDescent="0.2">
      <c r="B19" s="7">
        <v>6.25E-2</v>
      </c>
      <c r="C19" s="10">
        <v>1207</v>
      </c>
      <c r="D19" s="10">
        <v>88</v>
      </c>
      <c r="E19" s="10">
        <v>500</v>
      </c>
      <c r="F19" s="10">
        <v>1915</v>
      </c>
      <c r="G19" s="10" t="s">
        <v>34</v>
      </c>
      <c r="H19" s="10">
        <v>3.4</v>
      </c>
      <c r="I19" s="10">
        <v>90</v>
      </c>
      <c r="J19" s="10">
        <v>90</v>
      </c>
      <c r="K19" s="10">
        <v>90</v>
      </c>
      <c r="L19" s="10">
        <v>24.1</v>
      </c>
      <c r="M19" s="10">
        <v>6.8</v>
      </c>
      <c r="N19" s="10">
        <v>4.0199999999999996</v>
      </c>
      <c r="O19" s="10">
        <v>17</v>
      </c>
      <c r="P19" s="10">
        <v>9.4</v>
      </c>
      <c r="Q19" s="10">
        <v>6.8</v>
      </c>
      <c r="R19" s="10">
        <v>9.1</v>
      </c>
      <c r="S19" s="10">
        <v>0.16</v>
      </c>
      <c r="T19" s="10">
        <v>1.1399999999999999</v>
      </c>
      <c r="U19" s="10">
        <v>6.7</v>
      </c>
      <c r="V19" s="10">
        <v>7.1</v>
      </c>
      <c r="W19" s="10">
        <v>0.17</v>
      </c>
      <c r="X19" s="10">
        <v>1.2</v>
      </c>
    </row>
    <row r="20" spans="2:24" s="3" customFormat="1" ht="33" customHeight="1" x14ac:dyDescent="0.2">
      <c r="B20" s="7">
        <v>0.14583333333333334</v>
      </c>
      <c r="C20" s="10">
        <v>1229</v>
      </c>
      <c r="D20" s="10">
        <v>88</v>
      </c>
      <c r="E20" s="10">
        <v>500</v>
      </c>
      <c r="F20" s="10">
        <v>1824</v>
      </c>
      <c r="G20" s="10" t="s">
        <v>34</v>
      </c>
      <c r="H20" s="10">
        <v>3.4</v>
      </c>
      <c r="I20" s="10">
        <v>90</v>
      </c>
      <c r="J20" s="10">
        <v>90</v>
      </c>
      <c r="K20" s="10">
        <v>90</v>
      </c>
      <c r="L20" s="10">
        <v>23.9</v>
      </c>
      <c r="M20" s="10">
        <v>6.8</v>
      </c>
      <c r="N20" s="10">
        <v>3.98</v>
      </c>
      <c r="O20" s="10">
        <v>18</v>
      </c>
      <c r="P20" s="10">
        <v>9</v>
      </c>
      <c r="Q20" s="10">
        <v>6.8</v>
      </c>
      <c r="R20" s="10">
        <v>9.1999999999999993</v>
      </c>
      <c r="S20" s="10">
        <v>0.18</v>
      </c>
      <c r="T20" s="10">
        <v>0.97</v>
      </c>
      <c r="U20" s="10">
        <v>6.7</v>
      </c>
      <c r="V20" s="10">
        <v>8.6999999999999993</v>
      </c>
      <c r="W20" s="10">
        <v>0.21</v>
      </c>
      <c r="X20" s="10">
        <v>1.1399999999999999</v>
      </c>
    </row>
    <row r="21" spans="2:24" s="3" customFormat="1" ht="33" customHeight="1" thickBot="1" x14ac:dyDescent="0.25">
      <c r="B21" s="8">
        <v>0.22916666666666666</v>
      </c>
      <c r="C21" s="11">
        <v>1104</v>
      </c>
      <c r="D21" s="11">
        <v>81</v>
      </c>
      <c r="E21" s="11">
        <v>499</v>
      </c>
      <c r="F21" s="11">
        <v>1919</v>
      </c>
      <c r="G21" s="11" t="s">
        <v>34</v>
      </c>
      <c r="H21" s="11">
        <v>3.4</v>
      </c>
      <c r="I21" s="11">
        <v>90</v>
      </c>
      <c r="J21" s="11">
        <v>90</v>
      </c>
      <c r="K21" s="11">
        <v>90</v>
      </c>
      <c r="L21" s="11">
        <v>23.4</v>
      </c>
      <c r="M21" s="11">
        <v>6.8</v>
      </c>
      <c r="N21" s="11">
        <v>4.88</v>
      </c>
      <c r="O21" s="11">
        <v>18</v>
      </c>
      <c r="P21" s="11">
        <v>8.9</v>
      </c>
      <c r="Q21" s="11">
        <v>6.8</v>
      </c>
      <c r="R21" s="11">
        <v>9.4</v>
      </c>
      <c r="S21" s="11">
        <v>0.15</v>
      </c>
      <c r="T21" s="11">
        <v>0.86</v>
      </c>
      <c r="U21" s="11">
        <v>6.8</v>
      </c>
      <c r="V21" s="11">
        <v>7.8</v>
      </c>
      <c r="W21" s="11">
        <v>0.21</v>
      </c>
      <c r="X21" s="11">
        <v>1.01</v>
      </c>
    </row>
    <row r="23" spans="2:24" ht="27.75" customHeight="1" thickBot="1" x14ac:dyDescent="0.2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EB8C-5FF6-4FA1-9174-5E2C41C31285}">
  <dimension ref="B2:Y28"/>
  <sheetViews>
    <sheetView view="pageBreakPreview" topLeftCell="A9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46132</v>
      </c>
      <c r="E5" t="s">
        <v>6</v>
      </c>
      <c r="F5" t="s">
        <v>35</v>
      </c>
    </row>
    <row r="6" spans="2:25" x14ac:dyDescent="0.2">
      <c r="E6" t="s">
        <v>7</v>
      </c>
      <c r="F6" t="s">
        <v>36</v>
      </c>
    </row>
    <row r="7" spans="2:25" ht="15.75" thickBot="1" x14ac:dyDescent="0.25"/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2">
      <c r="B10" s="6">
        <v>0.3125</v>
      </c>
      <c r="C10" s="9">
        <v>1080</v>
      </c>
      <c r="D10" s="9" t="s">
        <v>33</v>
      </c>
      <c r="E10" s="9">
        <v>500.2</v>
      </c>
      <c r="F10" s="9">
        <v>1877</v>
      </c>
      <c r="G10" s="9" t="s">
        <v>34</v>
      </c>
      <c r="H10" s="9">
        <v>3.6</v>
      </c>
      <c r="I10" s="9">
        <v>90</v>
      </c>
      <c r="J10" s="9">
        <v>90</v>
      </c>
      <c r="K10" s="9">
        <v>90</v>
      </c>
      <c r="L10" s="9">
        <v>23.3</v>
      </c>
      <c r="M10" s="9">
        <v>6.8</v>
      </c>
      <c r="N10" s="9">
        <v>3.71</v>
      </c>
      <c r="O10" s="9">
        <v>15</v>
      </c>
      <c r="P10" s="9">
        <v>6.5</v>
      </c>
      <c r="Q10" s="9">
        <v>6.8</v>
      </c>
      <c r="R10" s="9">
        <v>6.5</v>
      </c>
      <c r="S10" s="9">
        <v>0.12</v>
      </c>
      <c r="T10" s="9">
        <v>0.76</v>
      </c>
      <c r="U10" s="9">
        <v>6.6</v>
      </c>
      <c r="V10" s="9">
        <v>6.8</v>
      </c>
      <c r="W10" s="9">
        <v>0.14000000000000001</v>
      </c>
      <c r="X10" s="9">
        <v>1.05</v>
      </c>
    </row>
    <row r="11" spans="2:25" s="3" customFormat="1" ht="33" customHeight="1" x14ac:dyDescent="0.2">
      <c r="B11" s="7">
        <v>0.39583333333333331</v>
      </c>
      <c r="C11" s="10">
        <v>1191.3</v>
      </c>
      <c r="D11" s="10" t="s">
        <v>33</v>
      </c>
      <c r="E11" s="10">
        <v>500.7</v>
      </c>
      <c r="F11" s="10">
        <v>1878</v>
      </c>
      <c r="G11" s="10" t="s">
        <v>34</v>
      </c>
      <c r="H11" s="10">
        <v>3.2</v>
      </c>
      <c r="I11" s="10">
        <v>90</v>
      </c>
      <c r="J11" s="10">
        <v>90</v>
      </c>
      <c r="K11" s="10">
        <v>90</v>
      </c>
      <c r="L11" s="10">
        <v>23.6</v>
      </c>
      <c r="M11" s="10">
        <v>6.8</v>
      </c>
      <c r="N11" s="10">
        <v>4.58</v>
      </c>
      <c r="O11" s="10">
        <v>21</v>
      </c>
      <c r="P11" s="10">
        <v>6.2</v>
      </c>
      <c r="Q11" s="10">
        <v>6.7</v>
      </c>
      <c r="R11" s="10">
        <v>8.1</v>
      </c>
      <c r="S11" s="10">
        <v>0.17</v>
      </c>
      <c r="T11" s="10">
        <v>0.86</v>
      </c>
      <c r="U11" s="10">
        <v>6.7</v>
      </c>
      <c r="V11" s="10">
        <v>7.3</v>
      </c>
      <c r="W11" s="10">
        <v>0.25</v>
      </c>
      <c r="X11" s="10">
        <v>1.21</v>
      </c>
    </row>
    <row r="12" spans="2:25" s="3" customFormat="1" ht="33" customHeight="1" x14ac:dyDescent="0.2">
      <c r="B12" s="7">
        <v>0.47916666666666669</v>
      </c>
      <c r="C12" s="10">
        <v>1191</v>
      </c>
      <c r="D12" s="10" t="s">
        <v>33</v>
      </c>
      <c r="E12" s="10">
        <v>500</v>
      </c>
      <c r="F12" s="10">
        <v>1889</v>
      </c>
      <c r="G12" s="10"/>
      <c r="H12" s="10">
        <v>3.2</v>
      </c>
      <c r="I12" s="10">
        <v>90</v>
      </c>
      <c r="J12" s="10">
        <v>90</v>
      </c>
      <c r="K12" s="10">
        <v>90</v>
      </c>
      <c r="L12" s="10">
        <v>24.2</v>
      </c>
      <c r="M12" s="10">
        <v>6.7</v>
      </c>
      <c r="N12" s="10">
        <v>4.37</v>
      </c>
      <c r="O12" s="10">
        <v>16</v>
      </c>
      <c r="P12" s="10">
        <v>6.2</v>
      </c>
      <c r="Q12" s="10">
        <v>6.7</v>
      </c>
      <c r="R12" s="10">
        <v>5.4</v>
      </c>
      <c r="S12" s="10">
        <v>0.15</v>
      </c>
      <c r="T12" s="10">
        <v>1.1000000000000001</v>
      </c>
      <c r="U12" s="10">
        <v>6.7</v>
      </c>
      <c r="V12" s="10">
        <v>6.1</v>
      </c>
      <c r="W12" s="10">
        <v>0.19</v>
      </c>
      <c r="X12" s="10">
        <v>1.18</v>
      </c>
    </row>
    <row r="13" spans="2:25" s="3" customFormat="1" ht="33" customHeight="1" x14ac:dyDescent="0.2">
      <c r="B13" s="7">
        <v>0.5625</v>
      </c>
      <c r="C13" s="10">
        <v>1236.4000000000001</v>
      </c>
      <c r="D13" s="10" t="s">
        <v>33</v>
      </c>
      <c r="E13" s="10">
        <v>499.4</v>
      </c>
      <c r="F13" s="10">
        <v>1881</v>
      </c>
      <c r="G13" s="10" t="s">
        <v>34</v>
      </c>
      <c r="H13" s="10">
        <v>3.4</v>
      </c>
      <c r="I13" s="10">
        <v>90</v>
      </c>
      <c r="J13" s="10">
        <v>90</v>
      </c>
      <c r="K13" s="10">
        <v>90</v>
      </c>
      <c r="L13" s="10">
        <v>24.7</v>
      </c>
      <c r="M13" s="10">
        <v>6.8</v>
      </c>
      <c r="N13" s="10">
        <v>4.6100000000000003</v>
      </c>
      <c r="O13" s="10">
        <v>16</v>
      </c>
      <c r="P13" s="10">
        <v>6.4</v>
      </c>
      <c r="Q13" s="10">
        <v>6.8</v>
      </c>
      <c r="R13" s="10">
        <v>7.3</v>
      </c>
      <c r="S13" s="10">
        <v>0.32</v>
      </c>
      <c r="T13" s="10">
        <v>1.38</v>
      </c>
      <c r="U13" s="10">
        <v>6.7</v>
      </c>
      <c r="V13" s="10">
        <v>6.8</v>
      </c>
      <c r="W13" s="10">
        <v>0.23</v>
      </c>
      <c r="X13" s="10">
        <v>2.48</v>
      </c>
    </row>
    <row r="14" spans="2:25" s="3" customFormat="1" ht="33" customHeight="1" x14ac:dyDescent="0.2">
      <c r="B14" s="7">
        <v>0.64583333333333337</v>
      </c>
      <c r="C14" s="10">
        <v>1768</v>
      </c>
      <c r="D14" s="10" t="s">
        <v>33</v>
      </c>
      <c r="E14" s="10">
        <v>499.9</v>
      </c>
      <c r="F14" s="10">
        <v>2364</v>
      </c>
      <c r="G14" s="10" t="s">
        <v>34</v>
      </c>
      <c r="H14" s="10">
        <v>3.4</v>
      </c>
      <c r="I14" s="10">
        <v>90</v>
      </c>
      <c r="J14" s="10">
        <v>90</v>
      </c>
      <c r="K14" s="10">
        <v>90</v>
      </c>
      <c r="L14" s="10">
        <v>25.2</v>
      </c>
      <c r="M14" s="10">
        <v>6.7</v>
      </c>
      <c r="N14" s="10">
        <v>3.95</v>
      </c>
      <c r="O14" s="10">
        <v>19</v>
      </c>
      <c r="P14" s="10">
        <v>6.6</v>
      </c>
      <c r="Q14" s="10">
        <v>6.7</v>
      </c>
      <c r="R14" s="10">
        <v>6.5</v>
      </c>
      <c r="S14" s="10">
        <v>0.25</v>
      </c>
      <c r="T14" s="10">
        <v>0.97</v>
      </c>
      <c r="U14" s="10">
        <v>6.7</v>
      </c>
      <c r="V14" s="10">
        <v>7.3</v>
      </c>
      <c r="W14" s="10">
        <v>0.34</v>
      </c>
      <c r="X14" s="10">
        <v>1.39</v>
      </c>
    </row>
    <row r="15" spans="2:25" s="3" customFormat="1" ht="33" customHeight="1" x14ac:dyDescent="0.2">
      <c r="B15" s="7">
        <v>0.72916666666666663</v>
      </c>
      <c r="C15" s="10">
        <v>1602</v>
      </c>
      <c r="D15" s="10" t="s">
        <v>33</v>
      </c>
      <c r="E15" s="10">
        <v>500</v>
      </c>
      <c r="F15" s="10">
        <v>2370</v>
      </c>
      <c r="G15" s="10" t="s">
        <v>34</v>
      </c>
      <c r="H15" s="10">
        <v>3.4</v>
      </c>
      <c r="I15" s="10">
        <v>90</v>
      </c>
      <c r="J15" s="10">
        <v>90</v>
      </c>
      <c r="K15" s="10">
        <v>90</v>
      </c>
      <c r="L15" s="10">
        <v>25.1</v>
      </c>
      <c r="M15" s="10">
        <v>6.7</v>
      </c>
      <c r="N15" s="10">
        <v>3.54</v>
      </c>
      <c r="O15" s="10">
        <v>18</v>
      </c>
      <c r="P15" s="10">
        <v>6.2</v>
      </c>
      <c r="Q15" s="10">
        <v>6.8</v>
      </c>
      <c r="R15" s="10">
        <v>7</v>
      </c>
      <c r="S15" s="10">
        <v>0.2</v>
      </c>
      <c r="T15" s="10">
        <v>0.94</v>
      </c>
      <c r="U15" s="10">
        <v>6.7</v>
      </c>
      <c r="V15" s="10">
        <v>6.9</v>
      </c>
      <c r="W15" s="10">
        <v>0.2</v>
      </c>
      <c r="X15" s="10">
        <v>1.36</v>
      </c>
    </row>
    <row r="16" spans="2:25" s="3" customFormat="1" ht="33" customHeight="1" x14ac:dyDescent="0.2">
      <c r="B16" s="7">
        <v>0.8125</v>
      </c>
      <c r="C16" s="10">
        <v>1540</v>
      </c>
      <c r="D16" s="10">
        <v>70</v>
      </c>
      <c r="E16" s="10">
        <v>500</v>
      </c>
      <c r="F16" s="10">
        <v>2375</v>
      </c>
      <c r="G16" s="10" t="s">
        <v>34</v>
      </c>
      <c r="H16" s="10">
        <v>3.4</v>
      </c>
      <c r="I16" s="10">
        <v>90</v>
      </c>
      <c r="J16" s="10">
        <v>90</v>
      </c>
      <c r="K16" s="10">
        <v>90</v>
      </c>
      <c r="L16" s="10">
        <v>25.1</v>
      </c>
      <c r="M16" s="10">
        <v>6</v>
      </c>
      <c r="N16" s="10" t="s">
        <v>37</v>
      </c>
      <c r="O16" s="10">
        <v>16</v>
      </c>
      <c r="P16" s="10">
        <v>8.4</v>
      </c>
      <c r="Q16" s="10">
        <v>6.8</v>
      </c>
      <c r="R16" s="10">
        <v>9.3000000000000007</v>
      </c>
      <c r="S16" s="10">
        <v>0.18</v>
      </c>
      <c r="T16" s="10">
        <v>0.92</v>
      </c>
      <c r="U16" s="10">
        <v>6.9</v>
      </c>
      <c r="V16" s="10">
        <v>8.6999999999999993</v>
      </c>
      <c r="W16" s="10">
        <v>0.17</v>
      </c>
      <c r="X16" s="10">
        <v>1.23</v>
      </c>
    </row>
    <row r="17" spans="2:24" s="3" customFormat="1" ht="33" customHeight="1" x14ac:dyDescent="0.2">
      <c r="B17" s="7">
        <v>0.89583333333333337</v>
      </c>
      <c r="C17" s="10">
        <v>1600</v>
      </c>
      <c r="D17" s="10">
        <v>80</v>
      </c>
      <c r="E17" s="10">
        <v>500</v>
      </c>
      <c r="F17" s="10">
        <v>2364</v>
      </c>
      <c r="G17" s="10" t="s">
        <v>34</v>
      </c>
      <c r="H17" s="10">
        <v>3.11</v>
      </c>
      <c r="I17" s="10">
        <v>90</v>
      </c>
      <c r="J17" s="10">
        <v>90</v>
      </c>
      <c r="K17" s="10">
        <v>90</v>
      </c>
      <c r="L17" s="10">
        <v>24.9</v>
      </c>
      <c r="M17" s="10">
        <v>6.8</v>
      </c>
      <c r="N17" s="10">
        <v>3.58</v>
      </c>
      <c r="O17" s="10">
        <v>15</v>
      </c>
      <c r="P17" s="10">
        <v>10.6</v>
      </c>
      <c r="Q17" s="10">
        <v>6.8</v>
      </c>
      <c r="R17" s="10">
        <v>8.4</v>
      </c>
      <c r="S17" s="10">
        <v>0.31</v>
      </c>
      <c r="T17" s="10">
        <v>0.96</v>
      </c>
      <c r="U17" s="10">
        <v>6.8</v>
      </c>
      <c r="V17" s="10">
        <v>9.6</v>
      </c>
      <c r="W17" s="10">
        <v>0.2</v>
      </c>
      <c r="X17" s="10">
        <v>1.1599999999999999</v>
      </c>
    </row>
    <row r="18" spans="2:24" s="3" customFormat="1" ht="33" customHeight="1" x14ac:dyDescent="0.2">
      <c r="B18" s="7">
        <v>0.97916666666666663</v>
      </c>
      <c r="C18" s="10" t="s">
        <v>33</v>
      </c>
      <c r="D18" s="10" t="s">
        <v>33</v>
      </c>
      <c r="E18" s="10" t="s">
        <v>33</v>
      </c>
      <c r="F18" s="10" t="s">
        <v>33</v>
      </c>
      <c r="G18" s="10" t="s">
        <v>33</v>
      </c>
      <c r="H18" s="10" t="s">
        <v>33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33</v>
      </c>
      <c r="N18" s="10" t="s">
        <v>33</v>
      </c>
      <c r="O18" s="10" t="s">
        <v>33</v>
      </c>
      <c r="P18" s="10" t="s">
        <v>33</v>
      </c>
      <c r="Q18" s="10" t="s">
        <v>33</v>
      </c>
      <c r="R18" s="10" t="s">
        <v>33</v>
      </c>
      <c r="S18" s="10" t="s">
        <v>33</v>
      </c>
      <c r="T18" s="10" t="s">
        <v>33</v>
      </c>
      <c r="U18" s="10" t="s">
        <v>33</v>
      </c>
      <c r="V18" s="10" t="s">
        <v>33</v>
      </c>
      <c r="W18" s="10" t="s">
        <v>33</v>
      </c>
      <c r="X18" s="10" t="s">
        <v>33</v>
      </c>
    </row>
    <row r="19" spans="2:24" s="3" customFormat="1" ht="33" customHeight="1" x14ac:dyDescent="0.2">
      <c r="B19" s="7">
        <v>6.25E-2</v>
      </c>
      <c r="C19" s="10">
        <v>1150</v>
      </c>
      <c r="D19" s="10">
        <v>90</v>
      </c>
      <c r="E19" s="10">
        <v>500</v>
      </c>
      <c r="F19" s="10">
        <v>1822</v>
      </c>
      <c r="G19" s="10" t="s">
        <v>34</v>
      </c>
      <c r="H19" s="10">
        <v>3.4</v>
      </c>
      <c r="I19" s="10">
        <v>90</v>
      </c>
      <c r="J19" s="10">
        <v>90</v>
      </c>
      <c r="K19" s="10">
        <v>90</v>
      </c>
      <c r="L19" s="10">
        <v>24.5</v>
      </c>
      <c r="M19" s="10">
        <v>6.8</v>
      </c>
      <c r="N19" s="10">
        <v>3.61</v>
      </c>
      <c r="O19" s="10">
        <v>14</v>
      </c>
      <c r="P19" s="10">
        <v>7.3</v>
      </c>
      <c r="Q19" s="10">
        <v>6.9</v>
      </c>
      <c r="R19" s="10">
        <v>9.9</v>
      </c>
      <c r="S19" s="10">
        <v>0.17</v>
      </c>
      <c r="T19" s="10">
        <v>1.18</v>
      </c>
      <c r="U19" s="10">
        <v>6.9</v>
      </c>
      <c r="V19" s="10">
        <v>9</v>
      </c>
      <c r="W19" s="10">
        <v>0.16</v>
      </c>
      <c r="X19" s="10">
        <v>1.1000000000000001</v>
      </c>
    </row>
    <row r="20" spans="2:24" s="3" customFormat="1" ht="33" customHeight="1" x14ac:dyDescent="0.2">
      <c r="B20" s="7">
        <v>0.14583333333333334</v>
      </c>
      <c r="C20" s="10">
        <v>1167</v>
      </c>
      <c r="D20" s="10" t="s">
        <v>33</v>
      </c>
      <c r="E20" s="10">
        <v>500</v>
      </c>
      <c r="F20" s="10">
        <v>1833</v>
      </c>
      <c r="G20" s="10" t="s">
        <v>34</v>
      </c>
      <c r="H20" s="10">
        <v>3.4</v>
      </c>
      <c r="I20" s="10">
        <v>90</v>
      </c>
      <c r="J20" s="10">
        <v>90</v>
      </c>
      <c r="K20" s="10">
        <v>90</v>
      </c>
      <c r="L20" s="10">
        <v>23.6</v>
      </c>
      <c r="M20" s="10">
        <v>6.8</v>
      </c>
      <c r="N20" s="10">
        <v>3.87</v>
      </c>
      <c r="O20" s="10">
        <v>16</v>
      </c>
      <c r="P20" s="10">
        <v>10.5</v>
      </c>
      <c r="Q20" s="10">
        <v>7</v>
      </c>
      <c r="R20" s="10">
        <v>10.7</v>
      </c>
      <c r="S20" s="10">
        <v>0.21</v>
      </c>
      <c r="T20" s="10">
        <v>0.83</v>
      </c>
      <c r="U20" s="10">
        <v>7</v>
      </c>
      <c r="V20" s="10">
        <v>10.6</v>
      </c>
      <c r="W20" s="10">
        <v>0.19</v>
      </c>
      <c r="X20" s="10">
        <v>0.83</v>
      </c>
    </row>
    <row r="21" spans="2:24" s="3" customFormat="1" ht="33" customHeight="1" thickBot="1" x14ac:dyDescent="0.25">
      <c r="B21" s="8">
        <v>0.22916666666666666</v>
      </c>
      <c r="C21" s="11">
        <v>1156</v>
      </c>
      <c r="D21" s="11" t="s">
        <v>33</v>
      </c>
      <c r="E21" s="11">
        <v>500</v>
      </c>
      <c r="F21" s="11">
        <v>1830</v>
      </c>
      <c r="G21" s="11" t="s">
        <v>34</v>
      </c>
      <c r="H21" s="11">
        <v>3.4</v>
      </c>
      <c r="I21" s="11">
        <v>90</v>
      </c>
      <c r="J21" s="11">
        <v>90</v>
      </c>
      <c r="K21" s="11">
        <v>90</v>
      </c>
      <c r="L21" s="11">
        <v>23.3</v>
      </c>
      <c r="M21" s="11">
        <v>6.8</v>
      </c>
      <c r="N21" s="11">
        <v>3.76</v>
      </c>
      <c r="O21" s="11">
        <v>15</v>
      </c>
      <c r="P21" s="11">
        <v>9.9</v>
      </c>
      <c r="Q21" s="11">
        <v>6.9</v>
      </c>
      <c r="R21" s="11">
        <v>11.4</v>
      </c>
      <c r="S21" s="11">
        <v>0.21</v>
      </c>
      <c r="T21" s="11">
        <v>0.91</v>
      </c>
      <c r="U21" s="11">
        <v>7</v>
      </c>
      <c r="V21" s="11">
        <v>12.6</v>
      </c>
      <c r="W21" s="11">
        <v>0.28999999999999998</v>
      </c>
      <c r="X21" s="11">
        <v>1.1299999999999999</v>
      </c>
    </row>
    <row r="23" spans="2:24" ht="27.75" customHeight="1" thickBot="1" x14ac:dyDescent="0.2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0AB4-9016-4FB5-B808-EAF470CBF96D}">
  <dimension ref="B2:Y28"/>
  <sheetViews>
    <sheetView view="pageBreakPreview" topLeftCell="A8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46131</v>
      </c>
      <c r="E5" t="s">
        <v>6</v>
      </c>
      <c r="F5" t="s">
        <v>38</v>
      </c>
    </row>
    <row r="6" spans="2:25" x14ac:dyDescent="0.2">
      <c r="E6" t="s">
        <v>7</v>
      </c>
      <c r="F6" t="s">
        <v>32</v>
      </c>
    </row>
    <row r="7" spans="2:25" ht="15.75" thickBot="1" x14ac:dyDescent="0.25"/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2">
      <c r="B10" s="6">
        <v>0.3125</v>
      </c>
      <c r="C10" s="9">
        <v>560</v>
      </c>
      <c r="D10" s="9">
        <v>87</v>
      </c>
      <c r="E10" s="9">
        <v>525</v>
      </c>
      <c r="F10" s="9">
        <v>1210</v>
      </c>
      <c r="G10" s="9" t="s">
        <v>34</v>
      </c>
      <c r="H10" s="9">
        <v>3.6</v>
      </c>
      <c r="I10" s="9">
        <v>1435</v>
      </c>
      <c r="J10" s="9">
        <v>1435</v>
      </c>
      <c r="K10" s="9">
        <v>1435</v>
      </c>
      <c r="L10" s="9">
        <v>23.6</v>
      </c>
      <c r="M10" s="9">
        <v>6.8</v>
      </c>
      <c r="N10" s="9">
        <v>4.2699999999999996</v>
      </c>
      <c r="O10" s="9">
        <v>20</v>
      </c>
      <c r="P10" s="9">
        <v>9.1999999999999993</v>
      </c>
      <c r="Q10" s="9">
        <v>6.9</v>
      </c>
      <c r="R10" s="9">
        <v>10.8</v>
      </c>
      <c r="S10" s="9">
        <v>0.18</v>
      </c>
      <c r="T10" s="9">
        <v>0.83</v>
      </c>
      <c r="U10" s="9">
        <v>6.9</v>
      </c>
      <c r="V10" s="9">
        <v>10.199999999999999</v>
      </c>
      <c r="W10" s="9">
        <v>0.13</v>
      </c>
      <c r="X10" s="9">
        <v>0.99</v>
      </c>
    </row>
    <row r="11" spans="2:25" s="3" customFormat="1" ht="33" customHeight="1" x14ac:dyDescent="0.2">
      <c r="B11" s="7">
        <v>0.39583333333333331</v>
      </c>
      <c r="C11" s="10">
        <v>530</v>
      </c>
      <c r="D11" s="10">
        <v>82</v>
      </c>
      <c r="E11" s="10">
        <v>528</v>
      </c>
      <c r="F11" s="10">
        <v>1166</v>
      </c>
      <c r="G11" s="10" t="s">
        <v>34</v>
      </c>
      <c r="H11" s="10">
        <v>3.6</v>
      </c>
      <c r="I11" s="10">
        <v>1435</v>
      </c>
      <c r="J11" s="10">
        <v>1435</v>
      </c>
      <c r="K11" s="10">
        <v>1435</v>
      </c>
      <c r="L11" s="10">
        <v>23.8</v>
      </c>
      <c r="M11" s="10">
        <v>6.8</v>
      </c>
      <c r="N11" s="10">
        <v>4.76</v>
      </c>
      <c r="O11" s="10">
        <v>17</v>
      </c>
      <c r="P11" s="10">
        <v>14.1</v>
      </c>
      <c r="Q11" s="10">
        <v>7</v>
      </c>
      <c r="R11" s="10">
        <v>15</v>
      </c>
      <c r="S11" s="10">
        <v>0.15</v>
      </c>
      <c r="T11" s="10">
        <v>0.77</v>
      </c>
      <c r="U11" s="10">
        <v>7</v>
      </c>
      <c r="V11" s="10">
        <v>10.5</v>
      </c>
      <c r="W11" s="10">
        <v>0.13</v>
      </c>
      <c r="X11" s="10">
        <v>0.84</v>
      </c>
    </row>
    <row r="12" spans="2:25" s="3" customFormat="1" ht="33" customHeight="1" x14ac:dyDescent="0.2">
      <c r="B12" s="7">
        <v>0.47916666666666669</v>
      </c>
      <c r="C12" s="10">
        <v>551</v>
      </c>
      <c r="D12" s="10">
        <v>82</v>
      </c>
      <c r="E12" s="10">
        <v>528</v>
      </c>
      <c r="F12" s="10">
        <v>1164</v>
      </c>
      <c r="G12" s="10" t="s">
        <v>34</v>
      </c>
      <c r="H12" s="10">
        <v>3.6</v>
      </c>
      <c r="I12" s="10">
        <v>1435</v>
      </c>
      <c r="J12" s="10">
        <v>1435</v>
      </c>
      <c r="K12" s="10">
        <v>1435</v>
      </c>
      <c r="L12" s="10">
        <v>24.2</v>
      </c>
      <c r="M12" s="10">
        <v>6.8</v>
      </c>
      <c r="N12" s="10">
        <v>3.85</v>
      </c>
      <c r="O12" s="10">
        <v>15</v>
      </c>
      <c r="P12" s="10">
        <v>12.2</v>
      </c>
      <c r="Q12" s="10">
        <v>6.9</v>
      </c>
      <c r="R12" s="10">
        <v>15</v>
      </c>
      <c r="S12" s="10">
        <v>0.18</v>
      </c>
      <c r="T12" s="10">
        <v>0.72</v>
      </c>
      <c r="U12" s="10">
        <v>6.9</v>
      </c>
      <c r="V12" s="10">
        <v>13.2</v>
      </c>
      <c r="W12" s="10">
        <v>0.19</v>
      </c>
      <c r="X12" s="10">
        <v>0.75</v>
      </c>
    </row>
    <row r="13" spans="2:25" s="3" customFormat="1" ht="33" customHeight="1" x14ac:dyDescent="0.2">
      <c r="B13" s="7">
        <v>0.5625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2:25" s="3" customFormat="1" ht="33" customHeight="1" x14ac:dyDescent="0.2">
      <c r="B14" s="7">
        <v>0.64583333333333337</v>
      </c>
      <c r="C14" s="10">
        <v>542</v>
      </c>
      <c r="D14" s="10">
        <v>89</v>
      </c>
      <c r="E14" s="10">
        <v>528</v>
      </c>
      <c r="F14" s="10">
        <v>1249</v>
      </c>
      <c r="G14" s="10" t="s">
        <v>34</v>
      </c>
      <c r="H14" s="10">
        <v>3.6</v>
      </c>
      <c r="I14" s="10">
        <v>1435</v>
      </c>
      <c r="J14" s="10">
        <v>1435</v>
      </c>
      <c r="K14" s="10">
        <v>1435</v>
      </c>
      <c r="L14" s="10">
        <v>26.1</v>
      </c>
      <c r="M14" s="10">
        <v>6.9</v>
      </c>
      <c r="N14" s="10">
        <v>4.41</v>
      </c>
      <c r="O14" s="10">
        <v>16</v>
      </c>
      <c r="P14" s="10">
        <v>9.8000000000000007</v>
      </c>
      <c r="Q14" s="10">
        <v>6.9</v>
      </c>
      <c r="R14" s="10">
        <v>10.3</v>
      </c>
      <c r="S14" s="10">
        <v>0.36</v>
      </c>
      <c r="T14" s="10">
        <v>0.7</v>
      </c>
      <c r="U14" s="10">
        <v>7</v>
      </c>
      <c r="V14" s="10">
        <v>10.4</v>
      </c>
      <c r="W14" s="10">
        <v>0.34</v>
      </c>
      <c r="X14" s="10">
        <v>0.68</v>
      </c>
    </row>
    <row r="15" spans="2:25" s="3" customFormat="1" ht="33" customHeight="1" x14ac:dyDescent="0.2">
      <c r="B15" s="7">
        <v>0.72916666666666663</v>
      </c>
      <c r="C15" s="10">
        <v>1270</v>
      </c>
      <c r="D15" s="10">
        <v>82</v>
      </c>
      <c r="E15" s="10">
        <v>500</v>
      </c>
      <c r="F15" s="10">
        <v>1818</v>
      </c>
      <c r="G15" s="10" t="s">
        <v>34</v>
      </c>
      <c r="H15" s="10">
        <v>3.6</v>
      </c>
      <c r="I15" s="10">
        <v>1435</v>
      </c>
      <c r="J15" s="10">
        <v>1435</v>
      </c>
      <c r="K15" s="10"/>
      <c r="L15" s="10">
        <v>25.5</v>
      </c>
      <c r="M15" s="10">
        <v>6.8</v>
      </c>
      <c r="N15" s="10">
        <v>4.2</v>
      </c>
      <c r="O15" s="10">
        <v>17</v>
      </c>
      <c r="P15" s="10">
        <v>4.7</v>
      </c>
      <c r="Q15" s="10">
        <v>6.7</v>
      </c>
      <c r="R15" s="10">
        <v>6.9</v>
      </c>
      <c r="S15" s="10">
        <v>0.28000000000000003</v>
      </c>
      <c r="T15" s="10">
        <v>0.75</v>
      </c>
      <c r="U15" s="10">
        <v>6.7</v>
      </c>
      <c r="V15" s="10">
        <v>7.8</v>
      </c>
      <c r="W15" s="10">
        <v>0.15</v>
      </c>
      <c r="X15" s="10">
        <v>0.76</v>
      </c>
    </row>
    <row r="16" spans="2:25" s="3" customFormat="1" ht="33" customHeight="1" x14ac:dyDescent="0.2">
      <c r="B16" s="7">
        <v>0.8125</v>
      </c>
      <c r="C16" s="10">
        <v>1234</v>
      </c>
      <c r="D16" s="10">
        <v>82</v>
      </c>
      <c r="E16" s="10">
        <v>500</v>
      </c>
      <c r="F16" s="10">
        <v>1814</v>
      </c>
      <c r="G16" s="10" t="s">
        <v>34</v>
      </c>
      <c r="H16" s="10">
        <v>3.6</v>
      </c>
      <c r="I16" s="10">
        <v>1435</v>
      </c>
      <c r="J16" s="10">
        <v>1435</v>
      </c>
      <c r="K16" s="10">
        <v>1435</v>
      </c>
      <c r="L16" s="10">
        <v>14.9</v>
      </c>
      <c r="M16" s="10">
        <v>6.7</v>
      </c>
      <c r="N16" s="10">
        <v>4.07</v>
      </c>
      <c r="O16" s="10">
        <v>16</v>
      </c>
      <c r="P16" s="10">
        <v>8</v>
      </c>
      <c r="Q16" s="10">
        <v>7.1</v>
      </c>
      <c r="R16" s="10">
        <v>6.8</v>
      </c>
      <c r="S16" s="10">
        <v>0.17</v>
      </c>
      <c r="T16" s="10">
        <v>0.66</v>
      </c>
      <c r="U16" s="10">
        <v>6.7</v>
      </c>
      <c r="V16" s="10">
        <v>7.5</v>
      </c>
      <c r="W16" s="10">
        <v>0.24</v>
      </c>
      <c r="X16" s="10">
        <v>0.75</v>
      </c>
    </row>
    <row r="17" spans="2:24" s="3" customFormat="1" ht="33" customHeight="1" x14ac:dyDescent="0.2">
      <c r="B17" s="7">
        <v>0.89583333333333337</v>
      </c>
      <c r="C17" s="10">
        <v>1159</v>
      </c>
      <c r="D17" s="10">
        <v>90</v>
      </c>
      <c r="E17" s="10">
        <v>498</v>
      </c>
      <c r="F17" s="10">
        <v>1821</v>
      </c>
      <c r="G17" s="10" t="s">
        <v>34</v>
      </c>
      <c r="H17" s="10">
        <v>3.6</v>
      </c>
      <c r="I17" s="10">
        <v>1435</v>
      </c>
      <c r="J17" s="10">
        <v>1435</v>
      </c>
      <c r="K17" s="10">
        <v>1435</v>
      </c>
      <c r="L17" s="10">
        <v>24.6</v>
      </c>
      <c r="M17" s="10">
        <v>6.8</v>
      </c>
      <c r="N17" s="10">
        <v>5.7</v>
      </c>
      <c r="O17" s="10">
        <v>19</v>
      </c>
      <c r="P17" s="10">
        <v>8.4</v>
      </c>
      <c r="Q17" s="10">
        <v>6.8</v>
      </c>
      <c r="R17" s="10">
        <v>8.1</v>
      </c>
      <c r="S17" s="10">
        <v>0.3</v>
      </c>
      <c r="T17" s="10">
        <v>0.65</v>
      </c>
      <c r="U17" s="10">
        <v>6.7</v>
      </c>
      <c r="V17" s="10">
        <v>7.9</v>
      </c>
      <c r="W17" s="10">
        <v>0.15</v>
      </c>
      <c r="X17" s="10">
        <v>1.27</v>
      </c>
    </row>
    <row r="18" spans="2:24" s="3" customFormat="1" ht="33" customHeight="1" x14ac:dyDescent="0.2">
      <c r="B18" s="7">
        <v>0.97916666666666663</v>
      </c>
      <c r="C18" s="10">
        <v>1148</v>
      </c>
      <c r="D18" s="10">
        <v>80</v>
      </c>
      <c r="E18" s="10">
        <v>500</v>
      </c>
      <c r="F18" s="10">
        <v>1826</v>
      </c>
      <c r="G18" s="10" t="s">
        <v>34</v>
      </c>
      <c r="H18" s="10">
        <v>3.6</v>
      </c>
      <c r="I18" s="10">
        <v>1435</v>
      </c>
      <c r="J18" s="10">
        <v>1435</v>
      </c>
      <c r="K18" s="10">
        <v>1435</v>
      </c>
      <c r="L18" s="10">
        <v>24</v>
      </c>
      <c r="M18" s="10">
        <v>6.8</v>
      </c>
      <c r="N18" s="10">
        <v>3.68</v>
      </c>
      <c r="O18" s="10">
        <v>15</v>
      </c>
      <c r="P18" s="10">
        <v>9.4</v>
      </c>
      <c r="Q18" s="10">
        <v>6.7</v>
      </c>
      <c r="R18" s="10">
        <v>8.8000000000000007</v>
      </c>
      <c r="S18" s="10">
        <v>0.14000000000000001</v>
      </c>
      <c r="T18" s="10">
        <v>0.6</v>
      </c>
      <c r="U18" s="10">
        <v>6.6</v>
      </c>
      <c r="V18" s="10">
        <v>8.3000000000000007</v>
      </c>
      <c r="W18" s="10">
        <v>0.19</v>
      </c>
      <c r="X18" s="10">
        <v>0.75</v>
      </c>
    </row>
    <row r="19" spans="2:24" s="3" customFormat="1" ht="33" customHeight="1" x14ac:dyDescent="0.2">
      <c r="B19" s="7">
        <v>6.25E-2</v>
      </c>
      <c r="C19" s="10">
        <v>1146</v>
      </c>
      <c r="D19" s="10">
        <v>88</v>
      </c>
      <c r="E19" s="10">
        <v>500</v>
      </c>
      <c r="F19" s="10">
        <v>1814</v>
      </c>
      <c r="G19" s="10" t="s">
        <v>34</v>
      </c>
      <c r="H19" s="10">
        <v>3.6</v>
      </c>
      <c r="I19" s="10">
        <v>1435</v>
      </c>
      <c r="J19" s="10">
        <v>1435</v>
      </c>
      <c r="K19" s="10">
        <v>1435</v>
      </c>
      <c r="L19" s="10">
        <v>24.1</v>
      </c>
      <c r="M19" s="10">
        <v>6.7</v>
      </c>
      <c r="N19" s="10">
        <v>4.57</v>
      </c>
      <c r="O19" s="10">
        <v>17</v>
      </c>
      <c r="P19" s="10">
        <v>7.2</v>
      </c>
      <c r="Q19" s="10">
        <v>6.7</v>
      </c>
      <c r="R19" s="10">
        <v>7.7</v>
      </c>
      <c r="S19" s="10">
        <v>0.22</v>
      </c>
      <c r="T19" s="10">
        <v>0.65</v>
      </c>
      <c r="U19" s="10">
        <v>6.6</v>
      </c>
      <c r="V19" s="10">
        <v>7.5</v>
      </c>
      <c r="W19" s="10">
        <v>0.21</v>
      </c>
      <c r="X19" s="10">
        <v>0.79</v>
      </c>
    </row>
    <row r="20" spans="2:24" s="3" customFormat="1" ht="33" customHeight="1" x14ac:dyDescent="0.2">
      <c r="B20" s="7">
        <v>0.14583333333333334</v>
      </c>
      <c r="C20" s="10">
        <v>1089</v>
      </c>
      <c r="D20" s="10">
        <v>87</v>
      </c>
      <c r="E20" s="10">
        <v>500</v>
      </c>
      <c r="F20" s="10">
        <v>1830</v>
      </c>
      <c r="G20" s="10" t="s">
        <v>34</v>
      </c>
      <c r="H20" s="10">
        <v>3.6</v>
      </c>
      <c r="I20" s="10">
        <v>1435</v>
      </c>
      <c r="J20" s="10">
        <v>1435</v>
      </c>
      <c r="K20" s="10">
        <v>1435</v>
      </c>
      <c r="L20" s="10">
        <v>24</v>
      </c>
      <c r="M20" s="10">
        <v>6.7</v>
      </c>
      <c r="N20" s="10">
        <v>6.79</v>
      </c>
      <c r="O20" s="10">
        <v>15</v>
      </c>
      <c r="P20" s="10">
        <v>9.1999999999999993</v>
      </c>
      <c r="Q20" s="10">
        <v>6.7</v>
      </c>
      <c r="R20" s="10">
        <v>9.5</v>
      </c>
      <c r="S20" s="10">
        <v>0.18</v>
      </c>
      <c r="T20" s="10">
        <v>0.79</v>
      </c>
      <c r="U20" s="10">
        <v>6.6</v>
      </c>
      <c r="V20" s="10">
        <v>9.6</v>
      </c>
      <c r="W20" s="10">
        <v>0.21</v>
      </c>
      <c r="X20" s="10">
        <v>1</v>
      </c>
    </row>
    <row r="21" spans="2:24" s="3" customFormat="1" ht="33" customHeight="1" thickBot="1" x14ac:dyDescent="0.25">
      <c r="B21" s="8">
        <v>0.22916666666666666</v>
      </c>
      <c r="C21" s="11">
        <v>1215</v>
      </c>
      <c r="D21" s="11">
        <v>86</v>
      </c>
      <c r="E21" s="11">
        <v>499</v>
      </c>
      <c r="F21" s="11">
        <v>1809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23.5</v>
      </c>
      <c r="M21" s="11">
        <v>6.6</v>
      </c>
      <c r="N21" s="11">
        <v>3.65</v>
      </c>
      <c r="O21" s="11">
        <v>17</v>
      </c>
      <c r="P21" s="11">
        <v>8.1</v>
      </c>
      <c r="Q21" s="11">
        <v>6.7</v>
      </c>
      <c r="R21" s="11">
        <v>7.5</v>
      </c>
      <c r="S21" s="11">
        <v>0.15</v>
      </c>
      <c r="T21" s="11">
        <v>0.72</v>
      </c>
      <c r="U21" s="11">
        <v>6.7</v>
      </c>
      <c r="V21" s="11">
        <v>7.9</v>
      </c>
      <c r="W21" s="11">
        <v>0.19</v>
      </c>
      <c r="X21" s="11">
        <v>1.21</v>
      </c>
    </row>
    <row r="23" spans="2:24" ht="27.75" customHeight="1" thickBot="1" x14ac:dyDescent="0.2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4552-CF14-4CCE-B5AC-81490FA76BA1}">
  <dimension ref="B2:Y28"/>
  <sheetViews>
    <sheetView view="pageBreakPreview" topLeftCell="A8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46130</v>
      </c>
      <c r="E5" t="s">
        <v>6</v>
      </c>
    </row>
    <row r="6" spans="2:25" x14ac:dyDescent="0.2">
      <c r="E6" t="s">
        <v>7</v>
      </c>
    </row>
    <row r="7" spans="2:25" ht="15.75" thickBot="1" x14ac:dyDescent="0.25">
      <c r="B7" s="94" t="s">
        <v>39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</row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2">
      <c r="B10" s="6">
        <v>0.3125</v>
      </c>
      <c r="C10" s="9">
        <v>1192</v>
      </c>
      <c r="D10" s="9">
        <v>80</v>
      </c>
      <c r="E10" s="9">
        <v>499</v>
      </c>
      <c r="F10" s="9">
        <v>1814</v>
      </c>
      <c r="G10" s="9" t="s">
        <v>34</v>
      </c>
      <c r="H10" s="9">
        <v>3.6</v>
      </c>
      <c r="I10" s="9">
        <v>1435</v>
      </c>
      <c r="J10" s="9">
        <v>1435</v>
      </c>
      <c r="K10" s="9">
        <v>1435</v>
      </c>
      <c r="L10" s="9">
        <v>23.3</v>
      </c>
      <c r="M10" s="9">
        <v>6.7</v>
      </c>
      <c r="N10" s="9">
        <v>4.0599999999999996</v>
      </c>
      <c r="O10" s="9">
        <v>10</v>
      </c>
      <c r="P10" s="9">
        <v>8</v>
      </c>
      <c r="Q10" s="9">
        <v>6.7</v>
      </c>
      <c r="R10" s="9">
        <v>8.4</v>
      </c>
      <c r="S10" s="9">
        <v>0.17</v>
      </c>
      <c r="T10" s="9">
        <v>3.97</v>
      </c>
      <c r="U10" s="9">
        <v>6.6</v>
      </c>
      <c r="V10" s="9">
        <v>8.5</v>
      </c>
      <c r="W10" s="9">
        <v>0.17</v>
      </c>
      <c r="X10" s="9">
        <v>4.03</v>
      </c>
    </row>
    <row r="11" spans="2:25" s="3" customFormat="1" ht="33" customHeight="1" x14ac:dyDescent="0.2">
      <c r="B11" s="7">
        <v>0.39583333333333331</v>
      </c>
      <c r="C11" s="10">
        <v>1160</v>
      </c>
      <c r="D11" s="10">
        <v>81</v>
      </c>
      <c r="E11" s="10">
        <v>500</v>
      </c>
      <c r="F11" s="10">
        <v>1863</v>
      </c>
      <c r="G11" s="10" t="s">
        <v>34</v>
      </c>
      <c r="H11" s="10">
        <v>3.6</v>
      </c>
      <c r="I11" s="10">
        <v>1435</v>
      </c>
      <c r="J11" s="10">
        <v>1435</v>
      </c>
      <c r="K11" s="10">
        <v>1435</v>
      </c>
      <c r="L11" s="10">
        <v>23.3</v>
      </c>
      <c r="M11" s="10">
        <v>6.7</v>
      </c>
      <c r="N11" s="10">
        <v>4.0999999999999996</v>
      </c>
      <c r="O11" s="10">
        <v>18</v>
      </c>
      <c r="P11" s="10">
        <v>9.1999999999999993</v>
      </c>
      <c r="Q11" s="10">
        <v>6.7</v>
      </c>
      <c r="R11" s="10">
        <v>9.3000000000000007</v>
      </c>
      <c r="S11" s="10">
        <v>0.11</v>
      </c>
      <c r="T11" s="10">
        <v>4.1399999999999997</v>
      </c>
      <c r="U11" s="10">
        <v>6.7</v>
      </c>
      <c r="V11" s="10">
        <v>8.6999999999999993</v>
      </c>
      <c r="W11" s="10">
        <v>0.15</v>
      </c>
      <c r="X11" s="10">
        <v>3.83</v>
      </c>
    </row>
    <row r="12" spans="2:25" s="3" customFormat="1" ht="33" customHeight="1" x14ac:dyDescent="0.2">
      <c r="B12" s="7">
        <v>0.47916666666666669</v>
      </c>
      <c r="C12" s="10">
        <v>1197</v>
      </c>
      <c r="D12" s="10">
        <v>82</v>
      </c>
      <c r="E12" s="10">
        <v>499</v>
      </c>
      <c r="F12" s="10">
        <v>1749</v>
      </c>
      <c r="G12" s="10" t="s">
        <v>34</v>
      </c>
      <c r="H12" s="10">
        <v>3.6</v>
      </c>
      <c r="I12" s="10">
        <v>1435</v>
      </c>
      <c r="J12" s="10">
        <v>1435</v>
      </c>
      <c r="K12" s="10">
        <v>1435</v>
      </c>
      <c r="L12" s="10">
        <v>24.3</v>
      </c>
      <c r="M12" s="10">
        <v>6.7</v>
      </c>
      <c r="N12" s="10">
        <v>4.66</v>
      </c>
      <c r="O12" s="10">
        <v>18</v>
      </c>
      <c r="P12" s="10">
        <v>8.1999999999999993</v>
      </c>
      <c r="Q12" s="10">
        <v>6.7</v>
      </c>
      <c r="R12" s="10">
        <v>8.6</v>
      </c>
      <c r="S12" s="10">
        <v>0.25</v>
      </c>
      <c r="T12" s="10">
        <v>5.46</v>
      </c>
      <c r="U12" s="10">
        <v>6.6</v>
      </c>
      <c r="V12" s="10">
        <v>8.8000000000000007</v>
      </c>
      <c r="W12" s="10">
        <v>0.36</v>
      </c>
      <c r="X12" s="10">
        <v>5.8</v>
      </c>
    </row>
    <row r="13" spans="2:25" s="3" customFormat="1" ht="33" customHeight="1" x14ac:dyDescent="0.2">
      <c r="B13" s="7">
        <v>0.5625</v>
      </c>
      <c r="C13" s="10" t="s">
        <v>41</v>
      </c>
      <c r="D13" s="10" t="s">
        <v>33</v>
      </c>
      <c r="E13" s="10" t="s">
        <v>33</v>
      </c>
      <c r="F13" s="10" t="s">
        <v>33</v>
      </c>
      <c r="G13" s="10" t="s">
        <v>33</v>
      </c>
      <c r="H13" s="10" t="s">
        <v>33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33</v>
      </c>
      <c r="N13" s="10" t="s">
        <v>33</v>
      </c>
      <c r="O13" s="10" t="s">
        <v>33</v>
      </c>
      <c r="P13" s="10" t="s">
        <v>33</v>
      </c>
      <c r="Q13" s="10" t="s">
        <v>33</v>
      </c>
      <c r="R13" s="10" t="s">
        <v>33</v>
      </c>
      <c r="S13" s="10" t="s">
        <v>33</v>
      </c>
      <c r="T13" s="10" t="s">
        <v>33</v>
      </c>
      <c r="U13" s="10" t="s">
        <v>33</v>
      </c>
      <c r="V13" s="10" t="s">
        <v>33</v>
      </c>
      <c r="W13" s="10" t="s">
        <v>33</v>
      </c>
      <c r="X13" s="10" t="s">
        <v>33</v>
      </c>
    </row>
    <row r="14" spans="2:25" s="3" customFormat="1" ht="33" customHeight="1" x14ac:dyDescent="0.2">
      <c r="B14" s="7">
        <v>0.64583333333333337</v>
      </c>
      <c r="C14" s="10">
        <v>1060</v>
      </c>
      <c r="D14" s="10">
        <v>85</v>
      </c>
      <c r="E14" s="10">
        <v>499</v>
      </c>
      <c r="F14" s="10">
        <v>1743</v>
      </c>
      <c r="G14" s="10" t="s">
        <v>34</v>
      </c>
      <c r="H14" s="10">
        <v>3.6</v>
      </c>
      <c r="I14" s="10">
        <v>1435</v>
      </c>
      <c r="J14" s="10">
        <v>1435</v>
      </c>
      <c r="K14" s="10">
        <v>1435</v>
      </c>
      <c r="L14" s="10">
        <v>25</v>
      </c>
      <c r="M14" s="10">
        <v>6.7</v>
      </c>
      <c r="N14" s="10">
        <v>4.0999999999999996</v>
      </c>
      <c r="O14" s="10">
        <v>16</v>
      </c>
      <c r="P14" s="10">
        <v>7.2</v>
      </c>
      <c r="Q14" s="10">
        <v>6.7</v>
      </c>
      <c r="R14" s="10">
        <v>6.7</v>
      </c>
      <c r="S14" s="10">
        <v>0.13</v>
      </c>
      <c r="T14" s="10">
        <v>4.13</v>
      </c>
      <c r="U14" s="10">
        <v>6.7</v>
      </c>
      <c r="V14" s="10">
        <v>7.1</v>
      </c>
      <c r="W14" s="10">
        <v>0.15</v>
      </c>
      <c r="X14" s="10">
        <v>3.98</v>
      </c>
    </row>
    <row r="15" spans="2:25" s="3" customFormat="1" ht="33" customHeight="1" x14ac:dyDescent="0.2">
      <c r="B15" s="7">
        <v>0.72916666666666663</v>
      </c>
      <c r="C15" s="10">
        <v>1173</v>
      </c>
      <c r="D15" s="10">
        <v>81</v>
      </c>
      <c r="E15" s="10">
        <v>500</v>
      </c>
      <c r="F15" s="10">
        <v>1781</v>
      </c>
      <c r="G15" s="10" t="s">
        <v>34</v>
      </c>
      <c r="H15" s="10">
        <v>3.6</v>
      </c>
      <c r="I15" s="10">
        <v>1435</v>
      </c>
      <c r="J15" s="10">
        <v>1435</v>
      </c>
      <c r="K15" s="10">
        <v>1435</v>
      </c>
      <c r="L15" s="10">
        <v>25</v>
      </c>
      <c r="M15" s="10">
        <v>6.7</v>
      </c>
      <c r="N15" s="10">
        <v>4.05</v>
      </c>
      <c r="O15" s="10">
        <v>15</v>
      </c>
      <c r="P15" s="10">
        <v>7.5</v>
      </c>
      <c r="Q15" s="10">
        <v>6.8</v>
      </c>
      <c r="R15" s="10">
        <v>6.9</v>
      </c>
      <c r="S15" s="10">
        <v>0.13</v>
      </c>
      <c r="T15" s="10">
        <v>4.17</v>
      </c>
      <c r="U15" s="10">
        <v>6.7</v>
      </c>
      <c r="V15" s="10">
        <v>7.2</v>
      </c>
      <c r="W15" s="10">
        <v>0.17</v>
      </c>
      <c r="X15" s="10">
        <v>4.05</v>
      </c>
    </row>
    <row r="16" spans="2:25" s="3" customFormat="1" ht="33" customHeight="1" x14ac:dyDescent="0.2">
      <c r="B16" s="7">
        <v>0.8125</v>
      </c>
      <c r="C16" s="10">
        <v>1191</v>
      </c>
      <c r="D16" s="10">
        <v>81</v>
      </c>
      <c r="E16" s="10">
        <v>500</v>
      </c>
      <c r="F16" s="10">
        <v>1895</v>
      </c>
      <c r="G16" s="10" t="s">
        <v>34</v>
      </c>
      <c r="H16" s="10">
        <v>3.6</v>
      </c>
      <c r="I16" s="10">
        <v>1435</v>
      </c>
      <c r="J16" s="10">
        <v>1435</v>
      </c>
      <c r="K16" s="10">
        <v>1435</v>
      </c>
      <c r="L16" s="10">
        <v>25.1</v>
      </c>
      <c r="M16" s="10">
        <v>6.7</v>
      </c>
      <c r="N16" s="10">
        <v>3.99</v>
      </c>
      <c r="O16" s="10">
        <v>17</v>
      </c>
      <c r="P16" s="10">
        <v>9.1999999999999993</v>
      </c>
      <c r="Q16" s="10">
        <v>6.7</v>
      </c>
      <c r="R16" s="10">
        <v>12</v>
      </c>
      <c r="S16" s="10">
        <v>0.12</v>
      </c>
      <c r="T16" s="10">
        <v>4.7699999999999996</v>
      </c>
      <c r="U16" s="10">
        <v>6.8</v>
      </c>
      <c r="V16" s="10">
        <v>10</v>
      </c>
      <c r="W16" s="10">
        <v>0.1</v>
      </c>
      <c r="X16" s="10">
        <v>6.87</v>
      </c>
    </row>
    <row r="17" spans="2:24" s="3" customFormat="1" ht="33" customHeight="1" x14ac:dyDescent="0.2">
      <c r="B17" s="7">
        <v>0.89583333333333337</v>
      </c>
      <c r="C17" s="10">
        <v>1099</v>
      </c>
      <c r="D17" s="10">
        <v>81</v>
      </c>
      <c r="E17" s="10">
        <v>498</v>
      </c>
      <c r="F17" s="10">
        <v>1903</v>
      </c>
      <c r="G17" s="10" t="s">
        <v>34</v>
      </c>
      <c r="H17" s="10">
        <v>3.6</v>
      </c>
      <c r="I17" s="10">
        <v>1435</v>
      </c>
      <c r="J17" s="10">
        <v>1435</v>
      </c>
      <c r="K17" s="10">
        <v>1435</v>
      </c>
      <c r="L17" s="10">
        <v>24.7</v>
      </c>
      <c r="M17" s="10">
        <v>6.7</v>
      </c>
      <c r="N17" s="10">
        <v>4.46</v>
      </c>
      <c r="O17" s="10">
        <v>17</v>
      </c>
      <c r="P17" s="10">
        <v>7</v>
      </c>
      <c r="Q17" s="10">
        <v>6.8</v>
      </c>
      <c r="R17" s="10">
        <v>6.9</v>
      </c>
      <c r="S17" s="10">
        <v>0.17</v>
      </c>
      <c r="T17" s="10">
        <v>1.74</v>
      </c>
      <c r="U17" s="10">
        <v>6.8</v>
      </c>
      <c r="V17" s="10">
        <v>6.7</v>
      </c>
      <c r="W17" s="10">
        <v>0.18</v>
      </c>
      <c r="X17" s="10">
        <v>1.44</v>
      </c>
    </row>
    <row r="18" spans="2:24" s="3" customFormat="1" ht="33" customHeight="1" x14ac:dyDescent="0.2">
      <c r="B18" s="7">
        <v>0.97916666666666663</v>
      </c>
      <c r="C18" s="10">
        <v>1172</v>
      </c>
      <c r="D18" s="10">
        <v>88</v>
      </c>
      <c r="E18" s="10">
        <v>500</v>
      </c>
      <c r="F18" s="10">
        <v>1892</v>
      </c>
      <c r="G18" s="10" t="s">
        <v>34</v>
      </c>
      <c r="H18" s="10">
        <v>3.6</v>
      </c>
      <c r="I18" s="10">
        <v>1435</v>
      </c>
      <c r="J18" s="10">
        <v>1435</v>
      </c>
      <c r="K18" s="10">
        <v>1435</v>
      </c>
      <c r="L18" s="10">
        <v>24.3</v>
      </c>
      <c r="M18" s="10">
        <v>6.8</v>
      </c>
      <c r="N18" s="10">
        <v>4.3899999999999997</v>
      </c>
      <c r="O18" s="10">
        <v>16</v>
      </c>
      <c r="P18" s="10">
        <v>7.1</v>
      </c>
      <c r="Q18" s="10">
        <v>6.7</v>
      </c>
      <c r="R18" s="10">
        <v>6.9</v>
      </c>
      <c r="S18" s="10">
        <v>0.15</v>
      </c>
      <c r="T18" s="10">
        <v>1.02</v>
      </c>
      <c r="U18" s="10">
        <v>6.7</v>
      </c>
      <c r="V18" s="10">
        <v>6.8</v>
      </c>
      <c r="W18" s="10">
        <v>0.14000000000000001</v>
      </c>
      <c r="X18" s="10">
        <v>1.07</v>
      </c>
    </row>
    <row r="19" spans="2:24" s="3" customFormat="1" ht="33" customHeight="1" x14ac:dyDescent="0.2">
      <c r="B19" s="7">
        <v>6.25E-2</v>
      </c>
      <c r="C19" s="10">
        <v>548</v>
      </c>
      <c r="D19" s="10">
        <v>85</v>
      </c>
      <c r="E19" s="10">
        <v>527</v>
      </c>
      <c r="F19" s="10">
        <v>1214</v>
      </c>
      <c r="G19" s="10" t="s">
        <v>34</v>
      </c>
      <c r="H19" s="10">
        <v>3.6</v>
      </c>
      <c r="I19" s="10">
        <v>1435</v>
      </c>
      <c r="J19" s="10">
        <v>1435</v>
      </c>
      <c r="K19" s="10">
        <v>1435</v>
      </c>
      <c r="L19" s="10">
        <v>23.8</v>
      </c>
      <c r="M19" s="10">
        <v>6.9</v>
      </c>
      <c r="N19" s="10">
        <v>3.96</v>
      </c>
      <c r="O19" s="10">
        <v>16</v>
      </c>
      <c r="P19" s="10">
        <v>9.9</v>
      </c>
      <c r="Q19" s="10">
        <v>6.9</v>
      </c>
      <c r="R19" s="10">
        <v>10.199999999999999</v>
      </c>
      <c r="S19" s="10">
        <v>0.17</v>
      </c>
      <c r="T19" s="10">
        <v>0.82</v>
      </c>
      <c r="U19" s="10">
        <v>6.9</v>
      </c>
      <c r="V19" s="10">
        <v>11</v>
      </c>
      <c r="W19" s="10">
        <v>0.18</v>
      </c>
      <c r="X19" s="10">
        <v>0.92</v>
      </c>
    </row>
    <row r="20" spans="2:24" s="3" customFormat="1" ht="33" customHeight="1" x14ac:dyDescent="0.2">
      <c r="B20" s="7">
        <v>0.14583333333333334</v>
      </c>
      <c r="C20" s="10">
        <v>544</v>
      </c>
      <c r="D20" s="10">
        <v>86</v>
      </c>
      <c r="E20" s="10">
        <v>528</v>
      </c>
      <c r="F20" s="10">
        <v>1215</v>
      </c>
      <c r="G20" s="10" t="s">
        <v>34</v>
      </c>
      <c r="H20" s="10">
        <v>3.6</v>
      </c>
      <c r="I20" s="10">
        <v>1435</v>
      </c>
      <c r="J20" s="10">
        <v>1435</v>
      </c>
      <c r="K20" s="10">
        <v>1435</v>
      </c>
      <c r="L20" s="10">
        <v>23.8</v>
      </c>
      <c r="M20" s="10">
        <v>6.8</v>
      </c>
      <c r="N20" s="10">
        <v>4.1100000000000003</v>
      </c>
      <c r="O20" s="10">
        <v>16</v>
      </c>
      <c r="P20" s="10">
        <v>13.3</v>
      </c>
      <c r="Q20" s="10">
        <v>6.9</v>
      </c>
      <c r="R20" s="10">
        <v>11.8</v>
      </c>
      <c r="S20" s="10">
        <v>0.13</v>
      </c>
      <c r="T20" s="10">
        <v>0.84</v>
      </c>
      <c r="U20" s="10">
        <v>6.9</v>
      </c>
      <c r="V20" s="10">
        <v>15.4</v>
      </c>
      <c r="W20" s="10">
        <v>0.17</v>
      </c>
      <c r="X20" s="10">
        <v>0.89</v>
      </c>
    </row>
    <row r="21" spans="2:24" s="3" customFormat="1" ht="33" customHeight="1" thickBot="1" x14ac:dyDescent="0.25">
      <c r="B21" s="8">
        <v>0.22916666666666666</v>
      </c>
      <c r="C21" s="11">
        <v>532</v>
      </c>
      <c r="D21" s="11">
        <v>82</v>
      </c>
      <c r="E21" s="11">
        <v>527</v>
      </c>
      <c r="F21" s="11">
        <v>1269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23.8</v>
      </c>
      <c r="M21" s="11">
        <v>6.8</v>
      </c>
      <c r="N21" s="11">
        <v>4.33</v>
      </c>
      <c r="O21" s="11">
        <v>16</v>
      </c>
      <c r="P21" s="11">
        <v>6.1</v>
      </c>
      <c r="Q21" s="11">
        <v>6.9</v>
      </c>
      <c r="R21" s="11">
        <v>8.1</v>
      </c>
      <c r="S21" s="11">
        <v>0.26</v>
      </c>
      <c r="T21" s="11">
        <v>0.66</v>
      </c>
      <c r="U21" s="11">
        <v>7</v>
      </c>
      <c r="V21" s="11">
        <v>8.4</v>
      </c>
      <c r="W21" s="11">
        <v>0.16</v>
      </c>
      <c r="X21" s="11">
        <v>1.68</v>
      </c>
    </row>
    <row r="23" spans="2:24" ht="27.75" customHeight="1" thickBot="1" x14ac:dyDescent="0.25">
      <c r="B23" s="12" t="s">
        <v>30</v>
      </c>
      <c r="C23" s="12"/>
      <c r="D23" s="12" t="s">
        <v>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7">
    <mergeCell ref="B7:X7"/>
    <mergeCell ref="C8:F8"/>
    <mergeCell ref="G8:H8"/>
    <mergeCell ref="I8:K8"/>
    <mergeCell ref="L8:P8"/>
    <mergeCell ref="Q8:T8"/>
    <mergeCell ref="U8:X8"/>
  </mergeCells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9598-D039-4BD0-9A9D-B86CE7311DBB}">
  <dimension ref="B2:Y28"/>
  <sheetViews>
    <sheetView view="pageBreakPreview" topLeftCell="A10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46129</v>
      </c>
      <c r="E5" t="s">
        <v>6</v>
      </c>
    </row>
    <row r="6" spans="2:25" x14ac:dyDescent="0.2">
      <c r="E6" t="s">
        <v>7</v>
      </c>
    </row>
    <row r="7" spans="2:25" ht="15.75" thickBot="1" x14ac:dyDescent="0.25"/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3" t="s">
        <v>28</v>
      </c>
      <c r="R8" s="93"/>
      <c r="S8" s="93"/>
      <c r="T8" s="93"/>
      <c r="U8" s="93" t="s">
        <v>29</v>
      </c>
      <c r="V8" s="93"/>
      <c r="W8" s="93"/>
      <c r="X8" s="93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5" t="s">
        <v>24</v>
      </c>
      <c r="U9" s="5" t="s">
        <v>19</v>
      </c>
      <c r="V9" s="5" t="s">
        <v>22</v>
      </c>
      <c r="W9" s="5" t="s">
        <v>23</v>
      </c>
      <c r="X9" s="5" t="s">
        <v>24</v>
      </c>
      <c r="Y9" s="1"/>
    </row>
    <row r="10" spans="2:25" s="3" customFormat="1" ht="33" customHeight="1" x14ac:dyDescent="0.2">
      <c r="B10" s="6">
        <v>0.3125</v>
      </c>
      <c r="C10" s="9">
        <v>1746</v>
      </c>
      <c r="D10" s="9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5" s="3" customFormat="1" ht="33" customHeight="1" x14ac:dyDescent="0.2">
      <c r="B11" s="7">
        <v>0.39583333333333331</v>
      </c>
      <c r="C11" s="10">
        <v>1746</v>
      </c>
      <c r="D11" s="10" t="s">
        <v>33</v>
      </c>
      <c r="E11" s="10">
        <v>500</v>
      </c>
      <c r="F11" s="10">
        <v>2256</v>
      </c>
      <c r="G11" s="10" t="s">
        <v>34</v>
      </c>
      <c r="H11" s="10">
        <v>4.5999999999999996</v>
      </c>
      <c r="I11" s="10">
        <v>1435</v>
      </c>
      <c r="J11" s="10">
        <v>1435</v>
      </c>
      <c r="K11" s="10">
        <v>1435</v>
      </c>
      <c r="L11" s="10">
        <v>24.7</v>
      </c>
      <c r="M11" s="10">
        <v>6.7</v>
      </c>
      <c r="N11" s="10">
        <v>5.21</v>
      </c>
      <c r="O11" s="10">
        <v>16</v>
      </c>
      <c r="P11" s="10">
        <v>6.2</v>
      </c>
      <c r="Q11" s="10">
        <v>6.7</v>
      </c>
      <c r="R11" s="10">
        <v>5.6</v>
      </c>
      <c r="S11" s="10">
        <v>0.28999999999999998</v>
      </c>
      <c r="T11" s="10">
        <v>2.2400000000000002</v>
      </c>
      <c r="U11" s="10">
        <v>6.8</v>
      </c>
      <c r="V11" s="10">
        <v>6</v>
      </c>
      <c r="W11" s="10">
        <v>0.28000000000000003</v>
      </c>
      <c r="X11" s="10">
        <v>1.37</v>
      </c>
    </row>
    <row r="12" spans="2:25" s="3" customFormat="1" ht="33" customHeight="1" x14ac:dyDescent="0.2">
      <c r="B12" s="7">
        <v>0.47916666666666669</v>
      </c>
      <c r="C12" s="10">
        <v>1528</v>
      </c>
      <c r="D12" s="10" t="s">
        <v>33</v>
      </c>
      <c r="E12" s="10">
        <v>499</v>
      </c>
      <c r="F12" s="10">
        <v>2257</v>
      </c>
      <c r="G12" s="10" t="s">
        <v>34</v>
      </c>
      <c r="H12" s="10">
        <v>4.5999999999999996</v>
      </c>
      <c r="I12" s="10">
        <v>1435</v>
      </c>
      <c r="J12" s="10">
        <v>1435</v>
      </c>
      <c r="K12" s="10">
        <v>1435</v>
      </c>
      <c r="L12" s="10">
        <v>23.8</v>
      </c>
      <c r="M12" s="10">
        <v>6.7</v>
      </c>
      <c r="N12" s="10">
        <v>4.49</v>
      </c>
      <c r="O12" s="10">
        <v>16</v>
      </c>
      <c r="P12" s="10">
        <v>6.4</v>
      </c>
      <c r="Q12" s="10">
        <v>6.8</v>
      </c>
      <c r="R12" s="10">
        <v>6.4</v>
      </c>
      <c r="S12" s="10">
        <v>0.28999999999999998</v>
      </c>
      <c r="T12" s="10">
        <v>1.95</v>
      </c>
      <c r="U12" s="10">
        <v>6.7</v>
      </c>
      <c r="V12" s="10">
        <v>6.6</v>
      </c>
      <c r="W12" s="10">
        <v>0.21</v>
      </c>
      <c r="X12" s="10">
        <v>1.25</v>
      </c>
    </row>
    <row r="13" spans="2:25" s="3" customFormat="1" ht="33" customHeight="1" x14ac:dyDescent="0.2">
      <c r="B13" s="7">
        <v>0.5625</v>
      </c>
      <c r="C13" s="10">
        <v>1621</v>
      </c>
      <c r="D13" s="10" t="s">
        <v>33</v>
      </c>
      <c r="E13" s="10">
        <v>501</v>
      </c>
      <c r="F13" s="10">
        <v>2243</v>
      </c>
      <c r="G13" s="10" t="s">
        <v>34</v>
      </c>
      <c r="H13" s="10">
        <v>4.5999999999999996</v>
      </c>
      <c r="I13" s="10">
        <v>1435</v>
      </c>
      <c r="J13" s="10">
        <v>1435</v>
      </c>
      <c r="K13" s="10">
        <v>1435</v>
      </c>
      <c r="L13" s="10">
        <v>24.1</v>
      </c>
      <c r="M13" s="10">
        <v>6.7</v>
      </c>
      <c r="N13" s="10">
        <v>4.29</v>
      </c>
      <c r="O13" s="10">
        <v>16</v>
      </c>
      <c r="P13" s="10">
        <v>6.6</v>
      </c>
      <c r="Q13" s="10">
        <v>6.8</v>
      </c>
      <c r="R13" s="10">
        <v>6.2</v>
      </c>
      <c r="S13" s="10">
        <v>0.37</v>
      </c>
      <c r="T13" s="10">
        <v>1.94</v>
      </c>
      <c r="U13" s="10">
        <v>6.7</v>
      </c>
      <c r="V13" s="10">
        <v>6.1</v>
      </c>
      <c r="W13" s="10">
        <v>0.21</v>
      </c>
      <c r="X13" s="10">
        <v>1.0900000000000001</v>
      </c>
    </row>
    <row r="14" spans="2:25" s="3" customFormat="1" ht="33" customHeight="1" x14ac:dyDescent="0.2">
      <c r="B14" s="7">
        <v>0.64583333333333337</v>
      </c>
      <c r="C14" s="10">
        <v>1510</v>
      </c>
      <c r="D14" s="10" t="s">
        <v>33</v>
      </c>
      <c r="E14" s="10">
        <v>499</v>
      </c>
      <c r="F14" s="10">
        <v>2220</v>
      </c>
      <c r="G14" s="10" t="s">
        <v>34</v>
      </c>
      <c r="H14" s="10">
        <v>4</v>
      </c>
      <c r="I14" s="10">
        <v>1435</v>
      </c>
      <c r="J14" s="10">
        <v>1435</v>
      </c>
      <c r="K14" s="10">
        <v>1435</v>
      </c>
      <c r="L14" s="10">
        <v>24.6</v>
      </c>
      <c r="M14" s="10">
        <v>6.7</v>
      </c>
      <c r="N14" s="10">
        <v>3.97</v>
      </c>
      <c r="O14" s="10">
        <v>15</v>
      </c>
      <c r="P14" s="10">
        <v>6</v>
      </c>
      <c r="Q14" s="10">
        <v>6.8</v>
      </c>
      <c r="R14" s="10">
        <v>5.9</v>
      </c>
      <c r="S14" s="10">
        <v>0.26</v>
      </c>
      <c r="T14" s="10">
        <v>1.59</v>
      </c>
      <c r="U14" s="10">
        <v>6.8</v>
      </c>
      <c r="V14" s="10">
        <v>6</v>
      </c>
      <c r="W14" s="10">
        <v>0.12</v>
      </c>
      <c r="X14" s="10">
        <v>0.95</v>
      </c>
    </row>
    <row r="15" spans="2:25" s="3" customFormat="1" ht="33" customHeight="1" x14ac:dyDescent="0.2">
      <c r="B15" s="7">
        <v>0.72916666666666663</v>
      </c>
      <c r="C15" s="10">
        <v>1770</v>
      </c>
      <c r="D15" s="10" t="s">
        <v>33</v>
      </c>
      <c r="E15" s="10">
        <v>500</v>
      </c>
      <c r="F15" s="10">
        <v>2330</v>
      </c>
      <c r="G15" s="10" t="s">
        <v>34</v>
      </c>
      <c r="H15" s="10">
        <v>4</v>
      </c>
      <c r="I15" s="10">
        <v>1435</v>
      </c>
      <c r="J15" s="10">
        <v>1435</v>
      </c>
      <c r="K15" s="10">
        <v>1435</v>
      </c>
      <c r="L15" s="10">
        <v>25</v>
      </c>
      <c r="M15" s="10">
        <v>6.7</v>
      </c>
      <c r="N15" s="10">
        <v>4.54</v>
      </c>
      <c r="O15" s="10">
        <v>15</v>
      </c>
      <c r="P15" s="10">
        <v>5.9</v>
      </c>
      <c r="Q15" s="10">
        <v>6.8</v>
      </c>
      <c r="R15" s="10">
        <v>6.1</v>
      </c>
      <c r="S15" s="10">
        <v>0.49</v>
      </c>
      <c r="T15" s="10">
        <v>0.74</v>
      </c>
      <c r="U15" s="10">
        <v>6.7</v>
      </c>
      <c r="V15" s="10">
        <v>5.8</v>
      </c>
      <c r="W15" s="10">
        <v>0.19</v>
      </c>
      <c r="X15" s="10">
        <v>1.83</v>
      </c>
    </row>
    <row r="16" spans="2:25" s="3" customFormat="1" ht="33" customHeight="1" x14ac:dyDescent="0.2">
      <c r="B16" s="7">
        <v>0.8125</v>
      </c>
      <c r="C16" s="10">
        <v>1140</v>
      </c>
      <c r="D16" s="10" t="s">
        <v>33</v>
      </c>
      <c r="E16" s="10">
        <v>500</v>
      </c>
      <c r="F16" s="10">
        <v>1884</v>
      </c>
      <c r="G16" s="10" t="s">
        <v>34</v>
      </c>
      <c r="H16" s="10">
        <v>4</v>
      </c>
      <c r="I16" s="10">
        <v>1435</v>
      </c>
      <c r="J16" s="10">
        <v>1435</v>
      </c>
      <c r="K16" s="10">
        <v>1435</v>
      </c>
      <c r="L16" s="10">
        <v>24.7</v>
      </c>
      <c r="M16" s="10">
        <v>6.7</v>
      </c>
      <c r="N16" s="10">
        <v>4.45</v>
      </c>
      <c r="O16" s="10">
        <v>16</v>
      </c>
      <c r="P16" s="10">
        <v>5.0999999999999996</v>
      </c>
      <c r="Q16" s="10">
        <v>6.6</v>
      </c>
      <c r="R16" s="10">
        <v>5.4</v>
      </c>
      <c r="S16" s="10">
        <v>0.12</v>
      </c>
      <c r="T16" s="10">
        <v>0.44</v>
      </c>
      <c r="U16" s="10">
        <v>6.7</v>
      </c>
      <c r="V16" s="10">
        <v>5.3</v>
      </c>
      <c r="W16" s="10">
        <v>0.15</v>
      </c>
      <c r="X16" s="10">
        <v>1.8</v>
      </c>
    </row>
    <row r="17" spans="2:24" s="3" customFormat="1" ht="33" customHeight="1" x14ac:dyDescent="0.2">
      <c r="B17" s="7">
        <v>0.89583333333333337</v>
      </c>
      <c r="C17" s="10">
        <v>1114</v>
      </c>
      <c r="D17" s="10" t="s">
        <v>33</v>
      </c>
      <c r="E17" s="10">
        <v>500</v>
      </c>
      <c r="F17" s="10">
        <v>1887</v>
      </c>
      <c r="G17" s="10" t="s">
        <v>34</v>
      </c>
      <c r="H17" s="10">
        <v>4</v>
      </c>
      <c r="I17" s="10">
        <v>1435</v>
      </c>
      <c r="J17" s="10">
        <v>1435</v>
      </c>
      <c r="K17" s="10">
        <v>1435</v>
      </c>
      <c r="L17" s="10">
        <v>24.5</v>
      </c>
      <c r="M17" s="10">
        <v>6.7</v>
      </c>
      <c r="N17" s="10">
        <v>4.3099999999999996</v>
      </c>
      <c r="O17" s="10">
        <v>22</v>
      </c>
      <c r="P17" s="10">
        <v>6.6</v>
      </c>
      <c r="Q17" s="10">
        <v>6.8</v>
      </c>
      <c r="R17" s="10">
        <v>6.5</v>
      </c>
      <c r="S17" s="10">
        <v>0.19</v>
      </c>
      <c r="T17" s="10">
        <v>0.45</v>
      </c>
      <c r="U17" s="10">
        <v>6.7</v>
      </c>
      <c r="V17" s="10">
        <v>6.3</v>
      </c>
      <c r="W17" s="10">
        <v>0.13</v>
      </c>
      <c r="X17" s="10">
        <v>1.99</v>
      </c>
    </row>
    <row r="18" spans="2:24" s="3" customFormat="1" ht="33" customHeight="1" x14ac:dyDescent="0.2">
      <c r="B18" s="7">
        <v>0.97916666666666663</v>
      </c>
      <c r="C18" s="10">
        <v>1083</v>
      </c>
      <c r="D18" s="10" t="s">
        <v>33</v>
      </c>
      <c r="E18" s="10">
        <v>500</v>
      </c>
      <c r="F18" s="10">
        <v>1888</v>
      </c>
      <c r="G18" s="10" t="s">
        <v>34</v>
      </c>
      <c r="H18" s="10">
        <v>4</v>
      </c>
      <c r="I18" s="10">
        <v>1435</v>
      </c>
      <c r="J18" s="10">
        <v>1435</v>
      </c>
      <c r="K18" s="10">
        <v>1435</v>
      </c>
      <c r="L18" s="10">
        <v>24</v>
      </c>
      <c r="M18" s="10">
        <v>6.7</v>
      </c>
      <c r="N18" s="10">
        <v>4.34</v>
      </c>
      <c r="O18" s="10">
        <v>22</v>
      </c>
      <c r="P18" s="10">
        <v>6.5</v>
      </c>
      <c r="Q18" s="10">
        <v>6.8</v>
      </c>
      <c r="R18" s="10">
        <v>9</v>
      </c>
      <c r="S18" s="10">
        <v>0.12</v>
      </c>
      <c r="T18" s="10">
        <v>0.48</v>
      </c>
      <c r="U18" s="10">
        <v>6.7</v>
      </c>
      <c r="V18" s="10">
        <v>7.5</v>
      </c>
      <c r="W18" s="10">
        <v>0.2</v>
      </c>
      <c r="X18" s="10">
        <v>1.02</v>
      </c>
    </row>
    <row r="19" spans="2:24" s="3" customFormat="1" ht="33" customHeight="1" x14ac:dyDescent="0.2">
      <c r="B19" s="7">
        <v>6.25E-2</v>
      </c>
      <c r="C19" s="10">
        <v>1123</v>
      </c>
      <c r="D19" s="10" t="s">
        <v>33</v>
      </c>
      <c r="E19" s="10">
        <v>500</v>
      </c>
      <c r="F19" s="10">
        <v>1887</v>
      </c>
      <c r="G19" s="10" t="s">
        <v>34</v>
      </c>
      <c r="H19" s="10">
        <v>4</v>
      </c>
      <c r="I19" s="10">
        <v>1435</v>
      </c>
      <c r="J19" s="10">
        <v>1435</v>
      </c>
      <c r="K19" s="10">
        <v>1435</v>
      </c>
      <c r="L19" s="10">
        <v>24</v>
      </c>
      <c r="M19" s="10">
        <v>6.7</v>
      </c>
      <c r="N19" s="10">
        <v>4.83</v>
      </c>
      <c r="O19" s="10">
        <v>20</v>
      </c>
      <c r="P19" s="10">
        <v>6.6</v>
      </c>
      <c r="Q19" s="10">
        <v>6.8</v>
      </c>
      <c r="R19" s="10">
        <v>7.7</v>
      </c>
      <c r="S19" s="10">
        <v>0.09</v>
      </c>
      <c r="T19" s="10">
        <v>0.49</v>
      </c>
      <c r="U19" s="10">
        <v>6.7</v>
      </c>
      <c r="V19" s="10">
        <v>9.6999999999999993</v>
      </c>
      <c r="W19" s="10">
        <v>0.08</v>
      </c>
      <c r="X19" s="10">
        <v>1.54</v>
      </c>
    </row>
    <row r="20" spans="2:24" s="3" customFormat="1" ht="33" customHeight="1" x14ac:dyDescent="0.2">
      <c r="B20" s="7">
        <v>0.14583333333333334</v>
      </c>
      <c r="C20" s="10">
        <v>1088</v>
      </c>
      <c r="D20" s="10" t="s">
        <v>33</v>
      </c>
      <c r="E20" s="10">
        <v>498.7</v>
      </c>
      <c r="F20" s="10">
        <v>1889</v>
      </c>
      <c r="G20" s="10" t="s">
        <v>34</v>
      </c>
      <c r="H20" s="10">
        <v>4</v>
      </c>
      <c r="I20" s="10">
        <v>1435</v>
      </c>
      <c r="J20" s="10">
        <v>1435</v>
      </c>
      <c r="K20" s="10">
        <v>1435</v>
      </c>
      <c r="L20" s="10">
        <v>23.8</v>
      </c>
      <c r="M20" s="10">
        <v>6.7</v>
      </c>
      <c r="N20" s="10">
        <v>4.5999999999999996</v>
      </c>
      <c r="O20" s="10">
        <v>10</v>
      </c>
      <c r="P20" s="10">
        <v>6.2</v>
      </c>
      <c r="Q20" s="10">
        <v>6.8</v>
      </c>
      <c r="R20" s="10">
        <v>5.7</v>
      </c>
      <c r="S20" s="10">
        <v>0.09</v>
      </c>
      <c r="T20" s="10">
        <v>0.5</v>
      </c>
      <c r="U20" s="10">
        <v>6.7</v>
      </c>
      <c r="V20" s="10">
        <v>7.1</v>
      </c>
      <c r="W20" s="10">
        <v>7.0000000000000007E-2</v>
      </c>
      <c r="X20" s="10">
        <v>0.78</v>
      </c>
    </row>
    <row r="21" spans="2:24" s="3" customFormat="1" ht="33" customHeight="1" thickBot="1" x14ac:dyDescent="0.25">
      <c r="B21" s="8">
        <v>0.22916666666666666</v>
      </c>
      <c r="C21" s="11">
        <v>1200</v>
      </c>
      <c r="D21" s="11" t="s">
        <v>33</v>
      </c>
      <c r="E21" s="11">
        <v>499.3</v>
      </c>
      <c r="F21" s="11">
        <v>1889</v>
      </c>
      <c r="G21" s="11" t="s">
        <v>34</v>
      </c>
      <c r="H21" s="11">
        <v>3.6</v>
      </c>
      <c r="I21" s="11">
        <v>1435</v>
      </c>
      <c r="J21" s="11">
        <v>1435</v>
      </c>
      <c r="K21" s="11">
        <v>1435</v>
      </c>
      <c r="L21" s="11">
        <v>23.2</v>
      </c>
      <c r="M21" s="11">
        <v>6.7</v>
      </c>
      <c r="N21" s="11">
        <v>4.0199999999999996</v>
      </c>
      <c r="O21" s="11">
        <v>8</v>
      </c>
      <c r="P21" s="11">
        <v>6.2</v>
      </c>
      <c r="Q21" s="11">
        <v>6.7</v>
      </c>
      <c r="R21" s="11">
        <v>5.9</v>
      </c>
      <c r="S21" s="11">
        <v>0.15</v>
      </c>
      <c r="T21" s="11">
        <v>0.52</v>
      </c>
      <c r="U21" s="11">
        <v>6.7</v>
      </c>
      <c r="V21" s="11">
        <v>6.6</v>
      </c>
      <c r="W21" s="11">
        <v>0.15</v>
      </c>
      <c r="X21" s="11">
        <v>0.82</v>
      </c>
    </row>
    <row r="23" spans="2:24" ht="27.75" customHeight="1" thickBot="1" x14ac:dyDescent="0.25">
      <c r="B23" s="12" t="s">
        <v>30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2:24" ht="27.75" customHeight="1" thickBot="1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2:24" ht="27.75" customHeight="1" thickBot="1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F69A-ED7F-4E45-A06A-EDE33EC5EF97}">
  <dimension ref="B2:Y29"/>
  <sheetViews>
    <sheetView view="pageBreakPreview" topLeftCell="A10" zoomScaleNormal="100" zoomScaleSheetLayoutView="100" workbookViewId="0">
      <selection activeCell="B10" sqref="B10:X21"/>
    </sheetView>
  </sheetViews>
  <sheetFormatPr defaultRowHeight="15" x14ac:dyDescent="0.2"/>
  <cols>
    <col min="1" max="1" width="2.95703125" customWidth="1"/>
    <col min="3" max="24" width="9.01171875" customWidth="1"/>
    <col min="25" max="25" width="5.109375" customWidth="1"/>
  </cols>
  <sheetData>
    <row r="2" spans="2:25" x14ac:dyDescent="0.2">
      <c r="B2" t="s">
        <v>2</v>
      </c>
      <c r="C2" t="s">
        <v>1</v>
      </c>
    </row>
    <row r="3" spans="2:25" x14ac:dyDescent="0.2">
      <c r="B3" t="s">
        <v>3</v>
      </c>
    </row>
    <row r="4" spans="2:25" x14ac:dyDescent="0.2">
      <c r="B4" t="s">
        <v>4</v>
      </c>
    </row>
    <row r="5" spans="2:25" x14ac:dyDescent="0.2">
      <c r="B5" t="s">
        <v>5</v>
      </c>
      <c r="C5" s="15">
        <v>46128</v>
      </c>
      <c r="E5" t="s">
        <v>6</v>
      </c>
    </row>
    <row r="6" spans="2:25" x14ac:dyDescent="0.2">
      <c r="E6" t="s">
        <v>7</v>
      </c>
    </row>
    <row r="7" spans="2:25" ht="15.75" thickBot="1" x14ac:dyDescent="0.25"/>
    <row r="8" spans="2:25" ht="15.75" thickBot="1" x14ac:dyDescent="0.25">
      <c r="B8" s="2" t="s">
        <v>0</v>
      </c>
      <c r="C8" s="93" t="s">
        <v>8</v>
      </c>
      <c r="D8" s="93"/>
      <c r="E8" s="93"/>
      <c r="F8" s="93"/>
      <c r="G8" s="93" t="s">
        <v>25</v>
      </c>
      <c r="H8" s="93"/>
      <c r="I8" s="93" t="s">
        <v>26</v>
      </c>
      <c r="J8" s="93"/>
      <c r="K8" s="93"/>
      <c r="L8" s="93" t="s">
        <v>27</v>
      </c>
      <c r="M8" s="93"/>
      <c r="N8" s="93"/>
      <c r="O8" s="93"/>
      <c r="P8" s="93"/>
      <c r="Q8" s="95" t="s">
        <v>45</v>
      </c>
      <c r="R8" s="95"/>
      <c r="S8" s="95"/>
      <c r="T8" s="95"/>
      <c r="U8" s="95" t="s">
        <v>46</v>
      </c>
      <c r="V8" s="95"/>
      <c r="W8" s="95"/>
      <c r="X8" s="95"/>
    </row>
    <row r="9" spans="2:25" ht="42" thickBot="1" x14ac:dyDescent="0.25">
      <c r="B9" s="4"/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19" t="s">
        <v>15</v>
      </c>
      <c r="J9" s="19" t="s">
        <v>16</v>
      </c>
      <c r="K9" s="19" t="s">
        <v>17</v>
      </c>
      <c r="L9" s="5" t="s">
        <v>18</v>
      </c>
      <c r="M9" s="5" t="s">
        <v>19</v>
      </c>
      <c r="N9" s="5" t="s">
        <v>20</v>
      </c>
      <c r="O9" s="5" t="s">
        <v>21</v>
      </c>
      <c r="P9" s="5" t="s">
        <v>22</v>
      </c>
      <c r="Q9" s="5" t="s">
        <v>19</v>
      </c>
      <c r="R9" s="5" t="s">
        <v>22</v>
      </c>
      <c r="S9" s="5" t="s">
        <v>23</v>
      </c>
      <c r="T9" s="19" t="s">
        <v>24</v>
      </c>
      <c r="U9" s="5" t="s">
        <v>19</v>
      </c>
      <c r="V9" s="5" t="s">
        <v>22</v>
      </c>
      <c r="W9" s="5" t="s">
        <v>23</v>
      </c>
      <c r="X9" s="19" t="s">
        <v>24</v>
      </c>
      <c r="Y9" s="1"/>
    </row>
    <row r="10" spans="2:25" s="3" customFormat="1" ht="33" customHeight="1" x14ac:dyDescent="0.2">
      <c r="B10" s="16">
        <v>0.35416666666666669</v>
      </c>
      <c r="C10" s="9"/>
      <c r="D10" s="9"/>
      <c r="E10" s="9"/>
      <c r="F10" s="9"/>
      <c r="G10" s="10" t="s">
        <v>34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2:25" s="3" customFormat="1" ht="33" customHeight="1" x14ac:dyDescent="0.2">
      <c r="B11" s="7">
        <v>0.39583333333333331</v>
      </c>
      <c r="C11" s="10">
        <v>1180</v>
      </c>
      <c r="D11" s="10">
        <v>80</v>
      </c>
      <c r="E11" s="10">
        <v>500</v>
      </c>
      <c r="F11" s="10">
        <v>1874</v>
      </c>
      <c r="G11" s="10" t="s">
        <v>34</v>
      </c>
      <c r="H11" s="10">
        <v>4.7</v>
      </c>
      <c r="I11" s="10"/>
      <c r="J11" s="10"/>
      <c r="K11" s="10"/>
      <c r="L11" s="10">
        <v>23.8</v>
      </c>
      <c r="M11" s="10">
        <v>6.8</v>
      </c>
      <c r="N11" s="10">
        <v>4.4800000000000004</v>
      </c>
      <c r="O11" s="10">
        <v>20</v>
      </c>
      <c r="P11" s="10">
        <v>6.4</v>
      </c>
      <c r="Q11" s="10">
        <v>6.9</v>
      </c>
      <c r="R11" s="10">
        <v>7.3</v>
      </c>
      <c r="S11" s="10">
        <v>0.12</v>
      </c>
      <c r="T11" s="10"/>
      <c r="U11" s="10">
        <v>6.8</v>
      </c>
      <c r="V11" s="10">
        <v>7.8</v>
      </c>
      <c r="W11" s="10">
        <v>0.2</v>
      </c>
      <c r="X11" s="10"/>
    </row>
    <row r="12" spans="2:25" s="3" customFormat="1" ht="33" customHeight="1" x14ac:dyDescent="0.2">
      <c r="B12" s="17">
        <v>0.4375</v>
      </c>
      <c r="C12" s="10">
        <v>1154</v>
      </c>
      <c r="D12" s="10">
        <v>84</v>
      </c>
      <c r="E12" s="10">
        <v>500</v>
      </c>
      <c r="F12" s="10">
        <v>1871</v>
      </c>
      <c r="G12" s="10" t="s">
        <v>34</v>
      </c>
      <c r="H12" s="10">
        <v>4.5999999999999996</v>
      </c>
      <c r="I12" s="10"/>
      <c r="J12" s="10"/>
      <c r="K12" s="10"/>
      <c r="L12" s="10">
        <v>23.8</v>
      </c>
      <c r="M12" s="10">
        <v>6.7</v>
      </c>
      <c r="N12" s="10">
        <v>4.9400000000000004</v>
      </c>
      <c r="O12" s="10">
        <v>16</v>
      </c>
      <c r="P12" s="10">
        <v>8.9</v>
      </c>
      <c r="Q12" s="10">
        <v>6.7</v>
      </c>
      <c r="R12" s="10">
        <v>8.1</v>
      </c>
      <c r="S12" s="10">
        <v>0.1</v>
      </c>
      <c r="T12" s="10"/>
      <c r="U12" s="10">
        <v>6.7</v>
      </c>
      <c r="V12" s="10">
        <v>8.4</v>
      </c>
      <c r="W12" s="10">
        <v>0.28999999999999998</v>
      </c>
      <c r="X12" s="10"/>
    </row>
    <row r="13" spans="2:25" s="3" customFormat="1" ht="33" customHeight="1" x14ac:dyDescent="0.2">
      <c r="B13" s="7">
        <v>0.47916666666666669</v>
      </c>
      <c r="C13" s="10">
        <v>1130</v>
      </c>
      <c r="D13" s="10">
        <v>83</v>
      </c>
      <c r="E13" s="10">
        <v>500</v>
      </c>
      <c r="F13" s="10">
        <v>1888</v>
      </c>
      <c r="G13" s="10" t="s">
        <v>34</v>
      </c>
      <c r="H13" s="10">
        <v>4.5</v>
      </c>
      <c r="I13" s="10"/>
      <c r="J13" s="10"/>
      <c r="K13" s="10"/>
      <c r="L13" s="10">
        <v>24</v>
      </c>
      <c r="M13" s="10">
        <v>6.7</v>
      </c>
      <c r="N13" s="10">
        <v>4.05</v>
      </c>
      <c r="O13" s="10">
        <v>18</v>
      </c>
      <c r="P13" s="10">
        <v>6.9</v>
      </c>
      <c r="Q13" s="10">
        <v>6.8</v>
      </c>
      <c r="R13" s="10">
        <v>9.4</v>
      </c>
      <c r="S13" s="10">
        <v>0.11</v>
      </c>
      <c r="T13" s="10"/>
      <c r="U13" s="10">
        <v>6.7</v>
      </c>
      <c r="V13" s="10">
        <v>9.4</v>
      </c>
      <c r="W13" s="10">
        <v>0.27</v>
      </c>
      <c r="X13" s="10"/>
    </row>
    <row r="14" spans="2:25" s="3" customFormat="1" ht="33" customHeight="1" x14ac:dyDescent="0.2">
      <c r="B14" s="17">
        <v>0.52083333333333337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41</v>
      </c>
    </row>
    <row r="15" spans="2:25" s="3" customFormat="1" ht="33" customHeight="1" x14ac:dyDescent="0.2">
      <c r="B15" s="7">
        <v>0.5625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  <c r="T15" s="10" t="s">
        <v>41</v>
      </c>
      <c r="U15" s="10" t="s">
        <v>41</v>
      </c>
      <c r="V15" s="10" t="s">
        <v>41</v>
      </c>
      <c r="W15" s="10" t="s">
        <v>41</v>
      </c>
      <c r="X15" s="10" t="s">
        <v>41</v>
      </c>
    </row>
    <row r="16" spans="2:25" s="3" customFormat="1" ht="33" customHeight="1" x14ac:dyDescent="0.2">
      <c r="B16" s="17">
        <v>0.60416666666666663</v>
      </c>
      <c r="C16" s="10">
        <v>1139</v>
      </c>
      <c r="D16" s="10">
        <v>84</v>
      </c>
      <c r="E16" s="10">
        <v>499</v>
      </c>
      <c r="F16" s="10">
        <v>1785</v>
      </c>
      <c r="G16" s="10" t="s">
        <v>34</v>
      </c>
      <c r="H16" s="10">
        <v>4.4000000000000004</v>
      </c>
      <c r="I16" s="10"/>
      <c r="J16" s="10"/>
      <c r="K16" s="10"/>
      <c r="L16" s="10">
        <v>24</v>
      </c>
      <c r="M16" s="10">
        <v>6.8</v>
      </c>
      <c r="N16" s="10">
        <v>5.66</v>
      </c>
      <c r="O16" s="10">
        <v>21</v>
      </c>
      <c r="P16" s="10">
        <v>8.6999999999999993</v>
      </c>
      <c r="Q16" s="10">
        <v>6.8</v>
      </c>
      <c r="R16" s="10">
        <v>7.2</v>
      </c>
      <c r="S16" s="10">
        <v>0.17</v>
      </c>
      <c r="T16" s="10"/>
      <c r="U16" s="10">
        <v>6.8</v>
      </c>
      <c r="V16" s="10">
        <v>8.1999999999999993</v>
      </c>
      <c r="W16" s="10">
        <v>0.25</v>
      </c>
      <c r="X16" s="10"/>
    </row>
    <row r="17" spans="2:24" s="3" customFormat="1" ht="33" customHeight="1" x14ac:dyDescent="0.2">
      <c r="B17" s="7">
        <v>0.64583333333333337</v>
      </c>
      <c r="C17" s="10" t="s">
        <v>43</v>
      </c>
      <c r="D17" s="10" t="s">
        <v>43</v>
      </c>
      <c r="E17" s="10" t="s">
        <v>43</v>
      </c>
      <c r="F17" s="10" t="s">
        <v>43</v>
      </c>
      <c r="G17" s="10" t="s">
        <v>43</v>
      </c>
      <c r="H17" s="10" t="s">
        <v>43</v>
      </c>
      <c r="I17" s="10" t="s">
        <v>43</v>
      </c>
      <c r="J17" s="10" t="s">
        <v>43</v>
      </c>
      <c r="K17" s="10" t="s">
        <v>43</v>
      </c>
      <c r="L17" s="10" t="s">
        <v>43</v>
      </c>
      <c r="M17" s="10" t="s">
        <v>43</v>
      </c>
      <c r="N17" s="10" t="s">
        <v>43</v>
      </c>
      <c r="O17" s="10" t="s">
        <v>43</v>
      </c>
      <c r="P17" s="10" t="s">
        <v>43</v>
      </c>
      <c r="Q17" s="10" t="s">
        <v>43</v>
      </c>
      <c r="R17" s="10" t="s">
        <v>43</v>
      </c>
      <c r="S17" s="10" t="s">
        <v>43</v>
      </c>
      <c r="T17" s="10" t="s">
        <v>43</v>
      </c>
      <c r="U17" s="10" t="s">
        <v>43</v>
      </c>
      <c r="V17" s="10" t="s">
        <v>43</v>
      </c>
      <c r="W17" s="10" t="s">
        <v>43</v>
      </c>
      <c r="X17" s="10" t="s">
        <v>43</v>
      </c>
    </row>
    <row r="18" spans="2:24" s="3" customFormat="1" ht="33" customHeight="1" x14ac:dyDescent="0.2">
      <c r="B18" s="17">
        <v>0.6875</v>
      </c>
      <c r="C18" s="10">
        <v>1239</v>
      </c>
      <c r="D18" s="10">
        <v>81</v>
      </c>
      <c r="E18" s="10">
        <v>500</v>
      </c>
      <c r="F18" s="10">
        <v>1845</v>
      </c>
      <c r="G18" s="10" t="s">
        <v>34</v>
      </c>
      <c r="H18" s="10">
        <v>4.4000000000000004</v>
      </c>
      <c r="I18" s="10"/>
      <c r="J18" s="10"/>
      <c r="K18" s="10"/>
      <c r="L18" s="10">
        <v>24.6</v>
      </c>
      <c r="M18" s="10">
        <v>6.8</v>
      </c>
      <c r="N18" s="10">
        <v>7.04</v>
      </c>
      <c r="O18" s="10">
        <v>15</v>
      </c>
      <c r="P18" s="10">
        <v>8.8000000000000007</v>
      </c>
      <c r="Q18" s="10">
        <v>6.8</v>
      </c>
      <c r="R18" s="10">
        <v>8.3000000000000007</v>
      </c>
      <c r="S18" s="10">
        <v>0.18</v>
      </c>
      <c r="T18" s="10"/>
      <c r="U18" s="10">
        <v>6.7</v>
      </c>
      <c r="V18" s="10">
        <v>8.4</v>
      </c>
      <c r="W18" s="10">
        <v>0.25</v>
      </c>
      <c r="X18" s="10"/>
    </row>
    <row r="19" spans="2:24" s="3" customFormat="1" ht="33" customHeight="1" x14ac:dyDescent="0.2">
      <c r="B19" s="7">
        <v>0.72916666666666663</v>
      </c>
      <c r="C19" s="10">
        <v>1212</v>
      </c>
      <c r="D19" s="10">
        <v>70</v>
      </c>
      <c r="E19" s="10">
        <v>500</v>
      </c>
      <c r="F19" s="10">
        <v>1876</v>
      </c>
      <c r="G19" s="10" t="s">
        <v>34</v>
      </c>
      <c r="H19" s="10">
        <v>4.4000000000000004</v>
      </c>
      <c r="I19" s="10"/>
      <c r="J19" s="10"/>
      <c r="K19" s="10"/>
      <c r="L19" s="10">
        <v>24.4</v>
      </c>
      <c r="M19" s="10">
        <v>6.7</v>
      </c>
      <c r="N19" s="10">
        <v>3.36</v>
      </c>
      <c r="O19" s="10">
        <v>18</v>
      </c>
      <c r="P19" s="10">
        <v>8.4</v>
      </c>
      <c r="Q19" s="10">
        <v>6.7</v>
      </c>
      <c r="R19" s="10">
        <v>8.1</v>
      </c>
      <c r="S19" s="10">
        <v>0.12</v>
      </c>
      <c r="T19" s="10"/>
      <c r="U19" s="10">
        <v>6.6</v>
      </c>
      <c r="V19" s="10">
        <v>8.8000000000000007</v>
      </c>
      <c r="W19" s="10">
        <v>0.19</v>
      </c>
      <c r="X19" s="10"/>
    </row>
    <row r="20" spans="2:24" s="3" customFormat="1" ht="33" customHeight="1" x14ac:dyDescent="0.2">
      <c r="B20" s="17">
        <v>0.77083333333333337</v>
      </c>
      <c r="C20" s="10" t="s">
        <v>33</v>
      </c>
      <c r="D20" s="10" t="s">
        <v>33</v>
      </c>
      <c r="E20" s="10" t="s">
        <v>33</v>
      </c>
      <c r="F20" s="10" t="s">
        <v>33</v>
      </c>
      <c r="G20" s="10" t="s">
        <v>33</v>
      </c>
      <c r="H20" s="10" t="s">
        <v>33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33</v>
      </c>
      <c r="N20" s="10" t="s">
        <v>33</v>
      </c>
      <c r="O20" s="10" t="s">
        <v>33</v>
      </c>
      <c r="P20" s="10" t="s">
        <v>33</v>
      </c>
      <c r="Q20" s="10" t="s">
        <v>33</v>
      </c>
      <c r="R20" s="10" t="s">
        <v>33</v>
      </c>
      <c r="S20" s="10" t="s">
        <v>33</v>
      </c>
      <c r="T20" s="10" t="s">
        <v>33</v>
      </c>
      <c r="U20" s="10" t="s">
        <v>33</v>
      </c>
      <c r="V20" s="10" t="s">
        <v>33</v>
      </c>
      <c r="W20" s="10" t="s">
        <v>33</v>
      </c>
      <c r="X20" s="10" t="s">
        <v>33</v>
      </c>
    </row>
    <row r="21" spans="2:24" s="3" customFormat="1" ht="33" customHeight="1" x14ac:dyDescent="0.2">
      <c r="B21" s="7">
        <v>0.8125</v>
      </c>
      <c r="C21" s="10">
        <v>1173</v>
      </c>
      <c r="D21" s="10">
        <v>82</v>
      </c>
      <c r="E21" s="10">
        <v>499</v>
      </c>
      <c r="F21" s="10">
        <v>1884</v>
      </c>
      <c r="G21" s="10" t="s">
        <v>34</v>
      </c>
      <c r="H21" s="10">
        <v>4.4000000000000004</v>
      </c>
      <c r="I21" s="10"/>
      <c r="J21" s="10"/>
      <c r="K21" s="10"/>
      <c r="L21" s="10">
        <v>24.6</v>
      </c>
      <c r="M21" s="10">
        <v>6.8</v>
      </c>
      <c r="N21" s="10">
        <v>3.85</v>
      </c>
      <c r="O21" s="10">
        <v>15</v>
      </c>
      <c r="P21" s="10">
        <v>9.6999999999999993</v>
      </c>
      <c r="Q21" s="10">
        <v>7</v>
      </c>
      <c r="R21" s="10">
        <v>9.6</v>
      </c>
      <c r="S21" s="10">
        <v>0.12</v>
      </c>
      <c r="T21" s="10"/>
      <c r="U21" s="10">
        <v>7</v>
      </c>
      <c r="V21" s="10">
        <v>8.8000000000000007</v>
      </c>
      <c r="W21" s="10">
        <v>0.11</v>
      </c>
      <c r="X21" s="10"/>
    </row>
    <row r="22" spans="2:24" s="3" customFormat="1" ht="33" customHeight="1" thickBot="1" x14ac:dyDescent="0.25">
      <c r="B22" s="18">
        <v>0.85416666666666663</v>
      </c>
      <c r="C22" s="11">
        <v>1183</v>
      </c>
      <c r="D22" s="11">
        <v>82</v>
      </c>
      <c r="E22" s="11">
        <v>499</v>
      </c>
      <c r="F22" s="11">
        <v>1809</v>
      </c>
      <c r="G22" s="10" t="s">
        <v>34</v>
      </c>
      <c r="H22" s="11">
        <v>4.4000000000000004</v>
      </c>
      <c r="I22" s="11"/>
      <c r="J22" s="11"/>
      <c r="K22" s="11"/>
      <c r="L22" s="11">
        <v>24.7</v>
      </c>
      <c r="M22" s="11">
        <v>6.8</v>
      </c>
      <c r="N22" s="11">
        <v>3.4</v>
      </c>
      <c r="O22" s="11">
        <v>14</v>
      </c>
      <c r="P22" s="11">
        <v>10</v>
      </c>
      <c r="Q22" s="11">
        <v>7</v>
      </c>
      <c r="R22" s="11">
        <v>9.1</v>
      </c>
      <c r="S22" s="11">
        <v>0.12</v>
      </c>
      <c r="T22" s="11"/>
      <c r="U22" s="11">
        <v>6.9</v>
      </c>
      <c r="V22" s="11">
        <v>8.3000000000000007</v>
      </c>
      <c r="W22" s="11">
        <v>0.16</v>
      </c>
      <c r="X22" s="11"/>
    </row>
    <row r="24" spans="2:24" ht="27.75" customHeight="1" thickBot="1" x14ac:dyDescent="0.25">
      <c r="B24" s="12" t="s">
        <v>30</v>
      </c>
      <c r="C24" s="12"/>
      <c r="D24" s="12" t="s">
        <v>42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2:24" ht="27.75" customHeight="1" thickBot="1" x14ac:dyDescent="0.25">
      <c r="B25" s="13"/>
      <c r="C25" s="13"/>
      <c r="D25" s="13" t="s">
        <v>44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2:24" ht="27.75" customHeight="1" thickBot="1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2:24" ht="27.75" customHeight="1" thickBot="1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2:24" ht="27.75" customHeight="1" thickBot="1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2:24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6">
    <mergeCell ref="U8:X8"/>
    <mergeCell ref="C8:F8"/>
    <mergeCell ref="G8:H8"/>
    <mergeCell ref="I8:K8"/>
    <mergeCell ref="L8:P8"/>
    <mergeCell ref="Q8:T8"/>
  </mergeCells>
  <pageMargins left="0.7" right="0.7" top="0.75" bottom="0.75" header="0.3" footer="0.3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161-93C0-4E49-94D2-9B5FE55A5C3F}">
  <dimension ref="A1:BH578"/>
  <sheetViews>
    <sheetView tabSelected="1" topLeftCell="A6" zoomScaleNormal="100" workbookViewId="0">
      <selection activeCell="A3" sqref="A3"/>
    </sheetView>
  </sheetViews>
  <sheetFormatPr defaultRowHeight="15" x14ac:dyDescent="0.2"/>
  <cols>
    <col min="1" max="1" width="10.76171875" style="33" bestFit="1" customWidth="1"/>
    <col min="2" max="2" width="9.14453125" style="83"/>
    <col min="3" max="3" width="9.953125" style="61" customWidth="1"/>
    <col min="4" max="4" width="9.01171875" style="61" customWidth="1"/>
    <col min="5" max="5" width="10.76171875" style="61" customWidth="1"/>
    <col min="6" max="6" width="9.68359375" style="61" customWidth="1"/>
    <col min="7" max="7" width="5.51171875" style="29" customWidth="1"/>
    <col min="8" max="8" width="8.875" style="28"/>
    <col min="9" max="9" width="8.875" style="61"/>
    <col min="10" max="10" width="8.609375" style="61" customWidth="1"/>
    <col min="11" max="13" width="8.875" style="61"/>
    <col min="14" max="14" width="8.875" style="28"/>
    <col min="15" max="15" width="8.875" style="40"/>
    <col min="16" max="16" width="8.875" style="61"/>
    <col min="17" max="17" width="8.875" style="28"/>
    <col min="18" max="18" width="9.14453125" style="40"/>
    <col min="19" max="21" width="10.0859375" style="40" customWidth="1"/>
    <col min="22" max="24" width="11.97265625" style="40" customWidth="1"/>
    <col min="25" max="26" width="8.875" style="61"/>
    <col min="27" max="27" width="10.0859375" style="28" customWidth="1"/>
    <col min="28" max="28" width="10.22265625" style="61" customWidth="1"/>
    <col min="29" max="29" width="11.8359375" style="28" customWidth="1"/>
    <col min="30" max="30" width="12.23828125" style="28" customWidth="1"/>
    <col min="31" max="31" width="13.44921875" style="40" customWidth="1"/>
    <col min="32" max="35" width="14.390625" style="40" customWidth="1"/>
    <col min="36" max="37" width="8.875" style="61"/>
    <col min="38" max="38" width="12.10546875" style="28" customWidth="1"/>
    <col min="39" max="39" width="11.8359375" style="61" customWidth="1"/>
    <col min="40" max="40" width="11.97265625" style="28" customWidth="1"/>
    <col min="41" max="41" width="12.10546875" style="28" customWidth="1"/>
    <col min="42" max="42" width="13.31640625" style="40" customWidth="1"/>
    <col min="43" max="43" width="13.85546875" style="40" customWidth="1"/>
    <col min="44" max="44" width="13.85546875" style="61" customWidth="1"/>
    <col min="45" max="47" width="13.85546875" style="25" customWidth="1"/>
    <col min="48" max="49" width="13.98828125" style="25" customWidth="1"/>
    <col min="50" max="50" width="18.0234375" style="25" customWidth="1"/>
    <col min="51" max="51" width="17.08203125" style="25" customWidth="1"/>
    <col min="52" max="52" width="25.828125" style="29" customWidth="1"/>
    <col min="53" max="53" width="18.0234375" style="29" customWidth="1"/>
    <col min="54" max="54" width="20.04296875" style="29" customWidth="1"/>
    <col min="55" max="55" width="19.37109375" style="29" customWidth="1"/>
    <col min="56" max="56" width="19.7734375" style="29" customWidth="1"/>
    <col min="57" max="57" width="21.1171875" style="29" customWidth="1"/>
    <col min="58" max="58" width="24.34765625" style="29" customWidth="1"/>
    <col min="59" max="59" width="24.75" style="29" customWidth="1"/>
    <col min="60" max="60" width="18.83203125" style="29" customWidth="1"/>
  </cols>
  <sheetData>
    <row r="1" spans="1:60" ht="96" customHeight="1" x14ac:dyDescent="0.2">
      <c r="A1" s="20" t="s">
        <v>47</v>
      </c>
      <c r="B1" s="47" t="s">
        <v>0</v>
      </c>
      <c r="C1" s="56" t="s">
        <v>48</v>
      </c>
      <c r="D1" s="56" t="s">
        <v>49</v>
      </c>
      <c r="E1" s="56" t="s">
        <v>50</v>
      </c>
      <c r="F1" s="56" t="s">
        <v>51</v>
      </c>
      <c r="G1" s="84" t="s">
        <v>52</v>
      </c>
      <c r="H1" s="62" t="s">
        <v>53</v>
      </c>
      <c r="I1" s="72" t="s">
        <v>96</v>
      </c>
      <c r="J1" s="56" t="s">
        <v>97</v>
      </c>
      <c r="K1" s="56" t="s">
        <v>54</v>
      </c>
      <c r="L1" s="56" t="s">
        <v>55</v>
      </c>
      <c r="M1" s="56" t="s">
        <v>56</v>
      </c>
      <c r="N1" s="62" t="s">
        <v>57</v>
      </c>
      <c r="O1" s="35" t="s">
        <v>58</v>
      </c>
      <c r="P1" s="56" t="s">
        <v>59</v>
      </c>
      <c r="Q1" s="62" t="s">
        <v>60</v>
      </c>
      <c r="R1" s="35" t="s">
        <v>61</v>
      </c>
      <c r="S1" s="35" t="s">
        <v>105</v>
      </c>
      <c r="T1" s="35" t="s">
        <v>106</v>
      </c>
      <c r="U1" s="35" t="s">
        <v>107</v>
      </c>
      <c r="V1" s="35" t="s">
        <v>111</v>
      </c>
      <c r="W1" s="67" t="s">
        <v>109</v>
      </c>
      <c r="X1" s="35" t="s">
        <v>108</v>
      </c>
      <c r="Y1" s="56" t="s">
        <v>62</v>
      </c>
      <c r="Z1" s="56" t="s">
        <v>63</v>
      </c>
      <c r="AA1" s="62" t="s">
        <v>68</v>
      </c>
      <c r="AB1" s="56" t="s">
        <v>69</v>
      </c>
      <c r="AC1" s="62" t="s">
        <v>66</v>
      </c>
      <c r="AD1" s="62" t="s">
        <v>67</v>
      </c>
      <c r="AE1" s="35" t="s">
        <v>70</v>
      </c>
      <c r="AF1" s="35" t="s">
        <v>71</v>
      </c>
      <c r="AG1" s="35" t="s">
        <v>112</v>
      </c>
      <c r="AH1" s="67" t="s">
        <v>110</v>
      </c>
      <c r="AI1" s="35" t="s">
        <v>113</v>
      </c>
      <c r="AJ1" s="56" t="s">
        <v>64</v>
      </c>
      <c r="AK1" s="56" t="s">
        <v>65</v>
      </c>
      <c r="AL1" s="62" t="s">
        <v>72</v>
      </c>
      <c r="AM1" s="56" t="s">
        <v>73</v>
      </c>
      <c r="AN1" s="62" t="s">
        <v>74</v>
      </c>
      <c r="AO1" s="62" t="s">
        <v>75</v>
      </c>
      <c r="AP1" s="35" t="s">
        <v>76</v>
      </c>
      <c r="AQ1" s="35" t="s">
        <v>77</v>
      </c>
      <c r="AR1" s="72" t="s">
        <v>92</v>
      </c>
      <c r="AS1" s="74" t="s">
        <v>93</v>
      </c>
      <c r="AT1" s="74" t="s">
        <v>94</v>
      </c>
      <c r="AU1" s="74" t="s">
        <v>95</v>
      </c>
      <c r="AV1" s="74" t="s">
        <v>90</v>
      </c>
      <c r="AW1" s="74" t="s">
        <v>91</v>
      </c>
      <c r="AX1" s="23" t="s">
        <v>89</v>
      </c>
      <c r="AY1" s="23" t="s">
        <v>88</v>
      </c>
      <c r="AZ1" s="76" t="s">
        <v>83</v>
      </c>
      <c r="BA1" s="76" t="s">
        <v>82</v>
      </c>
      <c r="BB1" s="76" t="s">
        <v>80</v>
      </c>
      <c r="BC1" s="76" t="s">
        <v>81</v>
      </c>
      <c r="BD1" s="76" t="s">
        <v>86</v>
      </c>
      <c r="BE1" s="76" t="s">
        <v>87</v>
      </c>
      <c r="BF1" s="76" t="s">
        <v>85</v>
      </c>
      <c r="BG1" s="76" t="s">
        <v>84</v>
      </c>
      <c r="BH1" s="76" t="s">
        <v>79</v>
      </c>
    </row>
    <row r="2" spans="1:60" x14ac:dyDescent="0.2">
      <c r="A2" s="31">
        <v>46259</v>
      </c>
      <c r="B2" s="80">
        <v>0.39583333333333331</v>
      </c>
      <c r="C2" s="57">
        <v>350</v>
      </c>
      <c r="D2" s="57">
        <v>1700</v>
      </c>
      <c r="E2" s="57">
        <v>0</v>
      </c>
      <c r="F2" s="57">
        <v>2200</v>
      </c>
      <c r="G2" s="85" t="s">
        <v>78</v>
      </c>
      <c r="H2" s="63">
        <v>9.8000000000000007</v>
      </c>
      <c r="I2" s="57">
        <v>-38</v>
      </c>
      <c r="J2" s="57">
        <v>90</v>
      </c>
      <c r="K2" s="57">
        <v>90</v>
      </c>
      <c r="L2" s="57">
        <v>90</v>
      </c>
      <c r="M2" s="57">
        <v>25</v>
      </c>
      <c r="N2" s="63">
        <v>6.4</v>
      </c>
      <c r="O2" s="36">
        <v>1.06</v>
      </c>
      <c r="P2" s="57">
        <v>8</v>
      </c>
      <c r="Q2" s="63">
        <v>5.8</v>
      </c>
      <c r="R2" s="36">
        <v>0.17</v>
      </c>
      <c r="S2" s="36">
        <v>22.36</v>
      </c>
      <c r="T2" s="36">
        <v>0.88</v>
      </c>
      <c r="U2" s="36">
        <v>0.7</v>
      </c>
      <c r="V2" s="42">
        <f>(O2+0.3*H2+2)*(F2/2/Z2)</f>
        <v>1650</v>
      </c>
      <c r="W2" s="42">
        <f>S2*(U2*AA2*0.987-T2)*AB2</f>
        <v>1372.556302</v>
      </c>
      <c r="X2" s="42">
        <f>W2/V2</f>
        <v>0.83185230424242418</v>
      </c>
      <c r="Y2" s="57">
        <v>3</v>
      </c>
      <c r="Z2" s="57">
        <v>4</v>
      </c>
      <c r="AA2" s="63">
        <v>6.5</v>
      </c>
      <c r="AB2" s="57">
        <v>17</v>
      </c>
      <c r="AC2" s="63">
        <v>5.6</v>
      </c>
      <c r="AD2" s="63">
        <v>2</v>
      </c>
      <c r="AE2" s="36">
        <v>0.86</v>
      </c>
      <c r="AF2" s="36">
        <v>0.14000000000000001</v>
      </c>
      <c r="AG2" s="42">
        <f t="shared" ref="AG2:AG65" si="0">(O2+0.3*H2+2)*(F2/2/AK2)</f>
        <v>1650</v>
      </c>
      <c r="AH2" s="42">
        <f>S2*(U2*AL2*0.987-T2)*AM2</f>
        <v>1768.158925</v>
      </c>
      <c r="AI2" s="42">
        <f>AH2/AG2</f>
        <v>1.0716114696969696</v>
      </c>
      <c r="AJ2" s="57">
        <v>4</v>
      </c>
      <c r="AK2" s="57">
        <v>4</v>
      </c>
      <c r="AL2" s="63">
        <v>6.25</v>
      </c>
      <c r="AM2" s="57">
        <v>23</v>
      </c>
      <c r="AN2" s="63">
        <v>5.2</v>
      </c>
      <c r="AO2" s="63">
        <v>2.2000000000000002</v>
      </c>
      <c r="AP2" s="36">
        <v>1.21</v>
      </c>
      <c r="AQ2" s="36">
        <v>0.11</v>
      </c>
      <c r="AR2" s="73">
        <f t="shared" ref="AR2:AR65" si="1">SUM(C2:E2)</f>
        <v>2050</v>
      </c>
      <c r="AS2" s="75">
        <f t="shared" ref="AS2:AS65" si="2">C2/AR2</f>
        <v>0.17073170731707318</v>
      </c>
      <c r="AT2" s="75">
        <f t="shared" ref="AT2:AT65" si="3">D2/AR2</f>
        <v>0.82926829268292679</v>
      </c>
      <c r="AU2" s="75">
        <f t="shared" ref="AU2:AU65" si="4">E2/AR2</f>
        <v>0</v>
      </c>
      <c r="AV2" s="26">
        <f t="shared" ref="AV2:AV65" si="5">IF(AND(F2&lt;&gt;"",Z2&lt;&gt;""),AB2/(F2/2/Z2),"")</f>
        <v>6.1818181818181821E-2</v>
      </c>
      <c r="AW2" s="26">
        <f t="shared" ref="AW2:AW65" si="6">IF(AND(F2&lt;&gt;"",AK2&lt;&gt;""),AM2/(F2/2/AK2),"")</f>
        <v>8.3636363636363634E-2</v>
      </c>
      <c r="AX2" s="24">
        <f t="shared" ref="AX2:AX65" si="7">IF(AND(AQ2&lt;&gt;"",1-(AQ2/O2)&gt;0),1-(AQ2/O2),"")</f>
        <v>0.89622641509433965</v>
      </c>
      <c r="AY2" s="24">
        <f t="shared" ref="AY2:AY65" si="8">IF(AND(AF2&lt;&gt;"",1-(AF2/O2)&gt;0),1-(AF2/O2),"")</f>
        <v>0.86792452830188682</v>
      </c>
      <c r="AZ2" s="77" t="str">
        <f t="shared" ref="AZ2:AZ65" si="9">IF(Q2="","",IF(Q2&lt;2.5,"Alc. Bruta &lt; 2,5 mg/L",IF(Q2&lt;5,"2,5 ≤ Alc. Bruta &lt; 5,0 mg/L",IF(Q2&lt;7.5,"5,0 ≤ Alc. Bruta &lt; 7,5 mg/L",IF(Q2&lt;10,"7,5 ≤ Alc. Bruta &lt; 10,0 mg/L",IF(Q2&lt;15,"10,0 ≤ Alca. Bruta &lt; 15,0 mg/L","Alc. Bruta &gt; 15 mg/L"))))))</f>
        <v>5,0 ≤ Alc. Bruta &lt; 7,5 mg/L</v>
      </c>
      <c r="BA2" s="77" t="str">
        <f t="shared" ref="BA2:BA65" si="10">IF(P2="","",IF(P2&lt;5,"Cor &lt;5 uC",IF(P2&lt;10,"5 ≤ Cor &lt; 10 uC",IF(P2&lt;15,"10 ≤ Cor &lt;15 uC",IF(P2&lt;30,"15 ≤ Cor &lt; 30 uC",IF(P2&lt;50,"30 ≤ Cor &lt; 50 uC","Cor &gt; 50 uC"))))))</f>
        <v>5 ≤ Cor &lt; 10 uC</v>
      </c>
      <c r="BB2" s="78" t="str">
        <f t="shared" ref="BB2:BB65" si="11">IF(O2="","",IF(O2&lt;2.5,"Turbidez &lt; 2,5 uT",IF(O2&lt;5,"2,5 ≤ Turb &lt; 5,0 uT",IF(O2&lt;7.5,"5,0 ≤ Turb &lt; 7,5 uT",IF(O2&lt;10,"7,5 ≤ Turb &lt; 10,0 uT",IF(O2&lt;15,"10,0 ≤ Turb &lt; 15,0 uT","Turb &gt; 15 uT"))))))</f>
        <v>Turbidez &lt; 2,5 uT</v>
      </c>
      <c r="BC2" s="79" t="str">
        <f t="shared" ref="BC2:BC65" si="12">IF(AND(C2&gt;D2,D2&gt;E2),"TOR &gt; SM &gt; BNN",IF(AND(C2&gt;E2,E2&gt;D2),"TOR &gt; BNN &gt; SM",IF(AND(D2&gt;C2,C2&gt;E2),"SM &gt; TOR &gt; BNN",IF(AND(D2&gt;E2,E2&gt;C2),"SM &gt; BNN &gt; TOR",IF(AND(C2=D2,D2=E2),"TOR = SM = BNN","Comb. diferentes")))))</f>
        <v>SM &gt; TOR &gt; BNN</v>
      </c>
      <c r="BD2" s="78" t="str">
        <f t="shared" ref="BD2:BD65" si="13">IF(OR(AE2="",AQ2="-"),"",IF(AE2&lt;=0.25,"Tipo 1 (≤0,25) uT",IF(AE2&lt;=0.5,"Tipo 2 (0,25-0,50) uT",IF(AE2&lt;=0.75,"Tipo 3 (0,50-0,75) uT","Tipo 4 (&gt;0,75) uT"))))</f>
        <v>Tipo 4 (&gt;0,75) uT</v>
      </c>
      <c r="BE2" s="78" t="str">
        <f t="shared" ref="BE2:BE65" si="14">IF(OR(AP2="",AZ2="-"),"",IF(AP2&lt;=0.25,"Tipo 1 (≤0,25) uT",IF(AP2&lt;=0.5,"Tipo 2 (0,25-0,50) uT",IF(AP2&lt;=0.75,"Tipo 3 (0,50-0,75) uT","Tipo 4 (&gt;0,75) uT"))))</f>
        <v>Tipo 4 (&gt;0,75) uT</v>
      </c>
      <c r="BF2" s="78" t="str">
        <f t="shared" ref="BF2:BF65" si="15">IF(OR(AF2="",AQ2="-"),"",IF(AF2&lt;=0.25,"Tipo 1 (≤0,25) uT",IF(AF2&lt;=0.5,"Tipo 2 (0,25-0,50) uT",IF(AF2&lt;=0.75,"Tipo 3 (0,50-0,75) uT","Tipo 4 (&gt;0,75) uT"))))</f>
        <v>Tipo 1 (≤0,25) uT</v>
      </c>
      <c r="BG2" s="78" t="str">
        <f t="shared" ref="BG2:BG65" si="16">IF(OR(AQ2="",AQ2="-"),"",IF(AQ2&lt;=0.25,"Tipo 1 (≤0,25) uT",IF(AQ2&lt;=0.5,"Tipo 2 (0,25-0,50) uT",IF(AQ2&lt;=0.75,"Tipo 3 (0,50-0,75) uT","Tipo 4 (&gt;0,75) uT"))))</f>
        <v>Tipo 1 (≤0,25) uT</v>
      </c>
      <c r="BH2" s="78" t="str">
        <f t="shared" ref="BH2:BH65" si="17">IF(OR(R2="",R2="-"),"",IF(R2&lt;=0.25,"Tipo 1 (≤0,25) uT",IF(R2&lt;=0.5,"Tipo 2 (0,25-0,50) uT",IF(R2&lt;=0.75,"Tipo 3 (0,50-0,75) uT","Tipo 4 (&gt;0,75) uT"))))</f>
        <v>Tipo 1 (≤0,25) uT</v>
      </c>
    </row>
    <row r="3" spans="1:60" x14ac:dyDescent="0.2">
      <c r="A3" s="31">
        <v>46259</v>
      </c>
      <c r="B3" s="80">
        <v>0.47916666666666669</v>
      </c>
      <c r="C3" s="57">
        <v>362</v>
      </c>
      <c r="D3" s="57">
        <v>1691</v>
      </c>
      <c r="E3" s="57">
        <v>0</v>
      </c>
      <c r="F3" s="57">
        <v>2180</v>
      </c>
      <c r="G3" s="85" t="s">
        <v>78</v>
      </c>
      <c r="H3" s="63">
        <v>9.8000000000000007</v>
      </c>
      <c r="I3" s="57">
        <v>-92</v>
      </c>
      <c r="J3" s="57">
        <v>90</v>
      </c>
      <c r="K3" s="57">
        <v>90</v>
      </c>
      <c r="L3" s="57">
        <v>90</v>
      </c>
      <c r="M3" s="57">
        <v>25.4</v>
      </c>
      <c r="N3" s="63">
        <v>6.4</v>
      </c>
      <c r="O3" s="36">
        <v>0.9</v>
      </c>
      <c r="P3" s="57">
        <v>7</v>
      </c>
      <c r="Q3" s="63">
        <v>5</v>
      </c>
      <c r="R3" s="36">
        <v>0.24</v>
      </c>
      <c r="S3" s="36">
        <v>22.36</v>
      </c>
      <c r="T3" s="36">
        <v>0.88</v>
      </c>
      <c r="U3" s="36">
        <v>0.7</v>
      </c>
      <c r="V3" s="42">
        <f t="shared" ref="V3:V66" si="18">(O3+0.3*H3+2)*(F3/2/Z3)</f>
        <v>1591.3999999999999</v>
      </c>
      <c r="W3" s="42">
        <f t="shared" ref="W3:W66" si="19">S3*(U3*AA3*0.987-T3)*AB3</f>
        <v>1372.556302</v>
      </c>
      <c r="X3" s="42">
        <f t="shared" ref="X3:X66" si="20">W3/V3</f>
        <v>0.86248353776548958</v>
      </c>
      <c r="Y3" s="57">
        <v>3</v>
      </c>
      <c r="Z3" s="57">
        <v>4</v>
      </c>
      <c r="AA3" s="63">
        <v>6.5</v>
      </c>
      <c r="AB3" s="57">
        <v>17</v>
      </c>
      <c r="AC3" s="63">
        <v>5.7</v>
      </c>
      <c r="AD3" s="63">
        <v>2.1</v>
      </c>
      <c r="AE3" s="36">
        <v>1.46</v>
      </c>
      <c r="AF3" s="36">
        <v>0.13</v>
      </c>
      <c r="AG3" s="42">
        <f t="shared" si="0"/>
        <v>1591.3999999999999</v>
      </c>
      <c r="AH3" s="42">
        <f t="shared" ref="AH3:AH66" si="21">S3*(U3*AL3*0.987-T3)*AM3</f>
        <v>1785.9247275999996</v>
      </c>
      <c r="AI3" s="42">
        <f t="shared" ref="AI3:AI66" si="22">AH3/AG3</f>
        <v>1.122234967701395</v>
      </c>
      <c r="AJ3" s="57">
        <v>4</v>
      </c>
      <c r="AK3" s="57">
        <v>4</v>
      </c>
      <c r="AL3" s="63">
        <v>6.3</v>
      </c>
      <c r="AM3" s="57">
        <v>23</v>
      </c>
      <c r="AN3" s="63">
        <v>5.3</v>
      </c>
      <c r="AO3" s="63">
        <v>2.2000000000000002</v>
      </c>
      <c r="AP3" s="36">
        <v>1.25</v>
      </c>
      <c r="AQ3" s="36">
        <v>0.11</v>
      </c>
      <c r="AR3" s="73">
        <f t="shared" si="1"/>
        <v>2053</v>
      </c>
      <c r="AS3" s="75">
        <f t="shared" si="2"/>
        <v>0.17632732586458841</v>
      </c>
      <c r="AT3" s="75">
        <f t="shared" si="3"/>
        <v>0.82367267413541156</v>
      </c>
      <c r="AU3" s="75">
        <f t="shared" si="4"/>
        <v>0</v>
      </c>
      <c r="AV3" s="26">
        <f t="shared" si="5"/>
        <v>6.2385321100917435E-2</v>
      </c>
      <c r="AW3" s="26">
        <f t="shared" si="6"/>
        <v>8.4403669724770647E-2</v>
      </c>
      <c r="AX3" s="24">
        <f t="shared" si="7"/>
        <v>0.87777777777777777</v>
      </c>
      <c r="AY3" s="24">
        <f t="shared" si="8"/>
        <v>0.85555555555555551</v>
      </c>
      <c r="AZ3" s="77" t="str">
        <f t="shared" si="9"/>
        <v>5,0 ≤ Alc. Bruta &lt; 7,5 mg/L</v>
      </c>
      <c r="BA3" s="77" t="str">
        <f t="shared" si="10"/>
        <v>5 ≤ Cor &lt; 10 uC</v>
      </c>
      <c r="BB3" s="78" t="str">
        <f t="shared" si="11"/>
        <v>Turbidez &lt; 2,5 uT</v>
      </c>
      <c r="BC3" s="79" t="str">
        <f t="shared" si="12"/>
        <v>SM &gt; TOR &gt; BNN</v>
      </c>
      <c r="BD3" s="78" t="str">
        <f t="shared" si="13"/>
        <v>Tipo 4 (&gt;0,75) uT</v>
      </c>
      <c r="BE3" s="78" t="str">
        <f t="shared" si="14"/>
        <v>Tipo 4 (&gt;0,75) uT</v>
      </c>
      <c r="BF3" s="78" t="str">
        <f t="shared" si="15"/>
        <v>Tipo 1 (≤0,25) uT</v>
      </c>
      <c r="BG3" s="78" t="str">
        <f t="shared" si="16"/>
        <v>Tipo 1 (≤0,25) uT</v>
      </c>
      <c r="BH3" s="78" t="str">
        <f t="shared" si="17"/>
        <v>Tipo 1 (≤0,25) uT</v>
      </c>
    </row>
    <row r="4" spans="1:60" x14ac:dyDescent="0.2">
      <c r="A4" s="31">
        <v>46259</v>
      </c>
      <c r="B4" s="80">
        <v>0.72916666666666663</v>
      </c>
      <c r="C4" s="57">
        <v>344</v>
      </c>
      <c r="D4" s="57">
        <v>1544</v>
      </c>
      <c r="E4" s="57">
        <v>350</v>
      </c>
      <c r="F4" s="57">
        <v>2280</v>
      </c>
      <c r="G4" s="85" t="s">
        <v>78</v>
      </c>
      <c r="H4" s="63">
        <v>9.8000000000000007</v>
      </c>
      <c r="I4" s="57">
        <v>-118</v>
      </c>
      <c r="J4" s="57">
        <v>90</v>
      </c>
      <c r="K4" s="57">
        <v>90</v>
      </c>
      <c r="L4" s="57">
        <v>90</v>
      </c>
      <c r="M4" s="57">
        <v>26.6</v>
      </c>
      <c r="N4" s="63">
        <v>6.5</v>
      </c>
      <c r="O4" s="36">
        <v>0.98</v>
      </c>
      <c r="P4" s="57">
        <v>9</v>
      </c>
      <c r="Q4" s="63">
        <v>6.3</v>
      </c>
      <c r="R4" s="36">
        <v>0.28999999999999998</v>
      </c>
      <c r="S4" s="36">
        <v>22.36</v>
      </c>
      <c r="T4" s="36">
        <v>0.88</v>
      </c>
      <c r="U4" s="36">
        <v>0.7</v>
      </c>
      <c r="V4" s="42">
        <f t="shared" si="18"/>
        <v>1687.2</v>
      </c>
      <c r="W4" s="42">
        <f t="shared" si="19"/>
        <v>1380.4350492400001</v>
      </c>
      <c r="X4" s="42">
        <f t="shared" si="20"/>
        <v>0.81818103914177343</v>
      </c>
      <c r="Y4" s="57">
        <v>3</v>
      </c>
      <c r="Z4" s="57">
        <v>4</v>
      </c>
      <c r="AA4" s="63">
        <v>6.53</v>
      </c>
      <c r="AB4" s="57">
        <v>17</v>
      </c>
      <c r="AC4" s="63">
        <v>6.1</v>
      </c>
      <c r="AD4" s="63">
        <v>4.9000000000000004</v>
      </c>
      <c r="AE4" s="36">
        <v>0.69</v>
      </c>
      <c r="AF4" s="36">
        <v>0.18</v>
      </c>
      <c r="AG4" s="42">
        <f t="shared" si="0"/>
        <v>1687.2</v>
      </c>
      <c r="AH4" s="42">
        <f t="shared" si="21"/>
        <v>1771.7120855199996</v>
      </c>
      <c r="AI4" s="42">
        <f t="shared" si="22"/>
        <v>1.0500901407776195</v>
      </c>
      <c r="AJ4" s="57">
        <v>3</v>
      </c>
      <c r="AK4" s="57">
        <v>4</v>
      </c>
      <c r="AL4" s="63">
        <v>6.26</v>
      </c>
      <c r="AM4" s="57">
        <v>23</v>
      </c>
      <c r="AN4" s="63">
        <v>6.1</v>
      </c>
      <c r="AO4" s="63">
        <v>4.4000000000000004</v>
      </c>
      <c r="AP4" s="36">
        <v>0.7</v>
      </c>
      <c r="AQ4" s="36">
        <v>0.22</v>
      </c>
      <c r="AR4" s="73">
        <f t="shared" si="1"/>
        <v>2238</v>
      </c>
      <c r="AS4" s="75">
        <f t="shared" si="2"/>
        <v>0.15370866845397677</v>
      </c>
      <c r="AT4" s="75">
        <f t="shared" si="3"/>
        <v>0.68990169794459344</v>
      </c>
      <c r="AU4" s="75">
        <f t="shared" si="4"/>
        <v>0.15638963360142985</v>
      </c>
      <c r="AV4" s="26">
        <f t="shared" si="5"/>
        <v>5.9649122807017542E-2</v>
      </c>
      <c r="AW4" s="26">
        <f t="shared" si="6"/>
        <v>8.0701754385964913E-2</v>
      </c>
      <c r="AX4" s="24">
        <f t="shared" si="7"/>
        <v>0.77551020408163263</v>
      </c>
      <c r="AY4" s="24">
        <f t="shared" si="8"/>
        <v>0.81632653061224492</v>
      </c>
      <c r="AZ4" s="77" t="str">
        <f t="shared" si="9"/>
        <v>5,0 ≤ Alc. Bruta &lt; 7,5 mg/L</v>
      </c>
      <c r="BA4" s="77" t="str">
        <f t="shared" si="10"/>
        <v>5 ≤ Cor &lt; 10 uC</v>
      </c>
      <c r="BB4" s="78" t="str">
        <f t="shared" si="11"/>
        <v>Turbidez &lt; 2,5 uT</v>
      </c>
      <c r="BC4" s="79" t="str">
        <f t="shared" si="12"/>
        <v>SM &gt; BNN &gt; TOR</v>
      </c>
      <c r="BD4" s="78" t="str">
        <f t="shared" si="13"/>
        <v>Tipo 3 (0,50-0,75) uT</v>
      </c>
      <c r="BE4" s="78" t="str">
        <f t="shared" si="14"/>
        <v>Tipo 3 (0,50-0,75) uT</v>
      </c>
      <c r="BF4" s="78" t="str">
        <f t="shared" si="15"/>
        <v>Tipo 1 (≤0,25) uT</v>
      </c>
      <c r="BG4" s="78" t="str">
        <f t="shared" si="16"/>
        <v>Tipo 1 (≤0,25) uT</v>
      </c>
      <c r="BH4" s="78" t="str">
        <f t="shared" si="17"/>
        <v>Tipo 2 (0,25-0,50) uT</v>
      </c>
    </row>
    <row r="5" spans="1:60" x14ac:dyDescent="0.2">
      <c r="A5" s="31">
        <v>46259</v>
      </c>
      <c r="B5" s="80">
        <v>0.8125</v>
      </c>
      <c r="C5" s="57">
        <v>349</v>
      </c>
      <c r="D5" s="57">
        <v>1572</v>
      </c>
      <c r="E5" s="57">
        <v>350</v>
      </c>
      <c r="F5" s="57">
        <v>2214</v>
      </c>
      <c r="G5" s="85" t="s">
        <v>78</v>
      </c>
      <c r="H5" s="63">
        <v>9.8000000000000007</v>
      </c>
      <c r="I5" s="57">
        <v>-135</v>
      </c>
      <c r="J5" s="57">
        <v>90</v>
      </c>
      <c r="K5" s="57">
        <v>90</v>
      </c>
      <c r="L5" s="57">
        <v>90</v>
      </c>
      <c r="M5" s="57">
        <v>25.5</v>
      </c>
      <c r="N5" s="63">
        <v>6.6</v>
      </c>
      <c r="O5" s="36">
        <v>1.0900000000000001</v>
      </c>
      <c r="P5" s="57">
        <v>11</v>
      </c>
      <c r="Q5" s="63">
        <v>6.3</v>
      </c>
      <c r="R5" s="36">
        <v>0.4</v>
      </c>
      <c r="S5" s="36">
        <v>22.36</v>
      </c>
      <c r="T5" s="36">
        <v>0.88</v>
      </c>
      <c r="U5" s="36">
        <v>0.7</v>
      </c>
      <c r="V5" s="42">
        <f t="shared" si="18"/>
        <v>1668.8025</v>
      </c>
      <c r="W5" s="42">
        <f t="shared" si="19"/>
        <v>1390.94004556</v>
      </c>
      <c r="X5" s="42">
        <f t="shared" si="20"/>
        <v>0.83349590233715498</v>
      </c>
      <c r="Y5" s="57">
        <v>3</v>
      </c>
      <c r="Z5" s="57">
        <v>4</v>
      </c>
      <c r="AA5" s="63">
        <v>6.57</v>
      </c>
      <c r="AB5" s="57">
        <v>17</v>
      </c>
      <c r="AC5" s="63">
        <v>6.2</v>
      </c>
      <c r="AD5" s="63">
        <v>5.2</v>
      </c>
      <c r="AE5" s="36">
        <v>0.51</v>
      </c>
      <c r="AF5" s="36">
        <v>0.2</v>
      </c>
      <c r="AG5" s="42">
        <f t="shared" si="0"/>
        <v>1668.8025</v>
      </c>
      <c r="AH5" s="42">
        <f t="shared" si="21"/>
        <v>1768.158925</v>
      </c>
      <c r="AI5" s="42">
        <f t="shared" si="22"/>
        <v>1.05953755761991</v>
      </c>
      <c r="AJ5" s="57">
        <v>3</v>
      </c>
      <c r="AK5" s="57">
        <v>4</v>
      </c>
      <c r="AL5" s="63">
        <v>6.25</v>
      </c>
      <c r="AM5" s="57">
        <v>23</v>
      </c>
      <c r="AN5" s="63">
        <v>6.2</v>
      </c>
      <c r="AO5" s="63">
        <v>4.7</v>
      </c>
      <c r="AP5" s="36">
        <v>0.45</v>
      </c>
      <c r="AQ5" s="36">
        <v>0.22</v>
      </c>
      <c r="AR5" s="73">
        <f t="shared" si="1"/>
        <v>2271</v>
      </c>
      <c r="AS5" s="75">
        <f t="shared" si="2"/>
        <v>0.15367679436371642</v>
      </c>
      <c r="AT5" s="75">
        <f t="shared" si="3"/>
        <v>0.69220607661822986</v>
      </c>
      <c r="AU5" s="75">
        <f t="shared" si="4"/>
        <v>0.15411712901805372</v>
      </c>
      <c r="AV5" s="26">
        <f t="shared" si="5"/>
        <v>6.142728093947606E-2</v>
      </c>
      <c r="AW5" s="26">
        <f t="shared" si="6"/>
        <v>8.3107497741644082E-2</v>
      </c>
      <c r="AX5" s="24">
        <f t="shared" si="7"/>
        <v>0.79816513761467889</v>
      </c>
      <c r="AY5" s="24">
        <f t="shared" si="8"/>
        <v>0.8165137614678899</v>
      </c>
      <c r="AZ5" s="77" t="str">
        <f t="shared" si="9"/>
        <v>5,0 ≤ Alc. Bruta &lt; 7,5 mg/L</v>
      </c>
      <c r="BA5" s="77" t="str">
        <f t="shared" si="10"/>
        <v>10 ≤ Cor &lt;15 uC</v>
      </c>
      <c r="BB5" s="78" t="str">
        <f t="shared" si="11"/>
        <v>Turbidez &lt; 2,5 uT</v>
      </c>
      <c r="BC5" s="79" t="str">
        <f t="shared" si="12"/>
        <v>SM &gt; BNN &gt; TOR</v>
      </c>
      <c r="BD5" s="78" t="str">
        <f t="shared" si="13"/>
        <v>Tipo 3 (0,50-0,75) uT</v>
      </c>
      <c r="BE5" s="78" t="str">
        <f t="shared" si="14"/>
        <v>Tipo 2 (0,25-0,50) uT</v>
      </c>
      <c r="BF5" s="78" t="str">
        <f t="shared" si="15"/>
        <v>Tipo 1 (≤0,25) uT</v>
      </c>
      <c r="BG5" s="78" t="str">
        <f t="shared" si="16"/>
        <v>Tipo 1 (≤0,25) uT</v>
      </c>
      <c r="BH5" s="78" t="str">
        <f t="shared" si="17"/>
        <v>Tipo 2 (0,25-0,50) uT</v>
      </c>
    </row>
    <row r="6" spans="1:60" x14ac:dyDescent="0.2">
      <c r="A6" s="31">
        <v>46259</v>
      </c>
      <c r="B6" s="80">
        <v>0.89583333333333337</v>
      </c>
      <c r="C6" s="57">
        <v>338</v>
      </c>
      <c r="D6" s="57">
        <v>1581</v>
      </c>
      <c r="E6" s="57">
        <v>349</v>
      </c>
      <c r="F6" s="57">
        <v>2240</v>
      </c>
      <c r="G6" s="85" t="s">
        <v>78</v>
      </c>
      <c r="H6" s="63">
        <v>9.8000000000000007</v>
      </c>
      <c r="I6" s="57">
        <v>-141</v>
      </c>
      <c r="J6" s="57">
        <v>90</v>
      </c>
      <c r="K6" s="57">
        <v>90</v>
      </c>
      <c r="L6" s="57">
        <v>90</v>
      </c>
      <c r="M6" s="57">
        <v>25.5</v>
      </c>
      <c r="N6" s="63">
        <v>6.6</v>
      </c>
      <c r="O6" s="36">
        <v>1.1200000000000001</v>
      </c>
      <c r="P6" s="57">
        <v>6</v>
      </c>
      <c r="Q6" s="63">
        <v>7.2</v>
      </c>
      <c r="R6" s="36">
        <v>0.31</v>
      </c>
      <c r="S6" s="36">
        <v>22.36</v>
      </c>
      <c r="T6" s="36">
        <v>0.88</v>
      </c>
      <c r="U6" s="36">
        <v>0.7</v>
      </c>
      <c r="V6" s="42">
        <f t="shared" si="18"/>
        <v>1696.8000000000002</v>
      </c>
      <c r="W6" s="42">
        <f t="shared" si="19"/>
        <v>1294.2894598399998</v>
      </c>
      <c r="X6" s="42">
        <f t="shared" si="20"/>
        <v>0.76278256709099468</v>
      </c>
      <c r="Y6" s="57">
        <v>3</v>
      </c>
      <c r="Z6" s="57">
        <v>4</v>
      </c>
      <c r="AA6" s="63">
        <v>6.51</v>
      </c>
      <c r="AB6" s="57">
        <v>16</v>
      </c>
      <c r="AC6" s="63">
        <v>6.2</v>
      </c>
      <c r="AD6" s="63">
        <v>4.7</v>
      </c>
      <c r="AE6" s="36">
        <v>0.3</v>
      </c>
      <c r="AF6" s="36">
        <v>0.2</v>
      </c>
      <c r="AG6" s="42">
        <f t="shared" si="0"/>
        <v>1696.8000000000002</v>
      </c>
      <c r="AH6" s="42">
        <f t="shared" si="21"/>
        <v>1778.8184065599999</v>
      </c>
      <c r="AI6" s="42">
        <f t="shared" si="22"/>
        <v>1.0483371090051861</v>
      </c>
      <c r="AJ6" s="57">
        <v>3</v>
      </c>
      <c r="AK6" s="57">
        <v>4</v>
      </c>
      <c r="AL6" s="63">
        <v>6.28</v>
      </c>
      <c r="AM6" s="57">
        <v>23</v>
      </c>
      <c r="AN6" s="63">
        <v>6.2</v>
      </c>
      <c r="AO6" s="63">
        <v>5</v>
      </c>
      <c r="AP6" s="36">
        <v>0.35</v>
      </c>
      <c r="AQ6" s="36">
        <v>0.21</v>
      </c>
      <c r="AR6" s="73">
        <f t="shared" si="1"/>
        <v>2268</v>
      </c>
      <c r="AS6" s="75">
        <f t="shared" si="2"/>
        <v>0.14902998236331569</v>
      </c>
      <c r="AT6" s="75">
        <f t="shared" si="3"/>
        <v>0.69708994708994709</v>
      </c>
      <c r="AU6" s="75">
        <f t="shared" si="4"/>
        <v>0.15388007054673722</v>
      </c>
      <c r="AV6" s="26">
        <f t="shared" si="5"/>
        <v>5.7142857142857141E-2</v>
      </c>
      <c r="AW6" s="26">
        <f t="shared" si="6"/>
        <v>8.2142857142857142E-2</v>
      </c>
      <c r="AX6" s="24">
        <f t="shared" si="7"/>
        <v>0.8125</v>
      </c>
      <c r="AY6" s="24">
        <f t="shared" si="8"/>
        <v>0.8214285714285714</v>
      </c>
      <c r="AZ6" s="77" t="str">
        <f t="shared" si="9"/>
        <v>5,0 ≤ Alc. Bruta &lt; 7,5 mg/L</v>
      </c>
      <c r="BA6" s="77" t="str">
        <f t="shared" si="10"/>
        <v>5 ≤ Cor &lt; 10 uC</v>
      </c>
      <c r="BB6" s="78" t="str">
        <f t="shared" si="11"/>
        <v>Turbidez &lt; 2,5 uT</v>
      </c>
      <c r="BC6" s="79" t="str">
        <f t="shared" si="12"/>
        <v>SM &gt; BNN &gt; TOR</v>
      </c>
      <c r="BD6" s="78" t="str">
        <f t="shared" si="13"/>
        <v>Tipo 2 (0,25-0,50) uT</v>
      </c>
      <c r="BE6" s="78" t="str">
        <f t="shared" si="14"/>
        <v>Tipo 2 (0,25-0,50) uT</v>
      </c>
      <c r="BF6" s="78" t="str">
        <f t="shared" si="15"/>
        <v>Tipo 1 (≤0,25) uT</v>
      </c>
      <c r="BG6" s="78" t="str">
        <f t="shared" si="16"/>
        <v>Tipo 1 (≤0,25) uT</v>
      </c>
      <c r="BH6" s="78" t="str">
        <f t="shared" si="17"/>
        <v>Tipo 2 (0,25-0,50) uT</v>
      </c>
    </row>
    <row r="7" spans="1:60" x14ac:dyDescent="0.2">
      <c r="A7" s="31">
        <v>46259</v>
      </c>
      <c r="B7" s="80">
        <v>0.97916666666666663</v>
      </c>
      <c r="C7" s="57">
        <v>329</v>
      </c>
      <c r="D7" s="57">
        <v>1349</v>
      </c>
      <c r="E7" s="57">
        <v>350</v>
      </c>
      <c r="F7" s="57">
        <v>2330</v>
      </c>
      <c r="G7" s="85" t="s">
        <v>78</v>
      </c>
      <c r="H7" s="63">
        <v>9.8000000000000007</v>
      </c>
      <c r="I7" s="57">
        <v>-145</v>
      </c>
      <c r="J7" s="57">
        <v>90</v>
      </c>
      <c r="K7" s="57">
        <v>90</v>
      </c>
      <c r="L7" s="57">
        <v>90</v>
      </c>
      <c r="M7" s="57">
        <v>24.5</v>
      </c>
      <c r="N7" s="63">
        <v>6.5</v>
      </c>
      <c r="O7" s="36">
        <v>1.1299999999999999</v>
      </c>
      <c r="P7" s="57">
        <v>7</v>
      </c>
      <c r="Q7" s="63">
        <v>6</v>
      </c>
      <c r="R7" s="36">
        <v>0.33</v>
      </c>
      <c r="S7" s="36">
        <v>22.36</v>
      </c>
      <c r="T7" s="36">
        <v>0.88</v>
      </c>
      <c r="U7" s="36">
        <v>0.7</v>
      </c>
      <c r="V7" s="42">
        <f t="shared" si="18"/>
        <v>1767.8875</v>
      </c>
      <c r="W7" s="42">
        <f t="shared" si="19"/>
        <v>1362.0513056799996</v>
      </c>
      <c r="X7" s="42">
        <f t="shared" si="20"/>
        <v>0.77044003404062733</v>
      </c>
      <c r="Y7" s="57">
        <v>3</v>
      </c>
      <c r="Z7" s="57">
        <v>4</v>
      </c>
      <c r="AA7" s="63">
        <v>6.46</v>
      </c>
      <c r="AB7" s="57">
        <v>17</v>
      </c>
      <c r="AC7" s="63">
        <v>6.3</v>
      </c>
      <c r="AD7" s="63">
        <v>6</v>
      </c>
      <c r="AE7" s="36">
        <v>0.42</v>
      </c>
      <c r="AF7" s="36">
        <v>0.19</v>
      </c>
      <c r="AG7" s="42">
        <f t="shared" si="0"/>
        <v>1767.8875</v>
      </c>
      <c r="AH7" s="42">
        <f t="shared" si="21"/>
        <v>1771.7120855199996</v>
      </c>
      <c r="AI7" s="42">
        <f t="shared" si="22"/>
        <v>1.002163364761615</v>
      </c>
      <c r="AJ7" s="57">
        <v>3</v>
      </c>
      <c r="AK7" s="57">
        <v>4</v>
      </c>
      <c r="AL7" s="63">
        <v>6.26</v>
      </c>
      <c r="AM7" s="57">
        <v>23</v>
      </c>
      <c r="AN7" s="63">
        <v>6.1</v>
      </c>
      <c r="AO7" s="63">
        <v>4.9000000000000004</v>
      </c>
      <c r="AP7" s="36">
        <v>0.42</v>
      </c>
      <c r="AQ7" s="36">
        <v>0.21</v>
      </c>
      <c r="AR7" s="73">
        <f t="shared" si="1"/>
        <v>2028</v>
      </c>
      <c r="AS7" s="75">
        <f t="shared" si="2"/>
        <v>0.16222879684418146</v>
      </c>
      <c r="AT7" s="75">
        <f t="shared" si="3"/>
        <v>0.66518737672583828</v>
      </c>
      <c r="AU7" s="75">
        <f t="shared" si="4"/>
        <v>0.17258382642998027</v>
      </c>
      <c r="AV7" s="26">
        <f t="shared" si="5"/>
        <v>5.8369098712446353E-2</v>
      </c>
      <c r="AW7" s="26">
        <f t="shared" si="6"/>
        <v>7.896995708154507E-2</v>
      </c>
      <c r="AX7" s="24">
        <f t="shared" si="7"/>
        <v>0.81415929203539816</v>
      </c>
      <c r="AY7" s="24">
        <f t="shared" si="8"/>
        <v>0.83185840707964598</v>
      </c>
      <c r="AZ7" s="77" t="str">
        <f t="shared" si="9"/>
        <v>5,0 ≤ Alc. Bruta &lt; 7,5 mg/L</v>
      </c>
      <c r="BA7" s="77" t="str">
        <f t="shared" si="10"/>
        <v>5 ≤ Cor &lt; 10 uC</v>
      </c>
      <c r="BB7" s="78" t="str">
        <f t="shared" si="11"/>
        <v>Turbidez &lt; 2,5 uT</v>
      </c>
      <c r="BC7" s="79" t="str">
        <f t="shared" si="12"/>
        <v>SM &gt; BNN &gt; TOR</v>
      </c>
      <c r="BD7" s="78" t="str">
        <f t="shared" si="13"/>
        <v>Tipo 2 (0,25-0,50) uT</v>
      </c>
      <c r="BE7" s="78" t="str">
        <f t="shared" si="14"/>
        <v>Tipo 2 (0,25-0,50) uT</v>
      </c>
      <c r="BF7" s="78" t="str">
        <f t="shared" si="15"/>
        <v>Tipo 1 (≤0,25) uT</v>
      </c>
      <c r="BG7" s="78" t="str">
        <f t="shared" si="16"/>
        <v>Tipo 1 (≤0,25) uT</v>
      </c>
      <c r="BH7" s="78" t="str">
        <f t="shared" si="17"/>
        <v>Tipo 2 (0,25-0,50) uT</v>
      </c>
    </row>
    <row r="8" spans="1:60" x14ac:dyDescent="0.2">
      <c r="A8" s="31">
        <v>46260</v>
      </c>
      <c r="B8" s="80">
        <v>0.14583333333333334</v>
      </c>
      <c r="C8" s="57">
        <v>333</v>
      </c>
      <c r="D8" s="57">
        <v>1525</v>
      </c>
      <c r="E8" s="57">
        <v>340</v>
      </c>
      <c r="F8" s="57">
        <v>2249</v>
      </c>
      <c r="G8" s="85" t="s">
        <v>78</v>
      </c>
      <c r="H8" s="63">
        <v>9.8000000000000007</v>
      </c>
      <c r="I8" s="57">
        <v>-151</v>
      </c>
      <c r="J8" s="57">
        <v>90</v>
      </c>
      <c r="K8" s="57">
        <v>90</v>
      </c>
      <c r="L8" s="57">
        <v>90</v>
      </c>
      <c r="M8" s="57">
        <v>24.3</v>
      </c>
      <c r="N8" s="63">
        <v>6.6</v>
      </c>
      <c r="O8" s="36">
        <v>0.98</v>
      </c>
      <c r="P8" s="57">
        <v>6</v>
      </c>
      <c r="Q8" s="63">
        <v>7.4</v>
      </c>
      <c r="R8" s="36">
        <v>0.3</v>
      </c>
      <c r="S8" s="36">
        <v>22.36</v>
      </c>
      <c r="T8" s="36">
        <v>0.88</v>
      </c>
      <c r="U8" s="36">
        <v>0.7</v>
      </c>
      <c r="V8" s="42">
        <f t="shared" si="18"/>
        <v>1664.26</v>
      </c>
      <c r="W8" s="42">
        <f t="shared" si="19"/>
        <v>1372.556302</v>
      </c>
      <c r="X8" s="42">
        <f t="shared" si="20"/>
        <v>0.82472468364318074</v>
      </c>
      <c r="Y8" s="57">
        <v>3</v>
      </c>
      <c r="Z8" s="57">
        <v>4</v>
      </c>
      <c r="AA8" s="63">
        <v>6.5</v>
      </c>
      <c r="AB8" s="57">
        <v>17</v>
      </c>
      <c r="AC8" s="63">
        <v>6.3</v>
      </c>
      <c r="AD8" s="63">
        <v>4.9000000000000004</v>
      </c>
      <c r="AE8" s="36">
        <v>0.3</v>
      </c>
      <c r="AF8" s="36">
        <v>0.18</v>
      </c>
      <c r="AG8" s="42">
        <f t="shared" si="0"/>
        <v>1664.26</v>
      </c>
      <c r="AH8" s="42">
        <f t="shared" si="21"/>
        <v>1775.2652460399997</v>
      </c>
      <c r="AI8" s="42">
        <f t="shared" si="22"/>
        <v>1.0666994616466177</v>
      </c>
      <c r="AJ8" s="57">
        <v>3</v>
      </c>
      <c r="AK8" s="57">
        <v>4</v>
      </c>
      <c r="AL8" s="63">
        <v>6.27</v>
      </c>
      <c r="AM8" s="57">
        <v>23</v>
      </c>
      <c r="AN8" s="63">
        <v>6.2</v>
      </c>
      <c r="AO8" s="63">
        <v>3.8</v>
      </c>
      <c r="AP8" s="36">
        <v>0.3</v>
      </c>
      <c r="AQ8" s="36">
        <v>0.21</v>
      </c>
      <c r="AR8" s="73">
        <f t="shared" si="1"/>
        <v>2198</v>
      </c>
      <c r="AS8" s="75">
        <f t="shared" si="2"/>
        <v>0.15150136487716107</v>
      </c>
      <c r="AT8" s="75">
        <f t="shared" si="3"/>
        <v>0.69381255686988175</v>
      </c>
      <c r="AU8" s="75">
        <f t="shared" si="4"/>
        <v>0.15468607825295724</v>
      </c>
      <c r="AV8" s="26">
        <f t="shared" si="5"/>
        <v>6.0471320586927522E-2</v>
      </c>
      <c r="AW8" s="26">
        <f t="shared" si="6"/>
        <v>8.181413961760782E-2</v>
      </c>
      <c r="AX8" s="24">
        <f t="shared" si="7"/>
        <v>0.7857142857142857</v>
      </c>
      <c r="AY8" s="24">
        <f t="shared" si="8"/>
        <v>0.81632653061224492</v>
      </c>
      <c r="AZ8" s="77" t="str">
        <f t="shared" si="9"/>
        <v>5,0 ≤ Alc. Bruta &lt; 7,5 mg/L</v>
      </c>
      <c r="BA8" s="77" t="str">
        <f t="shared" si="10"/>
        <v>5 ≤ Cor &lt; 10 uC</v>
      </c>
      <c r="BB8" s="78" t="str">
        <f t="shared" si="11"/>
        <v>Turbidez &lt; 2,5 uT</v>
      </c>
      <c r="BC8" s="79" t="str">
        <f t="shared" si="12"/>
        <v>SM &gt; BNN &gt; TOR</v>
      </c>
      <c r="BD8" s="78" t="str">
        <f t="shared" si="13"/>
        <v>Tipo 2 (0,25-0,50) uT</v>
      </c>
      <c r="BE8" s="78" t="str">
        <f t="shared" si="14"/>
        <v>Tipo 2 (0,25-0,50) uT</v>
      </c>
      <c r="BF8" s="78" t="str">
        <f t="shared" si="15"/>
        <v>Tipo 1 (≤0,25) uT</v>
      </c>
      <c r="BG8" s="78" t="str">
        <f t="shared" si="16"/>
        <v>Tipo 1 (≤0,25) uT</v>
      </c>
      <c r="BH8" s="78" t="str">
        <f t="shared" si="17"/>
        <v>Tipo 2 (0,25-0,50) uT</v>
      </c>
    </row>
    <row r="9" spans="1:60" ht="15.75" thickBot="1" x14ac:dyDescent="0.25">
      <c r="A9" s="32">
        <v>46260</v>
      </c>
      <c r="B9" s="81">
        <v>0.22916666666666666</v>
      </c>
      <c r="C9" s="58">
        <v>335</v>
      </c>
      <c r="D9" s="58">
        <v>1545</v>
      </c>
      <c r="E9" s="58">
        <v>349</v>
      </c>
      <c r="F9" s="58">
        <v>2320</v>
      </c>
      <c r="G9" s="86" t="s">
        <v>78</v>
      </c>
      <c r="H9" s="64">
        <v>9.8000000000000007</v>
      </c>
      <c r="I9" s="58">
        <v>-145</v>
      </c>
      <c r="J9" s="58">
        <v>90</v>
      </c>
      <c r="K9" s="58">
        <v>90</v>
      </c>
      <c r="L9" s="58">
        <v>90</v>
      </c>
      <c r="M9" s="58">
        <v>24.2</v>
      </c>
      <c r="N9" s="64">
        <v>6.6</v>
      </c>
      <c r="O9" s="37">
        <v>0.87</v>
      </c>
      <c r="P9" s="58">
        <v>5</v>
      </c>
      <c r="Q9" s="64">
        <v>7</v>
      </c>
      <c r="R9" s="37">
        <v>0.34</v>
      </c>
      <c r="S9" s="36">
        <v>22.36</v>
      </c>
      <c r="T9" s="36">
        <v>0.88</v>
      </c>
      <c r="U9" s="36">
        <v>0.7</v>
      </c>
      <c r="V9" s="42">
        <f t="shared" si="18"/>
        <v>1684.9</v>
      </c>
      <c r="W9" s="42">
        <f t="shared" si="19"/>
        <v>1375.1825510799999</v>
      </c>
      <c r="X9" s="42">
        <f t="shared" si="20"/>
        <v>0.81618051580509221</v>
      </c>
      <c r="Y9" s="58">
        <v>3</v>
      </c>
      <c r="Z9" s="58">
        <v>4</v>
      </c>
      <c r="AA9" s="64">
        <v>6.51</v>
      </c>
      <c r="AB9" s="58">
        <v>17</v>
      </c>
      <c r="AC9" s="64">
        <v>6.3</v>
      </c>
      <c r="AD9" s="64">
        <v>5.0999999999999996</v>
      </c>
      <c r="AE9" s="37">
        <v>0.3</v>
      </c>
      <c r="AF9" s="37">
        <v>0.2</v>
      </c>
      <c r="AG9" s="42">
        <f t="shared" si="0"/>
        <v>1684.9</v>
      </c>
      <c r="AH9" s="42">
        <f t="shared" si="21"/>
        <v>1775.2652460399997</v>
      </c>
      <c r="AI9" s="42">
        <f t="shared" si="22"/>
        <v>1.0536324090687872</v>
      </c>
      <c r="AJ9" s="58">
        <v>3</v>
      </c>
      <c r="AK9" s="58">
        <v>4</v>
      </c>
      <c r="AL9" s="64">
        <v>6.27</v>
      </c>
      <c r="AM9" s="58">
        <v>23</v>
      </c>
      <c r="AN9" s="64">
        <v>6.2</v>
      </c>
      <c r="AO9" s="64">
        <v>4.3</v>
      </c>
      <c r="AP9" s="37">
        <v>0.27</v>
      </c>
      <c r="AQ9" s="37">
        <v>0.25</v>
      </c>
      <c r="AR9" s="73">
        <f t="shared" si="1"/>
        <v>2229</v>
      </c>
      <c r="AS9" s="75">
        <f t="shared" si="2"/>
        <v>0.15029161058770749</v>
      </c>
      <c r="AT9" s="75">
        <f t="shared" si="3"/>
        <v>0.69313593539703899</v>
      </c>
      <c r="AU9" s="75">
        <f t="shared" si="4"/>
        <v>0.15657245401525346</v>
      </c>
      <c r="AV9" s="26">
        <f t="shared" si="5"/>
        <v>5.8620689655172413E-2</v>
      </c>
      <c r="AW9" s="26">
        <f t="shared" si="6"/>
        <v>7.9310344827586213E-2</v>
      </c>
      <c r="AX9" s="24">
        <f t="shared" si="7"/>
        <v>0.71264367816091956</v>
      </c>
      <c r="AY9" s="24">
        <f t="shared" si="8"/>
        <v>0.77011494252873558</v>
      </c>
      <c r="AZ9" s="77" t="str">
        <f t="shared" si="9"/>
        <v>5,0 ≤ Alc. Bruta &lt; 7,5 mg/L</v>
      </c>
      <c r="BA9" s="77" t="str">
        <f t="shared" si="10"/>
        <v>5 ≤ Cor &lt; 10 uC</v>
      </c>
      <c r="BB9" s="78" t="str">
        <f t="shared" si="11"/>
        <v>Turbidez &lt; 2,5 uT</v>
      </c>
      <c r="BC9" s="79" t="str">
        <f t="shared" si="12"/>
        <v>SM &gt; BNN &gt; TOR</v>
      </c>
      <c r="BD9" s="78" t="str">
        <f t="shared" si="13"/>
        <v>Tipo 2 (0,25-0,50) uT</v>
      </c>
      <c r="BE9" s="78" t="str">
        <f t="shared" si="14"/>
        <v>Tipo 2 (0,25-0,50) uT</v>
      </c>
      <c r="BF9" s="78" t="str">
        <f t="shared" si="15"/>
        <v>Tipo 1 (≤0,25) uT</v>
      </c>
      <c r="BG9" s="78" t="str">
        <f t="shared" si="16"/>
        <v>Tipo 1 (≤0,25) uT</v>
      </c>
      <c r="BH9" s="78" t="str">
        <f t="shared" si="17"/>
        <v>Tipo 2 (0,25-0,50) uT</v>
      </c>
    </row>
    <row r="10" spans="1:60" x14ac:dyDescent="0.2">
      <c r="A10" s="30">
        <v>46260</v>
      </c>
      <c r="B10" s="82">
        <v>0.3125</v>
      </c>
      <c r="C10" s="59">
        <v>317</v>
      </c>
      <c r="D10" s="59">
        <v>1510</v>
      </c>
      <c r="E10" s="59">
        <v>350</v>
      </c>
      <c r="F10" s="59">
        <v>2320</v>
      </c>
      <c r="G10" s="87" t="s">
        <v>78</v>
      </c>
      <c r="H10" s="65">
        <v>9.8000000000000007</v>
      </c>
      <c r="I10" s="59">
        <v>-150.80000000000001</v>
      </c>
      <c r="J10" s="59">
        <v>90</v>
      </c>
      <c r="K10" s="59">
        <v>90</v>
      </c>
      <c r="L10" s="59">
        <v>90</v>
      </c>
      <c r="M10" s="59">
        <v>24.9</v>
      </c>
      <c r="N10" s="65">
        <v>6.4</v>
      </c>
      <c r="O10" s="38">
        <v>0.97</v>
      </c>
      <c r="P10" s="59">
        <v>7</v>
      </c>
      <c r="Q10" s="65">
        <v>6.9</v>
      </c>
      <c r="R10" s="38">
        <v>0.39</v>
      </c>
      <c r="S10" s="36">
        <v>22.36</v>
      </c>
      <c r="T10" s="36">
        <v>0.88</v>
      </c>
      <c r="U10" s="36">
        <v>0.7</v>
      </c>
      <c r="V10" s="42">
        <f t="shared" si="18"/>
        <v>2285.2000000000003</v>
      </c>
      <c r="W10" s="42">
        <f t="shared" si="19"/>
        <v>1372.556302</v>
      </c>
      <c r="X10" s="42">
        <f t="shared" si="20"/>
        <v>0.60062852354279705</v>
      </c>
      <c r="Y10" s="59">
        <v>3</v>
      </c>
      <c r="Z10" s="59">
        <v>3</v>
      </c>
      <c r="AA10" s="65">
        <v>6.5</v>
      </c>
      <c r="AB10" s="59">
        <v>17</v>
      </c>
      <c r="AC10" s="65">
        <v>6.2</v>
      </c>
      <c r="AD10" s="65">
        <v>4.9000000000000004</v>
      </c>
      <c r="AE10" s="38">
        <v>0.28999999999999998</v>
      </c>
      <c r="AF10" s="38">
        <v>0.23</v>
      </c>
      <c r="AG10" s="42">
        <f t="shared" si="0"/>
        <v>2285.2000000000003</v>
      </c>
      <c r="AH10" s="42">
        <f t="shared" si="21"/>
        <v>1768.158925</v>
      </c>
      <c r="AI10" s="42">
        <f t="shared" si="22"/>
        <v>0.77374362200245039</v>
      </c>
      <c r="AJ10" s="59">
        <v>3</v>
      </c>
      <c r="AK10" s="59">
        <v>3</v>
      </c>
      <c r="AL10" s="65">
        <v>6.25</v>
      </c>
      <c r="AM10" s="59">
        <v>23</v>
      </c>
      <c r="AN10" s="65">
        <v>6.2</v>
      </c>
      <c r="AO10" s="65">
        <v>6</v>
      </c>
      <c r="AP10" s="38">
        <v>0.38</v>
      </c>
      <c r="AQ10" s="38">
        <v>0.26</v>
      </c>
      <c r="AR10" s="73">
        <f t="shared" si="1"/>
        <v>2177</v>
      </c>
      <c r="AS10" s="75">
        <f t="shared" si="2"/>
        <v>0.14561322921451539</v>
      </c>
      <c r="AT10" s="75">
        <f t="shared" si="3"/>
        <v>0.69361506660542027</v>
      </c>
      <c r="AU10" s="75">
        <f t="shared" si="4"/>
        <v>0.16077170418006431</v>
      </c>
      <c r="AV10" s="26">
        <f t="shared" si="5"/>
        <v>4.3965517241379308E-2</v>
      </c>
      <c r="AW10" s="26">
        <f t="shared" si="6"/>
        <v>5.9482758620689649E-2</v>
      </c>
      <c r="AX10" s="24">
        <f t="shared" si="7"/>
        <v>0.731958762886598</v>
      </c>
      <c r="AY10" s="24">
        <f t="shared" si="8"/>
        <v>0.76288659793814428</v>
      </c>
      <c r="AZ10" s="77" t="str">
        <f t="shared" si="9"/>
        <v>5,0 ≤ Alc. Bruta &lt; 7,5 mg/L</v>
      </c>
      <c r="BA10" s="77" t="str">
        <f t="shared" si="10"/>
        <v>5 ≤ Cor &lt; 10 uC</v>
      </c>
      <c r="BB10" s="78" t="str">
        <f t="shared" si="11"/>
        <v>Turbidez &lt; 2,5 uT</v>
      </c>
      <c r="BC10" s="79" t="str">
        <f t="shared" si="12"/>
        <v>SM &gt; BNN &gt; TOR</v>
      </c>
      <c r="BD10" s="78" t="str">
        <f t="shared" si="13"/>
        <v>Tipo 2 (0,25-0,50) uT</v>
      </c>
      <c r="BE10" s="78" t="str">
        <f t="shared" si="14"/>
        <v>Tipo 2 (0,25-0,50) uT</v>
      </c>
      <c r="BF10" s="78" t="str">
        <f t="shared" si="15"/>
        <v>Tipo 1 (≤0,25) uT</v>
      </c>
      <c r="BG10" s="78" t="str">
        <f t="shared" si="16"/>
        <v>Tipo 2 (0,25-0,50) uT</v>
      </c>
      <c r="BH10" s="78" t="str">
        <f t="shared" si="17"/>
        <v>Tipo 2 (0,25-0,50) uT</v>
      </c>
    </row>
    <row r="11" spans="1:60" x14ac:dyDescent="0.2">
      <c r="A11" s="31">
        <v>46260</v>
      </c>
      <c r="B11" s="80">
        <v>0.47916666666666669</v>
      </c>
      <c r="C11" s="57">
        <v>295</v>
      </c>
      <c r="D11" s="57">
        <v>1560</v>
      </c>
      <c r="E11" s="57">
        <v>349</v>
      </c>
      <c r="F11" s="57">
        <v>2150</v>
      </c>
      <c r="G11" s="85" t="s">
        <v>78</v>
      </c>
      <c r="H11" s="63">
        <v>10.8</v>
      </c>
      <c r="I11" s="57">
        <v>-154</v>
      </c>
      <c r="J11" s="57">
        <v>90</v>
      </c>
      <c r="K11" s="57">
        <v>90</v>
      </c>
      <c r="L11" s="57">
        <v>90</v>
      </c>
      <c r="M11" s="57">
        <v>26.1</v>
      </c>
      <c r="N11" s="63">
        <v>6.5</v>
      </c>
      <c r="O11" s="36">
        <v>0.96</v>
      </c>
      <c r="P11" s="57">
        <v>5</v>
      </c>
      <c r="Q11" s="63">
        <v>8</v>
      </c>
      <c r="R11" s="36">
        <v>0.24</v>
      </c>
      <c r="S11" s="36">
        <v>22.36</v>
      </c>
      <c r="T11" s="36">
        <v>0.88</v>
      </c>
      <c r="U11" s="36">
        <v>0.7</v>
      </c>
      <c r="V11" s="42">
        <f t="shared" si="18"/>
        <v>2221.6666666666665</v>
      </c>
      <c r="W11" s="42">
        <f t="shared" si="19"/>
        <v>1372.556302</v>
      </c>
      <c r="X11" s="42">
        <f t="shared" si="20"/>
        <v>0.61780478709677422</v>
      </c>
      <c r="Y11" s="57">
        <v>3</v>
      </c>
      <c r="Z11" s="57">
        <v>3</v>
      </c>
      <c r="AA11" s="63">
        <v>6.5</v>
      </c>
      <c r="AB11" s="57">
        <v>17</v>
      </c>
      <c r="AC11" s="63">
        <v>6.2</v>
      </c>
      <c r="AD11" s="63">
        <v>5.2</v>
      </c>
      <c r="AE11" s="36">
        <v>0.26</v>
      </c>
      <c r="AF11" s="36">
        <v>0.17</v>
      </c>
      <c r="AG11" s="42">
        <f t="shared" si="0"/>
        <v>2221.6666666666665</v>
      </c>
      <c r="AH11" s="42">
        <f t="shared" si="21"/>
        <v>1750.3931224</v>
      </c>
      <c r="AI11" s="42">
        <f t="shared" si="22"/>
        <v>0.78787387354838712</v>
      </c>
      <c r="AJ11" s="57">
        <v>3</v>
      </c>
      <c r="AK11" s="57">
        <v>3</v>
      </c>
      <c r="AL11" s="63">
        <v>6.2</v>
      </c>
      <c r="AM11" s="57">
        <v>23</v>
      </c>
      <c r="AN11" s="63">
        <v>6.1</v>
      </c>
      <c r="AO11" s="63">
        <v>5.4</v>
      </c>
      <c r="AP11" s="36">
        <v>0.27</v>
      </c>
      <c r="AQ11" s="36">
        <v>0.19</v>
      </c>
      <c r="AR11" s="73">
        <f t="shared" si="1"/>
        <v>2204</v>
      </c>
      <c r="AS11" s="75">
        <f t="shared" si="2"/>
        <v>0.1338475499092559</v>
      </c>
      <c r="AT11" s="75">
        <f t="shared" si="3"/>
        <v>0.7078039927404719</v>
      </c>
      <c r="AU11" s="75">
        <f t="shared" si="4"/>
        <v>0.15834845735027223</v>
      </c>
      <c r="AV11" s="26">
        <f t="shared" si="5"/>
        <v>4.7441860465116281E-2</v>
      </c>
      <c r="AW11" s="26">
        <f t="shared" si="6"/>
        <v>6.4186046511627917E-2</v>
      </c>
      <c r="AX11" s="24">
        <f t="shared" si="7"/>
        <v>0.80208333333333326</v>
      </c>
      <c r="AY11" s="24">
        <f t="shared" si="8"/>
        <v>0.82291666666666663</v>
      </c>
      <c r="AZ11" s="77" t="str">
        <f t="shared" si="9"/>
        <v>7,5 ≤ Alc. Bruta &lt; 10,0 mg/L</v>
      </c>
      <c r="BA11" s="77" t="str">
        <f t="shared" si="10"/>
        <v>5 ≤ Cor &lt; 10 uC</v>
      </c>
      <c r="BB11" s="78" t="str">
        <f t="shared" si="11"/>
        <v>Turbidez &lt; 2,5 uT</v>
      </c>
      <c r="BC11" s="79" t="str">
        <f t="shared" si="12"/>
        <v>SM &gt; BNN &gt; TOR</v>
      </c>
      <c r="BD11" s="78" t="str">
        <f t="shared" si="13"/>
        <v>Tipo 2 (0,25-0,50) uT</v>
      </c>
      <c r="BE11" s="78" t="str">
        <f t="shared" si="14"/>
        <v>Tipo 2 (0,25-0,50) uT</v>
      </c>
      <c r="BF11" s="78" t="str">
        <f t="shared" si="15"/>
        <v>Tipo 1 (≤0,25) uT</v>
      </c>
      <c r="BG11" s="78" t="str">
        <f t="shared" si="16"/>
        <v>Tipo 1 (≤0,25) uT</v>
      </c>
      <c r="BH11" s="78" t="str">
        <f t="shared" si="17"/>
        <v>Tipo 1 (≤0,25) uT</v>
      </c>
    </row>
    <row r="12" spans="1:60" x14ac:dyDescent="0.2">
      <c r="A12" s="31">
        <v>46260</v>
      </c>
      <c r="B12" s="80">
        <v>0.64583333333333337</v>
      </c>
      <c r="C12" s="57">
        <v>320</v>
      </c>
      <c r="D12" s="57">
        <v>1505</v>
      </c>
      <c r="E12" s="57">
        <v>350</v>
      </c>
      <c r="F12" s="57">
        <v>2155</v>
      </c>
      <c r="G12" s="85" t="s">
        <v>78</v>
      </c>
      <c r="H12" s="63">
        <v>10.8</v>
      </c>
      <c r="I12" s="57">
        <v>-154</v>
      </c>
      <c r="J12" s="57">
        <v>90</v>
      </c>
      <c r="K12" s="57">
        <v>90</v>
      </c>
      <c r="L12" s="57">
        <v>90</v>
      </c>
      <c r="M12" s="57">
        <v>27.2</v>
      </c>
      <c r="N12" s="63">
        <v>6.4</v>
      </c>
      <c r="O12" s="36">
        <v>0.9</v>
      </c>
      <c r="P12" s="57">
        <v>6</v>
      </c>
      <c r="Q12" s="63">
        <v>7.6</v>
      </c>
      <c r="R12" s="36">
        <v>0.23</v>
      </c>
      <c r="S12" s="36">
        <v>22.36</v>
      </c>
      <c r="T12" s="36">
        <v>0.88</v>
      </c>
      <c r="U12" s="36">
        <v>0.7</v>
      </c>
      <c r="V12" s="42">
        <f t="shared" si="18"/>
        <v>2205.2833333333338</v>
      </c>
      <c r="W12" s="42">
        <f t="shared" si="19"/>
        <v>1372.556302</v>
      </c>
      <c r="X12" s="42">
        <f t="shared" si="20"/>
        <v>0.62239453826794733</v>
      </c>
      <c r="Y12" s="57">
        <v>3</v>
      </c>
      <c r="Z12" s="57">
        <v>3</v>
      </c>
      <c r="AA12" s="63">
        <v>6.5</v>
      </c>
      <c r="AB12" s="57">
        <v>17</v>
      </c>
      <c r="AC12" s="63">
        <v>6.4</v>
      </c>
      <c r="AD12" s="63">
        <v>6</v>
      </c>
      <c r="AE12" s="36">
        <v>0.23</v>
      </c>
      <c r="AF12" s="36">
        <v>0.153</v>
      </c>
      <c r="AG12" s="42">
        <f t="shared" si="0"/>
        <v>2205.2833333333338</v>
      </c>
      <c r="AH12" s="42">
        <f t="shared" si="21"/>
        <v>1714.8615171999998</v>
      </c>
      <c r="AI12" s="42">
        <f t="shared" si="22"/>
        <v>0.77761505348519055</v>
      </c>
      <c r="AJ12" s="57">
        <v>3</v>
      </c>
      <c r="AK12" s="57">
        <v>3</v>
      </c>
      <c r="AL12" s="63">
        <v>6.1</v>
      </c>
      <c r="AM12" s="57">
        <v>23</v>
      </c>
      <c r="AN12" s="63">
        <v>5.2</v>
      </c>
      <c r="AO12" s="63">
        <v>2.6</v>
      </c>
      <c r="AP12" s="36">
        <v>0.15</v>
      </c>
      <c r="AQ12" s="36">
        <v>0.18</v>
      </c>
      <c r="AR12" s="73">
        <f t="shared" si="1"/>
        <v>2175</v>
      </c>
      <c r="AS12" s="75">
        <f t="shared" si="2"/>
        <v>0.14712643678160919</v>
      </c>
      <c r="AT12" s="75">
        <f t="shared" si="3"/>
        <v>0.69195402298850572</v>
      </c>
      <c r="AU12" s="75">
        <f t="shared" si="4"/>
        <v>0.16091954022988506</v>
      </c>
      <c r="AV12" s="26">
        <f t="shared" si="5"/>
        <v>4.7331786542923429E-2</v>
      </c>
      <c r="AW12" s="26">
        <f t="shared" si="6"/>
        <v>6.4037122969837587E-2</v>
      </c>
      <c r="AX12" s="24">
        <f t="shared" si="7"/>
        <v>0.8</v>
      </c>
      <c r="AY12" s="24">
        <f t="shared" si="8"/>
        <v>0.83000000000000007</v>
      </c>
      <c r="AZ12" s="77" t="str">
        <f t="shared" si="9"/>
        <v>7,5 ≤ Alc. Bruta &lt; 10,0 mg/L</v>
      </c>
      <c r="BA12" s="77" t="str">
        <f t="shared" si="10"/>
        <v>5 ≤ Cor &lt; 10 uC</v>
      </c>
      <c r="BB12" s="78" t="str">
        <f t="shared" si="11"/>
        <v>Turbidez &lt; 2,5 uT</v>
      </c>
      <c r="BC12" s="79" t="str">
        <f t="shared" si="12"/>
        <v>SM &gt; BNN &gt; TOR</v>
      </c>
      <c r="BD12" s="78" t="str">
        <f t="shared" si="13"/>
        <v>Tipo 1 (≤0,25) uT</v>
      </c>
      <c r="BE12" s="78" t="str">
        <f t="shared" si="14"/>
        <v>Tipo 1 (≤0,25) uT</v>
      </c>
      <c r="BF12" s="78" t="str">
        <f t="shared" si="15"/>
        <v>Tipo 1 (≤0,25) uT</v>
      </c>
      <c r="BG12" s="78" t="str">
        <f t="shared" si="16"/>
        <v>Tipo 1 (≤0,25) uT</v>
      </c>
      <c r="BH12" s="78" t="str">
        <f t="shared" si="17"/>
        <v>Tipo 1 (≤0,25) uT</v>
      </c>
    </row>
    <row r="13" spans="1:60" x14ac:dyDescent="0.2">
      <c r="A13" s="31">
        <v>46260</v>
      </c>
      <c r="B13" s="80">
        <v>0.72916666666666663</v>
      </c>
      <c r="C13" s="57">
        <v>310</v>
      </c>
      <c r="D13" s="57">
        <v>1554</v>
      </c>
      <c r="E13" s="57">
        <v>349</v>
      </c>
      <c r="F13" s="57">
        <v>2250</v>
      </c>
      <c r="G13" s="85" t="s">
        <v>78</v>
      </c>
      <c r="H13" s="63">
        <v>10</v>
      </c>
      <c r="I13" s="57">
        <v>-154</v>
      </c>
      <c r="J13" s="57">
        <v>90</v>
      </c>
      <c r="K13" s="57">
        <v>90</v>
      </c>
      <c r="L13" s="57">
        <v>90</v>
      </c>
      <c r="M13" s="57">
        <v>25.9</v>
      </c>
      <c r="N13" s="63">
        <v>6.4</v>
      </c>
      <c r="O13" s="36">
        <v>0.99</v>
      </c>
      <c r="P13" s="57">
        <v>7</v>
      </c>
      <c r="Q13" s="63">
        <v>6.8</v>
      </c>
      <c r="R13" s="36">
        <v>0.15</v>
      </c>
      <c r="S13" s="36">
        <v>22.36</v>
      </c>
      <c r="T13" s="36">
        <v>0.88</v>
      </c>
      <c r="U13" s="36">
        <v>0.7</v>
      </c>
      <c r="V13" s="42">
        <f t="shared" si="18"/>
        <v>2246.25</v>
      </c>
      <c r="W13" s="42">
        <f t="shared" si="19"/>
        <v>1372.556302</v>
      </c>
      <c r="X13" s="42">
        <f t="shared" si="20"/>
        <v>0.61104342882582074</v>
      </c>
      <c r="Y13" s="57">
        <v>3</v>
      </c>
      <c r="Z13" s="57">
        <v>3</v>
      </c>
      <c r="AA13" s="63">
        <v>6.5</v>
      </c>
      <c r="AB13" s="57">
        <v>17</v>
      </c>
      <c r="AC13" s="63">
        <v>6.2</v>
      </c>
      <c r="AD13" s="63">
        <v>5</v>
      </c>
      <c r="AE13" s="36">
        <v>0.19</v>
      </c>
      <c r="AF13" s="36">
        <v>0.14000000000000001</v>
      </c>
      <c r="AG13" s="42">
        <f t="shared" si="0"/>
        <v>2246.25</v>
      </c>
      <c r="AH13" s="42">
        <f t="shared" si="21"/>
        <v>1750.3931224</v>
      </c>
      <c r="AI13" s="42">
        <f t="shared" si="22"/>
        <v>0.77925125092932668</v>
      </c>
      <c r="AJ13" s="57">
        <v>3</v>
      </c>
      <c r="AK13" s="57">
        <v>3</v>
      </c>
      <c r="AL13" s="63">
        <v>6.2</v>
      </c>
      <c r="AM13" s="57">
        <v>23</v>
      </c>
      <c r="AN13" s="63">
        <v>6.1</v>
      </c>
      <c r="AO13" s="63">
        <v>5.8</v>
      </c>
      <c r="AP13" s="36">
        <v>0.22</v>
      </c>
      <c r="AQ13" s="36">
        <v>0.17</v>
      </c>
      <c r="AR13" s="73">
        <f t="shared" si="1"/>
        <v>2213</v>
      </c>
      <c r="AS13" s="75">
        <f t="shared" si="2"/>
        <v>0.14008133755083596</v>
      </c>
      <c r="AT13" s="75">
        <f t="shared" si="3"/>
        <v>0.70221418888386811</v>
      </c>
      <c r="AU13" s="75">
        <f t="shared" si="4"/>
        <v>0.15770447356529599</v>
      </c>
      <c r="AV13" s="26">
        <f t="shared" si="5"/>
        <v>4.5333333333333337E-2</v>
      </c>
      <c r="AW13" s="26">
        <f t="shared" si="6"/>
        <v>6.133333333333333E-2</v>
      </c>
      <c r="AX13" s="24">
        <f t="shared" si="7"/>
        <v>0.82828282828282829</v>
      </c>
      <c r="AY13" s="24">
        <f t="shared" si="8"/>
        <v>0.85858585858585856</v>
      </c>
      <c r="AZ13" s="77" t="str">
        <f t="shared" si="9"/>
        <v>5,0 ≤ Alc. Bruta &lt; 7,5 mg/L</v>
      </c>
      <c r="BA13" s="77" t="str">
        <f t="shared" si="10"/>
        <v>5 ≤ Cor &lt; 10 uC</v>
      </c>
      <c r="BB13" s="78" t="str">
        <f t="shared" si="11"/>
        <v>Turbidez &lt; 2,5 uT</v>
      </c>
      <c r="BC13" s="79" t="str">
        <f t="shared" si="12"/>
        <v>SM &gt; BNN &gt; TOR</v>
      </c>
      <c r="BD13" s="78" t="str">
        <f t="shared" si="13"/>
        <v>Tipo 1 (≤0,25) uT</v>
      </c>
      <c r="BE13" s="78" t="str">
        <f t="shared" si="14"/>
        <v>Tipo 1 (≤0,25) uT</v>
      </c>
      <c r="BF13" s="78" t="str">
        <f t="shared" si="15"/>
        <v>Tipo 1 (≤0,25) uT</v>
      </c>
      <c r="BG13" s="78" t="str">
        <f t="shared" si="16"/>
        <v>Tipo 1 (≤0,25) uT</v>
      </c>
      <c r="BH13" s="78" t="str">
        <f t="shared" si="17"/>
        <v>Tipo 1 (≤0,25) uT</v>
      </c>
    </row>
    <row r="14" spans="1:60" x14ac:dyDescent="0.2">
      <c r="A14" s="31">
        <v>46260</v>
      </c>
      <c r="B14" s="80">
        <v>0.8125</v>
      </c>
      <c r="C14" s="57">
        <v>363</v>
      </c>
      <c r="D14" s="57">
        <v>1443</v>
      </c>
      <c r="E14" s="57">
        <v>350</v>
      </c>
      <c r="F14" s="57">
        <v>2247</v>
      </c>
      <c r="G14" s="85" t="s">
        <v>78</v>
      </c>
      <c r="H14" s="63">
        <v>10</v>
      </c>
      <c r="I14" s="57">
        <v>-153</v>
      </c>
      <c r="J14" s="57">
        <v>90</v>
      </c>
      <c r="K14" s="57">
        <v>90</v>
      </c>
      <c r="L14" s="57">
        <v>90</v>
      </c>
      <c r="M14" s="57">
        <v>26</v>
      </c>
      <c r="N14" s="63">
        <v>6.4</v>
      </c>
      <c r="O14" s="36">
        <v>0.89</v>
      </c>
      <c r="P14" s="57">
        <v>6</v>
      </c>
      <c r="Q14" s="63">
        <v>7.4</v>
      </c>
      <c r="R14" s="36">
        <v>0.12</v>
      </c>
      <c r="S14" s="36">
        <v>22.36</v>
      </c>
      <c r="T14" s="36">
        <v>0.88</v>
      </c>
      <c r="U14" s="36">
        <v>0.7</v>
      </c>
      <c r="V14" s="42">
        <f t="shared" si="18"/>
        <v>1654.3537500000002</v>
      </c>
      <c r="W14" s="42">
        <f t="shared" si="19"/>
        <v>1372.556302</v>
      </c>
      <c r="X14" s="42">
        <f t="shared" si="20"/>
        <v>0.8296631249513593</v>
      </c>
      <c r="Y14" s="57">
        <v>3</v>
      </c>
      <c r="Z14" s="57">
        <v>4</v>
      </c>
      <c r="AA14" s="63">
        <v>6.5</v>
      </c>
      <c r="AB14" s="57">
        <v>17</v>
      </c>
      <c r="AC14" s="63">
        <v>6</v>
      </c>
      <c r="AD14" s="63">
        <v>5</v>
      </c>
      <c r="AE14" s="36">
        <v>0.1</v>
      </c>
      <c r="AF14" s="36">
        <v>0.18</v>
      </c>
      <c r="AG14" s="42">
        <f t="shared" si="0"/>
        <v>1654.3537500000002</v>
      </c>
      <c r="AH14" s="42">
        <f t="shared" si="21"/>
        <v>1785.9247275999996</v>
      </c>
      <c r="AI14" s="42">
        <f t="shared" si="22"/>
        <v>1.0795301353171891</v>
      </c>
      <c r="AJ14" s="57">
        <v>3</v>
      </c>
      <c r="AK14" s="57">
        <v>4</v>
      </c>
      <c r="AL14" s="63">
        <v>6.3</v>
      </c>
      <c r="AM14" s="57">
        <v>23</v>
      </c>
      <c r="AN14" s="63">
        <v>6</v>
      </c>
      <c r="AO14" s="63">
        <v>4.2</v>
      </c>
      <c r="AP14" s="36">
        <v>0.18</v>
      </c>
      <c r="AQ14" s="36">
        <v>0.23</v>
      </c>
      <c r="AR14" s="73">
        <f t="shared" si="1"/>
        <v>2156</v>
      </c>
      <c r="AS14" s="75">
        <f t="shared" si="2"/>
        <v>0.1683673469387755</v>
      </c>
      <c r="AT14" s="75">
        <f t="shared" si="3"/>
        <v>0.66929499072356213</v>
      </c>
      <c r="AU14" s="75">
        <f t="shared" si="4"/>
        <v>0.16233766233766234</v>
      </c>
      <c r="AV14" s="26">
        <f t="shared" si="5"/>
        <v>6.0525144637294172E-2</v>
      </c>
      <c r="AW14" s="26">
        <f t="shared" si="6"/>
        <v>8.188696039163329E-2</v>
      </c>
      <c r="AX14" s="24">
        <f t="shared" si="7"/>
        <v>0.7415730337078652</v>
      </c>
      <c r="AY14" s="24">
        <f t="shared" si="8"/>
        <v>0.797752808988764</v>
      </c>
      <c r="AZ14" s="77" t="str">
        <f t="shared" si="9"/>
        <v>5,0 ≤ Alc. Bruta &lt; 7,5 mg/L</v>
      </c>
      <c r="BA14" s="77" t="str">
        <f t="shared" si="10"/>
        <v>5 ≤ Cor &lt; 10 uC</v>
      </c>
      <c r="BB14" s="78" t="str">
        <f t="shared" si="11"/>
        <v>Turbidez &lt; 2,5 uT</v>
      </c>
      <c r="BC14" s="79" t="str">
        <f t="shared" si="12"/>
        <v>SM &gt; TOR &gt; BNN</v>
      </c>
      <c r="BD14" s="78" t="str">
        <f t="shared" si="13"/>
        <v>Tipo 1 (≤0,25) uT</v>
      </c>
      <c r="BE14" s="78" t="str">
        <f t="shared" si="14"/>
        <v>Tipo 1 (≤0,25) uT</v>
      </c>
      <c r="BF14" s="78" t="str">
        <f t="shared" si="15"/>
        <v>Tipo 1 (≤0,25) uT</v>
      </c>
      <c r="BG14" s="78" t="str">
        <f t="shared" si="16"/>
        <v>Tipo 1 (≤0,25) uT</v>
      </c>
      <c r="BH14" s="78" t="str">
        <f t="shared" si="17"/>
        <v>Tipo 1 (≤0,25) uT</v>
      </c>
    </row>
    <row r="15" spans="1:60" x14ac:dyDescent="0.2">
      <c r="A15" s="31">
        <v>46260</v>
      </c>
      <c r="B15" s="80">
        <v>0.89583333333333337</v>
      </c>
      <c r="C15" s="57">
        <v>360</v>
      </c>
      <c r="D15" s="57">
        <v>1430</v>
      </c>
      <c r="E15" s="57">
        <v>350</v>
      </c>
      <c r="F15" s="57">
        <v>2180</v>
      </c>
      <c r="G15" s="85" t="s">
        <v>78</v>
      </c>
      <c r="H15" s="63">
        <v>10</v>
      </c>
      <c r="I15" s="57">
        <v>-150</v>
      </c>
      <c r="J15" s="57">
        <v>90</v>
      </c>
      <c r="K15" s="57">
        <v>90</v>
      </c>
      <c r="L15" s="57">
        <v>90</v>
      </c>
      <c r="M15" s="57">
        <v>25.8</v>
      </c>
      <c r="N15" s="63">
        <v>6.4</v>
      </c>
      <c r="O15" s="36">
        <v>0.91</v>
      </c>
      <c r="P15" s="57">
        <v>6</v>
      </c>
      <c r="Q15" s="63">
        <v>7.2</v>
      </c>
      <c r="R15" s="36">
        <v>0.1</v>
      </c>
      <c r="S15" s="36">
        <v>22.36</v>
      </c>
      <c r="T15" s="36">
        <v>0.88</v>
      </c>
      <c r="U15" s="36">
        <v>0.7</v>
      </c>
      <c r="V15" s="42">
        <f t="shared" si="18"/>
        <v>1610.4750000000001</v>
      </c>
      <c r="W15" s="42">
        <f t="shared" si="19"/>
        <v>1372.556302</v>
      </c>
      <c r="X15" s="42">
        <f t="shared" si="20"/>
        <v>0.85226799670904541</v>
      </c>
      <c r="Y15" s="57">
        <v>3</v>
      </c>
      <c r="Z15" s="57">
        <v>4</v>
      </c>
      <c r="AA15" s="63">
        <v>6.5</v>
      </c>
      <c r="AB15" s="57">
        <v>17</v>
      </c>
      <c r="AC15" s="63">
        <v>6.2</v>
      </c>
      <c r="AD15" s="63">
        <v>4.3</v>
      </c>
      <c r="AE15" s="36">
        <v>0.14000000000000001</v>
      </c>
      <c r="AF15" s="36">
        <v>7.0000000000000007E-2</v>
      </c>
      <c r="AG15" s="42">
        <f t="shared" si="0"/>
        <v>1610.4750000000001</v>
      </c>
      <c r="AH15" s="42">
        <f t="shared" si="21"/>
        <v>1785.9247275999996</v>
      </c>
      <c r="AI15" s="42">
        <f t="shared" si="22"/>
        <v>1.1089428445644915</v>
      </c>
      <c r="AJ15" s="57">
        <v>3</v>
      </c>
      <c r="AK15" s="57">
        <v>4</v>
      </c>
      <c r="AL15" s="63">
        <v>6.3</v>
      </c>
      <c r="AM15" s="57">
        <v>23</v>
      </c>
      <c r="AN15" s="63">
        <v>6.1</v>
      </c>
      <c r="AO15" s="63">
        <v>4.3</v>
      </c>
      <c r="AP15" s="36">
        <v>0.16</v>
      </c>
      <c r="AQ15" s="36">
        <v>0.22</v>
      </c>
      <c r="AR15" s="73">
        <f t="shared" si="1"/>
        <v>2140</v>
      </c>
      <c r="AS15" s="75">
        <f t="shared" si="2"/>
        <v>0.16822429906542055</v>
      </c>
      <c r="AT15" s="75">
        <f t="shared" si="3"/>
        <v>0.66822429906542058</v>
      </c>
      <c r="AU15" s="75">
        <f t="shared" si="4"/>
        <v>0.16355140186915887</v>
      </c>
      <c r="AV15" s="26">
        <f t="shared" si="5"/>
        <v>6.2385321100917435E-2</v>
      </c>
      <c r="AW15" s="26">
        <f t="shared" si="6"/>
        <v>8.4403669724770647E-2</v>
      </c>
      <c r="AX15" s="24">
        <f t="shared" si="7"/>
        <v>0.75824175824175821</v>
      </c>
      <c r="AY15" s="24">
        <f t="shared" si="8"/>
        <v>0.92307692307692313</v>
      </c>
      <c r="AZ15" s="77" t="str">
        <f t="shared" si="9"/>
        <v>5,0 ≤ Alc. Bruta &lt; 7,5 mg/L</v>
      </c>
      <c r="BA15" s="77" t="str">
        <f t="shared" si="10"/>
        <v>5 ≤ Cor &lt; 10 uC</v>
      </c>
      <c r="BB15" s="78" t="str">
        <f t="shared" si="11"/>
        <v>Turbidez &lt; 2,5 uT</v>
      </c>
      <c r="BC15" s="79" t="str">
        <f t="shared" si="12"/>
        <v>SM &gt; TOR &gt; BNN</v>
      </c>
      <c r="BD15" s="78" t="str">
        <f t="shared" si="13"/>
        <v>Tipo 1 (≤0,25) uT</v>
      </c>
      <c r="BE15" s="78" t="str">
        <f t="shared" si="14"/>
        <v>Tipo 1 (≤0,25) uT</v>
      </c>
      <c r="BF15" s="78" t="str">
        <f t="shared" si="15"/>
        <v>Tipo 1 (≤0,25) uT</v>
      </c>
      <c r="BG15" s="78" t="str">
        <f t="shared" si="16"/>
        <v>Tipo 1 (≤0,25) uT</v>
      </c>
      <c r="BH15" s="78" t="str">
        <f t="shared" si="17"/>
        <v>Tipo 1 (≤0,25) uT</v>
      </c>
    </row>
    <row r="16" spans="1:60" x14ac:dyDescent="0.2">
      <c r="A16" s="34">
        <v>46261</v>
      </c>
      <c r="B16" s="80">
        <v>6.25E-2</v>
      </c>
      <c r="C16" s="57">
        <v>358</v>
      </c>
      <c r="D16" s="57">
        <v>1443</v>
      </c>
      <c r="E16" s="57">
        <v>349</v>
      </c>
      <c r="F16" s="57">
        <v>2263</v>
      </c>
      <c r="G16" s="85" t="s">
        <v>78</v>
      </c>
      <c r="H16" s="63">
        <v>10</v>
      </c>
      <c r="I16" s="57">
        <v>-149</v>
      </c>
      <c r="J16" s="57">
        <v>90</v>
      </c>
      <c r="K16" s="57">
        <v>90</v>
      </c>
      <c r="L16" s="57">
        <v>90</v>
      </c>
      <c r="M16" s="57">
        <v>24.4</v>
      </c>
      <c r="N16" s="63">
        <v>6.4</v>
      </c>
      <c r="O16" s="36">
        <v>0.92</v>
      </c>
      <c r="P16" s="57">
        <v>6</v>
      </c>
      <c r="Q16" s="63">
        <v>7.5</v>
      </c>
      <c r="R16" s="36">
        <v>0.09</v>
      </c>
      <c r="S16" s="36">
        <v>22.36</v>
      </c>
      <c r="T16" s="36">
        <v>0.88</v>
      </c>
      <c r="U16" s="36">
        <v>0.7</v>
      </c>
      <c r="V16" s="42">
        <f t="shared" si="18"/>
        <v>2232.8266666666668</v>
      </c>
      <c r="W16" s="42">
        <f t="shared" si="19"/>
        <v>1372.556302</v>
      </c>
      <c r="X16" s="42">
        <f t="shared" si="20"/>
        <v>0.61471690682065183</v>
      </c>
      <c r="Y16" s="57">
        <v>3</v>
      </c>
      <c r="Z16" s="57">
        <v>3</v>
      </c>
      <c r="AA16" s="63">
        <v>6.5</v>
      </c>
      <c r="AB16" s="57">
        <v>17</v>
      </c>
      <c r="AC16" s="63">
        <v>6</v>
      </c>
      <c r="AD16" s="63">
        <v>4.3</v>
      </c>
      <c r="AE16" s="36">
        <v>0.21</v>
      </c>
      <c r="AF16" s="36">
        <v>0.08</v>
      </c>
      <c r="AG16" s="42">
        <f t="shared" si="0"/>
        <v>1674.62</v>
      </c>
      <c r="AH16" s="42">
        <f t="shared" si="21"/>
        <v>1785.9247275999996</v>
      </c>
      <c r="AI16" s="42">
        <f t="shared" si="22"/>
        <v>1.0664656624189366</v>
      </c>
      <c r="AJ16" s="57">
        <v>3</v>
      </c>
      <c r="AK16" s="57">
        <v>4</v>
      </c>
      <c r="AL16" s="63">
        <v>6.3</v>
      </c>
      <c r="AM16" s="57">
        <v>23</v>
      </c>
      <c r="AN16" s="63">
        <v>6</v>
      </c>
      <c r="AO16" s="63">
        <v>4.8</v>
      </c>
      <c r="AP16" s="36">
        <v>0.21</v>
      </c>
      <c r="AQ16" s="36">
        <v>0.25</v>
      </c>
      <c r="AR16" s="73">
        <f t="shared" si="1"/>
        <v>2150</v>
      </c>
      <c r="AS16" s="75">
        <f t="shared" si="2"/>
        <v>0.16651162790697674</v>
      </c>
      <c r="AT16" s="75">
        <f t="shared" si="3"/>
        <v>0.67116279069767437</v>
      </c>
      <c r="AU16" s="75">
        <f t="shared" si="4"/>
        <v>0.16232558139534883</v>
      </c>
      <c r="AV16" s="26">
        <f t="shared" si="5"/>
        <v>4.5072912063632342E-2</v>
      </c>
      <c r="AW16" s="26">
        <f t="shared" si="6"/>
        <v>8.1307998232434828E-2</v>
      </c>
      <c r="AX16" s="24">
        <f t="shared" si="7"/>
        <v>0.72826086956521741</v>
      </c>
      <c r="AY16" s="24">
        <f t="shared" si="8"/>
        <v>0.91304347826086962</v>
      </c>
      <c r="AZ16" s="77" t="str">
        <f t="shared" si="9"/>
        <v>7,5 ≤ Alc. Bruta &lt; 10,0 mg/L</v>
      </c>
      <c r="BA16" s="77" t="str">
        <f t="shared" si="10"/>
        <v>5 ≤ Cor &lt; 10 uC</v>
      </c>
      <c r="BB16" s="78" t="str">
        <f t="shared" si="11"/>
        <v>Turbidez &lt; 2,5 uT</v>
      </c>
      <c r="BC16" s="79" t="str">
        <f t="shared" si="12"/>
        <v>SM &gt; TOR &gt; BNN</v>
      </c>
      <c r="BD16" s="78" t="str">
        <f t="shared" si="13"/>
        <v>Tipo 1 (≤0,25) uT</v>
      </c>
      <c r="BE16" s="78" t="str">
        <f t="shared" si="14"/>
        <v>Tipo 1 (≤0,25) uT</v>
      </c>
      <c r="BF16" s="78" t="str">
        <f t="shared" si="15"/>
        <v>Tipo 1 (≤0,25) uT</v>
      </c>
      <c r="BG16" s="78" t="str">
        <f t="shared" si="16"/>
        <v>Tipo 1 (≤0,25) uT</v>
      </c>
      <c r="BH16" s="78" t="str">
        <f t="shared" si="17"/>
        <v>Tipo 1 (≤0,25) uT</v>
      </c>
    </row>
    <row r="17" spans="1:60" x14ac:dyDescent="0.2">
      <c r="A17" s="31">
        <v>46261</v>
      </c>
      <c r="B17" s="80">
        <v>0.14583333333333334</v>
      </c>
      <c r="C17" s="57">
        <v>360</v>
      </c>
      <c r="D17" s="57">
        <v>1470</v>
      </c>
      <c r="E17" s="57">
        <v>350</v>
      </c>
      <c r="F17" s="57">
        <v>2259</v>
      </c>
      <c r="G17" s="85" t="s">
        <v>78</v>
      </c>
      <c r="H17" s="63">
        <v>10</v>
      </c>
      <c r="I17" s="57">
        <v>-149</v>
      </c>
      <c r="J17" s="57">
        <v>90</v>
      </c>
      <c r="K17" s="57">
        <v>90</v>
      </c>
      <c r="L17" s="57">
        <v>90</v>
      </c>
      <c r="M17" s="57">
        <v>24.7</v>
      </c>
      <c r="N17" s="63">
        <v>6.5</v>
      </c>
      <c r="O17" s="36">
        <v>1</v>
      </c>
      <c r="P17" s="57">
        <v>6</v>
      </c>
      <c r="Q17" s="63">
        <v>6.8</v>
      </c>
      <c r="R17" s="36">
        <v>9.2999999999999999E-2</v>
      </c>
      <c r="S17" s="36">
        <v>22.36</v>
      </c>
      <c r="T17" s="36">
        <v>0.88</v>
      </c>
      <c r="U17" s="36">
        <v>0.7</v>
      </c>
      <c r="V17" s="42">
        <f t="shared" si="18"/>
        <v>1694.25</v>
      </c>
      <c r="W17" s="42">
        <f t="shared" si="19"/>
        <v>1372.556302</v>
      </c>
      <c r="X17" s="42">
        <f t="shared" si="20"/>
        <v>0.8101261927106389</v>
      </c>
      <c r="Y17" s="57">
        <v>3</v>
      </c>
      <c r="Z17" s="57">
        <v>4</v>
      </c>
      <c r="AA17" s="63">
        <v>6.5</v>
      </c>
      <c r="AB17" s="57">
        <v>17</v>
      </c>
      <c r="AC17" s="63">
        <v>6.1</v>
      </c>
      <c r="AD17" s="63">
        <v>4.2</v>
      </c>
      <c r="AE17" s="36">
        <v>0.14000000000000001</v>
      </c>
      <c r="AF17" s="36">
        <v>7.0000000000000007E-2</v>
      </c>
      <c r="AG17" s="42">
        <f t="shared" si="0"/>
        <v>1694.25</v>
      </c>
      <c r="AH17" s="42">
        <f t="shared" si="21"/>
        <v>1785.9247275999996</v>
      </c>
      <c r="AI17" s="42">
        <f t="shared" si="22"/>
        <v>1.0541093271949238</v>
      </c>
      <c r="AJ17" s="57">
        <v>3</v>
      </c>
      <c r="AK17" s="57">
        <v>4</v>
      </c>
      <c r="AL17" s="63">
        <v>6.3</v>
      </c>
      <c r="AM17" s="57">
        <v>23</v>
      </c>
      <c r="AN17" s="63">
        <v>6.1</v>
      </c>
      <c r="AO17" s="63">
        <v>4.0999999999999996</v>
      </c>
      <c r="AP17" s="36">
        <v>0.15</v>
      </c>
      <c r="AQ17" s="36">
        <v>0.24</v>
      </c>
      <c r="AR17" s="73">
        <f t="shared" si="1"/>
        <v>2180</v>
      </c>
      <c r="AS17" s="75">
        <f t="shared" si="2"/>
        <v>0.16513761467889909</v>
      </c>
      <c r="AT17" s="75">
        <f t="shared" si="3"/>
        <v>0.67431192660550454</v>
      </c>
      <c r="AU17" s="75">
        <f t="shared" si="4"/>
        <v>0.16055045871559634</v>
      </c>
      <c r="AV17" s="26">
        <f t="shared" si="5"/>
        <v>6.0203629924745462E-2</v>
      </c>
      <c r="AW17" s="26">
        <f t="shared" si="6"/>
        <v>8.1451969898185039E-2</v>
      </c>
      <c r="AX17" s="24">
        <f t="shared" si="7"/>
        <v>0.76</v>
      </c>
      <c r="AY17" s="24">
        <f t="shared" si="8"/>
        <v>0.92999999999999994</v>
      </c>
      <c r="AZ17" s="77" t="str">
        <f t="shared" si="9"/>
        <v>5,0 ≤ Alc. Bruta &lt; 7,5 mg/L</v>
      </c>
      <c r="BA17" s="77" t="str">
        <f t="shared" si="10"/>
        <v>5 ≤ Cor &lt; 10 uC</v>
      </c>
      <c r="BB17" s="78" t="str">
        <f t="shared" si="11"/>
        <v>Turbidez &lt; 2,5 uT</v>
      </c>
      <c r="BC17" s="79" t="str">
        <f t="shared" si="12"/>
        <v>SM &gt; TOR &gt; BNN</v>
      </c>
      <c r="BD17" s="78" t="str">
        <f t="shared" si="13"/>
        <v>Tipo 1 (≤0,25) uT</v>
      </c>
      <c r="BE17" s="78" t="str">
        <f t="shared" si="14"/>
        <v>Tipo 1 (≤0,25) uT</v>
      </c>
      <c r="BF17" s="78" t="str">
        <f t="shared" si="15"/>
        <v>Tipo 1 (≤0,25) uT</v>
      </c>
      <c r="BG17" s="78" t="str">
        <f t="shared" si="16"/>
        <v>Tipo 1 (≤0,25) uT</v>
      </c>
      <c r="BH17" s="78" t="str">
        <f t="shared" si="17"/>
        <v>Tipo 1 (≤0,25) uT</v>
      </c>
    </row>
    <row r="18" spans="1:60" ht="15.75" thickBot="1" x14ac:dyDescent="0.25">
      <c r="A18" s="32">
        <v>46261</v>
      </c>
      <c r="B18" s="81">
        <v>0.22916666666666666</v>
      </c>
      <c r="C18" s="58">
        <v>360</v>
      </c>
      <c r="D18" s="58">
        <v>1460</v>
      </c>
      <c r="E18" s="58">
        <v>350</v>
      </c>
      <c r="F18" s="58">
        <v>2257</v>
      </c>
      <c r="G18" s="86" t="s">
        <v>78</v>
      </c>
      <c r="H18" s="64">
        <v>10</v>
      </c>
      <c r="I18" s="58">
        <v>-148</v>
      </c>
      <c r="J18" s="58">
        <v>90</v>
      </c>
      <c r="K18" s="58">
        <v>90</v>
      </c>
      <c r="L18" s="58">
        <v>90</v>
      </c>
      <c r="M18" s="58">
        <v>24.4</v>
      </c>
      <c r="N18" s="64">
        <v>6.5</v>
      </c>
      <c r="O18" s="37">
        <v>0.82</v>
      </c>
      <c r="P18" s="58">
        <v>6</v>
      </c>
      <c r="Q18" s="64">
        <v>7.1</v>
      </c>
      <c r="R18" s="37">
        <v>0.08</v>
      </c>
      <c r="S18" s="36">
        <v>22.36</v>
      </c>
      <c r="T18" s="36">
        <v>0.88</v>
      </c>
      <c r="U18" s="36">
        <v>0.7</v>
      </c>
      <c r="V18" s="42">
        <f t="shared" si="18"/>
        <v>1641.9675</v>
      </c>
      <c r="W18" s="42">
        <f t="shared" si="19"/>
        <v>1372.556302</v>
      </c>
      <c r="X18" s="42">
        <f t="shared" si="20"/>
        <v>0.83592172317661584</v>
      </c>
      <c r="Y18" s="58">
        <v>3</v>
      </c>
      <c r="Z18" s="58">
        <v>4</v>
      </c>
      <c r="AA18" s="64">
        <v>6.5</v>
      </c>
      <c r="AB18" s="58">
        <v>17</v>
      </c>
      <c r="AC18" s="64">
        <v>6.1</v>
      </c>
      <c r="AD18" s="64">
        <v>4</v>
      </c>
      <c r="AE18" s="37">
        <v>0.12</v>
      </c>
      <c r="AF18" s="37">
        <v>0.08</v>
      </c>
      <c r="AG18" s="42">
        <f t="shared" si="0"/>
        <v>1641.9675</v>
      </c>
      <c r="AH18" s="42">
        <f t="shared" si="21"/>
        <v>1785.9247275999996</v>
      </c>
      <c r="AI18" s="42">
        <f t="shared" si="22"/>
        <v>1.0876736157079843</v>
      </c>
      <c r="AJ18" s="58">
        <v>3</v>
      </c>
      <c r="AK18" s="58">
        <v>4</v>
      </c>
      <c r="AL18" s="64">
        <v>6.3</v>
      </c>
      <c r="AM18" s="58">
        <v>23</v>
      </c>
      <c r="AN18" s="64">
        <v>6.1</v>
      </c>
      <c r="AO18" s="64">
        <v>4.3</v>
      </c>
      <c r="AP18" s="37">
        <v>0.15</v>
      </c>
      <c r="AQ18" s="37">
        <v>0.25</v>
      </c>
      <c r="AR18" s="73">
        <f t="shared" si="1"/>
        <v>2170</v>
      </c>
      <c r="AS18" s="75">
        <f t="shared" si="2"/>
        <v>0.16589861751152074</v>
      </c>
      <c r="AT18" s="75">
        <f t="shared" si="3"/>
        <v>0.67281105990783407</v>
      </c>
      <c r="AU18" s="75">
        <f t="shared" si="4"/>
        <v>0.16129032258064516</v>
      </c>
      <c r="AV18" s="26">
        <f t="shared" si="5"/>
        <v>6.0256978289765173E-2</v>
      </c>
      <c r="AW18" s="26">
        <f t="shared" si="6"/>
        <v>8.1524147097917596E-2</v>
      </c>
      <c r="AX18" s="24">
        <f t="shared" si="7"/>
        <v>0.69512195121951215</v>
      </c>
      <c r="AY18" s="24">
        <f t="shared" si="8"/>
        <v>0.90243902439024393</v>
      </c>
      <c r="AZ18" s="77" t="str">
        <f t="shared" si="9"/>
        <v>5,0 ≤ Alc. Bruta &lt; 7,5 mg/L</v>
      </c>
      <c r="BA18" s="77" t="str">
        <f t="shared" si="10"/>
        <v>5 ≤ Cor &lt; 10 uC</v>
      </c>
      <c r="BB18" s="78" t="str">
        <f t="shared" si="11"/>
        <v>Turbidez &lt; 2,5 uT</v>
      </c>
      <c r="BC18" s="79" t="str">
        <f t="shared" si="12"/>
        <v>SM &gt; TOR &gt; BNN</v>
      </c>
      <c r="BD18" s="78" t="str">
        <f t="shared" si="13"/>
        <v>Tipo 1 (≤0,25) uT</v>
      </c>
      <c r="BE18" s="78" t="str">
        <f t="shared" si="14"/>
        <v>Tipo 1 (≤0,25) uT</v>
      </c>
      <c r="BF18" s="78" t="str">
        <f t="shared" si="15"/>
        <v>Tipo 1 (≤0,25) uT</v>
      </c>
      <c r="BG18" s="78" t="str">
        <f t="shared" si="16"/>
        <v>Tipo 1 (≤0,25) uT</v>
      </c>
      <c r="BH18" s="78" t="str">
        <f t="shared" si="17"/>
        <v>Tipo 1 (≤0,25) uT</v>
      </c>
    </row>
    <row r="19" spans="1:60" x14ac:dyDescent="0.2">
      <c r="A19" s="30">
        <v>46261</v>
      </c>
      <c r="B19" s="82">
        <v>0.3125</v>
      </c>
      <c r="C19" s="59">
        <v>490</v>
      </c>
      <c r="D19" s="59">
        <v>850</v>
      </c>
      <c r="E19" s="59">
        <v>425</v>
      </c>
      <c r="F19" s="59">
        <v>1829</v>
      </c>
      <c r="G19" s="87" t="s">
        <v>78</v>
      </c>
      <c r="H19" s="65">
        <v>10</v>
      </c>
      <c r="I19" s="59">
        <v>-147</v>
      </c>
      <c r="J19" s="59">
        <v>90</v>
      </c>
      <c r="K19" s="59">
        <v>90</v>
      </c>
      <c r="L19" s="59">
        <v>90</v>
      </c>
      <c r="M19" s="59">
        <v>24.3</v>
      </c>
      <c r="N19" s="65">
        <v>6.4</v>
      </c>
      <c r="O19" s="38">
        <v>6.93</v>
      </c>
      <c r="P19" s="59">
        <v>6</v>
      </c>
      <c r="Q19" s="65">
        <v>8.9</v>
      </c>
      <c r="R19" s="38">
        <v>0.14000000000000001</v>
      </c>
      <c r="S19" s="36">
        <v>22.36</v>
      </c>
      <c r="T19" s="36">
        <v>0.88</v>
      </c>
      <c r="U19" s="36">
        <v>0.7</v>
      </c>
      <c r="V19" s="42">
        <f t="shared" si="18"/>
        <v>2727.4962500000001</v>
      </c>
      <c r="W19" s="42">
        <f t="shared" si="19"/>
        <v>1372.556302</v>
      </c>
      <c r="X19" s="42">
        <f t="shared" si="20"/>
        <v>0.50322940022373996</v>
      </c>
      <c r="Y19" s="59">
        <v>2</v>
      </c>
      <c r="Z19" s="59">
        <v>4</v>
      </c>
      <c r="AA19" s="65">
        <v>6.5</v>
      </c>
      <c r="AB19" s="59">
        <v>17</v>
      </c>
      <c r="AC19" s="65">
        <v>6.1</v>
      </c>
      <c r="AD19" s="65">
        <v>6</v>
      </c>
      <c r="AE19" s="38">
        <v>0.14000000000000001</v>
      </c>
      <c r="AF19" s="38">
        <v>0.08</v>
      </c>
      <c r="AG19" s="42">
        <f t="shared" si="0"/>
        <v>3636.6616666666664</v>
      </c>
      <c r="AH19" s="42">
        <f t="shared" si="21"/>
        <v>1750.3931224</v>
      </c>
      <c r="AI19" s="42">
        <f t="shared" si="22"/>
        <v>0.48131866058477629</v>
      </c>
      <c r="AJ19" s="59">
        <v>2</v>
      </c>
      <c r="AK19" s="59">
        <v>3</v>
      </c>
      <c r="AL19" s="65">
        <v>6.2</v>
      </c>
      <c r="AM19" s="59">
        <v>23</v>
      </c>
      <c r="AN19" s="65">
        <v>6.1</v>
      </c>
      <c r="AO19" s="65">
        <v>4.9000000000000004</v>
      </c>
      <c r="AP19" s="38">
        <v>0.19</v>
      </c>
      <c r="AQ19" s="38">
        <v>0.25</v>
      </c>
      <c r="AR19" s="73">
        <f t="shared" si="1"/>
        <v>1765</v>
      </c>
      <c r="AS19" s="75">
        <f t="shared" si="2"/>
        <v>0.27762039660056659</v>
      </c>
      <c r="AT19" s="75">
        <f t="shared" si="3"/>
        <v>0.48158640226628896</v>
      </c>
      <c r="AU19" s="75">
        <f t="shared" si="4"/>
        <v>0.24079320113314448</v>
      </c>
      <c r="AV19" s="26">
        <f t="shared" si="5"/>
        <v>7.435757244395845E-2</v>
      </c>
      <c r="AW19" s="26">
        <f t="shared" si="6"/>
        <v>7.5451066156369609E-2</v>
      </c>
      <c r="AX19" s="24">
        <f t="shared" si="7"/>
        <v>0.96392496392496396</v>
      </c>
      <c r="AY19" s="24">
        <f t="shared" si="8"/>
        <v>0.98845598845598848</v>
      </c>
      <c r="AZ19" s="77" t="str">
        <f t="shared" si="9"/>
        <v>7,5 ≤ Alc. Bruta &lt; 10,0 mg/L</v>
      </c>
      <c r="BA19" s="77" t="str">
        <f t="shared" si="10"/>
        <v>5 ≤ Cor &lt; 10 uC</v>
      </c>
      <c r="BB19" s="78" t="str">
        <f t="shared" si="11"/>
        <v>5,0 ≤ Turb &lt; 7,5 uT</v>
      </c>
      <c r="BC19" s="79" t="str">
        <f t="shared" si="12"/>
        <v>SM &gt; TOR &gt; BNN</v>
      </c>
      <c r="BD19" s="78" t="str">
        <f t="shared" si="13"/>
        <v>Tipo 1 (≤0,25) uT</v>
      </c>
      <c r="BE19" s="78" t="str">
        <f t="shared" si="14"/>
        <v>Tipo 1 (≤0,25) uT</v>
      </c>
      <c r="BF19" s="78" t="str">
        <f t="shared" si="15"/>
        <v>Tipo 1 (≤0,25) uT</v>
      </c>
      <c r="BG19" s="78" t="str">
        <f t="shared" si="16"/>
        <v>Tipo 1 (≤0,25) uT</v>
      </c>
      <c r="BH19" s="78" t="str">
        <f t="shared" si="17"/>
        <v>Tipo 1 (≤0,25) uT</v>
      </c>
    </row>
    <row r="20" spans="1:60" x14ac:dyDescent="0.2">
      <c r="A20" s="31">
        <v>46261</v>
      </c>
      <c r="B20" s="80">
        <v>0.39583333333333331</v>
      </c>
      <c r="C20" s="57">
        <v>477</v>
      </c>
      <c r="D20" s="57">
        <v>845</v>
      </c>
      <c r="E20" s="57">
        <v>427</v>
      </c>
      <c r="F20" s="57">
        <v>1740</v>
      </c>
      <c r="G20" s="85" t="s">
        <v>78</v>
      </c>
      <c r="H20" s="63">
        <v>10</v>
      </c>
      <c r="I20" s="57">
        <v>-150</v>
      </c>
      <c r="J20" s="57">
        <v>90</v>
      </c>
      <c r="K20" s="57">
        <v>90</v>
      </c>
      <c r="L20" s="57">
        <v>90</v>
      </c>
      <c r="M20" s="57">
        <v>25.8</v>
      </c>
      <c r="N20" s="63">
        <v>6.4</v>
      </c>
      <c r="O20" s="36">
        <v>1.016</v>
      </c>
      <c r="P20" s="57">
        <v>6</v>
      </c>
      <c r="Q20" s="63">
        <v>8.5</v>
      </c>
      <c r="R20" s="36">
        <v>7.1999999999999995E-2</v>
      </c>
      <c r="S20" s="36">
        <v>22.36</v>
      </c>
      <c r="T20" s="36">
        <v>0.88</v>
      </c>
      <c r="U20" s="36">
        <v>0.7</v>
      </c>
      <c r="V20" s="42">
        <f t="shared" si="18"/>
        <v>1308.48</v>
      </c>
      <c r="W20" s="42">
        <f t="shared" si="19"/>
        <v>1372.556302</v>
      </c>
      <c r="X20" s="42">
        <f t="shared" si="20"/>
        <v>1.0489700278185374</v>
      </c>
      <c r="Y20" s="57">
        <v>2</v>
      </c>
      <c r="Z20" s="57">
        <v>4</v>
      </c>
      <c r="AA20" s="63">
        <v>6.5</v>
      </c>
      <c r="AB20" s="57">
        <v>17</v>
      </c>
      <c r="AC20" s="63">
        <v>6.1</v>
      </c>
      <c r="AD20" s="63">
        <v>5.8</v>
      </c>
      <c r="AE20" s="36">
        <v>0.15</v>
      </c>
      <c r="AF20" s="36">
        <v>0.09</v>
      </c>
      <c r="AG20" s="42">
        <f t="shared" si="0"/>
        <v>1744.64</v>
      </c>
      <c r="AH20" s="42">
        <f t="shared" si="21"/>
        <v>1750.3931224</v>
      </c>
      <c r="AI20" s="42">
        <f t="shared" si="22"/>
        <v>1.0032975985876742</v>
      </c>
      <c r="AJ20" s="57">
        <v>2</v>
      </c>
      <c r="AK20" s="57">
        <v>3</v>
      </c>
      <c r="AL20" s="63">
        <v>6.2</v>
      </c>
      <c r="AM20" s="57">
        <v>23</v>
      </c>
      <c r="AN20" s="63">
        <v>6.2</v>
      </c>
      <c r="AO20" s="63">
        <v>5.0999999999999996</v>
      </c>
      <c r="AP20" s="36">
        <v>0.2</v>
      </c>
      <c r="AQ20" s="36">
        <v>0.27</v>
      </c>
      <c r="AR20" s="73">
        <f t="shared" si="1"/>
        <v>1749</v>
      </c>
      <c r="AS20" s="75">
        <f t="shared" si="2"/>
        <v>0.27272727272727271</v>
      </c>
      <c r="AT20" s="75">
        <f t="shared" si="3"/>
        <v>0.48313321898227557</v>
      </c>
      <c r="AU20" s="75">
        <f t="shared" si="4"/>
        <v>0.2441395082904517</v>
      </c>
      <c r="AV20" s="26">
        <f t="shared" si="5"/>
        <v>7.8160919540229884E-2</v>
      </c>
      <c r="AW20" s="26">
        <f t="shared" si="6"/>
        <v>7.9310344827586213E-2</v>
      </c>
      <c r="AX20" s="24">
        <f t="shared" si="7"/>
        <v>0.73425196850393704</v>
      </c>
      <c r="AY20" s="24">
        <f t="shared" si="8"/>
        <v>0.91141732283464572</v>
      </c>
      <c r="AZ20" s="77" t="str">
        <f t="shared" si="9"/>
        <v>7,5 ≤ Alc. Bruta &lt; 10,0 mg/L</v>
      </c>
      <c r="BA20" s="77" t="str">
        <f t="shared" si="10"/>
        <v>5 ≤ Cor &lt; 10 uC</v>
      </c>
      <c r="BB20" s="78" t="str">
        <f t="shared" si="11"/>
        <v>Turbidez &lt; 2,5 uT</v>
      </c>
      <c r="BC20" s="79" t="str">
        <f t="shared" si="12"/>
        <v>SM &gt; TOR &gt; BNN</v>
      </c>
      <c r="BD20" s="78" t="str">
        <f t="shared" si="13"/>
        <v>Tipo 1 (≤0,25) uT</v>
      </c>
      <c r="BE20" s="78" t="str">
        <f t="shared" si="14"/>
        <v>Tipo 1 (≤0,25) uT</v>
      </c>
      <c r="BF20" s="78" t="str">
        <f t="shared" si="15"/>
        <v>Tipo 1 (≤0,25) uT</v>
      </c>
      <c r="BG20" s="78" t="str">
        <f t="shared" si="16"/>
        <v>Tipo 2 (0,25-0,50) uT</v>
      </c>
      <c r="BH20" s="78" t="str">
        <f t="shared" si="17"/>
        <v>Tipo 1 (≤0,25) uT</v>
      </c>
    </row>
    <row r="21" spans="1:60" x14ac:dyDescent="0.2">
      <c r="A21" s="31">
        <v>46261</v>
      </c>
      <c r="B21" s="80">
        <v>0.47916666666666669</v>
      </c>
      <c r="C21" s="57">
        <v>480</v>
      </c>
      <c r="D21" s="57">
        <v>847</v>
      </c>
      <c r="E21" s="57">
        <v>425</v>
      </c>
      <c r="F21" s="57">
        <v>1741</v>
      </c>
      <c r="G21" s="85" t="s">
        <v>78</v>
      </c>
      <c r="H21" s="63">
        <v>10</v>
      </c>
      <c r="I21" s="57">
        <v>-149</v>
      </c>
      <c r="J21" s="57">
        <v>90</v>
      </c>
      <c r="K21" s="57">
        <v>90</v>
      </c>
      <c r="L21" s="57">
        <v>90</v>
      </c>
      <c r="M21" s="57">
        <v>24.9</v>
      </c>
      <c r="N21" s="63">
        <v>6.5</v>
      </c>
      <c r="O21" s="36">
        <v>0.97699999999999998</v>
      </c>
      <c r="P21" s="57">
        <v>7</v>
      </c>
      <c r="Q21" s="63">
        <v>7.6</v>
      </c>
      <c r="R21" s="36">
        <v>8.2000000000000003E-2</v>
      </c>
      <c r="S21" s="36">
        <v>22.36</v>
      </c>
      <c r="T21" s="36">
        <v>0.88</v>
      </c>
      <c r="U21" s="36">
        <v>0.7</v>
      </c>
      <c r="V21" s="42">
        <f t="shared" si="18"/>
        <v>1300.744625</v>
      </c>
      <c r="W21" s="42">
        <f t="shared" si="19"/>
        <v>1372.556302</v>
      </c>
      <c r="X21" s="42">
        <f t="shared" si="20"/>
        <v>1.0552081289592106</v>
      </c>
      <c r="Y21" s="57">
        <v>2</v>
      </c>
      <c r="Z21" s="57">
        <v>4</v>
      </c>
      <c r="AA21" s="63">
        <v>6.5</v>
      </c>
      <c r="AB21" s="57">
        <v>17</v>
      </c>
      <c r="AC21" s="63">
        <v>6.3</v>
      </c>
      <c r="AD21" s="63">
        <v>5.5</v>
      </c>
      <c r="AE21" s="36">
        <v>0.15</v>
      </c>
      <c r="AF21" s="36">
        <v>0.27</v>
      </c>
      <c r="AG21" s="42">
        <f t="shared" si="0"/>
        <v>1734.3261666666669</v>
      </c>
      <c r="AH21" s="42">
        <f t="shared" si="21"/>
        <v>1785.9247275999996</v>
      </c>
      <c r="AI21" s="42">
        <f t="shared" si="22"/>
        <v>1.0297513593031373</v>
      </c>
      <c r="AJ21" s="57">
        <v>2</v>
      </c>
      <c r="AK21" s="57">
        <v>3</v>
      </c>
      <c r="AL21" s="63">
        <v>6.3</v>
      </c>
      <c r="AM21" s="57">
        <v>23</v>
      </c>
      <c r="AN21" s="63">
        <v>6.2</v>
      </c>
      <c r="AO21" s="63">
        <v>5.9</v>
      </c>
      <c r="AP21" s="36">
        <v>0.17</v>
      </c>
      <c r="AQ21" s="36">
        <v>0.26</v>
      </c>
      <c r="AR21" s="73">
        <f t="shared" si="1"/>
        <v>1752</v>
      </c>
      <c r="AS21" s="75">
        <f t="shared" si="2"/>
        <v>0.27397260273972601</v>
      </c>
      <c r="AT21" s="75">
        <f t="shared" si="3"/>
        <v>0.48344748858447489</v>
      </c>
      <c r="AU21" s="75">
        <f t="shared" si="4"/>
        <v>0.24257990867579909</v>
      </c>
      <c r="AV21" s="26">
        <f t="shared" si="5"/>
        <v>7.8116025272831707E-2</v>
      </c>
      <c r="AW21" s="26">
        <f t="shared" si="6"/>
        <v>7.9264790350373343E-2</v>
      </c>
      <c r="AX21" s="24">
        <f t="shared" si="7"/>
        <v>0.73387922210849532</v>
      </c>
      <c r="AY21" s="24">
        <f t="shared" si="8"/>
        <v>0.72364380757420665</v>
      </c>
      <c r="AZ21" s="77" t="str">
        <f t="shared" si="9"/>
        <v>7,5 ≤ Alc. Bruta &lt; 10,0 mg/L</v>
      </c>
      <c r="BA21" s="77" t="str">
        <f t="shared" si="10"/>
        <v>5 ≤ Cor &lt; 10 uC</v>
      </c>
      <c r="BB21" s="78" t="str">
        <f t="shared" si="11"/>
        <v>Turbidez &lt; 2,5 uT</v>
      </c>
      <c r="BC21" s="79" t="str">
        <f t="shared" si="12"/>
        <v>SM &gt; TOR &gt; BNN</v>
      </c>
      <c r="BD21" s="78" t="str">
        <f t="shared" si="13"/>
        <v>Tipo 1 (≤0,25) uT</v>
      </c>
      <c r="BE21" s="78" t="str">
        <f t="shared" si="14"/>
        <v>Tipo 1 (≤0,25) uT</v>
      </c>
      <c r="BF21" s="78" t="str">
        <f t="shared" si="15"/>
        <v>Tipo 2 (0,25-0,50) uT</v>
      </c>
      <c r="BG21" s="78" t="str">
        <f t="shared" si="16"/>
        <v>Tipo 2 (0,25-0,50) uT</v>
      </c>
      <c r="BH21" s="78" t="str">
        <f t="shared" si="17"/>
        <v>Tipo 1 (≤0,25) uT</v>
      </c>
    </row>
    <row r="22" spans="1:60" x14ac:dyDescent="0.2">
      <c r="A22" s="31">
        <v>46261</v>
      </c>
      <c r="B22" s="80">
        <v>0.64583333333333337</v>
      </c>
      <c r="C22" s="57">
        <v>387</v>
      </c>
      <c r="D22" s="57">
        <v>1650</v>
      </c>
      <c r="E22" s="57">
        <v>200</v>
      </c>
      <c r="F22" s="57">
        <v>2264</v>
      </c>
      <c r="G22" s="85" t="s">
        <v>78</v>
      </c>
      <c r="H22" s="63">
        <v>10</v>
      </c>
      <c r="I22" s="57">
        <v>-153</v>
      </c>
      <c r="J22" s="57">
        <v>90</v>
      </c>
      <c r="K22" s="57">
        <v>90</v>
      </c>
      <c r="L22" s="57">
        <v>90</v>
      </c>
      <c r="M22" s="57">
        <v>26.1</v>
      </c>
      <c r="N22" s="63">
        <v>6.5</v>
      </c>
      <c r="O22" s="36">
        <v>1.26</v>
      </c>
      <c r="P22" s="57">
        <v>6</v>
      </c>
      <c r="Q22" s="63">
        <v>6.3</v>
      </c>
      <c r="R22" s="36">
        <v>7.2999999999999995E-2</v>
      </c>
      <c r="S22" s="36">
        <v>22.36</v>
      </c>
      <c r="T22" s="36">
        <v>0.88</v>
      </c>
      <c r="U22" s="36">
        <v>0.7</v>
      </c>
      <c r="V22" s="42">
        <f t="shared" si="18"/>
        <v>1771.58</v>
      </c>
      <c r="W22" s="42">
        <f t="shared" si="19"/>
        <v>1372.556302</v>
      </c>
      <c r="X22" s="42">
        <f t="shared" si="20"/>
        <v>0.77476394066313692</v>
      </c>
      <c r="Y22" s="57">
        <v>3</v>
      </c>
      <c r="Z22" s="57">
        <v>4</v>
      </c>
      <c r="AA22" s="63">
        <v>6.5</v>
      </c>
      <c r="AB22" s="57">
        <v>17</v>
      </c>
      <c r="AC22" s="63">
        <v>5.9</v>
      </c>
      <c r="AD22" s="63">
        <v>3.2</v>
      </c>
      <c r="AE22" s="36">
        <v>0.16</v>
      </c>
      <c r="AF22" s="36">
        <v>0.13</v>
      </c>
      <c r="AG22" s="42">
        <f t="shared" si="0"/>
        <v>1771.58</v>
      </c>
      <c r="AH22" s="42">
        <f t="shared" si="21"/>
        <v>1785.9247275999996</v>
      </c>
      <c r="AI22" s="42">
        <f t="shared" si="22"/>
        <v>1.0080971379220807</v>
      </c>
      <c r="AJ22" s="57">
        <v>3</v>
      </c>
      <c r="AK22" s="57">
        <v>4</v>
      </c>
      <c r="AL22" s="63">
        <v>6.3</v>
      </c>
      <c r="AM22" s="57">
        <v>23</v>
      </c>
      <c r="AN22" s="63">
        <v>6.2</v>
      </c>
      <c r="AO22" s="63">
        <v>3.6</v>
      </c>
      <c r="AP22" s="36">
        <v>0.17</v>
      </c>
      <c r="AQ22" s="36">
        <v>0.19</v>
      </c>
      <c r="AR22" s="73">
        <f t="shared" si="1"/>
        <v>2237</v>
      </c>
      <c r="AS22" s="75">
        <f t="shared" si="2"/>
        <v>0.17299955297273134</v>
      </c>
      <c r="AT22" s="75">
        <f t="shared" si="3"/>
        <v>0.73759499329459099</v>
      </c>
      <c r="AU22" s="75">
        <f t="shared" si="4"/>
        <v>8.9405453732677692E-2</v>
      </c>
      <c r="AV22" s="26">
        <f t="shared" si="5"/>
        <v>6.0070671378091869E-2</v>
      </c>
      <c r="AW22" s="26">
        <f t="shared" si="6"/>
        <v>8.1272084805653705E-2</v>
      </c>
      <c r="AX22" s="24">
        <f t="shared" si="7"/>
        <v>0.84920634920634919</v>
      </c>
      <c r="AY22" s="24">
        <f t="shared" si="8"/>
        <v>0.89682539682539686</v>
      </c>
      <c r="AZ22" s="77" t="str">
        <f t="shared" si="9"/>
        <v>5,0 ≤ Alc. Bruta &lt; 7,5 mg/L</v>
      </c>
      <c r="BA22" s="77" t="str">
        <f t="shared" si="10"/>
        <v>5 ≤ Cor &lt; 10 uC</v>
      </c>
      <c r="BB22" s="78" t="str">
        <f t="shared" si="11"/>
        <v>Turbidez &lt; 2,5 uT</v>
      </c>
      <c r="BC22" s="79" t="str">
        <f t="shared" si="12"/>
        <v>SM &gt; TOR &gt; BNN</v>
      </c>
      <c r="BD22" s="78" t="str">
        <f t="shared" si="13"/>
        <v>Tipo 1 (≤0,25) uT</v>
      </c>
      <c r="BE22" s="78" t="str">
        <f t="shared" si="14"/>
        <v>Tipo 1 (≤0,25) uT</v>
      </c>
      <c r="BF22" s="78" t="str">
        <f t="shared" si="15"/>
        <v>Tipo 1 (≤0,25) uT</v>
      </c>
      <c r="BG22" s="78" t="str">
        <f t="shared" si="16"/>
        <v>Tipo 1 (≤0,25) uT</v>
      </c>
      <c r="BH22" s="78" t="str">
        <f t="shared" si="17"/>
        <v>Tipo 1 (≤0,25) uT</v>
      </c>
    </row>
    <row r="23" spans="1:60" x14ac:dyDescent="0.2">
      <c r="A23" s="31">
        <v>46261</v>
      </c>
      <c r="B23" s="80">
        <v>0.72916666666666663</v>
      </c>
      <c r="C23" s="57">
        <v>386</v>
      </c>
      <c r="D23" s="57">
        <v>1650</v>
      </c>
      <c r="E23" s="57">
        <v>199</v>
      </c>
      <c r="F23" s="57">
        <v>2242</v>
      </c>
      <c r="G23" s="85" t="s">
        <v>78</v>
      </c>
      <c r="H23" s="63">
        <v>10</v>
      </c>
      <c r="I23" s="57">
        <v>-152</v>
      </c>
      <c r="J23" s="57">
        <v>90</v>
      </c>
      <c r="K23" s="57">
        <v>90</v>
      </c>
      <c r="L23" s="57">
        <v>90</v>
      </c>
      <c r="M23" s="57">
        <v>26.3</v>
      </c>
      <c r="N23" s="63">
        <v>6.5</v>
      </c>
      <c r="O23" s="36">
        <v>0.98599999999999999</v>
      </c>
      <c r="P23" s="57">
        <v>6</v>
      </c>
      <c r="Q23" s="63">
        <v>5.8</v>
      </c>
      <c r="R23" s="36">
        <v>7.2999999999999995E-2</v>
      </c>
      <c r="S23" s="36">
        <v>22.36</v>
      </c>
      <c r="T23" s="36">
        <v>0.88</v>
      </c>
      <c r="U23" s="36">
        <v>0.7</v>
      </c>
      <c r="V23" s="42">
        <f t="shared" si="18"/>
        <v>1677.5764999999999</v>
      </c>
      <c r="W23" s="42">
        <f t="shared" si="19"/>
        <v>1372.556302</v>
      </c>
      <c r="X23" s="42">
        <f t="shared" si="20"/>
        <v>0.81817806937567383</v>
      </c>
      <c r="Y23" s="57">
        <v>4</v>
      </c>
      <c r="Z23" s="57">
        <v>4</v>
      </c>
      <c r="AA23" s="63">
        <v>6.5</v>
      </c>
      <c r="AB23" s="57">
        <v>17</v>
      </c>
      <c r="AC23" s="63">
        <v>5.9</v>
      </c>
      <c r="AD23" s="63">
        <v>3.8</v>
      </c>
      <c r="AE23" s="36">
        <v>0.08</v>
      </c>
      <c r="AF23" s="36">
        <v>0.13</v>
      </c>
      <c r="AG23" s="42">
        <f t="shared" si="0"/>
        <v>1677.5764999999999</v>
      </c>
      <c r="AH23" s="42">
        <f t="shared" si="21"/>
        <v>1785.9247275999996</v>
      </c>
      <c r="AI23" s="42">
        <f t="shared" si="22"/>
        <v>1.0645861620021499</v>
      </c>
      <c r="AJ23" s="57">
        <v>4</v>
      </c>
      <c r="AK23" s="57">
        <v>4</v>
      </c>
      <c r="AL23" s="63">
        <v>6.3</v>
      </c>
      <c r="AM23" s="57">
        <v>23</v>
      </c>
      <c r="AN23" s="63">
        <v>6.1</v>
      </c>
      <c r="AO23" s="63">
        <v>3.4</v>
      </c>
      <c r="AP23" s="36">
        <v>0.08</v>
      </c>
      <c r="AQ23" s="36">
        <v>0.17</v>
      </c>
      <c r="AR23" s="73">
        <f t="shared" si="1"/>
        <v>2235</v>
      </c>
      <c r="AS23" s="75">
        <f t="shared" si="2"/>
        <v>0.1727069351230425</v>
      </c>
      <c r="AT23" s="75">
        <f t="shared" si="3"/>
        <v>0.73825503355704702</v>
      </c>
      <c r="AU23" s="75">
        <f t="shared" si="4"/>
        <v>8.9038031319910518E-2</v>
      </c>
      <c r="AV23" s="26">
        <f t="shared" si="5"/>
        <v>6.0660124888492414E-2</v>
      </c>
      <c r="AW23" s="26">
        <f t="shared" si="6"/>
        <v>8.2069580731489747E-2</v>
      </c>
      <c r="AX23" s="24">
        <f t="shared" si="7"/>
        <v>0.82758620689655171</v>
      </c>
      <c r="AY23" s="24">
        <f t="shared" si="8"/>
        <v>0.86815415821501007</v>
      </c>
      <c r="AZ23" s="77" t="str">
        <f t="shared" si="9"/>
        <v>5,0 ≤ Alc. Bruta &lt; 7,5 mg/L</v>
      </c>
      <c r="BA23" s="77" t="str">
        <f t="shared" si="10"/>
        <v>5 ≤ Cor &lt; 10 uC</v>
      </c>
      <c r="BB23" s="78" t="str">
        <f t="shared" si="11"/>
        <v>Turbidez &lt; 2,5 uT</v>
      </c>
      <c r="BC23" s="79" t="str">
        <f t="shared" si="12"/>
        <v>SM &gt; TOR &gt; BNN</v>
      </c>
      <c r="BD23" s="78" t="str">
        <f t="shared" si="13"/>
        <v>Tipo 1 (≤0,25) uT</v>
      </c>
      <c r="BE23" s="78" t="str">
        <f t="shared" si="14"/>
        <v>Tipo 1 (≤0,25) uT</v>
      </c>
      <c r="BF23" s="78" t="str">
        <f t="shared" si="15"/>
        <v>Tipo 1 (≤0,25) uT</v>
      </c>
      <c r="BG23" s="78" t="str">
        <f t="shared" si="16"/>
        <v>Tipo 1 (≤0,25) uT</v>
      </c>
      <c r="BH23" s="78" t="str">
        <f t="shared" si="17"/>
        <v>Tipo 1 (≤0,25) uT</v>
      </c>
    </row>
    <row r="24" spans="1:60" x14ac:dyDescent="0.2">
      <c r="A24" s="31">
        <v>46261</v>
      </c>
      <c r="B24" s="80">
        <v>0.8125</v>
      </c>
      <c r="C24" s="57">
        <v>379</v>
      </c>
      <c r="D24" s="57">
        <v>1668</v>
      </c>
      <c r="E24" s="57">
        <v>199</v>
      </c>
      <c r="F24" s="57">
        <v>2224</v>
      </c>
      <c r="G24" s="85" t="s">
        <v>78</v>
      </c>
      <c r="H24" s="63">
        <v>10</v>
      </c>
      <c r="I24" s="57">
        <v>-152</v>
      </c>
      <c r="J24" s="57">
        <v>90</v>
      </c>
      <c r="K24" s="57">
        <v>90</v>
      </c>
      <c r="L24" s="57">
        <v>90</v>
      </c>
      <c r="M24" s="57">
        <v>25</v>
      </c>
      <c r="N24" s="63">
        <v>6.4</v>
      </c>
      <c r="O24" s="36">
        <v>1.21</v>
      </c>
      <c r="P24" s="57">
        <v>11</v>
      </c>
      <c r="Q24" s="63">
        <v>8.1999999999999993</v>
      </c>
      <c r="R24" s="36">
        <v>7.0000000000000007E-2</v>
      </c>
      <c r="S24" s="36">
        <v>22.36</v>
      </c>
      <c r="T24" s="36">
        <v>0.88</v>
      </c>
      <c r="U24" s="36">
        <v>0.7</v>
      </c>
      <c r="V24" s="42">
        <f t="shared" si="18"/>
        <v>1726.3799999999999</v>
      </c>
      <c r="W24" s="42">
        <f t="shared" si="19"/>
        <v>1372.556302</v>
      </c>
      <c r="X24" s="42">
        <f t="shared" si="20"/>
        <v>0.79504877373463556</v>
      </c>
      <c r="Y24" s="57">
        <v>4</v>
      </c>
      <c r="Z24" s="57">
        <v>4</v>
      </c>
      <c r="AA24" s="63">
        <v>6.5</v>
      </c>
      <c r="AB24" s="57">
        <v>17</v>
      </c>
      <c r="AC24" s="63">
        <v>6</v>
      </c>
      <c r="AD24" s="63">
        <v>5.7</v>
      </c>
      <c r="AE24" s="36">
        <v>0.15</v>
      </c>
      <c r="AF24" s="36">
        <v>0.13</v>
      </c>
      <c r="AG24" s="42">
        <f t="shared" si="0"/>
        <v>1726.3799999999999</v>
      </c>
      <c r="AH24" s="42">
        <f t="shared" si="21"/>
        <v>1750.3931224</v>
      </c>
      <c r="AI24" s="42">
        <f t="shared" si="22"/>
        <v>1.0139095230482282</v>
      </c>
      <c r="AJ24" s="57">
        <v>4</v>
      </c>
      <c r="AK24" s="57">
        <v>4</v>
      </c>
      <c r="AL24" s="63">
        <v>6.2</v>
      </c>
      <c r="AM24" s="57">
        <v>23</v>
      </c>
      <c r="AN24" s="63">
        <v>6</v>
      </c>
      <c r="AO24" s="63">
        <v>8.1</v>
      </c>
      <c r="AP24" s="36">
        <v>0.1</v>
      </c>
      <c r="AQ24" s="36">
        <v>0.18</v>
      </c>
      <c r="AR24" s="73">
        <f t="shared" si="1"/>
        <v>2246</v>
      </c>
      <c r="AS24" s="75">
        <f t="shared" si="2"/>
        <v>0.16874443455031166</v>
      </c>
      <c r="AT24" s="75">
        <f t="shared" si="3"/>
        <v>0.74265360641139799</v>
      </c>
      <c r="AU24" s="75">
        <f t="shared" si="4"/>
        <v>8.8601959038290296E-2</v>
      </c>
      <c r="AV24" s="26">
        <f t="shared" si="5"/>
        <v>6.1151079136690649E-2</v>
      </c>
      <c r="AW24" s="26">
        <f t="shared" si="6"/>
        <v>8.2733812949640287E-2</v>
      </c>
      <c r="AX24" s="24">
        <f t="shared" si="7"/>
        <v>0.85123966942148765</v>
      </c>
      <c r="AY24" s="24">
        <f t="shared" si="8"/>
        <v>0.8925619834710744</v>
      </c>
      <c r="AZ24" s="77" t="str">
        <f t="shared" si="9"/>
        <v>7,5 ≤ Alc. Bruta &lt; 10,0 mg/L</v>
      </c>
      <c r="BA24" s="77" t="str">
        <f t="shared" si="10"/>
        <v>10 ≤ Cor &lt;15 uC</v>
      </c>
      <c r="BB24" s="78" t="str">
        <f t="shared" si="11"/>
        <v>Turbidez &lt; 2,5 uT</v>
      </c>
      <c r="BC24" s="79" t="str">
        <f t="shared" si="12"/>
        <v>SM &gt; TOR &gt; BNN</v>
      </c>
      <c r="BD24" s="78" t="str">
        <f t="shared" si="13"/>
        <v>Tipo 1 (≤0,25) uT</v>
      </c>
      <c r="BE24" s="78" t="str">
        <f t="shared" si="14"/>
        <v>Tipo 1 (≤0,25) uT</v>
      </c>
      <c r="BF24" s="78" t="str">
        <f t="shared" si="15"/>
        <v>Tipo 1 (≤0,25) uT</v>
      </c>
      <c r="BG24" s="78" t="str">
        <f t="shared" si="16"/>
        <v>Tipo 1 (≤0,25) uT</v>
      </c>
      <c r="BH24" s="78" t="str">
        <f t="shared" si="17"/>
        <v>Tipo 1 (≤0,25) uT</v>
      </c>
    </row>
    <row r="25" spans="1:60" x14ac:dyDescent="0.2">
      <c r="A25" s="31">
        <v>46261</v>
      </c>
      <c r="B25" s="80">
        <v>0.89583333333333337</v>
      </c>
      <c r="C25" s="57">
        <v>382</v>
      </c>
      <c r="D25" s="57">
        <v>1648</v>
      </c>
      <c r="E25" s="57">
        <v>200</v>
      </c>
      <c r="F25" s="57">
        <v>2227</v>
      </c>
      <c r="G25" s="85" t="s">
        <v>78</v>
      </c>
      <c r="H25" s="63">
        <v>10</v>
      </c>
      <c r="I25" s="57">
        <v>-151</v>
      </c>
      <c r="J25" s="57">
        <v>90</v>
      </c>
      <c r="K25" s="57">
        <v>90</v>
      </c>
      <c r="L25" s="57">
        <v>90</v>
      </c>
      <c r="M25" s="57">
        <v>25.3</v>
      </c>
      <c r="N25" s="63">
        <v>6.3</v>
      </c>
      <c r="O25" s="36">
        <v>1.21</v>
      </c>
      <c r="P25" s="57">
        <v>10</v>
      </c>
      <c r="Q25" s="63">
        <v>8.6</v>
      </c>
      <c r="R25" s="36">
        <v>7.0000000000000007E-2</v>
      </c>
      <c r="S25" s="36">
        <v>22.36</v>
      </c>
      <c r="T25" s="36">
        <v>0.88</v>
      </c>
      <c r="U25" s="36">
        <v>0.7</v>
      </c>
      <c r="V25" s="42">
        <f t="shared" si="18"/>
        <v>1728.70875</v>
      </c>
      <c r="W25" s="42">
        <f t="shared" si="19"/>
        <v>1372.556302</v>
      </c>
      <c r="X25" s="42">
        <f t="shared" si="20"/>
        <v>0.79397776056840108</v>
      </c>
      <c r="Y25" s="57">
        <v>4</v>
      </c>
      <c r="Z25" s="57">
        <v>4</v>
      </c>
      <c r="AA25" s="63">
        <v>6.5</v>
      </c>
      <c r="AB25" s="57">
        <v>17</v>
      </c>
      <c r="AC25" s="63">
        <v>6</v>
      </c>
      <c r="AD25" s="63">
        <v>5.6</v>
      </c>
      <c r="AE25" s="36">
        <v>0.17</v>
      </c>
      <c r="AF25" s="36">
        <v>0.14000000000000001</v>
      </c>
      <c r="AG25" s="42">
        <f t="shared" si="0"/>
        <v>1728.70875</v>
      </c>
      <c r="AH25" s="42">
        <f t="shared" si="21"/>
        <v>1750.3931224</v>
      </c>
      <c r="AI25" s="42">
        <f t="shared" si="22"/>
        <v>1.0125436817509021</v>
      </c>
      <c r="AJ25" s="57">
        <v>4</v>
      </c>
      <c r="AK25" s="57">
        <v>4</v>
      </c>
      <c r="AL25" s="63">
        <v>6.2</v>
      </c>
      <c r="AM25" s="57">
        <v>23</v>
      </c>
      <c r="AN25" s="63">
        <v>5.8</v>
      </c>
      <c r="AO25" s="63">
        <v>5.4</v>
      </c>
      <c r="AP25" s="36">
        <v>0.11</v>
      </c>
      <c r="AQ25" s="36">
        <v>0.19</v>
      </c>
      <c r="AR25" s="73">
        <f t="shared" si="1"/>
        <v>2230</v>
      </c>
      <c r="AS25" s="75">
        <f t="shared" si="2"/>
        <v>0.17130044843049327</v>
      </c>
      <c r="AT25" s="75">
        <f t="shared" si="3"/>
        <v>0.73901345291479825</v>
      </c>
      <c r="AU25" s="75">
        <f t="shared" si="4"/>
        <v>8.9686098654708515E-2</v>
      </c>
      <c r="AV25" s="26">
        <f t="shared" si="5"/>
        <v>6.1068702290076333E-2</v>
      </c>
      <c r="AW25" s="26">
        <f t="shared" si="6"/>
        <v>8.262236192186799E-2</v>
      </c>
      <c r="AX25" s="24">
        <f t="shared" si="7"/>
        <v>0.84297520661157022</v>
      </c>
      <c r="AY25" s="24">
        <f t="shared" si="8"/>
        <v>0.88429752066115697</v>
      </c>
      <c r="AZ25" s="77" t="str">
        <f t="shared" si="9"/>
        <v>7,5 ≤ Alc. Bruta &lt; 10,0 mg/L</v>
      </c>
      <c r="BA25" s="77" t="str">
        <f t="shared" si="10"/>
        <v>10 ≤ Cor &lt;15 uC</v>
      </c>
      <c r="BB25" s="78" t="str">
        <f t="shared" si="11"/>
        <v>Turbidez &lt; 2,5 uT</v>
      </c>
      <c r="BC25" s="79" t="str">
        <f t="shared" si="12"/>
        <v>SM &gt; TOR &gt; BNN</v>
      </c>
      <c r="BD25" s="78" t="str">
        <f t="shared" si="13"/>
        <v>Tipo 1 (≤0,25) uT</v>
      </c>
      <c r="BE25" s="78" t="str">
        <f t="shared" si="14"/>
        <v>Tipo 1 (≤0,25) uT</v>
      </c>
      <c r="BF25" s="78" t="str">
        <f t="shared" si="15"/>
        <v>Tipo 1 (≤0,25) uT</v>
      </c>
      <c r="BG25" s="78" t="str">
        <f t="shared" si="16"/>
        <v>Tipo 1 (≤0,25) uT</v>
      </c>
      <c r="BH25" s="78" t="str">
        <f t="shared" si="17"/>
        <v>Tipo 1 (≤0,25) uT</v>
      </c>
    </row>
    <row r="26" spans="1:60" x14ac:dyDescent="0.2">
      <c r="A26" s="31">
        <v>46262</v>
      </c>
      <c r="B26" s="80">
        <v>6.25E-2</v>
      </c>
      <c r="C26" s="57">
        <v>384</v>
      </c>
      <c r="D26" s="57">
        <v>1670</v>
      </c>
      <c r="E26" s="57">
        <v>200</v>
      </c>
      <c r="F26" s="57">
        <v>2329</v>
      </c>
      <c r="G26" s="85" t="s">
        <v>78</v>
      </c>
      <c r="H26" s="63">
        <v>10</v>
      </c>
      <c r="I26" s="57">
        <v>-151</v>
      </c>
      <c r="J26" s="57">
        <v>90</v>
      </c>
      <c r="K26" s="57">
        <v>90</v>
      </c>
      <c r="L26" s="57">
        <v>90</v>
      </c>
      <c r="M26" s="57">
        <v>24.7</v>
      </c>
      <c r="N26" s="63">
        <v>6.6</v>
      </c>
      <c r="O26" s="36">
        <v>2.73</v>
      </c>
      <c r="P26" s="57">
        <v>5</v>
      </c>
      <c r="Q26" s="63">
        <v>7.7</v>
      </c>
      <c r="R26" s="36">
        <v>7.0000000000000007E-2</v>
      </c>
      <c r="S26" s="36">
        <v>22.36</v>
      </c>
      <c r="T26" s="36">
        <v>0.88</v>
      </c>
      <c r="U26" s="36">
        <v>0.7</v>
      </c>
      <c r="V26" s="42">
        <f t="shared" si="18"/>
        <v>2250.3962500000002</v>
      </c>
      <c r="W26" s="42">
        <f t="shared" si="19"/>
        <v>1372.556302</v>
      </c>
      <c r="X26" s="42">
        <f t="shared" si="20"/>
        <v>0.60991760984315535</v>
      </c>
      <c r="Y26" s="57">
        <v>3</v>
      </c>
      <c r="Z26" s="57">
        <v>4</v>
      </c>
      <c r="AA26" s="63">
        <v>6.5</v>
      </c>
      <c r="AB26" s="57">
        <v>17</v>
      </c>
      <c r="AC26" s="63">
        <v>6</v>
      </c>
      <c r="AD26" s="63">
        <v>5</v>
      </c>
      <c r="AE26" s="36">
        <v>0.08</v>
      </c>
      <c r="AF26" s="36">
        <v>0.14000000000000001</v>
      </c>
      <c r="AG26" s="42">
        <f t="shared" si="0"/>
        <v>2250.3962500000002</v>
      </c>
      <c r="AH26" s="42">
        <f t="shared" si="21"/>
        <v>1750.3931224</v>
      </c>
      <c r="AI26" s="42">
        <f t="shared" si="22"/>
        <v>0.77781551688952555</v>
      </c>
      <c r="AJ26" s="57">
        <v>3</v>
      </c>
      <c r="AK26" s="57">
        <v>4</v>
      </c>
      <c r="AL26" s="63">
        <v>6.2</v>
      </c>
      <c r="AM26" s="57">
        <v>23</v>
      </c>
      <c r="AN26" s="63">
        <v>6.2</v>
      </c>
      <c r="AO26" s="63">
        <v>6.3</v>
      </c>
      <c r="AP26" s="36">
        <v>0.1</v>
      </c>
      <c r="AQ26" s="36">
        <v>0.2</v>
      </c>
      <c r="AR26" s="73">
        <f t="shared" si="1"/>
        <v>2254</v>
      </c>
      <c r="AS26" s="75">
        <f t="shared" si="2"/>
        <v>0.17036379769299023</v>
      </c>
      <c r="AT26" s="75">
        <f t="shared" si="3"/>
        <v>0.74090505767524406</v>
      </c>
      <c r="AU26" s="75">
        <f t="shared" si="4"/>
        <v>8.8731144631765749E-2</v>
      </c>
      <c r="AV26" s="26">
        <f t="shared" si="5"/>
        <v>5.8394160583941604E-2</v>
      </c>
      <c r="AW26" s="26">
        <f t="shared" si="6"/>
        <v>7.9003864319450404E-2</v>
      </c>
      <c r="AX26" s="24">
        <f t="shared" si="7"/>
        <v>0.92673992673992678</v>
      </c>
      <c r="AY26" s="24">
        <f t="shared" si="8"/>
        <v>0.94871794871794868</v>
      </c>
      <c r="AZ26" s="77" t="str">
        <f t="shared" si="9"/>
        <v>7,5 ≤ Alc. Bruta &lt; 10,0 mg/L</v>
      </c>
      <c r="BA26" s="77" t="str">
        <f t="shared" si="10"/>
        <v>5 ≤ Cor &lt; 10 uC</v>
      </c>
      <c r="BB26" s="78" t="str">
        <f t="shared" si="11"/>
        <v>2,5 ≤ Turb &lt; 5,0 uT</v>
      </c>
      <c r="BC26" s="79" t="str">
        <f t="shared" si="12"/>
        <v>SM &gt; TOR &gt; BNN</v>
      </c>
      <c r="BD26" s="78" t="str">
        <f t="shared" si="13"/>
        <v>Tipo 1 (≤0,25) uT</v>
      </c>
      <c r="BE26" s="78" t="str">
        <f t="shared" si="14"/>
        <v>Tipo 1 (≤0,25) uT</v>
      </c>
      <c r="BF26" s="78" t="str">
        <f t="shared" si="15"/>
        <v>Tipo 1 (≤0,25) uT</v>
      </c>
      <c r="BG26" s="78" t="str">
        <f t="shared" si="16"/>
        <v>Tipo 1 (≤0,25) uT</v>
      </c>
      <c r="BH26" s="78" t="str">
        <f t="shared" si="17"/>
        <v>Tipo 1 (≤0,25) uT</v>
      </c>
    </row>
    <row r="27" spans="1:60" x14ac:dyDescent="0.2">
      <c r="A27" s="31">
        <v>46262</v>
      </c>
      <c r="B27" s="80">
        <v>0.14583333333333334</v>
      </c>
      <c r="C27" s="57">
        <v>381</v>
      </c>
      <c r="D27" s="57">
        <v>1657</v>
      </c>
      <c r="E27" s="57">
        <v>200</v>
      </c>
      <c r="F27" s="57">
        <v>2230</v>
      </c>
      <c r="G27" s="85" t="s">
        <v>78</v>
      </c>
      <c r="H27" s="63">
        <v>10</v>
      </c>
      <c r="I27" s="57">
        <v>-150</v>
      </c>
      <c r="J27" s="57">
        <v>90</v>
      </c>
      <c r="K27" s="57">
        <v>90</v>
      </c>
      <c r="L27" s="57">
        <v>90</v>
      </c>
      <c r="M27" s="57">
        <v>24.9</v>
      </c>
      <c r="N27" s="63">
        <v>6.5</v>
      </c>
      <c r="O27" s="36">
        <v>0.57199999999999995</v>
      </c>
      <c r="P27" s="57">
        <v>5</v>
      </c>
      <c r="Q27" s="63">
        <v>8.3000000000000007</v>
      </c>
      <c r="R27" s="36">
        <v>7.0000000000000007E-2</v>
      </c>
      <c r="S27" s="36">
        <v>22.36</v>
      </c>
      <c r="T27" s="36">
        <v>0.88</v>
      </c>
      <c r="U27" s="36">
        <v>0.7</v>
      </c>
      <c r="V27" s="42">
        <f t="shared" si="18"/>
        <v>1553.1949999999999</v>
      </c>
      <c r="W27" s="42">
        <f t="shared" si="19"/>
        <v>1372.556302</v>
      </c>
      <c r="X27" s="42">
        <f t="shared" si="20"/>
        <v>0.88369863539349536</v>
      </c>
      <c r="Y27" s="57">
        <v>3</v>
      </c>
      <c r="Z27" s="57">
        <v>4</v>
      </c>
      <c r="AA27" s="63">
        <v>6.5</v>
      </c>
      <c r="AB27" s="57">
        <v>17</v>
      </c>
      <c r="AC27" s="63">
        <v>6</v>
      </c>
      <c r="AD27" s="63">
        <v>5.0999999999999996</v>
      </c>
      <c r="AE27" s="36">
        <v>0.15</v>
      </c>
      <c r="AF27" s="36">
        <v>0.14000000000000001</v>
      </c>
      <c r="AG27" s="42">
        <f t="shared" si="0"/>
        <v>1553.1949999999999</v>
      </c>
      <c r="AH27" s="42">
        <f t="shared" si="21"/>
        <v>1750.3931224</v>
      </c>
      <c r="AI27" s="42">
        <f t="shared" si="22"/>
        <v>1.1269628877249798</v>
      </c>
      <c r="AJ27" s="57">
        <v>3</v>
      </c>
      <c r="AK27" s="57">
        <v>4</v>
      </c>
      <c r="AL27" s="63">
        <v>6.2</v>
      </c>
      <c r="AM27" s="57">
        <v>23</v>
      </c>
      <c r="AN27" s="63">
        <v>6.1</v>
      </c>
      <c r="AO27" s="63">
        <v>5.8</v>
      </c>
      <c r="AP27" s="36">
        <v>0.16</v>
      </c>
      <c r="AQ27" s="36">
        <v>0.2</v>
      </c>
      <c r="AR27" s="73">
        <f t="shared" si="1"/>
        <v>2238</v>
      </c>
      <c r="AS27" s="75">
        <f t="shared" si="2"/>
        <v>0.17024128686327078</v>
      </c>
      <c r="AT27" s="75">
        <f t="shared" si="3"/>
        <v>0.74039320822162646</v>
      </c>
      <c r="AU27" s="75">
        <f t="shared" si="4"/>
        <v>8.936550491510277E-2</v>
      </c>
      <c r="AV27" s="26">
        <f t="shared" si="5"/>
        <v>6.0986547085201792E-2</v>
      </c>
      <c r="AW27" s="26">
        <f t="shared" si="6"/>
        <v>8.2511210762331838E-2</v>
      </c>
      <c r="AX27" s="24">
        <f t="shared" si="7"/>
        <v>0.65034965034965031</v>
      </c>
      <c r="AY27" s="24">
        <f t="shared" si="8"/>
        <v>0.75524475524475521</v>
      </c>
      <c r="AZ27" s="77" t="str">
        <f t="shared" si="9"/>
        <v>7,5 ≤ Alc. Bruta &lt; 10,0 mg/L</v>
      </c>
      <c r="BA27" s="77" t="str">
        <f t="shared" si="10"/>
        <v>5 ≤ Cor &lt; 10 uC</v>
      </c>
      <c r="BB27" s="78" t="str">
        <f t="shared" si="11"/>
        <v>Turbidez &lt; 2,5 uT</v>
      </c>
      <c r="BC27" s="79" t="str">
        <f t="shared" si="12"/>
        <v>SM &gt; TOR &gt; BNN</v>
      </c>
      <c r="BD27" s="78" t="str">
        <f t="shared" si="13"/>
        <v>Tipo 1 (≤0,25) uT</v>
      </c>
      <c r="BE27" s="78" t="str">
        <f t="shared" si="14"/>
        <v>Tipo 1 (≤0,25) uT</v>
      </c>
      <c r="BF27" s="78" t="str">
        <f t="shared" si="15"/>
        <v>Tipo 1 (≤0,25) uT</v>
      </c>
      <c r="BG27" s="78" t="str">
        <f t="shared" si="16"/>
        <v>Tipo 1 (≤0,25) uT</v>
      </c>
      <c r="BH27" s="78" t="str">
        <f t="shared" si="17"/>
        <v>Tipo 1 (≤0,25) uT</v>
      </c>
    </row>
    <row r="28" spans="1:60" ht="15.75" thickBot="1" x14ac:dyDescent="0.25">
      <c r="A28" s="32">
        <v>46262</v>
      </c>
      <c r="B28" s="81">
        <v>0.22916666666666666</v>
      </c>
      <c r="C28" s="58">
        <v>407</v>
      </c>
      <c r="D28" s="58">
        <v>894</v>
      </c>
      <c r="E28" s="58">
        <v>235</v>
      </c>
      <c r="F28" s="58">
        <v>1624</v>
      </c>
      <c r="G28" s="86" t="s">
        <v>78</v>
      </c>
      <c r="H28" s="64">
        <v>10</v>
      </c>
      <c r="I28" s="58">
        <v>-151</v>
      </c>
      <c r="J28" s="58">
        <v>90</v>
      </c>
      <c r="K28" s="58">
        <v>90</v>
      </c>
      <c r="L28" s="58">
        <v>90</v>
      </c>
      <c r="M28" s="58">
        <v>24.6</v>
      </c>
      <c r="N28" s="64">
        <v>6.6</v>
      </c>
      <c r="O28" s="37">
        <v>1.72</v>
      </c>
      <c r="P28" s="58">
        <v>10</v>
      </c>
      <c r="Q28" s="64">
        <v>5.3</v>
      </c>
      <c r="R28" s="37">
        <v>7.0000000000000007E-2</v>
      </c>
      <c r="S28" s="36">
        <v>22.36</v>
      </c>
      <c r="T28" s="36">
        <v>0.88</v>
      </c>
      <c r="U28" s="36">
        <v>0.7</v>
      </c>
      <c r="V28" s="42">
        <f t="shared" si="18"/>
        <v>1364.1599999999999</v>
      </c>
      <c r="W28" s="42">
        <f t="shared" si="19"/>
        <v>1372.556302</v>
      </c>
      <c r="X28" s="42">
        <f t="shared" si="20"/>
        <v>1.0061549246422707</v>
      </c>
      <c r="Y28" s="58">
        <v>2</v>
      </c>
      <c r="Z28" s="58">
        <v>4</v>
      </c>
      <c r="AA28" s="64">
        <v>6.5</v>
      </c>
      <c r="AB28" s="58">
        <v>17</v>
      </c>
      <c r="AC28" s="64">
        <v>5.9</v>
      </c>
      <c r="AD28" s="64">
        <v>4.7</v>
      </c>
      <c r="AE28" s="37">
        <v>0.18</v>
      </c>
      <c r="AF28" s="37">
        <v>0.14000000000000001</v>
      </c>
      <c r="AG28" s="42">
        <f t="shared" si="0"/>
        <v>1364.1599999999999</v>
      </c>
      <c r="AH28" s="42">
        <f t="shared" si="21"/>
        <v>1785.9247275999996</v>
      </c>
      <c r="AI28" s="42">
        <f t="shared" si="22"/>
        <v>1.3091754102158104</v>
      </c>
      <c r="AJ28" s="58">
        <v>2</v>
      </c>
      <c r="AK28" s="58">
        <v>4</v>
      </c>
      <c r="AL28" s="64">
        <v>6.3</v>
      </c>
      <c r="AM28" s="58">
        <v>23</v>
      </c>
      <c r="AN28" s="64">
        <v>5.8</v>
      </c>
      <c r="AO28" s="64">
        <v>4.4000000000000004</v>
      </c>
      <c r="AP28" s="37">
        <v>0.16</v>
      </c>
      <c r="AQ28" s="37">
        <v>0.21</v>
      </c>
      <c r="AR28" s="73">
        <f t="shared" si="1"/>
        <v>1536</v>
      </c>
      <c r="AS28" s="75">
        <f t="shared" si="2"/>
        <v>0.26497395833333331</v>
      </c>
      <c r="AT28" s="75">
        <f t="shared" si="3"/>
        <v>0.58203125</v>
      </c>
      <c r="AU28" s="75">
        <f t="shared" si="4"/>
        <v>0.15299479166666666</v>
      </c>
      <c r="AV28" s="26">
        <f t="shared" si="5"/>
        <v>8.3743842364532015E-2</v>
      </c>
      <c r="AW28" s="26">
        <f t="shared" si="6"/>
        <v>0.11330049261083744</v>
      </c>
      <c r="AX28" s="24">
        <f t="shared" si="7"/>
        <v>0.87790697674418605</v>
      </c>
      <c r="AY28" s="24">
        <f t="shared" si="8"/>
        <v>0.91860465116279066</v>
      </c>
      <c r="AZ28" s="77" t="str">
        <f t="shared" si="9"/>
        <v>5,0 ≤ Alc. Bruta &lt; 7,5 mg/L</v>
      </c>
      <c r="BA28" s="77" t="str">
        <f t="shared" si="10"/>
        <v>10 ≤ Cor &lt;15 uC</v>
      </c>
      <c r="BB28" s="78" t="str">
        <f t="shared" si="11"/>
        <v>Turbidez &lt; 2,5 uT</v>
      </c>
      <c r="BC28" s="79" t="str">
        <f t="shared" si="12"/>
        <v>SM &gt; TOR &gt; BNN</v>
      </c>
      <c r="BD28" s="78" t="str">
        <f t="shared" si="13"/>
        <v>Tipo 1 (≤0,25) uT</v>
      </c>
      <c r="BE28" s="78" t="str">
        <f t="shared" si="14"/>
        <v>Tipo 1 (≤0,25) uT</v>
      </c>
      <c r="BF28" s="78" t="str">
        <f t="shared" si="15"/>
        <v>Tipo 1 (≤0,25) uT</v>
      </c>
      <c r="BG28" s="78" t="str">
        <f t="shared" si="16"/>
        <v>Tipo 1 (≤0,25) uT</v>
      </c>
      <c r="BH28" s="78" t="str">
        <f t="shared" si="17"/>
        <v>Tipo 1 (≤0,25) uT</v>
      </c>
    </row>
    <row r="29" spans="1:60" x14ac:dyDescent="0.2">
      <c r="A29" s="30">
        <v>46262</v>
      </c>
      <c r="B29" s="82">
        <v>0.3125</v>
      </c>
      <c r="C29" s="59">
        <v>362</v>
      </c>
      <c r="D29" s="59">
        <v>999</v>
      </c>
      <c r="E29" s="59">
        <v>500</v>
      </c>
      <c r="F29" s="59">
        <v>1864</v>
      </c>
      <c r="G29" s="87" t="s">
        <v>78</v>
      </c>
      <c r="H29" s="65">
        <v>9.8000000000000007</v>
      </c>
      <c r="I29" s="59">
        <v>-152</v>
      </c>
      <c r="J29" s="59">
        <v>90</v>
      </c>
      <c r="K29" s="59">
        <v>90</v>
      </c>
      <c r="L29" s="59">
        <v>90</v>
      </c>
      <c r="M29" s="59">
        <v>27.8</v>
      </c>
      <c r="N29" s="65">
        <v>6.5</v>
      </c>
      <c r="O29" s="38">
        <v>1.08</v>
      </c>
      <c r="P29" s="59">
        <v>8</v>
      </c>
      <c r="Q29" s="65">
        <v>7.5</v>
      </c>
      <c r="R29" s="38">
        <v>7.0000000000000007E-2</v>
      </c>
      <c r="S29" s="36">
        <v>22.36</v>
      </c>
      <c r="T29" s="36">
        <v>0.88</v>
      </c>
      <c r="U29" s="36">
        <v>0.7</v>
      </c>
      <c r="V29" s="42">
        <f t="shared" si="18"/>
        <v>1402.6599999999999</v>
      </c>
      <c r="W29" s="42">
        <f t="shared" si="19"/>
        <v>1372.556302</v>
      </c>
      <c r="X29" s="42">
        <f t="shared" si="20"/>
        <v>0.97853813611281426</v>
      </c>
      <c r="Y29" s="59">
        <v>2</v>
      </c>
      <c r="Z29" s="59">
        <v>4</v>
      </c>
      <c r="AA29" s="65">
        <v>6.5</v>
      </c>
      <c r="AB29" s="59">
        <v>17</v>
      </c>
      <c r="AC29" s="65">
        <v>6.2</v>
      </c>
      <c r="AD29" s="65">
        <v>4.0999999999999996</v>
      </c>
      <c r="AE29" s="38">
        <v>0.11</v>
      </c>
      <c r="AF29" s="38">
        <v>0.14000000000000001</v>
      </c>
      <c r="AG29" s="42">
        <f t="shared" si="0"/>
        <v>1402.6599999999999</v>
      </c>
      <c r="AH29" s="42">
        <f t="shared" si="21"/>
        <v>1785.9247275999996</v>
      </c>
      <c r="AI29" s="42">
        <f t="shared" si="22"/>
        <v>1.2732413611281421</v>
      </c>
      <c r="AJ29" s="59">
        <v>4</v>
      </c>
      <c r="AK29" s="59">
        <v>4</v>
      </c>
      <c r="AL29" s="65">
        <v>6.3</v>
      </c>
      <c r="AM29" s="59">
        <v>23</v>
      </c>
      <c r="AN29" s="65">
        <v>6.1</v>
      </c>
      <c r="AO29" s="65">
        <v>4.5999999999999996</v>
      </c>
      <c r="AP29" s="38">
        <v>0.12</v>
      </c>
      <c r="AQ29" s="38">
        <v>0.17</v>
      </c>
      <c r="AR29" s="73">
        <f t="shared" si="1"/>
        <v>1861</v>
      </c>
      <c r="AS29" s="75">
        <f t="shared" si="2"/>
        <v>0.19451907576571736</v>
      </c>
      <c r="AT29" s="75">
        <f t="shared" si="3"/>
        <v>0.53680816765180006</v>
      </c>
      <c r="AU29" s="75">
        <f t="shared" si="4"/>
        <v>0.26867275658248252</v>
      </c>
      <c r="AV29" s="26">
        <f t="shared" si="5"/>
        <v>7.2961373390557943E-2</v>
      </c>
      <c r="AW29" s="26">
        <f t="shared" si="6"/>
        <v>9.8712446351931327E-2</v>
      </c>
      <c r="AX29" s="24">
        <f t="shared" si="7"/>
        <v>0.84259259259259256</v>
      </c>
      <c r="AY29" s="24">
        <f t="shared" si="8"/>
        <v>0.87037037037037035</v>
      </c>
      <c r="AZ29" s="77" t="str">
        <f t="shared" si="9"/>
        <v>7,5 ≤ Alc. Bruta &lt; 10,0 mg/L</v>
      </c>
      <c r="BA29" s="77" t="str">
        <f t="shared" si="10"/>
        <v>5 ≤ Cor &lt; 10 uC</v>
      </c>
      <c r="BB29" s="78" t="str">
        <f t="shared" si="11"/>
        <v>Turbidez &lt; 2,5 uT</v>
      </c>
      <c r="BC29" s="79" t="str">
        <f t="shared" si="12"/>
        <v>SM &gt; BNN &gt; TOR</v>
      </c>
      <c r="BD29" s="78" t="str">
        <f t="shared" si="13"/>
        <v>Tipo 1 (≤0,25) uT</v>
      </c>
      <c r="BE29" s="78" t="str">
        <f t="shared" si="14"/>
        <v>Tipo 1 (≤0,25) uT</v>
      </c>
      <c r="BF29" s="78" t="str">
        <f t="shared" si="15"/>
        <v>Tipo 1 (≤0,25) uT</v>
      </c>
      <c r="BG29" s="78" t="str">
        <f t="shared" si="16"/>
        <v>Tipo 1 (≤0,25) uT</v>
      </c>
      <c r="BH29" s="78" t="str">
        <f t="shared" si="17"/>
        <v>Tipo 1 (≤0,25) uT</v>
      </c>
    </row>
    <row r="30" spans="1:60" x14ac:dyDescent="0.2">
      <c r="A30" s="31">
        <v>46262</v>
      </c>
      <c r="B30" s="80">
        <v>0.39583333333333331</v>
      </c>
      <c r="C30" s="57">
        <v>275</v>
      </c>
      <c r="D30" s="57">
        <v>1767</v>
      </c>
      <c r="E30" s="57">
        <v>200</v>
      </c>
      <c r="F30" s="57">
        <v>2275</v>
      </c>
      <c r="G30" s="85" t="s">
        <v>78</v>
      </c>
      <c r="H30" s="63">
        <v>9.8000000000000007</v>
      </c>
      <c r="I30" s="57">
        <v>-154</v>
      </c>
      <c r="J30" s="57">
        <v>90</v>
      </c>
      <c r="K30" s="57">
        <v>90</v>
      </c>
      <c r="L30" s="57">
        <v>90</v>
      </c>
      <c r="M30" s="57">
        <v>25.3</v>
      </c>
      <c r="N30" s="63">
        <v>6.5</v>
      </c>
      <c r="O30" s="36">
        <v>0.97</v>
      </c>
      <c r="P30" s="57">
        <v>6</v>
      </c>
      <c r="Q30" s="63">
        <v>7.9</v>
      </c>
      <c r="R30" s="36">
        <v>0.06</v>
      </c>
      <c r="S30" s="36">
        <v>22.36</v>
      </c>
      <c r="T30" s="36">
        <v>0.88</v>
      </c>
      <c r="U30" s="36">
        <v>0.7</v>
      </c>
      <c r="V30" s="42">
        <f t="shared" si="18"/>
        <v>1680.65625</v>
      </c>
      <c r="W30" s="42">
        <f t="shared" si="19"/>
        <v>1372.556302</v>
      </c>
      <c r="X30" s="42">
        <f t="shared" si="20"/>
        <v>0.81667878365965674</v>
      </c>
      <c r="Y30" s="57">
        <v>3</v>
      </c>
      <c r="Z30" s="57">
        <v>4</v>
      </c>
      <c r="AA30" s="63">
        <v>6.5</v>
      </c>
      <c r="AB30" s="57">
        <v>17</v>
      </c>
      <c r="AC30" s="63">
        <v>6.2</v>
      </c>
      <c r="AD30" s="63">
        <v>4.4000000000000004</v>
      </c>
      <c r="AE30" s="36">
        <v>0.13</v>
      </c>
      <c r="AF30" s="36">
        <v>0.14000000000000001</v>
      </c>
      <c r="AG30" s="42">
        <f t="shared" si="0"/>
        <v>1680.65625</v>
      </c>
      <c r="AH30" s="42">
        <f t="shared" si="21"/>
        <v>1750.3931224</v>
      </c>
      <c r="AI30" s="42">
        <f t="shared" si="22"/>
        <v>1.0414938345661107</v>
      </c>
      <c r="AJ30" s="57">
        <v>4</v>
      </c>
      <c r="AK30" s="57">
        <v>4</v>
      </c>
      <c r="AL30" s="63">
        <v>6.2</v>
      </c>
      <c r="AM30" s="57">
        <v>23</v>
      </c>
      <c r="AN30" s="63">
        <v>6.2</v>
      </c>
      <c r="AO30" s="63">
        <v>5</v>
      </c>
      <c r="AP30" s="36">
        <v>0.14000000000000001</v>
      </c>
      <c r="AQ30" s="36">
        <v>0.24</v>
      </c>
      <c r="AR30" s="73">
        <f t="shared" si="1"/>
        <v>2242</v>
      </c>
      <c r="AS30" s="75">
        <f t="shared" si="2"/>
        <v>0.12265834076717216</v>
      </c>
      <c r="AT30" s="75">
        <f t="shared" si="3"/>
        <v>0.78813559322033899</v>
      </c>
      <c r="AU30" s="75">
        <f t="shared" si="4"/>
        <v>8.9206066012488844E-2</v>
      </c>
      <c r="AV30" s="26">
        <f t="shared" si="5"/>
        <v>5.978021978021978E-2</v>
      </c>
      <c r="AW30" s="26">
        <f t="shared" si="6"/>
        <v>8.0879120879120886E-2</v>
      </c>
      <c r="AX30" s="24">
        <f t="shared" si="7"/>
        <v>0.75257731958762886</v>
      </c>
      <c r="AY30" s="24">
        <f t="shared" si="8"/>
        <v>0.85567010309278346</v>
      </c>
      <c r="AZ30" s="77" t="str">
        <f t="shared" si="9"/>
        <v>7,5 ≤ Alc. Bruta &lt; 10,0 mg/L</v>
      </c>
      <c r="BA30" s="77" t="str">
        <f t="shared" si="10"/>
        <v>5 ≤ Cor &lt; 10 uC</v>
      </c>
      <c r="BB30" s="78" t="str">
        <f t="shared" si="11"/>
        <v>Turbidez &lt; 2,5 uT</v>
      </c>
      <c r="BC30" s="79" t="str">
        <f t="shared" si="12"/>
        <v>SM &gt; TOR &gt; BNN</v>
      </c>
      <c r="BD30" s="78" t="str">
        <f t="shared" si="13"/>
        <v>Tipo 1 (≤0,25) uT</v>
      </c>
      <c r="BE30" s="78" t="str">
        <f t="shared" si="14"/>
        <v>Tipo 1 (≤0,25) uT</v>
      </c>
      <c r="BF30" s="78" t="str">
        <f t="shared" si="15"/>
        <v>Tipo 1 (≤0,25) uT</v>
      </c>
      <c r="BG30" s="78" t="str">
        <f t="shared" si="16"/>
        <v>Tipo 1 (≤0,25) uT</v>
      </c>
      <c r="BH30" s="78" t="str">
        <f t="shared" si="17"/>
        <v>Tipo 1 (≤0,25) uT</v>
      </c>
    </row>
    <row r="31" spans="1:60" x14ac:dyDescent="0.2">
      <c r="A31" s="31">
        <v>46262</v>
      </c>
      <c r="B31" s="80" t="s">
        <v>98</v>
      </c>
      <c r="C31" s="57">
        <v>283</v>
      </c>
      <c r="D31" s="57">
        <v>1756</v>
      </c>
      <c r="E31" s="57">
        <v>0</v>
      </c>
      <c r="F31" s="57">
        <v>2125</v>
      </c>
      <c r="G31" s="85" t="s">
        <v>78</v>
      </c>
      <c r="H31" s="63">
        <v>9.8000000000000007</v>
      </c>
      <c r="I31" s="57">
        <v>-156</v>
      </c>
      <c r="J31" s="57">
        <v>90</v>
      </c>
      <c r="K31" s="57">
        <v>90</v>
      </c>
      <c r="L31" s="57">
        <v>90</v>
      </c>
      <c r="M31" s="57">
        <v>25.9</v>
      </c>
      <c r="N31" s="63">
        <v>6.5</v>
      </c>
      <c r="O31" s="36">
        <v>1.01</v>
      </c>
      <c r="P31" s="57">
        <v>7</v>
      </c>
      <c r="Q31" s="63">
        <v>7.6</v>
      </c>
      <c r="R31" s="36">
        <v>7.0000000000000007E-2</v>
      </c>
      <c r="S31" s="36">
        <v>22.36</v>
      </c>
      <c r="T31" s="36">
        <v>0.88</v>
      </c>
      <c r="U31" s="36">
        <v>0.7</v>
      </c>
      <c r="V31" s="42">
        <f t="shared" si="18"/>
        <v>2107.291666666667</v>
      </c>
      <c r="W31" s="42">
        <f t="shared" si="19"/>
        <v>1372.556302</v>
      </c>
      <c r="X31" s="42">
        <f t="shared" si="20"/>
        <v>0.65133665344537806</v>
      </c>
      <c r="Y31" s="57">
        <v>4</v>
      </c>
      <c r="Z31" s="57">
        <v>3</v>
      </c>
      <c r="AA31" s="63">
        <v>6.5</v>
      </c>
      <c r="AB31" s="57">
        <v>17</v>
      </c>
      <c r="AC31" s="63">
        <v>6.1</v>
      </c>
      <c r="AD31" s="63">
        <v>4</v>
      </c>
      <c r="AE31" s="36">
        <v>0.2</v>
      </c>
      <c r="AF31" s="36">
        <v>0.16</v>
      </c>
      <c r="AG31" s="42">
        <f t="shared" si="0"/>
        <v>1580.46875</v>
      </c>
      <c r="AH31" s="42">
        <f t="shared" si="21"/>
        <v>1750.3931224</v>
      </c>
      <c r="AI31" s="42">
        <f t="shared" si="22"/>
        <v>1.107515173836876</v>
      </c>
      <c r="AJ31" s="57">
        <v>4</v>
      </c>
      <c r="AK31" s="57">
        <v>4</v>
      </c>
      <c r="AL31" s="63">
        <v>6.2</v>
      </c>
      <c r="AM31" s="57">
        <v>23</v>
      </c>
      <c r="AN31" s="63">
        <v>6.2</v>
      </c>
      <c r="AO31" s="63">
        <v>4.4000000000000004</v>
      </c>
      <c r="AP31" s="36">
        <v>0.14000000000000001</v>
      </c>
      <c r="AQ31" s="36">
        <v>0.28999999999999998</v>
      </c>
      <c r="AR31" s="73">
        <f t="shared" si="1"/>
        <v>2039</v>
      </c>
      <c r="AS31" s="75">
        <f t="shared" si="2"/>
        <v>0.13879352623835214</v>
      </c>
      <c r="AT31" s="75">
        <f t="shared" si="3"/>
        <v>0.86120647376164783</v>
      </c>
      <c r="AU31" s="75">
        <f t="shared" si="4"/>
        <v>0</v>
      </c>
      <c r="AV31" s="26">
        <f t="shared" si="5"/>
        <v>4.7999999999999994E-2</v>
      </c>
      <c r="AW31" s="26">
        <f t="shared" si="6"/>
        <v>8.6588235294117646E-2</v>
      </c>
      <c r="AX31" s="24">
        <f t="shared" si="7"/>
        <v>0.71287128712871284</v>
      </c>
      <c r="AY31" s="24">
        <f t="shared" si="8"/>
        <v>0.84158415841584155</v>
      </c>
      <c r="AZ31" s="77" t="str">
        <f t="shared" si="9"/>
        <v>7,5 ≤ Alc. Bruta &lt; 10,0 mg/L</v>
      </c>
      <c r="BA31" s="77" t="str">
        <f t="shared" si="10"/>
        <v>5 ≤ Cor &lt; 10 uC</v>
      </c>
      <c r="BB31" s="78" t="str">
        <f t="shared" si="11"/>
        <v>Turbidez &lt; 2,5 uT</v>
      </c>
      <c r="BC31" s="79" t="str">
        <f t="shared" si="12"/>
        <v>SM &gt; TOR &gt; BNN</v>
      </c>
      <c r="BD31" s="78" t="str">
        <f t="shared" si="13"/>
        <v>Tipo 1 (≤0,25) uT</v>
      </c>
      <c r="BE31" s="78" t="str">
        <f t="shared" si="14"/>
        <v>Tipo 1 (≤0,25) uT</v>
      </c>
      <c r="BF31" s="78" t="str">
        <f t="shared" si="15"/>
        <v>Tipo 1 (≤0,25) uT</v>
      </c>
      <c r="BG31" s="78" t="str">
        <f t="shared" si="16"/>
        <v>Tipo 2 (0,25-0,50) uT</v>
      </c>
      <c r="BH31" s="78" t="str">
        <f t="shared" si="17"/>
        <v>Tipo 1 (≤0,25) uT</v>
      </c>
    </row>
    <row r="32" spans="1:60" x14ac:dyDescent="0.2">
      <c r="A32" s="31">
        <v>46262</v>
      </c>
      <c r="B32" s="80" t="s">
        <v>99</v>
      </c>
      <c r="C32" s="57">
        <v>288</v>
      </c>
      <c r="D32" s="57">
        <v>1611</v>
      </c>
      <c r="E32" s="57">
        <v>200</v>
      </c>
      <c r="F32" s="57">
        <v>2050</v>
      </c>
      <c r="G32" s="85" t="s">
        <v>78</v>
      </c>
      <c r="H32" s="63">
        <v>9.8000000000000007</v>
      </c>
      <c r="I32" s="57">
        <v>-148</v>
      </c>
      <c r="J32" s="57">
        <v>90</v>
      </c>
      <c r="K32" s="57">
        <v>90</v>
      </c>
      <c r="L32" s="57">
        <v>90</v>
      </c>
      <c r="M32" s="57">
        <v>26</v>
      </c>
      <c r="N32" s="63">
        <v>6.5</v>
      </c>
      <c r="O32" s="36">
        <v>0.91</v>
      </c>
      <c r="P32" s="57">
        <v>5</v>
      </c>
      <c r="Q32" s="63">
        <v>6.8</v>
      </c>
      <c r="R32" s="36">
        <v>0.08</v>
      </c>
      <c r="S32" s="36">
        <v>22.36</v>
      </c>
      <c r="T32" s="36">
        <v>0.88</v>
      </c>
      <c r="U32" s="36">
        <v>0.7</v>
      </c>
      <c r="V32" s="42">
        <f t="shared" si="18"/>
        <v>1499.0625</v>
      </c>
      <c r="W32" s="42">
        <f t="shared" si="19"/>
        <v>1372.556302</v>
      </c>
      <c r="X32" s="42">
        <f t="shared" si="20"/>
        <v>0.91560979078590787</v>
      </c>
      <c r="Y32" s="57">
        <v>3</v>
      </c>
      <c r="Z32" s="57">
        <v>4</v>
      </c>
      <c r="AA32" s="63">
        <v>6.5</v>
      </c>
      <c r="AB32" s="57">
        <v>17</v>
      </c>
      <c r="AC32" s="63">
        <v>6.2</v>
      </c>
      <c r="AD32" s="63">
        <v>3.6</v>
      </c>
      <c r="AE32" s="36">
        <v>0.21</v>
      </c>
      <c r="AF32" s="36">
        <v>0.14000000000000001</v>
      </c>
      <c r="AG32" s="42">
        <f t="shared" si="0"/>
        <v>1499.0625</v>
      </c>
      <c r="AH32" s="42">
        <f t="shared" si="21"/>
        <v>1750.3931224</v>
      </c>
      <c r="AI32" s="42">
        <f t="shared" si="22"/>
        <v>1.1676585348509485</v>
      </c>
      <c r="AJ32" s="57">
        <v>3</v>
      </c>
      <c r="AK32" s="57">
        <v>4</v>
      </c>
      <c r="AL32" s="63">
        <v>6.2</v>
      </c>
      <c r="AM32" s="57">
        <v>23</v>
      </c>
      <c r="AN32" s="63">
        <v>5.9</v>
      </c>
      <c r="AO32" s="63">
        <v>4</v>
      </c>
      <c r="AP32" s="36">
        <v>0.11</v>
      </c>
      <c r="AQ32" s="36">
        <v>0.22</v>
      </c>
      <c r="AR32" s="73">
        <f t="shared" si="1"/>
        <v>2099</v>
      </c>
      <c r="AS32" s="75">
        <f t="shared" si="2"/>
        <v>0.13720819437827536</v>
      </c>
      <c r="AT32" s="75">
        <f t="shared" si="3"/>
        <v>0.76750833730347789</v>
      </c>
      <c r="AU32" s="75">
        <f t="shared" si="4"/>
        <v>9.5283468318246786E-2</v>
      </c>
      <c r="AV32" s="26">
        <f t="shared" si="5"/>
        <v>6.634146341463415E-2</v>
      </c>
      <c r="AW32" s="26">
        <f t="shared" si="6"/>
        <v>8.9756097560975606E-2</v>
      </c>
      <c r="AX32" s="24">
        <f t="shared" si="7"/>
        <v>0.75824175824175821</v>
      </c>
      <c r="AY32" s="24">
        <f t="shared" si="8"/>
        <v>0.84615384615384615</v>
      </c>
      <c r="AZ32" s="77" t="str">
        <f t="shared" si="9"/>
        <v>5,0 ≤ Alc. Bruta &lt; 7,5 mg/L</v>
      </c>
      <c r="BA32" s="77" t="str">
        <f t="shared" si="10"/>
        <v>5 ≤ Cor &lt; 10 uC</v>
      </c>
      <c r="BB32" s="78" t="str">
        <f t="shared" si="11"/>
        <v>Turbidez &lt; 2,5 uT</v>
      </c>
      <c r="BC32" s="79" t="str">
        <f t="shared" si="12"/>
        <v>SM &gt; TOR &gt; BNN</v>
      </c>
      <c r="BD32" s="78" t="str">
        <f t="shared" si="13"/>
        <v>Tipo 1 (≤0,25) uT</v>
      </c>
      <c r="BE32" s="78" t="str">
        <f t="shared" si="14"/>
        <v>Tipo 1 (≤0,25) uT</v>
      </c>
      <c r="BF32" s="78" t="str">
        <f t="shared" si="15"/>
        <v>Tipo 1 (≤0,25) uT</v>
      </c>
      <c r="BG32" s="78" t="str">
        <f t="shared" si="16"/>
        <v>Tipo 1 (≤0,25) uT</v>
      </c>
      <c r="BH32" s="78" t="str">
        <f t="shared" si="17"/>
        <v>Tipo 1 (≤0,25) uT</v>
      </c>
    </row>
    <row r="33" spans="1:60" x14ac:dyDescent="0.2">
      <c r="A33" s="31">
        <v>46262</v>
      </c>
      <c r="B33" s="80" t="s">
        <v>100</v>
      </c>
      <c r="C33" s="57">
        <v>413</v>
      </c>
      <c r="D33" s="57">
        <v>1500</v>
      </c>
      <c r="E33" s="57">
        <v>199</v>
      </c>
      <c r="F33" s="57">
        <v>2089</v>
      </c>
      <c r="G33" s="85" t="s">
        <v>78</v>
      </c>
      <c r="H33" s="63">
        <v>9.8000000000000007</v>
      </c>
      <c r="I33" s="57">
        <v>-149</v>
      </c>
      <c r="J33" s="57">
        <v>90</v>
      </c>
      <c r="K33" s="57">
        <v>90</v>
      </c>
      <c r="L33" s="57">
        <v>90</v>
      </c>
      <c r="M33" s="57">
        <v>26.4</v>
      </c>
      <c r="N33" s="63">
        <v>6.5</v>
      </c>
      <c r="O33" s="36">
        <v>0.83</v>
      </c>
      <c r="P33" s="57">
        <v>5</v>
      </c>
      <c r="Q33" s="63">
        <v>6.1</v>
      </c>
      <c r="R33" s="36">
        <v>0.08</v>
      </c>
      <c r="S33" s="36">
        <v>22.36</v>
      </c>
      <c r="T33" s="36">
        <v>0.88</v>
      </c>
      <c r="U33" s="36">
        <v>0.7</v>
      </c>
      <c r="V33" s="42">
        <f t="shared" si="18"/>
        <v>1506.6912499999999</v>
      </c>
      <c r="W33" s="42">
        <f t="shared" si="19"/>
        <v>1372.556302</v>
      </c>
      <c r="X33" s="42">
        <f t="shared" si="20"/>
        <v>0.91097383223006045</v>
      </c>
      <c r="Y33" s="57">
        <v>3</v>
      </c>
      <c r="Z33" s="57">
        <v>4</v>
      </c>
      <c r="AA33" s="63">
        <v>6.5</v>
      </c>
      <c r="AB33" s="57">
        <v>17</v>
      </c>
      <c r="AC33" s="63">
        <v>6</v>
      </c>
      <c r="AD33" s="63">
        <v>3.9</v>
      </c>
      <c r="AE33" s="36">
        <v>0.16</v>
      </c>
      <c r="AF33" s="36">
        <v>0.12</v>
      </c>
      <c r="AG33" s="42">
        <f t="shared" si="0"/>
        <v>1506.6912499999999</v>
      </c>
      <c r="AH33" s="42">
        <f t="shared" si="21"/>
        <v>1750.3931224</v>
      </c>
      <c r="AI33" s="42">
        <f t="shared" si="22"/>
        <v>1.1617463912397448</v>
      </c>
      <c r="AJ33" s="57">
        <v>4</v>
      </c>
      <c r="AK33" s="57">
        <v>4</v>
      </c>
      <c r="AL33" s="63">
        <v>6.2</v>
      </c>
      <c r="AM33" s="57">
        <v>23</v>
      </c>
      <c r="AN33" s="63">
        <v>6.1</v>
      </c>
      <c r="AO33" s="63">
        <v>3.5</v>
      </c>
      <c r="AP33" s="36">
        <v>0.12</v>
      </c>
      <c r="AQ33" s="36">
        <v>0.2</v>
      </c>
      <c r="AR33" s="73">
        <f t="shared" si="1"/>
        <v>2112</v>
      </c>
      <c r="AS33" s="75">
        <f t="shared" si="2"/>
        <v>0.19554924242424243</v>
      </c>
      <c r="AT33" s="75">
        <f t="shared" si="3"/>
        <v>0.71022727272727271</v>
      </c>
      <c r="AU33" s="75">
        <f t="shared" si="4"/>
        <v>9.4223484848484848E-2</v>
      </c>
      <c r="AV33" s="26">
        <f t="shared" si="5"/>
        <v>6.5102920057443753E-2</v>
      </c>
      <c r="AW33" s="26">
        <f t="shared" si="6"/>
        <v>8.8080421254188607E-2</v>
      </c>
      <c r="AX33" s="24">
        <f t="shared" si="7"/>
        <v>0.75903614457831325</v>
      </c>
      <c r="AY33" s="24">
        <f t="shared" si="8"/>
        <v>0.85542168674698793</v>
      </c>
      <c r="AZ33" s="77" t="str">
        <f t="shared" si="9"/>
        <v>5,0 ≤ Alc. Bruta &lt; 7,5 mg/L</v>
      </c>
      <c r="BA33" s="77" t="str">
        <f t="shared" si="10"/>
        <v>5 ≤ Cor &lt; 10 uC</v>
      </c>
      <c r="BB33" s="78" t="str">
        <f t="shared" si="11"/>
        <v>Turbidez &lt; 2,5 uT</v>
      </c>
      <c r="BC33" s="79" t="str">
        <f t="shared" si="12"/>
        <v>SM &gt; TOR &gt; BNN</v>
      </c>
      <c r="BD33" s="78" t="str">
        <f t="shared" si="13"/>
        <v>Tipo 1 (≤0,25) uT</v>
      </c>
      <c r="BE33" s="78" t="str">
        <f t="shared" si="14"/>
        <v>Tipo 1 (≤0,25) uT</v>
      </c>
      <c r="BF33" s="78" t="str">
        <f t="shared" si="15"/>
        <v>Tipo 1 (≤0,25) uT</v>
      </c>
      <c r="BG33" s="78" t="str">
        <f t="shared" si="16"/>
        <v>Tipo 1 (≤0,25) uT</v>
      </c>
      <c r="BH33" s="78" t="str">
        <f t="shared" si="17"/>
        <v>Tipo 1 (≤0,25) uT</v>
      </c>
    </row>
    <row r="34" spans="1:60" x14ac:dyDescent="0.2">
      <c r="A34" s="31">
        <v>46262</v>
      </c>
      <c r="B34" s="80" t="s">
        <v>101</v>
      </c>
      <c r="C34" s="57">
        <v>393</v>
      </c>
      <c r="D34" s="57">
        <v>1490</v>
      </c>
      <c r="E34" s="57">
        <v>200</v>
      </c>
      <c r="F34" s="57">
        <v>2100</v>
      </c>
      <c r="G34" s="85" t="s">
        <v>78</v>
      </c>
      <c r="H34" s="63">
        <v>9.8000000000000007</v>
      </c>
      <c r="I34" s="57">
        <v>-148.69999999999999</v>
      </c>
      <c r="J34" s="57">
        <v>90</v>
      </c>
      <c r="K34" s="57">
        <v>90</v>
      </c>
      <c r="L34" s="57">
        <v>90</v>
      </c>
      <c r="M34" s="57">
        <v>25.7</v>
      </c>
      <c r="N34" s="63">
        <v>6.6</v>
      </c>
      <c r="O34" s="36">
        <v>0.96</v>
      </c>
      <c r="P34" s="57">
        <v>6</v>
      </c>
      <c r="Q34" s="63">
        <v>5.7</v>
      </c>
      <c r="R34" s="36">
        <v>0.06</v>
      </c>
      <c r="S34" s="36">
        <v>22.36</v>
      </c>
      <c r="T34" s="36">
        <v>0.88</v>
      </c>
      <c r="U34" s="36">
        <v>0.7</v>
      </c>
      <c r="V34" s="42">
        <f t="shared" si="18"/>
        <v>1548.75</v>
      </c>
      <c r="W34" s="42">
        <f t="shared" si="19"/>
        <v>1372.556302</v>
      </c>
      <c r="X34" s="42">
        <f t="shared" si="20"/>
        <v>0.88623490040355124</v>
      </c>
      <c r="Y34" s="57">
        <v>3</v>
      </c>
      <c r="Z34" s="57">
        <v>4</v>
      </c>
      <c r="AA34" s="63">
        <v>6.5</v>
      </c>
      <c r="AB34" s="57">
        <v>17</v>
      </c>
      <c r="AC34" s="63">
        <v>6</v>
      </c>
      <c r="AD34" s="63">
        <v>4.5999999999999996</v>
      </c>
      <c r="AE34" s="36">
        <v>0.25</v>
      </c>
      <c r="AF34" s="36">
        <v>0.12</v>
      </c>
      <c r="AG34" s="42">
        <f t="shared" si="0"/>
        <v>1548.75</v>
      </c>
      <c r="AH34" s="42">
        <f t="shared" si="21"/>
        <v>1750.3931224</v>
      </c>
      <c r="AI34" s="42">
        <f t="shared" si="22"/>
        <v>1.1301973348829701</v>
      </c>
      <c r="AJ34" s="57">
        <v>4</v>
      </c>
      <c r="AK34" s="57">
        <v>4</v>
      </c>
      <c r="AL34" s="63">
        <v>6.2</v>
      </c>
      <c r="AM34" s="57">
        <v>23</v>
      </c>
      <c r="AN34" s="63">
        <v>6.1</v>
      </c>
      <c r="AO34" s="63">
        <v>3.7</v>
      </c>
      <c r="AP34" s="36">
        <v>0.17</v>
      </c>
      <c r="AQ34" s="36">
        <v>0.21</v>
      </c>
      <c r="AR34" s="73">
        <f t="shared" si="1"/>
        <v>2083</v>
      </c>
      <c r="AS34" s="75">
        <f t="shared" si="2"/>
        <v>0.18867018722995679</v>
      </c>
      <c r="AT34" s="75">
        <f t="shared" si="3"/>
        <v>0.71531445031204988</v>
      </c>
      <c r="AU34" s="75">
        <f t="shared" si="4"/>
        <v>9.6015362457993275E-2</v>
      </c>
      <c r="AV34" s="26">
        <f t="shared" si="5"/>
        <v>6.4761904761904757E-2</v>
      </c>
      <c r="AW34" s="26">
        <f t="shared" si="6"/>
        <v>8.7619047619047624E-2</v>
      </c>
      <c r="AX34" s="24">
        <f t="shared" si="7"/>
        <v>0.78125</v>
      </c>
      <c r="AY34" s="24">
        <f t="shared" si="8"/>
        <v>0.875</v>
      </c>
      <c r="AZ34" s="77" t="str">
        <f t="shared" si="9"/>
        <v>5,0 ≤ Alc. Bruta &lt; 7,5 mg/L</v>
      </c>
      <c r="BA34" s="77" t="str">
        <f t="shared" si="10"/>
        <v>5 ≤ Cor &lt; 10 uC</v>
      </c>
      <c r="BB34" s="78" t="str">
        <f t="shared" si="11"/>
        <v>Turbidez &lt; 2,5 uT</v>
      </c>
      <c r="BC34" s="79" t="str">
        <f t="shared" si="12"/>
        <v>SM &gt; TOR &gt; BNN</v>
      </c>
      <c r="BD34" s="78" t="str">
        <f t="shared" si="13"/>
        <v>Tipo 1 (≤0,25) uT</v>
      </c>
      <c r="BE34" s="78" t="str">
        <f t="shared" si="14"/>
        <v>Tipo 1 (≤0,25) uT</v>
      </c>
      <c r="BF34" s="78" t="str">
        <f t="shared" si="15"/>
        <v>Tipo 1 (≤0,25) uT</v>
      </c>
      <c r="BG34" s="78" t="str">
        <f t="shared" si="16"/>
        <v>Tipo 1 (≤0,25) uT</v>
      </c>
      <c r="BH34" s="78" t="str">
        <f t="shared" si="17"/>
        <v>Tipo 1 (≤0,25) uT</v>
      </c>
    </row>
    <row r="35" spans="1:60" x14ac:dyDescent="0.2">
      <c r="A35" s="31">
        <v>46262</v>
      </c>
      <c r="B35" s="80" t="s">
        <v>102</v>
      </c>
      <c r="C35" s="57">
        <v>390</v>
      </c>
      <c r="D35" s="57">
        <v>1493</v>
      </c>
      <c r="E35" s="57">
        <v>250</v>
      </c>
      <c r="F35" s="57">
        <v>2151</v>
      </c>
      <c r="G35" s="85" t="s">
        <v>78</v>
      </c>
      <c r="H35" s="63">
        <v>9.8000000000000007</v>
      </c>
      <c r="I35" s="57">
        <v>-146.69999999999999</v>
      </c>
      <c r="J35" s="57">
        <v>90</v>
      </c>
      <c r="K35" s="57">
        <v>90</v>
      </c>
      <c r="L35" s="57">
        <v>90</v>
      </c>
      <c r="M35" s="57">
        <v>24.8</v>
      </c>
      <c r="N35" s="63">
        <v>6.6</v>
      </c>
      <c r="O35" s="36">
        <v>0.93</v>
      </c>
      <c r="P35" s="57">
        <v>6</v>
      </c>
      <c r="Q35" s="63">
        <v>6.7</v>
      </c>
      <c r="R35" s="36">
        <v>7.0000000000000007E-2</v>
      </c>
      <c r="S35" s="36">
        <v>22.36</v>
      </c>
      <c r="T35" s="36">
        <v>0.88</v>
      </c>
      <c r="U35" s="36">
        <v>0.7</v>
      </c>
      <c r="V35" s="42">
        <f t="shared" si="18"/>
        <v>1578.2962500000001</v>
      </c>
      <c r="W35" s="42">
        <f t="shared" si="19"/>
        <v>1372.556302</v>
      </c>
      <c r="X35" s="42">
        <f t="shared" si="20"/>
        <v>0.86964427749226414</v>
      </c>
      <c r="Y35" s="57">
        <v>3</v>
      </c>
      <c r="Z35" s="57">
        <v>4</v>
      </c>
      <c r="AA35" s="63">
        <v>6.5</v>
      </c>
      <c r="AB35" s="57">
        <v>17</v>
      </c>
      <c r="AC35" s="63">
        <v>6</v>
      </c>
      <c r="AD35" s="63">
        <v>4.2</v>
      </c>
      <c r="AE35" s="36">
        <v>0.21</v>
      </c>
      <c r="AF35" s="36">
        <v>0.13</v>
      </c>
      <c r="AG35" s="42">
        <f t="shared" si="0"/>
        <v>1578.2962500000001</v>
      </c>
      <c r="AH35" s="42">
        <f t="shared" si="21"/>
        <v>1750.3931224</v>
      </c>
      <c r="AI35" s="42">
        <f t="shared" si="22"/>
        <v>1.1090396510794471</v>
      </c>
      <c r="AJ35" s="57">
        <v>3</v>
      </c>
      <c r="AK35" s="57">
        <v>4</v>
      </c>
      <c r="AL35" s="63">
        <v>6.2</v>
      </c>
      <c r="AM35" s="57">
        <v>23</v>
      </c>
      <c r="AN35" s="63">
        <v>6</v>
      </c>
      <c r="AO35" s="63">
        <v>4.3</v>
      </c>
      <c r="AP35" s="36">
        <v>0.19</v>
      </c>
      <c r="AQ35" s="36">
        <v>0.24</v>
      </c>
      <c r="AR35" s="73">
        <f t="shared" si="1"/>
        <v>2133</v>
      </c>
      <c r="AS35" s="75">
        <f t="shared" si="2"/>
        <v>0.18284106891701829</v>
      </c>
      <c r="AT35" s="75">
        <f t="shared" si="3"/>
        <v>0.69995311767463664</v>
      </c>
      <c r="AU35" s="75">
        <f t="shared" si="4"/>
        <v>0.11720581340834506</v>
      </c>
      <c r="AV35" s="26">
        <f t="shared" si="5"/>
        <v>6.3226406322640635E-2</v>
      </c>
      <c r="AW35" s="26">
        <f t="shared" si="6"/>
        <v>8.5541608554160861E-2</v>
      </c>
      <c r="AX35" s="24">
        <f t="shared" si="7"/>
        <v>0.74193548387096775</v>
      </c>
      <c r="AY35" s="24">
        <f t="shared" si="8"/>
        <v>0.86021505376344087</v>
      </c>
      <c r="AZ35" s="77" t="str">
        <f t="shared" si="9"/>
        <v>5,0 ≤ Alc. Bruta &lt; 7,5 mg/L</v>
      </c>
      <c r="BA35" s="77" t="str">
        <f t="shared" si="10"/>
        <v>5 ≤ Cor &lt; 10 uC</v>
      </c>
      <c r="BB35" s="78" t="str">
        <f t="shared" si="11"/>
        <v>Turbidez &lt; 2,5 uT</v>
      </c>
      <c r="BC35" s="79" t="str">
        <f t="shared" si="12"/>
        <v>SM &gt; TOR &gt; BNN</v>
      </c>
      <c r="BD35" s="78" t="str">
        <f t="shared" si="13"/>
        <v>Tipo 1 (≤0,25) uT</v>
      </c>
      <c r="BE35" s="78" t="str">
        <f t="shared" si="14"/>
        <v>Tipo 1 (≤0,25) uT</v>
      </c>
      <c r="BF35" s="78" t="str">
        <f t="shared" si="15"/>
        <v>Tipo 1 (≤0,25) uT</v>
      </c>
      <c r="BG35" s="78" t="str">
        <f t="shared" si="16"/>
        <v>Tipo 1 (≤0,25) uT</v>
      </c>
      <c r="BH35" s="78" t="str">
        <f t="shared" si="17"/>
        <v>Tipo 1 (≤0,25) uT</v>
      </c>
    </row>
    <row r="36" spans="1:60" x14ac:dyDescent="0.2">
      <c r="A36" s="31">
        <v>46262</v>
      </c>
      <c r="B36" s="80" t="s">
        <v>103</v>
      </c>
      <c r="C36" s="57">
        <v>295</v>
      </c>
      <c r="D36" s="57">
        <v>1501</v>
      </c>
      <c r="E36" s="57">
        <v>250</v>
      </c>
      <c r="F36" s="57">
        <v>2196</v>
      </c>
      <c r="G36" s="85" t="s">
        <v>78</v>
      </c>
      <c r="H36" s="63">
        <v>9.8000000000000007</v>
      </c>
      <c r="I36" s="57">
        <v>-144.69999999999999</v>
      </c>
      <c r="J36" s="57">
        <v>90</v>
      </c>
      <c r="K36" s="57">
        <v>90</v>
      </c>
      <c r="L36" s="57">
        <v>90</v>
      </c>
      <c r="M36" s="57">
        <v>25</v>
      </c>
      <c r="N36" s="63">
        <v>6.6</v>
      </c>
      <c r="O36" s="36">
        <v>0.85</v>
      </c>
      <c r="P36" s="57">
        <v>6</v>
      </c>
      <c r="Q36" s="63">
        <v>6.8</v>
      </c>
      <c r="R36" s="36">
        <v>7.0000000000000007E-2</v>
      </c>
      <c r="S36" s="36">
        <v>22.36</v>
      </c>
      <c r="T36" s="36">
        <v>0.88</v>
      </c>
      <c r="U36" s="36">
        <v>0.7</v>
      </c>
      <c r="V36" s="42">
        <f t="shared" si="18"/>
        <v>1589.355</v>
      </c>
      <c r="W36" s="42">
        <f t="shared" si="19"/>
        <v>1372.556302</v>
      </c>
      <c r="X36" s="42">
        <f t="shared" si="20"/>
        <v>0.86359328280969316</v>
      </c>
      <c r="Y36" s="57">
        <v>3</v>
      </c>
      <c r="Z36" s="57">
        <v>4</v>
      </c>
      <c r="AA36" s="63">
        <v>6.5</v>
      </c>
      <c r="AB36" s="57">
        <v>17</v>
      </c>
      <c r="AC36" s="63">
        <v>6</v>
      </c>
      <c r="AD36" s="63">
        <v>4.7</v>
      </c>
      <c r="AE36" s="36">
        <v>0.19</v>
      </c>
      <c r="AF36" s="36">
        <v>0.13</v>
      </c>
      <c r="AG36" s="42">
        <f t="shared" si="0"/>
        <v>1589.355</v>
      </c>
      <c r="AH36" s="42">
        <f t="shared" si="21"/>
        <v>1750.3931224</v>
      </c>
      <c r="AI36" s="42">
        <f t="shared" si="22"/>
        <v>1.1013229406897767</v>
      </c>
      <c r="AJ36" s="57">
        <v>4</v>
      </c>
      <c r="AK36" s="57">
        <v>4</v>
      </c>
      <c r="AL36" s="63">
        <v>6.2</v>
      </c>
      <c r="AM36" s="57">
        <v>23</v>
      </c>
      <c r="AN36" s="63">
        <v>6</v>
      </c>
      <c r="AO36" s="63">
        <v>4.0999999999999996</v>
      </c>
      <c r="AP36" s="36">
        <v>0.21</v>
      </c>
      <c r="AQ36" s="36">
        <v>0.23</v>
      </c>
      <c r="AR36" s="73">
        <f t="shared" si="1"/>
        <v>2046</v>
      </c>
      <c r="AS36" s="75">
        <f t="shared" si="2"/>
        <v>0.14418377321603129</v>
      </c>
      <c r="AT36" s="75">
        <f t="shared" si="3"/>
        <v>0.73362658846529816</v>
      </c>
      <c r="AU36" s="75">
        <f t="shared" si="4"/>
        <v>0.12218963831867058</v>
      </c>
      <c r="AV36" s="26">
        <f t="shared" si="5"/>
        <v>6.1930783242258654E-2</v>
      </c>
      <c r="AW36" s="26">
        <f t="shared" si="6"/>
        <v>8.3788706739526417E-2</v>
      </c>
      <c r="AX36" s="24">
        <f t="shared" si="7"/>
        <v>0.72941176470588232</v>
      </c>
      <c r="AY36" s="24">
        <f t="shared" si="8"/>
        <v>0.84705882352941175</v>
      </c>
      <c r="AZ36" s="77" t="str">
        <f t="shared" si="9"/>
        <v>5,0 ≤ Alc. Bruta &lt; 7,5 mg/L</v>
      </c>
      <c r="BA36" s="77" t="str">
        <f t="shared" si="10"/>
        <v>5 ≤ Cor &lt; 10 uC</v>
      </c>
      <c r="BB36" s="78" t="str">
        <f t="shared" si="11"/>
        <v>Turbidez &lt; 2,5 uT</v>
      </c>
      <c r="BC36" s="79" t="str">
        <f t="shared" si="12"/>
        <v>SM &gt; TOR &gt; BNN</v>
      </c>
      <c r="BD36" s="78" t="str">
        <f t="shared" si="13"/>
        <v>Tipo 1 (≤0,25) uT</v>
      </c>
      <c r="BE36" s="78" t="str">
        <f t="shared" si="14"/>
        <v>Tipo 1 (≤0,25) uT</v>
      </c>
      <c r="BF36" s="78" t="str">
        <f t="shared" si="15"/>
        <v>Tipo 1 (≤0,25) uT</v>
      </c>
      <c r="BG36" s="78" t="str">
        <f t="shared" si="16"/>
        <v>Tipo 1 (≤0,25) uT</v>
      </c>
      <c r="BH36" s="78" t="str">
        <f t="shared" si="17"/>
        <v>Tipo 1 (≤0,25) uT</v>
      </c>
    </row>
    <row r="37" spans="1:60" x14ac:dyDescent="0.2">
      <c r="A37" s="31">
        <v>46263</v>
      </c>
      <c r="B37" s="80" t="s">
        <v>104</v>
      </c>
      <c r="C37" s="57">
        <v>381</v>
      </c>
      <c r="D37" s="57">
        <v>1538</v>
      </c>
      <c r="E37" s="57">
        <v>250</v>
      </c>
      <c r="F37" s="57">
        <v>2145</v>
      </c>
      <c r="G37" s="85" t="s">
        <v>78</v>
      </c>
      <c r="H37" s="63">
        <v>9.8000000000000007</v>
      </c>
      <c r="I37" s="57">
        <v>-138.6</v>
      </c>
      <c r="J37" s="57">
        <v>90</v>
      </c>
      <c r="K37" s="57">
        <v>90</v>
      </c>
      <c r="L37" s="57">
        <v>90</v>
      </c>
      <c r="M37" s="57">
        <v>25</v>
      </c>
      <c r="N37" s="63">
        <v>6.6</v>
      </c>
      <c r="O37" s="36">
        <v>0.94</v>
      </c>
      <c r="P37" s="57">
        <v>6</v>
      </c>
      <c r="Q37" s="63">
        <v>6.2</v>
      </c>
      <c r="R37" s="36">
        <v>0.06</v>
      </c>
      <c r="S37" s="36">
        <v>22.36</v>
      </c>
      <c r="T37" s="36">
        <v>0.88</v>
      </c>
      <c r="U37" s="36">
        <v>0.7</v>
      </c>
      <c r="V37" s="42">
        <f t="shared" si="18"/>
        <v>1576.575</v>
      </c>
      <c r="W37" s="42">
        <f t="shared" si="19"/>
        <v>1372.556302</v>
      </c>
      <c r="X37" s="42">
        <f t="shared" si="20"/>
        <v>0.87059372500515353</v>
      </c>
      <c r="Y37" s="57">
        <v>3</v>
      </c>
      <c r="Z37" s="57">
        <v>4</v>
      </c>
      <c r="AA37" s="63">
        <v>6.5</v>
      </c>
      <c r="AB37" s="57">
        <v>17</v>
      </c>
      <c r="AC37" s="63">
        <v>5.9</v>
      </c>
      <c r="AD37" s="63">
        <v>4.3</v>
      </c>
      <c r="AE37" s="36">
        <v>0.11</v>
      </c>
      <c r="AF37" s="36">
        <v>0.12</v>
      </c>
      <c r="AG37" s="42">
        <f t="shared" si="0"/>
        <v>1576.575</v>
      </c>
      <c r="AH37" s="42">
        <f t="shared" si="21"/>
        <v>1750.3931224</v>
      </c>
      <c r="AI37" s="42">
        <f t="shared" si="22"/>
        <v>1.1102504621727478</v>
      </c>
      <c r="AJ37" s="57">
        <v>3</v>
      </c>
      <c r="AK37" s="57">
        <v>4</v>
      </c>
      <c r="AL37" s="63">
        <v>6.2</v>
      </c>
      <c r="AM37" s="57">
        <v>23</v>
      </c>
      <c r="AN37" s="63">
        <v>6.1</v>
      </c>
      <c r="AO37" s="63">
        <v>4.2</v>
      </c>
      <c r="AP37" s="36">
        <v>0.12</v>
      </c>
      <c r="AQ37" s="36">
        <v>0.22</v>
      </c>
      <c r="AR37" s="73">
        <f t="shared" si="1"/>
        <v>2169</v>
      </c>
      <c r="AS37" s="75">
        <f t="shared" si="2"/>
        <v>0.17565698478561548</v>
      </c>
      <c r="AT37" s="75">
        <f t="shared" si="3"/>
        <v>0.70908252650991244</v>
      </c>
      <c r="AU37" s="75">
        <f t="shared" si="4"/>
        <v>0.11526048870447211</v>
      </c>
      <c r="AV37" s="26">
        <f t="shared" si="5"/>
        <v>6.340326340326341E-2</v>
      </c>
      <c r="AW37" s="26">
        <f t="shared" si="6"/>
        <v>8.5780885780885788E-2</v>
      </c>
      <c r="AX37" s="24">
        <f t="shared" si="7"/>
        <v>0.76595744680851063</v>
      </c>
      <c r="AY37" s="24">
        <f t="shared" si="8"/>
        <v>0.87234042553191493</v>
      </c>
      <c r="AZ37" s="77" t="str">
        <f t="shared" si="9"/>
        <v>5,0 ≤ Alc. Bruta &lt; 7,5 mg/L</v>
      </c>
      <c r="BA37" s="77" t="str">
        <f t="shared" si="10"/>
        <v>5 ≤ Cor &lt; 10 uC</v>
      </c>
      <c r="BB37" s="78" t="str">
        <f t="shared" si="11"/>
        <v>Turbidez &lt; 2,5 uT</v>
      </c>
      <c r="BC37" s="79" t="str">
        <f t="shared" si="12"/>
        <v>SM &gt; TOR &gt; BNN</v>
      </c>
      <c r="BD37" s="78" t="str">
        <f t="shared" si="13"/>
        <v>Tipo 1 (≤0,25) uT</v>
      </c>
      <c r="BE37" s="78" t="str">
        <f t="shared" si="14"/>
        <v>Tipo 1 (≤0,25) uT</v>
      </c>
      <c r="BF37" s="78" t="str">
        <f t="shared" si="15"/>
        <v>Tipo 1 (≤0,25) uT</v>
      </c>
      <c r="BG37" s="78" t="str">
        <f t="shared" si="16"/>
        <v>Tipo 1 (≤0,25) uT</v>
      </c>
      <c r="BH37" s="78" t="str">
        <f t="shared" si="17"/>
        <v>Tipo 1 (≤0,25) uT</v>
      </c>
    </row>
    <row r="38" spans="1:60" ht="15.75" thickBot="1" x14ac:dyDescent="0.25">
      <c r="A38" s="32">
        <v>46263</v>
      </c>
      <c r="B38" s="81">
        <v>0.22916666666666666</v>
      </c>
      <c r="C38" s="58">
        <v>397</v>
      </c>
      <c r="D38" s="58">
        <v>1500</v>
      </c>
      <c r="E38" s="58">
        <v>250</v>
      </c>
      <c r="F38" s="58">
        <v>2146</v>
      </c>
      <c r="G38" s="86" t="s">
        <v>78</v>
      </c>
      <c r="H38" s="64">
        <v>10.8</v>
      </c>
      <c r="I38" s="58">
        <v>-136.69999999999999</v>
      </c>
      <c r="J38" s="58">
        <v>90</v>
      </c>
      <c r="K38" s="58">
        <v>90</v>
      </c>
      <c r="L38" s="58">
        <v>90</v>
      </c>
      <c r="M38" s="58">
        <v>24.8</v>
      </c>
      <c r="N38" s="64">
        <v>6.6</v>
      </c>
      <c r="O38" s="37">
        <v>0.81</v>
      </c>
      <c r="P38" s="58">
        <v>6</v>
      </c>
      <c r="Q38" s="64">
        <v>6.9</v>
      </c>
      <c r="R38" s="37">
        <v>0.06</v>
      </c>
      <c r="S38" s="36">
        <v>22.36</v>
      </c>
      <c r="T38" s="36">
        <v>0.88</v>
      </c>
      <c r="U38" s="36">
        <v>0.7</v>
      </c>
      <c r="V38" s="42">
        <f t="shared" si="18"/>
        <v>1622.9125000000001</v>
      </c>
      <c r="W38" s="42">
        <f t="shared" si="19"/>
        <v>1372.556302</v>
      </c>
      <c r="X38" s="42">
        <f t="shared" si="20"/>
        <v>0.8457364780910861</v>
      </c>
      <c r="Y38" s="58">
        <v>3</v>
      </c>
      <c r="Z38" s="58">
        <v>4</v>
      </c>
      <c r="AA38" s="64">
        <v>6.5</v>
      </c>
      <c r="AB38" s="58">
        <v>17</v>
      </c>
      <c r="AC38" s="64">
        <v>6.1</v>
      </c>
      <c r="AD38" s="64">
        <v>4.9000000000000004</v>
      </c>
      <c r="AE38" s="37">
        <v>0.11</v>
      </c>
      <c r="AF38" s="37">
        <v>0.08</v>
      </c>
      <c r="AG38" s="42">
        <f t="shared" si="0"/>
        <v>1622.9125000000001</v>
      </c>
      <c r="AH38" s="42">
        <f t="shared" si="21"/>
        <v>1750.3931224</v>
      </c>
      <c r="AI38" s="42">
        <f t="shared" si="22"/>
        <v>1.0785505209923516</v>
      </c>
      <c r="AJ38" s="58">
        <v>3</v>
      </c>
      <c r="AK38" s="58">
        <v>4</v>
      </c>
      <c r="AL38" s="64">
        <v>6.2</v>
      </c>
      <c r="AM38" s="58">
        <v>23</v>
      </c>
      <c r="AN38" s="64">
        <v>6</v>
      </c>
      <c r="AO38" s="64">
        <v>5.7</v>
      </c>
      <c r="AP38" s="37">
        <v>0.11</v>
      </c>
      <c r="AQ38" s="37">
        <v>0.24</v>
      </c>
      <c r="AR38" s="73">
        <f t="shared" si="1"/>
        <v>2147</v>
      </c>
      <c r="AS38" s="75">
        <f t="shared" si="2"/>
        <v>0.18490917559385189</v>
      </c>
      <c r="AT38" s="75">
        <f t="shared" si="3"/>
        <v>0.69864927806241262</v>
      </c>
      <c r="AU38" s="75">
        <f t="shared" si="4"/>
        <v>0.11644154634373545</v>
      </c>
      <c r="AV38" s="26">
        <f t="shared" si="5"/>
        <v>6.3373718546132343E-2</v>
      </c>
      <c r="AW38" s="26">
        <f t="shared" si="6"/>
        <v>8.5740913327120222E-2</v>
      </c>
      <c r="AX38" s="24">
        <f t="shared" si="7"/>
        <v>0.70370370370370372</v>
      </c>
      <c r="AY38" s="24">
        <f t="shared" si="8"/>
        <v>0.90123456790123457</v>
      </c>
      <c r="AZ38" s="77" t="str">
        <f t="shared" si="9"/>
        <v>5,0 ≤ Alc. Bruta &lt; 7,5 mg/L</v>
      </c>
      <c r="BA38" s="77" t="str">
        <f t="shared" si="10"/>
        <v>5 ≤ Cor &lt; 10 uC</v>
      </c>
      <c r="BB38" s="78" t="str">
        <f t="shared" si="11"/>
        <v>Turbidez &lt; 2,5 uT</v>
      </c>
      <c r="BC38" s="79" t="str">
        <f t="shared" si="12"/>
        <v>SM &gt; TOR &gt; BNN</v>
      </c>
      <c r="BD38" s="78" t="str">
        <f t="shared" si="13"/>
        <v>Tipo 1 (≤0,25) uT</v>
      </c>
      <c r="BE38" s="78" t="str">
        <f t="shared" si="14"/>
        <v>Tipo 1 (≤0,25) uT</v>
      </c>
      <c r="BF38" s="78" t="str">
        <f t="shared" si="15"/>
        <v>Tipo 1 (≤0,25) uT</v>
      </c>
      <c r="BG38" s="78" t="str">
        <f t="shared" si="16"/>
        <v>Tipo 1 (≤0,25) uT</v>
      </c>
      <c r="BH38" s="78" t="str">
        <f t="shared" si="17"/>
        <v>Tipo 1 (≤0,25) uT</v>
      </c>
    </row>
    <row r="39" spans="1:60" x14ac:dyDescent="0.2">
      <c r="A39" s="30">
        <v>46263</v>
      </c>
      <c r="B39" s="82">
        <v>0.3125</v>
      </c>
      <c r="C39" s="59">
        <v>340</v>
      </c>
      <c r="D39" s="59">
        <v>1608</v>
      </c>
      <c r="E39" s="59">
        <v>249</v>
      </c>
      <c r="F39" s="59">
        <v>2232</v>
      </c>
      <c r="G39" s="87" t="s">
        <v>78</v>
      </c>
      <c r="H39" s="65">
        <v>10.8</v>
      </c>
      <c r="I39" s="59">
        <v>-135</v>
      </c>
      <c r="J39" s="59">
        <v>90</v>
      </c>
      <c r="K39" s="59">
        <v>90</v>
      </c>
      <c r="L39" s="59">
        <v>90</v>
      </c>
      <c r="M39" s="59">
        <v>24.8</v>
      </c>
      <c r="N39" s="65">
        <v>6.5</v>
      </c>
      <c r="O39" s="38">
        <v>0.59</v>
      </c>
      <c r="P39" s="59">
        <v>6</v>
      </c>
      <c r="Q39" s="65">
        <v>6.9</v>
      </c>
      <c r="R39" s="38">
        <v>0.06</v>
      </c>
      <c r="S39" s="36">
        <v>22.36</v>
      </c>
      <c r="T39" s="36">
        <v>0.88</v>
      </c>
      <c r="U39" s="36">
        <v>0.7</v>
      </c>
      <c r="V39" s="42">
        <f t="shared" si="18"/>
        <v>1626.57</v>
      </c>
      <c r="W39" s="42">
        <f t="shared" si="19"/>
        <v>1367.3038038399998</v>
      </c>
      <c r="X39" s="42">
        <f t="shared" si="20"/>
        <v>0.84060557113435008</v>
      </c>
      <c r="Y39" s="59">
        <v>3</v>
      </c>
      <c r="Z39" s="59">
        <v>4</v>
      </c>
      <c r="AA39" s="65">
        <v>6.48</v>
      </c>
      <c r="AB39" s="59">
        <v>17</v>
      </c>
      <c r="AC39" s="65">
        <v>6.3</v>
      </c>
      <c r="AD39" s="65">
        <v>4.2</v>
      </c>
      <c r="AE39" s="38">
        <v>0.11</v>
      </c>
      <c r="AF39" s="38">
        <v>0.11</v>
      </c>
      <c r="AG39" s="42">
        <f t="shared" si="0"/>
        <v>1626.57</v>
      </c>
      <c r="AH39" s="42">
        <f t="shared" si="21"/>
        <v>1764.6057644799996</v>
      </c>
      <c r="AI39" s="42">
        <f t="shared" si="22"/>
        <v>1.0848630950281879</v>
      </c>
      <c r="AJ39" s="59">
        <v>3</v>
      </c>
      <c r="AK39" s="59">
        <v>4</v>
      </c>
      <c r="AL39" s="65">
        <v>6.24</v>
      </c>
      <c r="AM39" s="59">
        <v>23</v>
      </c>
      <c r="AN39" s="65">
        <v>6.3</v>
      </c>
      <c r="AO39" s="65">
        <v>4.8</v>
      </c>
      <c r="AP39" s="38">
        <v>0.08</v>
      </c>
      <c r="AQ39" s="38">
        <v>0.24</v>
      </c>
      <c r="AR39" s="73">
        <f t="shared" si="1"/>
        <v>2197</v>
      </c>
      <c r="AS39" s="75">
        <f t="shared" si="2"/>
        <v>0.15475648611743287</v>
      </c>
      <c r="AT39" s="75">
        <f t="shared" si="3"/>
        <v>0.73190714610832952</v>
      </c>
      <c r="AU39" s="75">
        <f t="shared" si="4"/>
        <v>0.1133363677742376</v>
      </c>
      <c r="AV39" s="26">
        <f t="shared" si="5"/>
        <v>6.093189964157706E-2</v>
      </c>
      <c r="AW39" s="26">
        <f t="shared" si="6"/>
        <v>8.2437275985663083E-2</v>
      </c>
      <c r="AX39" s="24">
        <f t="shared" si="7"/>
        <v>0.59322033898305082</v>
      </c>
      <c r="AY39" s="24">
        <f t="shared" si="8"/>
        <v>0.81355932203389836</v>
      </c>
      <c r="AZ39" s="77" t="str">
        <f t="shared" si="9"/>
        <v>5,0 ≤ Alc. Bruta &lt; 7,5 mg/L</v>
      </c>
      <c r="BA39" s="77" t="str">
        <f t="shared" si="10"/>
        <v>5 ≤ Cor &lt; 10 uC</v>
      </c>
      <c r="BB39" s="78" t="str">
        <f t="shared" si="11"/>
        <v>Turbidez &lt; 2,5 uT</v>
      </c>
      <c r="BC39" s="79" t="str">
        <f t="shared" si="12"/>
        <v>SM &gt; TOR &gt; BNN</v>
      </c>
      <c r="BD39" s="78" t="str">
        <f t="shared" si="13"/>
        <v>Tipo 1 (≤0,25) uT</v>
      </c>
      <c r="BE39" s="78" t="str">
        <f t="shared" si="14"/>
        <v>Tipo 1 (≤0,25) uT</v>
      </c>
      <c r="BF39" s="78" t="str">
        <f t="shared" si="15"/>
        <v>Tipo 1 (≤0,25) uT</v>
      </c>
      <c r="BG39" s="78" t="str">
        <f t="shared" si="16"/>
        <v>Tipo 1 (≤0,25) uT</v>
      </c>
      <c r="BH39" s="78" t="str">
        <f t="shared" si="17"/>
        <v>Tipo 1 (≤0,25) uT</v>
      </c>
    </row>
    <row r="40" spans="1:60" x14ac:dyDescent="0.2">
      <c r="A40" s="31">
        <v>46263</v>
      </c>
      <c r="B40" s="80">
        <v>0.39583333333333331</v>
      </c>
      <c r="C40" s="57">
        <v>384</v>
      </c>
      <c r="D40" s="57">
        <v>1818</v>
      </c>
      <c r="E40" s="57">
        <v>249</v>
      </c>
      <c r="F40" s="57">
        <v>2207</v>
      </c>
      <c r="G40" s="85" t="s">
        <v>78</v>
      </c>
      <c r="H40" s="63">
        <v>10.8</v>
      </c>
      <c r="I40" s="57">
        <v>-142</v>
      </c>
      <c r="J40" s="57">
        <v>90</v>
      </c>
      <c r="K40" s="57">
        <v>90</v>
      </c>
      <c r="L40" s="57">
        <v>90</v>
      </c>
      <c r="M40" s="57">
        <v>22.8</v>
      </c>
      <c r="N40" s="63">
        <v>6.6</v>
      </c>
      <c r="O40" s="36">
        <v>0.76</v>
      </c>
      <c r="P40" s="57">
        <v>5</v>
      </c>
      <c r="Q40" s="63">
        <v>6.3</v>
      </c>
      <c r="R40" s="36">
        <v>0.06</v>
      </c>
      <c r="S40" s="36">
        <v>22.36</v>
      </c>
      <c r="T40" s="36">
        <v>0.88</v>
      </c>
      <c r="U40" s="36">
        <v>0.7</v>
      </c>
      <c r="V40" s="42">
        <f t="shared" si="18"/>
        <v>1655.25</v>
      </c>
      <c r="W40" s="42">
        <f t="shared" si="19"/>
        <v>1380.4350492400001</v>
      </c>
      <c r="X40" s="42">
        <f t="shared" si="20"/>
        <v>0.83397374972964822</v>
      </c>
      <c r="Y40" s="57">
        <v>3</v>
      </c>
      <c r="Z40" s="57">
        <v>4</v>
      </c>
      <c r="AA40" s="63">
        <v>6.53</v>
      </c>
      <c r="AB40" s="57">
        <v>17</v>
      </c>
      <c r="AC40" s="63">
        <v>6.2</v>
      </c>
      <c r="AD40" s="63">
        <v>3.8</v>
      </c>
      <c r="AE40" s="36">
        <v>0.08</v>
      </c>
      <c r="AF40" s="36">
        <v>0.12</v>
      </c>
      <c r="AG40" s="42">
        <f t="shared" si="0"/>
        <v>1655.25</v>
      </c>
      <c r="AH40" s="42">
        <f t="shared" si="21"/>
        <v>1771.7120855199996</v>
      </c>
      <c r="AI40" s="42">
        <f t="shared" si="22"/>
        <v>1.0703592119136081</v>
      </c>
      <c r="AJ40" s="57">
        <v>3</v>
      </c>
      <c r="AK40" s="57">
        <v>4</v>
      </c>
      <c r="AL40" s="63">
        <v>6.26</v>
      </c>
      <c r="AM40" s="57">
        <v>23</v>
      </c>
      <c r="AN40" s="63">
        <v>6.4</v>
      </c>
      <c r="AO40" s="63">
        <v>3.7</v>
      </c>
      <c r="AP40" s="36">
        <v>0.09</v>
      </c>
      <c r="AQ40" s="36">
        <v>0.16</v>
      </c>
      <c r="AR40" s="73">
        <f t="shared" si="1"/>
        <v>2451</v>
      </c>
      <c r="AS40" s="75">
        <f t="shared" si="2"/>
        <v>0.15667074663402691</v>
      </c>
      <c r="AT40" s="75">
        <f t="shared" si="3"/>
        <v>0.74173806609547122</v>
      </c>
      <c r="AU40" s="75">
        <f t="shared" si="4"/>
        <v>0.10159118727050184</v>
      </c>
      <c r="AV40" s="26">
        <f t="shared" si="5"/>
        <v>6.1622111463525149E-2</v>
      </c>
      <c r="AW40" s="26">
        <f t="shared" si="6"/>
        <v>8.3371091980063428E-2</v>
      </c>
      <c r="AX40" s="24">
        <f t="shared" si="7"/>
        <v>0.78947368421052633</v>
      </c>
      <c r="AY40" s="24">
        <f t="shared" si="8"/>
        <v>0.84210526315789469</v>
      </c>
      <c r="AZ40" s="77" t="str">
        <f t="shared" si="9"/>
        <v>5,0 ≤ Alc. Bruta &lt; 7,5 mg/L</v>
      </c>
      <c r="BA40" s="77" t="str">
        <f t="shared" si="10"/>
        <v>5 ≤ Cor &lt; 10 uC</v>
      </c>
      <c r="BB40" s="78" t="str">
        <f t="shared" si="11"/>
        <v>Turbidez &lt; 2,5 uT</v>
      </c>
      <c r="BC40" s="79" t="str">
        <f t="shared" si="12"/>
        <v>SM &gt; TOR &gt; BNN</v>
      </c>
      <c r="BD40" s="78" t="str">
        <f t="shared" si="13"/>
        <v>Tipo 1 (≤0,25) uT</v>
      </c>
      <c r="BE40" s="78" t="str">
        <f t="shared" si="14"/>
        <v>Tipo 1 (≤0,25) uT</v>
      </c>
      <c r="BF40" s="78" t="str">
        <f t="shared" si="15"/>
        <v>Tipo 1 (≤0,25) uT</v>
      </c>
      <c r="BG40" s="78" t="str">
        <f t="shared" si="16"/>
        <v>Tipo 1 (≤0,25) uT</v>
      </c>
      <c r="BH40" s="78" t="str">
        <f t="shared" si="17"/>
        <v>Tipo 1 (≤0,25) uT</v>
      </c>
    </row>
    <row r="41" spans="1:60" x14ac:dyDescent="0.2">
      <c r="A41" s="31">
        <v>46263</v>
      </c>
      <c r="B41" s="80">
        <v>0.47916666666666669</v>
      </c>
      <c r="C41" s="57">
        <v>408</v>
      </c>
      <c r="D41" s="57">
        <v>1508</v>
      </c>
      <c r="E41" s="57">
        <v>249</v>
      </c>
      <c r="F41" s="57">
        <v>2078</v>
      </c>
      <c r="G41" s="85" t="s">
        <v>78</v>
      </c>
      <c r="H41" s="63">
        <v>10.8</v>
      </c>
      <c r="I41" s="57">
        <v>-139</v>
      </c>
      <c r="J41" s="57">
        <v>90</v>
      </c>
      <c r="K41" s="57">
        <v>90</v>
      </c>
      <c r="L41" s="57">
        <v>90</v>
      </c>
      <c r="M41" s="57">
        <v>26.5</v>
      </c>
      <c r="N41" s="63">
        <v>6.6</v>
      </c>
      <c r="O41" s="36">
        <v>0.82</v>
      </c>
      <c r="P41" s="57">
        <v>6</v>
      </c>
      <c r="Q41" s="63">
        <v>6.3</v>
      </c>
      <c r="R41" s="36">
        <v>7.0000000000000007E-2</v>
      </c>
      <c r="S41" s="36">
        <v>22.36</v>
      </c>
      <c r="T41" s="36">
        <v>0.88</v>
      </c>
      <c r="U41" s="36">
        <v>0.7</v>
      </c>
      <c r="V41" s="42">
        <f t="shared" si="18"/>
        <v>1574.085</v>
      </c>
      <c r="W41" s="42">
        <f t="shared" si="19"/>
        <v>1380.4350492400001</v>
      </c>
      <c r="X41" s="42">
        <f t="shared" si="20"/>
        <v>0.87697617932957883</v>
      </c>
      <c r="Y41" s="57">
        <v>3</v>
      </c>
      <c r="Z41" s="57">
        <v>4</v>
      </c>
      <c r="AA41" s="63">
        <v>6.53</v>
      </c>
      <c r="AB41" s="57">
        <v>17</v>
      </c>
      <c r="AC41" s="63">
        <v>6.2</v>
      </c>
      <c r="AD41" s="63">
        <v>4.2</v>
      </c>
      <c r="AE41" s="36">
        <v>0.08</v>
      </c>
      <c r="AF41" s="36">
        <v>0.11</v>
      </c>
      <c r="AG41" s="42">
        <f t="shared" si="0"/>
        <v>1574.085</v>
      </c>
      <c r="AH41" s="42">
        <f t="shared" si="21"/>
        <v>1778.8184065599999</v>
      </c>
      <c r="AI41" s="42">
        <f t="shared" si="22"/>
        <v>1.130065026069113</v>
      </c>
      <c r="AJ41" s="57">
        <v>3</v>
      </c>
      <c r="AK41" s="57">
        <v>4</v>
      </c>
      <c r="AL41" s="63">
        <v>6.28</v>
      </c>
      <c r="AM41" s="57">
        <v>23</v>
      </c>
      <c r="AN41" s="63">
        <v>6.3</v>
      </c>
      <c r="AO41" s="63">
        <v>4.2</v>
      </c>
      <c r="AP41" s="36">
        <v>0.08</v>
      </c>
      <c r="AQ41" s="36">
        <v>0.17</v>
      </c>
      <c r="AR41" s="73">
        <f t="shared" si="1"/>
        <v>2165</v>
      </c>
      <c r="AS41" s="75">
        <f t="shared" si="2"/>
        <v>0.1884526558891455</v>
      </c>
      <c r="AT41" s="75">
        <f t="shared" si="3"/>
        <v>0.6965357967667436</v>
      </c>
      <c r="AU41" s="75">
        <f t="shared" si="4"/>
        <v>0.11501154734411086</v>
      </c>
      <c r="AV41" s="26">
        <f t="shared" si="5"/>
        <v>6.5447545717035607E-2</v>
      </c>
      <c r="AW41" s="26">
        <f t="shared" si="6"/>
        <v>8.8546679499518763E-2</v>
      </c>
      <c r="AX41" s="24">
        <f t="shared" si="7"/>
        <v>0.79268292682926833</v>
      </c>
      <c r="AY41" s="24">
        <f t="shared" si="8"/>
        <v>0.86585365853658536</v>
      </c>
      <c r="AZ41" s="77" t="str">
        <f t="shared" si="9"/>
        <v>5,0 ≤ Alc. Bruta &lt; 7,5 mg/L</v>
      </c>
      <c r="BA41" s="77" t="str">
        <f t="shared" si="10"/>
        <v>5 ≤ Cor &lt; 10 uC</v>
      </c>
      <c r="BB41" s="78" t="str">
        <f t="shared" si="11"/>
        <v>Turbidez &lt; 2,5 uT</v>
      </c>
      <c r="BC41" s="79" t="str">
        <f t="shared" si="12"/>
        <v>SM &gt; TOR &gt; BNN</v>
      </c>
      <c r="BD41" s="78" t="str">
        <f t="shared" si="13"/>
        <v>Tipo 1 (≤0,25) uT</v>
      </c>
      <c r="BE41" s="78" t="str">
        <f t="shared" si="14"/>
        <v>Tipo 1 (≤0,25) uT</v>
      </c>
      <c r="BF41" s="78" t="str">
        <f t="shared" si="15"/>
        <v>Tipo 1 (≤0,25) uT</v>
      </c>
      <c r="BG41" s="78" t="str">
        <f t="shared" si="16"/>
        <v>Tipo 1 (≤0,25) uT</v>
      </c>
      <c r="BH41" s="78" t="str">
        <f t="shared" si="17"/>
        <v>Tipo 1 (≤0,25) uT</v>
      </c>
    </row>
    <row r="42" spans="1:60" x14ac:dyDescent="0.2">
      <c r="A42" s="31">
        <v>46263</v>
      </c>
      <c r="B42" s="80">
        <v>0.64583333333333337</v>
      </c>
      <c r="C42" s="57">
        <v>319</v>
      </c>
      <c r="D42" s="57">
        <v>1599</v>
      </c>
      <c r="E42" s="57">
        <v>249</v>
      </c>
      <c r="F42" s="57">
        <v>2070</v>
      </c>
      <c r="G42" s="85" t="s">
        <v>78</v>
      </c>
      <c r="H42" s="63">
        <v>10.8</v>
      </c>
      <c r="I42" s="57">
        <v>-129</v>
      </c>
      <c r="J42" s="57">
        <v>90</v>
      </c>
      <c r="K42" s="57">
        <v>90</v>
      </c>
      <c r="L42" s="57">
        <v>90</v>
      </c>
      <c r="M42" s="57">
        <v>27.5</v>
      </c>
      <c r="N42" s="63">
        <v>6.6</v>
      </c>
      <c r="O42" s="36">
        <v>0.77</v>
      </c>
      <c r="P42" s="57">
        <v>5</v>
      </c>
      <c r="Q42" s="63">
        <v>6.5</v>
      </c>
      <c r="R42" s="36">
        <v>0.08</v>
      </c>
      <c r="S42" s="36">
        <v>22.36</v>
      </c>
      <c r="T42" s="36">
        <v>0.88</v>
      </c>
      <c r="U42" s="36">
        <v>0.7</v>
      </c>
      <c r="V42" s="42">
        <f t="shared" si="18"/>
        <v>1555.0874999999999</v>
      </c>
      <c r="W42" s="42">
        <f t="shared" si="19"/>
        <v>1388.3137964800001</v>
      </c>
      <c r="X42" s="42">
        <f t="shared" si="20"/>
        <v>0.89275606451727008</v>
      </c>
      <c r="Y42" s="57">
        <v>3</v>
      </c>
      <c r="Z42" s="57">
        <v>4</v>
      </c>
      <c r="AA42" s="63">
        <v>6.56</v>
      </c>
      <c r="AB42" s="57">
        <v>17</v>
      </c>
      <c r="AC42" s="63">
        <v>6.2</v>
      </c>
      <c r="AD42" s="63">
        <v>4.2</v>
      </c>
      <c r="AE42" s="36">
        <v>0.09</v>
      </c>
      <c r="AF42" s="36">
        <v>0.1</v>
      </c>
      <c r="AG42" s="42">
        <f t="shared" si="0"/>
        <v>1555.0874999999999</v>
      </c>
      <c r="AH42" s="42">
        <f t="shared" si="21"/>
        <v>1664.09304776</v>
      </c>
      <c r="AI42" s="42">
        <f t="shared" si="22"/>
        <v>1.0700960864002831</v>
      </c>
      <c r="AJ42" s="57">
        <v>3</v>
      </c>
      <c r="AK42" s="57">
        <v>4</v>
      </c>
      <c r="AL42" s="63">
        <v>6.17</v>
      </c>
      <c r="AM42" s="57">
        <v>22</v>
      </c>
      <c r="AN42" s="63">
        <v>6.2</v>
      </c>
      <c r="AO42" s="63">
        <v>4.2</v>
      </c>
      <c r="AP42" s="36">
        <v>0.18</v>
      </c>
      <c r="AQ42" s="36">
        <v>0.28000000000000003</v>
      </c>
      <c r="AR42" s="73">
        <f t="shared" si="1"/>
        <v>2167</v>
      </c>
      <c r="AS42" s="75">
        <f t="shared" si="2"/>
        <v>0.14720812182741116</v>
      </c>
      <c r="AT42" s="75">
        <f t="shared" si="3"/>
        <v>0.73788647900323023</v>
      </c>
      <c r="AU42" s="75">
        <f t="shared" si="4"/>
        <v>0.11490539916935856</v>
      </c>
      <c r="AV42" s="26">
        <f t="shared" si="5"/>
        <v>6.5700483091787443E-2</v>
      </c>
      <c r="AW42" s="26">
        <f t="shared" si="6"/>
        <v>8.5024154589371986E-2</v>
      </c>
      <c r="AX42" s="24">
        <f t="shared" si="7"/>
        <v>0.63636363636363635</v>
      </c>
      <c r="AY42" s="24">
        <f t="shared" si="8"/>
        <v>0.87012987012987009</v>
      </c>
      <c r="AZ42" s="77" t="str">
        <f t="shared" si="9"/>
        <v>5,0 ≤ Alc. Bruta &lt; 7,5 mg/L</v>
      </c>
      <c r="BA42" s="77" t="str">
        <f t="shared" si="10"/>
        <v>5 ≤ Cor &lt; 10 uC</v>
      </c>
      <c r="BB42" s="78" t="str">
        <f t="shared" si="11"/>
        <v>Turbidez &lt; 2,5 uT</v>
      </c>
      <c r="BC42" s="79" t="str">
        <f t="shared" si="12"/>
        <v>SM &gt; TOR &gt; BNN</v>
      </c>
      <c r="BD42" s="78" t="str">
        <f t="shared" si="13"/>
        <v>Tipo 1 (≤0,25) uT</v>
      </c>
      <c r="BE42" s="78" t="str">
        <f t="shared" si="14"/>
        <v>Tipo 1 (≤0,25) uT</v>
      </c>
      <c r="BF42" s="78" t="str">
        <f t="shared" si="15"/>
        <v>Tipo 1 (≤0,25) uT</v>
      </c>
      <c r="BG42" s="78" t="str">
        <f t="shared" si="16"/>
        <v>Tipo 2 (0,25-0,50) uT</v>
      </c>
      <c r="BH42" s="78" t="str">
        <f t="shared" si="17"/>
        <v>Tipo 1 (≤0,25) uT</v>
      </c>
    </row>
    <row r="43" spans="1:60" x14ac:dyDescent="0.2">
      <c r="A43" s="31">
        <v>46263</v>
      </c>
      <c r="B43" s="80">
        <v>0.72916666666666663</v>
      </c>
      <c r="C43" s="57">
        <v>311</v>
      </c>
      <c r="D43" s="57">
        <v>995</v>
      </c>
      <c r="E43" s="57">
        <v>307</v>
      </c>
      <c r="F43" s="57">
        <v>1635</v>
      </c>
      <c r="G43" s="85" t="s">
        <v>78</v>
      </c>
      <c r="H43" s="63">
        <v>10.8</v>
      </c>
      <c r="I43" s="57">
        <v>-126</v>
      </c>
      <c r="J43" s="57">
        <v>90</v>
      </c>
      <c r="K43" s="57">
        <v>90</v>
      </c>
      <c r="L43" s="57">
        <v>90</v>
      </c>
      <c r="M43" s="57">
        <v>26.9</v>
      </c>
      <c r="N43" s="63">
        <v>6.5</v>
      </c>
      <c r="O43" s="36">
        <v>0.8</v>
      </c>
      <c r="P43" s="57">
        <v>5</v>
      </c>
      <c r="Q43" s="63">
        <v>6.1</v>
      </c>
      <c r="R43" s="36">
        <v>7.0000000000000007E-2</v>
      </c>
      <c r="S43" s="36">
        <v>22.36</v>
      </c>
      <c r="T43" s="36">
        <v>0.88</v>
      </c>
      <c r="U43" s="36">
        <v>0.7</v>
      </c>
      <c r="V43" s="42">
        <f t="shared" si="18"/>
        <v>1234.425</v>
      </c>
      <c r="W43" s="42">
        <f t="shared" si="19"/>
        <v>1385.6875473999999</v>
      </c>
      <c r="X43" s="42">
        <f t="shared" si="20"/>
        <v>1.1225368470340442</v>
      </c>
      <c r="Y43" s="57">
        <v>2</v>
      </c>
      <c r="Z43" s="57">
        <v>4</v>
      </c>
      <c r="AA43" s="63">
        <v>6.55</v>
      </c>
      <c r="AB43" s="57">
        <v>17</v>
      </c>
      <c r="AC43" s="63">
        <v>6.2</v>
      </c>
      <c r="AD43" s="63">
        <v>3.8</v>
      </c>
      <c r="AE43" s="36">
        <v>0.08</v>
      </c>
      <c r="AF43" s="36">
        <v>0.11</v>
      </c>
      <c r="AG43" s="42">
        <f t="shared" si="0"/>
        <v>1645.9</v>
      </c>
      <c r="AH43" s="42">
        <f t="shared" si="21"/>
        <v>1819.0818796799997</v>
      </c>
      <c r="AI43" s="42">
        <f t="shared" si="22"/>
        <v>1.1052201711404093</v>
      </c>
      <c r="AJ43" s="57">
        <v>2</v>
      </c>
      <c r="AK43" s="57">
        <v>3</v>
      </c>
      <c r="AL43" s="63">
        <v>6.18</v>
      </c>
      <c r="AM43" s="57">
        <v>24</v>
      </c>
      <c r="AN43" s="63">
        <v>6.3</v>
      </c>
      <c r="AO43" s="63">
        <v>4.3</v>
      </c>
      <c r="AP43" s="36">
        <v>0.1</v>
      </c>
      <c r="AQ43" s="36">
        <v>0.23</v>
      </c>
      <c r="AR43" s="73">
        <f t="shared" si="1"/>
        <v>1613</v>
      </c>
      <c r="AS43" s="75">
        <f t="shared" si="2"/>
        <v>0.19280843149411037</v>
      </c>
      <c r="AT43" s="75">
        <f t="shared" si="3"/>
        <v>0.61686298822070673</v>
      </c>
      <c r="AU43" s="75">
        <f t="shared" si="4"/>
        <v>0.1903285802851829</v>
      </c>
      <c r="AV43" s="26">
        <f t="shared" si="5"/>
        <v>8.3180428134556575E-2</v>
      </c>
      <c r="AW43" s="26">
        <f t="shared" si="6"/>
        <v>8.8073394495412849E-2</v>
      </c>
      <c r="AX43" s="24">
        <f t="shared" si="7"/>
        <v>0.71250000000000002</v>
      </c>
      <c r="AY43" s="24">
        <f t="shared" si="8"/>
        <v>0.86250000000000004</v>
      </c>
      <c r="AZ43" s="77" t="str">
        <f t="shared" si="9"/>
        <v>5,0 ≤ Alc. Bruta &lt; 7,5 mg/L</v>
      </c>
      <c r="BA43" s="77" t="str">
        <f t="shared" si="10"/>
        <v>5 ≤ Cor &lt; 10 uC</v>
      </c>
      <c r="BB43" s="78" t="str">
        <f t="shared" si="11"/>
        <v>Turbidez &lt; 2,5 uT</v>
      </c>
      <c r="BC43" s="79" t="str">
        <f t="shared" si="12"/>
        <v>SM &gt; TOR &gt; BNN</v>
      </c>
      <c r="BD43" s="78" t="str">
        <f t="shared" si="13"/>
        <v>Tipo 1 (≤0,25) uT</v>
      </c>
      <c r="BE43" s="78" t="str">
        <f t="shared" si="14"/>
        <v>Tipo 1 (≤0,25) uT</v>
      </c>
      <c r="BF43" s="78" t="str">
        <f t="shared" si="15"/>
        <v>Tipo 1 (≤0,25) uT</v>
      </c>
      <c r="BG43" s="78" t="str">
        <f t="shared" si="16"/>
        <v>Tipo 1 (≤0,25) uT</v>
      </c>
      <c r="BH43" s="78" t="str">
        <f t="shared" si="17"/>
        <v>Tipo 1 (≤0,25) uT</v>
      </c>
    </row>
    <row r="44" spans="1:60" x14ac:dyDescent="0.2">
      <c r="A44" s="31">
        <v>46263</v>
      </c>
      <c r="B44" s="80">
        <v>0.8125</v>
      </c>
      <c r="C44" s="57">
        <v>320</v>
      </c>
      <c r="D44" s="57">
        <v>934</v>
      </c>
      <c r="E44" s="57">
        <v>500</v>
      </c>
      <c r="F44" s="57">
        <v>1775</v>
      </c>
      <c r="G44" s="85" t="s">
        <v>78</v>
      </c>
      <c r="H44" s="63">
        <v>10.8</v>
      </c>
      <c r="I44" s="57">
        <v>-112</v>
      </c>
      <c r="J44" s="57">
        <v>90</v>
      </c>
      <c r="K44" s="57">
        <v>90</v>
      </c>
      <c r="L44" s="57">
        <v>90</v>
      </c>
      <c r="M44" s="57">
        <v>26.1</v>
      </c>
      <c r="N44" s="63">
        <v>6.5</v>
      </c>
      <c r="O44" s="36">
        <v>0.93</v>
      </c>
      <c r="P44" s="57">
        <v>6</v>
      </c>
      <c r="Q44" s="63">
        <v>6.2</v>
      </c>
      <c r="R44" s="36">
        <v>0.06</v>
      </c>
      <c r="S44" s="36">
        <v>22.36</v>
      </c>
      <c r="T44" s="36">
        <v>0.88</v>
      </c>
      <c r="U44" s="36">
        <v>0.7</v>
      </c>
      <c r="V44" s="42">
        <f t="shared" si="18"/>
        <v>1368.96875</v>
      </c>
      <c r="W44" s="42">
        <f t="shared" si="19"/>
        <v>1372.556302</v>
      </c>
      <c r="X44" s="42">
        <f t="shared" si="20"/>
        <v>1.0026206237359325</v>
      </c>
      <c r="Y44" s="57">
        <v>2</v>
      </c>
      <c r="Z44" s="57">
        <v>4</v>
      </c>
      <c r="AA44" s="63">
        <v>6.5</v>
      </c>
      <c r="AB44" s="57">
        <v>17</v>
      </c>
      <c r="AC44" s="63">
        <v>6.2</v>
      </c>
      <c r="AD44" s="63">
        <v>4</v>
      </c>
      <c r="AE44" s="36">
        <v>0.1</v>
      </c>
      <c r="AF44" s="36">
        <v>0.1</v>
      </c>
      <c r="AG44" s="42">
        <f t="shared" si="0"/>
        <v>1825.2916666666665</v>
      </c>
      <c r="AH44" s="42">
        <f t="shared" si="21"/>
        <v>1750.3931224</v>
      </c>
      <c r="AI44" s="42">
        <f t="shared" si="22"/>
        <v>0.95896625967539439</v>
      </c>
      <c r="AJ44" s="57">
        <v>2</v>
      </c>
      <c r="AK44" s="57">
        <v>3</v>
      </c>
      <c r="AL44" s="63">
        <v>6.2</v>
      </c>
      <c r="AM44" s="57">
        <v>23</v>
      </c>
      <c r="AN44" s="63">
        <v>6.2</v>
      </c>
      <c r="AO44" s="63">
        <v>4.0999999999999996</v>
      </c>
      <c r="AP44" s="36">
        <v>0.1</v>
      </c>
      <c r="AQ44" s="36">
        <v>0.2</v>
      </c>
      <c r="AR44" s="73">
        <f t="shared" si="1"/>
        <v>1754</v>
      </c>
      <c r="AS44" s="75">
        <f t="shared" si="2"/>
        <v>0.18244013683010263</v>
      </c>
      <c r="AT44" s="75">
        <f t="shared" si="3"/>
        <v>0.53249714937286208</v>
      </c>
      <c r="AU44" s="75">
        <f t="shared" si="4"/>
        <v>0.28506271379703535</v>
      </c>
      <c r="AV44" s="26">
        <f t="shared" si="5"/>
        <v>7.6619718309859156E-2</v>
      </c>
      <c r="AW44" s="26">
        <f t="shared" si="6"/>
        <v>7.7746478873239447E-2</v>
      </c>
      <c r="AX44" s="24">
        <f t="shared" si="7"/>
        <v>0.78494623655913975</v>
      </c>
      <c r="AY44" s="24">
        <f t="shared" si="8"/>
        <v>0.89247311827956988</v>
      </c>
      <c r="AZ44" s="77" t="str">
        <f t="shared" si="9"/>
        <v>5,0 ≤ Alc. Bruta &lt; 7,5 mg/L</v>
      </c>
      <c r="BA44" s="77" t="str">
        <f t="shared" si="10"/>
        <v>5 ≤ Cor &lt; 10 uC</v>
      </c>
      <c r="BB44" s="78" t="str">
        <f t="shared" si="11"/>
        <v>Turbidez &lt; 2,5 uT</v>
      </c>
      <c r="BC44" s="79" t="str">
        <f t="shared" si="12"/>
        <v>SM &gt; BNN &gt; TOR</v>
      </c>
      <c r="BD44" s="78" t="str">
        <f t="shared" si="13"/>
        <v>Tipo 1 (≤0,25) uT</v>
      </c>
      <c r="BE44" s="78" t="str">
        <f t="shared" si="14"/>
        <v>Tipo 1 (≤0,25) uT</v>
      </c>
      <c r="BF44" s="78" t="str">
        <f t="shared" si="15"/>
        <v>Tipo 1 (≤0,25) uT</v>
      </c>
      <c r="BG44" s="78" t="str">
        <f t="shared" si="16"/>
        <v>Tipo 1 (≤0,25) uT</v>
      </c>
      <c r="BH44" s="78" t="str">
        <f t="shared" si="17"/>
        <v>Tipo 1 (≤0,25) uT</v>
      </c>
    </row>
    <row r="45" spans="1:60" x14ac:dyDescent="0.2">
      <c r="A45" s="31">
        <v>46263</v>
      </c>
      <c r="B45" s="80">
        <v>0.89583333333333337</v>
      </c>
      <c r="C45" s="57">
        <v>381</v>
      </c>
      <c r="D45" s="57">
        <v>955</v>
      </c>
      <c r="E45" s="57">
        <v>500</v>
      </c>
      <c r="F45" s="57">
        <v>1775</v>
      </c>
      <c r="G45" s="85" t="s">
        <v>78</v>
      </c>
      <c r="H45" s="63">
        <v>10.8</v>
      </c>
      <c r="I45" s="57">
        <v>-107</v>
      </c>
      <c r="J45" s="57">
        <v>90</v>
      </c>
      <c r="K45" s="57">
        <v>90</v>
      </c>
      <c r="L45" s="57">
        <v>90</v>
      </c>
      <c r="M45" s="57">
        <v>25.5</v>
      </c>
      <c r="N45" s="63">
        <v>6.7</v>
      </c>
      <c r="O45" s="36">
        <v>0.75</v>
      </c>
      <c r="P45" s="57">
        <v>6</v>
      </c>
      <c r="Q45" s="63">
        <v>8.4</v>
      </c>
      <c r="R45" s="36">
        <v>0.06</v>
      </c>
      <c r="S45" s="36">
        <v>22.36</v>
      </c>
      <c r="T45" s="36">
        <v>0.88</v>
      </c>
      <c r="U45" s="36">
        <v>0.7</v>
      </c>
      <c r="V45" s="42">
        <f t="shared" si="18"/>
        <v>1329.03125</v>
      </c>
      <c r="W45" s="42">
        <f t="shared" si="19"/>
        <v>1372.556302</v>
      </c>
      <c r="X45" s="42">
        <f t="shared" si="20"/>
        <v>1.0327494571704015</v>
      </c>
      <c r="Y45" s="57">
        <v>2</v>
      </c>
      <c r="Z45" s="57">
        <v>4</v>
      </c>
      <c r="AA45" s="63">
        <v>6.5</v>
      </c>
      <c r="AB45" s="57">
        <v>17</v>
      </c>
      <c r="AC45" s="63">
        <v>6.4</v>
      </c>
      <c r="AD45" s="63">
        <v>4.0999999999999996</v>
      </c>
      <c r="AE45" s="36">
        <v>0.13</v>
      </c>
      <c r="AF45" s="36">
        <v>0.1</v>
      </c>
      <c r="AG45" s="42">
        <f t="shared" si="0"/>
        <v>1772.0416666666665</v>
      </c>
      <c r="AH45" s="42">
        <f t="shared" si="21"/>
        <v>1789.4207135999998</v>
      </c>
      <c r="AI45" s="42">
        <f t="shared" si="22"/>
        <v>1.0098073579533964</v>
      </c>
      <c r="AJ45" s="57">
        <v>2</v>
      </c>
      <c r="AK45" s="57">
        <v>3</v>
      </c>
      <c r="AL45" s="63">
        <v>6.1</v>
      </c>
      <c r="AM45" s="57">
        <v>24</v>
      </c>
      <c r="AN45" s="63">
        <v>6.5</v>
      </c>
      <c r="AO45" s="63">
        <v>4.0999999999999996</v>
      </c>
      <c r="AP45" s="36">
        <v>0.14000000000000001</v>
      </c>
      <c r="AQ45" s="36">
        <v>0.1</v>
      </c>
      <c r="AR45" s="73">
        <f t="shared" si="1"/>
        <v>1836</v>
      </c>
      <c r="AS45" s="75">
        <f t="shared" si="2"/>
        <v>0.20751633986928106</v>
      </c>
      <c r="AT45" s="75">
        <f t="shared" si="3"/>
        <v>0.52015250544662306</v>
      </c>
      <c r="AU45" s="75">
        <f t="shared" si="4"/>
        <v>0.27233115468409586</v>
      </c>
      <c r="AV45" s="26">
        <f t="shared" si="5"/>
        <v>7.6619718309859156E-2</v>
      </c>
      <c r="AW45" s="26">
        <f t="shared" si="6"/>
        <v>8.1126760563380293E-2</v>
      </c>
      <c r="AX45" s="24">
        <f t="shared" si="7"/>
        <v>0.8666666666666667</v>
      </c>
      <c r="AY45" s="24">
        <f t="shared" si="8"/>
        <v>0.8666666666666667</v>
      </c>
      <c r="AZ45" s="77" t="str">
        <f t="shared" si="9"/>
        <v>7,5 ≤ Alc. Bruta &lt; 10,0 mg/L</v>
      </c>
      <c r="BA45" s="77" t="str">
        <f t="shared" si="10"/>
        <v>5 ≤ Cor &lt; 10 uC</v>
      </c>
      <c r="BB45" s="78" t="str">
        <f t="shared" si="11"/>
        <v>Turbidez &lt; 2,5 uT</v>
      </c>
      <c r="BC45" s="79" t="str">
        <f t="shared" si="12"/>
        <v>SM &gt; BNN &gt; TOR</v>
      </c>
      <c r="BD45" s="78" t="str">
        <f t="shared" si="13"/>
        <v>Tipo 1 (≤0,25) uT</v>
      </c>
      <c r="BE45" s="78" t="str">
        <f t="shared" si="14"/>
        <v>Tipo 1 (≤0,25) uT</v>
      </c>
      <c r="BF45" s="78" t="str">
        <f t="shared" si="15"/>
        <v>Tipo 1 (≤0,25) uT</v>
      </c>
      <c r="BG45" s="78" t="str">
        <f t="shared" si="16"/>
        <v>Tipo 1 (≤0,25) uT</v>
      </c>
      <c r="BH45" s="78" t="str">
        <f t="shared" si="17"/>
        <v>Tipo 1 (≤0,25) uT</v>
      </c>
    </row>
    <row r="46" spans="1:60" x14ac:dyDescent="0.2">
      <c r="A46" s="31">
        <v>46263</v>
      </c>
      <c r="B46" s="80">
        <v>0.97916666666666663</v>
      </c>
      <c r="C46" s="57">
        <v>391</v>
      </c>
      <c r="D46" s="57">
        <v>970</v>
      </c>
      <c r="E46" s="57">
        <v>500</v>
      </c>
      <c r="F46" s="57">
        <v>1833</v>
      </c>
      <c r="G46" s="85" t="s">
        <v>78</v>
      </c>
      <c r="H46" s="63">
        <v>10.8</v>
      </c>
      <c r="I46" s="57">
        <v>-99</v>
      </c>
      <c r="J46" s="57">
        <v>90</v>
      </c>
      <c r="K46" s="57">
        <v>90</v>
      </c>
      <c r="L46" s="57">
        <v>90</v>
      </c>
      <c r="M46" s="57">
        <v>24.3</v>
      </c>
      <c r="N46" s="63">
        <v>6.6</v>
      </c>
      <c r="O46" s="36">
        <v>0.89</v>
      </c>
      <c r="P46" s="57">
        <v>6</v>
      </c>
      <c r="Q46" s="63">
        <v>8.1999999999999993</v>
      </c>
      <c r="R46" s="36">
        <v>0.06</v>
      </c>
      <c r="S46" s="36">
        <v>22.36</v>
      </c>
      <c r="T46" s="36">
        <v>0.88</v>
      </c>
      <c r="U46" s="36">
        <v>0.7</v>
      </c>
      <c r="V46" s="42">
        <f t="shared" si="18"/>
        <v>1404.5362499999999</v>
      </c>
      <c r="W46" s="42">
        <f t="shared" si="19"/>
        <v>1372.556302</v>
      </c>
      <c r="X46" s="42">
        <f t="shared" si="20"/>
        <v>0.9772309557692086</v>
      </c>
      <c r="Y46" s="57">
        <v>2</v>
      </c>
      <c r="Z46" s="57">
        <v>4</v>
      </c>
      <c r="AA46" s="63">
        <v>6.5</v>
      </c>
      <c r="AB46" s="57">
        <v>17</v>
      </c>
      <c r="AC46" s="63">
        <v>6.2</v>
      </c>
      <c r="AD46" s="63">
        <v>6.6</v>
      </c>
      <c r="AE46" s="36">
        <v>0.12</v>
      </c>
      <c r="AF46" s="36">
        <v>0.1</v>
      </c>
      <c r="AG46" s="42">
        <f t="shared" si="0"/>
        <v>1872.7149999999999</v>
      </c>
      <c r="AH46" s="42">
        <f t="shared" si="21"/>
        <v>1750.3931224</v>
      </c>
      <c r="AI46" s="42">
        <f t="shared" si="22"/>
        <v>0.93468206448925761</v>
      </c>
      <c r="AJ46" s="57">
        <v>2</v>
      </c>
      <c r="AK46" s="57">
        <v>3</v>
      </c>
      <c r="AL46" s="63">
        <v>6.2</v>
      </c>
      <c r="AM46" s="57">
        <v>23</v>
      </c>
      <c r="AN46" s="63">
        <v>6.4</v>
      </c>
      <c r="AO46" s="63">
        <v>6.3</v>
      </c>
      <c r="AP46" s="36">
        <v>0.17</v>
      </c>
      <c r="AQ46" s="36">
        <v>0.19</v>
      </c>
      <c r="AR46" s="73">
        <f t="shared" si="1"/>
        <v>1861</v>
      </c>
      <c r="AS46" s="75">
        <f t="shared" si="2"/>
        <v>0.21010209564750135</v>
      </c>
      <c r="AT46" s="75">
        <f t="shared" si="3"/>
        <v>0.52122514777001616</v>
      </c>
      <c r="AU46" s="75">
        <f t="shared" si="4"/>
        <v>0.26867275658248252</v>
      </c>
      <c r="AV46" s="26">
        <f t="shared" si="5"/>
        <v>7.4195308237861426E-2</v>
      </c>
      <c r="AW46" s="26">
        <f t="shared" si="6"/>
        <v>7.5286415711947621E-2</v>
      </c>
      <c r="AX46" s="24">
        <f t="shared" si="7"/>
        <v>0.7865168539325843</v>
      </c>
      <c r="AY46" s="24">
        <f t="shared" si="8"/>
        <v>0.88764044943820219</v>
      </c>
      <c r="AZ46" s="77" t="str">
        <f t="shared" si="9"/>
        <v>7,5 ≤ Alc. Bruta &lt; 10,0 mg/L</v>
      </c>
      <c r="BA46" s="77" t="str">
        <f t="shared" si="10"/>
        <v>5 ≤ Cor &lt; 10 uC</v>
      </c>
      <c r="BB46" s="78" t="str">
        <f t="shared" si="11"/>
        <v>Turbidez &lt; 2,5 uT</v>
      </c>
      <c r="BC46" s="79" t="str">
        <f t="shared" si="12"/>
        <v>SM &gt; BNN &gt; TOR</v>
      </c>
      <c r="BD46" s="78" t="str">
        <f t="shared" si="13"/>
        <v>Tipo 1 (≤0,25) uT</v>
      </c>
      <c r="BE46" s="78" t="str">
        <f t="shared" si="14"/>
        <v>Tipo 1 (≤0,25) uT</v>
      </c>
      <c r="BF46" s="78" t="str">
        <f t="shared" si="15"/>
        <v>Tipo 1 (≤0,25) uT</v>
      </c>
      <c r="BG46" s="78" t="str">
        <f t="shared" si="16"/>
        <v>Tipo 1 (≤0,25) uT</v>
      </c>
      <c r="BH46" s="78" t="str">
        <f t="shared" si="17"/>
        <v>Tipo 1 (≤0,25) uT</v>
      </c>
    </row>
    <row r="47" spans="1:60" x14ac:dyDescent="0.2">
      <c r="A47" s="31">
        <v>46264</v>
      </c>
      <c r="B47" s="80">
        <v>6.25E-2</v>
      </c>
      <c r="C47" s="57">
        <v>382</v>
      </c>
      <c r="D47" s="57">
        <v>967</v>
      </c>
      <c r="E47" s="57">
        <v>499</v>
      </c>
      <c r="F47" s="57">
        <v>1877</v>
      </c>
      <c r="G47" s="85" t="s">
        <v>78</v>
      </c>
      <c r="H47" s="63">
        <v>10.5</v>
      </c>
      <c r="I47" s="57">
        <v>-90</v>
      </c>
      <c r="J47" s="57">
        <v>90</v>
      </c>
      <c r="K47" s="57">
        <v>90</v>
      </c>
      <c r="L47" s="57">
        <v>90</v>
      </c>
      <c r="M47" s="57">
        <v>25.8</v>
      </c>
      <c r="N47" s="63">
        <v>6.6</v>
      </c>
      <c r="O47" s="36">
        <v>0.93</v>
      </c>
      <c r="P47" s="57">
        <v>7</v>
      </c>
      <c r="Q47" s="63">
        <v>9.1</v>
      </c>
      <c r="R47" s="36">
        <v>7.0000000000000007E-2</v>
      </c>
      <c r="S47" s="36">
        <v>22.36</v>
      </c>
      <c r="T47" s="36">
        <v>0.88</v>
      </c>
      <c r="U47" s="36">
        <v>0.7</v>
      </c>
      <c r="V47" s="42">
        <f t="shared" si="18"/>
        <v>1426.52</v>
      </c>
      <c r="W47" s="42">
        <f t="shared" si="19"/>
        <v>1372.556302</v>
      </c>
      <c r="X47" s="42">
        <f t="shared" si="20"/>
        <v>0.96217108908392446</v>
      </c>
      <c r="Y47" s="57">
        <v>2</v>
      </c>
      <c r="Z47" s="57">
        <v>4</v>
      </c>
      <c r="AA47" s="63">
        <v>6.5</v>
      </c>
      <c r="AB47" s="57">
        <v>17</v>
      </c>
      <c r="AC47" s="63">
        <v>6.2</v>
      </c>
      <c r="AD47" s="63">
        <v>7.1</v>
      </c>
      <c r="AE47" s="36">
        <v>0.11</v>
      </c>
      <c r="AF47" s="36">
        <v>0.1</v>
      </c>
      <c r="AG47" s="42">
        <f t="shared" si="0"/>
        <v>1902.0266666666666</v>
      </c>
      <c r="AH47" s="42">
        <f t="shared" si="21"/>
        <v>1750.3931224</v>
      </c>
      <c r="AI47" s="42">
        <f t="shared" si="22"/>
        <v>0.92027790833637102</v>
      </c>
      <c r="AJ47" s="57">
        <v>2</v>
      </c>
      <c r="AK47" s="57">
        <v>3</v>
      </c>
      <c r="AL47" s="63">
        <v>6.2</v>
      </c>
      <c r="AM47" s="57">
        <v>23</v>
      </c>
      <c r="AN47" s="63">
        <v>6.4</v>
      </c>
      <c r="AO47" s="63">
        <v>6.9</v>
      </c>
      <c r="AP47" s="36">
        <v>0.16</v>
      </c>
      <c r="AQ47" s="36">
        <v>0.16</v>
      </c>
      <c r="AR47" s="73">
        <f t="shared" si="1"/>
        <v>1848</v>
      </c>
      <c r="AS47" s="75">
        <f t="shared" si="2"/>
        <v>0.2067099567099567</v>
      </c>
      <c r="AT47" s="75">
        <f t="shared" si="3"/>
        <v>0.52326839826839822</v>
      </c>
      <c r="AU47" s="75">
        <f t="shared" si="4"/>
        <v>0.270021645021645</v>
      </c>
      <c r="AV47" s="26">
        <f t="shared" si="5"/>
        <v>7.2456046883324451E-2</v>
      </c>
      <c r="AW47" s="26">
        <f t="shared" si="6"/>
        <v>7.3521576984549822E-2</v>
      </c>
      <c r="AX47" s="24">
        <f t="shared" si="7"/>
        <v>0.82795698924731187</v>
      </c>
      <c r="AY47" s="24">
        <f t="shared" si="8"/>
        <v>0.89247311827956988</v>
      </c>
      <c r="AZ47" s="77" t="str">
        <f t="shared" si="9"/>
        <v>7,5 ≤ Alc. Bruta &lt; 10,0 mg/L</v>
      </c>
      <c r="BA47" s="77" t="str">
        <f t="shared" si="10"/>
        <v>5 ≤ Cor &lt; 10 uC</v>
      </c>
      <c r="BB47" s="78" t="str">
        <f t="shared" si="11"/>
        <v>Turbidez &lt; 2,5 uT</v>
      </c>
      <c r="BC47" s="79" t="str">
        <f t="shared" si="12"/>
        <v>SM &gt; BNN &gt; TOR</v>
      </c>
      <c r="BD47" s="78" t="str">
        <f t="shared" si="13"/>
        <v>Tipo 1 (≤0,25) uT</v>
      </c>
      <c r="BE47" s="78" t="str">
        <f t="shared" si="14"/>
        <v>Tipo 1 (≤0,25) uT</v>
      </c>
      <c r="BF47" s="78" t="str">
        <f t="shared" si="15"/>
        <v>Tipo 1 (≤0,25) uT</v>
      </c>
      <c r="BG47" s="78" t="str">
        <f t="shared" si="16"/>
        <v>Tipo 1 (≤0,25) uT</v>
      </c>
      <c r="BH47" s="78" t="str">
        <f t="shared" si="17"/>
        <v>Tipo 1 (≤0,25) uT</v>
      </c>
    </row>
    <row r="48" spans="1:60" x14ac:dyDescent="0.2">
      <c r="A48" s="31">
        <v>46264</v>
      </c>
      <c r="B48" s="80">
        <v>0.14583333333333334</v>
      </c>
      <c r="C48" s="57">
        <v>395</v>
      </c>
      <c r="D48" s="57">
        <v>777</v>
      </c>
      <c r="E48" s="57">
        <v>500</v>
      </c>
      <c r="F48" s="57">
        <v>1658</v>
      </c>
      <c r="G48" s="85" t="s">
        <v>78</v>
      </c>
      <c r="H48" s="63">
        <v>10.8</v>
      </c>
      <c r="I48" s="57">
        <v>-107</v>
      </c>
      <c r="J48" s="57">
        <v>90</v>
      </c>
      <c r="K48" s="57">
        <v>90</v>
      </c>
      <c r="L48" s="57">
        <v>90</v>
      </c>
      <c r="M48" s="57">
        <v>25.3</v>
      </c>
      <c r="N48" s="63">
        <v>6.6</v>
      </c>
      <c r="O48" s="36">
        <v>0.85</v>
      </c>
      <c r="P48" s="57">
        <v>5</v>
      </c>
      <c r="Q48" s="63">
        <v>8.4</v>
      </c>
      <c r="R48" s="36">
        <v>0.06</v>
      </c>
      <c r="S48" s="36">
        <v>22.36</v>
      </c>
      <c r="T48" s="36">
        <v>0.88</v>
      </c>
      <c r="U48" s="36">
        <v>0.7</v>
      </c>
      <c r="V48" s="42">
        <f t="shared" si="18"/>
        <v>1262.1524999999999</v>
      </c>
      <c r="W48" s="42">
        <f t="shared" si="19"/>
        <v>1372.556302</v>
      </c>
      <c r="X48" s="42">
        <f t="shared" si="20"/>
        <v>1.0874726326652286</v>
      </c>
      <c r="Y48" s="57">
        <v>2</v>
      </c>
      <c r="Z48" s="57">
        <v>4</v>
      </c>
      <c r="AA48" s="63">
        <v>6.5</v>
      </c>
      <c r="AB48" s="57">
        <v>17</v>
      </c>
      <c r="AC48" s="63">
        <v>6.3</v>
      </c>
      <c r="AD48" s="63">
        <v>7.6</v>
      </c>
      <c r="AE48" s="36">
        <v>0.16</v>
      </c>
      <c r="AF48" s="36">
        <v>0.1</v>
      </c>
      <c r="AG48" s="42">
        <f t="shared" si="0"/>
        <v>1682.87</v>
      </c>
      <c r="AH48" s="42">
        <f t="shared" si="21"/>
        <v>1714.8615171999998</v>
      </c>
      <c r="AI48" s="42">
        <f t="shared" si="22"/>
        <v>1.0190100941843399</v>
      </c>
      <c r="AJ48" s="57">
        <v>2</v>
      </c>
      <c r="AK48" s="57">
        <v>3</v>
      </c>
      <c r="AL48" s="63">
        <v>6.1</v>
      </c>
      <c r="AM48" s="57">
        <v>23</v>
      </c>
      <c r="AN48" s="63">
        <v>6.4</v>
      </c>
      <c r="AO48" s="63">
        <v>7.2</v>
      </c>
      <c r="AP48" s="36">
        <v>0.1</v>
      </c>
      <c r="AQ48" s="36">
        <v>0.16</v>
      </c>
      <c r="AR48" s="73">
        <f t="shared" si="1"/>
        <v>1672</v>
      </c>
      <c r="AS48" s="75">
        <f t="shared" si="2"/>
        <v>0.23624401913875598</v>
      </c>
      <c r="AT48" s="75">
        <f t="shared" si="3"/>
        <v>0.46471291866028708</v>
      </c>
      <c r="AU48" s="75">
        <f t="shared" si="4"/>
        <v>0.29904306220095694</v>
      </c>
      <c r="AV48" s="26">
        <f t="shared" si="5"/>
        <v>8.2026537997587454E-2</v>
      </c>
      <c r="AW48" s="26">
        <f t="shared" si="6"/>
        <v>8.3232810615199035E-2</v>
      </c>
      <c r="AX48" s="24">
        <f t="shared" si="7"/>
        <v>0.81176470588235294</v>
      </c>
      <c r="AY48" s="24">
        <f t="shared" si="8"/>
        <v>0.88235294117647056</v>
      </c>
      <c r="AZ48" s="77" t="str">
        <f t="shared" si="9"/>
        <v>7,5 ≤ Alc. Bruta &lt; 10,0 mg/L</v>
      </c>
      <c r="BA48" s="77" t="str">
        <f t="shared" si="10"/>
        <v>5 ≤ Cor &lt; 10 uC</v>
      </c>
      <c r="BB48" s="78" t="str">
        <f t="shared" si="11"/>
        <v>Turbidez &lt; 2,5 uT</v>
      </c>
      <c r="BC48" s="79" t="str">
        <f t="shared" si="12"/>
        <v>SM &gt; BNN &gt; TOR</v>
      </c>
      <c r="BD48" s="78" t="str">
        <f t="shared" si="13"/>
        <v>Tipo 1 (≤0,25) uT</v>
      </c>
      <c r="BE48" s="78" t="str">
        <f t="shared" si="14"/>
        <v>Tipo 1 (≤0,25) uT</v>
      </c>
      <c r="BF48" s="78" t="str">
        <f t="shared" si="15"/>
        <v>Tipo 1 (≤0,25) uT</v>
      </c>
      <c r="BG48" s="78" t="str">
        <f t="shared" si="16"/>
        <v>Tipo 1 (≤0,25) uT</v>
      </c>
      <c r="BH48" s="78" t="str">
        <f t="shared" si="17"/>
        <v>Tipo 1 (≤0,25) uT</v>
      </c>
    </row>
    <row r="49" spans="1:60" ht="15.75" thickBot="1" x14ac:dyDescent="0.25">
      <c r="A49" s="32">
        <v>46264</v>
      </c>
      <c r="B49" s="81">
        <v>0.22916666666666666</v>
      </c>
      <c r="C49" s="58">
        <v>372</v>
      </c>
      <c r="D49" s="58">
        <v>1106</v>
      </c>
      <c r="E49" s="58">
        <v>494</v>
      </c>
      <c r="F49" s="58">
        <v>1961</v>
      </c>
      <c r="G49" s="86" t="s">
        <v>78</v>
      </c>
      <c r="H49" s="64">
        <v>10.8</v>
      </c>
      <c r="I49" s="58">
        <v>-84</v>
      </c>
      <c r="J49" s="58">
        <v>90</v>
      </c>
      <c r="K49" s="58">
        <v>90</v>
      </c>
      <c r="L49" s="58">
        <v>90</v>
      </c>
      <c r="M49" s="58">
        <v>25.3</v>
      </c>
      <c r="N49" s="64">
        <v>6.6</v>
      </c>
      <c r="O49" s="37">
        <v>0.87</v>
      </c>
      <c r="P49" s="58">
        <v>5</v>
      </c>
      <c r="Q49" s="64">
        <v>10.7</v>
      </c>
      <c r="R49" s="37">
        <v>0.06</v>
      </c>
      <c r="S49" s="36">
        <v>22.36</v>
      </c>
      <c r="T49" s="36">
        <v>0.88</v>
      </c>
      <c r="U49" s="36">
        <v>0.7</v>
      </c>
      <c r="V49" s="42">
        <f t="shared" si="18"/>
        <v>1497.7137500000001</v>
      </c>
      <c r="W49" s="42">
        <f t="shared" si="19"/>
        <v>1372.556302</v>
      </c>
      <c r="X49" s="42">
        <f t="shared" si="20"/>
        <v>0.91643433332971658</v>
      </c>
      <c r="Y49" s="58">
        <v>2</v>
      </c>
      <c r="Z49" s="58">
        <v>4</v>
      </c>
      <c r="AA49" s="64">
        <v>6.5</v>
      </c>
      <c r="AB49" s="58">
        <v>17</v>
      </c>
      <c r="AC49" s="64">
        <v>6.3</v>
      </c>
      <c r="AD49" s="64">
        <v>7.7</v>
      </c>
      <c r="AE49" s="37">
        <v>0.2</v>
      </c>
      <c r="AF49" s="37">
        <v>0.1</v>
      </c>
      <c r="AG49" s="42">
        <f t="shared" si="0"/>
        <v>1996.9516666666666</v>
      </c>
      <c r="AH49" s="42">
        <f t="shared" si="21"/>
        <v>1750.3931224</v>
      </c>
      <c r="AI49" s="42">
        <f t="shared" si="22"/>
        <v>0.87653254288411253</v>
      </c>
      <c r="AJ49" s="58">
        <v>2</v>
      </c>
      <c r="AK49" s="58">
        <v>3</v>
      </c>
      <c r="AL49" s="64">
        <v>6.2</v>
      </c>
      <c r="AM49" s="58">
        <v>23</v>
      </c>
      <c r="AN49" s="64">
        <v>6.4</v>
      </c>
      <c r="AO49" s="64">
        <v>8.1</v>
      </c>
      <c r="AP49" s="37">
        <v>0.11</v>
      </c>
      <c r="AQ49" s="37">
        <v>0.19</v>
      </c>
      <c r="AR49" s="73">
        <f t="shared" si="1"/>
        <v>1972</v>
      </c>
      <c r="AS49" s="75">
        <f t="shared" si="2"/>
        <v>0.18864097363083165</v>
      </c>
      <c r="AT49" s="75">
        <f t="shared" si="3"/>
        <v>0.5608519269776876</v>
      </c>
      <c r="AU49" s="75">
        <f t="shared" si="4"/>
        <v>0.25050709939148075</v>
      </c>
      <c r="AV49" s="26">
        <f t="shared" si="5"/>
        <v>6.9352371239163699E-2</v>
      </c>
      <c r="AW49" s="26">
        <f t="shared" si="6"/>
        <v>7.0372259051504335E-2</v>
      </c>
      <c r="AX49" s="24">
        <f t="shared" si="7"/>
        <v>0.78160919540229878</v>
      </c>
      <c r="AY49" s="24">
        <f t="shared" si="8"/>
        <v>0.88505747126436785</v>
      </c>
      <c r="AZ49" s="77" t="str">
        <f t="shared" si="9"/>
        <v>10,0 ≤ Alca. Bruta &lt; 15,0 mg/L</v>
      </c>
      <c r="BA49" s="77" t="str">
        <f t="shared" si="10"/>
        <v>5 ≤ Cor &lt; 10 uC</v>
      </c>
      <c r="BB49" s="78" t="str">
        <f t="shared" si="11"/>
        <v>Turbidez &lt; 2,5 uT</v>
      </c>
      <c r="BC49" s="79" t="str">
        <f t="shared" si="12"/>
        <v>SM &gt; BNN &gt; TOR</v>
      </c>
      <c r="BD49" s="78" t="str">
        <f t="shared" si="13"/>
        <v>Tipo 1 (≤0,25) uT</v>
      </c>
      <c r="BE49" s="78" t="str">
        <f t="shared" si="14"/>
        <v>Tipo 1 (≤0,25) uT</v>
      </c>
      <c r="BF49" s="78" t="str">
        <f t="shared" si="15"/>
        <v>Tipo 1 (≤0,25) uT</v>
      </c>
      <c r="BG49" s="78" t="str">
        <f t="shared" si="16"/>
        <v>Tipo 1 (≤0,25) uT</v>
      </c>
      <c r="BH49" s="78" t="str">
        <f t="shared" si="17"/>
        <v>Tipo 1 (≤0,25) uT</v>
      </c>
    </row>
    <row r="50" spans="1:60" x14ac:dyDescent="0.2">
      <c r="A50" s="30">
        <v>46264</v>
      </c>
      <c r="B50" s="82">
        <v>0.3125</v>
      </c>
      <c r="C50" s="59">
        <v>274</v>
      </c>
      <c r="D50" s="59">
        <v>1103</v>
      </c>
      <c r="E50" s="59">
        <v>430</v>
      </c>
      <c r="F50" s="59">
        <v>1806</v>
      </c>
      <c r="G50" s="87" t="s">
        <v>78</v>
      </c>
      <c r="H50" s="65">
        <v>10.8</v>
      </c>
      <c r="I50" s="59">
        <v>-82.01</v>
      </c>
      <c r="J50" s="59">
        <v>90</v>
      </c>
      <c r="K50" s="59">
        <v>90</v>
      </c>
      <c r="L50" s="59">
        <v>90</v>
      </c>
      <c r="M50" s="59">
        <v>24.7</v>
      </c>
      <c r="N50" s="65">
        <v>6.6</v>
      </c>
      <c r="O50" s="38">
        <v>0.78</v>
      </c>
      <c r="P50" s="59">
        <v>5</v>
      </c>
      <c r="Q50" s="65">
        <v>8.5</v>
      </c>
      <c r="R50" s="38">
        <v>0.06</v>
      </c>
      <c r="S50" s="36">
        <v>22.36</v>
      </c>
      <c r="T50" s="36">
        <v>0.88</v>
      </c>
      <c r="U50" s="36">
        <v>0.7</v>
      </c>
      <c r="V50" s="42">
        <f t="shared" si="18"/>
        <v>1359.0150000000001</v>
      </c>
      <c r="W50" s="42">
        <f t="shared" si="19"/>
        <v>1372.556302</v>
      </c>
      <c r="X50" s="42">
        <f t="shared" si="20"/>
        <v>1.0099640563202024</v>
      </c>
      <c r="Y50" s="59">
        <v>2</v>
      </c>
      <c r="Z50" s="59">
        <v>4</v>
      </c>
      <c r="AA50" s="65">
        <v>6.5</v>
      </c>
      <c r="AB50" s="59">
        <v>17</v>
      </c>
      <c r="AC50" s="65">
        <v>6.3</v>
      </c>
      <c r="AD50" s="65">
        <v>5.9</v>
      </c>
      <c r="AE50" s="38">
        <v>0.09</v>
      </c>
      <c r="AF50" s="38">
        <v>0.1</v>
      </c>
      <c r="AG50" s="42">
        <f t="shared" si="0"/>
        <v>1812.0200000000002</v>
      </c>
      <c r="AH50" s="42">
        <f t="shared" si="21"/>
        <v>1750.3931224</v>
      </c>
      <c r="AI50" s="42">
        <f t="shared" si="22"/>
        <v>0.96598995728523962</v>
      </c>
      <c r="AJ50" s="59">
        <v>2</v>
      </c>
      <c r="AK50" s="59">
        <v>3</v>
      </c>
      <c r="AL50" s="65">
        <v>6.2</v>
      </c>
      <c r="AM50" s="59">
        <v>23</v>
      </c>
      <c r="AN50" s="65">
        <v>6.3</v>
      </c>
      <c r="AO50" s="65">
        <v>5.8</v>
      </c>
      <c r="AP50" s="38">
        <v>0.12</v>
      </c>
      <c r="AQ50" s="38">
        <v>0.16</v>
      </c>
      <c r="AR50" s="73">
        <f t="shared" si="1"/>
        <v>1807</v>
      </c>
      <c r="AS50" s="75">
        <f t="shared" si="2"/>
        <v>0.15163254012174876</v>
      </c>
      <c r="AT50" s="75">
        <f t="shared" si="3"/>
        <v>0.6104039845047039</v>
      </c>
      <c r="AU50" s="75">
        <f t="shared" si="4"/>
        <v>0.23796347537354731</v>
      </c>
      <c r="AV50" s="26">
        <f t="shared" si="5"/>
        <v>7.5304540420819494E-2</v>
      </c>
      <c r="AW50" s="26">
        <f t="shared" si="6"/>
        <v>7.6411960132890366E-2</v>
      </c>
      <c r="AX50" s="24">
        <f t="shared" si="7"/>
        <v>0.79487179487179493</v>
      </c>
      <c r="AY50" s="24">
        <f t="shared" si="8"/>
        <v>0.87179487179487181</v>
      </c>
      <c r="AZ50" s="77" t="str">
        <f t="shared" si="9"/>
        <v>7,5 ≤ Alc. Bruta &lt; 10,0 mg/L</v>
      </c>
      <c r="BA50" s="77" t="str">
        <f t="shared" si="10"/>
        <v>5 ≤ Cor &lt; 10 uC</v>
      </c>
      <c r="BB50" s="78" t="str">
        <f t="shared" si="11"/>
        <v>Turbidez &lt; 2,5 uT</v>
      </c>
      <c r="BC50" s="79" t="str">
        <f t="shared" si="12"/>
        <v>SM &gt; BNN &gt; TOR</v>
      </c>
      <c r="BD50" s="78" t="str">
        <f t="shared" si="13"/>
        <v>Tipo 1 (≤0,25) uT</v>
      </c>
      <c r="BE50" s="78" t="str">
        <f t="shared" si="14"/>
        <v>Tipo 1 (≤0,25) uT</v>
      </c>
      <c r="BF50" s="78" t="str">
        <f t="shared" si="15"/>
        <v>Tipo 1 (≤0,25) uT</v>
      </c>
      <c r="BG50" s="78" t="str">
        <f t="shared" si="16"/>
        <v>Tipo 1 (≤0,25) uT</v>
      </c>
      <c r="BH50" s="78" t="str">
        <f t="shared" si="17"/>
        <v>Tipo 1 (≤0,25) uT</v>
      </c>
    </row>
    <row r="51" spans="1:60" x14ac:dyDescent="0.2">
      <c r="A51" s="31">
        <v>46264</v>
      </c>
      <c r="B51" s="80">
        <v>0.39583333333333331</v>
      </c>
      <c r="C51" s="57">
        <v>260</v>
      </c>
      <c r="D51" s="57">
        <v>1025</v>
      </c>
      <c r="E51" s="57">
        <v>430</v>
      </c>
      <c r="F51" s="57">
        <v>1721</v>
      </c>
      <c r="G51" s="85" t="s">
        <v>78</v>
      </c>
      <c r="H51" s="63">
        <v>10.8</v>
      </c>
      <c r="I51" s="57">
        <v>-75.02</v>
      </c>
      <c r="J51" s="57">
        <v>90</v>
      </c>
      <c r="K51" s="57">
        <v>90</v>
      </c>
      <c r="L51" s="57">
        <v>90</v>
      </c>
      <c r="M51" s="57">
        <v>26.1</v>
      </c>
      <c r="N51" s="63">
        <v>6.6</v>
      </c>
      <c r="O51" s="36">
        <v>0.81</v>
      </c>
      <c r="P51" s="57">
        <v>5</v>
      </c>
      <c r="Q51" s="63">
        <v>8.1</v>
      </c>
      <c r="R51" s="36">
        <v>0.06</v>
      </c>
      <c r="S51" s="36">
        <v>22.36</v>
      </c>
      <c r="T51" s="36">
        <v>0.88</v>
      </c>
      <c r="U51" s="36">
        <v>0.7</v>
      </c>
      <c r="V51" s="42">
        <f t="shared" si="18"/>
        <v>1301.5062500000001</v>
      </c>
      <c r="W51" s="42">
        <f t="shared" si="19"/>
        <v>1372.556302</v>
      </c>
      <c r="X51" s="42">
        <f t="shared" si="20"/>
        <v>1.0545906345052125</v>
      </c>
      <c r="Y51" s="57">
        <v>2</v>
      </c>
      <c r="Z51" s="57">
        <v>4</v>
      </c>
      <c r="AA51" s="63">
        <v>6.5</v>
      </c>
      <c r="AB51" s="57">
        <v>17</v>
      </c>
      <c r="AC51" s="63">
        <v>6.3</v>
      </c>
      <c r="AD51" s="63">
        <v>5.8</v>
      </c>
      <c r="AE51" s="36">
        <v>0.09</v>
      </c>
      <c r="AF51" s="36">
        <v>0.1</v>
      </c>
      <c r="AG51" s="42">
        <f t="shared" si="0"/>
        <v>1735.3416666666667</v>
      </c>
      <c r="AH51" s="42">
        <f t="shared" si="21"/>
        <v>1785.9247275999996</v>
      </c>
      <c r="AI51" s="42">
        <f t="shared" si="22"/>
        <v>1.0291487618288424</v>
      </c>
      <c r="AJ51" s="57">
        <v>2</v>
      </c>
      <c r="AK51" s="57">
        <v>3</v>
      </c>
      <c r="AL51" s="63">
        <v>6.3</v>
      </c>
      <c r="AM51" s="57">
        <v>23</v>
      </c>
      <c r="AN51" s="63">
        <v>6.4</v>
      </c>
      <c r="AO51" s="63">
        <v>5.8</v>
      </c>
      <c r="AP51" s="36">
        <v>0.15</v>
      </c>
      <c r="AQ51" s="36">
        <v>0.19</v>
      </c>
      <c r="AR51" s="73">
        <f t="shared" si="1"/>
        <v>1715</v>
      </c>
      <c r="AS51" s="75">
        <f t="shared" si="2"/>
        <v>0.15160349854227406</v>
      </c>
      <c r="AT51" s="75">
        <f t="shared" si="3"/>
        <v>0.59766763848396498</v>
      </c>
      <c r="AU51" s="75">
        <f t="shared" si="4"/>
        <v>0.25072886297376096</v>
      </c>
      <c r="AV51" s="26">
        <f t="shared" si="5"/>
        <v>7.9023823358512491E-2</v>
      </c>
      <c r="AW51" s="26">
        <f t="shared" si="6"/>
        <v>8.0185938407902391E-2</v>
      </c>
      <c r="AX51" s="24">
        <f t="shared" si="7"/>
        <v>0.76543209876543217</v>
      </c>
      <c r="AY51" s="24">
        <f t="shared" si="8"/>
        <v>0.87654320987654322</v>
      </c>
      <c r="AZ51" s="77" t="str">
        <f t="shared" si="9"/>
        <v>7,5 ≤ Alc. Bruta &lt; 10,0 mg/L</v>
      </c>
      <c r="BA51" s="77" t="str">
        <f t="shared" si="10"/>
        <v>5 ≤ Cor &lt; 10 uC</v>
      </c>
      <c r="BB51" s="78" t="str">
        <f t="shared" si="11"/>
        <v>Turbidez &lt; 2,5 uT</v>
      </c>
      <c r="BC51" s="79" t="str">
        <f t="shared" si="12"/>
        <v>SM &gt; BNN &gt; TOR</v>
      </c>
      <c r="BD51" s="78" t="str">
        <f t="shared" si="13"/>
        <v>Tipo 1 (≤0,25) uT</v>
      </c>
      <c r="BE51" s="78" t="str">
        <f t="shared" si="14"/>
        <v>Tipo 1 (≤0,25) uT</v>
      </c>
      <c r="BF51" s="78" t="str">
        <f t="shared" si="15"/>
        <v>Tipo 1 (≤0,25) uT</v>
      </c>
      <c r="BG51" s="78" t="str">
        <f t="shared" si="16"/>
        <v>Tipo 1 (≤0,25) uT</v>
      </c>
      <c r="BH51" s="78" t="str">
        <f t="shared" si="17"/>
        <v>Tipo 1 (≤0,25) uT</v>
      </c>
    </row>
    <row r="52" spans="1:60" x14ac:dyDescent="0.2">
      <c r="A52" s="31">
        <v>46264</v>
      </c>
      <c r="B52" s="80">
        <v>0.47916666666666669</v>
      </c>
      <c r="C52" s="57">
        <v>257</v>
      </c>
      <c r="D52" s="57">
        <v>1682</v>
      </c>
      <c r="E52" s="57">
        <v>426</v>
      </c>
      <c r="F52" s="57">
        <v>1791</v>
      </c>
      <c r="G52" s="85" t="s">
        <v>78</v>
      </c>
      <c r="H52" s="63">
        <v>10.8</v>
      </c>
      <c r="I52" s="57">
        <v>-68.959999999999994</v>
      </c>
      <c r="J52" s="57">
        <v>90</v>
      </c>
      <c r="K52" s="57">
        <v>90</v>
      </c>
      <c r="L52" s="57">
        <v>90</v>
      </c>
      <c r="M52" s="57">
        <v>27.1</v>
      </c>
      <c r="N52" s="63">
        <v>6.6</v>
      </c>
      <c r="O52" s="36">
        <v>0.79</v>
      </c>
      <c r="P52" s="57">
        <v>5</v>
      </c>
      <c r="Q52" s="63">
        <v>9.3000000000000007</v>
      </c>
      <c r="R52" s="36">
        <v>0.06</v>
      </c>
      <c r="S52" s="36">
        <v>22.36</v>
      </c>
      <c r="T52" s="36">
        <v>0.88</v>
      </c>
      <c r="U52" s="36">
        <v>0.7</v>
      </c>
      <c r="V52" s="42">
        <f t="shared" si="18"/>
        <v>1349.9662499999999</v>
      </c>
      <c r="W52" s="42">
        <f t="shared" si="19"/>
        <v>1372.556302</v>
      </c>
      <c r="X52" s="42">
        <f t="shared" si="20"/>
        <v>1.0167337901966067</v>
      </c>
      <c r="Y52" s="57">
        <v>2</v>
      </c>
      <c r="Z52" s="57">
        <v>4</v>
      </c>
      <c r="AA52" s="63">
        <v>6.5</v>
      </c>
      <c r="AB52" s="57">
        <v>17</v>
      </c>
      <c r="AC52" s="63">
        <v>6.4</v>
      </c>
      <c r="AD52" s="63">
        <v>6.5</v>
      </c>
      <c r="AE52" s="36">
        <v>0.13</v>
      </c>
      <c r="AF52" s="36">
        <v>0.1</v>
      </c>
      <c r="AG52" s="42">
        <f t="shared" si="0"/>
        <v>1799.9550000000002</v>
      </c>
      <c r="AH52" s="42">
        <f t="shared" si="21"/>
        <v>1785.9247275999996</v>
      </c>
      <c r="AI52" s="42">
        <f t="shared" si="22"/>
        <v>0.99220520935245571</v>
      </c>
      <c r="AJ52" s="57">
        <v>2</v>
      </c>
      <c r="AK52" s="57">
        <v>3</v>
      </c>
      <c r="AL52" s="63">
        <v>6.3</v>
      </c>
      <c r="AM52" s="57">
        <v>23</v>
      </c>
      <c r="AN52" s="63">
        <v>6.3</v>
      </c>
      <c r="AO52" s="63">
        <v>6.3</v>
      </c>
      <c r="AP52" s="36">
        <v>0.16</v>
      </c>
      <c r="AQ52" s="36">
        <v>0.18</v>
      </c>
      <c r="AR52" s="73">
        <f t="shared" si="1"/>
        <v>2365</v>
      </c>
      <c r="AS52" s="75">
        <f t="shared" si="2"/>
        <v>0.10866807610993658</v>
      </c>
      <c r="AT52" s="75">
        <f t="shared" si="3"/>
        <v>0.71120507399577171</v>
      </c>
      <c r="AU52" s="75">
        <f t="shared" si="4"/>
        <v>0.18012684989429176</v>
      </c>
      <c r="AV52" s="26">
        <f t="shared" si="5"/>
        <v>7.5935231714126181E-2</v>
      </c>
      <c r="AW52" s="26">
        <f t="shared" si="6"/>
        <v>7.705192629815745E-2</v>
      </c>
      <c r="AX52" s="24">
        <f t="shared" si="7"/>
        <v>0.77215189873417722</v>
      </c>
      <c r="AY52" s="24">
        <f t="shared" si="8"/>
        <v>0.87341772151898733</v>
      </c>
      <c r="AZ52" s="77" t="str">
        <f t="shared" si="9"/>
        <v>7,5 ≤ Alc. Bruta &lt; 10,0 mg/L</v>
      </c>
      <c r="BA52" s="77" t="str">
        <f t="shared" si="10"/>
        <v>5 ≤ Cor &lt; 10 uC</v>
      </c>
      <c r="BB52" s="78" t="str">
        <f t="shared" si="11"/>
        <v>Turbidez &lt; 2,5 uT</v>
      </c>
      <c r="BC52" s="79" t="str">
        <f t="shared" si="12"/>
        <v>SM &gt; BNN &gt; TOR</v>
      </c>
      <c r="BD52" s="78" t="str">
        <f t="shared" si="13"/>
        <v>Tipo 1 (≤0,25) uT</v>
      </c>
      <c r="BE52" s="78" t="str">
        <f t="shared" si="14"/>
        <v>Tipo 1 (≤0,25) uT</v>
      </c>
      <c r="BF52" s="78" t="str">
        <f t="shared" si="15"/>
        <v>Tipo 1 (≤0,25) uT</v>
      </c>
      <c r="BG52" s="78" t="str">
        <f t="shared" si="16"/>
        <v>Tipo 1 (≤0,25) uT</v>
      </c>
      <c r="BH52" s="78" t="str">
        <f t="shared" si="17"/>
        <v>Tipo 1 (≤0,25) uT</v>
      </c>
    </row>
    <row r="53" spans="1:60" x14ac:dyDescent="0.2">
      <c r="A53" s="31">
        <v>46264</v>
      </c>
      <c r="B53" s="80">
        <v>0.5625</v>
      </c>
      <c r="C53" s="57">
        <v>259</v>
      </c>
      <c r="D53" s="57">
        <v>1083</v>
      </c>
      <c r="E53" s="57">
        <v>426</v>
      </c>
      <c r="F53" s="57">
        <v>1710</v>
      </c>
      <c r="G53" s="85" t="s">
        <v>78</v>
      </c>
      <c r="H53" s="63">
        <v>10.8</v>
      </c>
      <c r="I53" s="57">
        <v>-59.34</v>
      </c>
      <c r="J53" s="57">
        <v>90</v>
      </c>
      <c r="K53" s="57">
        <v>90</v>
      </c>
      <c r="L53" s="57">
        <v>90</v>
      </c>
      <c r="M53" s="57">
        <v>27.9</v>
      </c>
      <c r="N53" s="63">
        <v>6.7</v>
      </c>
      <c r="O53" s="36">
        <v>0.78</v>
      </c>
      <c r="P53" s="57">
        <v>5</v>
      </c>
      <c r="Q53" s="63">
        <v>8.9</v>
      </c>
      <c r="R53" s="36">
        <v>0.06</v>
      </c>
      <c r="S53" s="36">
        <v>22.36</v>
      </c>
      <c r="T53" s="36">
        <v>0.88</v>
      </c>
      <c r="U53" s="36">
        <v>0.7</v>
      </c>
      <c r="V53" s="42">
        <f t="shared" si="18"/>
        <v>1286.7750000000001</v>
      </c>
      <c r="W53" s="42">
        <f t="shared" si="19"/>
        <v>1372.556302</v>
      </c>
      <c r="X53" s="42">
        <f t="shared" si="20"/>
        <v>1.0666637928153717</v>
      </c>
      <c r="Y53" s="57">
        <v>2</v>
      </c>
      <c r="Z53" s="57">
        <v>4</v>
      </c>
      <c r="AA53" s="63">
        <v>6.5</v>
      </c>
      <c r="AB53" s="57">
        <v>17</v>
      </c>
      <c r="AC53" s="63">
        <v>6.4</v>
      </c>
      <c r="AD53" s="63">
        <v>6.3</v>
      </c>
      <c r="AE53" s="36">
        <v>0.13</v>
      </c>
      <c r="AF53" s="36">
        <v>0.09</v>
      </c>
      <c r="AG53" s="42">
        <f t="shared" si="0"/>
        <v>1715.7</v>
      </c>
      <c r="AH53" s="42">
        <f t="shared" si="21"/>
        <v>1750.3931224</v>
      </c>
      <c r="AI53" s="42">
        <f t="shared" si="22"/>
        <v>1.0202209724310778</v>
      </c>
      <c r="AJ53" s="57">
        <v>2</v>
      </c>
      <c r="AK53" s="57">
        <v>3</v>
      </c>
      <c r="AL53" s="63">
        <v>6.2</v>
      </c>
      <c r="AM53" s="57">
        <v>23</v>
      </c>
      <c r="AN53" s="63">
        <v>6.4</v>
      </c>
      <c r="AO53" s="63">
        <v>6.9</v>
      </c>
      <c r="AP53" s="36">
        <v>0.15</v>
      </c>
      <c r="AQ53" s="36">
        <v>0.18</v>
      </c>
      <c r="AR53" s="73">
        <f t="shared" si="1"/>
        <v>1768</v>
      </c>
      <c r="AS53" s="75">
        <f t="shared" si="2"/>
        <v>0.14649321266968326</v>
      </c>
      <c r="AT53" s="75">
        <f t="shared" si="3"/>
        <v>0.61255656108597289</v>
      </c>
      <c r="AU53" s="75">
        <f t="shared" si="4"/>
        <v>0.2409502262443439</v>
      </c>
      <c r="AV53" s="26">
        <f t="shared" si="5"/>
        <v>7.9532163742690065E-2</v>
      </c>
      <c r="AW53" s="26">
        <f t="shared" si="6"/>
        <v>8.0701754385964913E-2</v>
      </c>
      <c r="AX53" s="24">
        <f t="shared" si="7"/>
        <v>0.76923076923076927</v>
      </c>
      <c r="AY53" s="24">
        <f t="shared" si="8"/>
        <v>0.88461538461538458</v>
      </c>
      <c r="AZ53" s="77" t="str">
        <f t="shared" si="9"/>
        <v>7,5 ≤ Alc. Bruta &lt; 10,0 mg/L</v>
      </c>
      <c r="BA53" s="77" t="str">
        <f t="shared" si="10"/>
        <v>5 ≤ Cor &lt; 10 uC</v>
      </c>
      <c r="BB53" s="78" t="str">
        <f t="shared" si="11"/>
        <v>Turbidez &lt; 2,5 uT</v>
      </c>
      <c r="BC53" s="79" t="str">
        <f t="shared" si="12"/>
        <v>SM &gt; BNN &gt; TOR</v>
      </c>
      <c r="BD53" s="78" t="str">
        <f t="shared" si="13"/>
        <v>Tipo 1 (≤0,25) uT</v>
      </c>
      <c r="BE53" s="78" t="str">
        <f t="shared" si="14"/>
        <v>Tipo 1 (≤0,25) uT</v>
      </c>
      <c r="BF53" s="78" t="str">
        <f t="shared" si="15"/>
        <v>Tipo 1 (≤0,25) uT</v>
      </c>
      <c r="BG53" s="78" t="str">
        <f t="shared" si="16"/>
        <v>Tipo 1 (≤0,25) uT</v>
      </c>
      <c r="BH53" s="78" t="str">
        <f t="shared" si="17"/>
        <v>Tipo 1 (≤0,25) uT</v>
      </c>
    </row>
    <row r="54" spans="1:60" x14ac:dyDescent="0.2">
      <c r="A54" s="31">
        <v>46264</v>
      </c>
      <c r="B54" s="80">
        <v>0.64583333333333337</v>
      </c>
      <c r="C54" s="57">
        <v>272</v>
      </c>
      <c r="D54" s="57">
        <v>1084</v>
      </c>
      <c r="E54" s="57">
        <v>300</v>
      </c>
      <c r="F54" s="57">
        <v>1635</v>
      </c>
      <c r="G54" s="85" t="s">
        <v>78</v>
      </c>
      <c r="H54" s="63">
        <v>10.8</v>
      </c>
      <c r="I54" s="57">
        <v>-49.91</v>
      </c>
      <c r="J54" s="57">
        <v>90</v>
      </c>
      <c r="K54" s="57">
        <v>90</v>
      </c>
      <c r="L54" s="57">
        <v>90</v>
      </c>
      <c r="M54" s="57">
        <v>28.5</v>
      </c>
      <c r="N54" s="63">
        <v>6.6</v>
      </c>
      <c r="O54" s="36">
        <v>0.73</v>
      </c>
      <c r="P54" s="57">
        <v>3</v>
      </c>
      <c r="Q54" s="63">
        <v>9.3000000000000007</v>
      </c>
      <c r="R54" s="36">
        <v>0.06</v>
      </c>
      <c r="S54" s="36">
        <v>22.36</v>
      </c>
      <c r="T54" s="36">
        <v>0.88</v>
      </c>
      <c r="U54" s="36">
        <v>0.7</v>
      </c>
      <c r="V54" s="42">
        <f t="shared" si="18"/>
        <v>1220.1187500000001</v>
      </c>
      <c r="W54" s="42">
        <f t="shared" si="19"/>
        <v>1372.556302</v>
      </c>
      <c r="X54" s="42">
        <f t="shared" si="20"/>
        <v>1.1249366522725759</v>
      </c>
      <c r="Y54" s="57">
        <v>2</v>
      </c>
      <c r="Z54" s="57">
        <v>4</v>
      </c>
      <c r="AA54" s="63">
        <v>6.5</v>
      </c>
      <c r="AB54" s="57">
        <v>17</v>
      </c>
      <c r="AC54" s="63">
        <v>6.4</v>
      </c>
      <c r="AD54" s="63">
        <v>7.6</v>
      </c>
      <c r="AE54" s="36">
        <v>0.13</v>
      </c>
      <c r="AF54" s="36">
        <v>0.09</v>
      </c>
      <c r="AG54" s="42">
        <f t="shared" si="0"/>
        <v>1626.8250000000003</v>
      </c>
      <c r="AH54" s="42">
        <f t="shared" si="21"/>
        <v>1750.3931224</v>
      </c>
      <c r="AI54" s="42">
        <f t="shared" si="22"/>
        <v>1.0759566163539409</v>
      </c>
      <c r="AJ54" s="57">
        <v>2</v>
      </c>
      <c r="AK54" s="57">
        <v>3</v>
      </c>
      <c r="AL54" s="63">
        <v>6.2</v>
      </c>
      <c r="AM54" s="57">
        <v>23</v>
      </c>
      <c r="AN54" s="63">
        <v>6.4</v>
      </c>
      <c r="AO54" s="63">
        <v>8.1</v>
      </c>
      <c r="AP54" s="36">
        <v>0.12</v>
      </c>
      <c r="AQ54" s="36">
        <v>0.14000000000000001</v>
      </c>
      <c r="AR54" s="73">
        <f t="shared" si="1"/>
        <v>1656</v>
      </c>
      <c r="AS54" s="75">
        <f t="shared" si="2"/>
        <v>0.16425120772946861</v>
      </c>
      <c r="AT54" s="75">
        <f t="shared" si="3"/>
        <v>0.65458937198067635</v>
      </c>
      <c r="AU54" s="75">
        <f t="shared" si="4"/>
        <v>0.18115942028985507</v>
      </c>
      <c r="AV54" s="26">
        <f t="shared" si="5"/>
        <v>8.3180428134556575E-2</v>
      </c>
      <c r="AW54" s="26">
        <f t="shared" si="6"/>
        <v>8.4403669724770647E-2</v>
      </c>
      <c r="AX54" s="24">
        <f t="shared" si="7"/>
        <v>0.80821917808219179</v>
      </c>
      <c r="AY54" s="24">
        <f t="shared" si="8"/>
        <v>0.87671232876712324</v>
      </c>
      <c r="AZ54" s="77" t="str">
        <f t="shared" si="9"/>
        <v>7,5 ≤ Alc. Bruta &lt; 10,0 mg/L</v>
      </c>
      <c r="BA54" s="77" t="str">
        <f t="shared" si="10"/>
        <v>Cor &lt;5 uC</v>
      </c>
      <c r="BB54" s="78" t="str">
        <f t="shared" si="11"/>
        <v>Turbidez &lt; 2,5 uT</v>
      </c>
      <c r="BC54" s="79" t="str">
        <f t="shared" si="12"/>
        <v>SM &gt; BNN &gt; TOR</v>
      </c>
      <c r="BD54" s="78" t="str">
        <f t="shared" si="13"/>
        <v>Tipo 1 (≤0,25) uT</v>
      </c>
      <c r="BE54" s="78" t="str">
        <f t="shared" si="14"/>
        <v>Tipo 1 (≤0,25) uT</v>
      </c>
      <c r="BF54" s="78" t="str">
        <f t="shared" si="15"/>
        <v>Tipo 1 (≤0,25) uT</v>
      </c>
      <c r="BG54" s="78" t="str">
        <f t="shared" si="16"/>
        <v>Tipo 1 (≤0,25) uT</v>
      </c>
      <c r="BH54" s="78" t="str">
        <f t="shared" si="17"/>
        <v>Tipo 1 (≤0,25) uT</v>
      </c>
    </row>
    <row r="55" spans="1:60" x14ac:dyDescent="0.2">
      <c r="A55" s="31">
        <v>46264</v>
      </c>
      <c r="B55" s="80">
        <v>0.72916666666666663</v>
      </c>
      <c r="C55" s="57">
        <v>276</v>
      </c>
      <c r="D55" s="57">
        <v>1107</v>
      </c>
      <c r="E55" s="57">
        <v>300</v>
      </c>
      <c r="F55" s="57">
        <v>1656</v>
      </c>
      <c r="G55" s="85" t="s">
        <v>78</v>
      </c>
      <c r="H55" s="63">
        <v>10.8</v>
      </c>
      <c r="I55" s="57">
        <v>-43.29</v>
      </c>
      <c r="J55" s="57">
        <v>90</v>
      </c>
      <c r="K55" s="57">
        <v>90</v>
      </c>
      <c r="L55" s="57">
        <v>90</v>
      </c>
      <c r="M55" s="57">
        <v>28.4</v>
      </c>
      <c r="N55" s="63">
        <v>6.6</v>
      </c>
      <c r="O55" s="36">
        <v>0.81</v>
      </c>
      <c r="P55" s="57">
        <v>6</v>
      </c>
      <c r="Q55" s="63">
        <v>8.9</v>
      </c>
      <c r="R55" s="36">
        <v>0.06</v>
      </c>
      <c r="S55" s="36">
        <v>22.36</v>
      </c>
      <c r="T55" s="36">
        <v>0.88</v>
      </c>
      <c r="U55" s="36">
        <v>0.7</v>
      </c>
      <c r="V55" s="42">
        <f t="shared" si="18"/>
        <v>1252.3500000000001</v>
      </c>
      <c r="W55" s="42">
        <f t="shared" si="19"/>
        <v>1372.556302</v>
      </c>
      <c r="X55" s="42">
        <f t="shared" si="20"/>
        <v>1.0959845905697287</v>
      </c>
      <c r="Y55" s="57">
        <v>2</v>
      </c>
      <c r="Z55" s="57">
        <v>4</v>
      </c>
      <c r="AA55" s="63">
        <v>6.5</v>
      </c>
      <c r="AB55" s="57">
        <v>17</v>
      </c>
      <c r="AC55" s="63">
        <v>6.5</v>
      </c>
      <c r="AD55" s="63">
        <v>6.4</v>
      </c>
      <c r="AE55" s="36">
        <v>0.13</v>
      </c>
      <c r="AF55" s="36">
        <v>0.09</v>
      </c>
      <c r="AG55" s="42">
        <f t="shared" si="0"/>
        <v>1669.8000000000002</v>
      </c>
      <c r="AH55" s="42">
        <f t="shared" si="21"/>
        <v>1750.3931224</v>
      </c>
      <c r="AI55" s="42">
        <f t="shared" si="22"/>
        <v>1.0482651349862258</v>
      </c>
      <c r="AJ55" s="57">
        <v>2</v>
      </c>
      <c r="AK55" s="57">
        <v>3</v>
      </c>
      <c r="AL55" s="63">
        <v>6.2</v>
      </c>
      <c r="AM55" s="57">
        <v>23</v>
      </c>
      <c r="AN55" s="63">
        <v>6.4</v>
      </c>
      <c r="AO55" s="63">
        <v>6</v>
      </c>
      <c r="AP55" s="36">
        <v>0.13</v>
      </c>
      <c r="AQ55" s="36">
        <v>0.14000000000000001</v>
      </c>
      <c r="AR55" s="73">
        <f t="shared" si="1"/>
        <v>1683</v>
      </c>
      <c r="AS55" s="75">
        <f t="shared" si="2"/>
        <v>0.16399286987522282</v>
      </c>
      <c r="AT55" s="75">
        <f t="shared" si="3"/>
        <v>0.65775401069518713</v>
      </c>
      <c r="AU55" s="75">
        <f t="shared" si="4"/>
        <v>0.17825311942959002</v>
      </c>
      <c r="AV55" s="26">
        <f t="shared" si="5"/>
        <v>8.2125603864734303E-2</v>
      </c>
      <c r="AW55" s="26">
        <f t="shared" si="6"/>
        <v>8.3333333333333329E-2</v>
      </c>
      <c r="AX55" s="24">
        <f t="shared" si="7"/>
        <v>0.8271604938271605</v>
      </c>
      <c r="AY55" s="24">
        <f t="shared" si="8"/>
        <v>0.88888888888888884</v>
      </c>
      <c r="AZ55" s="77" t="str">
        <f t="shared" si="9"/>
        <v>7,5 ≤ Alc. Bruta &lt; 10,0 mg/L</v>
      </c>
      <c r="BA55" s="77" t="str">
        <f t="shared" si="10"/>
        <v>5 ≤ Cor &lt; 10 uC</v>
      </c>
      <c r="BB55" s="78" t="str">
        <f t="shared" si="11"/>
        <v>Turbidez &lt; 2,5 uT</v>
      </c>
      <c r="BC55" s="79" t="str">
        <f t="shared" si="12"/>
        <v>SM &gt; BNN &gt; TOR</v>
      </c>
      <c r="BD55" s="78" t="str">
        <f t="shared" si="13"/>
        <v>Tipo 1 (≤0,25) uT</v>
      </c>
      <c r="BE55" s="78" t="str">
        <f t="shared" si="14"/>
        <v>Tipo 1 (≤0,25) uT</v>
      </c>
      <c r="BF55" s="78" t="str">
        <f t="shared" si="15"/>
        <v>Tipo 1 (≤0,25) uT</v>
      </c>
      <c r="BG55" s="78" t="str">
        <f t="shared" si="16"/>
        <v>Tipo 1 (≤0,25) uT</v>
      </c>
      <c r="BH55" s="78" t="str">
        <f t="shared" si="17"/>
        <v>Tipo 1 (≤0,25) uT</v>
      </c>
    </row>
    <row r="56" spans="1:60" x14ac:dyDescent="0.2">
      <c r="A56" s="31">
        <v>46264</v>
      </c>
      <c r="B56" s="80">
        <v>0.8125</v>
      </c>
      <c r="C56" s="57">
        <v>332</v>
      </c>
      <c r="D56" s="57">
        <v>1056</v>
      </c>
      <c r="E56" s="57">
        <v>299</v>
      </c>
      <c r="F56" s="57">
        <v>1633</v>
      </c>
      <c r="G56" s="85" t="s">
        <v>78</v>
      </c>
      <c r="H56" s="63">
        <v>10.8</v>
      </c>
      <c r="I56" s="57">
        <v>-33.4</v>
      </c>
      <c r="J56" s="57">
        <v>90</v>
      </c>
      <c r="K56" s="57">
        <v>90</v>
      </c>
      <c r="L56" s="57">
        <v>90</v>
      </c>
      <c r="M56" s="57">
        <v>27.8</v>
      </c>
      <c r="N56" s="63">
        <v>6.8</v>
      </c>
      <c r="O56" s="36">
        <v>0.92</v>
      </c>
      <c r="P56" s="57">
        <v>6</v>
      </c>
      <c r="Q56" s="63">
        <v>7</v>
      </c>
      <c r="R56" s="36">
        <v>0.06</v>
      </c>
      <c r="S56" s="36">
        <v>22.36</v>
      </c>
      <c r="T56" s="36">
        <v>0.88</v>
      </c>
      <c r="U56" s="36">
        <v>0.7</v>
      </c>
      <c r="V56" s="42">
        <f t="shared" si="18"/>
        <v>1257.4100000000001</v>
      </c>
      <c r="W56" s="42">
        <f t="shared" si="19"/>
        <v>1372.556302</v>
      </c>
      <c r="X56" s="42">
        <f t="shared" si="20"/>
        <v>1.0915741898028486</v>
      </c>
      <c r="Y56" s="57">
        <v>2</v>
      </c>
      <c r="Z56" s="57">
        <v>4</v>
      </c>
      <c r="AA56" s="63">
        <v>6.5</v>
      </c>
      <c r="AB56" s="57">
        <v>17</v>
      </c>
      <c r="AC56" s="63">
        <v>6.4</v>
      </c>
      <c r="AD56" s="63">
        <v>5.6</v>
      </c>
      <c r="AE56" s="36">
        <v>0.09</v>
      </c>
      <c r="AF56" s="36">
        <v>0.09</v>
      </c>
      <c r="AG56" s="42">
        <f t="shared" si="0"/>
        <v>1676.5466666666669</v>
      </c>
      <c r="AH56" s="42">
        <f t="shared" si="21"/>
        <v>1750.3931224</v>
      </c>
      <c r="AI56" s="42">
        <f t="shared" si="22"/>
        <v>1.0440467642216937</v>
      </c>
      <c r="AJ56" s="57">
        <v>2</v>
      </c>
      <c r="AK56" s="57">
        <v>3</v>
      </c>
      <c r="AL56" s="63">
        <v>6.2</v>
      </c>
      <c r="AM56" s="57">
        <v>23</v>
      </c>
      <c r="AN56" s="63">
        <v>6.4</v>
      </c>
      <c r="AO56" s="63">
        <v>5.3</v>
      </c>
      <c r="AP56" s="36">
        <v>0.13</v>
      </c>
      <c r="AQ56" s="36">
        <v>0.13</v>
      </c>
      <c r="AR56" s="73">
        <f t="shared" si="1"/>
        <v>1687</v>
      </c>
      <c r="AS56" s="75">
        <f t="shared" si="2"/>
        <v>0.1967990515708358</v>
      </c>
      <c r="AT56" s="75">
        <f t="shared" si="3"/>
        <v>0.62596324836988737</v>
      </c>
      <c r="AU56" s="75">
        <f t="shared" si="4"/>
        <v>0.17723770005927683</v>
      </c>
      <c r="AV56" s="26">
        <f t="shared" si="5"/>
        <v>8.3282302510716472E-2</v>
      </c>
      <c r="AW56" s="26">
        <f t="shared" si="6"/>
        <v>8.4507042253521125E-2</v>
      </c>
      <c r="AX56" s="24">
        <f t="shared" si="7"/>
        <v>0.85869565217391308</v>
      </c>
      <c r="AY56" s="24">
        <f t="shared" si="8"/>
        <v>0.90217391304347827</v>
      </c>
      <c r="AZ56" s="77" t="str">
        <f t="shared" si="9"/>
        <v>5,0 ≤ Alc. Bruta &lt; 7,5 mg/L</v>
      </c>
      <c r="BA56" s="77" t="str">
        <f t="shared" si="10"/>
        <v>5 ≤ Cor &lt; 10 uC</v>
      </c>
      <c r="BB56" s="78" t="str">
        <f t="shared" si="11"/>
        <v>Turbidez &lt; 2,5 uT</v>
      </c>
      <c r="BC56" s="79" t="str">
        <f t="shared" si="12"/>
        <v>SM &gt; TOR &gt; BNN</v>
      </c>
      <c r="BD56" s="78" t="str">
        <f t="shared" si="13"/>
        <v>Tipo 1 (≤0,25) uT</v>
      </c>
      <c r="BE56" s="78" t="str">
        <f t="shared" si="14"/>
        <v>Tipo 1 (≤0,25) uT</v>
      </c>
      <c r="BF56" s="78" t="str">
        <f t="shared" si="15"/>
        <v>Tipo 1 (≤0,25) uT</v>
      </c>
      <c r="BG56" s="78" t="str">
        <f t="shared" si="16"/>
        <v>Tipo 1 (≤0,25) uT</v>
      </c>
      <c r="BH56" s="78" t="str">
        <f t="shared" si="17"/>
        <v>Tipo 1 (≤0,25) uT</v>
      </c>
    </row>
    <row r="57" spans="1:60" x14ac:dyDescent="0.2">
      <c r="A57" s="31">
        <v>46264</v>
      </c>
      <c r="B57" s="80">
        <v>0.89583333333333337</v>
      </c>
      <c r="C57" s="57">
        <v>349</v>
      </c>
      <c r="D57" s="57">
        <v>1579</v>
      </c>
      <c r="E57" s="57">
        <v>250</v>
      </c>
      <c r="F57" s="57">
        <v>2154</v>
      </c>
      <c r="G57" s="85" t="s">
        <v>78</v>
      </c>
      <c r="H57" s="63">
        <v>10.8</v>
      </c>
      <c r="I57" s="57">
        <v>-17.5</v>
      </c>
      <c r="J57" s="57">
        <v>90</v>
      </c>
      <c r="K57" s="57">
        <v>90</v>
      </c>
      <c r="L57" s="57">
        <v>90</v>
      </c>
      <c r="M57" s="57">
        <v>26.9</v>
      </c>
      <c r="N57" s="63">
        <v>6.5</v>
      </c>
      <c r="O57" s="36">
        <v>0.88</v>
      </c>
      <c r="P57" s="57">
        <v>5</v>
      </c>
      <c r="Q57" s="63">
        <v>6.9</v>
      </c>
      <c r="R57" s="36">
        <v>0.06</v>
      </c>
      <c r="S57" s="36">
        <v>22.36</v>
      </c>
      <c r="T57" s="36">
        <v>0.88</v>
      </c>
      <c r="U57" s="36">
        <v>0.7</v>
      </c>
      <c r="V57" s="42">
        <f t="shared" si="18"/>
        <v>1647.81</v>
      </c>
      <c r="W57" s="42">
        <f t="shared" si="19"/>
        <v>1372.556302</v>
      </c>
      <c r="X57" s="42">
        <f t="shared" si="20"/>
        <v>0.83295786650159909</v>
      </c>
      <c r="Y57" s="57">
        <v>3</v>
      </c>
      <c r="Z57" s="57">
        <v>4</v>
      </c>
      <c r="AA57" s="63">
        <v>6.5</v>
      </c>
      <c r="AB57" s="57">
        <v>17</v>
      </c>
      <c r="AC57" s="63">
        <v>6.4</v>
      </c>
      <c r="AD57" s="63">
        <v>4.5999999999999996</v>
      </c>
      <c r="AE57" s="36">
        <v>0.2</v>
      </c>
      <c r="AF57" s="36">
        <v>0.09</v>
      </c>
      <c r="AG57" s="42">
        <f t="shared" si="0"/>
        <v>1647.81</v>
      </c>
      <c r="AH57" s="42">
        <f t="shared" si="21"/>
        <v>1785.9247275999996</v>
      </c>
      <c r="AI57" s="42">
        <f t="shared" si="22"/>
        <v>1.0838171437240942</v>
      </c>
      <c r="AJ57" s="57">
        <v>3</v>
      </c>
      <c r="AK57" s="57">
        <v>4</v>
      </c>
      <c r="AL57" s="63">
        <v>6.3</v>
      </c>
      <c r="AM57" s="57">
        <v>23</v>
      </c>
      <c r="AN57" s="63">
        <v>6.2</v>
      </c>
      <c r="AO57" s="63">
        <v>5.5</v>
      </c>
      <c r="AP57" s="36">
        <v>0.26</v>
      </c>
      <c r="AQ57" s="36">
        <v>0.17</v>
      </c>
      <c r="AR57" s="73">
        <f t="shared" si="1"/>
        <v>2178</v>
      </c>
      <c r="AS57" s="75">
        <f t="shared" si="2"/>
        <v>0.16023875114784206</v>
      </c>
      <c r="AT57" s="75">
        <f t="shared" si="3"/>
        <v>0.72497704315886136</v>
      </c>
      <c r="AU57" s="75">
        <f t="shared" si="4"/>
        <v>0.1147842056932966</v>
      </c>
      <c r="AV57" s="26">
        <f t="shared" si="5"/>
        <v>6.313834726090993E-2</v>
      </c>
      <c r="AW57" s="26">
        <f t="shared" si="6"/>
        <v>8.5422469823584035E-2</v>
      </c>
      <c r="AX57" s="24">
        <f t="shared" si="7"/>
        <v>0.80681818181818177</v>
      </c>
      <c r="AY57" s="24">
        <f t="shared" si="8"/>
        <v>0.89772727272727271</v>
      </c>
      <c r="AZ57" s="77" t="str">
        <f t="shared" si="9"/>
        <v>5,0 ≤ Alc. Bruta &lt; 7,5 mg/L</v>
      </c>
      <c r="BA57" s="77" t="str">
        <f t="shared" si="10"/>
        <v>5 ≤ Cor &lt; 10 uC</v>
      </c>
      <c r="BB57" s="78" t="str">
        <f t="shared" si="11"/>
        <v>Turbidez &lt; 2,5 uT</v>
      </c>
      <c r="BC57" s="79" t="str">
        <f t="shared" si="12"/>
        <v>SM &gt; TOR &gt; BNN</v>
      </c>
      <c r="BD57" s="78" t="str">
        <f t="shared" si="13"/>
        <v>Tipo 1 (≤0,25) uT</v>
      </c>
      <c r="BE57" s="78" t="str">
        <f t="shared" si="14"/>
        <v>Tipo 2 (0,25-0,50) uT</v>
      </c>
      <c r="BF57" s="78" t="str">
        <f t="shared" si="15"/>
        <v>Tipo 1 (≤0,25) uT</v>
      </c>
      <c r="BG57" s="78" t="str">
        <f t="shared" si="16"/>
        <v>Tipo 1 (≤0,25) uT</v>
      </c>
      <c r="BH57" s="78" t="str">
        <f t="shared" si="17"/>
        <v>Tipo 1 (≤0,25) uT</v>
      </c>
    </row>
    <row r="58" spans="1:60" x14ac:dyDescent="0.2">
      <c r="A58" s="31">
        <v>46264</v>
      </c>
      <c r="B58" s="80">
        <v>0.97916666666666663</v>
      </c>
      <c r="C58" s="57">
        <v>363</v>
      </c>
      <c r="D58" s="57">
        <v>1572</v>
      </c>
      <c r="E58" s="57">
        <v>250</v>
      </c>
      <c r="F58" s="57">
        <v>2150</v>
      </c>
      <c r="G58" s="85" t="s">
        <v>78</v>
      </c>
      <c r="H58" s="63">
        <v>10.8</v>
      </c>
      <c r="I58" s="57">
        <v>-14.93</v>
      </c>
      <c r="J58" s="57">
        <v>90</v>
      </c>
      <c r="K58" s="57">
        <v>90</v>
      </c>
      <c r="L58" s="57">
        <v>90</v>
      </c>
      <c r="M58" s="57">
        <v>26.2</v>
      </c>
      <c r="N58" s="63">
        <v>6.6</v>
      </c>
      <c r="O58" s="36">
        <v>0.83</v>
      </c>
      <c r="P58" s="57">
        <v>5</v>
      </c>
      <c r="Q58" s="63">
        <v>6.7</v>
      </c>
      <c r="R58" s="36">
        <v>0.06</v>
      </c>
      <c r="S58" s="36">
        <v>22.36</v>
      </c>
      <c r="T58" s="36">
        <v>0.88</v>
      </c>
      <c r="U58" s="36">
        <v>0.7</v>
      </c>
      <c r="V58" s="42">
        <f t="shared" si="18"/>
        <v>1631.3125</v>
      </c>
      <c r="W58" s="42">
        <f t="shared" si="19"/>
        <v>1372.556302</v>
      </c>
      <c r="X58" s="42">
        <f t="shared" si="20"/>
        <v>0.84138158813838548</v>
      </c>
      <c r="Y58" s="57">
        <v>3</v>
      </c>
      <c r="Z58" s="57">
        <v>4</v>
      </c>
      <c r="AA58" s="63">
        <v>6.5</v>
      </c>
      <c r="AB58" s="57">
        <v>17</v>
      </c>
      <c r="AC58" s="63">
        <v>6.4</v>
      </c>
      <c r="AD58" s="63">
        <v>4.8</v>
      </c>
      <c r="AE58" s="36">
        <v>0.11</v>
      </c>
      <c r="AF58" s="36">
        <v>0.08</v>
      </c>
      <c r="AG58" s="42">
        <f t="shared" si="0"/>
        <v>1631.3125</v>
      </c>
      <c r="AH58" s="42">
        <f t="shared" si="21"/>
        <v>1785.9247275999996</v>
      </c>
      <c r="AI58" s="42">
        <f t="shared" si="22"/>
        <v>1.0947778108731463</v>
      </c>
      <c r="AJ58" s="57">
        <v>3</v>
      </c>
      <c r="AK58" s="57">
        <v>4</v>
      </c>
      <c r="AL58" s="63">
        <v>6.3</v>
      </c>
      <c r="AM58" s="57">
        <v>23</v>
      </c>
      <c r="AN58" s="63">
        <v>6.3</v>
      </c>
      <c r="AO58" s="63">
        <v>5.6</v>
      </c>
      <c r="AP58" s="36">
        <v>0.14000000000000001</v>
      </c>
      <c r="AQ58" s="36">
        <v>0.14000000000000001</v>
      </c>
      <c r="AR58" s="73">
        <f t="shared" si="1"/>
        <v>2185</v>
      </c>
      <c r="AS58" s="75">
        <f t="shared" si="2"/>
        <v>0.16613272311212815</v>
      </c>
      <c r="AT58" s="75">
        <f t="shared" si="3"/>
        <v>0.71945080091533176</v>
      </c>
      <c r="AU58" s="75">
        <f t="shared" si="4"/>
        <v>0.11441647597254005</v>
      </c>
      <c r="AV58" s="26">
        <f t="shared" si="5"/>
        <v>6.3255813953488366E-2</v>
      </c>
      <c r="AW58" s="26">
        <f t="shared" si="6"/>
        <v>8.5581395348837214E-2</v>
      </c>
      <c r="AX58" s="24">
        <f t="shared" si="7"/>
        <v>0.83132530120481929</v>
      </c>
      <c r="AY58" s="24">
        <f t="shared" si="8"/>
        <v>0.90361445783132532</v>
      </c>
      <c r="AZ58" s="77" t="str">
        <f t="shared" si="9"/>
        <v>5,0 ≤ Alc. Bruta &lt; 7,5 mg/L</v>
      </c>
      <c r="BA58" s="77" t="str">
        <f t="shared" si="10"/>
        <v>5 ≤ Cor &lt; 10 uC</v>
      </c>
      <c r="BB58" s="78" t="str">
        <f t="shared" si="11"/>
        <v>Turbidez &lt; 2,5 uT</v>
      </c>
      <c r="BC58" s="79" t="str">
        <f t="shared" si="12"/>
        <v>SM &gt; TOR &gt; BNN</v>
      </c>
      <c r="BD58" s="78" t="str">
        <f t="shared" si="13"/>
        <v>Tipo 1 (≤0,25) uT</v>
      </c>
      <c r="BE58" s="78" t="str">
        <f t="shared" si="14"/>
        <v>Tipo 1 (≤0,25) uT</v>
      </c>
      <c r="BF58" s="78" t="str">
        <f t="shared" si="15"/>
        <v>Tipo 1 (≤0,25) uT</v>
      </c>
      <c r="BG58" s="78" t="str">
        <f t="shared" si="16"/>
        <v>Tipo 1 (≤0,25) uT</v>
      </c>
      <c r="BH58" s="78" t="str">
        <f t="shared" si="17"/>
        <v>Tipo 1 (≤0,25) uT</v>
      </c>
    </row>
    <row r="59" spans="1:60" x14ac:dyDescent="0.2">
      <c r="A59" s="31">
        <v>46265</v>
      </c>
      <c r="B59" s="80">
        <v>0.14583333333333334</v>
      </c>
      <c r="C59" s="57">
        <v>348</v>
      </c>
      <c r="D59" s="57">
        <v>1525</v>
      </c>
      <c r="E59" s="57">
        <v>250</v>
      </c>
      <c r="F59" s="57">
        <v>2142</v>
      </c>
      <c r="G59" s="85" t="s">
        <v>78</v>
      </c>
      <c r="H59" s="63">
        <v>9.8000000000000007</v>
      </c>
      <c r="I59" s="57">
        <v>-48.1</v>
      </c>
      <c r="J59" s="57">
        <v>90</v>
      </c>
      <c r="K59" s="57">
        <v>90</v>
      </c>
      <c r="L59" s="57">
        <v>90</v>
      </c>
      <c r="M59" s="57">
        <v>25.8</v>
      </c>
      <c r="N59" s="63">
        <v>6.5</v>
      </c>
      <c r="O59" s="36">
        <v>0.78</v>
      </c>
      <c r="P59" s="57">
        <v>5</v>
      </c>
      <c r="Q59" s="63">
        <v>6.8</v>
      </c>
      <c r="R59" s="36">
        <v>0.06</v>
      </c>
      <c r="S59" s="36">
        <v>22.36</v>
      </c>
      <c r="T59" s="36">
        <v>0.88</v>
      </c>
      <c r="U59" s="36">
        <v>0.7</v>
      </c>
      <c r="V59" s="42">
        <f t="shared" si="18"/>
        <v>1531.53</v>
      </c>
      <c r="W59" s="42">
        <f t="shared" si="19"/>
        <v>1372.556302</v>
      </c>
      <c r="X59" s="42">
        <f t="shared" si="20"/>
        <v>0.89619942279942277</v>
      </c>
      <c r="Y59" s="57">
        <v>3</v>
      </c>
      <c r="Z59" s="57">
        <v>4</v>
      </c>
      <c r="AA59" s="63">
        <v>6.5</v>
      </c>
      <c r="AB59" s="57">
        <v>17</v>
      </c>
      <c r="AC59" s="63">
        <v>6.2</v>
      </c>
      <c r="AD59" s="63">
        <v>5.2</v>
      </c>
      <c r="AE59" s="36">
        <v>0.12</v>
      </c>
      <c r="AF59" s="36">
        <v>0.08</v>
      </c>
      <c r="AG59" s="42">
        <f t="shared" si="0"/>
        <v>1531.53</v>
      </c>
      <c r="AH59" s="42">
        <f t="shared" si="21"/>
        <v>1750.3931224</v>
      </c>
      <c r="AI59" s="42">
        <f t="shared" si="22"/>
        <v>1.1429048875307699</v>
      </c>
      <c r="AJ59" s="57">
        <v>3</v>
      </c>
      <c r="AK59" s="57">
        <v>4</v>
      </c>
      <c r="AL59" s="63">
        <v>6.2</v>
      </c>
      <c r="AM59" s="57">
        <v>23</v>
      </c>
      <c r="AN59" s="63">
        <v>6.1</v>
      </c>
      <c r="AO59" s="63">
        <v>5.2</v>
      </c>
      <c r="AP59" s="36">
        <v>0.13</v>
      </c>
      <c r="AQ59" s="36">
        <v>0.17</v>
      </c>
      <c r="AR59" s="73">
        <f t="shared" si="1"/>
        <v>2123</v>
      </c>
      <c r="AS59" s="75">
        <f t="shared" si="2"/>
        <v>0.16391898257183232</v>
      </c>
      <c r="AT59" s="75">
        <f t="shared" si="3"/>
        <v>0.71832312764955253</v>
      </c>
      <c r="AU59" s="75">
        <f t="shared" si="4"/>
        <v>0.11775788977861516</v>
      </c>
      <c r="AV59" s="26">
        <f t="shared" si="5"/>
        <v>6.3492063492063489E-2</v>
      </c>
      <c r="AW59" s="26">
        <f t="shared" si="6"/>
        <v>8.5901027077497666E-2</v>
      </c>
      <c r="AX59" s="24">
        <f t="shared" si="7"/>
        <v>0.78205128205128205</v>
      </c>
      <c r="AY59" s="24">
        <f t="shared" si="8"/>
        <v>0.89743589743589747</v>
      </c>
      <c r="AZ59" s="77" t="str">
        <f t="shared" si="9"/>
        <v>5,0 ≤ Alc. Bruta &lt; 7,5 mg/L</v>
      </c>
      <c r="BA59" s="77" t="str">
        <f t="shared" si="10"/>
        <v>5 ≤ Cor &lt; 10 uC</v>
      </c>
      <c r="BB59" s="78" t="str">
        <f t="shared" si="11"/>
        <v>Turbidez &lt; 2,5 uT</v>
      </c>
      <c r="BC59" s="79" t="str">
        <f t="shared" si="12"/>
        <v>SM &gt; TOR &gt; BNN</v>
      </c>
      <c r="BD59" s="78" t="str">
        <f t="shared" si="13"/>
        <v>Tipo 1 (≤0,25) uT</v>
      </c>
      <c r="BE59" s="78" t="str">
        <f t="shared" si="14"/>
        <v>Tipo 1 (≤0,25) uT</v>
      </c>
      <c r="BF59" s="78" t="str">
        <f t="shared" si="15"/>
        <v>Tipo 1 (≤0,25) uT</v>
      </c>
      <c r="BG59" s="78" t="str">
        <f t="shared" si="16"/>
        <v>Tipo 1 (≤0,25) uT</v>
      </c>
      <c r="BH59" s="78" t="str">
        <f t="shared" si="17"/>
        <v>Tipo 1 (≤0,25) uT</v>
      </c>
    </row>
    <row r="60" spans="1:60" ht="15.75" thickBot="1" x14ac:dyDescent="0.25">
      <c r="A60" s="32">
        <v>46265</v>
      </c>
      <c r="B60" s="81">
        <v>0.22916666666666666</v>
      </c>
      <c r="C60" s="58">
        <v>332</v>
      </c>
      <c r="D60" s="58">
        <v>1512</v>
      </c>
      <c r="E60" s="58">
        <v>250</v>
      </c>
      <c r="F60" s="58">
        <v>2121</v>
      </c>
      <c r="G60" s="86" t="s">
        <v>78</v>
      </c>
      <c r="H60" s="64">
        <v>10.8</v>
      </c>
      <c r="I60" s="58">
        <v>-36.200000000000003</v>
      </c>
      <c r="J60" s="58">
        <v>90</v>
      </c>
      <c r="K60" s="58">
        <v>90</v>
      </c>
      <c r="L60" s="58">
        <v>90</v>
      </c>
      <c r="M60" s="58">
        <v>25.6</v>
      </c>
      <c r="N60" s="64">
        <v>6.5</v>
      </c>
      <c r="O60" s="37">
        <v>1.02</v>
      </c>
      <c r="P60" s="58">
        <v>3</v>
      </c>
      <c r="Q60" s="64">
        <v>7</v>
      </c>
      <c r="R60" s="37">
        <v>0.06</v>
      </c>
      <c r="S60" s="36">
        <v>22.36</v>
      </c>
      <c r="T60" s="36">
        <v>0.88</v>
      </c>
      <c r="U60" s="36">
        <v>0.7</v>
      </c>
      <c r="V60" s="42">
        <f t="shared" si="18"/>
        <v>1659.6824999999999</v>
      </c>
      <c r="W60" s="42">
        <f t="shared" si="19"/>
        <v>1372.556302</v>
      </c>
      <c r="X60" s="42">
        <f t="shared" si="20"/>
        <v>0.82699932185824698</v>
      </c>
      <c r="Y60" s="58">
        <v>3</v>
      </c>
      <c r="Z60" s="58">
        <v>4</v>
      </c>
      <c r="AA60" s="64">
        <v>6.5</v>
      </c>
      <c r="AB60" s="58">
        <v>17</v>
      </c>
      <c r="AC60" s="64">
        <v>6.1</v>
      </c>
      <c r="AD60" s="64">
        <v>6.5</v>
      </c>
      <c r="AE60" s="37">
        <v>0.11</v>
      </c>
      <c r="AF60" s="37">
        <v>0.08</v>
      </c>
      <c r="AG60" s="42">
        <f t="shared" si="0"/>
        <v>1659.6824999999999</v>
      </c>
      <c r="AH60" s="42">
        <f t="shared" si="21"/>
        <v>1785.9247275999996</v>
      </c>
      <c r="AI60" s="42">
        <f t="shared" si="22"/>
        <v>1.0760640831002313</v>
      </c>
      <c r="AJ60" s="58">
        <v>3</v>
      </c>
      <c r="AK60" s="58">
        <v>4</v>
      </c>
      <c r="AL60" s="64">
        <v>6.3</v>
      </c>
      <c r="AM60" s="58">
        <v>23</v>
      </c>
      <c r="AN60" s="64">
        <v>6.1</v>
      </c>
      <c r="AO60" s="64">
        <v>6.6</v>
      </c>
      <c r="AP60" s="37">
        <v>0.13</v>
      </c>
      <c r="AQ60" s="37">
        <v>0.14000000000000001</v>
      </c>
      <c r="AR60" s="73">
        <f t="shared" si="1"/>
        <v>2094</v>
      </c>
      <c r="AS60" s="75">
        <f t="shared" si="2"/>
        <v>0.15854823304680038</v>
      </c>
      <c r="AT60" s="75">
        <f t="shared" si="3"/>
        <v>0.72206303724928367</v>
      </c>
      <c r="AU60" s="75">
        <f t="shared" si="4"/>
        <v>0.11938872970391595</v>
      </c>
      <c r="AV60" s="26">
        <f t="shared" si="5"/>
        <v>6.4120697784064123E-2</v>
      </c>
      <c r="AW60" s="26">
        <f t="shared" si="6"/>
        <v>8.6751532296086745E-2</v>
      </c>
      <c r="AX60" s="24">
        <f t="shared" si="7"/>
        <v>0.86274509803921573</v>
      </c>
      <c r="AY60" s="24">
        <f t="shared" si="8"/>
        <v>0.92156862745098045</v>
      </c>
      <c r="AZ60" s="77" t="str">
        <f t="shared" si="9"/>
        <v>5,0 ≤ Alc. Bruta &lt; 7,5 mg/L</v>
      </c>
      <c r="BA60" s="77" t="str">
        <f t="shared" si="10"/>
        <v>Cor &lt;5 uC</v>
      </c>
      <c r="BB60" s="78" t="str">
        <f t="shared" si="11"/>
        <v>Turbidez &lt; 2,5 uT</v>
      </c>
      <c r="BC60" s="79" t="str">
        <f t="shared" si="12"/>
        <v>SM &gt; TOR &gt; BNN</v>
      </c>
      <c r="BD60" s="78" t="str">
        <f t="shared" si="13"/>
        <v>Tipo 1 (≤0,25) uT</v>
      </c>
      <c r="BE60" s="78" t="str">
        <f t="shared" si="14"/>
        <v>Tipo 1 (≤0,25) uT</v>
      </c>
      <c r="BF60" s="78" t="str">
        <f t="shared" si="15"/>
        <v>Tipo 1 (≤0,25) uT</v>
      </c>
      <c r="BG60" s="78" t="str">
        <f t="shared" si="16"/>
        <v>Tipo 1 (≤0,25) uT</v>
      </c>
      <c r="BH60" s="78" t="str">
        <f t="shared" si="17"/>
        <v>Tipo 1 (≤0,25) uT</v>
      </c>
    </row>
    <row r="61" spans="1:60" x14ac:dyDescent="0.2">
      <c r="A61" s="30">
        <v>46265</v>
      </c>
      <c r="B61" s="82">
        <v>0.3125</v>
      </c>
      <c r="C61" s="59">
        <v>351</v>
      </c>
      <c r="D61" s="59">
        <v>1553</v>
      </c>
      <c r="E61" s="59">
        <v>250</v>
      </c>
      <c r="F61" s="59">
        <v>2150</v>
      </c>
      <c r="G61" s="87" t="s">
        <v>78</v>
      </c>
      <c r="H61" s="65">
        <v>10.8</v>
      </c>
      <c r="I61" s="59">
        <v>1.81</v>
      </c>
      <c r="J61" s="59">
        <v>90</v>
      </c>
      <c r="K61" s="59">
        <v>90</v>
      </c>
      <c r="L61" s="59">
        <v>90</v>
      </c>
      <c r="M61" s="59">
        <v>25.2</v>
      </c>
      <c r="N61" s="65">
        <v>6.5</v>
      </c>
      <c r="O61" s="38">
        <v>0.79</v>
      </c>
      <c r="P61" s="59">
        <v>5</v>
      </c>
      <c r="Q61" s="65">
        <v>8</v>
      </c>
      <c r="R61" s="38">
        <v>7.0000000000000007E-2</v>
      </c>
      <c r="S61" s="36">
        <v>22.36</v>
      </c>
      <c r="T61" s="36">
        <v>0.88</v>
      </c>
      <c r="U61" s="36">
        <v>0.7</v>
      </c>
      <c r="V61" s="42">
        <f t="shared" si="18"/>
        <v>1620.5625</v>
      </c>
      <c r="W61" s="42">
        <f t="shared" si="19"/>
        <v>1372.556302</v>
      </c>
      <c r="X61" s="42">
        <f t="shared" si="20"/>
        <v>0.84696289220563847</v>
      </c>
      <c r="Y61" s="59">
        <v>3</v>
      </c>
      <c r="Z61" s="59">
        <v>4</v>
      </c>
      <c r="AA61" s="65">
        <v>6.5</v>
      </c>
      <c r="AB61" s="59">
        <v>17</v>
      </c>
      <c r="AC61" s="65">
        <v>6.5</v>
      </c>
      <c r="AD61" s="65">
        <v>5.0999999999999996</v>
      </c>
      <c r="AE61" s="38">
        <v>0.15</v>
      </c>
      <c r="AF61" s="38">
        <v>7.0000000000000007E-2</v>
      </c>
      <c r="AG61" s="42">
        <f t="shared" si="0"/>
        <v>1620.5625</v>
      </c>
      <c r="AH61" s="42">
        <f t="shared" si="21"/>
        <v>1750.3931224</v>
      </c>
      <c r="AI61" s="42">
        <f t="shared" si="22"/>
        <v>1.0801145419568823</v>
      </c>
      <c r="AJ61" s="59">
        <v>3</v>
      </c>
      <c r="AK61" s="59">
        <v>4</v>
      </c>
      <c r="AL61" s="65">
        <v>6.2</v>
      </c>
      <c r="AM61" s="59">
        <v>23</v>
      </c>
      <c r="AN61" s="65">
        <v>6.3</v>
      </c>
      <c r="AO61" s="65">
        <v>6.9</v>
      </c>
      <c r="AP61" s="38">
        <v>0.13</v>
      </c>
      <c r="AQ61" s="38">
        <v>0.15</v>
      </c>
      <c r="AR61" s="73">
        <f t="shared" si="1"/>
        <v>2154</v>
      </c>
      <c r="AS61" s="75">
        <f t="shared" si="2"/>
        <v>0.16295264623955433</v>
      </c>
      <c r="AT61" s="75">
        <f t="shared" si="3"/>
        <v>0.7209842154131848</v>
      </c>
      <c r="AU61" s="75">
        <f t="shared" si="4"/>
        <v>0.11606313834726091</v>
      </c>
      <c r="AV61" s="26">
        <f t="shared" si="5"/>
        <v>6.3255813953488366E-2</v>
      </c>
      <c r="AW61" s="26">
        <f t="shared" si="6"/>
        <v>8.5581395348837214E-2</v>
      </c>
      <c r="AX61" s="24">
        <f t="shared" si="7"/>
        <v>0.810126582278481</v>
      </c>
      <c r="AY61" s="24">
        <f t="shared" si="8"/>
        <v>0.91139240506329111</v>
      </c>
      <c r="AZ61" s="77" t="str">
        <f t="shared" si="9"/>
        <v>7,5 ≤ Alc. Bruta &lt; 10,0 mg/L</v>
      </c>
      <c r="BA61" s="77" t="str">
        <f t="shared" si="10"/>
        <v>5 ≤ Cor &lt; 10 uC</v>
      </c>
      <c r="BB61" s="78" t="str">
        <f t="shared" si="11"/>
        <v>Turbidez &lt; 2,5 uT</v>
      </c>
      <c r="BC61" s="79" t="str">
        <f t="shared" si="12"/>
        <v>SM &gt; TOR &gt; BNN</v>
      </c>
      <c r="BD61" s="78" t="str">
        <f t="shared" si="13"/>
        <v>Tipo 1 (≤0,25) uT</v>
      </c>
      <c r="BE61" s="78" t="str">
        <f t="shared" si="14"/>
        <v>Tipo 1 (≤0,25) uT</v>
      </c>
      <c r="BF61" s="78" t="str">
        <f t="shared" si="15"/>
        <v>Tipo 1 (≤0,25) uT</v>
      </c>
      <c r="BG61" s="78" t="str">
        <f t="shared" si="16"/>
        <v>Tipo 1 (≤0,25) uT</v>
      </c>
      <c r="BH61" s="78" t="str">
        <f t="shared" si="17"/>
        <v>Tipo 1 (≤0,25) uT</v>
      </c>
    </row>
    <row r="62" spans="1:60" x14ac:dyDescent="0.2">
      <c r="A62" s="31">
        <v>46265</v>
      </c>
      <c r="B62" s="80">
        <v>0.39583333333333331</v>
      </c>
      <c r="C62" s="57">
        <v>342</v>
      </c>
      <c r="D62" s="57">
        <v>1535</v>
      </c>
      <c r="E62" s="57">
        <v>250</v>
      </c>
      <c r="F62" s="57">
        <v>2198</v>
      </c>
      <c r="G62" s="85" t="s">
        <v>78</v>
      </c>
      <c r="H62" s="63">
        <v>10.8</v>
      </c>
      <c r="I62" s="57">
        <v>4.68</v>
      </c>
      <c r="J62" s="57">
        <v>90</v>
      </c>
      <c r="K62" s="57">
        <v>90</v>
      </c>
      <c r="L62" s="57">
        <v>90</v>
      </c>
      <c r="M62" s="57">
        <v>25.7</v>
      </c>
      <c r="N62" s="63">
        <v>6.6</v>
      </c>
      <c r="O62" s="36">
        <v>0.8</v>
      </c>
      <c r="P62" s="57">
        <v>5</v>
      </c>
      <c r="Q62" s="63">
        <v>7.8</v>
      </c>
      <c r="R62" s="36">
        <v>7.0000000000000007E-2</v>
      </c>
      <c r="S62" s="36">
        <v>22.36</v>
      </c>
      <c r="T62" s="36">
        <v>0.88</v>
      </c>
      <c r="U62" s="36">
        <v>0.7</v>
      </c>
      <c r="V62" s="42">
        <f t="shared" si="18"/>
        <v>1659.49</v>
      </c>
      <c r="W62" s="42">
        <f t="shared" si="19"/>
        <v>1372.556302</v>
      </c>
      <c r="X62" s="42">
        <f t="shared" si="20"/>
        <v>0.82709525336097234</v>
      </c>
      <c r="Y62" s="57">
        <v>3</v>
      </c>
      <c r="Z62" s="57">
        <v>4</v>
      </c>
      <c r="AA62" s="63">
        <v>6.5</v>
      </c>
      <c r="AB62" s="57">
        <v>17</v>
      </c>
      <c r="AC62" s="63">
        <v>6.5</v>
      </c>
      <c r="AD62" s="63">
        <v>5.3</v>
      </c>
      <c r="AE62" s="36">
        <v>0.16</v>
      </c>
      <c r="AF62" s="36">
        <v>7.0000000000000007E-2</v>
      </c>
      <c r="AG62" s="42">
        <f t="shared" si="0"/>
        <v>1659.49</v>
      </c>
      <c r="AH62" s="42">
        <f t="shared" si="21"/>
        <v>1750.3931224</v>
      </c>
      <c r="AI62" s="42">
        <f t="shared" si="22"/>
        <v>1.0547777464160677</v>
      </c>
      <c r="AJ62" s="57">
        <v>3</v>
      </c>
      <c r="AK62" s="57">
        <v>4</v>
      </c>
      <c r="AL62" s="63">
        <v>6.2</v>
      </c>
      <c r="AM62" s="57">
        <v>23</v>
      </c>
      <c r="AN62" s="63">
        <v>6.4</v>
      </c>
      <c r="AO62" s="63">
        <v>6.2</v>
      </c>
      <c r="AP62" s="36">
        <v>0.17</v>
      </c>
      <c r="AQ62" s="36">
        <v>0.27</v>
      </c>
      <c r="AR62" s="73">
        <f t="shared" si="1"/>
        <v>2127</v>
      </c>
      <c r="AS62" s="75">
        <f t="shared" si="2"/>
        <v>0.16078984485190409</v>
      </c>
      <c r="AT62" s="75">
        <f t="shared" si="3"/>
        <v>0.72167371885284437</v>
      </c>
      <c r="AU62" s="75">
        <f t="shared" si="4"/>
        <v>0.11753643629525153</v>
      </c>
      <c r="AV62" s="26">
        <f t="shared" si="5"/>
        <v>6.1874431301182892E-2</v>
      </c>
      <c r="AW62" s="26">
        <f t="shared" si="6"/>
        <v>8.3712465878070977E-2</v>
      </c>
      <c r="AX62" s="24">
        <f t="shared" si="7"/>
        <v>0.66249999999999998</v>
      </c>
      <c r="AY62" s="24">
        <f t="shared" si="8"/>
        <v>0.91249999999999998</v>
      </c>
      <c r="AZ62" s="77" t="str">
        <f t="shared" si="9"/>
        <v>7,5 ≤ Alc. Bruta &lt; 10,0 mg/L</v>
      </c>
      <c r="BA62" s="77" t="str">
        <f t="shared" si="10"/>
        <v>5 ≤ Cor &lt; 10 uC</v>
      </c>
      <c r="BB62" s="78" t="str">
        <f t="shared" si="11"/>
        <v>Turbidez &lt; 2,5 uT</v>
      </c>
      <c r="BC62" s="79" t="str">
        <f t="shared" si="12"/>
        <v>SM &gt; TOR &gt; BNN</v>
      </c>
      <c r="BD62" s="78" t="str">
        <f t="shared" si="13"/>
        <v>Tipo 1 (≤0,25) uT</v>
      </c>
      <c r="BE62" s="78" t="str">
        <f t="shared" si="14"/>
        <v>Tipo 1 (≤0,25) uT</v>
      </c>
      <c r="BF62" s="78" t="str">
        <f t="shared" si="15"/>
        <v>Tipo 1 (≤0,25) uT</v>
      </c>
      <c r="BG62" s="78" t="str">
        <f t="shared" si="16"/>
        <v>Tipo 2 (0,25-0,50) uT</v>
      </c>
      <c r="BH62" s="78" t="str">
        <f t="shared" si="17"/>
        <v>Tipo 1 (≤0,25) uT</v>
      </c>
    </row>
    <row r="63" spans="1:60" x14ac:dyDescent="0.2">
      <c r="A63" s="31">
        <v>46265</v>
      </c>
      <c r="B63" s="80">
        <v>0.72916666666666663</v>
      </c>
      <c r="C63" s="57">
        <v>363</v>
      </c>
      <c r="D63" s="57">
        <v>1462</v>
      </c>
      <c r="E63" s="57">
        <v>250</v>
      </c>
      <c r="F63" s="57">
        <v>2105</v>
      </c>
      <c r="G63" s="85" t="s">
        <v>78</v>
      </c>
      <c r="H63" s="63">
        <v>10.8</v>
      </c>
      <c r="I63" s="57">
        <v>-4</v>
      </c>
      <c r="J63" s="57">
        <v>90</v>
      </c>
      <c r="K63" s="57">
        <v>90</v>
      </c>
      <c r="L63" s="57">
        <v>90</v>
      </c>
      <c r="M63" s="57">
        <v>25.8</v>
      </c>
      <c r="N63" s="63">
        <v>6.5</v>
      </c>
      <c r="O63" s="36">
        <v>0.91</v>
      </c>
      <c r="P63" s="57">
        <v>6</v>
      </c>
      <c r="Q63" s="63">
        <v>7.6</v>
      </c>
      <c r="R63" s="36">
        <v>0.08</v>
      </c>
      <c r="S63" s="36">
        <v>22.36</v>
      </c>
      <c r="T63" s="36">
        <v>0.88</v>
      </c>
      <c r="U63" s="36">
        <v>0.7</v>
      </c>
      <c r="V63" s="42">
        <f t="shared" si="18"/>
        <v>1618.21875</v>
      </c>
      <c r="W63" s="42">
        <f t="shared" si="19"/>
        <v>1372.556302</v>
      </c>
      <c r="X63" s="42">
        <f t="shared" si="20"/>
        <v>0.84818959241449898</v>
      </c>
      <c r="Y63" s="57">
        <v>3</v>
      </c>
      <c r="Z63" s="57">
        <v>4</v>
      </c>
      <c r="AA63" s="63">
        <v>6.5</v>
      </c>
      <c r="AB63" s="57">
        <v>17</v>
      </c>
      <c r="AC63" s="63">
        <v>5.9</v>
      </c>
      <c r="AD63" s="63">
        <v>5.3</v>
      </c>
      <c r="AE63" s="36">
        <v>0.13</v>
      </c>
      <c r="AF63" s="36">
        <v>0.12</v>
      </c>
      <c r="AG63" s="42">
        <f t="shared" si="0"/>
        <v>1618.21875</v>
      </c>
      <c r="AH63" s="42">
        <f t="shared" si="21"/>
        <v>1750.3931224</v>
      </c>
      <c r="AI63" s="42">
        <f t="shared" si="22"/>
        <v>1.0816789277716625</v>
      </c>
      <c r="AJ63" s="57">
        <v>3</v>
      </c>
      <c r="AK63" s="57">
        <v>4</v>
      </c>
      <c r="AL63" s="63">
        <v>6.2</v>
      </c>
      <c r="AM63" s="57">
        <v>23</v>
      </c>
      <c r="AN63" s="63">
        <v>6</v>
      </c>
      <c r="AO63" s="63">
        <v>6.1</v>
      </c>
      <c r="AP63" s="36">
        <v>0.17</v>
      </c>
      <c r="AQ63" s="36">
        <v>0.15</v>
      </c>
      <c r="AR63" s="73">
        <f t="shared" si="1"/>
        <v>2075</v>
      </c>
      <c r="AS63" s="75">
        <f t="shared" si="2"/>
        <v>0.17493975903614459</v>
      </c>
      <c r="AT63" s="75">
        <f t="shared" si="3"/>
        <v>0.70457831325301201</v>
      </c>
      <c r="AU63" s="75">
        <f t="shared" si="4"/>
        <v>0.12048192771084337</v>
      </c>
      <c r="AV63" s="26">
        <f t="shared" si="5"/>
        <v>6.4608076009501192E-2</v>
      </c>
      <c r="AW63" s="26">
        <f t="shared" si="6"/>
        <v>8.7410926365795727E-2</v>
      </c>
      <c r="AX63" s="24">
        <f t="shared" si="7"/>
        <v>0.8351648351648352</v>
      </c>
      <c r="AY63" s="24">
        <f t="shared" si="8"/>
        <v>0.86813186813186816</v>
      </c>
      <c r="AZ63" s="77" t="str">
        <f t="shared" si="9"/>
        <v>7,5 ≤ Alc. Bruta &lt; 10,0 mg/L</v>
      </c>
      <c r="BA63" s="77" t="str">
        <f t="shared" si="10"/>
        <v>5 ≤ Cor &lt; 10 uC</v>
      </c>
      <c r="BB63" s="78" t="str">
        <f t="shared" si="11"/>
        <v>Turbidez &lt; 2,5 uT</v>
      </c>
      <c r="BC63" s="79" t="str">
        <f t="shared" si="12"/>
        <v>SM &gt; TOR &gt; BNN</v>
      </c>
      <c r="BD63" s="78" t="str">
        <f t="shared" si="13"/>
        <v>Tipo 1 (≤0,25) uT</v>
      </c>
      <c r="BE63" s="78" t="str">
        <f t="shared" si="14"/>
        <v>Tipo 1 (≤0,25) uT</v>
      </c>
      <c r="BF63" s="78" t="str">
        <f t="shared" si="15"/>
        <v>Tipo 1 (≤0,25) uT</v>
      </c>
      <c r="BG63" s="78" t="str">
        <f t="shared" si="16"/>
        <v>Tipo 1 (≤0,25) uT</v>
      </c>
      <c r="BH63" s="78" t="str">
        <f t="shared" si="17"/>
        <v>Tipo 1 (≤0,25) uT</v>
      </c>
    </row>
    <row r="64" spans="1:60" x14ac:dyDescent="0.2">
      <c r="A64" s="31">
        <v>46265</v>
      </c>
      <c r="B64" s="80">
        <v>0.8125</v>
      </c>
      <c r="C64" s="57">
        <v>364</v>
      </c>
      <c r="D64" s="57">
        <v>1512</v>
      </c>
      <c r="E64" s="57">
        <v>250</v>
      </c>
      <c r="F64" s="57">
        <v>2070</v>
      </c>
      <c r="G64" s="85" t="s">
        <v>78</v>
      </c>
      <c r="H64" s="63">
        <v>10.8</v>
      </c>
      <c r="I64" s="57">
        <v>22.8</v>
      </c>
      <c r="J64" s="57">
        <v>90</v>
      </c>
      <c r="K64" s="57">
        <v>90</v>
      </c>
      <c r="L64" s="57">
        <v>90</v>
      </c>
      <c r="M64" s="57">
        <v>25.8</v>
      </c>
      <c r="N64" s="63">
        <v>6.5</v>
      </c>
      <c r="O64" s="36">
        <v>0.87</v>
      </c>
      <c r="P64" s="57">
        <v>6</v>
      </c>
      <c r="Q64" s="63">
        <v>6.3</v>
      </c>
      <c r="R64" s="36">
        <v>0.06</v>
      </c>
      <c r="S64" s="36">
        <v>22.36</v>
      </c>
      <c r="T64" s="36">
        <v>0.88</v>
      </c>
      <c r="U64" s="36">
        <v>0.7</v>
      </c>
      <c r="V64" s="42">
        <f t="shared" si="18"/>
        <v>1580.9625000000001</v>
      </c>
      <c r="W64" s="42">
        <f t="shared" si="19"/>
        <v>1372.556302</v>
      </c>
      <c r="X64" s="42">
        <f t="shared" si="20"/>
        <v>0.86817764621235471</v>
      </c>
      <c r="Y64" s="57">
        <v>3</v>
      </c>
      <c r="Z64" s="57">
        <v>4</v>
      </c>
      <c r="AA64" s="63">
        <v>6.5</v>
      </c>
      <c r="AB64" s="57">
        <v>17</v>
      </c>
      <c r="AC64" s="63">
        <v>6.2</v>
      </c>
      <c r="AD64" s="63">
        <v>4.5999999999999996</v>
      </c>
      <c r="AE64" s="36">
        <v>0.09</v>
      </c>
      <c r="AF64" s="36">
        <v>0.1</v>
      </c>
      <c r="AG64" s="42">
        <f t="shared" si="0"/>
        <v>1580.9625000000001</v>
      </c>
      <c r="AH64" s="42">
        <f t="shared" si="21"/>
        <v>1785.9247275999996</v>
      </c>
      <c r="AI64" s="42">
        <f t="shared" si="22"/>
        <v>1.1296439527186759</v>
      </c>
      <c r="AJ64" s="57">
        <v>3</v>
      </c>
      <c r="AK64" s="57">
        <v>4</v>
      </c>
      <c r="AL64" s="63">
        <v>6.3</v>
      </c>
      <c r="AM64" s="57">
        <v>23</v>
      </c>
      <c r="AN64" s="63">
        <v>6.1</v>
      </c>
      <c r="AO64" s="63">
        <v>4.3</v>
      </c>
      <c r="AP64" s="36">
        <v>0.17</v>
      </c>
      <c r="AQ64" s="36">
        <v>0.15</v>
      </c>
      <c r="AR64" s="73">
        <f t="shared" si="1"/>
        <v>2126</v>
      </c>
      <c r="AS64" s="75">
        <f t="shared" si="2"/>
        <v>0.17121354656632173</v>
      </c>
      <c r="AT64" s="75">
        <f t="shared" si="3"/>
        <v>0.7111947318908749</v>
      </c>
      <c r="AU64" s="75">
        <f t="shared" si="4"/>
        <v>0.11759172154280338</v>
      </c>
      <c r="AV64" s="26">
        <f t="shared" si="5"/>
        <v>6.5700483091787443E-2</v>
      </c>
      <c r="AW64" s="26">
        <f t="shared" si="6"/>
        <v>8.8888888888888892E-2</v>
      </c>
      <c r="AX64" s="24">
        <f t="shared" si="7"/>
        <v>0.82758620689655171</v>
      </c>
      <c r="AY64" s="24">
        <f t="shared" si="8"/>
        <v>0.88505747126436785</v>
      </c>
      <c r="AZ64" s="77" t="str">
        <f t="shared" si="9"/>
        <v>5,0 ≤ Alc. Bruta &lt; 7,5 mg/L</v>
      </c>
      <c r="BA64" s="77" t="str">
        <f t="shared" si="10"/>
        <v>5 ≤ Cor &lt; 10 uC</v>
      </c>
      <c r="BB64" s="78" t="str">
        <f t="shared" si="11"/>
        <v>Turbidez &lt; 2,5 uT</v>
      </c>
      <c r="BC64" s="79" t="str">
        <f t="shared" si="12"/>
        <v>SM &gt; TOR &gt; BNN</v>
      </c>
      <c r="BD64" s="78" t="str">
        <f t="shared" si="13"/>
        <v>Tipo 1 (≤0,25) uT</v>
      </c>
      <c r="BE64" s="78" t="str">
        <f t="shared" si="14"/>
        <v>Tipo 1 (≤0,25) uT</v>
      </c>
      <c r="BF64" s="78" t="str">
        <f t="shared" si="15"/>
        <v>Tipo 1 (≤0,25) uT</v>
      </c>
      <c r="BG64" s="78" t="str">
        <f t="shared" si="16"/>
        <v>Tipo 1 (≤0,25) uT</v>
      </c>
      <c r="BH64" s="78" t="str">
        <f t="shared" si="17"/>
        <v>Tipo 1 (≤0,25) uT</v>
      </c>
    </row>
    <row r="65" spans="1:60" x14ac:dyDescent="0.2">
      <c r="A65" s="31">
        <v>46265</v>
      </c>
      <c r="B65" s="80">
        <v>0.89583333333333337</v>
      </c>
      <c r="C65" s="57">
        <v>361</v>
      </c>
      <c r="D65" s="57">
        <v>1473</v>
      </c>
      <c r="E65" s="57">
        <v>250</v>
      </c>
      <c r="F65" s="57">
        <v>2084</v>
      </c>
      <c r="G65" s="85" t="s">
        <v>78</v>
      </c>
      <c r="H65" s="63">
        <v>10.8</v>
      </c>
      <c r="I65" s="57">
        <v>22.7</v>
      </c>
      <c r="J65" s="57">
        <v>90</v>
      </c>
      <c r="K65" s="57">
        <v>90</v>
      </c>
      <c r="L65" s="57">
        <v>90</v>
      </c>
      <c r="M65" s="57">
        <v>25.5</v>
      </c>
      <c r="N65" s="63">
        <v>6.5</v>
      </c>
      <c r="O65" s="36">
        <v>0.83</v>
      </c>
      <c r="P65" s="57">
        <v>6</v>
      </c>
      <c r="Q65" s="63">
        <v>7.7</v>
      </c>
      <c r="R65" s="36">
        <v>0.06</v>
      </c>
      <c r="S65" s="36">
        <v>22.36</v>
      </c>
      <c r="T65" s="36">
        <v>0.88</v>
      </c>
      <c r="U65" s="36">
        <v>0.7</v>
      </c>
      <c r="V65" s="42">
        <f t="shared" si="18"/>
        <v>1581.2350000000001</v>
      </c>
      <c r="W65" s="42">
        <f t="shared" si="19"/>
        <v>1372.556302</v>
      </c>
      <c r="X65" s="42">
        <f t="shared" si="20"/>
        <v>0.86802802998921724</v>
      </c>
      <c r="Y65" s="57">
        <v>3</v>
      </c>
      <c r="Z65" s="57">
        <v>4</v>
      </c>
      <c r="AA65" s="63">
        <v>6.5</v>
      </c>
      <c r="AB65" s="57">
        <v>17</v>
      </c>
      <c r="AC65" s="63">
        <v>6.1</v>
      </c>
      <c r="AD65" s="63">
        <v>5.2</v>
      </c>
      <c r="AE65" s="36">
        <v>0.14000000000000001</v>
      </c>
      <c r="AF65" s="36">
        <v>0.11</v>
      </c>
      <c r="AG65" s="42">
        <f t="shared" si="0"/>
        <v>2108.3133333333335</v>
      </c>
      <c r="AH65" s="42">
        <f t="shared" si="21"/>
        <v>1785.9247275999996</v>
      </c>
      <c r="AI65" s="42">
        <f t="shared" si="22"/>
        <v>0.84708695778932264</v>
      </c>
      <c r="AJ65" s="57">
        <v>3</v>
      </c>
      <c r="AK65" s="57">
        <v>3</v>
      </c>
      <c r="AL65" s="63">
        <v>6.3</v>
      </c>
      <c r="AM65" s="57">
        <v>23</v>
      </c>
      <c r="AN65" s="63">
        <v>6.1</v>
      </c>
      <c r="AO65" s="63">
        <v>4.8</v>
      </c>
      <c r="AP65" s="36">
        <v>0.14000000000000001</v>
      </c>
      <c r="AQ65" s="36">
        <v>0.16</v>
      </c>
      <c r="AR65" s="73">
        <f t="shared" si="1"/>
        <v>2084</v>
      </c>
      <c r="AS65" s="75">
        <f t="shared" si="2"/>
        <v>0.17322456813819578</v>
      </c>
      <c r="AT65" s="75">
        <f t="shared" si="3"/>
        <v>0.70681381957773515</v>
      </c>
      <c r="AU65" s="75">
        <f t="shared" si="4"/>
        <v>0.1199616122840691</v>
      </c>
      <c r="AV65" s="26">
        <f t="shared" si="5"/>
        <v>6.5259117082533583E-2</v>
      </c>
      <c r="AW65" s="26">
        <f t="shared" si="6"/>
        <v>6.6218809980806148E-2</v>
      </c>
      <c r="AX65" s="24">
        <f t="shared" si="7"/>
        <v>0.80722891566265065</v>
      </c>
      <c r="AY65" s="24">
        <f t="shared" si="8"/>
        <v>0.86746987951807231</v>
      </c>
      <c r="AZ65" s="77" t="str">
        <f t="shared" si="9"/>
        <v>7,5 ≤ Alc. Bruta &lt; 10,0 mg/L</v>
      </c>
      <c r="BA65" s="77" t="str">
        <f t="shared" si="10"/>
        <v>5 ≤ Cor &lt; 10 uC</v>
      </c>
      <c r="BB65" s="78" t="str">
        <f t="shared" si="11"/>
        <v>Turbidez &lt; 2,5 uT</v>
      </c>
      <c r="BC65" s="79" t="str">
        <f t="shared" si="12"/>
        <v>SM &gt; TOR &gt; BNN</v>
      </c>
      <c r="BD65" s="78" t="str">
        <f t="shared" si="13"/>
        <v>Tipo 1 (≤0,25) uT</v>
      </c>
      <c r="BE65" s="78" t="str">
        <f t="shared" si="14"/>
        <v>Tipo 1 (≤0,25) uT</v>
      </c>
      <c r="BF65" s="78" t="str">
        <f t="shared" si="15"/>
        <v>Tipo 1 (≤0,25) uT</v>
      </c>
      <c r="BG65" s="78" t="str">
        <f t="shared" si="16"/>
        <v>Tipo 1 (≤0,25) uT</v>
      </c>
      <c r="BH65" s="78" t="str">
        <f t="shared" si="17"/>
        <v>Tipo 1 (≤0,25) uT</v>
      </c>
    </row>
    <row r="66" spans="1:60" x14ac:dyDescent="0.2">
      <c r="A66" s="31">
        <v>46266</v>
      </c>
      <c r="B66" s="80">
        <v>6.25E-2</v>
      </c>
      <c r="C66" s="57">
        <v>353</v>
      </c>
      <c r="D66" s="57">
        <v>1426</v>
      </c>
      <c r="E66" s="57">
        <v>250</v>
      </c>
      <c r="F66" s="57">
        <v>2062</v>
      </c>
      <c r="G66" s="85" t="s">
        <v>78</v>
      </c>
      <c r="H66" s="63">
        <v>10.8</v>
      </c>
      <c r="I66" s="57">
        <v>22.6</v>
      </c>
      <c r="J66" s="57">
        <v>90</v>
      </c>
      <c r="K66" s="57">
        <v>90</v>
      </c>
      <c r="L66" s="57">
        <v>90</v>
      </c>
      <c r="M66" s="57">
        <v>24.8</v>
      </c>
      <c r="N66" s="63">
        <v>6.5</v>
      </c>
      <c r="O66" s="36">
        <v>0.92</v>
      </c>
      <c r="P66" s="57">
        <v>6</v>
      </c>
      <c r="Q66" s="63">
        <v>6.3</v>
      </c>
      <c r="R66" s="36">
        <v>0.06</v>
      </c>
      <c r="S66" s="36">
        <v>22.36</v>
      </c>
      <c r="T66" s="36">
        <v>0.88</v>
      </c>
      <c r="U66" s="36">
        <v>0.7</v>
      </c>
      <c r="V66" s="42">
        <f t="shared" si="18"/>
        <v>1587.74</v>
      </c>
      <c r="W66" s="42">
        <f t="shared" si="19"/>
        <v>1372.556302</v>
      </c>
      <c r="X66" s="42">
        <f t="shared" si="20"/>
        <v>0.86447170317558286</v>
      </c>
      <c r="Y66" s="57">
        <v>3</v>
      </c>
      <c r="Z66" s="57">
        <v>4</v>
      </c>
      <c r="AA66" s="63">
        <v>6.5</v>
      </c>
      <c r="AB66" s="57">
        <v>17</v>
      </c>
      <c r="AC66" s="63">
        <v>6.1</v>
      </c>
      <c r="AD66" s="63">
        <v>3.8</v>
      </c>
      <c r="AE66" s="36">
        <v>0.11</v>
      </c>
      <c r="AF66" s="36">
        <v>0.12</v>
      </c>
      <c r="AG66" s="42">
        <f t="shared" ref="AG66:AG129" si="23">(O66+0.3*H66+2)*(F66/2/AK66)</f>
        <v>1587.74</v>
      </c>
      <c r="AH66" s="42">
        <f t="shared" si="21"/>
        <v>1785.9247275999996</v>
      </c>
      <c r="AI66" s="42">
        <f t="shared" si="22"/>
        <v>1.1248219025785076</v>
      </c>
      <c r="AJ66" s="57">
        <v>3</v>
      </c>
      <c r="AK66" s="57">
        <v>4</v>
      </c>
      <c r="AL66" s="63">
        <v>6.3</v>
      </c>
      <c r="AM66" s="57">
        <v>23</v>
      </c>
      <c r="AN66" s="63">
        <v>6.1</v>
      </c>
      <c r="AO66" s="63">
        <v>5.7</v>
      </c>
      <c r="AP66" s="36">
        <v>0.1</v>
      </c>
      <c r="AQ66" s="36">
        <v>0.17</v>
      </c>
      <c r="AR66" s="73">
        <f t="shared" ref="AR66:AR129" si="24">SUM(C66:E66)</f>
        <v>2029</v>
      </c>
      <c r="AS66" s="75">
        <f t="shared" ref="AS66:AS129" si="25">C66/AR66</f>
        <v>0.17397732873336619</v>
      </c>
      <c r="AT66" s="75">
        <f t="shared" ref="AT66:AT129" si="26">D66/AR66</f>
        <v>0.70280926564810253</v>
      </c>
      <c r="AU66" s="75">
        <f t="shared" ref="AU66:AU129" si="27">E66/AR66</f>
        <v>0.12321340561853129</v>
      </c>
      <c r="AV66" s="26">
        <f t="shared" ref="AV66:AV129" si="28">IF(AND(F66&lt;&gt;"",Z66&lt;&gt;""),AB66/(F66/2/Z66),"")</f>
        <v>6.5955383123181374E-2</v>
      </c>
      <c r="AW66" s="26">
        <f t="shared" ref="AW66:AW129" si="29">IF(AND(F66&lt;&gt;"",AK66&lt;&gt;""),AM66/(F66/2/AK66),"")</f>
        <v>8.9233753637245394E-2</v>
      </c>
      <c r="AX66" s="24">
        <f t="shared" ref="AX66:AX129" si="30">IF(AND(AQ66&lt;&gt;"",1-(AQ66/O66)&gt;0),1-(AQ66/O66),"")</f>
        <v>0.81521739130434778</v>
      </c>
      <c r="AY66" s="24">
        <f t="shared" ref="AY66:AY129" si="31">IF(AND(AF66&lt;&gt;"",1-(AF66/O66)&gt;0),1-(AF66/O66),"")</f>
        <v>0.86956521739130432</v>
      </c>
      <c r="AZ66" s="77" t="str">
        <f t="shared" ref="AZ66:AZ129" si="32">IF(Q66="","",IF(Q66&lt;2.5,"Alc. Bruta &lt; 2,5 mg/L",IF(Q66&lt;5,"2,5 ≤ Alc. Bruta &lt; 5,0 mg/L",IF(Q66&lt;7.5,"5,0 ≤ Alc. Bruta &lt; 7,5 mg/L",IF(Q66&lt;10,"7,5 ≤ Alc. Bruta &lt; 10,0 mg/L",IF(Q66&lt;15,"10,0 ≤ Alca. Bruta &lt; 15,0 mg/L","Alc. Bruta &gt; 15 mg/L"))))))</f>
        <v>5,0 ≤ Alc. Bruta &lt; 7,5 mg/L</v>
      </c>
      <c r="BA66" s="77" t="str">
        <f t="shared" ref="BA66:BA129" si="33">IF(P66="","",IF(P66&lt;5,"Cor &lt;5 uC",IF(P66&lt;10,"5 ≤ Cor &lt; 10 uC",IF(P66&lt;15,"10 ≤ Cor &lt;15 uC",IF(P66&lt;30,"15 ≤ Cor &lt; 30 uC",IF(P66&lt;50,"30 ≤ Cor &lt; 50 uC","Cor &gt; 50 uC"))))))</f>
        <v>5 ≤ Cor &lt; 10 uC</v>
      </c>
      <c r="BB66" s="78" t="str">
        <f t="shared" ref="BB66:BB129" si="34">IF(O66="","",IF(O66&lt;2.5,"Turbidez &lt; 2,5 uT",IF(O66&lt;5,"2,5 ≤ Turb &lt; 5,0 uT",IF(O66&lt;7.5,"5,0 ≤ Turb &lt; 7,5 uT",IF(O66&lt;10,"7,5 ≤ Turb &lt; 10,0 uT",IF(O66&lt;15,"10,0 ≤ Turb &lt; 15,0 uT","Turb &gt; 15 uT"))))))</f>
        <v>Turbidez &lt; 2,5 uT</v>
      </c>
      <c r="BC66" s="79" t="str">
        <f t="shared" ref="BC66:BC129" si="35">IF(AND(C66&gt;D66,D66&gt;E66),"TOR &gt; SM &gt; BNN",IF(AND(C66&gt;E66,E66&gt;D66),"TOR &gt; BNN &gt; SM",IF(AND(D66&gt;C66,C66&gt;E66),"SM &gt; TOR &gt; BNN",IF(AND(D66&gt;E66,E66&gt;C66),"SM &gt; BNN &gt; TOR",IF(AND(C66=D66,D66=E66),"TOR = SM = BNN","Comb. diferentes")))))</f>
        <v>SM &gt; TOR &gt; BNN</v>
      </c>
      <c r="BD66" s="78" t="str">
        <f t="shared" ref="BD66:BD129" si="36">IF(OR(AE66="",AQ66="-"),"",IF(AE66&lt;=0.25,"Tipo 1 (≤0,25) uT",IF(AE66&lt;=0.5,"Tipo 2 (0,25-0,50) uT",IF(AE66&lt;=0.75,"Tipo 3 (0,50-0,75) uT","Tipo 4 (&gt;0,75) uT"))))</f>
        <v>Tipo 1 (≤0,25) uT</v>
      </c>
      <c r="BE66" s="78" t="str">
        <f t="shared" ref="BE66:BE129" si="37">IF(OR(AP66="",AZ66="-"),"",IF(AP66&lt;=0.25,"Tipo 1 (≤0,25) uT",IF(AP66&lt;=0.5,"Tipo 2 (0,25-0,50) uT",IF(AP66&lt;=0.75,"Tipo 3 (0,50-0,75) uT","Tipo 4 (&gt;0,75) uT"))))</f>
        <v>Tipo 1 (≤0,25) uT</v>
      </c>
      <c r="BF66" s="78" t="str">
        <f t="shared" ref="BF66:BF129" si="38">IF(OR(AF66="",AQ66="-"),"",IF(AF66&lt;=0.25,"Tipo 1 (≤0,25) uT",IF(AF66&lt;=0.5,"Tipo 2 (0,25-0,50) uT",IF(AF66&lt;=0.75,"Tipo 3 (0,50-0,75) uT","Tipo 4 (&gt;0,75) uT"))))</f>
        <v>Tipo 1 (≤0,25) uT</v>
      </c>
      <c r="BG66" s="78" t="str">
        <f t="shared" ref="BG66:BG129" si="39">IF(OR(AQ66="",AQ66="-"),"",IF(AQ66&lt;=0.25,"Tipo 1 (≤0,25) uT",IF(AQ66&lt;=0.5,"Tipo 2 (0,25-0,50) uT",IF(AQ66&lt;=0.75,"Tipo 3 (0,50-0,75) uT","Tipo 4 (&gt;0,75) uT"))))</f>
        <v>Tipo 1 (≤0,25) uT</v>
      </c>
      <c r="BH66" s="78" t="str">
        <f t="shared" ref="BH66:BH129" si="40">IF(OR(R66="",R66="-"),"",IF(R66&lt;=0.25,"Tipo 1 (≤0,25) uT",IF(R66&lt;=0.5,"Tipo 2 (0,25-0,50) uT",IF(R66&lt;=0.75,"Tipo 3 (0,50-0,75) uT","Tipo 4 (&gt;0,75) uT"))))</f>
        <v>Tipo 1 (≤0,25) uT</v>
      </c>
    </row>
    <row r="67" spans="1:60" x14ac:dyDescent="0.2">
      <c r="A67" s="31">
        <v>46266</v>
      </c>
      <c r="B67" s="80">
        <v>0.14583333333333334</v>
      </c>
      <c r="C67" s="57">
        <v>336</v>
      </c>
      <c r="D67" s="57">
        <v>1474</v>
      </c>
      <c r="E67" s="57">
        <v>250</v>
      </c>
      <c r="F67" s="57">
        <v>2145</v>
      </c>
      <c r="G67" s="85" t="s">
        <v>78</v>
      </c>
      <c r="H67" s="63">
        <v>10.8</v>
      </c>
      <c r="I67" s="57">
        <v>11.87</v>
      </c>
      <c r="J67" s="57">
        <v>90</v>
      </c>
      <c r="K67" s="57">
        <v>90</v>
      </c>
      <c r="L67" s="57">
        <v>90</v>
      </c>
      <c r="M67" s="57">
        <v>24.6</v>
      </c>
      <c r="N67" s="63">
        <v>6.4</v>
      </c>
      <c r="O67" s="36">
        <v>0.89</v>
      </c>
      <c r="P67" s="57">
        <v>6</v>
      </c>
      <c r="Q67" s="63">
        <v>6.3</v>
      </c>
      <c r="R67" s="36">
        <v>0.06</v>
      </c>
      <c r="S67" s="36">
        <v>22.36</v>
      </c>
      <c r="T67" s="36">
        <v>0.88</v>
      </c>
      <c r="U67" s="36">
        <v>0.7</v>
      </c>
      <c r="V67" s="42">
        <f t="shared" ref="V67:V130" si="41">(O67+0.3*H67+2)*(F67/2/Z67)</f>
        <v>1643.60625</v>
      </c>
      <c r="W67" s="42">
        <f t="shared" ref="W67:W130" si="42">S67*(U67*AA67*0.987-T67)*AB67</f>
        <v>1372.556302</v>
      </c>
      <c r="X67" s="42">
        <f t="shared" ref="X67:X130" si="43">W67/V67</f>
        <v>0.83508827129368723</v>
      </c>
      <c r="Y67" s="57">
        <v>3</v>
      </c>
      <c r="Z67" s="57">
        <v>4</v>
      </c>
      <c r="AA67" s="63">
        <v>6.5</v>
      </c>
      <c r="AB67" s="57">
        <v>17</v>
      </c>
      <c r="AC67" s="63">
        <v>6.1</v>
      </c>
      <c r="AD67" s="63">
        <v>4.5999999999999996</v>
      </c>
      <c r="AE67" s="36">
        <v>0.1</v>
      </c>
      <c r="AF67" s="36">
        <v>0.13</v>
      </c>
      <c r="AG67" s="42">
        <f t="shared" si="23"/>
        <v>2191.4749999999999</v>
      </c>
      <c r="AH67" s="42">
        <f t="shared" ref="AH67:AH130" si="44">S67*(U67*AL67*0.987-T67)*AM67</f>
        <v>1785.9247275999996</v>
      </c>
      <c r="AI67" s="42">
        <f t="shared" ref="AI67:AI130" si="45">AH67/AG67</f>
        <v>0.81494186682485525</v>
      </c>
      <c r="AJ67" s="57">
        <v>4</v>
      </c>
      <c r="AK67" s="57">
        <v>3</v>
      </c>
      <c r="AL67" s="63">
        <v>6.3</v>
      </c>
      <c r="AM67" s="57">
        <v>23</v>
      </c>
      <c r="AN67" s="63">
        <v>6.1</v>
      </c>
      <c r="AO67" s="63">
        <v>4.8</v>
      </c>
      <c r="AP67" s="36">
        <v>0.12</v>
      </c>
      <c r="AQ67" s="36">
        <v>0.15</v>
      </c>
      <c r="AR67" s="73">
        <f t="shared" si="24"/>
        <v>2060</v>
      </c>
      <c r="AS67" s="75">
        <f t="shared" si="25"/>
        <v>0.16310679611650486</v>
      </c>
      <c r="AT67" s="75">
        <f t="shared" si="26"/>
        <v>0.71553398058252426</v>
      </c>
      <c r="AU67" s="75">
        <f t="shared" si="27"/>
        <v>0.12135922330097088</v>
      </c>
      <c r="AV67" s="26">
        <f t="shared" si="28"/>
        <v>6.340326340326341E-2</v>
      </c>
      <c r="AW67" s="26">
        <f t="shared" si="29"/>
        <v>6.433566433566433E-2</v>
      </c>
      <c r="AX67" s="24">
        <f t="shared" si="30"/>
        <v>0.8314606741573034</v>
      </c>
      <c r="AY67" s="24">
        <f t="shared" si="31"/>
        <v>0.8539325842696629</v>
      </c>
      <c r="AZ67" s="77" t="str">
        <f t="shared" si="32"/>
        <v>5,0 ≤ Alc. Bruta &lt; 7,5 mg/L</v>
      </c>
      <c r="BA67" s="77" t="str">
        <f t="shared" si="33"/>
        <v>5 ≤ Cor &lt; 10 uC</v>
      </c>
      <c r="BB67" s="78" t="str">
        <f t="shared" si="34"/>
        <v>Turbidez &lt; 2,5 uT</v>
      </c>
      <c r="BC67" s="79" t="str">
        <f t="shared" si="35"/>
        <v>SM &gt; TOR &gt; BNN</v>
      </c>
      <c r="BD67" s="78" t="str">
        <f t="shared" si="36"/>
        <v>Tipo 1 (≤0,25) uT</v>
      </c>
      <c r="BE67" s="78" t="str">
        <f t="shared" si="37"/>
        <v>Tipo 1 (≤0,25) uT</v>
      </c>
      <c r="BF67" s="78" t="str">
        <f t="shared" si="38"/>
        <v>Tipo 1 (≤0,25) uT</v>
      </c>
      <c r="BG67" s="78" t="str">
        <f t="shared" si="39"/>
        <v>Tipo 1 (≤0,25) uT</v>
      </c>
      <c r="BH67" s="78" t="str">
        <f t="shared" si="40"/>
        <v>Tipo 1 (≤0,25) uT</v>
      </c>
    </row>
    <row r="68" spans="1:60" ht="15.75" thickBot="1" x14ac:dyDescent="0.25">
      <c r="A68" s="32">
        <v>46266</v>
      </c>
      <c r="B68" s="81">
        <v>0.22916666666666666</v>
      </c>
      <c r="C68" s="58">
        <v>342</v>
      </c>
      <c r="D68" s="58">
        <v>1518</v>
      </c>
      <c r="E68" s="58">
        <v>250</v>
      </c>
      <c r="F68" s="58">
        <v>2150</v>
      </c>
      <c r="G68" s="86" t="s">
        <v>78</v>
      </c>
      <c r="H68" s="64">
        <v>10.8</v>
      </c>
      <c r="I68" s="58">
        <v>11.24</v>
      </c>
      <c r="J68" s="58">
        <v>90</v>
      </c>
      <c r="K68" s="58">
        <v>90</v>
      </c>
      <c r="L68" s="58">
        <v>90</v>
      </c>
      <c r="M68" s="58">
        <v>24.5</v>
      </c>
      <c r="N68" s="64">
        <v>6.5</v>
      </c>
      <c r="O68" s="37">
        <v>0.89</v>
      </c>
      <c r="P68" s="58">
        <v>6</v>
      </c>
      <c r="Q68" s="64">
        <v>6.6</v>
      </c>
      <c r="R68" s="37">
        <v>0.06</v>
      </c>
      <c r="S68" s="36">
        <v>22.36</v>
      </c>
      <c r="T68" s="36">
        <v>0.88</v>
      </c>
      <c r="U68" s="36">
        <v>0.7</v>
      </c>
      <c r="V68" s="42">
        <f t="shared" si="41"/>
        <v>1647.4375</v>
      </c>
      <c r="W68" s="42">
        <f t="shared" si="42"/>
        <v>1372.556302</v>
      </c>
      <c r="X68" s="42">
        <f t="shared" si="43"/>
        <v>0.83314620554649266</v>
      </c>
      <c r="Y68" s="58">
        <v>3</v>
      </c>
      <c r="Z68" s="58">
        <v>4</v>
      </c>
      <c r="AA68" s="64">
        <v>6.5</v>
      </c>
      <c r="AB68" s="58">
        <v>17</v>
      </c>
      <c r="AC68" s="64">
        <v>6.1</v>
      </c>
      <c r="AD68" s="64">
        <v>5.2</v>
      </c>
      <c r="AE68" s="37">
        <v>0.09</v>
      </c>
      <c r="AF68" s="37">
        <v>0.13</v>
      </c>
      <c r="AG68" s="42">
        <f t="shared" si="23"/>
        <v>1647.4375</v>
      </c>
      <c r="AH68" s="42">
        <f t="shared" si="44"/>
        <v>1785.9247275999996</v>
      </c>
      <c r="AI68" s="42">
        <f t="shared" si="45"/>
        <v>1.0840622042414354</v>
      </c>
      <c r="AJ68" s="58">
        <v>4</v>
      </c>
      <c r="AK68" s="58">
        <v>4</v>
      </c>
      <c r="AL68" s="64">
        <v>6.3</v>
      </c>
      <c r="AM68" s="58">
        <v>23</v>
      </c>
      <c r="AN68" s="64">
        <v>6.1</v>
      </c>
      <c r="AO68" s="64">
        <v>6.2</v>
      </c>
      <c r="AP68" s="37">
        <v>0.12</v>
      </c>
      <c r="AQ68" s="37">
        <v>0.16</v>
      </c>
      <c r="AR68" s="73">
        <f t="shared" si="24"/>
        <v>2110</v>
      </c>
      <c r="AS68" s="75">
        <f t="shared" si="25"/>
        <v>0.16208530805687205</v>
      </c>
      <c r="AT68" s="75">
        <f t="shared" si="26"/>
        <v>0.71943127962085307</v>
      </c>
      <c r="AU68" s="75">
        <f t="shared" si="27"/>
        <v>0.11848341232227488</v>
      </c>
      <c r="AV68" s="26">
        <f t="shared" si="28"/>
        <v>6.3255813953488366E-2</v>
      </c>
      <c r="AW68" s="26">
        <f t="shared" si="29"/>
        <v>8.5581395348837214E-2</v>
      </c>
      <c r="AX68" s="24">
        <f t="shared" si="30"/>
        <v>0.8202247191011236</v>
      </c>
      <c r="AY68" s="24">
        <f t="shared" si="31"/>
        <v>0.8539325842696629</v>
      </c>
      <c r="AZ68" s="77" t="str">
        <f t="shared" si="32"/>
        <v>5,0 ≤ Alc. Bruta &lt; 7,5 mg/L</v>
      </c>
      <c r="BA68" s="77" t="str">
        <f t="shared" si="33"/>
        <v>5 ≤ Cor &lt; 10 uC</v>
      </c>
      <c r="BB68" s="78" t="str">
        <f t="shared" si="34"/>
        <v>Turbidez &lt; 2,5 uT</v>
      </c>
      <c r="BC68" s="79" t="str">
        <f t="shared" si="35"/>
        <v>SM &gt; TOR &gt; BNN</v>
      </c>
      <c r="BD68" s="78" t="str">
        <f t="shared" si="36"/>
        <v>Tipo 1 (≤0,25) uT</v>
      </c>
      <c r="BE68" s="78" t="str">
        <f t="shared" si="37"/>
        <v>Tipo 1 (≤0,25) uT</v>
      </c>
      <c r="BF68" s="78" t="str">
        <f t="shared" si="38"/>
        <v>Tipo 1 (≤0,25) uT</v>
      </c>
      <c r="BG68" s="78" t="str">
        <f t="shared" si="39"/>
        <v>Tipo 1 (≤0,25) uT</v>
      </c>
      <c r="BH68" s="78" t="str">
        <f t="shared" si="40"/>
        <v>Tipo 1 (≤0,25) uT</v>
      </c>
    </row>
    <row r="69" spans="1:60" x14ac:dyDescent="0.2">
      <c r="A69" s="30">
        <v>46266</v>
      </c>
      <c r="B69" s="82">
        <v>0.3125</v>
      </c>
      <c r="C69" s="59">
        <v>326</v>
      </c>
      <c r="D69" s="59">
        <v>1500</v>
      </c>
      <c r="E69" s="59">
        <v>250</v>
      </c>
      <c r="F69" s="59">
        <v>2106</v>
      </c>
      <c r="G69" s="87" t="s">
        <v>78</v>
      </c>
      <c r="H69" s="65">
        <v>10.8</v>
      </c>
      <c r="I69" s="59">
        <v>2.94</v>
      </c>
      <c r="J69" s="59">
        <v>90</v>
      </c>
      <c r="K69" s="59">
        <v>90</v>
      </c>
      <c r="L69" s="59">
        <v>90</v>
      </c>
      <c r="M69" s="59">
        <v>24.3</v>
      </c>
      <c r="N69" s="65">
        <v>6.5</v>
      </c>
      <c r="O69" s="38">
        <v>0.92</v>
      </c>
      <c r="P69" s="59">
        <v>8</v>
      </c>
      <c r="Q69" s="65">
        <v>6.3</v>
      </c>
      <c r="R69" s="38">
        <v>0.14000000000000001</v>
      </c>
      <c r="S69" s="36">
        <v>22.36</v>
      </c>
      <c r="T69" s="36">
        <v>0.88</v>
      </c>
      <c r="U69" s="36">
        <v>0.7</v>
      </c>
      <c r="V69" s="42">
        <f t="shared" si="41"/>
        <v>1621.6200000000001</v>
      </c>
      <c r="W69" s="42">
        <f t="shared" si="42"/>
        <v>1372.556302</v>
      </c>
      <c r="X69" s="42">
        <f t="shared" si="43"/>
        <v>0.84641056597723252</v>
      </c>
      <c r="Y69" s="59">
        <v>3</v>
      </c>
      <c r="Z69" s="59">
        <v>4</v>
      </c>
      <c r="AA69" s="65">
        <v>6.5</v>
      </c>
      <c r="AB69" s="59">
        <v>17</v>
      </c>
      <c r="AC69" s="65">
        <v>6.1</v>
      </c>
      <c r="AD69" s="65">
        <v>5.9</v>
      </c>
      <c r="AE69" s="38">
        <v>0.17</v>
      </c>
      <c r="AF69" s="38">
        <v>0.14000000000000001</v>
      </c>
      <c r="AG69" s="42">
        <f t="shared" si="23"/>
        <v>1621.6200000000001</v>
      </c>
      <c r="AH69" s="42">
        <f t="shared" si="44"/>
        <v>1785.9247275999996</v>
      </c>
      <c r="AI69" s="42">
        <f t="shared" si="45"/>
        <v>1.1013213500080163</v>
      </c>
      <c r="AJ69" s="59">
        <v>3</v>
      </c>
      <c r="AK69" s="59">
        <v>4</v>
      </c>
      <c r="AL69" s="65">
        <v>6.3</v>
      </c>
      <c r="AM69" s="59">
        <v>23</v>
      </c>
      <c r="AN69" s="65">
        <v>6.2</v>
      </c>
      <c r="AO69" s="65">
        <v>4.4000000000000004</v>
      </c>
      <c r="AP69" s="38">
        <v>0.12</v>
      </c>
      <c r="AQ69" s="38">
        <v>0.19</v>
      </c>
      <c r="AR69" s="73">
        <f t="shared" si="24"/>
        <v>2076</v>
      </c>
      <c r="AS69" s="75">
        <f t="shared" si="25"/>
        <v>0.15703275529865124</v>
      </c>
      <c r="AT69" s="75">
        <f t="shared" si="26"/>
        <v>0.7225433526011561</v>
      </c>
      <c r="AU69" s="75">
        <f t="shared" si="27"/>
        <v>0.12042389210019268</v>
      </c>
      <c r="AV69" s="26">
        <f t="shared" si="28"/>
        <v>6.4577397910731249E-2</v>
      </c>
      <c r="AW69" s="26">
        <f t="shared" si="29"/>
        <v>8.7369420702754039E-2</v>
      </c>
      <c r="AX69" s="24">
        <f t="shared" si="30"/>
        <v>0.79347826086956519</v>
      </c>
      <c r="AY69" s="24">
        <f t="shared" si="31"/>
        <v>0.84782608695652173</v>
      </c>
      <c r="AZ69" s="77" t="str">
        <f t="shared" si="32"/>
        <v>5,0 ≤ Alc. Bruta &lt; 7,5 mg/L</v>
      </c>
      <c r="BA69" s="77" t="str">
        <f t="shared" si="33"/>
        <v>5 ≤ Cor &lt; 10 uC</v>
      </c>
      <c r="BB69" s="78" t="str">
        <f t="shared" si="34"/>
        <v>Turbidez &lt; 2,5 uT</v>
      </c>
      <c r="BC69" s="79" t="str">
        <f t="shared" si="35"/>
        <v>SM &gt; TOR &gt; BNN</v>
      </c>
      <c r="BD69" s="78" t="str">
        <f t="shared" si="36"/>
        <v>Tipo 1 (≤0,25) uT</v>
      </c>
      <c r="BE69" s="78" t="str">
        <f t="shared" si="37"/>
        <v>Tipo 1 (≤0,25) uT</v>
      </c>
      <c r="BF69" s="78" t="str">
        <f t="shared" si="38"/>
        <v>Tipo 1 (≤0,25) uT</v>
      </c>
      <c r="BG69" s="78" t="str">
        <f t="shared" si="39"/>
        <v>Tipo 1 (≤0,25) uT</v>
      </c>
      <c r="BH69" s="78" t="str">
        <f t="shared" si="40"/>
        <v>Tipo 1 (≤0,25) uT</v>
      </c>
    </row>
    <row r="70" spans="1:60" x14ac:dyDescent="0.2">
      <c r="A70" s="31">
        <v>46266</v>
      </c>
      <c r="B70" s="80">
        <v>0.39583333333333331</v>
      </c>
      <c r="C70" s="57">
        <v>291</v>
      </c>
      <c r="D70" s="57">
        <v>1530</v>
      </c>
      <c r="E70" s="57">
        <v>250</v>
      </c>
      <c r="F70" s="57">
        <v>2071</v>
      </c>
      <c r="G70" s="85" t="s">
        <v>78</v>
      </c>
      <c r="H70" s="63">
        <v>10.7</v>
      </c>
      <c r="I70" s="57">
        <v>2.86</v>
      </c>
      <c r="J70" s="57">
        <v>90</v>
      </c>
      <c r="K70" s="57">
        <v>90</v>
      </c>
      <c r="L70" s="57">
        <v>90</v>
      </c>
      <c r="M70" s="57">
        <v>24.1</v>
      </c>
      <c r="N70" s="63">
        <v>6.5</v>
      </c>
      <c r="O70" s="36">
        <v>0.95</v>
      </c>
      <c r="P70" s="57">
        <v>8</v>
      </c>
      <c r="Q70" s="63">
        <v>5.9</v>
      </c>
      <c r="R70" s="36">
        <v>0.12</v>
      </c>
      <c r="S70" s="36">
        <v>22.36</v>
      </c>
      <c r="T70" s="36">
        <v>0.88</v>
      </c>
      <c r="U70" s="36">
        <v>0.7</v>
      </c>
      <c r="V70" s="42">
        <f t="shared" si="41"/>
        <v>1594.6699999999998</v>
      </c>
      <c r="W70" s="42">
        <f t="shared" si="42"/>
        <v>1372.556302</v>
      </c>
      <c r="X70" s="42">
        <f t="shared" si="43"/>
        <v>0.86071494541190341</v>
      </c>
      <c r="Y70" s="57">
        <v>3</v>
      </c>
      <c r="Z70" s="57">
        <v>4</v>
      </c>
      <c r="AA70" s="63">
        <v>6.5</v>
      </c>
      <c r="AB70" s="57">
        <v>17</v>
      </c>
      <c r="AC70" s="63">
        <v>6.1</v>
      </c>
      <c r="AD70" s="63">
        <v>4.9000000000000004</v>
      </c>
      <c r="AE70" s="36">
        <v>0.15</v>
      </c>
      <c r="AF70" s="36">
        <v>0.23</v>
      </c>
      <c r="AG70" s="42">
        <f t="shared" si="23"/>
        <v>1594.6699999999998</v>
      </c>
      <c r="AH70" s="42">
        <f t="shared" si="44"/>
        <v>1785.9247275999996</v>
      </c>
      <c r="AI70" s="42">
        <f t="shared" si="45"/>
        <v>1.119933734001392</v>
      </c>
      <c r="AJ70" s="57">
        <v>4</v>
      </c>
      <c r="AK70" s="57">
        <v>4</v>
      </c>
      <c r="AL70" s="63">
        <v>6.3</v>
      </c>
      <c r="AM70" s="57">
        <v>23</v>
      </c>
      <c r="AN70" s="63">
        <v>6</v>
      </c>
      <c r="AO70" s="63">
        <v>4.5999999999999996</v>
      </c>
      <c r="AP70" s="36">
        <v>0.18</v>
      </c>
      <c r="AQ70" s="36">
        <v>0.15</v>
      </c>
      <c r="AR70" s="73">
        <f t="shared" si="24"/>
        <v>2071</v>
      </c>
      <c r="AS70" s="75">
        <f t="shared" si="25"/>
        <v>0.14051183003380011</v>
      </c>
      <c r="AT70" s="75">
        <f t="shared" si="26"/>
        <v>0.73877353935296963</v>
      </c>
      <c r="AU70" s="75">
        <f t="shared" si="27"/>
        <v>0.12071463061323032</v>
      </c>
      <c r="AV70" s="26">
        <f t="shared" si="28"/>
        <v>6.56687590535973E-2</v>
      </c>
      <c r="AW70" s="26">
        <f t="shared" si="29"/>
        <v>8.8845968131337522E-2</v>
      </c>
      <c r="AX70" s="24">
        <f t="shared" si="30"/>
        <v>0.84210526315789469</v>
      </c>
      <c r="AY70" s="24">
        <f t="shared" si="31"/>
        <v>0.75789473684210518</v>
      </c>
      <c r="AZ70" s="77" t="str">
        <f t="shared" si="32"/>
        <v>5,0 ≤ Alc. Bruta &lt; 7,5 mg/L</v>
      </c>
      <c r="BA70" s="77" t="str">
        <f t="shared" si="33"/>
        <v>5 ≤ Cor &lt; 10 uC</v>
      </c>
      <c r="BB70" s="78" t="str">
        <f t="shared" si="34"/>
        <v>Turbidez &lt; 2,5 uT</v>
      </c>
      <c r="BC70" s="79" t="str">
        <f t="shared" si="35"/>
        <v>SM &gt; TOR &gt; BNN</v>
      </c>
      <c r="BD70" s="78" t="str">
        <f t="shared" si="36"/>
        <v>Tipo 1 (≤0,25) uT</v>
      </c>
      <c r="BE70" s="78" t="str">
        <f t="shared" si="37"/>
        <v>Tipo 1 (≤0,25) uT</v>
      </c>
      <c r="BF70" s="78" t="str">
        <f t="shared" si="38"/>
        <v>Tipo 1 (≤0,25) uT</v>
      </c>
      <c r="BG70" s="78" t="str">
        <f t="shared" si="39"/>
        <v>Tipo 1 (≤0,25) uT</v>
      </c>
      <c r="BH70" s="78" t="str">
        <f t="shared" si="40"/>
        <v>Tipo 1 (≤0,25) uT</v>
      </c>
    </row>
    <row r="71" spans="1:60" x14ac:dyDescent="0.2">
      <c r="A71" s="31">
        <v>46266</v>
      </c>
      <c r="B71" s="80">
        <v>0.5625</v>
      </c>
      <c r="C71" s="57">
        <v>284</v>
      </c>
      <c r="D71" s="57">
        <v>1520</v>
      </c>
      <c r="E71" s="57">
        <v>280</v>
      </c>
      <c r="F71" s="57">
        <v>2083</v>
      </c>
      <c r="G71" s="85" t="s">
        <v>78</v>
      </c>
      <c r="H71" s="63">
        <v>10.6</v>
      </c>
      <c r="I71" s="57">
        <v>26.1</v>
      </c>
      <c r="J71" s="57">
        <v>90</v>
      </c>
      <c r="K71" s="57">
        <v>90</v>
      </c>
      <c r="L71" s="57">
        <v>90</v>
      </c>
      <c r="M71" s="57">
        <v>24.5</v>
      </c>
      <c r="N71" s="63">
        <v>6.6</v>
      </c>
      <c r="O71" s="36">
        <v>0.99</v>
      </c>
      <c r="P71" s="57">
        <v>7</v>
      </c>
      <c r="Q71" s="63">
        <v>6.3</v>
      </c>
      <c r="R71" s="36">
        <v>0.13</v>
      </c>
      <c r="S71" s="36">
        <v>22.36</v>
      </c>
      <c r="T71" s="36">
        <v>0.88</v>
      </c>
      <c r="U71" s="36">
        <v>0.7</v>
      </c>
      <c r="V71" s="42">
        <f t="shared" si="41"/>
        <v>1606.5137500000001</v>
      </c>
      <c r="W71" s="42">
        <f t="shared" si="42"/>
        <v>1372.556302</v>
      </c>
      <c r="X71" s="42">
        <f t="shared" si="43"/>
        <v>0.8543694705383007</v>
      </c>
      <c r="Y71" s="57">
        <v>4</v>
      </c>
      <c r="Z71" s="57">
        <v>4</v>
      </c>
      <c r="AA71" s="63">
        <v>6.5</v>
      </c>
      <c r="AB71" s="57">
        <v>17</v>
      </c>
      <c r="AC71" s="63">
        <v>6.2</v>
      </c>
      <c r="AD71" s="63">
        <v>5.4</v>
      </c>
      <c r="AE71" s="36">
        <v>0.17</v>
      </c>
      <c r="AF71" s="36">
        <v>0.1</v>
      </c>
      <c r="AG71" s="42">
        <f t="shared" si="23"/>
        <v>1606.5137500000001</v>
      </c>
      <c r="AH71" s="42">
        <f t="shared" si="44"/>
        <v>1785.9247275999996</v>
      </c>
      <c r="AI71" s="42">
        <f t="shared" si="45"/>
        <v>1.1116772125977754</v>
      </c>
      <c r="AJ71" s="57">
        <v>4</v>
      </c>
      <c r="AK71" s="57">
        <v>4</v>
      </c>
      <c r="AL71" s="63">
        <v>6.3</v>
      </c>
      <c r="AM71" s="57">
        <v>23</v>
      </c>
      <c r="AN71" s="63">
        <v>6.1</v>
      </c>
      <c r="AO71" s="63">
        <v>4.5</v>
      </c>
      <c r="AP71" s="36">
        <v>0.2</v>
      </c>
      <c r="AQ71" s="36">
        <v>0.16</v>
      </c>
      <c r="AR71" s="73">
        <f t="shared" si="24"/>
        <v>2084</v>
      </c>
      <c r="AS71" s="75">
        <f t="shared" si="25"/>
        <v>0.1362763915547025</v>
      </c>
      <c r="AT71" s="75">
        <f t="shared" si="26"/>
        <v>0.72936660268714015</v>
      </c>
      <c r="AU71" s="75">
        <f t="shared" si="27"/>
        <v>0.1343570057581574</v>
      </c>
      <c r="AV71" s="26">
        <f t="shared" si="28"/>
        <v>6.5290446471435434E-2</v>
      </c>
      <c r="AW71" s="26">
        <f t="shared" si="29"/>
        <v>8.8334133461353812E-2</v>
      </c>
      <c r="AX71" s="24">
        <f t="shared" si="30"/>
        <v>0.83838383838383834</v>
      </c>
      <c r="AY71" s="24">
        <f t="shared" si="31"/>
        <v>0.89898989898989901</v>
      </c>
      <c r="AZ71" s="77" t="str">
        <f t="shared" si="32"/>
        <v>5,0 ≤ Alc. Bruta &lt; 7,5 mg/L</v>
      </c>
      <c r="BA71" s="77" t="str">
        <f t="shared" si="33"/>
        <v>5 ≤ Cor &lt; 10 uC</v>
      </c>
      <c r="BB71" s="78" t="str">
        <f t="shared" si="34"/>
        <v>Turbidez &lt; 2,5 uT</v>
      </c>
      <c r="BC71" s="79" t="str">
        <f t="shared" si="35"/>
        <v>SM &gt; TOR &gt; BNN</v>
      </c>
      <c r="BD71" s="78" t="str">
        <f t="shared" si="36"/>
        <v>Tipo 1 (≤0,25) uT</v>
      </c>
      <c r="BE71" s="78" t="str">
        <f t="shared" si="37"/>
        <v>Tipo 1 (≤0,25) uT</v>
      </c>
      <c r="BF71" s="78" t="str">
        <f t="shared" si="38"/>
        <v>Tipo 1 (≤0,25) uT</v>
      </c>
      <c r="BG71" s="78" t="str">
        <f t="shared" si="39"/>
        <v>Tipo 1 (≤0,25) uT</v>
      </c>
      <c r="BH71" s="78" t="str">
        <f t="shared" si="40"/>
        <v>Tipo 1 (≤0,25) uT</v>
      </c>
    </row>
    <row r="72" spans="1:60" x14ac:dyDescent="0.2">
      <c r="A72" s="31">
        <v>46266</v>
      </c>
      <c r="B72" s="80">
        <v>0.72916666666666663</v>
      </c>
      <c r="C72" s="57">
        <v>279</v>
      </c>
      <c r="D72" s="57">
        <v>1500</v>
      </c>
      <c r="E72" s="57">
        <v>250</v>
      </c>
      <c r="F72" s="57">
        <v>2029</v>
      </c>
      <c r="G72" s="85" t="s">
        <v>78</v>
      </c>
      <c r="H72" s="63">
        <v>10.8</v>
      </c>
      <c r="I72" s="57">
        <v>-3.91</v>
      </c>
      <c r="J72" s="57">
        <v>90</v>
      </c>
      <c r="K72" s="57">
        <v>90</v>
      </c>
      <c r="L72" s="57">
        <v>90</v>
      </c>
      <c r="M72" s="57">
        <v>24.3</v>
      </c>
      <c r="N72" s="63">
        <v>6.6</v>
      </c>
      <c r="O72" s="36">
        <v>0.96</v>
      </c>
      <c r="P72" s="57">
        <v>7</v>
      </c>
      <c r="Q72" s="63">
        <v>6.6</v>
      </c>
      <c r="R72" s="36">
        <v>0.11</v>
      </c>
      <c r="S72" s="36">
        <v>22.36</v>
      </c>
      <c r="T72" s="36">
        <v>0.88</v>
      </c>
      <c r="U72" s="36">
        <v>0.7</v>
      </c>
      <c r="V72" s="42">
        <f t="shared" si="41"/>
        <v>1572.4750000000001</v>
      </c>
      <c r="W72" s="42">
        <f t="shared" si="42"/>
        <v>1372.556302</v>
      </c>
      <c r="X72" s="42">
        <f t="shared" si="43"/>
        <v>0.87286367160050227</v>
      </c>
      <c r="Y72" s="57">
        <v>3</v>
      </c>
      <c r="Z72" s="57">
        <v>4</v>
      </c>
      <c r="AA72" s="63">
        <v>6.5</v>
      </c>
      <c r="AB72" s="57">
        <v>17</v>
      </c>
      <c r="AC72" s="63">
        <v>6.1</v>
      </c>
      <c r="AD72" s="63">
        <v>5.5</v>
      </c>
      <c r="AE72" s="36">
        <v>0.23</v>
      </c>
      <c r="AF72" s="36">
        <v>0.09</v>
      </c>
      <c r="AG72" s="42">
        <f t="shared" si="23"/>
        <v>1572.4750000000001</v>
      </c>
      <c r="AH72" s="42">
        <f t="shared" si="44"/>
        <v>1785.9247275999996</v>
      </c>
      <c r="AI72" s="42">
        <f t="shared" si="45"/>
        <v>1.1357412535016451</v>
      </c>
      <c r="AJ72" s="57">
        <v>3</v>
      </c>
      <c r="AK72" s="57">
        <v>4</v>
      </c>
      <c r="AL72" s="63">
        <v>6.3</v>
      </c>
      <c r="AM72" s="57">
        <v>23</v>
      </c>
      <c r="AN72" s="63">
        <v>6.1</v>
      </c>
      <c r="AO72" s="63">
        <v>4.9000000000000004</v>
      </c>
      <c r="AP72" s="36">
        <v>0.16</v>
      </c>
      <c r="AQ72" s="36">
        <v>0.15</v>
      </c>
      <c r="AR72" s="73">
        <f t="shared" si="24"/>
        <v>2029</v>
      </c>
      <c r="AS72" s="75">
        <f t="shared" si="25"/>
        <v>0.13750616067028093</v>
      </c>
      <c r="AT72" s="75">
        <f t="shared" si="26"/>
        <v>0.73928043371118779</v>
      </c>
      <c r="AU72" s="75">
        <f t="shared" si="27"/>
        <v>0.12321340561853129</v>
      </c>
      <c r="AV72" s="26">
        <f t="shared" si="28"/>
        <v>6.702809265648102E-2</v>
      </c>
      <c r="AW72" s="26">
        <f t="shared" si="29"/>
        <v>9.0685066535239028E-2</v>
      </c>
      <c r="AX72" s="24">
        <f t="shared" si="30"/>
        <v>0.84375</v>
      </c>
      <c r="AY72" s="24">
        <f t="shared" si="31"/>
        <v>0.90625</v>
      </c>
      <c r="AZ72" s="77" t="str">
        <f t="shared" si="32"/>
        <v>5,0 ≤ Alc. Bruta &lt; 7,5 mg/L</v>
      </c>
      <c r="BA72" s="77" t="str">
        <f t="shared" si="33"/>
        <v>5 ≤ Cor &lt; 10 uC</v>
      </c>
      <c r="BB72" s="78" t="str">
        <f t="shared" si="34"/>
        <v>Turbidez &lt; 2,5 uT</v>
      </c>
      <c r="BC72" s="79" t="str">
        <f t="shared" si="35"/>
        <v>SM &gt; TOR &gt; BNN</v>
      </c>
      <c r="BD72" s="78" t="str">
        <f t="shared" si="36"/>
        <v>Tipo 1 (≤0,25) uT</v>
      </c>
      <c r="BE72" s="78" t="str">
        <f t="shared" si="37"/>
        <v>Tipo 1 (≤0,25) uT</v>
      </c>
      <c r="BF72" s="78" t="str">
        <f t="shared" si="38"/>
        <v>Tipo 1 (≤0,25) uT</v>
      </c>
      <c r="BG72" s="78" t="str">
        <f t="shared" si="39"/>
        <v>Tipo 1 (≤0,25) uT</v>
      </c>
      <c r="BH72" s="78" t="str">
        <f t="shared" si="40"/>
        <v>Tipo 1 (≤0,25) uT</v>
      </c>
    </row>
    <row r="73" spans="1:60" x14ac:dyDescent="0.2">
      <c r="A73" s="31">
        <v>46266</v>
      </c>
      <c r="B73" s="80">
        <v>0.8125</v>
      </c>
      <c r="C73" s="57">
        <v>271</v>
      </c>
      <c r="D73" s="57">
        <v>1498</v>
      </c>
      <c r="E73" s="57">
        <v>250</v>
      </c>
      <c r="F73" s="57">
        <v>2011</v>
      </c>
      <c r="G73" s="85" t="s">
        <v>78</v>
      </c>
      <c r="H73" s="63">
        <v>10.8</v>
      </c>
      <c r="I73" s="57">
        <v>-53.2</v>
      </c>
      <c r="J73" s="57">
        <v>90</v>
      </c>
      <c r="K73" s="57">
        <v>90</v>
      </c>
      <c r="L73" s="57">
        <v>90</v>
      </c>
      <c r="M73" s="57">
        <v>25.5</v>
      </c>
      <c r="N73" s="63">
        <v>6.6</v>
      </c>
      <c r="O73" s="36">
        <v>1.1000000000000001</v>
      </c>
      <c r="P73" s="57">
        <v>7</v>
      </c>
      <c r="Q73" s="63">
        <v>7.8</v>
      </c>
      <c r="R73" s="36">
        <v>7.0000000000000007E-2</v>
      </c>
      <c r="S73" s="36">
        <v>22.36</v>
      </c>
      <c r="T73" s="36">
        <v>0.88</v>
      </c>
      <c r="U73" s="36">
        <v>0.7</v>
      </c>
      <c r="V73" s="42">
        <f t="shared" si="41"/>
        <v>1593.7175</v>
      </c>
      <c r="W73" s="42">
        <f t="shared" si="42"/>
        <v>1346.2938111999999</v>
      </c>
      <c r="X73" s="42">
        <f t="shared" si="43"/>
        <v>0.84475059802003805</v>
      </c>
      <c r="Y73" s="57">
        <v>3</v>
      </c>
      <c r="Z73" s="57">
        <v>4</v>
      </c>
      <c r="AA73" s="63">
        <v>6.4</v>
      </c>
      <c r="AB73" s="57">
        <v>17</v>
      </c>
      <c r="AC73" s="63">
        <v>6.2</v>
      </c>
      <c r="AD73" s="63">
        <v>5.3</v>
      </c>
      <c r="AE73" s="36">
        <v>0.19</v>
      </c>
      <c r="AF73" s="36">
        <v>0.08</v>
      </c>
      <c r="AG73" s="42">
        <f t="shared" si="23"/>
        <v>1593.7175</v>
      </c>
      <c r="AH73" s="42">
        <f t="shared" si="44"/>
        <v>1785.9247275999996</v>
      </c>
      <c r="AI73" s="42">
        <f t="shared" si="45"/>
        <v>1.120603072752856</v>
      </c>
      <c r="AJ73" s="57">
        <v>3</v>
      </c>
      <c r="AK73" s="57">
        <v>4</v>
      </c>
      <c r="AL73" s="63">
        <v>6.3</v>
      </c>
      <c r="AM73" s="57">
        <v>23</v>
      </c>
      <c r="AN73" s="63">
        <v>6.2</v>
      </c>
      <c r="AO73" s="63">
        <v>5.0999999999999996</v>
      </c>
      <c r="AP73" s="36">
        <v>0.13</v>
      </c>
      <c r="AQ73" s="36">
        <v>0.16</v>
      </c>
      <c r="AR73" s="73">
        <f t="shared" si="24"/>
        <v>2019</v>
      </c>
      <c r="AS73" s="75">
        <f t="shared" si="25"/>
        <v>0.1342248637939574</v>
      </c>
      <c r="AT73" s="75">
        <f t="shared" si="26"/>
        <v>0.74195146111936605</v>
      </c>
      <c r="AU73" s="75">
        <f t="shared" si="27"/>
        <v>0.12382367508667658</v>
      </c>
      <c r="AV73" s="26">
        <f t="shared" si="28"/>
        <v>6.7628045748383894E-2</v>
      </c>
      <c r="AW73" s="26">
        <f t="shared" si="29"/>
        <v>9.1496767777225263E-2</v>
      </c>
      <c r="AX73" s="24">
        <f t="shared" si="30"/>
        <v>0.8545454545454545</v>
      </c>
      <c r="AY73" s="24">
        <f t="shared" si="31"/>
        <v>0.92727272727272725</v>
      </c>
      <c r="AZ73" s="77" t="str">
        <f t="shared" si="32"/>
        <v>7,5 ≤ Alc. Bruta &lt; 10,0 mg/L</v>
      </c>
      <c r="BA73" s="77" t="str">
        <f t="shared" si="33"/>
        <v>5 ≤ Cor &lt; 10 uC</v>
      </c>
      <c r="BB73" s="78" t="str">
        <f t="shared" si="34"/>
        <v>Turbidez &lt; 2,5 uT</v>
      </c>
      <c r="BC73" s="79" t="str">
        <f t="shared" si="35"/>
        <v>SM &gt; TOR &gt; BNN</v>
      </c>
      <c r="BD73" s="78" t="str">
        <f t="shared" si="36"/>
        <v>Tipo 1 (≤0,25) uT</v>
      </c>
      <c r="BE73" s="78" t="str">
        <f t="shared" si="37"/>
        <v>Tipo 1 (≤0,25) uT</v>
      </c>
      <c r="BF73" s="78" t="str">
        <f t="shared" si="38"/>
        <v>Tipo 1 (≤0,25) uT</v>
      </c>
      <c r="BG73" s="78" t="str">
        <f t="shared" si="39"/>
        <v>Tipo 1 (≤0,25) uT</v>
      </c>
      <c r="BH73" s="78" t="str">
        <f t="shared" si="40"/>
        <v>Tipo 1 (≤0,25) uT</v>
      </c>
    </row>
    <row r="74" spans="1:60" x14ac:dyDescent="0.2">
      <c r="A74" s="31">
        <v>46266</v>
      </c>
      <c r="B74" s="80">
        <v>0.89583333333333337</v>
      </c>
      <c r="C74" s="57">
        <v>276</v>
      </c>
      <c r="D74" s="57">
        <v>1501</v>
      </c>
      <c r="E74" s="57">
        <v>249</v>
      </c>
      <c r="F74" s="57">
        <v>2026</v>
      </c>
      <c r="G74" s="85" t="s">
        <v>78</v>
      </c>
      <c r="H74" s="63">
        <v>10.8</v>
      </c>
      <c r="I74" s="57">
        <v>-67</v>
      </c>
      <c r="J74" s="57">
        <v>90</v>
      </c>
      <c r="K74" s="57">
        <v>90</v>
      </c>
      <c r="L74" s="57">
        <v>90</v>
      </c>
      <c r="M74" s="57">
        <v>24.5</v>
      </c>
      <c r="N74" s="63">
        <v>6.7</v>
      </c>
      <c r="O74" s="36">
        <v>1.1000000000000001</v>
      </c>
      <c r="P74" s="57">
        <v>6</v>
      </c>
      <c r="Q74" s="63">
        <v>8.1999999999999993</v>
      </c>
      <c r="R74" s="36">
        <v>0.08</v>
      </c>
      <c r="S74" s="36">
        <v>22.36</v>
      </c>
      <c r="T74" s="36">
        <v>0.88</v>
      </c>
      <c r="U74" s="36">
        <v>0.7</v>
      </c>
      <c r="V74" s="42">
        <f t="shared" si="41"/>
        <v>1605.605</v>
      </c>
      <c r="W74" s="42">
        <f t="shared" si="42"/>
        <v>1346.2938111999999</v>
      </c>
      <c r="X74" s="42">
        <f t="shared" si="43"/>
        <v>0.83849627473755994</v>
      </c>
      <c r="Y74" s="57">
        <v>3</v>
      </c>
      <c r="Z74" s="57">
        <v>4</v>
      </c>
      <c r="AA74" s="63">
        <v>6.4</v>
      </c>
      <c r="AB74" s="57">
        <v>17</v>
      </c>
      <c r="AC74" s="63">
        <v>6.3</v>
      </c>
      <c r="AD74" s="63">
        <v>5.6</v>
      </c>
      <c r="AE74" s="36">
        <v>0.16</v>
      </c>
      <c r="AF74" s="36">
        <v>0.09</v>
      </c>
      <c r="AG74" s="42">
        <f t="shared" si="23"/>
        <v>1605.605</v>
      </c>
      <c r="AH74" s="42">
        <f t="shared" si="44"/>
        <v>1750.3931224</v>
      </c>
      <c r="AI74" s="42">
        <f t="shared" si="45"/>
        <v>1.090176676330729</v>
      </c>
      <c r="AJ74" s="57">
        <v>3</v>
      </c>
      <c r="AK74" s="57">
        <v>4</v>
      </c>
      <c r="AL74" s="63">
        <v>6.2</v>
      </c>
      <c r="AM74" s="57">
        <v>23</v>
      </c>
      <c r="AN74" s="63">
        <v>6.3</v>
      </c>
      <c r="AO74" s="63">
        <v>5.5</v>
      </c>
      <c r="AP74" s="36">
        <v>0.13</v>
      </c>
      <c r="AQ74" s="36">
        <v>0.17</v>
      </c>
      <c r="AR74" s="73">
        <f t="shared" si="24"/>
        <v>2026</v>
      </c>
      <c r="AS74" s="75">
        <f t="shared" si="25"/>
        <v>0.13622902270483711</v>
      </c>
      <c r="AT74" s="75">
        <f t="shared" si="26"/>
        <v>0.74086870681145112</v>
      </c>
      <c r="AU74" s="75">
        <f t="shared" si="27"/>
        <v>0.12290227048371175</v>
      </c>
      <c r="AV74" s="26">
        <f t="shared" si="28"/>
        <v>6.7127344521224083E-2</v>
      </c>
      <c r="AW74" s="26">
        <f t="shared" si="29"/>
        <v>9.0819348469891412E-2</v>
      </c>
      <c r="AX74" s="24">
        <f t="shared" si="30"/>
        <v>0.84545454545454546</v>
      </c>
      <c r="AY74" s="24">
        <f t="shared" si="31"/>
        <v>0.91818181818181821</v>
      </c>
      <c r="AZ74" s="77" t="str">
        <f t="shared" si="32"/>
        <v>7,5 ≤ Alc. Bruta &lt; 10,0 mg/L</v>
      </c>
      <c r="BA74" s="77" t="str">
        <f t="shared" si="33"/>
        <v>5 ≤ Cor &lt; 10 uC</v>
      </c>
      <c r="BB74" s="78" t="str">
        <f t="shared" si="34"/>
        <v>Turbidez &lt; 2,5 uT</v>
      </c>
      <c r="BC74" s="79" t="str">
        <f t="shared" si="35"/>
        <v>SM &gt; TOR &gt; BNN</v>
      </c>
      <c r="BD74" s="78" t="str">
        <f t="shared" si="36"/>
        <v>Tipo 1 (≤0,25) uT</v>
      </c>
      <c r="BE74" s="78" t="str">
        <f t="shared" si="37"/>
        <v>Tipo 1 (≤0,25) uT</v>
      </c>
      <c r="BF74" s="78" t="str">
        <f t="shared" si="38"/>
        <v>Tipo 1 (≤0,25) uT</v>
      </c>
      <c r="BG74" s="78" t="str">
        <f t="shared" si="39"/>
        <v>Tipo 1 (≤0,25) uT</v>
      </c>
      <c r="BH74" s="78" t="str">
        <f t="shared" si="40"/>
        <v>Tipo 1 (≤0,25) uT</v>
      </c>
    </row>
    <row r="75" spans="1:60" x14ac:dyDescent="0.2">
      <c r="A75" s="31">
        <v>46267</v>
      </c>
      <c r="B75" s="80">
        <v>6.25E-2</v>
      </c>
      <c r="C75" s="57">
        <v>291</v>
      </c>
      <c r="D75" s="57">
        <v>1493</v>
      </c>
      <c r="E75" s="57">
        <v>250</v>
      </c>
      <c r="F75" s="57">
        <v>2034</v>
      </c>
      <c r="G75" s="85" t="s">
        <v>78</v>
      </c>
      <c r="H75" s="63">
        <v>10.8</v>
      </c>
      <c r="I75" s="57">
        <v>-78</v>
      </c>
      <c r="J75" s="57">
        <v>90</v>
      </c>
      <c r="K75" s="57">
        <v>90</v>
      </c>
      <c r="L75" s="57">
        <v>90</v>
      </c>
      <c r="M75" s="57">
        <v>24.9</v>
      </c>
      <c r="N75" s="63">
        <v>6.6</v>
      </c>
      <c r="O75" s="36">
        <v>0.95</v>
      </c>
      <c r="P75" s="57">
        <v>6</v>
      </c>
      <c r="Q75" s="63">
        <v>8.6</v>
      </c>
      <c r="R75" s="36">
        <v>0.08</v>
      </c>
      <c r="S75" s="36">
        <v>22.36</v>
      </c>
      <c r="T75" s="36">
        <v>0.88</v>
      </c>
      <c r="U75" s="36">
        <v>0.7</v>
      </c>
      <c r="V75" s="42">
        <f t="shared" si="41"/>
        <v>1573.8075000000001</v>
      </c>
      <c r="W75" s="42">
        <f t="shared" si="42"/>
        <v>1372.556302</v>
      </c>
      <c r="X75" s="42">
        <f t="shared" si="43"/>
        <v>0.87212464167313974</v>
      </c>
      <c r="Y75" s="57">
        <v>3</v>
      </c>
      <c r="Z75" s="57">
        <v>4</v>
      </c>
      <c r="AA75" s="63">
        <v>6.5</v>
      </c>
      <c r="AB75" s="57">
        <v>17</v>
      </c>
      <c r="AC75" s="63">
        <v>6.2</v>
      </c>
      <c r="AD75" s="63">
        <v>5.8</v>
      </c>
      <c r="AE75" s="36">
        <v>0.1</v>
      </c>
      <c r="AF75" s="36">
        <v>0.1</v>
      </c>
      <c r="AG75" s="42">
        <f t="shared" si="23"/>
        <v>1573.8075000000001</v>
      </c>
      <c r="AH75" s="42">
        <f t="shared" si="44"/>
        <v>1750.3931224</v>
      </c>
      <c r="AI75" s="42">
        <f t="shared" si="45"/>
        <v>1.1122028090474851</v>
      </c>
      <c r="AJ75" s="57">
        <v>3</v>
      </c>
      <c r="AK75" s="57">
        <v>4</v>
      </c>
      <c r="AL75" s="63">
        <v>6.2</v>
      </c>
      <c r="AM75" s="57">
        <v>23</v>
      </c>
      <c r="AN75" s="63">
        <v>6.1</v>
      </c>
      <c r="AO75" s="63">
        <v>5.9</v>
      </c>
      <c r="AP75" s="36">
        <v>0.12</v>
      </c>
      <c r="AQ75" s="36">
        <v>0.18</v>
      </c>
      <c r="AR75" s="73">
        <f t="shared" si="24"/>
        <v>2034</v>
      </c>
      <c r="AS75" s="75">
        <f t="shared" si="25"/>
        <v>0.14306784660766961</v>
      </c>
      <c r="AT75" s="75">
        <f t="shared" si="26"/>
        <v>0.73402163225172079</v>
      </c>
      <c r="AU75" s="75">
        <f t="shared" si="27"/>
        <v>0.12291052114060963</v>
      </c>
      <c r="AV75" s="26">
        <f t="shared" si="28"/>
        <v>6.6863323500491637E-2</v>
      </c>
      <c r="AW75" s="26">
        <f t="shared" si="29"/>
        <v>9.0462143559488686E-2</v>
      </c>
      <c r="AX75" s="24">
        <f t="shared" si="30"/>
        <v>0.81052631578947365</v>
      </c>
      <c r="AY75" s="24">
        <f t="shared" si="31"/>
        <v>0.89473684210526316</v>
      </c>
      <c r="AZ75" s="77" t="str">
        <f t="shared" si="32"/>
        <v>7,5 ≤ Alc. Bruta &lt; 10,0 mg/L</v>
      </c>
      <c r="BA75" s="77" t="str">
        <f t="shared" si="33"/>
        <v>5 ≤ Cor &lt; 10 uC</v>
      </c>
      <c r="BB75" s="78" t="str">
        <f t="shared" si="34"/>
        <v>Turbidez &lt; 2,5 uT</v>
      </c>
      <c r="BC75" s="79" t="str">
        <f t="shared" si="35"/>
        <v>SM &gt; TOR &gt; BNN</v>
      </c>
      <c r="BD75" s="78" t="str">
        <f t="shared" si="36"/>
        <v>Tipo 1 (≤0,25) uT</v>
      </c>
      <c r="BE75" s="78" t="str">
        <f t="shared" si="37"/>
        <v>Tipo 1 (≤0,25) uT</v>
      </c>
      <c r="BF75" s="78" t="str">
        <f t="shared" si="38"/>
        <v>Tipo 1 (≤0,25) uT</v>
      </c>
      <c r="BG75" s="78" t="str">
        <f t="shared" si="39"/>
        <v>Tipo 1 (≤0,25) uT</v>
      </c>
      <c r="BH75" s="78" t="str">
        <f t="shared" si="40"/>
        <v>Tipo 1 (≤0,25) uT</v>
      </c>
    </row>
    <row r="76" spans="1:60" x14ac:dyDescent="0.2">
      <c r="A76" s="31">
        <v>46267</v>
      </c>
      <c r="B76" s="80">
        <v>0.14583333333333334</v>
      </c>
      <c r="C76" s="57">
        <v>298</v>
      </c>
      <c r="D76" s="57">
        <v>1485</v>
      </c>
      <c r="E76" s="57">
        <v>250</v>
      </c>
      <c r="F76" s="57">
        <v>2023</v>
      </c>
      <c r="G76" s="85" t="s">
        <v>78</v>
      </c>
      <c r="H76" s="63">
        <v>10.8</v>
      </c>
      <c r="I76" s="57">
        <v>-78.8</v>
      </c>
      <c r="J76" s="57">
        <v>90</v>
      </c>
      <c r="K76" s="57">
        <v>90</v>
      </c>
      <c r="L76" s="57">
        <v>90</v>
      </c>
      <c r="M76" s="57">
        <v>24.4</v>
      </c>
      <c r="N76" s="63">
        <v>6.5</v>
      </c>
      <c r="O76" s="36">
        <v>1</v>
      </c>
      <c r="P76" s="57">
        <v>7</v>
      </c>
      <c r="Q76" s="63">
        <v>8.9</v>
      </c>
      <c r="R76" s="36">
        <v>7.0000000000000007E-2</v>
      </c>
      <c r="S76" s="36">
        <v>22.36</v>
      </c>
      <c r="T76" s="36">
        <v>0.88</v>
      </c>
      <c r="U76" s="36">
        <v>0.7</v>
      </c>
      <c r="V76" s="42">
        <f t="shared" si="41"/>
        <v>1577.94</v>
      </c>
      <c r="W76" s="42">
        <f t="shared" si="42"/>
        <v>1372.556302</v>
      </c>
      <c r="X76" s="42">
        <f t="shared" si="43"/>
        <v>0.86984061624649855</v>
      </c>
      <c r="Y76" s="57">
        <v>3</v>
      </c>
      <c r="Z76" s="57">
        <v>4</v>
      </c>
      <c r="AA76" s="63">
        <v>6.5</v>
      </c>
      <c r="AB76" s="57">
        <v>17</v>
      </c>
      <c r="AC76" s="63">
        <v>6.3</v>
      </c>
      <c r="AD76" s="63">
        <v>6</v>
      </c>
      <c r="AE76" s="36">
        <v>0.19</v>
      </c>
      <c r="AF76" s="36">
        <v>0.1</v>
      </c>
      <c r="AG76" s="42">
        <f t="shared" si="23"/>
        <v>1577.94</v>
      </c>
      <c r="AH76" s="42">
        <f t="shared" si="44"/>
        <v>1750.3931224</v>
      </c>
      <c r="AI76" s="42">
        <f t="shared" si="45"/>
        <v>1.1092900378975119</v>
      </c>
      <c r="AJ76" s="57">
        <v>3</v>
      </c>
      <c r="AK76" s="57">
        <v>4</v>
      </c>
      <c r="AL76" s="63">
        <v>6.2</v>
      </c>
      <c r="AM76" s="57">
        <v>23</v>
      </c>
      <c r="AN76" s="63">
        <v>6.2</v>
      </c>
      <c r="AO76" s="63">
        <v>6.2</v>
      </c>
      <c r="AP76" s="36">
        <v>0.21</v>
      </c>
      <c r="AQ76" s="36">
        <v>0.2</v>
      </c>
      <c r="AR76" s="73">
        <f t="shared" si="24"/>
        <v>2033</v>
      </c>
      <c r="AS76" s="75">
        <f t="shared" si="25"/>
        <v>0.14658140678799803</v>
      </c>
      <c r="AT76" s="75">
        <f t="shared" si="26"/>
        <v>0.73044761436301031</v>
      </c>
      <c r="AU76" s="75">
        <f t="shared" si="27"/>
        <v>0.12297097884899164</v>
      </c>
      <c r="AV76" s="26">
        <f t="shared" si="28"/>
        <v>6.7226890756302518E-2</v>
      </c>
      <c r="AW76" s="26">
        <f t="shared" si="29"/>
        <v>9.0954028670291648E-2</v>
      </c>
      <c r="AX76" s="24">
        <f t="shared" si="30"/>
        <v>0.8</v>
      </c>
      <c r="AY76" s="24">
        <f t="shared" si="31"/>
        <v>0.9</v>
      </c>
      <c r="AZ76" s="77" t="str">
        <f t="shared" si="32"/>
        <v>7,5 ≤ Alc. Bruta &lt; 10,0 mg/L</v>
      </c>
      <c r="BA76" s="77" t="str">
        <f t="shared" si="33"/>
        <v>5 ≤ Cor &lt; 10 uC</v>
      </c>
      <c r="BB76" s="78" t="str">
        <f t="shared" si="34"/>
        <v>Turbidez &lt; 2,5 uT</v>
      </c>
      <c r="BC76" s="79" t="str">
        <f t="shared" si="35"/>
        <v>SM &gt; TOR &gt; BNN</v>
      </c>
      <c r="BD76" s="78" t="str">
        <f t="shared" si="36"/>
        <v>Tipo 1 (≤0,25) uT</v>
      </c>
      <c r="BE76" s="78" t="str">
        <f t="shared" si="37"/>
        <v>Tipo 1 (≤0,25) uT</v>
      </c>
      <c r="BF76" s="78" t="str">
        <f t="shared" si="38"/>
        <v>Tipo 1 (≤0,25) uT</v>
      </c>
      <c r="BG76" s="78" t="str">
        <f t="shared" si="39"/>
        <v>Tipo 1 (≤0,25) uT</v>
      </c>
      <c r="BH76" s="78" t="str">
        <f t="shared" si="40"/>
        <v>Tipo 1 (≤0,25) uT</v>
      </c>
    </row>
    <row r="77" spans="1:60" ht="15.75" thickBot="1" x14ac:dyDescent="0.25">
      <c r="A77" s="32">
        <v>46267</v>
      </c>
      <c r="B77" s="81">
        <v>0.22916666666666666</v>
      </c>
      <c r="C77" s="58">
        <v>422</v>
      </c>
      <c r="D77" s="58">
        <v>1496</v>
      </c>
      <c r="E77" s="58">
        <v>249</v>
      </c>
      <c r="F77" s="58">
        <v>2231</v>
      </c>
      <c r="G77" s="86" t="s">
        <v>78</v>
      </c>
      <c r="H77" s="64">
        <v>10.8</v>
      </c>
      <c r="I77" s="58">
        <v>-80</v>
      </c>
      <c r="J77" s="58">
        <v>90</v>
      </c>
      <c r="K77" s="58">
        <v>90</v>
      </c>
      <c r="L77" s="58">
        <v>90</v>
      </c>
      <c r="M77" s="58">
        <v>23.7</v>
      </c>
      <c r="N77" s="64">
        <v>6.6</v>
      </c>
      <c r="O77" s="37">
        <v>1.04</v>
      </c>
      <c r="P77" s="58">
        <v>3</v>
      </c>
      <c r="Q77" s="64">
        <v>8.4</v>
      </c>
      <c r="R77" s="37">
        <v>7.0000000000000007E-2</v>
      </c>
      <c r="S77" s="36">
        <v>22.36</v>
      </c>
      <c r="T77" s="36">
        <v>0.88</v>
      </c>
      <c r="U77" s="36">
        <v>0.7</v>
      </c>
      <c r="V77" s="42">
        <f t="shared" si="41"/>
        <v>1751.335</v>
      </c>
      <c r="W77" s="42">
        <f t="shared" si="42"/>
        <v>1372.556302</v>
      </c>
      <c r="X77" s="42">
        <f t="shared" si="43"/>
        <v>0.78372002044154887</v>
      </c>
      <c r="Y77" s="58">
        <v>3</v>
      </c>
      <c r="Z77" s="58">
        <v>4</v>
      </c>
      <c r="AA77" s="64">
        <v>6.5</v>
      </c>
      <c r="AB77" s="58">
        <v>17</v>
      </c>
      <c r="AC77" s="64">
        <v>6.2</v>
      </c>
      <c r="AD77" s="64">
        <v>7.1</v>
      </c>
      <c r="AE77" s="37">
        <v>0.18</v>
      </c>
      <c r="AF77" s="37">
        <v>0.1</v>
      </c>
      <c r="AG77" s="42">
        <f t="shared" si="23"/>
        <v>1751.335</v>
      </c>
      <c r="AH77" s="42">
        <f t="shared" si="44"/>
        <v>1963.5827535999999</v>
      </c>
      <c r="AI77" s="42">
        <f t="shared" si="45"/>
        <v>1.1211919784621445</v>
      </c>
      <c r="AJ77" s="58">
        <v>3</v>
      </c>
      <c r="AK77" s="58">
        <v>4</v>
      </c>
      <c r="AL77" s="64">
        <v>6.8</v>
      </c>
      <c r="AM77" s="58">
        <v>23</v>
      </c>
      <c r="AN77" s="64">
        <v>6.2</v>
      </c>
      <c r="AO77" s="64">
        <v>6.5</v>
      </c>
      <c r="AP77" s="37">
        <v>0.14000000000000001</v>
      </c>
      <c r="AQ77" s="37">
        <v>0.18</v>
      </c>
      <c r="AR77" s="73">
        <f t="shared" si="24"/>
        <v>2167</v>
      </c>
      <c r="AS77" s="75">
        <f t="shared" si="25"/>
        <v>0.19473927088140286</v>
      </c>
      <c r="AT77" s="75">
        <f t="shared" si="26"/>
        <v>0.69035532994923854</v>
      </c>
      <c r="AU77" s="75">
        <f t="shared" si="27"/>
        <v>0.11490539916935856</v>
      </c>
      <c r="AV77" s="26">
        <f t="shared" si="28"/>
        <v>6.0959211116091441E-2</v>
      </c>
      <c r="AW77" s="26">
        <f t="shared" si="29"/>
        <v>8.247422680412371E-2</v>
      </c>
      <c r="AX77" s="24">
        <f t="shared" si="30"/>
        <v>0.82692307692307687</v>
      </c>
      <c r="AY77" s="24">
        <f t="shared" si="31"/>
        <v>0.90384615384615385</v>
      </c>
      <c r="AZ77" s="77" t="str">
        <f t="shared" si="32"/>
        <v>7,5 ≤ Alc. Bruta &lt; 10,0 mg/L</v>
      </c>
      <c r="BA77" s="77" t="str">
        <f t="shared" si="33"/>
        <v>Cor &lt;5 uC</v>
      </c>
      <c r="BB77" s="78" t="str">
        <f t="shared" si="34"/>
        <v>Turbidez &lt; 2,5 uT</v>
      </c>
      <c r="BC77" s="79" t="str">
        <f t="shared" si="35"/>
        <v>SM &gt; TOR &gt; BNN</v>
      </c>
      <c r="BD77" s="78" t="str">
        <f t="shared" si="36"/>
        <v>Tipo 1 (≤0,25) uT</v>
      </c>
      <c r="BE77" s="78" t="str">
        <f t="shared" si="37"/>
        <v>Tipo 1 (≤0,25) uT</v>
      </c>
      <c r="BF77" s="78" t="str">
        <f t="shared" si="38"/>
        <v>Tipo 1 (≤0,25) uT</v>
      </c>
      <c r="BG77" s="78" t="str">
        <f t="shared" si="39"/>
        <v>Tipo 1 (≤0,25) uT</v>
      </c>
      <c r="BH77" s="78" t="str">
        <f t="shared" si="40"/>
        <v>Tipo 1 (≤0,25) uT</v>
      </c>
    </row>
    <row r="78" spans="1:60" x14ac:dyDescent="0.2">
      <c r="A78" s="30">
        <v>46267</v>
      </c>
      <c r="B78" s="82">
        <v>0.3125</v>
      </c>
      <c r="C78" s="59">
        <v>390</v>
      </c>
      <c r="D78" s="59">
        <v>1500</v>
      </c>
      <c r="E78" s="59">
        <v>250</v>
      </c>
      <c r="F78" s="59">
        <v>2231</v>
      </c>
      <c r="G78" s="87" t="s">
        <v>78</v>
      </c>
      <c r="H78" s="65">
        <v>10.8</v>
      </c>
      <c r="I78" s="59">
        <v>-85</v>
      </c>
      <c r="J78" s="59">
        <v>90</v>
      </c>
      <c r="K78" s="59">
        <v>90</v>
      </c>
      <c r="L78" s="59">
        <v>90</v>
      </c>
      <c r="M78" s="59">
        <v>24.1</v>
      </c>
      <c r="N78" s="65">
        <v>6.5</v>
      </c>
      <c r="O78" s="38">
        <v>1.08</v>
      </c>
      <c r="P78" s="59">
        <v>4</v>
      </c>
      <c r="Q78" s="65">
        <v>8.6999999999999993</v>
      </c>
      <c r="R78" s="38">
        <v>7.0000000000000007E-2</v>
      </c>
      <c r="S78" s="36">
        <v>22.36</v>
      </c>
      <c r="T78" s="36">
        <v>0.88</v>
      </c>
      <c r="U78" s="36">
        <v>0.7</v>
      </c>
      <c r="V78" s="42">
        <f t="shared" si="41"/>
        <v>1762.49</v>
      </c>
      <c r="W78" s="42">
        <f t="shared" si="42"/>
        <v>1372.556302</v>
      </c>
      <c r="X78" s="42">
        <f t="shared" si="43"/>
        <v>0.77875976714761497</v>
      </c>
      <c r="Y78" s="59">
        <v>3</v>
      </c>
      <c r="Z78" s="59">
        <v>4</v>
      </c>
      <c r="AA78" s="65">
        <v>6.5</v>
      </c>
      <c r="AB78" s="59">
        <v>17</v>
      </c>
      <c r="AC78" s="65">
        <v>6.2</v>
      </c>
      <c r="AD78" s="65">
        <v>6.6</v>
      </c>
      <c r="AE78" s="38">
        <v>0.15</v>
      </c>
      <c r="AF78" s="38">
        <v>0.12</v>
      </c>
      <c r="AG78" s="42">
        <f t="shared" si="23"/>
        <v>1762.49</v>
      </c>
      <c r="AH78" s="42">
        <f t="shared" si="44"/>
        <v>1785.9247275999996</v>
      </c>
      <c r="AI78" s="42">
        <f t="shared" si="45"/>
        <v>1.0132963747879418</v>
      </c>
      <c r="AJ78" s="59">
        <v>3</v>
      </c>
      <c r="AK78" s="59">
        <v>4</v>
      </c>
      <c r="AL78" s="65">
        <v>6.3</v>
      </c>
      <c r="AM78" s="59">
        <v>23</v>
      </c>
      <c r="AN78" s="65">
        <v>6.1</v>
      </c>
      <c r="AO78" s="65">
        <v>5.9</v>
      </c>
      <c r="AP78" s="38">
        <v>0.16</v>
      </c>
      <c r="AQ78" s="38">
        <v>0.19</v>
      </c>
      <c r="AR78" s="73">
        <f t="shared" si="24"/>
        <v>2140</v>
      </c>
      <c r="AS78" s="75">
        <f t="shared" si="25"/>
        <v>0.1822429906542056</v>
      </c>
      <c r="AT78" s="75">
        <f t="shared" si="26"/>
        <v>0.7009345794392523</v>
      </c>
      <c r="AU78" s="75">
        <f t="shared" si="27"/>
        <v>0.11682242990654206</v>
      </c>
      <c r="AV78" s="26">
        <f t="shared" si="28"/>
        <v>6.0959211116091441E-2</v>
      </c>
      <c r="AW78" s="26">
        <f t="shared" si="29"/>
        <v>8.247422680412371E-2</v>
      </c>
      <c r="AX78" s="24">
        <f t="shared" si="30"/>
        <v>0.82407407407407407</v>
      </c>
      <c r="AY78" s="24">
        <f t="shared" si="31"/>
        <v>0.88888888888888884</v>
      </c>
      <c r="AZ78" s="77" t="str">
        <f t="shared" si="32"/>
        <v>7,5 ≤ Alc. Bruta &lt; 10,0 mg/L</v>
      </c>
      <c r="BA78" s="77" t="str">
        <f t="shared" si="33"/>
        <v>Cor &lt;5 uC</v>
      </c>
      <c r="BB78" s="78" t="str">
        <f t="shared" si="34"/>
        <v>Turbidez &lt; 2,5 uT</v>
      </c>
      <c r="BC78" s="79" t="str">
        <f t="shared" si="35"/>
        <v>SM &gt; TOR &gt; BNN</v>
      </c>
      <c r="BD78" s="78" t="str">
        <f t="shared" si="36"/>
        <v>Tipo 1 (≤0,25) uT</v>
      </c>
      <c r="BE78" s="78" t="str">
        <f t="shared" si="37"/>
        <v>Tipo 1 (≤0,25) uT</v>
      </c>
      <c r="BF78" s="78" t="str">
        <f t="shared" si="38"/>
        <v>Tipo 1 (≤0,25) uT</v>
      </c>
      <c r="BG78" s="78" t="str">
        <f t="shared" si="39"/>
        <v>Tipo 1 (≤0,25) uT</v>
      </c>
      <c r="BH78" s="78" t="str">
        <f t="shared" si="40"/>
        <v>Tipo 1 (≤0,25) uT</v>
      </c>
    </row>
    <row r="79" spans="1:60" x14ac:dyDescent="0.2">
      <c r="A79" s="31">
        <v>46267</v>
      </c>
      <c r="B79" s="80">
        <v>0.39583333333333331</v>
      </c>
      <c r="C79" s="57">
        <v>386</v>
      </c>
      <c r="D79" s="57">
        <v>1635</v>
      </c>
      <c r="E79" s="57">
        <v>250</v>
      </c>
      <c r="F79" s="57">
        <v>2304</v>
      </c>
      <c r="G79" s="85" t="s">
        <v>78</v>
      </c>
      <c r="H79" s="63">
        <v>10.8</v>
      </c>
      <c r="I79" s="57">
        <v>-84</v>
      </c>
      <c r="J79" s="57">
        <v>90</v>
      </c>
      <c r="K79" s="57">
        <v>90</v>
      </c>
      <c r="L79" s="57">
        <v>90</v>
      </c>
      <c r="M79" s="57">
        <v>24.3</v>
      </c>
      <c r="N79" s="63">
        <v>6.4</v>
      </c>
      <c r="O79" s="36">
        <v>1.0900000000000001</v>
      </c>
      <c r="P79" s="57">
        <v>5</v>
      </c>
      <c r="Q79" s="63">
        <v>6</v>
      </c>
      <c r="R79" s="36">
        <v>0.11</v>
      </c>
      <c r="S79" s="36">
        <v>22.36</v>
      </c>
      <c r="T79" s="36">
        <v>0.88</v>
      </c>
      <c r="U79" s="36">
        <v>0.7</v>
      </c>
      <c r="V79" s="42">
        <f t="shared" si="41"/>
        <v>1823.04</v>
      </c>
      <c r="W79" s="42">
        <f t="shared" si="42"/>
        <v>1372.556302</v>
      </c>
      <c r="X79" s="42">
        <f t="shared" si="43"/>
        <v>0.7528942327101984</v>
      </c>
      <c r="Y79" s="57">
        <v>4</v>
      </c>
      <c r="Z79" s="57">
        <v>4</v>
      </c>
      <c r="AA79" s="63">
        <v>6.5</v>
      </c>
      <c r="AB79" s="57">
        <v>17</v>
      </c>
      <c r="AC79" s="63">
        <v>6.1</v>
      </c>
      <c r="AD79" s="63">
        <v>5</v>
      </c>
      <c r="AE79" s="36">
        <v>0.22</v>
      </c>
      <c r="AF79" s="36">
        <v>0.13</v>
      </c>
      <c r="AG79" s="42">
        <f t="shared" si="23"/>
        <v>1823.04</v>
      </c>
      <c r="AH79" s="42">
        <f t="shared" si="44"/>
        <v>1785.9247275999996</v>
      </c>
      <c r="AI79" s="42">
        <f t="shared" si="45"/>
        <v>0.9796409994295241</v>
      </c>
      <c r="AJ79" s="57">
        <v>3</v>
      </c>
      <c r="AK79" s="57">
        <v>4</v>
      </c>
      <c r="AL79" s="63">
        <v>6.3</v>
      </c>
      <c r="AM79" s="57">
        <v>23</v>
      </c>
      <c r="AN79" s="63">
        <v>6</v>
      </c>
      <c r="AO79" s="63">
        <v>4.4000000000000004</v>
      </c>
      <c r="AP79" s="36">
        <v>0.22</v>
      </c>
      <c r="AQ79" s="36">
        <v>0.2</v>
      </c>
      <c r="AR79" s="73">
        <f t="shared" si="24"/>
        <v>2271</v>
      </c>
      <c r="AS79" s="75">
        <f t="shared" si="25"/>
        <v>0.16996917657419638</v>
      </c>
      <c r="AT79" s="75">
        <f t="shared" si="26"/>
        <v>0.7199471598414795</v>
      </c>
      <c r="AU79" s="75">
        <f t="shared" si="27"/>
        <v>0.11008366358432409</v>
      </c>
      <c r="AV79" s="26">
        <f t="shared" si="28"/>
        <v>5.9027777777777776E-2</v>
      </c>
      <c r="AW79" s="26">
        <f t="shared" si="29"/>
        <v>7.9861111111111105E-2</v>
      </c>
      <c r="AX79" s="24">
        <f t="shared" si="30"/>
        <v>0.8165137614678899</v>
      </c>
      <c r="AY79" s="24">
        <f t="shared" si="31"/>
        <v>0.88073394495412849</v>
      </c>
      <c r="AZ79" s="77" t="str">
        <f t="shared" si="32"/>
        <v>5,0 ≤ Alc. Bruta &lt; 7,5 mg/L</v>
      </c>
      <c r="BA79" s="77" t="str">
        <f t="shared" si="33"/>
        <v>5 ≤ Cor &lt; 10 uC</v>
      </c>
      <c r="BB79" s="78" t="str">
        <f t="shared" si="34"/>
        <v>Turbidez &lt; 2,5 uT</v>
      </c>
      <c r="BC79" s="79" t="str">
        <f t="shared" si="35"/>
        <v>SM &gt; TOR &gt; BNN</v>
      </c>
      <c r="BD79" s="78" t="str">
        <f t="shared" si="36"/>
        <v>Tipo 1 (≤0,25) uT</v>
      </c>
      <c r="BE79" s="78" t="str">
        <f t="shared" si="37"/>
        <v>Tipo 1 (≤0,25) uT</v>
      </c>
      <c r="BF79" s="78" t="str">
        <f t="shared" si="38"/>
        <v>Tipo 1 (≤0,25) uT</v>
      </c>
      <c r="BG79" s="78" t="str">
        <f t="shared" si="39"/>
        <v>Tipo 1 (≤0,25) uT</v>
      </c>
      <c r="BH79" s="78" t="str">
        <f t="shared" si="40"/>
        <v>Tipo 1 (≤0,25) uT</v>
      </c>
    </row>
    <row r="80" spans="1:60" x14ac:dyDescent="0.2">
      <c r="A80" s="31">
        <v>46267</v>
      </c>
      <c r="B80" s="80">
        <v>0.47916666666666669</v>
      </c>
      <c r="C80" s="57">
        <v>376</v>
      </c>
      <c r="D80" s="57">
        <v>1650</v>
      </c>
      <c r="E80" s="57">
        <v>249</v>
      </c>
      <c r="F80" s="57">
        <v>2237</v>
      </c>
      <c r="G80" s="85" t="s">
        <v>78</v>
      </c>
      <c r="H80" s="63">
        <v>10.8</v>
      </c>
      <c r="I80" s="57">
        <v>-83</v>
      </c>
      <c r="J80" s="57">
        <v>90</v>
      </c>
      <c r="K80" s="57">
        <v>90</v>
      </c>
      <c r="L80" s="57">
        <v>90</v>
      </c>
      <c r="M80" s="57">
        <v>24.2</v>
      </c>
      <c r="N80" s="63">
        <v>6.4</v>
      </c>
      <c r="O80" s="36">
        <v>1.02</v>
      </c>
      <c r="P80" s="57">
        <v>5</v>
      </c>
      <c r="Q80" s="63">
        <v>5.7</v>
      </c>
      <c r="R80" s="36">
        <v>0.14000000000000001</v>
      </c>
      <c r="S80" s="36">
        <v>22.36</v>
      </c>
      <c r="T80" s="36">
        <v>0.88</v>
      </c>
      <c r="U80" s="36">
        <v>0.7</v>
      </c>
      <c r="V80" s="42">
        <f t="shared" si="41"/>
        <v>1750.4524999999999</v>
      </c>
      <c r="W80" s="42">
        <f t="shared" si="42"/>
        <v>1372.556302</v>
      </c>
      <c r="X80" s="42">
        <f t="shared" si="43"/>
        <v>0.78411513708598213</v>
      </c>
      <c r="Y80" s="57">
        <v>3</v>
      </c>
      <c r="Z80" s="57">
        <v>4</v>
      </c>
      <c r="AA80" s="63">
        <v>6.5</v>
      </c>
      <c r="AB80" s="57">
        <v>17</v>
      </c>
      <c r="AC80" s="63">
        <v>6.2</v>
      </c>
      <c r="AD80" s="63">
        <v>4.5</v>
      </c>
      <c r="AE80" s="36">
        <v>0.2</v>
      </c>
      <c r="AF80" s="36">
        <v>0.13</v>
      </c>
      <c r="AG80" s="42">
        <f t="shared" si="23"/>
        <v>1750.4524999999999</v>
      </c>
      <c r="AH80" s="42">
        <f t="shared" si="44"/>
        <v>1785.9247275999996</v>
      </c>
      <c r="AI80" s="42">
        <f t="shared" si="45"/>
        <v>1.0202646044951234</v>
      </c>
      <c r="AJ80" s="57">
        <v>3</v>
      </c>
      <c r="AK80" s="57">
        <v>4</v>
      </c>
      <c r="AL80" s="63">
        <v>6.3</v>
      </c>
      <c r="AM80" s="57">
        <v>23</v>
      </c>
      <c r="AN80" s="63">
        <v>5.9</v>
      </c>
      <c r="AO80" s="63">
        <v>4.5</v>
      </c>
      <c r="AP80" s="36">
        <v>0.23</v>
      </c>
      <c r="AQ80" s="36">
        <v>0.2</v>
      </c>
      <c r="AR80" s="73">
        <f t="shared" si="24"/>
        <v>2275</v>
      </c>
      <c r="AS80" s="75">
        <f t="shared" si="25"/>
        <v>0.16527472527472528</v>
      </c>
      <c r="AT80" s="75">
        <f t="shared" si="26"/>
        <v>0.72527472527472525</v>
      </c>
      <c r="AU80" s="75">
        <f t="shared" si="27"/>
        <v>0.10945054945054945</v>
      </c>
      <c r="AV80" s="26">
        <f t="shared" si="28"/>
        <v>6.0795708538220833E-2</v>
      </c>
      <c r="AW80" s="26">
        <f t="shared" si="29"/>
        <v>8.2253017434063477E-2</v>
      </c>
      <c r="AX80" s="24">
        <f t="shared" si="30"/>
        <v>0.80392156862745101</v>
      </c>
      <c r="AY80" s="24">
        <f t="shared" si="31"/>
        <v>0.87254901960784315</v>
      </c>
      <c r="AZ80" s="77" t="str">
        <f t="shared" si="32"/>
        <v>5,0 ≤ Alc. Bruta &lt; 7,5 mg/L</v>
      </c>
      <c r="BA80" s="77" t="str">
        <f t="shared" si="33"/>
        <v>5 ≤ Cor &lt; 10 uC</v>
      </c>
      <c r="BB80" s="78" t="str">
        <f t="shared" si="34"/>
        <v>Turbidez &lt; 2,5 uT</v>
      </c>
      <c r="BC80" s="79" t="str">
        <f t="shared" si="35"/>
        <v>SM &gt; TOR &gt; BNN</v>
      </c>
      <c r="BD80" s="78" t="str">
        <f t="shared" si="36"/>
        <v>Tipo 1 (≤0,25) uT</v>
      </c>
      <c r="BE80" s="78" t="str">
        <f t="shared" si="37"/>
        <v>Tipo 1 (≤0,25) uT</v>
      </c>
      <c r="BF80" s="78" t="str">
        <f t="shared" si="38"/>
        <v>Tipo 1 (≤0,25) uT</v>
      </c>
      <c r="BG80" s="78" t="str">
        <f t="shared" si="39"/>
        <v>Tipo 1 (≤0,25) uT</v>
      </c>
      <c r="BH80" s="78" t="str">
        <f t="shared" si="40"/>
        <v>Tipo 1 (≤0,25) uT</v>
      </c>
    </row>
    <row r="81" spans="1:60" x14ac:dyDescent="0.2">
      <c r="A81" s="31">
        <v>46267</v>
      </c>
      <c r="B81" s="80">
        <v>0.64583333333333337</v>
      </c>
      <c r="C81" s="57">
        <v>291</v>
      </c>
      <c r="D81" s="57">
        <v>1650</v>
      </c>
      <c r="E81" s="57">
        <v>250</v>
      </c>
      <c r="F81" s="57">
        <v>2241</v>
      </c>
      <c r="G81" s="85" t="s">
        <v>78</v>
      </c>
      <c r="H81" s="63">
        <v>10.8</v>
      </c>
      <c r="I81" s="57">
        <v>-80</v>
      </c>
      <c r="J81" s="57">
        <v>90</v>
      </c>
      <c r="K81" s="57">
        <v>90</v>
      </c>
      <c r="L81" s="57">
        <v>90</v>
      </c>
      <c r="M81" s="57">
        <v>25.2</v>
      </c>
      <c r="N81" s="63">
        <v>6.3</v>
      </c>
      <c r="O81" s="36">
        <v>1.04</v>
      </c>
      <c r="P81" s="57">
        <v>5</v>
      </c>
      <c r="Q81" s="63">
        <v>5.8</v>
      </c>
      <c r="R81" s="36">
        <v>7.0000000000000007E-2</v>
      </c>
      <c r="S81" s="36">
        <v>22.36</v>
      </c>
      <c r="T81" s="36">
        <v>0.88</v>
      </c>
      <c r="U81" s="36">
        <v>0.7</v>
      </c>
      <c r="V81" s="42">
        <f t="shared" si="41"/>
        <v>1759.1850000000002</v>
      </c>
      <c r="W81" s="42">
        <f t="shared" si="42"/>
        <v>1372.556302</v>
      </c>
      <c r="X81" s="42">
        <f t="shared" si="43"/>
        <v>0.78022283159531247</v>
      </c>
      <c r="Y81" s="57">
        <v>3</v>
      </c>
      <c r="Z81" s="57">
        <v>4</v>
      </c>
      <c r="AA81" s="63">
        <v>6.5</v>
      </c>
      <c r="AB81" s="57">
        <v>17</v>
      </c>
      <c r="AC81" s="63">
        <v>6.2</v>
      </c>
      <c r="AD81" s="63">
        <v>4.5</v>
      </c>
      <c r="AE81" s="36">
        <v>0.13</v>
      </c>
      <c r="AF81" s="36">
        <v>0.12</v>
      </c>
      <c r="AG81" s="42">
        <f t="shared" si="23"/>
        <v>1759.1850000000002</v>
      </c>
      <c r="AH81" s="42">
        <f t="shared" si="44"/>
        <v>1785.9247275999996</v>
      </c>
      <c r="AI81" s="42">
        <f t="shared" si="45"/>
        <v>1.0152000657122471</v>
      </c>
      <c r="AJ81" s="57">
        <v>3</v>
      </c>
      <c r="AK81" s="57">
        <v>4</v>
      </c>
      <c r="AL81" s="63">
        <v>6.3</v>
      </c>
      <c r="AM81" s="57">
        <v>23</v>
      </c>
      <c r="AN81" s="63">
        <v>5.8</v>
      </c>
      <c r="AO81" s="63">
        <v>3.8</v>
      </c>
      <c r="AP81" s="36">
        <v>0.1</v>
      </c>
      <c r="AQ81" s="36">
        <v>0.18</v>
      </c>
      <c r="AR81" s="73">
        <f t="shared" si="24"/>
        <v>2191</v>
      </c>
      <c r="AS81" s="75">
        <f t="shared" si="25"/>
        <v>0.13281606572341398</v>
      </c>
      <c r="AT81" s="75">
        <f t="shared" si="26"/>
        <v>0.7530807850296668</v>
      </c>
      <c r="AU81" s="75">
        <f t="shared" si="27"/>
        <v>0.11410314924691921</v>
      </c>
      <c r="AV81" s="26">
        <f t="shared" si="28"/>
        <v>6.0687193217313702E-2</v>
      </c>
      <c r="AW81" s="26">
        <f t="shared" si="29"/>
        <v>8.2106202588130298E-2</v>
      </c>
      <c r="AX81" s="24">
        <f t="shared" si="30"/>
        <v>0.82692307692307687</v>
      </c>
      <c r="AY81" s="24">
        <f t="shared" si="31"/>
        <v>0.88461538461538458</v>
      </c>
      <c r="AZ81" s="77" t="str">
        <f t="shared" si="32"/>
        <v>5,0 ≤ Alc. Bruta &lt; 7,5 mg/L</v>
      </c>
      <c r="BA81" s="77" t="str">
        <f t="shared" si="33"/>
        <v>5 ≤ Cor &lt; 10 uC</v>
      </c>
      <c r="BB81" s="78" t="str">
        <f t="shared" si="34"/>
        <v>Turbidez &lt; 2,5 uT</v>
      </c>
      <c r="BC81" s="79" t="str">
        <f t="shared" si="35"/>
        <v>SM &gt; TOR &gt; BNN</v>
      </c>
      <c r="BD81" s="78" t="str">
        <f t="shared" si="36"/>
        <v>Tipo 1 (≤0,25) uT</v>
      </c>
      <c r="BE81" s="78" t="str">
        <f t="shared" si="37"/>
        <v>Tipo 1 (≤0,25) uT</v>
      </c>
      <c r="BF81" s="78" t="str">
        <f t="shared" si="38"/>
        <v>Tipo 1 (≤0,25) uT</v>
      </c>
      <c r="BG81" s="78" t="str">
        <f t="shared" si="39"/>
        <v>Tipo 1 (≤0,25) uT</v>
      </c>
      <c r="BH81" s="78" t="str">
        <f t="shared" si="40"/>
        <v>Tipo 1 (≤0,25) uT</v>
      </c>
    </row>
    <row r="82" spans="1:60" x14ac:dyDescent="0.2">
      <c r="A82" s="31">
        <v>46267</v>
      </c>
      <c r="B82" s="80">
        <v>0.72916666666666663</v>
      </c>
      <c r="C82" s="57">
        <v>292</v>
      </c>
      <c r="D82" s="57">
        <v>1690</v>
      </c>
      <c r="E82" s="57">
        <v>250</v>
      </c>
      <c r="F82" s="57">
        <v>2211</v>
      </c>
      <c r="G82" s="85" t="s">
        <v>78</v>
      </c>
      <c r="H82" s="63">
        <v>10.8</v>
      </c>
      <c r="I82" s="57">
        <v>-80</v>
      </c>
      <c r="J82" s="57">
        <v>90</v>
      </c>
      <c r="K82" s="57">
        <v>90</v>
      </c>
      <c r="L82" s="57">
        <v>90</v>
      </c>
      <c r="M82" s="57">
        <v>24.6</v>
      </c>
      <c r="N82" s="63">
        <v>6.3</v>
      </c>
      <c r="O82" s="36">
        <v>1.1100000000000001</v>
      </c>
      <c r="P82" s="57">
        <v>5</v>
      </c>
      <c r="Q82" s="63">
        <v>6</v>
      </c>
      <c r="R82" s="36">
        <v>7.0000000000000007E-2</v>
      </c>
      <c r="S82" s="36">
        <v>22.36</v>
      </c>
      <c r="T82" s="36">
        <v>0.88</v>
      </c>
      <c r="U82" s="36">
        <v>0.7</v>
      </c>
      <c r="V82" s="42">
        <f t="shared" si="41"/>
        <v>1754.98125</v>
      </c>
      <c r="W82" s="42">
        <f t="shared" si="42"/>
        <v>1372.556302</v>
      </c>
      <c r="X82" s="42">
        <f t="shared" si="43"/>
        <v>0.78209171864371763</v>
      </c>
      <c r="Y82" s="57">
        <v>3</v>
      </c>
      <c r="Z82" s="57">
        <v>4</v>
      </c>
      <c r="AA82" s="63">
        <v>6.5</v>
      </c>
      <c r="AB82" s="57">
        <v>17</v>
      </c>
      <c r="AC82" s="63">
        <v>6.1</v>
      </c>
      <c r="AD82" s="63">
        <v>4.3</v>
      </c>
      <c r="AE82" s="36">
        <v>0.15</v>
      </c>
      <c r="AF82" s="36">
        <v>0.13</v>
      </c>
      <c r="AG82" s="42">
        <f t="shared" si="23"/>
        <v>1754.98125</v>
      </c>
      <c r="AH82" s="42">
        <f t="shared" si="44"/>
        <v>1785.9247275999996</v>
      </c>
      <c r="AI82" s="42">
        <f t="shared" si="45"/>
        <v>1.0176317995420177</v>
      </c>
      <c r="AJ82" s="57">
        <v>3</v>
      </c>
      <c r="AK82" s="57">
        <v>4</v>
      </c>
      <c r="AL82" s="63">
        <v>6.3</v>
      </c>
      <c r="AM82" s="57">
        <v>23</v>
      </c>
      <c r="AN82" s="63">
        <v>5.9</v>
      </c>
      <c r="AO82" s="63">
        <v>4</v>
      </c>
      <c r="AP82" s="36">
        <v>0.14000000000000001</v>
      </c>
      <c r="AQ82" s="36">
        <v>0.2</v>
      </c>
      <c r="AR82" s="73">
        <f t="shared" si="24"/>
        <v>2232</v>
      </c>
      <c r="AS82" s="75">
        <f t="shared" si="25"/>
        <v>0.13082437275985664</v>
      </c>
      <c r="AT82" s="75">
        <f t="shared" si="26"/>
        <v>0.75716845878136196</v>
      </c>
      <c r="AU82" s="75">
        <f t="shared" si="27"/>
        <v>0.11200716845878136</v>
      </c>
      <c r="AV82" s="26">
        <f t="shared" si="28"/>
        <v>6.1510628674807777E-2</v>
      </c>
      <c r="AW82" s="26">
        <f t="shared" si="29"/>
        <v>8.3220262324739933E-2</v>
      </c>
      <c r="AX82" s="24">
        <f t="shared" si="30"/>
        <v>0.81981981981981988</v>
      </c>
      <c r="AY82" s="24">
        <f t="shared" si="31"/>
        <v>0.88288288288288286</v>
      </c>
      <c r="AZ82" s="77" t="str">
        <f t="shared" si="32"/>
        <v>5,0 ≤ Alc. Bruta &lt; 7,5 mg/L</v>
      </c>
      <c r="BA82" s="77" t="str">
        <f t="shared" si="33"/>
        <v>5 ≤ Cor &lt; 10 uC</v>
      </c>
      <c r="BB82" s="78" t="str">
        <f t="shared" si="34"/>
        <v>Turbidez &lt; 2,5 uT</v>
      </c>
      <c r="BC82" s="79" t="str">
        <f t="shared" si="35"/>
        <v>SM &gt; TOR &gt; BNN</v>
      </c>
      <c r="BD82" s="78" t="str">
        <f t="shared" si="36"/>
        <v>Tipo 1 (≤0,25) uT</v>
      </c>
      <c r="BE82" s="78" t="str">
        <f t="shared" si="37"/>
        <v>Tipo 1 (≤0,25) uT</v>
      </c>
      <c r="BF82" s="78" t="str">
        <f t="shared" si="38"/>
        <v>Tipo 1 (≤0,25) uT</v>
      </c>
      <c r="BG82" s="78" t="str">
        <f t="shared" si="39"/>
        <v>Tipo 1 (≤0,25) uT</v>
      </c>
      <c r="BH82" s="78" t="str">
        <f t="shared" si="40"/>
        <v>Tipo 1 (≤0,25) uT</v>
      </c>
    </row>
    <row r="83" spans="1:60" x14ac:dyDescent="0.2">
      <c r="A83" s="31">
        <v>46267</v>
      </c>
      <c r="B83" s="80">
        <v>0.8125</v>
      </c>
      <c r="C83" s="57">
        <v>283</v>
      </c>
      <c r="D83" s="57">
        <v>1691</v>
      </c>
      <c r="E83" s="57">
        <v>250</v>
      </c>
      <c r="F83" s="57">
        <v>2291</v>
      </c>
      <c r="G83" s="85" t="s">
        <v>78</v>
      </c>
      <c r="H83" s="63">
        <v>10.8</v>
      </c>
      <c r="I83" s="57">
        <v>-88</v>
      </c>
      <c r="J83" s="57">
        <v>90</v>
      </c>
      <c r="K83" s="57">
        <v>90</v>
      </c>
      <c r="L83" s="57">
        <v>90</v>
      </c>
      <c r="M83" s="57">
        <v>25</v>
      </c>
      <c r="N83" s="63">
        <v>6.5</v>
      </c>
      <c r="O83" s="36">
        <v>1.08</v>
      </c>
      <c r="P83" s="57">
        <v>6</v>
      </c>
      <c r="Q83" s="63">
        <v>6.3</v>
      </c>
      <c r="R83" s="36">
        <v>7.0000000000000007E-2</v>
      </c>
      <c r="S83" s="36">
        <v>22.36</v>
      </c>
      <c r="T83" s="36">
        <v>0.88</v>
      </c>
      <c r="U83" s="36">
        <v>0.7</v>
      </c>
      <c r="V83" s="42">
        <f t="shared" si="41"/>
        <v>1809.89</v>
      </c>
      <c r="W83" s="42">
        <f t="shared" si="42"/>
        <v>1372.556302</v>
      </c>
      <c r="X83" s="42">
        <f t="shared" si="43"/>
        <v>0.75836448734453465</v>
      </c>
      <c r="Y83" s="57">
        <v>3</v>
      </c>
      <c r="Z83" s="57">
        <v>4</v>
      </c>
      <c r="AA83" s="63">
        <v>6.5</v>
      </c>
      <c r="AB83" s="57">
        <v>17</v>
      </c>
      <c r="AC83" s="63">
        <v>6.1</v>
      </c>
      <c r="AD83" s="63">
        <v>4.0999999999999996</v>
      </c>
      <c r="AE83" s="36">
        <v>0.13</v>
      </c>
      <c r="AF83" s="36">
        <v>0.13</v>
      </c>
      <c r="AG83" s="42">
        <f t="shared" si="23"/>
        <v>1809.89</v>
      </c>
      <c r="AH83" s="42">
        <f t="shared" si="44"/>
        <v>1785.9247275999996</v>
      </c>
      <c r="AI83" s="42">
        <f t="shared" si="45"/>
        <v>0.98675871329196774</v>
      </c>
      <c r="AJ83" s="57">
        <v>3</v>
      </c>
      <c r="AK83" s="57">
        <v>4</v>
      </c>
      <c r="AL83" s="63">
        <v>6.3</v>
      </c>
      <c r="AM83" s="57">
        <v>23</v>
      </c>
      <c r="AN83" s="63">
        <v>6.1</v>
      </c>
      <c r="AO83" s="63">
        <v>4.2</v>
      </c>
      <c r="AP83" s="36">
        <v>0.11</v>
      </c>
      <c r="AQ83" s="36">
        <v>0.2</v>
      </c>
      <c r="AR83" s="73">
        <f t="shared" si="24"/>
        <v>2224</v>
      </c>
      <c r="AS83" s="75">
        <f t="shared" si="25"/>
        <v>0.12724820143884893</v>
      </c>
      <c r="AT83" s="75">
        <f t="shared" si="26"/>
        <v>0.76034172661870503</v>
      </c>
      <c r="AU83" s="75">
        <f t="shared" si="27"/>
        <v>0.11241007194244604</v>
      </c>
      <c r="AV83" s="26">
        <f t="shared" si="28"/>
        <v>5.9362723701440419E-2</v>
      </c>
      <c r="AW83" s="26">
        <f t="shared" si="29"/>
        <v>8.0314273243125275E-2</v>
      </c>
      <c r="AX83" s="24">
        <f t="shared" si="30"/>
        <v>0.81481481481481488</v>
      </c>
      <c r="AY83" s="24">
        <f t="shared" si="31"/>
        <v>0.87962962962962965</v>
      </c>
      <c r="AZ83" s="77" t="str">
        <f t="shared" si="32"/>
        <v>5,0 ≤ Alc. Bruta &lt; 7,5 mg/L</v>
      </c>
      <c r="BA83" s="77" t="str">
        <f t="shared" si="33"/>
        <v>5 ≤ Cor &lt; 10 uC</v>
      </c>
      <c r="BB83" s="78" t="str">
        <f t="shared" si="34"/>
        <v>Turbidez &lt; 2,5 uT</v>
      </c>
      <c r="BC83" s="79" t="str">
        <f t="shared" si="35"/>
        <v>SM &gt; TOR &gt; BNN</v>
      </c>
      <c r="BD83" s="78" t="str">
        <f t="shared" si="36"/>
        <v>Tipo 1 (≤0,25) uT</v>
      </c>
      <c r="BE83" s="78" t="str">
        <f t="shared" si="37"/>
        <v>Tipo 1 (≤0,25) uT</v>
      </c>
      <c r="BF83" s="78" t="str">
        <f t="shared" si="38"/>
        <v>Tipo 1 (≤0,25) uT</v>
      </c>
      <c r="BG83" s="78" t="str">
        <f t="shared" si="39"/>
        <v>Tipo 1 (≤0,25) uT</v>
      </c>
      <c r="BH83" s="78" t="str">
        <f t="shared" si="40"/>
        <v>Tipo 1 (≤0,25) uT</v>
      </c>
    </row>
    <row r="84" spans="1:60" x14ac:dyDescent="0.2">
      <c r="A84" s="31">
        <v>46267</v>
      </c>
      <c r="B84" s="80">
        <v>0.89583333333333337</v>
      </c>
      <c r="C84" s="57">
        <v>285</v>
      </c>
      <c r="D84" s="57">
        <v>1645</v>
      </c>
      <c r="E84" s="57">
        <v>250</v>
      </c>
      <c r="F84" s="57">
        <v>2206</v>
      </c>
      <c r="G84" s="85" t="s">
        <v>78</v>
      </c>
      <c r="H84" s="63">
        <v>10.8</v>
      </c>
      <c r="I84" s="57">
        <v>-101</v>
      </c>
      <c r="J84" s="57">
        <v>90</v>
      </c>
      <c r="K84" s="57">
        <v>90</v>
      </c>
      <c r="L84" s="57">
        <v>90</v>
      </c>
      <c r="M84" s="57">
        <v>24.5</v>
      </c>
      <c r="N84" s="63">
        <v>6.6</v>
      </c>
      <c r="O84" s="36">
        <v>1.03</v>
      </c>
      <c r="P84" s="57">
        <v>6</v>
      </c>
      <c r="Q84" s="63">
        <v>6.4</v>
      </c>
      <c r="R84" s="36">
        <v>7.0000000000000007E-2</v>
      </c>
      <c r="S84" s="36">
        <v>22.36</v>
      </c>
      <c r="T84" s="36">
        <v>0.88</v>
      </c>
      <c r="U84" s="36">
        <v>0.7</v>
      </c>
      <c r="V84" s="42">
        <f t="shared" si="41"/>
        <v>1728.9525000000001</v>
      </c>
      <c r="W84" s="42">
        <f t="shared" si="42"/>
        <v>1372.556302</v>
      </c>
      <c r="X84" s="42">
        <f t="shared" si="43"/>
        <v>0.79386582453826804</v>
      </c>
      <c r="Y84" s="57">
        <v>3</v>
      </c>
      <c r="Z84" s="57">
        <v>4</v>
      </c>
      <c r="AA84" s="63">
        <v>6.5</v>
      </c>
      <c r="AB84" s="57">
        <v>17</v>
      </c>
      <c r="AC84" s="63">
        <v>6.1</v>
      </c>
      <c r="AD84" s="63">
        <v>4.5</v>
      </c>
      <c r="AE84" s="36">
        <v>0.26</v>
      </c>
      <c r="AF84" s="36">
        <v>0.14000000000000001</v>
      </c>
      <c r="AG84" s="42">
        <f t="shared" si="23"/>
        <v>1728.9525000000001</v>
      </c>
      <c r="AH84" s="42">
        <f t="shared" si="44"/>
        <v>1785.9247275999996</v>
      </c>
      <c r="AI84" s="42">
        <f t="shared" si="45"/>
        <v>1.0329518755431393</v>
      </c>
      <c r="AJ84" s="57">
        <v>3</v>
      </c>
      <c r="AK84" s="57">
        <v>4</v>
      </c>
      <c r="AL84" s="63">
        <v>6.3</v>
      </c>
      <c r="AM84" s="57">
        <v>23</v>
      </c>
      <c r="AN84" s="63">
        <v>5.9</v>
      </c>
      <c r="AO84" s="63">
        <v>5.0999999999999996</v>
      </c>
      <c r="AP84" s="36">
        <v>0.17</v>
      </c>
      <c r="AQ84" s="36">
        <v>0.19</v>
      </c>
      <c r="AR84" s="73">
        <f t="shared" si="24"/>
        <v>2180</v>
      </c>
      <c r="AS84" s="75">
        <f t="shared" si="25"/>
        <v>0.13073394495412843</v>
      </c>
      <c r="AT84" s="75">
        <f t="shared" si="26"/>
        <v>0.75458715596330272</v>
      </c>
      <c r="AU84" s="75">
        <f t="shared" si="27"/>
        <v>0.11467889908256881</v>
      </c>
      <c r="AV84" s="26">
        <f t="shared" si="28"/>
        <v>6.1650045330915684E-2</v>
      </c>
      <c r="AW84" s="26">
        <f t="shared" si="29"/>
        <v>8.3408884859474161E-2</v>
      </c>
      <c r="AX84" s="24">
        <f t="shared" si="30"/>
        <v>0.81553398058252424</v>
      </c>
      <c r="AY84" s="24">
        <f t="shared" si="31"/>
        <v>0.86407766990291257</v>
      </c>
      <c r="AZ84" s="77" t="str">
        <f t="shared" si="32"/>
        <v>5,0 ≤ Alc. Bruta &lt; 7,5 mg/L</v>
      </c>
      <c r="BA84" s="77" t="str">
        <f t="shared" si="33"/>
        <v>5 ≤ Cor &lt; 10 uC</v>
      </c>
      <c r="BB84" s="78" t="str">
        <f t="shared" si="34"/>
        <v>Turbidez &lt; 2,5 uT</v>
      </c>
      <c r="BC84" s="79" t="str">
        <f t="shared" si="35"/>
        <v>SM &gt; TOR &gt; BNN</v>
      </c>
      <c r="BD84" s="78" t="str">
        <f t="shared" si="36"/>
        <v>Tipo 2 (0,25-0,50) uT</v>
      </c>
      <c r="BE84" s="78" t="str">
        <f t="shared" si="37"/>
        <v>Tipo 1 (≤0,25) uT</v>
      </c>
      <c r="BF84" s="78" t="str">
        <f t="shared" si="38"/>
        <v>Tipo 1 (≤0,25) uT</v>
      </c>
      <c r="BG84" s="78" t="str">
        <f t="shared" si="39"/>
        <v>Tipo 1 (≤0,25) uT</v>
      </c>
      <c r="BH84" s="78" t="str">
        <f t="shared" si="40"/>
        <v>Tipo 1 (≤0,25) uT</v>
      </c>
    </row>
    <row r="85" spans="1:60" x14ac:dyDescent="0.2">
      <c r="A85" s="31">
        <v>46268</v>
      </c>
      <c r="B85" s="80">
        <v>6.25E-2</v>
      </c>
      <c r="C85" s="57">
        <v>396</v>
      </c>
      <c r="D85" s="57">
        <v>1568</v>
      </c>
      <c r="E85" s="57">
        <v>275</v>
      </c>
      <c r="F85" s="57">
        <v>2310</v>
      </c>
      <c r="G85" s="85" t="s">
        <v>78</v>
      </c>
      <c r="H85" s="63">
        <v>10</v>
      </c>
      <c r="I85" s="57">
        <v>-90</v>
      </c>
      <c r="J85" s="57">
        <v>90</v>
      </c>
      <c r="K85" s="57">
        <v>90</v>
      </c>
      <c r="L85" s="57">
        <v>90</v>
      </c>
      <c r="M85" s="57">
        <v>23.7</v>
      </c>
      <c r="N85" s="63">
        <v>6.4</v>
      </c>
      <c r="O85" s="36">
        <v>0.89</v>
      </c>
      <c r="P85" s="57">
        <v>5</v>
      </c>
      <c r="Q85" s="63">
        <v>5.6</v>
      </c>
      <c r="R85" s="36">
        <v>7.0000000000000007E-2</v>
      </c>
      <c r="S85" s="36">
        <v>22.36</v>
      </c>
      <c r="T85" s="36">
        <v>0.88</v>
      </c>
      <c r="U85" s="36">
        <v>0.7</v>
      </c>
      <c r="V85" s="42">
        <f t="shared" si="41"/>
        <v>1700.7375000000002</v>
      </c>
      <c r="W85" s="42">
        <f t="shared" si="42"/>
        <v>1372.556302</v>
      </c>
      <c r="X85" s="42">
        <f t="shared" si="43"/>
        <v>0.80703594881632224</v>
      </c>
      <c r="Y85" s="57">
        <v>3</v>
      </c>
      <c r="Z85" s="57">
        <v>4</v>
      </c>
      <c r="AA85" s="63">
        <v>6.5</v>
      </c>
      <c r="AB85" s="57">
        <v>17</v>
      </c>
      <c r="AC85" s="63">
        <v>6</v>
      </c>
      <c r="AD85" s="63">
        <v>4.4000000000000004</v>
      </c>
      <c r="AE85" s="36">
        <v>0.15</v>
      </c>
      <c r="AF85" s="36">
        <v>0.13</v>
      </c>
      <c r="AG85" s="42">
        <f t="shared" si="23"/>
        <v>1700.7375000000002</v>
      </c>
      <c r="AH85" s="42">
        <f t="shared" si="44"/>
        <v>1785.9247275999996</v>
      </c>
      <c r="AI85" s="42">
        <f t="shared" si="45"/>
        <v>1.0500884043539931</v>
      </c>
      <c r="AJ85" s="57">
        <v>3</v>
      </c>
      <c r="AK85" s="57">
        <v>4</v>
      </c>
      <c r="AL85" s="63">
        <v>6.3</v>
      </c>
      <c r="AM85" s="57">
        <v>23</v>
      </c>
      <c r="AN85" s="63">
        <v>5.9</v>
      </c>
      <c r="AO85" s="63">
        <v>4</v>
      </c>
      <c r="AP85" s="36">
        <v>0.14000000000000001</v>
      </c>
      <c r="AQ85" s="36">
        <v>0.2</v>
      </c>
      <c r="AR85" s="73">
        <f t="shared" si="24"/>
        <v>2239</v>
      </c>
      <c r="AS85" s="75">
        <f t="shared" si="25"/>
        <v>0.17686467172845019</v>
      </c>
      <c r="AT85" s="75">
        <f t="shared" si="26"/>
        <v>0.70031263957123713</v>
      </c>
      <c r="AU85" s="75">
        <f t="shared" si="27"/>
        <v>0.12282268870031264</v>
      </c>
      <c r="AV85" s="26">
        <f t="shared" si="28"/>
        <v>5.8874458874458878E-2</v>
      </c>
      <c r="AW85" s="26">
        <f t="shared" si="29"/>
        <v>7.9653679653679657E-2</v>
      </c>
      <c r="AX85" s="24">
        <f t="shared" si="30"/>
        <v>0.7752808988764045</v>
      </c>
      <c r="AY85" s="24">
        <f t="shared" si="31"/>
        <v>0.8539325842696629</v>
      </c>
      <c r="AZ85" s="77" t="str">
        <f t="shared" si="32"/>
        <v>5,0 ≤ Alc. Bruta &lt; 7,5 mg/L</v>
      </c>
      <c r="BA85" s="77" t="str">
        <f t="shared" si="33"/>
        <v>5 ≤ Cor &lt; 10 uC</v>
      </c>
      <c r="BB85" s="78" t="str">
        <f t="shared" si="34"/>
        <v>Turbidez &lt; 2,5 uT</v>
      </c>
      <c r="BC85" s="79" t="str">
        <f t="shared" si="35"/>
        <v>SM &gt; TOR &gt; BNN</v>
      </c>
      <c r="BD85" s="78" t="str">
        <f t="shared" si="36"/>
        <v>Tipo 1 (≤0,25) uT</v>
      </c>
      <c r="BE85" s="78" t="str">
        <f t="shared" si="37"/>
        <v>Tipo 1 (≤0,25) uT</v>
      </c>
      <c r="BF85" s="78" t="str">
        <f t="shared" si="38"/>
        <v>Tipo 1 (≤0,25) uT</v>
      </c>
      <c r="BG85" s="78" t="str">
        <f t="shared" si="39"/>
        <v>Tipo 1 (≤0,25) uT</v>
      </c>
      <c r="BH85" s="78" t="str">
        <f t="shared" si="40"/>
        <v>Tipo 1 (≤0,25) uT</v>
      </c>
    </row>
    <row r="86" spans="1:60" x14ac:dyDescent="0.2">
      <c r="A86" s="31">
        <v>46268</v>
      </c>
      <c r="B86" s="80">
        <v>0.14583333333333334</v>
      </c>
      <c r="C86" s="57">
        <v>387</v>
      </c>
      <c r="D86" s="57">
        <v>1601</v>
      </c>
      <c r="E86" s="57">
        <v>272</v>
      </c>
      <c r="F86" s="57">
        <v>2250</v>
      </c>
      <c r="G86" s="85" t="s">
        <v>78</v>
      </c>
      <c r="H86" s="63">
        <v>10</v>
      </c>
      <c r="I86" s="57">
        <v>-93</v>
      </c>
      <c r="J86" s="57">
        <v>90</v>
      </c>
      <c r="K86" s="57">
        <v>90</v>
      </c>
      <c r="L86" s="57">
        <v>90</v>
      </c>
      <c r="M86" s="57">
        <v>23.3</v>
      </c>
      <c r="N86" s="63">
        <v>6.4</v>
      </c>
      <c r="O86" s="36">
        <v>0.93</v>
      </c>
      <c r="P86" s="57">
        <v>5</v>
      </c>
      <c r="Q86" s="63">
        <v>5.7</v>
      </c>
      <c r="R86" s="36">
        <v>7.0000000000000007E-2</v>
      </c>
      <c r="S86" s="36">
        <v>22.36</v>
      </c>
      <c r="T86" s="36">
        <v>0.88</v>
      </c>
      <c r="U86" s="36">
        <v>0.7</v>
      </c>
      <c r="V86" s="42">
        <f t="shared" si="41"/>
        <v>1667.8125</v>
      </c>
      <c r="W86" s="42">
        <f t="shared" si="42"/>
        <v>1372.556302</v>
      </c>
      <c r="X86" s="42">
        <f t="shared" si="43"/>
        <v>0.82296799070638937</v>
      </c>
      <c r="Y86" s="57">
        <v>4</v>
      </c>
      <c r="Z86" s="57">
        <v>4</v>
      </c>
      <c r="AA86" s="63">
        <v>6.5</v>
      </c>
      <c r="AB86" s="57">
        <v>17</v>
      </c>
      <c r="AC86" s="63">
        <v>6.1</v>
      </c>
      <c r="AD86" s="63">
        <v>4.5</v>
      </c>
      <c r="AE86" s="36">
        <v>0.15</v>
      </c>
      <c r="AF86" s="36">
        <v>0.15</v>
      </c>
      <c r="AG86" s="42">
        <f t="shared" si="23"/>
        <v>1667.8125</v>
      </c>
      <c r="AH86" s="42">
        <f t="shared" si="44"/>
        <v>1785.9247275999996</v>
      </c>
      <c r="AI86" s="42">
        <f t="shared" si="45"/>
        <v>1.0708186487389917</v>
      </c>
      <c r="AJ86" s="57">
        <v>3</v>
      </c>
      <c r="AK86" s="57">
        <v>4</v>
      </c>
      <c r="AL86" s="63">
        <v>6.3</v>
      </c>
      <c r="AM86" s="57">
        <v>23</v>
      </c>
      <c r="AN86" s="63">
        <v>5.9</v>
      </c>
      <c r="AO86" s="63">
        <v>4.5999999999999996</v>
      </c>
      <c r="AP86" s="36">
        <v>0.18</v>
      </c>
      <c r="AQ86" s="36">
        <v>0.21</v>
      </c>
      <c r="AR86" s="73">
        <f t="shared" si="24"/>
        <v>2260</v>
      </c>
      <c r="AS86" s="75">
        <f t="shared" si="25"/>
        <v>0.17123893805309734</v>
      </c>
      <c r="AT86" s="75">
        <f t="shared" si="26"/>
        <v>0.70840707964601768</v>
      </c>
      <c r="AU86" s="75">
        <f t="shared" si="27"/>
        <v>0.12035398230088495</v>
      </c>
      <c r="AV86" s="26">
        <f t="shared" si="28"/>
        <v>6.0444444444444446E-2</v>
      </c>
      <c r="AW86" s="26">
        <f t="shared" si="29"/>
        <v>8.1777777777777783E-2</v>
      </c>
      <c r="AX86" s="24">
        <f t="shared" si="30"/>
        <v>0.77419354838709675</v>
      </c>
      <c r="AY86" s="24">
        <f t="shared" si="31"/>
        <v>0.83870967741935487</v>
      </c>
      <c r="AZ86" s="77" t="str">
        <f t="shared" si="32"/>
        <v>5,0 ≤ Alc. Bruta &lt; 7,5 mg/L</v>
      </c>
      <c r="BA86" s="77" t="str">
        <f t="shared" si="33"/>
        <v>5 ≤ Cor &lt; 10 uC</v>
      </c>
      <c r="BB86" s="78" t="str">
        <f t="shared" si="34"/>
        <v>Turbidez &lt; 2,5 uT</v>
      </c>
      <c r="BC86" s="79" t="str">
        <f t="shared" si="35"/>
        <v>SM &gt; TOR &gt; BNN</v>
      </c>
      <c r="BD86" s="78" t="str">
        <f t="shared" si="36"/>
        <v>Tipo 1 (≤0,25) uT</v>
      </c>
      <c r="BE86" s="78" t="str">
        <f t="shared" si="37"/>
        <v>Tipo 1 (≤0,25) uT</v>
      </c>
      <c r="BF86" s="78" t="str">
        <f t="shared" si="38"/>
        <v>Tipo 1 (≤0,25) uT</v>
      </c>
      <c r="BG86" s="78" t="str">
        <f t="shared" si="39"/>
        <v>Tipo 1 (≤0,25) uT</v>
      </c>
      <c r="BH86" s="78" t="str">
        <f t="shared" si="40"/>
        <v>Tipo 1 (≤0,25) uT</v>
      </c>
    </row>
    <row r="87" spans="1:60" ht="15.75" thickBot="1" x14ac:dyDescent="0.25">
      <c r="A87" s="32">
        <v>46268</v>
      </c>
      <c r="B87" s="81">
        <v>0.22916666666666666</v>
      </c>
      <c r="C87" s="58">
        <v>393</v>
      </c>
      <c r="D87" s="58">
        <v>1579</v>
      </c>
      <c r="E87" s="58">
        <v>272</v>
      </c>
      <c r="F87" s="58">
        <v>2259</v>
      </c>
      <c r="G87" s="86" t="s">
        <v>78</v>
      </c>
      <c r="H87" s="64">
        <v>10</v>
      </c>
      <c r="I87" s="58">
        <v>-89</v>
      </c>
      <c r="J87" s="58">
        <v>90</v>
      </c>
      <c r="K87" s="58">
        <v>90</v>
      </c>
      <c r="L87" s="58">
        <v>90</v>
      </c>
      <c r="M87" s="58">
        <v>23.5</v>
      </c>
      <c r="N87" s="64">
        <v>6.3</v>
      </c>
      <c r="O87" s="37">
        <v>0.97</v>
      </c>
      <c r="P87" s="58">
        <v>6</v>
      </c>
      <c r="Q87" s="64">
        <v>5.5</v>
      </c>
      <c r="R87" s="37">
        <v>7.0000000000000007E-2</v>
      </c>
      <c r="S87" s="36">
        <v>22.36</v>
      </c>
      <c r="T87" s="36">
        <v>0.88</v>
      </c>
      <c r="U87" s="36">
        <v>0.7</v>
      </c>
      <c r="V87" s="42">
        <f t="shared" si="41"/>
        <v>1685.7787499999999</v>
      </c>
      <c r="W87" s="42">
        <f t="shared" si="42"/>
        <v>1372.556302</v>
      </c>
      <c r="X87" s="42">
        <f t="shared" si="43"/>
        <v>0.81419717860365726</v>
      </c>
      <c r="Y87" s="58">
        <v>4</v>
      </c>
      <c r="Z87" s="58">
        <v>4</v>
      </c>
      <c r="AA87" s="64">
        <v>6.5</v>
      </c>
      <c r="AB87" s="58">
        <v>17</v>
      </c>
      <c r="AC87" s="64">
        <v>6</v>
      </c>
      <c r="AD87" s="64">
        <v>4.9000000000000004</v>
      </c>
      <c r="AE87" s="37">
        <v>0.15</v>
      </c>
      <c r="AF87" s="37">
        <v>0.14000000000000001</v>
      </c>
      <c r="AG87" s="42">
        <f t="shared" si="23"/>
        <v>1685.7787499999999</v>
      </c>
      <c r="AH87" s="42">
        <f t="shared" si="44"/>
        <v>1785.9247275999996</v>
      </c>
      <c r="AI87" s="42">
        <f t="shared" si="45"/>
        <v>1.0594063589898732</v>
      </c>
      <c r="AJ87" s="58">
        <v>3</v>
      </c>
      <c r="AK87" s="58">
        <v>4</v>
      </c>
      <c r="AL87" s="64">
        <v>6.3</v>
      </c>
      <c r="AM87" s="58">
        <v>23</v>
      </c>
      <c r="AN87" s="64">
        <v>5.8</v>
      </c>
      <c r="AO87" s="64">
        <v>4.8</v>
      </c>
      <c r="AP87" s="37">
        <v>0.16</v>
      </c>
      <c r="AQ87" s="37">
        <v>0.21</v>
      </c>
      <c r="AR87" s="73">
        <f t="shared" si="24"/>
        <v>2244</v>
      </c>
      <c r="AS87" s="75">
        <f t="shared" si="25"/>
        <v>0.1751336898395722</v>
      </c>
      <c r="AT87" s="75">
        <f t="shared" si="26"/>
        <v>0.70365418894830656</v>
      </c>
      <c r="AU87" s="75">
        <f t="shared" si="27"/>
        <v>0.12121212121212122</v>
      </c>
      <c r="AV87" s="26">
        <f t="shared" si="28"/>
        <v>6.0203629924745462E-2</v>
      </c>
      <c r="AW87" s="26">
        <f t="shared" si="29"/>
        <v>8.1451969898185039E-2</v>
      </c>
      <c r="AX87" s="24">
        <f t="shared" si="30"/>
        <v>0.78350515463917525</v>
      </c>
      <c r="AY87" s="24">
        <f t="shared" si="31"/>
        <v>0.85567010309278346</v>
      </c>
      <c r="AZ87" s="77" t="str">
        <f t="shared" si="32"/>
        <v>5,0 ≤ Alc. Bruta &lt; 7,5 mg/L</v>
      </c>
      <c r="BA87" s="77" t="str">
        <f t="shared" si="33"/>
        <v>5 ≤ Cor &lt; 10 uC</v>
      </c>
      <c r="BB87" s="78" t="str">
        <f t="shared" si="34"/>
        <v>Turbidez &lt; 2,5 uT</v>
      </c>
      <c r="BC87" s="79" t="str">
        <f t="shared" si="35"/>
        <v>SM &gt; TOR &gt; BNN</v>
      </c>
      <c r="BD87" s="78" t="str">
        <f t="shared" si="36"/>
        <v>Tipo 1 (≤0,25) uT</v>
      </c>
      <c r="BE87" s="78" t="str">
        <f t="shared" si="37"/>
        <v>Tipo 1 (≤0,25) uT</v>
      </c>
      <c r="BF87" s="78" t="str">
        <f t="shared" si="38"/>
        <v>Tipo 1 (≤0,25) uT</v>
      </c>
      <c r="BG87" s="78" t="str">
        <f t="shared" si="39"/>
        <v>Tipo 1 (≤0,25) uT</v>
      </c>
      <c r="BH87" s="78" t="str">
        <f t="shared" si="40"/>
        <v>Tipo 1 (≤0,25) uT</v>
      </c>
    </row>
    <row r="88" spans="1:60" x14ac:dyDescent="0.2">
      <c r="A88" s="30">
        <v>46268</v>
      </c>
      <c r="B88" s="82">
        <v>0.3125</v>
      </c>
      <c r="C88" s="59">
        <v>377</v>
      </c>
      <c r="D88" s="59">
        <v>1592</v>
      </c>
      <c r="E88" s="59">
        <v>272</v>
      </c>
      <c r="F88" s="59">
        <v>2226</v>
      </c>
      <c r="G88" s="87" t="s">
        <v>78</v>
      </c>
      <c r="H88" s="65">
        <v>10</v>
      </c>
      <c r="I88" s="59">
        <v>-80</v>
      </c>
      <c r="J88" s="59">
        <v>90</v>
      </c>
      <c r="K88" s="59">
        <v>90</v>
      </c>
      <c r="L88" s="59">
        <v>90</v>
      </c>
      <c r="M88" s="59">
        <v>24.1</v>
      </c>
      <c r="N88" s="65">
        <v>6.5</v>
      </c>
      <c r="O88" s="38">
        <v>0.93</v>
      </c>
      <c r="P88" s="59">
        <v>9</v>
      </c>
      <c r="Q88" s="65">
        <v>6.8</v>
      </c>
      <c r="R88" s="38">
        <v>7.0000000000000007E-2</v>
      </c>
      <c r="S88" s="36">
        <v>22.36</v>
      </c>
      <c r="T88" s="36">
        <v>0.88</v>
      </c>
      <c r="U88" s="36">
        <v>0.7</v>
      </c>
      <c r="V88" s="42">
        <f t="shared" si="41"/>
        <v>1650.0224999999998</v>
      </c>
      <c r="W88" s="42">
        <f t="shared" si="42"/>
        <v>1372.556302</v>
      </c>
      <c r="X88" s="42">
        <f t="shared" si="43"/>
        <v>0.8318409609565931</v>
      </c>
      <c r="Y88" s="59">
        <v>3</v>
      </c>
      <c r="Z88" s="59">
        <v>4</v>
      </c>
      <c r="AA88" s="65">
        <v>6.5</v>
      </c>
      <c r="AB88" s="59">
        <v>17</v>
      </c>
      <c r="AC88" s="65">
        <v>6</v>
      </c>
      <c r="AD88" s="65">
        <v>6.7</v>
      </c>
      <c r="AE88" s="38">
        <v>0.18</v>
      </c>
      <c r="AF88" s="38">
        <v>0.15</v>
      </c>
      <c r="AG88" s="42">
        <f t="shared" si="23"/>
        <v>1650.0224999999998</v>
      </c>
      <c r="AH88" s="42">
        <f t="shared" si="44"/>
        <v>1785.9247275999996</v>
      </c>
      <c r="AI88" s="42">
        <f t="shared" si="45"/>
        <v>1.082363863280652</v>
      </c>
      <c r="AJ88" s="59">
        <v>3</v>
      </c>
      <c r="AK88" s="59">
        <v>4</v>
      </c>
      <c r="AL88" s="65">
        <v>6.3</v>
      </c>
      <c r="AM88" s="59">
        <v>23</v>
      </c>
      <c r="AN88" s="65">
        <v>6.1</v>
      </c>
      <c r="AO88" s="65">
        <v>6.2</v>
      </c>
      <c r="AP88" s="38">
        <v>0.13</v>
      </c>
      <c r="AQ88" s="38">
        <v>0.21</v>
      </c>
      <c r="AR88" s="73">
        <f t="shared" si="24"/>
        <v>2241</v>
      </c>
      <c r="AS88" s="75">
        <f t="shared" si="25"/>
        <v>0.1682284694332887</v>
      </c>
      <c r="AT88" s="75">
        <f t="shared" si="26"/>
        <v>0.71039714413208388</v>
      </c>
      <c r="AU88" s="75">
        <f t="shared" si="27"/>
        <v>0.1213743864346274</v>
      </c>
      <c r="AV88" s="26">
        <f t="shared" si="28"/>
        <v>6.1096136567834684E-2</v>
      </c>
      <c r="AW88" s="26">
        <f t="shared" si="29"/>
        <v>8.2659478885893978E-2</v>
      </c>
      <c r="AX88" s="24">
        <f t="shared" si="30"/>
        <v>0.77419354838709675</v>
      </c>
      <c r="AY88" s="24">
        <f t="shared" si="31"/>
        <v>0.83870967741935487</v>
      </c>
      <c r="AZ88" s="77" t="str">
        <f t="shared" si="32"/>
        <v>5,0 ≤ Alc. Bruta &lt; 7,5 mg/L</v>
      </c>
      <c r="BA88" s="77" t="str">
        <f t="shared" si="33"/>
        <v>5 ≤ Cor &lt; 10 uC</v>
      </c>
      <c r="BB88" s="78" t="str">
        <f t="shared" si="34"/>
        <v>Turbidez &lt; 2,5 uT</v>
      </c>
      <c r="BC88" s="79" t="str">
        <f t="shared" si="35"/>
        <v>SM &gt; TOR &gt; BNN</v>
      </c>
      <c r="BD88" s="78" t="str">
        <f t="shared" si="36"/>
        <v>Tipo 1 (≤0,25) uT</v>
      </c>
      <c r="BE88" s="78" t="str">
        <f t="shared" si="37"/>
        <v>Tipo 1 (≤0,25) uT</v>
      </c>
      <c r="BF88" s="78" t="str">
        <f t="shared" si="38"/>
        <v>Tipo 1 (≤0,25) uT</v>
      </c>
      <c r="BG88" s="78" t="str">
        <f t="shared" si="39"/>
        <v>Tipo 1 (≤0,25) uT</v>
      </c>
      <c r="BH88" s="78" t="str">
        <f t="shared" si="40"/>
        <v>Tipo 1 (≤0,25) uT</v>
      </c>
    </row>
    <row r="89" spans="1:60" x14ac:dyDescent="0.2">
      <c r="A89" s="31">
        <v>46268</v>
      </c>
      <c r="B89" s="80">
        <v>0.39583333333333331</v>
      </c>
      <c r="C89" s="57">
        <v>372</v>
      </c>
      <c r="D89" s="57">
        <v>1606</v>
      </c>
      <c r="E89" s="57">
        <v>261</v>
      </c>
      <c r="F89" s="57">
        <v>2211</v>
      </c>
      <c r="G89" s="85" t="s">
        <v>78</v>
      </c>
      <c r="H89" s="63">
        <v>10</v>
      </c>
      <c r="I89" s="57">
        <v>-84</v>
      </c>
      <c r="J89" s="57">
        <v>90</v>
      </c>
      <c r="K89" s="57">
        <v>90</v>
      </c>
      <c r="L89" s="57">
        <v>90</v>
      </c>
      <c r="M89" s="57">
        <v>23.3</v>
      </c>
      <c r="N89" s="63">
        <v>6.5</v>
      </c>
      <c r="O89" s="36">
        <v>1.0900000000000001</v>
      </c>
      <c r="P89" s="57">
        <v>6</v>
      </c>
      <c r="Q89" s="63">
        <v>6.8</v>
      </c>
      <c r="R89" s="36">
        <v>0.06</v>
      </c>
      <c r="S89" s="36">
        <v>22.36</v>
      </c>
      <c r="T89" s="36">
        <v>0.88</v>
      </c>
      <c r="U89" s="36">
        <v>0.7</v>
      </c>
      <c r="V89" s="42">
        <f t="shared" si="41"/>
        <v>1683.12375</v>
      </c>
      <c r="W89" s="42">
        <f t="shared" si="42"/>
        <v>1398.8187927999998</v>
      </c>
      <c r="X89" s="42">
        <f t="shared" si="43"/>
        <v>0.83108493525802829</v>
      </c>
      <c r="Y89" s="57">
        <v>3</v>
      </c>
      <c r="Z89" s="57">
        <v>4</v>
      </c>
      <c r="AA89" s="63">
        <v>6.6</v>
      </c>
      <c r="AB89" s="57">
        <v>17</v>
      </c>
      <c r="AC89" s="63">
        <v>6</v>
      </c>
      <c r="AD89" s="63">
        <v>6.4</v>
      </c>
      <c r="AE89" s="36">
        <v>0.11</v>
      </c>
      <c r="AF89" s="36">
        <v>0.41</v>
      </c>
      <c r="AG89" s="42">
        <f t="shared" si="23"/>
        <v>1683.12375</v>
      </c>
      <c r="AH89" s="42">
        <f t="shared" si="44"/>
        <v>1750.3931224</v>
      </c>
      <c r="AI89" s="42">
        <f t="shared" si="45"/>
        <v>1.0399669794927437</v>
      </c>
      <c r="AJ89" s="57">
        <v>3</v>
      </c>
      <c r="AK89" s="57">
        <v>4</v>
      </c>
      <c r="AL89" s="63">
        <v>6.2</v>
      </c>
      <c r="AM89" s="57">
        <v>23</v>
      </c>
      <c r="AN89" s="63">
        <v>5.9</v>
      </c>
      <c r="AO89" s="63">
        <v>6.4</v>
      </c>
      <c r="AP89" s="36">
        <v>0.21</v>
      </c>
      <c r="AQ89" s="36">
        <v>0.25</v>
      </c>
      <c r="AR89" s="73">
        <f t="shared" si="24"/>
        <v>2239</v>
      </c>
      <c r="AS89" s="75">
        <f t="shared" si="25"/>
        <v>0.16614560071460474</v>
      </c>
      <c r="AT89" s="75">
        <f t="shared" si="26"/>
        <v>0.71728450200982585</v>
      </c>
      <c r="AU89" s="75">
        <f t="shared" si="27"/>
        <v>0.11656989727556945</v>
      </c>
      <c r="AV89" s="26">
        <f t="shared" si="28"/>
        <v>6.1510628674807777E-2</v>
      </c>
      <c r="AW89" s="26">
        <f t="shared" si="29"/>
        <v>8.3220262324739933E-2</v>
      </c>
      <c r="AX89" s="24">
        <f t="shared" si="30"/>
        <v>0.77064220183486243</v>
      </c>
      <c r="AY89" s="24">
        <f t="shared" si="31"/>
        <v>0.62385321100917435</v>
      </c>
      <c r="AZ89" s="77" t="str">
        <f t="shared" si="32"/>
        <v>5,0 ≤ Alc. Bruta &lt; 7,5 mg/L</v>
      </c>
      <c r="BA89" s="77" t="str">
        <f t="shared" si="33"/>
        <v>5 ≤ Cor &lt; 10 uC</v>
      </c>
      <c r="BB89" s="78" t="str">
        <f t="shared" si="34"/>
        <v>Turbidez &lt; 2,5 uT</v>
      </c>
      <c r="BC89" s="79" t="str">
        <f t="shared" si="35"/>
        <v>SM &gt; TOR &gt; BNN</v>
      </c>
      <c r="BD89" s="78" t="str">
        <f t="shared" si="36"/>
        <v>Tipo 1 (≤0,25) uT</v>
      </c>
      <c r="BE89" s="78" t="str">
        <f t="shared" si="37"/>
        <v>Tipo 1 (≤0,25) uT</v>
      </c>
      <c r="BF89" s="78" t="str">
        <f t="shared" si="38"/>
        <v>Tipo 2 (0,25-0,50) uT</v>
      </c>
      <c r="BG89" s="78" t="str">
        <f t="shared" si="39"/>
        <v>Tipo 1 (≤0,25) uT</v>
      </c>
      <c r="BH89" s="78" t="str">
        <f t="shared" si="40"/>
        <v>Tipo 1 (≤0,25) uT</v>
      </c>
    </row>
    <row r="90" spans="1:60" x14ac:dyDescent="0.2">
      <c r="A90" s="31">
        <v>46268</v>
      </c>
      <c r="B90" s="80">
        <v>0.47916666666666669</v>
      </c>
      <c r="C90" s="57">
        <v>377</v>
      </c>
      <c r="D90" s="57">
        <v>1543</v>
      </c>
      <c r="E90" s="57">
        <v>261</v>
      </c>
      <c r="F90" s="57">
        <v>2200</v>
      </c>
      <c r="G90" s="85" t="s">
        <v>78</v>
      </c>
      <c r="H90" s="63">
        <v>10</v>
      </c>
      <c r="I90" s="57">
        <v>-84</v>
      </c>
      <c r="J90" s="57">
        <v>90</v>
      </c>
      <c r="K90" s="57">
        <v>90</v>
      </c>
      <c r="L90" s="57">
        <v>90</v>
      </c>
      <c r="M90" s="57">
        <v>25.9</v>
      </c>
      <c r="N90" s="63">
        <v>6.5</v>
      </c>
      <c r="O90" s="36">
        <v>0.96</v>
      </c>
      <c r="P90" s="57">
        <v>7</v>
      </c>
      <c r="Q90" s="63">
        <v>7.2</v>
      </c>
      <c r="R90" s="36">
        <v>0.06</v>
      </c>
      <c r="S90" s="36">
        <v>22.36</v>
      </c>
      <c r="T90" s="36">
        <v>0.88</v>
      </c>
      <c r="U90" s="36">
        <v>0.7</v>
      </c>
      <c r="V90" s="42">
        <f t="shared" si="41"/>
        <v>1639</v>
      </c>
      <c r="W90" s="42">
        <f t="shared" si="42"/>
        <v>1398.8187927999998</v>
      </c>
      <c r="X90" s="42">
        <f t="shared" si="43"/>
        <v>0.85345868993288576</v>
      </c>
      <c r="Y90" s="57">
        <v>3</v>
      </c>
      <c r="Z90" s="57">
        <v>4</v>
      </c>
      <c r="AA90" s="63">
        <v>6.6</v>
      </c>
      <c r="AB90" s="57">
        <v>17</v>
      </c>
      <c r="AC90" s="63">
        <v>5.7</v>
      </c>
      <c r="AD90" s="63">
        <v>5.7</v>
      </c>
      <c r="AE90" s="36">
        <v>0.24</v>
      </c>
      <c r="AF90" s="36">
        <v>0.15</v>
      </c>
      <c r="AG90" s="42">
        <f t="shared" si="23"/>
        <v>1639</v>
      </c>
      <c r="AH90" s="42">
        <f t="shared" si="44"/>
        <v>1750.3931224</v>
      </c>
      <c r="AI90" s="42">
        <f t="shared" si="45"/>
        <v>1.0679640771201953</v>
      </c>
      <c r="AJ90" s="57">
        <v>3</v>
      </c>
      <c r="AK90" s="57">
        <v>4</v>
      </c>
      <c r="AL90" s="63">
        <v>6.2</v>
      </c>
      <c r="AM90" s="57">
        <v>23</v>
      </c>
      <c r="AN90" s="63">
        <v>5.9</v>
      </c>
      <c r="AO90" s="63">
        <v>6.6</v>
      </c>
      <c r="AP90" s="36">
        <v>0.15</v>
      </c>
      <c r="AQ90" s="36">
        <v>0.21</v>
      </c>
      <c r="AR90" s="73">
        <f t="shared" si="24"/>
        <v>2181</v>
      </c>
      <c r="AS90" s="75">
        <f t="shared" si="25"/>
        <v>0.17285648784961027</v>
      </c>
      <c r="AT90" s="75">
        <f t="shared" si="26"/>
        <v>0.70747363594681334</v>
      </c>
      <c r="AU90" s="75">
        <f t="shared" si="27"/>
        <v>0.11966987620357634</v>
      </c>
      <c r="AV90" s="26">
        <f t="shared" si="28"/>
        <v>6.1818181818181821E-2</v>
      </c>
      <c r="AW90" s="26">
        <f t="shared" si="29"/>
        <v>8.3636363636363634E-2</v>
      </c>
      <c r="AX90" s="24">
        <f t="shared" si="30"/>
        <v>0.78125</v>
      </c>
      <c r="AY90" s="24">
        <f t="shared" si="31"/>
        <v>0.84375</v>
      </c>
      <c r="AZ90" s="77" t="str">
        <f t="shared" si="32"/>
        <v>5,0 ≤ Alc. Bruta &lt; 7,5 mg/L</v>
      </c>
      <c r="BA90" s="77" t="str">
        <f t="shared" si="33"/>
        <v>5 ≤ Cor &lt; 10 uC</v>
      </c>
      <c r="BB90" s="78" t="str">
        <f t="shared" si="34"/>
        <v>Turbidez &lt; 2,5 uT</v>
      </c>
      <c r="BC90" s="79" t="str">
        <f t="shared" si="35"/>
        <v>SM &gt; TOR &gt; BNN</v>
      </c>
      <c r="BD90" s="78" t="str">
        <f t="shared" si="36"/>
        <v>Tipo 1 (≤0,25) uT</v>
      </c>
      <c r="BE90" s="78" t="str">
        <f t="shared" si="37"/>
        <v>Tipo 1 (≤0,25) uT</v>
      </c>
      <c r="BF90" s="78" t="str">
        <f t="shared" si="38"/>
        <v>Tipo 1 (≤0,25) uT</v>
      </c>
      <c r="BG90" s="78" t="str">
        <f t="shared" si="39"/>
        <v>Tipo 1 (≤0,25) uT</v>
      </c>
      <c r="BH90" s="78" t="str">
        <f t="shared" si="40"/>
        <v>Tipo 1 (≤0,25) uT</v>
      </c>
    </row>
    <row r="91" spans="1:60" x14ac:dyDescent="0.2">
      <c r="A91" s="31">
        <v>46268</v>
      </c>
      <c r="B91" s="80">
        <v>0.64583333333333337</v>
      </c>
      <c r="C91" s="57">
        <v>361</v>
      </c>
      <c r="D91" s="57">
        <v>1647</v>
      </c>
      <c r="E91" s="57">
        <v>276</v>
      </c>
      <c r="F91" s="57">
        <v>2253</v>
      </c>
      <c r="G91" s="85" t="s">
        <v>78</v>
      </c>
      <c r="H91" s="63">
        <v>11.6</v>
      </c>
      <c r="I91" s="57">
        <v>-74</v>
      </c>
      <c r="J91" s="57">
        <v>90</v>
      </c>
      <c r="K91" s="57">
        <v>90</v>
      </c>
      <c r="L91" s="57">
        <v>90</v>
      </c>
      <c r="M91" s="57">
        <v>25.4</v>
      </c>
      <c r="N91" s="63">
        <v>6.4</v>
      </c>
      <c r="O91" s="36">
        <v>1.01</v>
      </c>
      <c r="P91" s="57">
        <v>15</v>
      </c>
      <c r="Q91" s="63">
        <v>7.7</v>
      </c>
      <c r="R91" s="36">
        <v>0.06</v>
      </c>
      <c r="S91" s="36">
        <v>22.36</v>
      </c>
      <c r="T91" s="36">
        <v>0.88</v>
      </c>
      <c r="U91" s="36">
        <v>0.7</v>
      </c>
      <c r="V91" s="42">
        <f t="shared" si="41"/>
        <v>1827.7462500000001</v>
      </c>
      <c r="W91" s="42">
        <f t="shared" si="42"/>
        <v>1372.556302</v>
      </c>
      <c r="X91" s="42">
        <f t="shared" si="43"/>
        <v>0.75095561104283481</v>
      </c>
      <c r="Y91" s="57">
        <v>3</v>
      </c>
      <c r="Z91" s="57">
        <v>4</v>
      </c>
      <c r="AA91" s="63">
        <v>6.5</v>
      </c>
      <c r="AB91" s="57">
        <v>17</v>
      </c>
      <c r="AC91" s="63">
        <v>5.9</v>
      </c>
      <c r="AD91" s="63">
        <v>6.7</v>
      </c>
      <c r="AE91" s="36">
        <v>0.13</v>
      </c>
      <c r="AF91" s="36">
        <v>0.27</v>
      </c>
      <c r="AG91" s="42">
        <f t="shared" si="23"/>
        <v>1827.7462500000001</v>
      </c>
      <c r="AH91" s="42">
        <f t="shared" si="44"/>
        <v>1750.3931224</v>
      </c>
      <c r="AI91" s="42">
        <f t="shared" si="45"/>
        <v>0.95767840989962361</v>
      </c>
      <c r="AJ91" s="57">
        <v>3</v>
      </c>
      <c r="AK91" s="57">
        <v>4</v>
      </c>
      <c r="AL91" s="63">
        <v>6.2</v>
      </c>
      <c r="AM91" s="57">
        <v>23</v>
      </c>
      <c r="AN91" s="63">
        <v>5.8</v>
      </c>
      <c r="AO91" s="63">
        <v>5.8</v>
      </c>
      <c r="AP91" s="36">
        <v>0.15</v>
      </c>
      <c r="AQ91" s="36">
        <v>0.13</v>
      </c>
      <c r="AR91" s="73">
        <f t="shared" si="24"/>
        <v>2284</v>
      </c>
      <c r="AS91" s="75">
        <f t="shared" si="25"/>
        <v>0.15805604203152365</v>
      </c>
      <c r="AT91" s="75">
        <f t="shared" si="26"/>
        <v>0.72110332749562167</v>
      </c>
      <c r="AU91" s="75">
        <f t="shared" si="27"/>
        <v>0.12084063047285463</v>
      </c>
      <c r="AV91" s="26">
        <f t="shared" si="28"/>
        <v>6.0363959165557035E-2</v>
      </c>
      <c r="AW91" s="26">
        <f t="shared" si="29"/>
        <v>8.1668885929871288E-2</v>
      </c>
      <c r="AX91" s="24">
        <f t="shared" si="30"/>
        <v>0.87128712871287128</v>
      </c>
      <c r="AY91" s="24">
        <f t="shared" si="31"/>
        <v>0.73267326732673266</v>
      </c>
      <c r="AZ91" s="77" t="str">
        <f t="shared" si="32"/>
        <v>7,5 ≤ Alc. Bruta &lt; 10,0 mg/L</v>
      </c>
      <c r="BA91" s="77" t="str">
        <f t="shared" si="33"/>
        <v>15 ≤ Cor &lt; 30 uC</v>
      </c>
      <c r="BB91" s="78" t="str">
        <f t="shared" si="34"/>
        <v>Turbidez &lt; 2,5 uT</v>
      </c>
      <c r="BC91" s="79" t="str">
        <f t="shared" si="35"/>
        <v>SM &gt; TOR &gt; BNN</v>
      </c>
      <c r="BD91" s="78" t="str">
        <f t="shared" si="36"/>
        <v>Tipo 1 (≤0,25) uT</v>
      </c>
      <c r="BE91" s="78" t="str">
        <f t="shared" si="37"/>
        <v>Tipo 1 (≤0,25) uT</v>
      </c>
      <c r="BF91" s="78" t="str">
        <f t="shared" si="38"/>
        <v>Tipo 2 (0,25-0,50) uT</v>
      </c>
      <c r="BG91" s="78" t="str">
        <f t="shared" si="39"/>
        <v>Tipo 1 (≤0,25) uT</v>
      </c>
      <c r="BH91" s="78" t="str">
        <f t="shared" si="40"/>
        <v>Tipo 1 (≤0,25) uT</v>
      </c>
    </row>
    <row r="92" spans="1:60" x14ac:dyDescent="0.2">
      <c r="A92" s="31">
        <v>46268</v>
      </c>
      <c r="B92" s="80">
        <v>0.72916666666666663</v>
      </c>
      <c r="C92" s="57">
        <v>361</v>
      </c>
      <c r="D92" s="57">
        <v>1576</v>
      </c>
      <c r="E92" s="57">
        <v>278</v>
      </c>
      <c r="F92" s="57">
        <v>2231</v>
      </c>
      <c r="G92" s="85" t="s">
        <v>78</v>
      </c>
      <c r="H92" s="63">
        <v>11</v>
      </c>
      <c r="I92" s="57">
        <v>-70</v>
      </c>
      <c r="J92" s="57">
        <v>90</v>
      </c>
      <c r="K92" s="57">
        <v>90</v>
      </c>
      <c r="L92" s="57">
        <v>90</v>
      </c>
      <c r="M92" s="57">
        <v>26</v>
      </c>
      <c r="N92" s="63">
        <v>6.5</v>
      </c>
      <c r="O92" s="36">
        <v>1.04</v>
      </c>
      <c r="P92" s="57">
        <v>5</v>
      </c>
      <c r="Q92" s="63">
        <v>7.8</v>
      </c>
      <c r="R92" s="36">
        <v>0.06</v>
      </c>
      <c r="S92" s="36">
        <v>22.36</v>
      </c>
      <c r="T92" s="36">
        <v>0.88</v>
      </c>
      <c r="U92" s="36">
        <v>0.7</v>
      </c>
      <c r="V92" s="42">
        <f t="shared" si="41"/>
        <v>1768.0674999999999</v>
      </c>
      <c r="W92" s="42">
        <f t="shared" si="42"/>
        <v>1398.8187927999998</v>
      </c>
      <c r="X92" s="42">
        <f t="shared" si="43"/>
        <v>0.79115689463213357</v>
      </c>
      <c r="Y92" s="57">
        <v>3</v>
      </c>
      <c r="Z92" s="57">
        <v>4</v>
      </c>
      <c r="AA92" s="63">
        <v>6.6</v>
      </c>
      <c r="AB92" s="57">
        <v>17</v>
      </c>
      <c r="AC92" s="63">
        <v>6.2</v>
      </c>
      <c r="AD92" s="63">
        <v>7.7</v>
      </c>
      <c r="AE92" s="36">
        <v>0.15</v>
      </c>
      <c r="AF92" s="36">
        <v>7.0000000000000007E-2</v>
      </c>
      <c r="AG92" s="42">
        <f t="shared" si="23"/>
        <v>1768.0674999999999</v>
      </c>
      <c r="AH92" s="42">
        <f t="shared" si="44"/>
        <v>1750.3931224</v>
      </c>
      <c r="AI92" s="42">
        <f t="shared" si="45"/>
        <v>0.99000356174184534</v>
      </c>
      <c r="AJ92" s="57">
        <v>3</v>
      </c>
      <c r="AK92" s="57">
        <v>4</v>
      </c>
      <c r="AL92" s="63">
        <v>6.2</v>
      </c>
      <c r="AM92" s="57">
        <v>23</v>
      </c>
      <c r="AN92" s="63">
        <v>6.1</v>
      </c>
      <c r="AO92" s="63">
        <v>6.5</v>
      </c>
      <c r="AP92" s="36">
        <v>0.14000000000000001</v>
      </c>
      <c r="AQ92" s="36">
        <v>0.2</v>
      </c>
      <c r="AR92" s="73">
        <f t="shared" si="24"/>
        <v>2215</v>
      </c>
      <c r="AS92" s="75">
        <f t="shared" si="25"/>
        <v>0.16297968397291196</v>
      </c>
      <c r="AT92" s="75">
        <f t="shared" si="26"/>
        <v>0.71151241534988718</v>
      </c>
      <c r="AU92" s="75">
        <f t="shared" si="27"/>
        <v>0.12550790067720091</v>
      </c>
      <c r="AV92" s="26">
        <f t="shared" si="28"/>
        <v>6.0959211116091441E-2</v>
      </c>
      <c r="AW92" s="26">
        <f t="shared" si="29"/>
        <v>8.247422680412371E-2</v>
      </c>
      <c r="AX92" s="24">
        <f t="shared" si="30"/>
        <v>0.80769230769230771</v>
      </c>
      <c r="AY92" s="24">
        <f t="shared" si="31"/>
        <v>0.93269230769230771</v>
      </c>
      <c r="AZ92" s="77" t="str">
        <f t="shared" si="32"/>
        <v>7,5 ≤ Alc. Bruta &lt; 10,0 mg/L</v>
      </c>
      <c r="BA92" s="77" t="str">
        <f t="shared" si="33"/>
        <v>5 ≤ Cor &lt; 10 uC</v>
      </c>
      <c r="BB92" s="78" t="str">
        <f t="shared" si="34"/>
        <v>Turbidez &lt; 2,5 uT</v>
      </c>
      <c r="BC92" s="79" t="str">
        <f t="shared" si="35"/>
        <v>SM &gt; TOR &gt; BNN</v>
      </c>
      <c r="BD92" s="78" t="str">
        <f t="shared" si="36"/>
        <v>Tipo 1 (≤0,25) uT</v>
      </c>
      <c r="BE92" s="78" t="str">
        <f t="shared" si="37"/>
        <v>Tipo 1 (≤0,25) uT</v>
      </c>
      <c r="BF92" s="78" t="str">
        <f t="shared" si="38"/>
        <v>Tipo 1 (≤0,25) uT</v>
      </c>
      <c r="BG92" s="78" t="str">
        <f t="shared" si="39"/>
        <v>Tipo 1 (≤0,25) uT</v>
      </c>
      <c r="BH92" s="78" t="str">
        <f t="shared" si="40"/>
        <v>Tipo 1 (≤0,25) uT</v>
      </c>
    </row>
    <row r="93" spans="1:60" x14ac:dyDescent="0.2">
      <c r="A93" s="31">
        <v>46268</v>
      </c>
      <c r="B93" s="80">
        <v>0.8125</v>
      </c>
      <c r="C93" s="57">
        <v>362</v>
      </c>
      <c r="D93" s="57">
        <v>1625</v>
      </c>
      <c r="E93" s="57">
        <v>275</v>
      </c>
      <c r="F93" s="57">
        <v>2250</v>
      </c>
      <c r="G93" s="85" t="s">
        <v>78</v>
      </c>
      <c r="H93" s="63">
        <v>11</v>
      </c>
      <c r="I93" s="57">
        <v>-64</v>
      </c>
      <c r="J93" s="57">
        <v>90</v>
      </c>
      <c r="K93" s="57">
        <v>90</v>
      </c>
      <c r="L93" s="57">
        <v>90</v>
      </c>
      <c r="M93" s="57">
        <v>26.1</v>
      </c>
      <c r="N93" s="63">
        <v>6.5</v>
      </c>
      <c r="O93" s="36">
        <v>1.07</v>
      </c>
      <c r="P93" s="57">
        <v>6</v>
      </c>
      <c r="Q93" s="63">
        <v>7.4</v>
      </c>
      <c r="R93" s="36">
        <v>7.0000000000000007E-2</v>
      </c>
      <c r="S93" s="36">
        <v>22.36</v>
      </c>
      <c r="T93" s="36">
        <v>0.88</v>
      </c>
      <c r="U93" s="36">
        <v>0.7</v>
      </c>
      <c r="V93" s="42">
        <f t="shared" si="41"/>
        <v>1791.5625</v>
      </c>
      <c r="W93" s="42">
        <f t="shared" si="42"/>
        <v>1398.8187927999998</v>
      </c>
      <c r="X93" s="42">
        <f t="shared" si="43"/>
        <v>0.78078146467120169</v>
      </c>
      <c r="Y93" s="57">
        <v>3</v>
      </c>
      <c r="Z93" s="57">
        <v>4</v>
      </c>
      <c r="AA93" s="63">
        <v>6.6</v>
      </c>
      <c r="AB93" s="57">
        <v>17</v>
      </c>
      <c r="AC93" s="63">
        <v>6.1</v>
      </c>
      <c r="AD93" s="63">
        <v>5.8</v>
      </c>
      <c r="AE93" s="36">
        <v>0.14000000000000001</v>
      </c>
      <c r="AF93" s="36">
        <v>0.09</v>
      </c>
      <c r="AG93" s="42">
        <f t="shared" si="23"/>
        <v>1791.5625</v>
      </c>
      <c r="AH93" s="42">
        <f t="shared" si="44"/>
        <v>1714.8615171999998</v>
      </c>
      <c r="AI93" s="42">
        <f t="shared" si="45"/>
        <v>0.95718766004535139</v>
      </c>
      <c r="AJ93" s="57">
        <v>3</v>
      </c>
      <c r="AK93" s="57">
        <v>4</v>
      </c>
      <c r="AL93" s="63">
        <v>6.1</v>
      </c>
      <c r="AM93" s="57">
        <v>23</v>
      </c>
      <c r="AN93" s="63">
        <v>6</v>
      </c>
      <c r="AO93" s="63">
        <v>5.3</v>
      </c>
      <c r="AP93" s="36">
        <v>0.13</v>
      </c>
      <c r="AQ93" s="36">
        <v>0.16</v>
      </c>
      <c r="AR93" s="73">
        <f t="shared" si="24"/>
        <v>2262</v>
      </c>
      <c r="AS93" s="75">
        <f t="shared" si="25"/>
        <v>0.16003536693191867</v>
      </c>
      <c r="AT93" s="75">
        <f t="shared" si="26"/>
        <v>0.7183908045977011</v>
      </c>
      <c r="AU93" s="75">
        <f t="shared" si="27"/>
        <v>0.12157382847038019</v>
      </c>
      <c r="AV93" s="26">
        <f t="shared" si="28"/>
        <v>6.0444444444444446E-2</v>
      </c>
      <c r="AW93" s="26">
        <f t="shared" si="29"/>
        <v>8.1777777777777783E-2</v>
      </c>
      <c r="AX93" s="24">
        <f t="shared" si="30"/>
        <v>0.85046728971962615</v>
      </c>
      <c r="AY93" s="24">
        <f t="shared" si="31"/>
        <v>0.91588785046728971</v>
      </c>
      <c r="AZ93" s="77" t="str">
        <f t="shared" si="32"/>
        <v>5,0 ≤ Alc. Bruta &lt; 7,5 mg/L</v>
      </c>
      <c r="BA93" s="77" t="str">
        <f t="shared" si="33"/>
        <v>5 ≤ Cor &lt; 10 uC</v>
      </c>
      <c r="BB93" s="78" t="str">
        <f t="shared" si="34"/>
        <v>Turbidez &lt; 2,5 uT</v>
      </c>
      <c r="BC93" s="79" t="str">
        <f t="shared" si="35"/>
        <v>SM &gt; TOR &gt; BNN</v>
      </c>
      <c r="BD93" s="78" t="str">
        <f t="shared" si="36"/>
        <v>Tipo 1 (≤0,25) uT</v>
      </c>
      <c r="BE93" s="78" t="str">
        <f t="shared" si="37"/>
        <v>Tipo 1 (≤0,25) uT</v>
      </c>
      <c r="BF93" s="78" t="str">
        <f t="shared" si="38"/>
        <v>Tipo 1 (≤0,25) uT</v>
      </c>
      <c r="BG93" s="78" t="str">
        <f t="shared" si="39"/>
        <v>Tipo 1 (≤0,25) uT</v>
      </c>
      <c r="BH93" s="78" t="str">
        <f t="shared" si="40"/>
        <v>Tipo 1 (≤0,25) uT</v>
      </c>
    </row>
    <row r="94" spans="1:60" x14ac:dyDescent="0.2">
      <c r="A94" s="31">
        <v>46268</v>
      </c>
      <c r="B94" s="80">
        <v>0.89583333333333337</v>
      </c>
      <c r="C94" s="57">
        <v>366</v>
      </c>
      <c r="D94" s="57">
        <v>1581</v>
      </c>
      <c r="E94" s="57">
        <v>271</v>
      </c>
      <c r="F94" s="57">
        <v>2245</v>
      </c>
      <c r="G94" s="85" t="s">
        <v>78</v>
      </c>
      <c r="H94" s="63">
        <v>11</v>
      </c>
      <c r="I94" s="57">
        <v>-50</v>
      </c>
      <c r="J94" s="57">
        <v>90</v>
      </c>
      <c r="K94" s="57">
        <v>90</v>
      </c>
      <c r="L94" s="57">
        <v>90</v>
      </c>
      <c r="M94" s="57">
        <v>25.6</v>
      </c>
      <c r="N94" s="63">
        <v>6.6</v>
      </c>
      <c r="O94" s="36">
        <v>1.1399999999999999</v>
      </c>
      <c r="P94" s="57">
        <v>7</v>
      </c>
      <c r="Q94" s="63">
        <v>6.2</v>
      </c>
      <c r="R94" s="36">
        <v>7.0000000000000007E-2</v>
      </c>
      <c r="S94" s="36">
        <v>22.36</v>
      </c>
      <c r="T94" s="36">
        <v>0.88</v>
      </c>
      <c r="U94" s="36">
        <v>0.7</v>
      </c>
      <c r="V94" s="42">
        <f t="shared" si="41"/>
        <v>1807.2249999999999</v>
      </c>
      <c r="W94" s="42">
        <f t="shared" si="42"/>
        <v>1398.8187927999998</v>
      </c>
      <c r="X94" s="42">
        <f t="shared" si="43"/>
        <v>0.7740147423812751</v>
      </c>
      <c r="Y94" s="57">
        <v>3</v>
      </c>
      <c r="Z94" s="57">
        <v>4</v>
      </c>
      <c r="AA94" s="63">
        <v>6.6</v>
      </c>
      <c r="AB94" s="57">
        <v>17</v>
      </c>
      <c r="AC94" s="63">
        <v>6.2</v>
      </c>
      <c r="AD94" s="63">
        <v>4.9000000000000004</v>
      </c>
      <c r="AE94" s="36">
        <v>0.11</v>
      </c>
      <c r="AF94" s="36">
        <v>0.09</v>
      </c>
      <c r="AG94" s="42">
        <f t="shared" si="23"/>
        <v>1807.2249999999999</v>
      </c>
      <c r="AH94" s="42">
        <f t="shared" si="44"/>
        <v>1714.8615171999998</v>
      </c>
      <c r="AI94" s="42">
        <f t="shared" si="45"/>
        <v>0.9488920954502067</v>
      </c>
      <c r="AJ94" s="57">
        <v>3</v>
      </c>
      <c r="AK94" s="57">
        <v>4</v>
      </c>
      <c r="AL94" s="63">
        <v>6.1</v>
      </c>
      <c r="AM94" s="57">
        <v>23</v>
      </c>
      <c r="AN94" s="63">
        <v>6.1</v>
      </c>
      <c r="AO94" s="63">
        <v>5.0999999999999996</v>
      </c>
      <c r="AP94" s="36">
        <v>0.12</v>
      </c>
      <c r="AQ94" s="36">
        <v>0.16</v>
      </c>
      <c r="AR94" s="73">
        <f t="shared" si="24"/>
        <v>2218</v>
      </c>
      <c r="AS94" s="75">
        <f t="shared" si="25"/>
        <v>0.16501352569882777</v>
      </c>
      <c r="AT94" s="75">
        <f t="shared" si="26"/>
        <v>0.71280432822362494</v>
      </c>
      <c r="AU94" s="75">
        <f t="shared" si="27"/>
        <v>0.12218214607754734</v>
      </c>
      <c r="AV94" s="26">
        <f t="shared" si="28"/>
        <v>6.0579064587973276E-2</v>
      </c>
      <c r="AW94" s="26">
        <f t="shared" si="29"/>
        <v>8.195991091314031E-2</v>
      </c>
      <c r="AX94" s="24">
        <f t="shared" si="30"/>
        <v>0.85964912280701755</v>
      </c>
      <c r="AY94" s="24">
        <f t="shared" si="31"/>
        <v>0.92105263157894735</v>
      </c>
      <c r="AZ94" s="77" t="str">
        <f t="shared" si="32"/>
        <v>5,0 ≤ Alc. Bruta &lt; 7,5 mg/L</v>
      </c>
      <c r="BA94" s="77" t="str">
        <f t="shared" si="33"/>
        <v>5 ≤ Cor &lt; 10 uC</v>
      </c>
      <c r="BB94" s="78" t="str">
        <f t="shared" si="34"/>
        <v>Turbidez &lt; 2,5 uT</v>
      </c>
      <c r="BC94" s="79" t="str">
        <f t="shared" si="35"/>
        <v>SM &gt; TOR &gt; BNN</v>
      </c>
      <c r="BD94" s="78" t="str">
        <f t="shared" si="36"/>
        <v>Tipo 1 (≤0,25) uT</v>
      </c>
      <c r="BE94" s="78" t="str">
        <f t="shared" si="37"/>
        <v>Tipo 1 (≤0,25) uT</v>
      </c>
      <c r="BF94" s="78" t="str">
        <f t="shared" si="38"/>
        <v>Tipo 1 (≤0,25) uT</v>
      </c>
      <c r="BG94" s="78" t="str">
        <f t="shared" si="39"/>
        <v>Tipo 1 (≤0,25) uT</v>
      </c>
      <c r="BH94" s="78" t="str">
        <f t="shared" si="40"/>
        <v>Tipo 1 (≤0,25) uT</v>
      </c>
    </row>
    <row r="95" spans="1:60" x14ac:dyDescent="0.2">
      <c r="A95" s="31">
        <v>46268</v>
      </c>
      <c r="B95" s="80">
        <v>0.97916666666666663</v>
      </c>
      <c r="C95" s="57">
        <v>358</v>
      </c>
      <c r="D95" s="57">
        <v>1581</v>
      </c>
      <c r="E95" s="57">
        <v>277</v>
      </c>
      <c r="F95" s="57">
        <v>2235</v>
      </c>
      <c r="G95" s="85" t="s">
        <v>78</v>
      </c>
      <c r="H95" s="63">
        <v>11</v>
      </c>
      <c r="I95" s="57">
        <v>-48</v>
      </c>
      <c r="J95" s="57">
        <v>90</v>
      </c>
      <c r="K95" s="57">
        <v>90</v>
      </c>
      <c r="L95" s="57">
        <v>90</v>
      </c>
      <c r="M95" s="57">
        <v>25.4</v>
      </c>
      <c r="N95" s="63">
        <v>6.5</v>
      </c>
      <c r="O95" s="36">
        <v>1.1000000000000001</v>
      </c>
      <c r="P95" s="57">
        <v>6</v>
      </c>
      <c r="Q95" s="63">
        <v>5.9</v>
      </c>
      <c r="R95" s="36">
        <v>0.08</v>
      </c>
      <c r="S95" s="36">
        <v>22.36</v>
      </c>
      <c r="T95" s="36">
        <v>0.88</v>
      </c>
      <c r="U95" s="36">
        <v>0.7</v>
      </c>
      <c r="V95" s="42">
        <f t="shared" si="41"/>
        <v>1788</v>
      </c>
      <c r="W95" s="42">
        <f t="shared" si="42"/>
        <v>1398.8187927999998</v>
      </c>
      <c r="X95" s="42">
        <f t="shared" si="43"/>
        <v>0.78233713243847858</v>
      </c>
      <c r="Y95" s="57">
        <v>3</v>
      </c>
      <c r="Z95" s="57">
        <v>4</v>
      </c>
      <c r="AA95" s="63">
        <v>6.6</v>
      </c>
      <c r="AB95" s="57">
        <v>17</v>
      </c>
      <c r="AC95" s="63">
        <v>6.2</v>
      </c>
      <c r="AD95" s="63">
        <v>5.4</v>
      </c>
      <c r="AE95" s="36">
        <v>0.12</v>
      </c>
      <c r="AF95" s="36">
        <v>0.11</v>
      </c>
      <c r="AG95" s="42">
        <f t="shared" si="23"/>
        <v>1788</v>
      </c>
      <c r="AH95" s="42">
        <f t="shared" si="44"/>
        <v>1714.8615171999998</v>
      </c>
      <c r="AI95" s="42">
        <f t="shared" si="45"/>
        <v>0.95909480827740479</v>
      </c>
      <c r="AJ95" s="57">
        <v>3</v>
      </c>
      <c r="AK95" s="57">
        <v>4</v>
      </c>
      <c r="AL95" s="63">
        <v>6.1</v>
      </c>
      <c r="AM95" s="57">
        <v>23</v>
      </c>
      <c r="AN95" s="63">
        <v>6.1</v>
      </c>
      <c r="AO95" s="63">
        <v>5.3</v>
      </c>
      <c r="AP95" s="36">
        <v>0.15</v>
      </c>
      <c r="AQ95" s="36">
        <v>0.16</v>
      </c>
      <c r="AR95" s="73">
        <f t="shared" si="24"/>
        <v>2216</v>
      </c>
      <c r="AS95" s="75">
        <f t="shared" si="25"/>
        <v>0.1615523465703971</v>
      </c>
      <c r="AT95" s="75">
        <f t="shared" si="26"/>
        <v>0.71344765342960292</v>
      </c>
      <c r="AU95" s="75">
        <f t="shared" si="27"/>
        <v>0.125</v>
      </c>
      <c r="AV95" s="26">
        <f t="shared" si="28"/>
        <v>6.0850111856823264E-2</v>
      </c>
      <c r="AW95" s="26">
        <f t="shared" si="29"/>
        <v>8.232662192393736E-2</v>
      </c>
      <c r="AX95" s="24">
        <f t="shared" si="30"/>
        <v>0.8545454545454545</v>
      </c>
      <c r="AY95" s="24">
        <f t="shared" si="31"/>
        <v>0.9</v>
      </c>
      <c r="AZ95" s="77" t="str">
        <f t="shared" si="32"/>
        <v>5,0 ≤ Alc. Bruta &lt; 7,5 mg/L</v>
      </c>
      <c r="BA95" s="77" t="str">
        <f t="shared" si="33"/>
        <v>5 ≤ Cor &lt; 10 uC</v>
      </c>
      <c r="BB95" s="78" t="str">
        <f t="shared" si="34"/>
        <v>Turbidez &lt; 2,5 uT</v>
      </c>
      <c r="BC95" s="79" t="str">
        <f t="shared" si="35"/>
        <v>SM &gt; TOR &gt; BNN</v>
      </c>
      <c r="BD95" s="78" t="str">
        <f t="shared" si="36"/>
        <v>Tipo 1 (≤0,25) uT</v>
      </c>
      <c r="BE95" s="78" t="str">
        <f t="shared" si="37"/>
        <v>Tipo 1 (≤0,25) uT</v>
      </c>
      <c r="BF95" s="78" t="str">
        <f t="shared" si="38"/>
        <v>Tipo 1 (≤0,25) uT</v>
      </c>
      <c r="BG95" s="78" t="str">
        <f t="shared" si="39"/>
        <v>Tipo 1 (≤0,25) uT</v>
      </c>
      <c r="BH95" s="78" t="str">
        <f t="shared" si="40"/>
        <v>Tipo 1 (≤0,25) uT</v>
      </c>
    </row>
    <row r="96" spans="1:60" x14ac:dyDescent="0.2">
      <c r="A96" s="31">
        <v>46269</v>
      </c>
      <c r="B96" s="80">
        <v>6.25E-2</v>
      </c>
      <c r="C96" s="57">
        <v>455</v>
      </c>
      <c r="D96" s="57">
        <v>1506</v>
      </c>
      <c r="E96" s="57">
        <v>241</v>
      </c>
      <c r="F96" s="57">
        <v>2265</v>
      </c>
      <c r="G96" s="85" t="s">
        <v>78</v>
      </c>
      <c r="H96" s="63">
        <v>11</v>
      </c>
      <c r="I96" s="57">
        <v>-40</v>
      </c>
      <c r="J96" s="57">
        <v>90</v>
      </c>
      <c r="K96" s="57">
        <v>90</v>
      </c>
      <c r="L96" s="57">
        <v>90</v>
      </c>
      <c r="M96" s="57">
        <v>25.3</v>
      </c>
      <c r="N96" s="63">
        <v>6.6</v>
      </c>
      <c r="O96" s="36">
        <v>1.1200000000000001</v>
      </c>
      <c r="P96" s="57">
        <v>6</v>
      </c>
      <c r="Q96" s="63">
        <v>6.6</v>
      </c>
      <c r="R96" s="36">
        <v>7.0000000000000007E-2</v>
      </c>
      <c r="S96" s="36">
        <v>22.36</v>
      </c>
      <c r="T96" s="36">
        <v>0.88</v>
      </c>
      <c r="U96" s="36">
        <v>0.7</v>
      </c>
      <c r="V96" s="42">
        <f t="shared" si="41"/>
        <v>1817.6624999999999</v>
      </c>
      <c r="W96" s="42">
        <f t="shared" si="42"/>
        <v>1372.556302</v>
      </c>
      <c r="X96" s="42">
        <f t="shared" si="43"/>
        <v>0.75512164772063017</v>
      </c>
      <c r="Y96" s="57">
        <v>3</v>
      </c>
      <c r="Z96" s="57">
        <v>4</v>
      </c>
      <c r="AA96" s="63">
        <v>6.5</v>
      </c>
      <c r="AB96" s="57">
        <v>17</v>
      </c>
      <c r="AC96" s="63">
        <v>6.1</v>
      </c>
      <c r="AD96" s="63">
        <v>5.7</v>
      </c>
      <c r="AE96" s="36">
        <v>0.24</v>
      </c>
      <c r="AF96" s="36">
        <v>0.14000000000000001</v>
      </c>
      <c r="AG96" s="42">
        <f t="shared" si="23"/>
        <v>1817.6624999999999</v>
      </c>
      <c r="AH96" s="42">
        <f t="shared" si="44"/>
        <v>1714.8615171999998</v>
      </c>
      <c r="AI96" s="42">
        <f t="shared" si="45"/>
        <v>0.94344330545412025</v>
      </c>
      <c r="AJ96" s="57">
        <v>3</v>
      </c>
      <c r="AK96" s="57">
        <v>4</v>
      </c>
      <c r="AL96" s="63">
        <v>6.1</v>
      </c>
      <c r="AM96" s="57">
        <v>23</v>
      </c>
      <c r="AN96" s="63">
        <v>6.1</v>
      </c>
      <c r="AO96" s="63">
        <v>4.5</v>
      </c>
      <c r="AP96" s="36">
        <v>0.11</v>
      </c>
      <c r="AQ96" s="36">
        <v>0.16</v>
      </c>
      <c r="AR96" s="73">
        <f t="shared" si="24"/>
        <v>2202</v>
      </c>
      <c r="AS96" s="75">
        <f t="shared" si="25"/>
        <v>0.20663033605812897</v>
      </c>
      <c r="AT96" s="75">
        <f t="shared" si="26"/>
        <v>0.68392370572207084</v>
      </c>
      <c r="AU96" s="75">
        <f t="shared" si="27"/>
        <v>0.10944595821980019</v>
      </c>
      <c r="AV96" s="26">
        <f t="shared" si="28"/>
        <v>6.0044150110375276E-2</v>
      </c>
      <c r="AW96" s="26">
        <f t="shared" si="29"/>
        <v>8.1236203090507733E-2</v>
      </c>
      <c r="AX96" s="24">
        <f t="shared" si="30"/>
        <v>0.85714285714285721</v>
      </c>
      <c r="AY96" s="24">
        <f t="shared" si="31"/>
        <v>0.875</v>
      </c>
      <c r="AZ96" s="77" t="str">
        <f t="shared" si="32"/>
        <v>5,0 ≤ Alc. Bruta &lt; 7,5 mg/L</v>
      </c>
      <c r="BA96" s="77" t="str">
        <f t="shared" si="33"/>
        <v>5 ≤ Cor &lt; 10 uC</v>
      </c>
      <c r="BB96" s="78" t="str">
        <f t="shared" si="34"/>
        <v>Turbidez &lt; 2,5 uT</v>
      </c>
      <c r="BC96" s="79" t="str">
        <f t="shared" si="35"/>
        <v>SM &gt; TOR &gt; BNN</v>
      </c>
      <c r="BD96" s="78" t="str">
        <f t="shared" si="36"/>
        <v>Tipo 1 (≤0,25) uT</v>
      </c>
      <c r="BE96" s="78" t="str">
        <f t="shared" si="37"/>
        <v>Tipo 1 (≤0,25) uT</v>
      </c>
      <c r="BF96" s="78" t="str">
        <f t="shared" si="38"/>
        <v>Tipo 1 (≤0,25) uT</v>
      </c>
      <c r="BG96" s="78" t="str">
        <f t="shared" si="39"/>
        <v>Tipo 1 (≤0,25) uT</v>
      </c>
      <c r="BH96" s="78" t="str">
        <f t="shared" si="40"/>
        <v>Tipo 1 (≤0,25) uT</v>
      </c>
    </row>
    <row r="97" spans="1:60" x14ac:dyDescent="0.2">
      <c r="A97" s="31">
        <v>46269</v>
      </c>
      <c r="B97" s="80">
        <v>0.14583333333333334</v>
      </c>
      <c r="C97" s="57">
        <v>481</v>
      </c>
      <c r="D97" s="57">
        <v>1490</v>
      </c>
      <c r="E97" s="57">
        <v>270</v>
      </c>
      <c r="F97" s="57">
        <v>2277</v>
      </c>
      <c r="G97" s="85" t="s">
        <v>78</v>
      </c>
      <c r="H97" s="63">
        <v>11</v>
      </c>
      <c r="I97" s="57">
        <v>-40</v>
      </c>
      <c r="J97" s="57">
        <v>90</v>
      </c>
      <c r="K97" s="57">
        <v>90</v>
      </c>
      <c r="L97" s="57">
        <v>90</v>
      </c>
      <c r="M97" s="57">
        <v>25</v>
      </c>
      <c r="N97" s="63">
        <v>6.5</v>
      </c>
      <c r="O97" s="36">
        <v>1</v>
      </c>
      <c r="P97" s="57">
        <v>7</v>
      </c>
      <c r="Q97" s="63">
        <v>6.5</v>
      </c>
      <c r="R97" s="36">
        <v>0.08</v>
      </c>
      <c r="S97" s="36">
        <v>22.36</v>
      </c>
      <c r="T97" s="36">
        <v>0.88</v>
      </c>
      <c r="U97" s="36">
        <v>0.7</v>
      </c>
      <c r="V97" s="42">
        <f t="shared" si="41"/>
        <v>1793.1375</v>
      </c>
      <c r="W97" s="42">
        <f t="shared" si="42"/>
        <v>1372.556302</v>
      </c>
      <c r="X97" s="42">
        <f t="shared" si="43"/>
        <v>0.76544955531854075</v>
      </c>
      <c r="Y97" s="57">
        <v>3</v>
      </c>
      <c r="Z97" s="57">
        <v>4</v>
      </c>
      <c r="AA97" s="63">
        <v>6.5</v>
      </c>
      <c r="AB97" s="57">
        <v>17</v>
      </c>
      <c r="AC97" s="63">
        <v>6.2</v>
      </c>
      <c r="AD97" s="63">
        <v>5.4</v>
      </c>
      <c r="AE97" s="36">
        <v>0.13</v>
      </c>
      <c r="AF97" s="36">
        <v>0.12</v>
      </c>
      <c r="AG97" s="42">
        <f t="shared" si="23"/>
        <v>1793.1375</v>
      </c>
      <c r="AH97" s="42">
        <f t="shared" si="44"/>
        <v>1750.3931224</v>
      </c>
      <c r="AI97" s="42">
        <f t="shared" si="45"/>
        <v>0.97616224210357538</v>
      </c>
      <c r="AJ97" s="57">
        <v>3</v>
      </c>
      <c r="AK97" s="57">
        <v>4</v>
      </c>
      <c r="AL97" s="63">
        <v>6.2</v>
      </c>
      <c r="AM97" s="57">
        <v>23</v>
      </c>
      <c r="AN97" s="63">
        <v>6</v>
      </c>
      <c r="AO97" s="63">
        <v>4.0999999999999996</v>
      </c>
      <c r="AP97" s="36">
        <v>0.14000000000000001</v>
      </c>
      <c r="AQ97" s="36">
        <v>0.17</v>
      </c>
      <c r="AR97" s="73">
        <f t="shared" si="24"/>
        <v>2241</v>
      </c>
      <c r="AS97" s="75">
        <f t="shared" si="25"/>
        <v>0.214636323070058</v>
      </c>
      <c r="AT97" s="75">
        <f t="shared" si="26"/>
        <v>0.66488174921909859</v>
      </c>
      <c r="AU97" s="75">
        <f t="shared" si="27"/>
        <v>0.12048192771084337</v>
      </c>
      <c r="AV97" s="26">
        <f t="shared" si="28"/>
        <v>5.9727711901624944E-2</v>
      </c>
      <c r="AW97" s="26">
        <f t="shared" si="29"/>
        <v>8.0808080808080815E-2</v>
      </c>
      <c r="AX97" s="24">
        <f t="shared" si="30"/>
        <v>0.83</v>
      </c>
      <c r="AY97" s="24">
        <f t="shared" si="31"/>
        <v>0.88</v>
      </c>
      <c r="AZ97" s="77" t="str">
        <f t="shared" si="32"/>
        <v>5,0 ≤ Alc. Bruta &lt; 7,5 mg/L</v>
      </c>
      <c r="BA97" s="77" t="str">
        <f t="shared" si="33"/>
        <v>5 ≤ Cor &lt; 10 uC</v>
      </c>
      <c r="BB97" s="78" t="str">
        <f t="shared" si="34"/>
        <v>Turbidez &lt; 2,5 uT</v>
      </c>
      <c r="BC97" s="79" t="str">
        <f t="shared" si="35"/>
        <v>SM &gt; TOR &gt; BNN</v>
      </c>
      <c r="BD97" s="78" t="str">
        <f t="shared" si="36"/>
        <v>Tipo 1 (≤0,25) uT</v>
      </c>
      <c r="BE97" s="78" t="str">
        <f t="shared" si="37"/>
        <v>Tipo 1 (≤0,25) uT</v>
      </c>
      <c r="BF97" s="78" t="str">
        <f t="shared" si="38"/>
        <v>Tipo 1 (≤0,25) uT</v>
      </c>
      <c r="BG97" s="78" t="str">
        <f t="shared" si="39"/>
        <v>Tipo 1 (≤0,25) uT</v>
      </c>
      <c r="BH97" s="78" t="str">
        <f t="shared" si="40"/>
        <v>Tipo 1 (≤0,25) uT</v>
      </c>
    </row>
    <row r="98" spans="1:60" ht="15.75" thickBot="1" x14ac:dyDescent="0.25">
      <c r="A98" s="32">
        <v>46269</v>
      </c>
      <c r="B98" s="81">
        <v>0.22916666666666666</v>
      </c>
      <c r="C98" s="58">
        <v>485</v>
      </c>
      <c r="D98" s="58">
        <v>1467</v>
      </c>
      <c r="E98" s="58">
        <v>271</v>
      </c>
      <c r="F98" s="58">
        <v>2256</v>
      </c>
      <c r="G98" s="86" t="s">
        <v>78</v>
      </c>
      <c r="H98" s="64">
        <v>11</v>
      </c>
      <c r="I98" s="58">
        <v>-36</v>
      </c>
      <c r="J98" s="58">
        <v>90</v>
      </c>
      <c r="K98" s="58">
        <v>90</v>
      </c>
      <c r="L98" s="58">
        <v>90</v>
      </c>
      <c r="M98" s="58">
        <v>24.9</v>
      </c>
      <c r="N98" s="64">
        <v>6.6</v>
      </c>
      <c r="O98" s="37">
        <v>1.08</v>
      </c>
      <c r="P98" s="58">
        <v>6</v>
      </c>
      <c r="Q98" s="64">
        <v>6.2</v>
      </c>
      <c r="R98" s="37">
        <v>7.0000000000000007E-2</v>
      </c>
      <c r="S98" s="36">
        <v>22.36</v>
      </c>
      <c r="T98" s="36">
        <v>0.88</v>
      </c>
      <c r="U98" s="36">
        <v>0.7</v>
      </c>
      <c r="V98" s="42">
        <f t="shared" si="41"/>
        <v>1799.16</v>
      </c>
      <c r="W98" s="42">
        <f t="shared" si="42"/>
        <v>1372.556302</v>
      </c>
      <c r="X98" s="42">
        <f t="shared" si="43"/>
        <v>0.76288729295893631</v>
      </c>
      <c r="Y98" s="58">
        <v>3</v>
      </c>
      <c r="Z98" s="58">
        <v>4</v>
      </c>
      <c r="AA98" s="64">
        <v>6.5</v>
      </c>
      <c r="AB98" s="58">
        <v>17</v>
      </c>
      <c r="AC98" s="64">
        <v>6.2</v>
      </c>
      <c r="AD98" s="64">
        <v>5.3</v>
      </c>
      <c r="AE98" s="37">
        <v>0.12</v>
      </c>
      <c r="AF98" s="37">
        <v>0.12</v>
      </c>
      <c r="AG98" s="42">
        <f t="shared" si="23"/>
        <v>1799.16</v>
      </c>
      <c r="AH98" s="42">
        <f t="shared" si="44"/>
        <v>1750.3931224</v>
      </c>
      <c r="AI98" s="42">
        <f t="shared" si="45"/>
        <v>0.97289464105471435</v>
      </c>
      <c r="AJ98" s="58">
        <v>3</v>
      </c>
      <c r="AK98" s="58">
        <v>4</v>
      </c>
      <c r="AL98" s="64">
        <v>6.2</v>
      </c>
      <c r="AM98" s="58">
        <v>23</v>
      </c>
      <c r="AN98" s="64">
        <v>6.1</v>
      </c>
      <c r="AO98" s="64">
        <v>4</v>
      </c>
      <c r="AP98" s="37">
        <v>0.13</v>
      </c>
      <c r="AQ98" s="37">
        <v>0.19</v>
      </c>
      <c r="AR98" s="73">
        <f t="shared" si="24"/>
        <v>2223</v>
      </c>
      <c r="AS98" s="75">
        <f t="shared" si="25"/>
        <v>0.21817363922627081</v>
      </c>
      <c r="AT98" s="75">
        <f t="shared" si="26"/>
        <v>0.65991902834008098</v>
      </c>
      <c r="AU98" s="75">
        <f t="shared" si="27"/>
        <v>0.12190733243364822</v>
      </c>
      <c r="AV98" s="26">
        <f t="shared" si="28"/>
        <v>6.0283687943262408E-2</v>
      </c>
      <c r="AW98" s="26">
        <f t="shared" si="29"/>
        <v>8.1560283687943269E-2</v>
      </c>
      <c r="AX98" s="24">
        <f t="shared" si="30"/>
        <v>0.82407407407407407</v>
      </c>
      <c r="AY98" s="24">
        <f t="shared" si="31"/>
        <v>0.88888888888888884</v>
      </c>
      <c r="AZ98" s="77" t="str">
        <f t="shared" si="32"/>
        <v>5,0 ≤ Alc. Bruta &lt; 7,5 mg/L</v>
      </c>
      <c r="BA98" s="77" t="str">
        <f t="shared" si="33"/>
        <v>5 ≤ Cor &lt; 10 uC</v>
      </c>
      <c r="BB98" s="78" t="str">
        <f t="shared" si="34"/>
        <v>Turbidez &lt; 2,5 uT</v>
      </c>
      <c r="BC98" s="79" t="str">
        <f t="shared" si="35"/>
        <v>SM &gt; TOR &gt; BNN</v>
      </c>
      <c r="BD98" s="78" t="str">
        <f t="shared" si="36"/>
        <v>Tipo 1 (≤0,25) uT</v>
      </c>
      <c r="BE98" s="78" t="str">
        <f t="shared" si="37"/>
        <v>Tipo 1 (≤0,25) uT</v>
      </c>
      <c r="BF98" s="78" t="str">
        <f t="shared" si="38"/>
        <v>Tipo 1 (≤0,25) uT</v>
      </c>
      <c r="BG98" s="78" t="str">
        <f t="shared" si="39"/>
        <v>Tipo 1 (≤0,25) uT</v>
      </c>
      <c r="BH98" s="78" t="str">
        <f t="shared" si="40"/>
        <v>Tipo 1 (≤0,25) uT</v>
      </c>
    </row>
    <row r="99" spans="1:60" x14ac:dyDescent="0.2">
      <c r="A99" s="30">
        <v>46269</v>
      </c>
      <c r="B99" s="82">
        <v>0.3125</v>
      </c>
      <c r="C99" s="59">
        <v>465</v>
      </c>
      <c r="D99" s="59">
        <v>1550</v>
      </c>
      <c r="E99" s="59">
        <v>270</v>
      </c>
      <c r="F99" s="59">
        <v>2314</v>
      </c>
      <c r="G99" s="87" t="s">
        <v>78</v>
      </c>
      <c r="H99" s="65">
        <v>10.5</v>
      </c>
      <c r="I99" s="59">
        <v>-33</v>
      </c>
      <c r="J99" s="59">
        <v>90</v>
      </c>
      <c r="K99" s="59">
        <v>90</v>
      </c>
      <c r="L99" s="59">
        <v>90</v>
      </c>
      <c r="M99" s="59">
        <v>25</v>
      </c>
      <c r="N99" s="65">
        <v>6.6</v>
      </c>
      <c r="O99" s="38">
        <v>1.27</v>
      </c>
      <c r="P99" s="59">
        <v>7</v>
      </c>
      <c r="Q99" s="65">
        <v>6.3</v>
      </c>
      <c r="R99" s="38">
        <v>0.08</v>
      </c>
      <c r="S99" s="36">
        <v>22.36</v>
      </c>
      <c r="T99" s="36">
        <v>0.88</v>
      </c>
      <c r="U99" s="36">
        <v>0.7</v>
      </c>
      <c r="V99" s="42">
        <f t="shared" si="41"/>
        <v>1856.9849999999999</v>
      </c>
      <c r="W99" s="42">
        <f t="shared" si="42"/>
        <v>1372.556302</v>
      </c>
      <c r="X99" s="42">
        <f t="shared" si="43"/>
        <v>0.73913160418635582</v>
      </c>
      <c r="Y99" s="59">
        <v>3</v>
      </c>
      <c r="Z99" s="59">
        <v>4</v>
      </c>
      <c r="AA99" s="65">
        <v>6.5</v>
      </c>
      <c r="AB99" s="59">
        <v>17</v>
      </c>
      <c r="AC99" s="65">
        <v>6.1</v>
      </c>
      <c r="AD99" s="65">
        <v>4.5</v>
      </c>
      <c r="AE99" s="38">
        <v>0.15</v>
      </c>
      <c r="AF99" s="38">
        <v>0.12</v>
      </c>
      <c r="AG99" s="42">
        <f t="shared" si="23"/>
        <v>1856.9849999999999</v>
      </c>
      <c r="AH99" s="42">
        <f t="shared" si="44"/>
        <v>1785.9247275999996</v>
      </c>
      <c r="AI99" s="42">
        <f t="shared" si="45"/>
        <v>0.96173352374951859</v>
      </c>
      <c r="AJ99" s="59">
        <v>3</v>
      </c>
      <c r="AK99" s="59">
        <v>4</v>
      </c>
      <c r="AL99" s="65">
        <v>6.3</v>
      </c>
      <c r="AM99" s="59">
        <v>23</v>
      </c>
      <c r="AN99" s="65">
        <v>6</v>
      </c>
      <c r="AO99" s="65">
        <v>3.7</v>
      </c>
      <c r="AP99" s="38">
        <v>0.12</v>
      </c>
      <c r="AQ99" s="38">
        <v>0.18</v>
      </c>
      <c r="AR99" s="73">
        <f t="shared" si="24"/>
        <v>2285</v>
      </c>
      <c r="AS99" s="75">
        <f t="shared" si="25"/>
        <v>0.20350109409190373</v>
      </c>
      <c r="AT99" s="75">
        <f t="shared" si="26"/>
        <v>0.6783369803063457</v>
      </c>
      <c r="AU99" s="75">
        <f t="shared" si="27"/>
        <v>0.11816192560175055</v>
      </c>
      <c r="AV99" s="26">
        <f t="shared" si="28"/>
        <v>5.8772687986171135E-2</v>
      </c>
      <c r="AW99" s="26">
        <f t="shared" si="29"/>
        <v>7.9515989628349174E-2</v>
      </c>
      <c r="AX99" s="24">
        <f t="shared" si="30"/>
        <v>0.8582677165354331</v>
      </c>
      <c r="AY99" s="24">
        <f t="shared" si="31"/>
        <v>0.90551181102362199</v>
      </c>
      <c r="AZ99" s="77" t="str">
        <f t="shared" si="32"/>
        <v>5,0 ≤ Alc. Bruta &lt; 7,5 mg/L</v>
      </c>
      <c r="BA99" s="77" t="str">
        <f t="shared" si="33"/>
        <v>5 ≤ Cor &lt; 10 uC</v>
      </c>
      <c r="BB99" s="78" t="str">
        <f t="shared" si="34"/>
        <v>Turbidez &lt; 2,5 uT</v>
      </c>
      <c r="BC99" s="79" t="str">
        <f t="shared" si="35"/>
        <v>SM &gt; TOR &gt; BNN</v>
      </c>
      <c r="BD99" s="78" t="str">
        <f t="shared" si="36"/>
        <v>Tipo 1 (≤0,25) uT</v>
      </c>
      <c r="BE99" s="78" t="str">
        <f t="shared" si="37"/>
        <v>Tipo 1 (≤0,25) uT</v>
      </c>
      <c r="BF99" s="78" t="str">
        <f t="shared" si="38"/>
        <v>Tipo 1 (≤0,25) uT</v>
      </c>
      <c r="BG99" s="78" t="str">
        <f t="shared" si="39"/>
        <v>Tipo 1 (≤0,25) uT</v>
      </c>
      <c r="BH99" s="78" t="str">
        <f t="shared" si="40"/>
        <v>Tipo 1 (≤0,25) uT</v>
      </c>
    </row>
    <row r="100" spans="1:60" x14ac:dyDescent="0.2">
      <c r="A100" s="31">
        <v>46269</v>
      </c>
      <c r="B100" s="80">
        <v>0.39583333333333331</v>
      </c>
      <c r="C100" s="57">
        <v>463</v>
      </c>
      <c r="D100" s="57">
        <v>1473</v>
      </c>
      <c r="E100" s="57">
        <v>275</v>
      </c>
      <c r="F100" s="57">
        <v>2280</v>
      </c>
      <c r="G100" s="85" t="s">
        <v>78</v>
      </c>
      <c r="H100" s="63">
        <v>10.5</v>
      </c>
      <c r="I100" s="57">
        <v>-25</v>
      </c>
      <c r="J100" s="57">
        <v>90</v>
      </c>
      <c r="K100" s="57">
        <v>90</v>
      </c>
      <c r="L100" s="57">
        <v>90</v>
      </c>
      <c r="M100" s="57">
        <v>25.6</v>
      </c>
      <c r="N100" s="63">
        <v>6.5</v>
      </c>
      <c r="O100" s="36">
        <v>1.02</v>
      </c>
      <c r="P100" s="57">
        <v>5</v>
      </c>
      <c r="Q100" s="63">
        <v>6.1</v>
      </c>
      <c r="R100" s="36">
        <v>0.14000000000000001</v>
      </c>
      <c r="S100" s="36">
        <v>22.36</v>
      </c>
      <c r="T100" s="36">
        <v>0.88</v>
      </c>
      <c r="U100" s="36">
        <v>0.7</v>
      </c>
      <c r="V100" s="42">
        <f t="shared" si="41"/>
        <v>1758.45</v>
      </c>
      <c r="W100" s="42">
        <f t="shared" si="42"/>
        <v>1372.556302</v>
      </c>
      <c r="X100" s="42">
        <f t="shared" si="43"/>
        <v>0.78054895049617556</v>
      </c>
      <c r="Y100" s="57">
        <v>3</v>
      </c>
      <c r="Z100" s="57">
        <v>4</v>
      </c>
      <c r="AA100" s="63">
        <v>6.5</v>
      </c>
      <c r="AB100" s="57">
        <v>17</v>
      </c>
      <c r="AC100" s="63">
        <v>6.1</v>
      </c>
      <c r="AD100" s="63">
        <v>3.8</v>
      </c>
      <c r="AE100" s="36">
        <v>0.13</v>
      </c>
      <c r="AF100" s="36">
        <v>0.22</v>
      </c>
      <c r="AG100" s="42">
        <f t="shared" si="23"/>
        <v>1758.45</v>
      </c>
      <c r="AH100" s="42">
        <f t="shared" si="44"/>
        <v>1785.9247275999996</v>
      </c>
      <c r="AI100" s="42">
        <f t="shared" si="45"/>
        <v>1.015624400807529</v>
      </c>
      <c r="AJ100" s="57">
        <v>3</v>
      </c>
      <c r="AK100" s="57">
        <v>4</v>
      </c>
      <c r="AL100" s="63">
        <v>6.3</v>
      </c>
      <c r="AM100" s="57">
        <v>23</v>
      </c>
      <c r="AN100" s="63">
        <v>6</v>
      </c>
      <c r="AO100" s="63">
        <v>4</v>
      </c>
      <c r="AP100" s="36">
        <v>0.15</v>
      </c>
      <c r="AQ100" s="36">
        <v>0.32</v>
      </c>
      <c r="AR100" s="73">
        <f t="shared" si="24"/>
        <v>2211</v>
      </c>
      <c r="AS100" s="75">
        <f t="shared" si="25"/>
        <v>0.20940750791497059</v>
      </c>
      <c r="AT100" s="75">
        <f t="shared" si="26"/>
        <v>0.66621438263229305</v>
      </c>
      <c r="AU100" s="75">
        <f t="shared" si="27"/>
        <v>0.12437810945273632</v>
      </c>
      <c r="AV100" s="26">
        <f t="shared" si="28"/>
        <v>5.9649122807017542E-2</v>
      </c>
      <c r="AW100" s="26">
        <f t="shared" si="29"/>
        <v>8.0701754385964913E-2</v>
      </c>
      <c r="AX100" s="24">
        <f t="shared" si="30"/>
        <v>0.68627450980392157</v>
      </c>
      <c r="AY100" s="24">
        <f t="shared" si="31"/>
        <v>0.78431372549019607</v>
      </c>
      <c r="AZ100" s="77" t="str">
        <f t="shared" si="32"/>
        <v>5,0 ≤ Alc. Bruta &lt; 7,5 mg/L</v>
      </c>
      <c r="BA100" s="77" t="str">
        <f t="shared" si="33"/>
        <v>5 ≤ Cor &lt; 10 uC</v>
      </c>
      <c r="BB100" s="78" t="str">
        <f t="shared" si="34"/>
        <v>Turbidez &lt; 2,5 uT</v>
      </c>
      <c r="BC100" s="79" t="str">
        <f t="shared" si="35"/>
        <v>SM &gt; TOR &gt; BNN</v>
      </c>
      <c r="BD100" s="78" t="str">
        <f t="shared" si="36"/>
        <v>Tipo 1 (≤0,25) uT</v>
      </c>
      <c r="BE100" s="78" t="str">
        <f t="shared" si="37"/>
        <v>Tipo 1 (≤0,25) uT</v>
      </c>
      <c r="BF100" s="78" t="str">
        <f t="shared" si="38"/>
        <v>Tipo 1 (≤0,25) uT</v>
      </c>
      <c r="BG100" s="78" t="str">
        <f t="shared" si="39"/>
        <v>Tipo 2 (0,25-0,50) uT</v>
      </c>
      <c r="BH100" s="78" t="str">
        <f t="shared" si="40"/>
        <v>Tipo 1 (≤0,25) uT</v>
      </c>
    </row>
    <row r="101" spans="1:60" x14ac:dyDescent="0.2">
      <c r="A101" s="31">
        <v>46269</v>
      </c>
      <c r="B101" s="80">
        <v>0.47916666666666669</v>
      </c>
      <c r="C101" s="57">
        <v>409</v>
      </c>
      <c r="D101" s="57">
        <v>1582</v>
      </c>
      <c r="E101" s="57">
        <v>260</v>
      </c>
      <c r="F101" s="57">
        <v>2210</v>
      </c>
      <c r="G101" s="85" t="s">
        <v>78</v>
      </c>
      <c r="H101" s="63">
        <v>10.5</v>
      </c>
      <c r="I101" s="57">
        <v>-24</v>
      </c>
      <c r="J101" s="57">
        <v>90</v>
      </c>
      <c r="K101" s="57">
        <v>90</v>
      </c>
      <c r="L101" s="57">
        <v>90</v>
      </c>
      <c r="M101" s="57">
        <v>26.4</v>
      </c>
      <c r="N101" s="63">
        <v>6.5</v>
      </c>
      <c r="O101" s="36">
        <v>1.1299999999999999</v>
      </c>
      <c r="P101" s="57">
        <v>7</v>
      </c>
      <c r="Q101" s="63">
        <v>6.3</v>
      </c>
      <c r="R101" s="36">
        <v>7.0000000000000007E-2</v>
      </c>
      <c r="S101" s="36">
        <v>22.36</v>
      </c>
      <c r="T101" s="36">
        <v>0.88</v>
      </c>
      <c r="U101" s="36">
        <v>0.7</v>
      </c>
      <c r="V101" s="42">
        <f t="shared" si="41"/>
        <v>1734.85</v>
      </c>
      <c r="W101" s="42">
        <f t="shared" si="42"/>
        <v>1372.556302</v>
      </c>
      <c r="X101" s="42">
        <f t="shared" si="43"/>
        <v>0.79116713375796177</v>
      </c>
      <c r="Y101" s="57">
        <v>3</v>
      </c>
      <c r="Z101" s="57">
        <v>4</v>
      </c>
      <c r="AA101" s="63">
        <v>6.5</v>
      </c>
      <c r="AB101" s="57">
        <v>17</v>
      </c>
      <c r="AC101" s="63">
        <v>6.1</v>
      </c>
      <c r="AD101" s="63">
        <v>4.4000000000000004</v>
      </c>
      <c r="AE101" s="36">
        <v>0.11</v>
      </c>
      <c r="AF101" s="36">
        <v>0.17</v>
      </c>
      <c r="AG101" s="42">
        <f t="shared" si="23"/>
        <v>1734.85</v>
      </c>
      <c r="AH101" s="42">
        <f t="shared" si="44"/>
        <v>1785.9247275999996</v>
      </c>
      <c r="AI101" s="42">
        <f t="shared" si="45"/>
        <v>1.029440428624953</v>
      </c>
      <c r="AJ101" s="57">
        <v>3</v>
      </c>
      <c r="AK101" s="57">
        <v>4</v>
      </c>
      <c r="AL101" s="63">
        <v>6.3</v>
      </c>
      <c r="AM101" s="57">
        <v>23</v>
      </c>
      <c r="AN101" s="63">
        <v>6</v>
      </c>
      <c r="AO101" s="63">
        <v>3.4</v>
      </c>
      <c r="AP101" s="36">
        <v>0.11</v>
      </c>
      <c r="AQ101" s="36">
        <v>0.21</v>
      </c>
      <c r="AR101" s="73">
        <f t="shared" si="24"/>
        <v>2251</v>
      </c>
      <c r="AS101" s="75">
        <f t="shared" si="25"/>
        <v>0.18169702354509107</v>
      </c>
      <c r="AT101" s="75">
        <f t="shared" si="26"/>
        <v>0.70279875610839626</v>
      </c>
      <c r="AU101" s="75">
        <f t="shared" si="27"/>
        <v>0.11550422034651266</v>
      </c>
      <c r="AV101" s="26">
        <f t="shared" si="28"/>
        <v>6.1538461538461542E-2</v>
      </c>
      <c r="AW101" s="26">
        <f t="shared" si="29"/>
        <v>8.3257918552036195E-2</v>
      </c>
      <c r="AX101" s="24">
        <f t="shared" si="30"/>
        <v>0.81415929203539816</v>
      </c>
      <c r="AY101" s="24">
        <f t="shared" si="31"/>
        <v>0.84955752212389379</v>
      </c>
      <c r="AZ101" s="77" t="str">
        <f t="shared" si="32"/>
        <v>5,0 ≤ Alc. Bruta &lt; 7,5 mg/L</v>
      </c>
      <c r="BA101" s="77" t="str">
        <f t="shared" si="33"/>
        <v>5 ≤ Cor &lt; 10 uC</v>
      </c>
      <c r="BB101" s="78" t="str">
        <f t="shared" si="34"/>
        <v>Turbidez &lt; 2,5 uT</v>
      </c>
      <c r="BC101" s="79" t="str">
        <f t="shared" si="35"/>
        <v>SM &gt; TOR &gt; BNN</v>
      </c>
      <c r="BD101" s="78" t="str">
        <f t="shared" si="36"/>
        <v>Tipo 1 (≤0,25) uT</v>
      </c>
      <c r="BE101" s="78" t="str">
        <f t="shared" si="37"/>
        <v>Tipo 1 (≤0,25) uT</v>
      </c>
      <c r="BF101" s="78" t="str">
        <f t="shared" si="38"/>
        <v>Tipo 1 (≤0,25) uT</v>
      </c>
      <c r="BG101" s="78" t="str">
        <f t="shared" si="39"/>
        <v>Tipo 1 (≤0,25) uT</v>
      </c>
      <c r="BH101" s="78" t="str">
        <f t="shared" si="40"/>
        <v>Tipo 1 (≤0,25) uT</v>
      </c>
    </row>
    <row r="102" spans="1:60" x14ac:dyDescent="0.2">
      <c r="A102" s="31">
        <v>46269</v>
      </c>
      <c r="B102" s="80">
        <v>0.64583333333333337</v>
      </c>
      <c r="C102" s="57">
        <v>401</v>
      </c>
      <c r="D102" s="57">
        <v>1494</v>
      </c>
      <c r="E102" s="57">
        <v>260</v>
      </c>
      <c r="F102" s="57">
        <v>2309</v>
      </c>
      <c r="G102" s="85" t="s">
        <v>78</v>
      </c>
      <c r="H102" s="63">
        <v>10.5</v>
      </c>
      <c r="I102" s="57">
        <v>0.04</v>
      </c>
      <c r="J102" s="57">
        <v>90</v>
      </c>
      <c r="K102" s="57">
        <v>90</v>
      </c>
      <c r="L102" s="57">
        <v>90</v>
      </c>
      <c r="M102" s="57">
        <v>26.1</v>
      </c>
      <c r="N102" s="63">
        <v>6.5</v>
      </c>
      <c r="O102" s="36">
        <v>1.01</v>
      </c>
      <c r="P102" s="57">
        <v>7</v>
      </c>
      <c r="Q102" s="63">
        <v>6.5</v>
      </c>
      <c r="R102" s="36">
        <v>7.0000000000000007E-2</v>
      </c>
      <c r="S102" s="36">
        <v>22.36</v>
      </c>
      <c r="T102" s="36">
        <v>0.88</v>
      </c>
      <c r="U102" s="36">
        <v>0.7</v>
      </c>
      <c r="V102" s="42">
        <f t="shared" si="41"/>
        <v>1777.93</v>
      </c>
      <c r="W102" s="42">
        <f t="shared" si="42"/>
        <v>1372.556302</v>
      </c>
      <c r="X102" s="42">
        <f t="shared" si="43"/>
        <v>0.77199681764748884</v>
      </c>
      <c r="Y102" s="57">
        <v>3</v>
      </c>
      <c r="Z102" s="57">
        <v>4</v>
      </c>
      <c r="AA102" s="63">
        <v>6.5</v>
      </c>
      <c r="AB102" s="57">
        <v>17</v>
      </c>
      <c r="AC102" s="63">
        <v>6.1</v>
      </c>
      <c r="AD102" s="63">
        <v>5.4</v>
      </c>
      <c r="AE102" s="36">
        <v>0.14000000000000001</v>
      </c>
      <c r="AF102" s="36">
        <v>0.11</v>
      </c>
      <c r="AG102" s="42">
        <f t="shared" si="23"/>
        <v>1777.93</v>
      </c>
      <c r="AH102" s="42">
        <f t="shared" si="44"/>
        <v>1785.9247275999996</v>
      </c>
      <c r="AI102" s="42">
        <f t="shared" si="45"/>
        <v>1.0044966492494078</v>
      </c>
      <c r="AJ102" s="57">
        <v>3</v>
      </c>
      <c r="AK102" s="57">
        <v>4</v>
      </c>
      <c r="AL102" s="63">
        <v>6.3</v>
      </c>
      <c r="AM102" s="57">
        <v>23</v>
      </c>
      <c r="AN102" s="63">
        <v>6.1</v>
      </c>
      <c r="AO102" s="63">
        <v>5.7</v>
      </c>
      <c r="AP102" s="36">
        <v>0.18</v>
      </c>
      <c r="AQ102" s="36">
        <v>0.15</v>
      </c>
      <c r="AR102" s="73">
        <f t="shared" si="24"/>
        <v>2155</v>
      </c>
      <c r="AS102" s="75">
        <f t="shared" si="25"/>
        <v>0.18607888631090488</v>
      </c>
      <c r="AT102" s="75">
        <f t="shared" si="26"/>
        <v>0.69327146171693732</v>
      </c>
      <c r="AU102" s="75">
        <f t="shared" si="27"/>
        <v>0.12064965197215777</v>
      </c>
      <c r="AV102" s="26">
        <f t="shared" si="28"/>
        <v>5.8899956691208316E-2</v>
      </c>
      <c r="AW102" s="26">
        <f t="shared" si="29"/>
        <v>7.9688176699870078E-2</v>
      </c>
      <c r="AX102" s="24">
        <f t="shared" si="30"/>
        <v>0.85148514851485146</v>
      </c>
      <c r="AY102" s="24">
        <f t="shared" si="31"/>
        <v>0.8910891089108911</v>
      </c>
      <c r="AZ102" s="77" t="str">
        <f t="shared" si="32"/>
        <v>5,0 ≤ Alc. Bruta &lt; 7,5 mg/L</v>
      </c>
      <c r="BA102" s="77" t="str">
        <f t="shared" si="33"/>
        <v>5 ≤ Cor &lt; 10 uC</v>
      </c>
      <c r="BB102" s="78" t="str">
        <f t="shared" si="34"/>
        <v>Turbidez &lt; 2,5 uT</v>
      </c>
      <c r="BC102" s="79" t="str">
        <f t="shared" si="35"/>
        <v>SM &gt; TOR &gt; BNN</v>
      </c>
      <c r="BD102" s="78" t="str">
        <f t="shared" si="36"/>
        <v>Tipo 1 (≤0,25) uT</v>
      </c>
      <c r="BE102" s="78" t="str">
        <f t="shared" si="37"/>
        <v>Tipo 1 (≤0,25) uT</v>
      </c>
      <c r="BF102" s="78" t="str">
        <f t="shared" si="38"/>
        <v>Tipo 1 (≤0,25) uT</v>
      </c>
      <c r="BG102" s="78" t="str">
        <f t="shared" si="39"/>
        <v>Tipo 1 (≤0,25) uT</v>
      </c>
      <c r="BH102" s="78" t="str">
        <f t="shared" si="40"/>
        <v>Tipo 1 (≤0,25) uT</v>
      </c>
    </row>
    <row r="103" spans="1:60" x14ac:dyDescent="0.2">
      <c r="A103" s="31">
        <v>46269</v>
      </c>
      <c r="B103" s="80">
        <v>0.72916666666666663</v>
      </c>
      <c r="C103" s="57">
        <v>335</v>
      </c>
      <c r="D103" s="57">
        <v>1633</v>
      </c>
      <c r="E103" s="57">
        <v>260</v>
      </c>
      <c r="F103" s="57">
        <v>2308</v>
      </c>
      <c r="G103" s="85" t="s">
        <v>78</v>
      </c>
      <c r="H103" s="63">
        <v>10.5</v>
      </c>
      <c r="I103" s="57">
        <v>1.87</v>
      </c>
      <c r="J103" s="57">
        <v>90</v>
      </c>
      <c r="K103" s="57">
        <v>90</v>
      </c>
      <c r="L103" s="57">
        <v>90</v>
      </c>
      <c r="M103" s="57">
        <v>25.8</v>
      </c>
      <c r="N103" s="63">
        <v>6.5</v>
      </c>
      <c r="O103" s="36">
        <v>0.96</v>
      </c>
      <c r="P103" s="57">
        <v>7</v>
      </c>
      <c r="Q103" s="63">
        <v>6.5</v>
      </c>
      <c r="R103" s="36">
        <v>7.0000000000000007E-2</v>
      </c>
      <c r="S103" s="36">
        <v>22.36</v>
      </c>
      <c r="T103" s="36">
        <v>0.88</v>
      </c>
      <c r="U103" s="36">
        <v>0.7</v>
      </c>
      <c r="V103" s="42">
        <f t="shared" si="41"/>
        <v>1762.7349999999999</v>
      </c>
      <c r="W103" s="42">
        <f t="shared" si="42"/>
        <v>1372.556302</v>
      </c>
      <c r="X103" s="42">
        <f t="shared" si="43"/>
        <v>0.77865152844868912</v>
      </c>
      <c r="Y103" s="57">
        <v>3</v>
      </c>
      <c r="Z103" s="57">
        <v>4</v>
      </c>
      <c r="AA103" s="63">
        <v>6.5</v>
      </c>
      <c r="AB103" s="57">
        <v>17</v>
      </c>
      <c r="AC103" s="63">
        <v>6.1</v>
      </c>
      <c r="AD103" s="63">
        <v>4.7</v>
      </c>
      <c r="AE103" s="36">
        <v>0.14000000000000001</v>
      </c>
      <c r="AF103" s="36">
        <v>0.11</v>
      </c>
      <c r="AG103" s="42">
        <f t="shared" si="23"/>
        <v>1762.7349999999999</v>
      </c>
      <c r="AH103" s="42">
        <f t="shared" si="44"/>
        <v>1785.9247275999996</v>
      </c>
      <c r="AI103" s="42">
        <f t="shared" si="45"/>
        <v>1.0131555381835613</v>
      </c>
      <c r="AJ103" s="57">
        <v>3</v>
      </c>
      <c r="AK103" s="57">
        <v>4</v>
      </c>
      <c r="AL103" s="63">
        <v>6.3</v>
      </c>
      <c r="AM103" s="57">
        <v>23</v>
      </c>
      <c r="AN103" s="63">
        <v>6.1</v>
      </c>
      <c r="AO103" s="63">
        <v>4.0999999999999996</v>
      </c>
      <c r="AP103" s="36">
        <v>0.14000000000000001</v>
      </c>
      <c r="AQ103" s="36">
        <v>0.15</v>
      </c>
      <c r="AR103" s="73">
        <f t="shared" si="24"/>
        <v>2228</v>
      </c>
      <c r="AS103" s="75">
        <f t="shared" si="25"/>
        <v>0.15035906642728905</v>
      </c>
      <c r="AT103" s="75">
        <f t="shared" si="26"/>
        <v>0.73294434470377023</v>
      </c>
      <c r="AU103" s="75">
        <f t="shared" si="27"/>
        <v>0.11669658886894076</v>
      </c>
      <c r="AV103" s="26">
        <f t="shared" si="28"/>
        <v>5.8925476603119586E-2</v>
      </c>
      <c r="AW103" s="26">
        <f t="shared" si="29"/>
        <v>7.9722703639514725E-2</v>
      </c>
      <c r="AX103" s="24">
        <f t="shared" si="30"/>
        <v>0.84375</v>
      </c>
      <c r="AY103" s="24">
        <f t="shared" si="31"/>
        <v>0.88541666666666663</v>
      </c>
      <c r="AZ103" s="77" t="str">
        <f t="shared" si="32"/>
        <v>5,0 ≤ Alc. Bruta &lt; 7,5 mg/L</v>
      </c>
      <c r="BA103" s="77" t="str">
        <f t="shared" si="33"/>
        <v>5 ≤ Cor &lt; 10 uC</v>
      </c>
      <c r="BB103" s="78" t="str">
        <f t="shared" si="34"/>
        <v>Turbidez &lt; 2,5 uT</v>
      </c>
      <c r="BC103" s="79" t="str">
        <f t="shared" si="35"/>
        <v>SM &gt; TOR &gt; BNN</v>
      </c>
      <c r="BD103" s="78" t="str">
        <f t="shared" si="36"/>
        <v>Tipo 1 (≤0,25) uT</v>
      </c>
      <c r="BE103" s="78" t="str">
        <f t="shared" si="37"/>
        <v>Tipo 1 (≤0,25) uT</v>
      </c>
      <c r="BF103" s="78" t="str">
        <f t="shared" si="38"/>
        <v>Tipo 1 (≤0,25) uT</v>
      </c>
      <c r="BG103" s="78" t="str">
        <f t="shared" si="39"/>
        <v>Tipo 1 (≤0,25) uT</v>
      </c>
      <c r="BH103" s="78" t="str">
        <f t="shared" si="40"/>
        <v>Tipo 1 (≤0,25) uT</v>
      </c>
    </row>
    <row r="104" spans="1:60" x14ac:dyDescent="0.2">
      <c r="A104" s="31">
        <v>46269</v>
      </c>
      <c r="B104" s="80">
        <v>0.8125</v>
      </c>
      <c r="C104" s="57">
        <v>398</v>
      </c>
      <c r="D104" s="57">
        <v>1582</v>
      </c>
      <c r="E104" s="57">
        <v>259</v>
      </c>
      <c r="F104" s="57">
        <v>2262</v>
      </c>
      <c r="G104" s="85" t="s">
        <v>78</v>
      </c>
      <c r="H104" s="63">
        <v>10.5</v>
      </c>
      <c r="I104" s="57">
        <v>2</v>
      </c>
      <c r="J104" s="57">
        <v>90</v>
      </c>
      <c r="K104" s="57">
        <v>90</v>
      </c>
      <c r="L104" s="57">
        <v>90</v>
      </c>
      <c r="M104" s="57">
        <v>25.2</v>
      </c>
      <c r="N104" s="63">
        <v>6.6</v>
      </c>
      <c r="O104" s="36">
        <v>0.94</v>
      </c>
      <c r="P104" s="57">
        <v>7</v>
      </c>
      <c r="Q104" s="63">
        <v>6.9</v>
      </c>
      <c r="R104" s="36">
        <v>7.0000000000000007E-2</v>
      </c>
      <c r="S104" s="36">
        <v>22.36</v>
      </c>
      <c r="T104" s="36">
        <v>0.88</v>
      </c>
      <c r="U104" s="36">
        <v>0.7</v>
      </c>
      <c r="V104" s="42">
        <f t="shared" si="41"/>
        <v>1721.9475</v>
      </c>
      <c r="W104" s="42">
        <f t="shared" si="42"/>
        <v>1372.556302</v>
      </c>
      <c r="X104" s="42">
        <f t="shared" si="43"/>
        <v>0.79709532491553892</v>
      </c>
      <c r="Y104" s="57">
        <v>3</v>
      </c>
      <c r="Z104" s="57">
        <v>4</v>
      </c>
      <c r="AA104" s="63">
        <v>6.5</v>
      </c>
      <c r="AB104" s="57">
        <v>17</v>
      </c>
      <c r="AC104" s="63">
        <v>6.1</v>
      </c>
      <c r="AD104" s="63">
        <v>6.2</v>
      </c>
      <c r="AE104" s="36">
        <v>0.27</v>
      </c>
      <c r="AF104" s="36">
        <v>0.11</v>
      </c>
      <c r="AG104" s="42">
        <f t="shared" si="23"/>
        <v>1721.9475</v>
      </c>
      <c r="AH104" s="42">
        <f t="shared" si="44"/>
        <v>1785.9247275999996</v>
      </c>
      <c r="AI104" s="42">
        <f t="shared" si="45"/>
        <v>1.0371539943000583</v>
      </c>
      <c r="AJ104" s="57">
        <v>3</v>
      </c>
      <c r="AK104" s="57">
        <v>4</v>
      </c>
      <c r="AL104" s="63">
        <v>6.3</v>
      </c>
      <c r="AM104" s="57">
        <v>23</v>
      </c>
      <c r="AN104" s="63">
        <v>6</v>
      </c>
      <c r="AO104" s="63">
        <v>6.2</v>
      </c>
      <c r="AP104" s="36">
        <v>0.21</v>
      </c>
      <c r="AQ104" s="36">
        <v>0.18</v>
      </c>
      <c r="AR104" s="73">
        <f t="shared" si="24"/>
        <v>2239</v>
      </c>
      <c r="AS104" s="75">
        <f t="shared" si="25"/>
        <v>0.17775792764627066</v>
      </c>
      <c r="AT104" s="75">
        <f t="shared" si="26"/>
        <v>0.70656543099598035</v>
      </c>
      <c r="AU104" s="75">
        <f t="shared" si="27"/>
        <v>0.11567664135774899</v>
      </c>
      <c r="AV104" s="26">
        <f t="shared" si="28"/>
        <v>6.0123784261715295E-2</v>
      </c>
      <c r="AW104" s="26">
        <f t="shared" si="29"/>
        <v>8.1343943412908931E-2</v>
      </c>
      <c r="AX104" s="24">
        <f t="shared" si="30"/>
        <v>0.8085106382978724</v>
      </c>
      <c r="AY104" s="24">
        <f t="shared" si="31"/>
        <v>0.88297872340425532</v>
      </c>
      <c r="AZ104" s="77" t="str">
        <f t="shared" si="32"/>
        <v>5,0 ≤ Alc. Bruta &lt; 7,5 mg/L</v>
      </c>
      <c r="BA104" s="77" t="str">
        <f t="shared" si="33"/>
        <v>5 ≤ Cor &lt; 10 uC</v>
      </c>
      <c r="BB104" s="78" t="str">
        <f t="shared" si="34"/>
        <v>Turbidez &lt; 2,5 uT</v>
      </c>
      <c r="BC104" s="79" t="str">
        <f t="shared" si="35"/>
        <v>SM &gt; TOR &gt; BNN</v>
      </c>
      <c r="BD104" s="78" t="str">
        <f t="shared" si="36"/>
        <v>Tipo 2 (0,25-0,50) uT</v>
      </c>
      <c r="BE104" s="78" t="str">
        <f t="shared" si="37"/>
        <v>Tipo 1 (≤0,25) uT</v>
      </c>
      <c r="BF104" s="78" t="str">
        <f t="shared" si="38"/>
        <v>Tipo 1 (≤0,25) uT</v>
      </c>
      <c r="BG104" s="78" t="str">
        <f t="shared" si="39"/>
        <v>Tipo 1 (≤0,25) uT</v>
      </c>
      <c r="BH104" s="78" t="str">
        <f t="shared" si="40"/>
        <v>Tipo 1 (≤0,25) uT</v>
      </c>
    </row>
    <row r="105" spans="1:60" x14ac:dyDescent="0.2">
      <c r="A105" s="31">
        <v>46269</v>
      </c>
      <c r="B105" s="80">
        <v>0.89583333333333337</v>
      </c>
      <c r="C105" s="57">
        <v>401</v>
      </c>
      <c r="D105" s="57">
        <v>1505</v>
      </c>
      <c r="E105" s="57">
        <v>259</v>
      </c>
      <c r="F105" s="57">
        <v>2257</v>
      </c>
      <c r="G105" s="85" t="s">
        <v>78</v>
      </c>
      <c r="H105" s="63">
        <v>10.5</v>
      </c>
      <c r="I105" s="57">
        <v>7.87</v>
      </c>
      <c r="J105" s="57">
        <v>90</v>
      </c>
      <c r="K105" s="57">
        <v>90</v>
      </c>
      <c r="L105" s="57">
        <v>90</v>
      </c>
      <c r="M105" s="57">
        <v>25.1</v>
      </c>
      <c r="N105" s="63">
        <v>6.5</v>
      </c>
      <c r="O105" s="36">
        <v>1.07</v>
      </c>
      <c r="P105" s="57">
        <v>7</v>
      </c>
      <c r="Q105" s="63">
        <v>6.2</v>
      </c>
      <c r="R105" s="36">
        <v>7.0000000000000007E-2</v>
      </c>
      <c r="S105" s="36">
        <v>22.36</v>
      </c>
      <c r="T105" s="36">
        <v>0.88</v>
      </c>
      <c r="U105" s="36">
        <v>0.7</v>
      </c>
      <c r="V105" s="42">
        <f t="shared" si="41"/>
        <v>1754.8174999999999</v>
      </c>
      <c r="W105" s="42">
        <f t="shared" si="42"/>
        <v>1372.556302</v>
      </c>
      <c r="X105" s="42">
        <f t="shared" si="43"/>
        <v>0.7821646991781197</v>
      </c>
      <c r="Y105" s="57">
        <v>3</v>
      </c>
      <c r="Z105" s="57">
        <v>4</v>
      </c>
      <c r="AA105" s="63">
        <v>6.5</v>
      </c>
      <c r="AB105" s="57">
        <v>17</v>
      </c>
      <c r="AC105" s="63">
        <v>6</v>
      </c>
      <c r="AD105" s="63">
        <v>4.2</v>
      </c>
      <c r="AE105" s="36">
        <v>0.18</v>
      </c>
      <c r="AF105" s="36">
        <v>0.1</v>
      </c>
      <c r="AG105" s="42">
        <f t="shared" si="23"/>
        <v>1754.8174999999999</v>
      </c>
      <c r="AH105" s="42">
        <f t="shared" si="44"/>
        <v>1785.9247275999996</v>
      </c>
      <c r="AI105" s="42">
        <f t="shared" si="45"/>
        <v>1.0177267593923582</v>
      </c>
      <c r="AJ105" s="57">
        <v>3</v>
      </c>
      <c r="AK105" s="57">
        <v>4</v>
      </c>
      <c r="AL105" s="63">
        <v>6.3</v>
      </c>
      <c r="AM105" s="57">
        <v>23</v>
      </c>
      <c r="AN105" s="63">
        <v>5.7</v>
      </c>
      <c r="AO105" s="63">
        <v>3.8</v>
      </c>
      <c r="AP105" s="36">
        <v>0.2</v>
      </c>
      <c r="AQ105" s="36">
        <v>0.15</v>
      </c>
      <c r="AR105" s="73">
        <f t="shared" si="24"/>
        <v>2165</v>
      </c>
      <c r="AS105" s="75">
        <f t="shared" si="25"/>
        <v>0.18521939953810623</v>
      </c>
      <c r="AT105" s="75">
        <f t="shared" si="26"/>
        <v>0.69515011547344108</v>
      </c>
      <c r="AU105" s="75">
        <f t="shared" si="27"/>
        <v>0.11963048498845266</v>
      </c>
      <c r="AV105" s="26">
        <f t="shared" si="28"/>
        <v>6.0256978289765173E-2</v>
      </c>
      <c r="AW105" s="26">
        <f t="shared" si="29"/>
        <v>8.1524147097917596E-2</v>
      </c>
      <c r="AX105" s="24">
        <f t="shared" si="30"/>
        <v>0.85981308411214952</v>
      </c>
      <c r="AY105" s="24">
        <f t="shared" si="31"/>
        <v>0.90654205607476634</v>
      </c>
      <c r="AZ105" s="77" t="str">
        <f t="shared" si="32"/>
        <v>5,0 ≤ Alc. Bruta &lt; 7,5 mg/L</v>
      </c>
      <c r="BA105" s="77" t="str">
        <f t="shared" si="33"/>
        <v>5 ≤ Cor &lt; 10 uC</v>
      </c>
      <c r="BB105" s="78" t="str">
        <f t="shared" si="34"/>
        <v>Turbidez &lt; 2,5 uT</v>
      </c>
      <c r="BC105" s="79" t="str">
        <f t="shared" si="35"/>
        <v>SM &gt; TOR &gt; BNN</v>
      </c>
      <c r="BD105" s="78" t="str">
        <f t="shared" si="36"/>
        <v>Tipo 1 (≤0,25) uT</v>
      </c>
      <c r="BE105" s="78" t="str">
        <f t="shared" si="37"/>
        <v>Tipo 1 (≤0,25) uT</v>
      </c>
      <c r="BF105" s="78" t="str">
        <f t="shared" si="38"/>
        <v>Tipo 1 (≤0,25) uT</v>
      </c>
      <c r="BG105" s="78" t="str">
        <f t="shared" si="39"/>
        <v>Tipo 1 (≤0,25) uT</v>
      </c>
      <c r="BH105" s="78" t="str">
        <f t="shared" si="40"/>
        <v>Tipo 1 (≤0,25) uT</v>
      </c>
    </row>
    <row r="106" spans="1:60" x14ac:dyDescent="0.2">
      <c r="A106" s="31">
        <v>46270</v>
      </c>
      <c r="B106" s="80">
        <v>6.25E-2</v>
      </c>
      <c r="C106" s="57">
        <v>392</v>
      </c>
      <c r="D106" s="57">
        <v>1629</v>
      </c>
      <c r="E106" s="57">
        <v>258</v>
      </c>
      <c r="F106" s="57">
        <v>2322</v>
      </c>
      <c r="G106" s="85" t="s">
        <v>78</v>
      </c>
      <c r="H106" s="63">
        <v>10.5</v>
      </c>
      <c r="I106" s="57">
        <v>13.9</v>
      </c>
      <c r="J106" s="57">
        <v>90</v>
      </c>
      <c r="K106" s="57">
        <v>90</v>
      </c>
      <c r="L106" s="57">
        <v>90</v>
      </c>
      <c r="M106" s="57">
        <v>24.7</v>
      </c>
      <c r="N106" s="63">
        <v>6.5</v>
      </c>
      <c r="O106" s="36">
        <v>1.1100000000000001</v>
      </c>
      <c r="P106" s="57">
        <v>6</v>
      </c>
      <c r="Q106" s="63">
        <v>6.8</v>
      </c>
      <c r="R106" s="36">
        <v>7.0000000000000007E-2</v>
      </c>
      <c r="S106" s="36">
        <v>22.36</v>
      </c>
      <c r="T106" s="36">
        <v>0.88</v>
      </c>
      <c r="U106" s="36">
        <v>0.7</v>
      </c>
      <c r="V106" s="42">
        <f t="shared" si="41"/>
        <v>1816.9649999999999</v>
      </c>
      <c r="W106" s="42">
        <f t="shared" si="42"/>
        <v>1372.556302</v>
      </c>
      <c r="X106" s="42">
        <f t="shared" si="43"/>
        <v>0.75541152526328248</v>
      </c>
      <c r="Y106" s="57">
        <v>3</v>
      </c>
      <c r="Z106" s="57">
        <v>4</v>
      </c>
      <c r="AA106" s="63">
        <v>6.5</v>
      </c>
      <c r="AB106" s="57">
        <v>17</v>
      </c>
      <c r="AC106" s="63">
        <v>6</v>
      </c>
      <c r="AD106" s="63">
        <v>6.1</v>
      </c>
      <c r="AE106" s="36">
        <v>0.33</v>
      </c>
      <c r="AF106" s="36">
        <v>0.1</v>
      </c>
      <c r="AG106" s="42">
        <f t="shared" si="23"/>
        <v>1816.9649999999999</v>
      </c>
      <c r="AH106" s="42">
        <f t="shared" si="44"/>
        <v>1785.9247275999996</v>
      </c>
      <c r="AI106" s="42">
        <f t="shared" si="45"/>
        <v>0.98291641699207177</v>
      </c>
      <c r="AJ106" s="57">
        <v>3</v>
      </c>
      <c r="AK106" s="57">
        <v>4</v>
      </c>
      <c r="AL106" s="63">
        <v>6.3</v>
      </c>
      <c r="AM106" s="57">
        <v>23</v>
      </c>
      <c r="AN106" s="63">
        <v>6.1</v>
      </c>
      <c r="AO106" s="63">
        <v>6.3</v>
      </c>
      <c r="AP106" s="36">
        <v>0.36</v>
      </c>
      <c r="AQ106" s="36">
        <v>0.15</v>
      </c>
      <c r="AR106" s="73">
        <f t="shared" si="24"/>
        <v>2279</v>
      </c>
      <c r="AS106" s="75">
        <f t="shared" si="25"/>
        <v>0.17200526546731024</v>
      </c>
      <c r="AT106" s="75">
        <f t="shared" si="26"/>
        <v>0.7147871873628785</v>
      </c>
      <c r="AU106" s="75">
        <f t="shared" si="27"/>
        <v>0.11320754716981132</v>
      </c>
      <c r="AV106" s="26">
        <f t="shared" si="28"/>
        <v>5.8570198105081829E-2</v>
      </c>
      <c r="AW106" s="26">
        <f t="shared" si="29"/>
        <v>7.9242032730404824E-2</v>
      </c>
      <c r="AX106" s="24">
        <f t="shared" si="30"/>
        <v>0.86486486486486491</v>
      </c>
      <c r="AY106" s="24">
        <f t="shared" si="31"/>
        <v>0.90990990990990994</v>
      </c>
      <c r="AZ106" s="77" t="str">
        <f t="shared" si="32"/>
        <v>5,0 ≤ Alc. Bruta &lt; 7,5 mg/L</v>
      </c>
      <c r="BA106" s="77" t="str">
        <f t="shared" si="33"/>
        <v>5 ≤ Cor &lt; 10 uC</v>
      </c>
      <c r="BB106" s="78" t="str">
        <f t="shared" si="34"/>
        <v>Turbidez &lt; 2,5 uT</v>
      </c>
      <c r="BC106" s="79" t="str">
        <f t="shared" si="35"/>
        <v>SM &gt; TOR &gt; BNN</v>
      </c>
      <c r="BD106" s="78" t="str">
        <f t="shared" si="36"/>
        <v>Tipo 2 (0,25-0,50) uT</v>
      </c>
      <c r="BE106" s="78" t="str">
        <f t="shared" si="37"/>
        <v>Tipo 2 (0,25-0,50) uT</v>
      </c>
      <c r="BF106" s="78" t="str">
        <f t="shared" si="38"/>
        <v>Tipo 1 (≤0,25) uT</v>
      </c>
      <c r="BG106" s="78" t="str">
        <f t="shared" si="39"/>
        <v>Tipo 1 (≤0,25) uT</v>
      </c>
      <c r="BH106" s="78" t="str">
        <f t="shared" si="40"/>
        <v>Tipo 1 (≤0,25) uT</v>
      </c>
    </row>
    <row r="107" spans="1:60" x14ac:dyDescent="0.2">
      <c r="A107" s="31">
        <v>46270</v>
      </c>
      <c r="B107" s="80">
        <v>0.14583333333333334</v>
      </c>
      <c r="C107" s="57">
        <v>397</v>
      </c>
      <c r="D107" s="57">
        <v>1546</v>
      </c>
      <c r="E107" s="57">
        <v>259</v>
      </c>
      <c r="F107" s="57">
        <v>2263</v>
      </c>
      <c r="G107" s="85" t="s">
        <v>78</v>
      </c>
      <c r="H107" s="63">
        <v>10.5</v>
      </c>
      <c r="I107" s="57">
        <v>17.93</v>
      </c>
      <c r="J107" s="57">
        <v>90</v>
      </c>
      <c r="K107" s="57">
        <v>90</v>
      </c>
      <c r="L107" s="57">
        <v>90</v>
      </c>
      <c r="M107" s="57">
        <v>24.7</v>
      </c>
      <c r="N107" s="63">
        <v>6.5</v>
      </c>
      <c r="O107" s="36">
        <v>1.0900000000000001</v>
      </c>
      <c r="P107" s="57">
        <v>7</v>
      </c>
      <c r="Q107" s="63">
        <v>6</v>
      </c>
      <c r="R107" s="36">
        <v>7.0000000000000007E-2</v>
      </c>
      <c r="S107" s="36">
        <v>22.36</v>
      </c>
      <c r="T107" s="36">
        <v>0.88</v>
      </c>
      <c r="U107" s="36">
        <v>0.7</v>
      </c>
      <c r="V107" s="42">
        <f t="shared" si="41"/>
        <v>1765.14</v>
      </c>
      <c r="W107" s="42">
        <f t="shared" si="42"/>
        <v>1372.556302</v>
      </c>
      <c r="X107" s="42">
        <f t="shared" si="43"/>
        <v>0.77759061717484157</v>
      </c>
      <c r="Y107" s="57">
        <v>3</v>
      </c>
      <c r="Z107" s="57">
        <v>4</v>
      </c>
      <c r="AA107" s="63">
        <v>6.5</v>
      </c>
      <c r="AB107" s="57">
        <v>17</v>
      </c>
      <c r="AC107" s="63">
        <v>6</v>
      </c>
      <c r="AD107" s="63">
        <v>4.5</v>
      </c>
      <c r="AE107" s="36">
        <v>0.22</v>
      </c>
      <c r="AF107" s="36">
        <v>0.1</v>
      </c>
      <c r="AG107" s="42">
        <f t="shared" si="23"/>
        <v>1765.14</v>
      </c>
      <c r="AH107" s="42">
        <f t="shared" si="44"/>
        <v>1785.9247275999996</v>
      </c>
      <c r="AI107" s="42">
        <f t="shared" si="45"/>
        <v>1.0117751156282218</v>
      </c>
      <c r="AJ107" s="57">
        <v>3</v>
      </c>
      <c r="AK107" s="57">
        <v>4</v>
      </c>
      <c r="AL107" s="63">
        <v>6.3</v>
      </c>
      <c r="AM107" s="57">
        <v>23</v>
      </c>
      <c r="AN107" s="63">
        <v>6</v>
      </c>
      <c r="AO107" s="63">
        <v>4.4000000000000004</v>
      </c>
      <c r="AP107" s="36">
        <v>0.3</v>
      </c>
      <c r="AQ107" s="36">
        <v>0.15</v>
      </c>
      <c r="AR107" s="73">
        <f t="shared" si="24"/>
        <v>2202</v>
      </c>
      <c r="AS107" s="75">
        <f t="shared" si="25"/>
        <v>0.18029064486830154</v>
      </c>
      <c r="AT107" s="75">
        <f t="shared" si="26"/>
        <v>0.70208900999091739</v>
      </c>
      <c r="AU107" s="75">
        <f t="shared" si="27"/>
        <v>0.11762034514078111</v>
      </c>
      <c r="AV107" s="26">
        <f t="shared" si="28"/>
        <v>6.0097216084843127E-2</v>
      </c>
      <c r="AW107" s="26">
        <f t="shared" si="29"/>
        <v>8.1307998232434828E-2</v>
      </c>
      <c r="AX107" s="24">
        <f t="shared" si="30"/>
        <v>0.86238532110091748</v>
      </c>
      <c r="AY107" s="24">
        <f t="shared" si="31"/>
        <v>0.90825688073394495</v>
      </c>
      <c r="AZ107" s="77" t="str">
        <f t="shared" si="32"/>
        <v>5,0 ≤ Alc. Bruta &lt; 7,5 mg/L</v>
      </c>
      <c r="BA107" s="77" t="str">
        <f t="shared" si="33"/>
        <v>5 ≤ Cor &lt; 10 uC</v>
      </c>
      <c r="BB107" s="78" t="str">
        <f t="shared" si="34"/>
        <v>Turbidez &lt; 2,5 uT</v>
      </c>
      <c r="BC107" s="79" t="str">
        <f t="shared" si="35"/>
        <v>SM &gt; TOR &gt; BNN</v>
      </c>
      <c r="BD107" s="78" t="str">
        <f t="shared" si="36"/>
        <v>Tipo 1 (≤0,25) uT</v>
      </c>
      <c r="BE107" s="78" t="str">
        <f t="shared" si="37"/>
        <v>Tipo 2 (0,25-0,50) uT</v>
      </c>
      <c r="BF107" s="78" t="str">
        <f t="shared" si="38"/>
        <v>Tipo 1 (≤0,25) uT</v>
      </c>
      <c r="BG107" s="78" t="str">
        <f t="shared" si="39"/>
        <v>Tipo 1 (≤0,25) uT</v>
      </c>
      <c r="BH107" s="78" t="str">
        <f t="shared" si="40"/>
        <v>Tipo 1 (≤0,25) uT</v>
      </c>
    </row>
    <row r="108" spans="1:60" ht="15.75" thickBot="1" x14ac:dyDescent="0.25">
      <c r="A108" s="32">
        <v>46270</v>
      </c>
      <c r="B108" s="81">
        <v>0.22916666666666666</v>
      </c>
      <c r="C108" s="58">
        <v>403</v>
      </c>
      <c r="D108" s="58">
        <v>1559</v>
      </c>
      <c r="E108" s="58">
        <v>259</v>
      </c>
      <c r="F108" s="58">
        <v>2324</v>
      </c>
      <c r="G108" s="86" t="s">
        <v>78</v>
      </c>
      <c r="H108" s="64">
        <v>10.5</v>
      </c>
      <c r="I108" s="58">
        <v>21.05</v>
      </c>
      <c r="J108" s="58">
        <v>90</v>
      </c>
      <c r="K108" s="58">
        <v>90</v>
      </c>
      <c r="L108" s="58">
        <v>90</v>
      </c>
      <c r="M108" s="58">
        <v>24.5</v>
      </c>
      <c r="N108" s="64">
        <v>6.4</v>
      </c>
      <c r="O108" s="37">
        <v>1.1399999999999999</v>
      </c>
      <c r="P108" s="58">
        <v>6</v>
      </c>
      <c r="Q108" s="64">
        <v>6.3</v>
      </c>
      <c r="R108" s="37">
        <v>7.0000000000000007E-2</v>
      </c>
      <c r="S108" s="36">
        <v>22.36</v>
      </c>
      <c r="T108" s="36">
        <v>0.88</v>
      </c>
      <c r="U108" s="36">
        <v>0.7</v>
      </c>
      <c r="V108" s="42">
        <f t="shared" si="41"/>
        <v>1827.2450000000001</v>
      </c>
      <c r="W108" s="42">
        <f t="shared" si="42"/>
        <v>1372.556302</v>
      </c>
      <c r="X108" s="42">
        <f t="shared" si="43"/>
        <v>0.75116161324836017</v>
      </c>
      <c r="Y108" s="58">
        <v>3</v>
      </c>
      <c r="Z108" s="58">
        <v>4</v>
      </c>
      <c r="AA108" s="64">
        <v>6.5</v>
      </c>
      <c r="AB108" s="58">
        <v>17</v>
      </c>
      <c r="AC108" s="64">
        <v>6</v>
      </c>
      <c r="AD108" s="64">
        <v>4</v>
      </c>
      <c r="AE108" s="37">
        <v>0.17</v>
      </c>
      <c r="AF108" s="37">
        <v>0.11</v>
      </c>
      <c r="AG108" s="42">
        <f t="shared" si="23"/>
        <v>1827.2450000000001</v>
      </c>
      <c r="AH108" s="42">
        <f t="shared" si="44"/>
        <v>1785.9247275999996</v>
      </c>
      <c r="AI108" s="42">
        <f t="shared" si="45"/>
        <v>0.97738657246291527</v>
      </c>
      <c r="AJ108" s="58">
        <v>3</v>
      </c>
      <c r="AK108" s="58">
        <v>4</v>
      </c>
      <c r="AL108" s="64">
        <v>6.3</v>
      </c>
      <c r="AM108" s="58">
        <v>23</v>
      </c>
      <c r="AN108" s="64">
        <v>5.9</v>
      </c>
      <c r="AO108" s="64">
        <v>4.5</v>
      </c>
      <c r="AP108" s="37">
        <v>0.28000000000000003</v>
      </c>
      <c r="AQ108" s="37">
        <v>0.15</v>
      </c>
      <c r="AR108" s="73">
        <f t="shared" si="24"/>
        <v>2221</v>
      </c>
      <c r="AS108" s="75">
        <f t="shared" si="25"/>
        <v>0.1814497973885637</v>
      </c>
      <c r="AT108" s="75">
        <f t="shared" si="26"/>
        <v>0.70193606483565962</v>
      </c>
      <c r="AU108" s="75">
        <f t="shared" si="27"/>
        <v>0.11661413777577667</v>
      </c>
      <c r="AV108" s="26">
        <f t="shared" si="28"/>
        <v>5.8519793459552494E-2</v>
      </c>
      <c r="AW108" s="26">
        <f t="shared" si="29"/>
        <v>7.9173838209982791E-2</v>
      </c>
      <c r="AX108" s="24">
        <f t="shared" si="30"/>
        <v>0.86842105263157898</v>
      </c>
      <c r="AY108" s="24">
        <f t="shared" si="31"/>
        <v>0.90350877192982459</v>
      </c>
      <c r="AZ108" s="77" t="str">
        <f t="shared" si="32"/>
        <v>5,0 ≤ Alc. Bruta &lt; 7,5 mg/L</v>
      </c>
      <c r="BA108" s="77" t="str">
        <f t="shared" si="33"/>
        <v>5 ≤ Cor &lt; 10 uC</v>
      </c>
      <c r="BB108" s="78" t="str">
        <f t="shared" si="34"/>
        <v>Turbidez &lt; 2,5 uT</v>
      </c>
      <c r="BC108" s="79" t="str">
        <f t="shared" si="35"/>
        <v>SM &gt; TOR &gt; BNN</v>
      </c>
      <c r="BD108" s="78" t="str">
        <f t="shared" si="36"/>
        <v>Tipo 1 (≤0,25) uT</v>
      </c>
      <c r="BE108" s="78" t="str">
        <f t="shared" si="37"/>
        <v>Tipo 2 (0,25-0,50) uT</v>
      </c>
      <c r="BF108" s="78" t="str">
        <f t="shared" si="38"/>
        <v>Tipo 1 (≤0,25) uT</v>
      </c>
      <c r="BG108" s="78" t="str">
        <f t="shared" si="39"/>
        <v>Tipo 1 (≤0,25) uT</v>
      </c>
      <c r="BH108" s="78" t="str">
        <f t="shared" si="40"/>
        <v>Tipo 1 (≤0,25) uT</v>
      </c>
    </row>
    <row r="109" spans="1:60" x14ac:dyDescent="0.2">
      <c r="A109" s="30">
        <v>46270</v>
      </c>
      <c r="B109" s="82">
        <v>0.3125</v>
      </c>
      <c r="C109" s="59">
        <v>366</v>
      </c>
      <c r="D109" s="59">
        <v>1692</v>
      </c>
      <c r="E109" s="59">
        <v>260</v>
      </c>
      <c r="F109" s="59">
        <v>2302</v>
      </c>
      <c r="G109" s="87" t="s">
        <v>78</v>
      </c>
      <c r="H109" s="65">
        <v>10.5</v>
      </c>
      <c r="I109" s="59">
        <v>24.8</v>
      </c>
      <c r="J109" s="59">
        <v>90</v>
      </c>
      <c r="K109" s="59">
        <v>90</v>
      </c>
      <c r="L109" s="59">
        <v>90</v>
      </c>
      <c r="M109" s="59">
        <v>24.1</v>
      </c>
      <c r="N109" s="65">
        <v>6.5</v>
      </c>
      <c r="O109" s="38">
        <v>0.98</v>
      </c>
      <c r="P109" s="59">
        <v>7</v>
      </c>
      <c r="Q109" s="65">
        <v>8.6999999999999993</v>
      </c>
      <c r="R109" s="38">
        <v>0.08</v>
      </c>
      <c r="S109" s="36">
        <v>22.36</v>
      </c>
      <c r="T109" s="36">
        <v>0.88</v>
      </c>
      <c r="U109" s="36">
        <v>0.7</v>
      </c>
      <c r="V109" s="42">
        <f t="shared" si="41"/>
        <v>1763.9075</v>
      </c>
      <c r="W109" s="42">
        <f t="shared" si="42"/>
        <v>1372.556302</v>
      </c>
      <c r="X109" s="42">
        <f t="shared" si="43"/>
        <v>0.77813394523238888</v>
      </c>
      <c r="Y109" s="59">
        <v>3</v>
      </c>
      <c r="Z109" s="59">
        <v>4</v>
      </c>
      <c r="AA109" s="65">
        <v>6.5</v>
      </c>
      <c r="AB109" s="59">
        <v>17</v>
      </c>
      <c r="AC109" s="65">
        <v>6.1</v>
      </c>
      <c r="AD109" s="65">
        <v>5.6</v>
      </c>
      <c r="AE109" s="38">
        <v>0.16</v>
      </c>
      <c r="AF109" s="38">
        <v>0.11</v>
      </c>
      <c r="AG109" s="42">
        <f t="shared" si="23"/>
        <v>1763.9075</v>
      </c>
      <c r="AH109" s="42">
        <f t="shared" si="44"/>
        <v>1785.9247275999996</v>
      </c>
      <c r="AI109" s="42">
        <f t="shared" si="45"/>
        <v>1.012482076072583</v>
      </c>
      <c r="AJ109" s="59">
        <v>3</v>
      </c>
      <c r="AK109" s="59">
        <v>4</v>
      </c>
      <c r="AL109" s="65">
        <v>6.3</v>
      </c>
      <c r="AM109" s="59">
        <v>23</v>
      </c>
      <c r="AN109" s="65">
        <v>6.1</v>
      </c>
      <c r="AO109" s="65">
        <v>5.6</v>
      </c>
      <c r="AP109" s="38">
        <v>0.31</v>
      </c>
      <c r="AQ109" s="38">
        <v>0.17</v>
      </c>
      <c r="AR109" s="73">
        <f t="shared" si="24"/>
        <v>2318</v>
      </c>
      <c r="AS109" s="75">
        <f t="shared" si="25"/>
        <v>0.15789473684210525</v>
      </c>
      <c r="AT109" s="75">
        <f t="shared" si="26"/>
        <v>0.72993960310612593</v>
      </c>
      <c r="AU109" s="75">
        <f t="shared" si="27"/>
        <v>0.11216566005176877</v>
      </c>
      <c r="AV109" s="26">
        <f t="shared" si="28"/>
        <v>5.9079061685490875E-2</v>
      </c>
      <c r="AW109" s="26">
        <f t="shared" si="29"/>
        <v>7.993049522154648E-2</v>
      </c>
      <c r="AX109" s="24">
        <f t="shared" si="30"/>
        <v>0.82653061224489788</v>
      </c>
      <c r="AY109" s="24">
        <f t="shared" si="31"/>
        <v>0.88775510204081631</v>
      </c>
      <c r="AZ109" s="77" t="str">
        <f t="shared" si="32"/>
        <v>7,5 ≤ Alc. Bruta &lt; 10,0 mg/L</v>
      </c>
      <c r="BA109" s="77" t="str">
        <f t="shared" si="33"/>
        <v>5 ≤ Cor &lt; 10 uC</v>
      </c>
      <c r="BB109" s="78" t="str">
        <f t="shared" si="34"/>
        <v>Turbidez &lt; 2,5 uT</v>
      </c>
      <c r="BC109" s="79" t="str">
        <f t="shared" si="35"/>
        <v>SM &gt; TOR &gt; BNN</v>
      </c>
      <c r="BD109" s="78" t="str">
        <f t="shared" si="36"/>
        <v>Tipo 1 (≤0,25) uT</v>
      </c>
      <c r="BE109" s="78" t="str">
        <f t="shared" si="37"/>
        <v>Tipo 2 (0,25-0,50) uT</v>
      </c>
      <c r="BF109" s="78" t="str">
        <f t="shared" si="38"/>
        <v>Tipo 1 (≤0,25) uT</v>
      </c>
      <c r="BG109" s="78" t="str">
        <f t="shared" si="39"/>
        <v>Tipo 1 (≤0,25) uT</v>
      </c>
      <c r="BH109" s="78" t="str">
        <f t="shared" si="40"/>
        <v>Tipo 1 (≤0,25) uT</v>
      </c>
    </row>
    <row r="110" spans="1:60" x14ac:dyDescent="0.2">
      <c r="A110" s="31">
        <v>46270</v>
      </c>
      <c r="B110" s="80">
        <v>0.39583333333333331</v>
      </c>
      <c r="C110" s="57">
        <v>381</v>
      </c>
      <c r="D110" s="57">
        <v>1099</v>
      </c>
      <c r="E110" s="57">
        <v>295</v>
      </c>
      <c r="F110" s="57">
        <v>1833</v>
      </c>
      <c r="G110" s="85" t="s">
        <v>78</v>
      </c>
      <c r="H110" s="63">
        <v>10.5</v>
      </c>
      <c r="I110" s="57">
        <v>29.4</v>
      </c>
      <c r="J110" s="57">
        <v>90</v>
      </c>
      <c r="K110" s="57">
        <v>90</v>
      </c>
      <c r="L110" s="57">
        <v>90</v>
      </c>
      <c r="M110" s="57">
        <v>24.1</v>
      </c>
      <c r="N110" s="63">
        <v>6.5</v>
      </c>
      <c r="O110" s="36">
        <v>2.99</v>
      </c>
      <c r="P110" s="57">
        <v>7</v>
      </c>
      <c r="Q110" s="63">
        <v>8.1999999999999993</v>
      </c>
      <c r="R110" s="36">
        <v>0.06</v>
      </c>
      <c r="S110" s="36">
        <v>22.36</v>
      </c>
      <c r="T110" s="36">
        <v>0.88</v>
      </c>
      <c r="U110" s="36">
        <v>0.7</v>
      </c>
      <c r="V110" s="42">
        <f t="shared" si="41"/>
        <v>1865.0775000000001</v>
      </c>
      <c r="W110" s="42">
        <f t="shared" si="42"/>
        <v>1372.556302</v>
      </c>
      <c r="X110" s="42">
        <f t="shared" si="43"/>
        <v>0.73592454040113608</v>
      </c>
      <c r="Y110" s="57">
        <v>2</v>
      </c>
      <c r="Z110" s="57">
        <v>4</v>
      </c>
      <c r="AA110" s="63">
        <v>6.5</v>
      </c>
      <c r="AB110" s="57">
        <v>17</v>
      </c>
      <c r="AC110" s="63">
        <v>6.2</v>
      </c>
      <c r="AD110" s="63">
        <v>5.5</v>
      </c>
      <c r="AE110" s="36">
        <v>2.29</v>
      </c>
      <c r="AF110" s="36">
        <v>2.1</v>
      </c>
      <c r="AG110" s="42">
        <f t="shared" si="23"/>
        <v>2486.77</v>
      </c>
      <c r="AH110" s="42">
        <f t="shared" si="44"/>
        <v>1674.2890735999999</v>
      </c>
      <c r="AI110" s="42">
        <f t="shared" si="45"/>
        <v>0.67327861989649218</v>
      </c>
      <c r="AJ110" s="57">
        <v>2</v>
      </c>
      <c r="AK110" s="57">
        <v>3</v>
      </c>
      <c r="AL110" s="63">
        <v>6.2</v>
      </c>
      <c r="AM110" s="57">
        <v>22</v>
      </c>
      <c r="AN110" s="63">
        <v>6.1</v>
      </c>
      <c r="AO110" s="63">
        <v>5.2</v>
      </c>
      <c r="AP110" s="36">
        <v>0.16</v>
      </c>
      <c r="AQ110" s="36">
        <v>2.16</v>
      </c>
      <c r="AR110" s="73">
        <f t="shared" si="24"/>
        <v>1775</v>
      </c>
      <c r="AS110" s="75">
        <f t="shared" si="25"/>
        <v>0.21464788732394366</v>
      </c>
      <c r="AT110" s="75">
        <f t="shared" si="26"/>
        <v>0.61915492957746476</v>
      </c>
      <c r="AU110" s="75">
        <f t="shared" si="27"/>
        <v>0.16619718309859155</v>
      </c>
      <c r="AV110" s="26">
        <f t="shared" si="28"/>
        <v>7.4195308237861426E-2</v>
      </c>
      <c r="AW110" s="26">
        <f t="shared" si="29"/>
        <v>7.2013093289689037E-2</v>
      </c>
      <c r="AX110" s="24">
        <f t="shared" si="30"/>
        <v>0.27759197324414719</v>
      </c>
      <c r="AY110" s="24">
        <f t="shared" si="31"/>
        <v>0.2976588628762542</v>
      </c>
      <c r="AZ110" s="77" t="str">
        <f t="shared" si="32"/>
        <v>7,5 ≤ Alc. Bruta &lt; 10,0 mg/L</v>
      </c>
      <c r="BA110" s="77" t="str">
        <f t="shared" si="33"/>
        <v>5 ≤ Cor &lt; 10 uC</v>
      </c>
      <c r="BB110" s="78" t="str">
        <f t="shared" si="34"/>
        <v>2,5 ≤ Turb &lt; 5,0 uT</v>
      </c>
      <c r="BC110" s="79" t="str">
        <f t="shared" si="35"/>
        <v>SM &gt; TOR &gt; BNN</v>
      </c>
      <c r="BD110" s="78" t="str">
        <f t="shared" si="36"/>
        <v>Tipo 4 (&gt;0,75) uT</v>
      </c>
      <c r="BE110" s="78" t="str">
        <f t="shared" si="37"/>
        <v>Tipo 1 (≤0,25) uT</v>
      </c>
      <c r="BF110" s="78" t="str">
        <f t="shared" si="38"/>
        <v>Tipo 4 (&gt;0,75) uT</v>
      </c>
      <c r="BG110" s="78" t="str">
        <f t="shared" si="39"/>
        <v>Tipo 4 (&gt;0,75) uT</v>
      </c>
      <c r="BH110" s="78" t="str">
        <f t="shared" si="40"/>
        <v>Tipo 1 (≤0,25) uT</v>
      </c>
    </row>
    <row r="111" spans="1:60" x14ac:dyDescent="0.2">
      <c r="A111" s="31">
        <v>46270</v>
      </c>
      <c r="B111" s="80">
        <v>0.47916666666666669</v>
      </c>
      <c r="C111" s="57">
        <v>370</v>
      </c>
      <c r="D111" s="57">
        <v>1109</v>
      </c>
      <c r="E111" s="57">
        <v>295</v>
      </c>
      <c r="F111" s="57">
        <v>1799</v>
      </c>
      <c r="G111" s="85" t="s">
        <v>78</v>
      </c>
      <c r="H111" s="63">
        <v>10.5</v>
      </c>
      <c r="I111" s="57">
        <v>36.5</v>
      </c>
      <c r="J111" s="57">
        <v>90</v>
      </c>
      <c r="K111" s="57">
        <v>90</v>
      </c>
      <c r="L111" s="57">
        <v>90</v>
      </c>
      <c r="M111" s="57">
        <v>24.3</v>
      </c>
      <c r="N111" s="63">
        <v>6.6</v>
      </c>
      <c r="O111" s="36">
        <v>1.19</v>
      </c>
      <c r="P111" s="57">
        <v>7</v>
      </c>
      <c r="Q111" s="63">
        <v>8</v>
      </c>
      <c r="R111" s="36">
        <v>0.08</v>
      </c>
      <c r="S111" s="36">
        <v>22.36</v>
      </c>
      <c r="T111" s="36">
        <v>0.88</v>
      </c>
      <c r="U111" s="36">
        <v>0.7</v>
      </c>
      <c r="V111" s="42">
        <f t="shared" si="41"/>
        <v>1425.7075</v>
      </c>
      <c r="W111" s="42">
        <f t="shared" si="42"/>
        <v>1372.556302</v>
      </c>
      <c r="X111" s="42">
        <f t="shared" si="43"/>
        <v>0.96271942316358716</v>
      </c>
      <c r="Y111" s="57">
        <v>2</v>
      </c>
      <c r="Z111" s="57">
        <v>4</v>
      </c>
      <c r="AA111" s="63">
        <v>6.5</v>
      </c>
      <c r="AB111" s="57">
        <v>17</v>
      </c>
      <c r="AC111" s="63">
        <v>6.3</v>
      </c>
      <c r="AD111" s="63">
        <v>5.7</v>
      </c>
      <c r="AE111" s="36">
        <v>2.21</v>
      </c>
      <c r="AF111" s="36">
        <v>0.13</v>
      </c>
      <c r="AG111" s="42">
        <f t="shared" si="23"/>
        <v>1900.9433333333332</v>
      </c>
      <c r="AH111" s="42">
        <f t="shared" si="44"/>
        <v>1674.2890735999999</v>
      </c>
      <c r="AI111" s="42">
        <f t="shared" si="45"/>
        <v>0.88076748225004087</v>
      </c>
      <c r="AJ111" s="57">
        <v>2</v>
      </c>
      <c r="AK111" s="57">
        <v>3</v>
      </c>
      <c r="AL111" s="63">
        <v>6.2</v>
      </c>
      <c r="AM111" s="57">
        <v>22</v>
      </c>
      <c r="AN111" s="63">
        <v>6.3</v>
      </c>
      <c r="AO111" s="63">
        <v>5.5</v>
      </c>
      <c r="AP111" s="36">
        <v>1.1200000000000001</v>
      </c>
      <c r="AQ111" s="36">
        <v>0.2</v>
      </c>
      <c r="AR111" s="73">
        <f t="shared" si="24"/>
        <v>1774</v>
      </c>
      <c r="AS111" s="75">
        <f t="shared" si="25"/>
        <v>0.20856820744081173</v>
      </c>
      <c r="AT111" s="75">
        <f t="shared" si="26"/>
        <v>0.62514092446448699</v>
      </c>
      <c r="AU111" s="75">
        <f t="shared" si="27"/>
        <v>0.16629086809470123</v>
      </c>
      <c r="AV111" s="26">
        <f t="shared" si="28"/>
        <v>7.5597554196775982E-2</v>
      </c>
      <c r="AW111" s="26">
        <f t="shared" si="29"/>
        <v>7.3374096720400225E-2</v>
      </c>
      <c r="AX111" s="24">
        <f t="shared" si="30"/>
        <v>0.83193277310924363</v>
      </c>
      <c r="AY111" s="24">
        <f t="shared" si="31"/>
        <v>0.89075630252100835</v>
      </c>
      <c r="AZ111" s="77" t="str">
        <f t="shared" si="32"/>
        <v>7,5 ≤ Alc. Bruta &lt; 10,0 mg/L</v>
      </c>
      <c r="BA111" s="77" t="str">
        <f t="shared" si="33"/>
        <v>5 ≤ Cor &lt; 10 uC</v>
      </c>
      <c r="BB111" s="78" t="str">
        <f t="shared" si="34"/>
        <v>Turbidez &lt; 2,5 uT</v>
      </c>
      <c r="BC111" s="79" t="str">
        <f t="shared" si="35"/>
        <v>SM &gt; TOR &gt; BNN</v>
      </c>
      <c r="BD111" s="78" t="str">
        <f t="shared" si="36"/>
        <v>Tipo 4 (&gt;0,75) uT</v>
      </c>
      <c r="BE111" s="78" t="str">
        <f t="shared" si="37"/>
        <v>Tipo 4 (&gt;0,75) uT</v>
      </c>
      <c r="BF111" s="78" t="str">
        <f t="shared" si="38"/>
        <v>Tipo 1 (≤0,25) uT</v>
      </c>
      <c r="BG111" s="78" t="str">
        <f t="shared" si="39"/>
        <v>Tipo 1 (≤0,25) uT</v>
      </c>
      <c r="BH111" s="78" t="str">
        <f t="shared" si="40"/>
        <v>Tipo 1 (≤0,25) uT</v>
      </c>
    </row>
    <row r="112" spans="1:60" x14ac:dyDescent="0.2">
      <c r="A112" s="31">
        <v>46270</v>
      </c>
      <c r="B112" s="80">
        <v>0.64583333333333337</v>
      </c>
      <c r="C112" s="57">
        <v>418</v>
      </c>
      <c r="D112" s="57">
        <v>1044</v>
      </c>
      <c r="E112" s="57">
        <v>295</v>
      </c>
      <c r="F112" s="57">
        <v>1719</v>
      </c>
      <c r="G112" s="85" t="s">
        <v>78</v>
      </c>
      <c r="H112" s="63">
        <v>10.5</v>
      </c>
      <c r="I112" s="57">
        <v>57.5</v>
      </c>
      <c r="J112" s="57">
        <v>90</v>
      </c>
      <c r="K112" s="57">
        <v>90</v>
      </c>
      <c r="L112" s="57">
        <v>90</v>
      </c>
      <c r="M112" s="57">
        <v>24.5</v>
      </c>
      <c r="N112" s="63">
        <v>6.5</v>
      </c>
      <c r="O112" s="36">
        <v>1.1100000000000001</v>
      </c>
      <c r="P112" s="57">
        <v>7</v>
      </c>
      <c r="Q112" s="63">
        <v>8.8000000000000007</v>
      </c>
      <c r="R112" s="36">
        <v>2.0699999999999998</v>
      </c>
      <c r="S112" s="36">
        <v>22.36</v>
      </c>
      <c r="T112" s="36">
        <v>0.88</v>
      </c>
      <c r="U112" s="36">
        <v>0.7</v>
      </c>
      <c r="V112" s="42">
        <f t="shared" si="41"/>
        <v>1345.1175000000001</v>
      </c>
      <c r="W112" s="42">
        <f t="shared" si="42"/>
        <v>1372.556302</v>
      </c>
      <c r="X112" s="42">
        <f t="shared" si="43"/>
        <v>1.0203988142299836</v>
      </c>
      <c r="Y112" s="57">
        <v>2</v>
      </c>
      <c r="Z112" s="57">
        <v>4</v>
      </c>
      <c r="AA112" s="63">
        <v>6.5</v>
      </c>
      <c r="AB112" s="57">
        <v>17</v>
      </c>
      <c r="AC112" s="63">
        <v>6.3</v>
      </c>
      <c r="AD112" s="63">
        <v>6.4</v>
      </c>
      <c r="AE112" s="36">
        <v>0.28999999999999998</v>
      </c>
      <c r="AF112" s="36">
        <v>0.1</v>
      </c>
      <c r="AG112" s="42">
        <f t="shared" si="23"/>
        <v>1793.49</v>
      </c>
      <c r="AH112" s="42">
        <f t="shared" si="44"/>
        <v>1674.2890735999999</v>
      </c>
      <c r="AI112" s="42">
        <f t="shared" si="45"/>
        <v>0.93353688819006519</v>
      </c>
      <c r="AJ112" s="57">
        <v>2</v>
      </c>
      <c r="AK112" s="57">
        <v>3</v>
      </c>
      <c r="AL112" s="63">
        <v>6.2</v>
      </c>
      <c r="AM112" s="57">
        <v>22</v>
      </c>
      <c r="AN112" s="63">
        <v>6.2</v>
      </c>
      <c r="AO112" s="63">
        <v>6.5</v>
      </c>
      <c r="AP112" s="36">
        <v>0.12</v>
      </c>
      <c r="AQ112" s="36">
        <v>0.19</v>
      </c>
      <c r="AR112" s="73">
        <f t="shared" si="24"/>
        <v>1757</v>
      </c>
      <c r="AS112" s="75">
        <f t="shared" si="25"/>
        <v>0.23790552077404667</v>
      </c>
      <c r="AT112" s="75">
        <f t="shared" si="26"/>
        <v>0.59419464997154237</v>
      </c>
      <c r="AU112" s="75">
        <f t="shared" si="27"/>
        <v>0.16789982925441094</v>
      </c>
      <c r="AV112" s="26">
        <f t="shared" si="28"/>
        <v>7.9115764979639319E-2</v>
      </c>
      <c r="AW112" s="26">
        <f t="shared" si="29"/>
        <v>7.6788830715532289E-2</v>
      </c>
      <c r="AX112" s="24">
        <f t="shared" si="30"/>
        <v>0.8288288288288288</v>
      </c>
      <c r="AY112" s="24">
        <f t="shared" si="31"/>
        <v>0.90990990990990994</v>
      </c>
      <c r="AZ112" s="77" t="str">
        <f t="shared" si="32"/>
        <v>7,5 ≤ Alc. Bruta &lt; 10,0 mg/L</v>
      </c>
      <c r="BA112" s="77" t="str">
        <f t="shared" si="33"/>
        <v>5 ≤ Cor &lt; 10 uC</v>
      </c>
      <c r="BB112" s="78" t="str">
        <f t="shared" si="34"/>
        <v>Turbidez &lt; 2,5 uT</v>
      </c>
      <c r="BC112" s="79" t="str">
        <f t="shared" si="35"/>
        <v>SM &gt; TOR &gt; BNN</v>
      </c>
      <c r="BD112" s="78" t="str">
        <f t="shared" si="36"/>
        <v>Tipo 2 (0,25-0,50) uT</v>
      </c>
      <c r="BE112" s="78" t="str">
        <f t="shared" si="37"/>
        <v>Tipo 1 (≤0,25) uT</v>
      </c>
      <c r="BF112" s="78" t="str">
        <f t="shared" si="38"/>
        <v>Tipo 1 (≤0,25) uT</v>
      </c>
      <c r="BG112" s="78" t="str">
        <f t="shared" si="39"/>
        <v>Tipo 1 (≤0,25) uT</v>
      </c>
      <c r="BH112" s="78" t="str">
        <f t="shared" si="40"/>
        <v>Tipo 4 (&gt;0,75) uT</v>
      </c>
    </row>
    <row r="113" spans="1:60" x14ac:dyDescent="0.2">
      <c r="A113" s="31">
        <v>46270</v>
      </c>
      <c r="B113" s="80">
        <v>0.72916666666666663</v>
      </c>
      <c r="C113" s="57">
        <v>410</v>
      </c>
      <c r="D113" s="57">
        <v>1018</v>
      </c>
      <c r="E113" s="57">
        <v>296</v>
      </c>
      <c r="F113" s="57">
        <v>1776</v>
      </c>
      <c r="G113" s="85" t="s">
        <v>78</v>
      </c>
      <c r="H113" s="63">
        <v>10.5</v>
      </c>
      <c r="I113" s="57">
        <v>63.7</v>
      </c>
      <c r="J113" s="57">
        <v>90</v>
      </c>
      <c r="K113" s="57">
        <v>90</v>
      </c>
      <c r="L113" s="57">
        <v>90</v>
      </c>
      <c r="M113" s="57">
        <v>24.4</v>
      </c>
      <c r="N113" s="63">
        <v>6.5</v>
      </c>
      <c r="O113" s="36">
        <v>1.93</v>
      </c>
      <c r="P113" s="57">
        <v>8</v>
      </c>
      <c r="Q113" s="63">
        <v>8.5</v>
      </c>
      <c r="R113" s="36">
        <v>0.06</v>
      </c>
      <c r="S113" s="36">
        <v>22.36</v>
      </c>
      <c r="T113" s="36">
        <v>0.88</v>
      </c>
      <c r="U113" s="36">
        <v>0.7</v>
      </c>
      <c r="V113" s="42">
        <f t="shared" si="41"/>
        <v>1571.76</v>
      </c>
      <c r="W113" s="42">
        <f t="shared" si="42"/>
        <v>1372.556302</v>
      </c>
      <c r="X113" s="42">
        <f t="shared" si="43"/>
        <v>0.87326074082557137</v>
      </c>
      <c r="Y113" s="57">
        <v>2</v>
      </c>
      <c r="Z113" s="57">
        <v>4</v>
      </c>
      <c r="AA113" s="63">
        <v>6.5</v>
      </c>
      <c r="AB113" s="57">
        <v>17</v>
      </c>
      <c r="AC113" s="63">
        <v>6.2</v>
      </c>
      <c r="AD113" s="63">
        <v>6.2</v>
      </c>
      <c r="AE113" s="36">
        <v>0.24</v>
      </c>
      <c r="AF113" s="36">
        <v>0.1</v>
      </c>
      <c r="AG113" s="42">
        <f t="shared" si="23"/>
        <v>2095.6799999999998</v>
      </c>
      <c r="AH113" s="42">
        <f t="shared" si="44"/>
        <v>1674.2890735999999</v>
      </c>
      <c r="AI113" s="42">
        <f t="shared" si="45"/>
        <v>0.79892401206291042</v>
      </c>
      <c r="AJ113" s="57">
        <v>2</v>
      </c>
      <c r="AK113" s="57">
        <v>3</v>
      </c>
      <c r="AL113" s="63">
        <v>6.2</v>
      </c>
      <c r="AM113" s="57">
        <v>22</v>
      </c>
      <c r="AN113" s="63">
        <v>6.2</v>
      </c>
      <c r="AO113" s="63">
        <v>6.3</v>
      </c>
      <c r="AP113" s="36">
        <v>2.16</v>
      </c>
      <c r="AQ113" s="36">
        <v>2.21</v>
      </c>
      <c r="AR113" s="73">
        <f t="shared" si="24"/>
        <v>1724</v>
      </c>
      <c r="AS113" s="75">
        <f t="shared" si="25"/>
        <v>0.23781902552204176</v>
      </c>
      <c r="AT113" s="75">
        <f t="shared" si="26"/>
        <v>0.59048723897911837</v>
      </c>
      <c r="AU113" s="75">
        <f t="shared" si="27"/>
        <v>0.1716937354988399</v>
      </c>
      <c r="AV113" s="26">
        <f t="shared" si="28"/>
        <v>7.6576576576576572E-2</v>
      </c>
      <c r="AW113" s="26">
        <f t="shared" si="29"/>
        <v>7.4324324324324328E-2</v>
      </c>
      <c r="AX113" s="24" t="str">
        <f t="shared" si="30"/>
        <v/>
      </c>
      <c r="AY113" s="24">
        <f t="shared" si="31"/>
        <v>0.94818652849740936</v>
      </c>
      <c r="AZ113" s="77" t="str">
        <f t="shared" si="32"/>
        <v>7,5 ≤ Alc. Bruta &lt; 10,0 mg/L</v>
      </c>
      <c r="BA113" s="77" t="str">
        <f t="shared" si="33"/>
        <v>5 ≤ Cor &lt; 10 uC</v>
      </c>
      <c r="BB113" s="78" t="str">
        <f t="shared" si="34"/>
        <v>Turbidez &lt; 2,5 uT</v>
      </c>
      <c r="BC113" s="79" t="str">
        <f t="shared" si="35"/>
        <v>SM &gt; TOR &gt; BNN</v>
      </c>
      <c r="BD113" s="78" t="str">
        <f t="shared" si="36"/>
        <v>Tipo 1 (≤0,25) uT</v>
      </c>
      <c r="BE113" s="78" t="str">
        <f t="shared" si="37"/>
        <v>Tipo 4 (&gt;0,75) uT</v>
      </c>
      <c r="BF113" s="78" t="str">
        <f t="shared" si="38"/>
        <v>Tipo 1 (≤0,25) uT</v>
      </c>
      <c r="BG113" s="78" t="str">
        <f t="shared" si="39"/>
        <v>Tipo 4 (&gt;0,75) uT</v>
      </c>
      <c r="BH113" s="78" t="str">
        <f t="shared" si="40"/>
        <v>Tipo 1 (≤0,25) uT</v>
      </c>
    </row>
    <row r="114" spans="1:60" x14ac:dyDescent="0.2">
      <c r="A114" s="31">
        <v>46270</v>
      </c>
      <c r="B114" s="80">
        <v>0.8125</v>
      </c>
      <c r="C114" s="57">
        <v>388</v>
      </c>
      <c r="D114" s="57">
        <v>1061</v>
      </c>
      <c r="E114" s="57">
        <v>296</v>
      </c>
      <c r="F114" s="57">
        <v>1756</v>
      </c>
      <c r="G114" s="85" t="s">
        <v>78</v>
      </c>
      <c r="H114" s="63">
        <v>10.5</v>
      </c>
      <c r="I114" s="57">
        <v>70.77</v>
      </c>
      <c r="J114" s="57">
        <v>90</v>
      </c>
      <c r="K114" s="57">
        <v>90</v>
      </c>
      <c r="L114" s="57">
        <v>90</v>
      </c>
      <c r="M114" s="57">
        <v>25.6</v>
      </c>
      <c r="N114" s="63">
        <v>6.6</v>
      </c>
      <c r="O114" s="36">
        <v>1.51</v>
      </c>
      <c r="P114" s="57">
        <v>8</v>
      </c>
      <c r="Q114" s="63">
        <v>5.7</v>
      </c>
      <c r="R114" s="36">
        <v>0.06</v>
      </c>
      <c r="S114" s="36">
        <v>22.36</v>
      </c>
      <c r="T114" s="36">
        <v>0.88</v>
      </c>
      <c r="U114" s="36">
        <v>0.7</v>
      </c>
      <c r="V114" s="42">
        <f t="shared" si="41"/>
        <v>1461.8700000000001</v>
      </c>
      <c r="W114" s="42">
        <f t="shared" si="42"/>
        <v>1372.556302</v>
      </c>
      <c r="X114" s="42">
        <f t="shared" si="43"/>
        <v>0.93890448671906523</v>
      </c>
      <c r="Y114" s="57">
        <v>2</v>
      </c>
      <c r="Z114" s="57">
        <v>4</v>
      </c>
      <c r="AA114" s="63">
        <v>6.5</v>
      </c>
      <c r="AB114" s="57">
        <v>17</v>
      </c>
      <c r="AC114" s="63">
        <v>6.2</v>
      </c>
      <c r="AD114" s="63">
        <v>4.2</v>
      </c>
      <c r="AE114" s="36">
        <v>0.23</v>
      </c>
      <c r="AF114" s="36">
        <v>0.11</v>
      </c>
      <c r="AG114" s="42">
        <f t="shared" si="23"/>
        <v>1949.16</v>
      </c>
      <c r="AH114" s="42">
        <f t="shared" si="44"/>
        <v>1674.2890735999999</v>
      </c>
      <c r="AI114" s="42">
        <f t="shared" si="45"/>
        <v>0.85897980340249125</v>
      </c>
      <c r="AJ114" s="57">
        <v>2</v>
      </c>
      <c r="AK114" s="57">
        <v>3</v>
      </c>
      <c r="AL114" s="63">
        <v>6.2</v>
      </c>
      <c r="AM114" s="57">
        <v>22</v>
      </c>
      <c r="AN114" s="63">
        <v>6.2</v>
      </c>
      <c r="AO114" s="63">
        <v>4.4000000000000004</v>
      </c>
      <c r="AP114" s="36">
        <v>0.7</v>
      </c>
      <c r="AQ114" s="36">
        <v>0.15</v>
      </c>
      <c r="AR114" s="73">
        <f t="shared" si="24"/>
        <v>1745</v>
      </c>
      <c r="AS114" s="75">
        <f t="shared" si="25"/>
        <v>0.22234957020057305</v>
      </c>
      <c r="AT114" s="75">
        <f t="shared" si="26"/>
        <v>0.60802292263610314</v>
      </c>
      <c r="AU114" s="75">
        <f t="shared" si="27"/>
        <v>0.16962750716332378</v>
      </c>
      <c r="AV114" s="26">
        <f t="shared" si="28"/>
        <v>7.7448747152619596E-2</v>
      </c>
      <c r="AW114" s="26">
        <f t="shared" si="29"/>
        <v>7.5170842824601361E-2</v>
      </c>
      <c r="AX114" s="24">
        <f t="shared" si="30"/>
        <v>0.90066225165562919</v>
      </c>
      <c r="AY114" s="24">
        <f t="shared" si="31"/>
        <v>0.92715231788079466</v>
      </c>
      <c r="AZ114" s="77" t="str">
        <f t="shared" si="32"/>
        <v>5,0 ≤ Alc. Bruta &lt; 7,5 mg/L</v>
      </c>
      <c r="BA114" s="77" t="str">
        <f t="shared" si="33"/>
        <v>5 ≤ Cor &lt; 10 uC</v>
      </c>
      <c r="BB114" s="78" t="str">
        <f t="shared" si="34"/>
        <v>Turbidez &lt; 2,5 uT</v>
      </c>
      <c r="BC114" s="79" t="str">
        <f t="shared" si="35"/>
        <v>SM &gt; TOR &gt; BNN</v>
      </c>
      <c r="BD114" s="78" t="str">
        <f t="shared" si="36"/>
        <v>Tipo 1 (≤0,25) uT</v>
      </c>
      <c r="BE114" s="78" t="str">
        <f t="shared" si="37"/>
        <v>Tipo 3 (0,50-0,75) uT</v>
      </c>
      <c r="BF114" s="78" t="str">
        <f t="shared" si="38"/>
        <v>Tipo 1 (≤0,25) uT</v>
      </c>
      <c r="BG114" s="78" t="str">
        <f t="shared" si="39"/>
        <v>Tipo 1 (≤0,25) uT</v>
      </c>
      <c r="BH114" s="78" t="str">
        <f t="shared" si="40"/>
        <v>Tipo 1 (≤0,25) uT</v>
      </c>
    </row>
    <row r="115" spans="1:60" x14ac:dyDescent="0.2">
      <c r="A115" s="31">
        <v>46270</v>
      </c>
      <c r="B115" s="80">
        <v>0.89583333333333337</v>
      </c>
      <c r="C115" s="57">
        <v>520</v>
      </c>
      <c r="D115" s="57">
        <v>936</v>
      </c>
      <c r="E115" s="57">
        <v>300</v>
      </c>
      <c r="F115" s="57">
        <v>1760</v>
      </c>
      <c r="G115" s="85" t="s">
        <v>78</v>
      </c>
      <c r="H115" s="63">
        <v>10.5</v>
      </c>
      <c r="I115" s="57">
        <v>72.900000000000006</v>
      </c>
      <c r="J115" s="57">
        <v>90</v>
      </c>
      <c r="K115" s="57">
        <v>90</v>
      </c>
      <c r="L115" s="57">
        <v>90</v>
      </c>
      <c r="M115" s="57">
        <v>25.6</v>
      </c>
      <c r="N115" s="63">
        <v>6.6</v>
      </c>
      <c r="O115" s="36">
        <v>1.54</v>
      </c>
      <c r="P115" s="57">
        <v>9</v>
      </c>
      <c r="Q115" s="63">
        <v>6.3</v>
      </c>
      <c r="R115" s="36">
        <v>0.06</v>
      </c>
      <c r="S115" s="36">
        <v>22.36</v>
      </c>
      <c r="T115" s="36">
        <v>0.88</v>
      </c>
      <c r="U115" s="36">
        <v>0.7</v>
      </c>
      <c r="V115" s="42">
        <f t="shared" si="41"/>
        <v>1471.8</v>
      </c>
      <c r="W115" s="42">
        <f t="shared" si="42"/>
        <v>1372.556302</v>
      </c>
      <c r="X115" s="42">
        <f t="shared" si="43"/>
        <v>0.9325698478054083</v>
      </c>
      <c r="Y115" s="57">
        <v>2</v>
      </c>
      <c r="Z115" s="57">
        <v>4</v>
      </c>
      <c r="AA115" s="63">
        <v>6.5</v>
      </c>
      <c r="AB115" s="57">
        <v>17</v>
      </c>
      <c r="AC115" s="63">
        <v>6.2</v>
      </c>
      <c r="AD115" s="63">
        <v>4.7</v>
      </c>
      <c r="AE115" s="36">
        <v>0.4</v>
      </c>
      <c r="AF115" s="36">
        <v>0.1</v>
      </c>
      <c r="AG115" s="42">
        <f t="shared" si="23"/>
        <v>1962.3999999999996</v>
      </c>
      <c r="AH115" s="42">
        <f t="shared" si="44"/>
        <v>1674.2890735999999</v>
      </c>
      <c r="AI115" s="42">
        <f t="shared" si="45"/>
        <v>0.85318440358744407</v>
      </c>
      <c r="AJ115" s="57">
        <v>2</v>
      </c>
      <c r="AK115" s="57">
        <v>3</v>
      </c>
      <c r="AL115" s="63">
        <v>6.2</v>
      </c>
      <c r="AM115" s="57">
        <v>22</v>
      </c>
      <c r="AN115" s="63">
        <v>6.2</v>
      </c>
      <c r="AO115" s="63">
        <v>4.9000000000000004</v>
      </c>
      <c r="AP115" s="36">
        <v>0.11</v>
      </c>
      <c r="AQ115" s="36">
        <v>0.15</v>
      </c>
      <c r="AR115" s="73">
        <f t="shared" si="24"/>
        <v>1756</v>
      </c>
      <c r="AS115" s="75">
        <f t="shared" si="25"/>
        <v>0.296127562642369</v>
      </c>
      <c r="AT115" s="75">
        <f t="shared" si="26"/>
        <v>0.53302961275626426</v>
      </c>
      <c r="AU115" s="75">
        <f t="shared" si="27"/>
        <v>0.17084282460136674</v>
      </c>
      <c r="AV115" s="26">
        <f t="shared" si="28"/>
        <v>7.7272727272727271E-2</v>
      </c>
      <c r="AW115" s="26">
        <f t="shared" si="29"/>
        <v>7.5000000000000011E-2</v>
      </c>
      <c r="AX115" s="24">
        <f t="shared" si="30"/>
        <v>0.90259740259740262</v>
      </c>
      <c r="AY115" s="24">
        <f t="shared" si="31"/>
        <v>0.93506493506493504</v>
      </c>
      <c r="AZ115" s="77" t="str">
        <f t="shared" si="32"/>
        <v>5,0 ≤ Alc. Bruta &lt; 7,5 mg/L</v>
      </c>
      <c r="BA115" s="77" t="str">
        <f t="shared" si="33"/>
        <v>5 ≤ Cor &lt; 10 uC</v>
      </c>
      <c r="BB115" s="78" t="str">
        <f t="shared" si="34"/>
        <v>Turbidez &lt; 2,5 uT</v>
      </c>
      <c r="BC115" s="79" t="str">
        <f t="shared" si="35"/>
        <v>SM &gt; TOR &gt; BNN</v>
      </c>
      <c r="BD115" s="78" t="str">
        <f t="shared" si="36"/>
        <v>Tipo 2 (0,25-0,50) uT</v>
      </c>
      <c r="BE115" s="78" t="str">
        <f t="shared" si="37"/>
        <v>Tipo 1 (≤0,25) uT</v>
      </c>
      <c r="BF115" s="78" t="str">
        <f t="shared" si="38"/>
        <v>Tipo 1 (≤0,25) uT</v>
      </c>
      <c r="BG115" s="78" t="str">
        <f t="shared" si="39"/>
        <v>Tipo 1 (≤0,25) uT</v>
      </c>
      <c r="BH115" s="78" t="str">
        <f t="shared" si="40"/>
        <v>Tipo 1 (≤0,25) uT</v>
      </c>
    </row>
    <row r="116" spans="1:60" x14ac:dyDescent="0.2">
      <c r="A116" s="31">
        <v>46271</v>
      </c>
      <c r="B116" s="80">
        <v>6.25E-2</v>
      </c>
      <c r="C116" s="57">
        <v>543</v>
      </c>
      <c r="D116" s="57">
        <v>258</v>
      </c>
      <c r="E116" s="57">
        <v>296</v>
      </c>
      <c r="F116" s="57">
        <v>1803</v>
      </c>
      <c r="G116" s="85" t="s">
        <v>78</v>
      </c>
      <c r="H116" s="63">
        <v>10.5</v>
      </c>
      <c r="I116" s="57">
        <v>81.45</v>
      </c>
      <c r="J116" s="57">
        <v>90</v>
      </c>
      <c r="K116" s="57">
        <v>90</v>
      </c>
      <c r="L116" s="57">
        <v>90</v>
      </c>
      <c r="M116" s="57">
        <v>24.7</v>
      </c>
      <c r="N116" s="63">
        <v>6.5</v>
      </c>
      <c r="O116" s="36">
        <v>1.76</v>
      </c>
      <c r="P116" s="57">
        <v>9</v>
      </c>
      <c r="Q116" s="63">
        <v>7.1</v>
      </c>
      <c r="R116" s="36">
        <v>0.06</v>
      </c>
      <c r="S116" s="36">
        <v>22.36</v>
      </c>
      <c r="T116" s="36">
        <v>0.88</v>
      </c>
      <c r="U116" s="36">
        <v>0.7</v>
      </c>
      <c r="V116" s="42">
        <f t="shared" si="41"/>
        <v>1557.3412499999999</v>
      </c>
      <c r="W116" s="42">
        <f t="shared" si="42"/>
        <v>1372.556302</v>
      </c>
      <c r="X116" s="42">
        <f t="shared" si="43"/>
        <v>0.88134588485343213</v>
      </c>
      <c r="Y116" s="57">
        <v>2</v>
      </c>
      <c r="Z116" s="57">
        <v>4</v>
      </c>
      <c r="AA116" s="63">
        <v>6.5</v>
      </c>
      <c r="AB116" s="57">
        <v>17</v>
      </c>
      <c r="AC116" s="63">
        <v>6.1</v>
      </c>
      <c r="AD116" s="63">
        <v>4.5</v>
      </c>
      <c r="AE116" s="36">
        <v>0.36</v>
      </c>
      <c r="AF116" s="36">
        <v>0.1</v>
      </c>
      <c r="AG116" s="42">
        <f t="shared" si="23"/>
        <v>2076.4549999999999</v>
      </c>
      <c r="AH116" s="42">
        <f t="shared" si="44"/>
        <v>1674.2890735999999</v>
      </c>
      <c r="AI116" s="42">
        <f t="shared" si="45"/>
        <v>0.80632090442605309</v>
      </c>
      <c r="AJ116" s="57">
        <v>2</v>
      </c>
      <c r="AK116" s="57">
        <v>3</v>
      </c>
      <c r="AL116" s="63">
        <v>6.2</v>
      </c>
      <c r="AM116" s="57">
        <v>22</v>
      </c>
      <c r="AN116" s="63">
        <v>6.1</v>
      </c>
      <c r="AO116" s="63">
        <v>4.7</v>
      </c>
      <c r="AP116" s="36">
        <v>0.21</v>
      </c>
      <c r="AQ116" s="36">
        <v>0.2</v>
      </c>
      <c r="AR116" s="73">
        <f t="shared" si="24"/>
        <v>1097</v>
      </c>
      <c r="AS116" s="75">
        <f t="shared" si="25"/>
        <v>0.49498632634457612</v>
      </c>
      <c r="AT116" s="75">
        <f t="shared" si="26"/>
        <v>0.23518687329079307</v>
      </c>
      <c r="AU116" s="75">
        <f t="shared" si="27"/>
        <v>0.2698268003646308</v>
      </c>
      <c r="AV116" s="26">
        <f t="shared" si="28"/>
        <v>7.5429839156960624E-2</v>
      </c>
      <c r="AW116" s="26">
        <f t="shared" si="29"/>
        <v>7.3211314475873548E-2</v>
      </c>
      <c r="AX116" s="24">
        <f t="shared" si="30"/>
        <v>0.88636363636363635</v>
      </c>
      <c r="AY116" s="24">
        <f t="shared" si="31"/>
        <v>0.94318181818181812</v>
      </c>
      <c r="AZ116" s="77" t="str">
        <f t="shared" si="32"/>
        <v>5,0 ≤ Alc. Bruta &lt; 7,5 mg/L</v>
      </c>
      <c r="BA116" s="77" t="str">
        <f t="shared" si="33"/>
        <v>5 ≤ Cor &lt; 10 uC</v>
      </c>
      <c r="BB116" s="78" t="str">
        <f t="shared" si="34"/>
        <v>Turbidez &lt; 2,5 uT</v>
      </c>
      <c r="BC116" s="79" t="str">
        <f t="shared" si="35"/>
        <v>TOR &gt; BNN &gt; SM</v>
      </c>
      <c r="BD116" s="78" t="str">
        <f t="shared" si="36"/>
        <v>Tipo 2 (0,25-0,50) uT</v>
      </c>
      <c r="BE116" s="78" t="str">
        <f t="shared" si="37"/>
        <v>Tipo 1 (≤0,25) uT</v>
      </c>
      <c r="BF116" s="78" t="str">
        <f t="shared" si="38"/>
        <v>Tipo 1 (≤0,25) uT</v>
      </c>
      <c r="BG116" s="78" t="str">
        <f t="shared" si="39"/>
        <v>Tipo 1 (≤0,25) uT</v>
      </c>
      <c r="BH116" s="78" t="str">
        <f t="shared" si="40"/>
        <v>Tipo 1 (≤0,25) uT</v>
      </c>
    </row>
    <row r="117" spans="1:60" x14ac:dyDescent="0.2">
      <c r="A117" s="31">
        <v>46271</v>
      </c>
      <c r="B117" s="80">
        <v>0.14583333333333334</v>
      </c>
      <c r="C117" s="57">
        <v>590</v>
      </c>
      <c r="D117" s="57">
        <v>930</v>
      </c>
      <c r="E117" s="57">
        <v>292</v>
      </c>
      <c r="F117" s="57">
        <v>1828</v>
      </c>
      <c r="G117" s="85" t="s">
        <v>78</v>
      </c>
      <c r="H117" s="63">
        <v>10.5</v>
      </c>
      <c r="I117" s="57">
        <v>84.38</v>
      </c>
      <c r="J117" s="57">
        <v>90</v>
      </c>
      <c r="K117" s="57">
        <v>90</v>
      </c>
      <c r="L117" s="57">
        <v>90</v>
      </c>
      <c r="M117" s="57">
        <v>24.7</v>
      </c>
      <c r="N117" s="63">
        <v>6.5</v>
      </c>
      <c r="O117" s="36">
        <v>2.0099999999999998</v>
      </c>
      <c r="P117" s="57">
        <v>10</v>
      </c>
      <c r="Q117" s="63">
        <v>7.1</v>
      </c>
      <c r="R117" s="36">
        <v>7.0000000000000007E-2</v>
      </c>
      <c r="S117" s="36">
        <v>22.36</v>
      </c>
      <c r="T117" s="36">
        <v>0.88</v>
      </c>
      <c r="U117" s="36">
        <v>0.7</v>
      </c>
      <c r="V117" s="42">
        <f t="shared" si="41"/>
        <v>1636.06</v>
      </c>
      <c r="W117" s="42">
        <f t="shared" si="42"/>
        <v>1372.556302</v>
      </c>
      <c r="X117" s="42">
        <f t="shared" si="43"/>
        <v>0.83894007676980065</v>
      </c>
      <c r="Y117" s="57">
        <v>2</v>
      </c>
      <c r="Z117" s="57">
        <v>4</v>
      </c>
      <c r="AA117" s="63">
        <v>6.5</v>
      </c>
      <c r="AB117" s="57">
        <v>17</v>
      </c>
      <c r="AC117" s="63">
        <v>6.2</v>
      </c>
      <c r="AD117" s="63">
        <v>4.8</v>
      </c>
      <c r="AE117" s="36">
        <v>0.2</v>
      </c>
      <c r="AF117" s="36">
        <v>0.11</v>
      </c>
      <c r="AG117" s="42">
        <f t="shared" si="23"/>
        <v>2181.4133333333334</v>
      </c>
      <c r="AH117" s="42">
        <f t="shared" si="44"/>
        <v>1674.2890735999999</v>
      </c>
      <c r="AI117" s="42">
        <f t="shared" si="45"/>
        <v>0.76752491057785166</v>
      </c>
      <c r="AJ117" s="57">
        <v>3</v>
      </c>
      <c r="AK117" s="57">
        <v>3</v>
      </c>
      <c r="AL117" s="63">
        <v>6.2</v>
      </c>
      <c r="AM117" s="57">
        <v>22</v>
      </c>
      <c r="AN117" s="63">
        <v>6.2</v>
      </c>
      <c r="AO117" s="63">
        <v>4.8</v>
      </c>
      <c r="AP117" s="36">
        <v>0.18</v>
      </c>
      <c r="AQ117" s="36">
        <v>0.25</v>
      </c>
      <c r="AR117" s="73">
        <f t="shared" si="24"/>
        <v>1812</v>
      </c>
      <c r="AS117" s="75">
        <f t="shared" si="25"/>
        <v>0.32560706401766004</v>
      </c>
      <c r="AT117" s="75">
        <f t="shared" si="26"/>
        <v>0.51324503311258274</v>
      </c>
      <c r="AU117" s="75">
        <f t="shared" si="27"/>
        <v>0.16114790286975716</v>
      </c>
      <c r="AV117" s="26">
        <f t="shared" si="28"/>
        <v>7.4398249452954049E-2</v>
      </c>
      <c r="AW117" s="26">
        <f t="shared" si="29"/>
        <v>7.2210065645514215E-2</v>
      </c>
      <c r="AX117" s="24">
        <f t="shared" si="30"/>
        <v>0.87562189054726369</v>
      </c>
      <c r="AY117" s="24">
        <f t="shared" si="31"/>
        <v>0.94527363184079605</v>
      </c>
      <c r="AZ117" s="77" t="str">
        <f t="shared" si="32"/>
        <v>5,0 ≤ Alc. Bruta &lt; 7,5 mg/L</v>
      </c>
      <c r="BA117" s="77" t="str">
        <f t="shared" si="33"/>
        <v>10 ≤ Cor &lt;15 uC</v>
      </c>
      <c r="BB117" s="78" t="str">
        <f t="shared" si="34"/>
        <v>Turbidez &lt; 2,5 uT</v>
      </c>
      <c r="BC117" s="79" t="str">
        <f t="shared" si="35"/>
        <v>SM &gt; TOR &gt; BNN</v>
      </c>
      <c r="BD117" s="78" t="str">
        <f t="shared" si="36"/>
        <v>Tipo 1 (≤0,25) uT</v>
      </c>
      <c r="BE117" s="78" t="str">
        <f t="shared" si="37"/>
        <v>Tipo 1 (≤0,25) uT</v>
      </c>
      <c r="BF117" s="78" t="str">
        <f t="shared" si="38"/>
        <v>Tipo 1 (≤0,25) uT</v>
      </c>
      <c r="BG117" s="78" t="str">
        <f t="shared" si="39"/>
        <v>Tipo 1 (≤0,25) uT</v>
      </c>
      <c r="BH117" s="78" t="str">
        <f t="shared" si="40"/>
        <v>Tipo 1 (≤0,25) uT</v>
      </c>
    </row>
    <row r="118" spans="1:60" ht="15.75" thickBot="1" x14ac:dyDescent="0.25">
      <c r="A118" s="32">
        <v>46271</v>
      </c>
      <c r="B118" s="81">
        <v>0.22916666666666666</v>
      </c>
      <c r="C118" s="58">
        <v>607</v>
      </c>
      <c r="D118" s="58">
        <v>940</v>
      </c>
      <c r="E118" s="58">
        <v>296</v>
      </c>
      <c r="F118" s="58">
        <v>1824</v>
      </c>
      <c r="G118" s="86" t="s">
        <v>78</v>
      </c>
      <c r="H118" s="64">
        <v>10.5</v>
      </c>
      <c r="I118" s="58">
        <v>15.47</v>
      </c>
      <c r="J118" s="58">
        <v>90</v>
      </c>
      <c r="K118" s="58">
        <v>90</v>
      </c>
      <c r="L118" s="58">
        <v>90</v>
      </c>
      <c r="M118" s="58">
        <v>24.5</v>
      </c>
      <c r="N118" s="64">
        <v>6.5</v>
      </c>
      <c r="O118" s="37">
        <v>3.98</v>
      </c>
      <c r="P118" s="58">
        <v>19</v>
      </c>
      <c r="Q118" s="64">
        <v>6</v>
      </c>
      <c r="R118" s="37">
        <v>0.06</v>
      </c>
      <c r="S118" s="36">
        <v>22.36</v>
      </c>
      <c r="T118" s="36">
        <v>0.88</v>
      </c>
      <c r="U118" s="36">
        <v>0.7</v>
      </c>
      <c r="V118" s="42">
        <f t="shared" si="41"/>
        <v>2081.64</v>
      </c>
      <c r="W118" s="42">
        <f t="shared" si="42"/>
        <v>1372.556302</v>
      </c>
      <c r="X118" s="42">
        <f t="shared" si="43"/>
        <v>0.65936295516996213</v>
      </c>
      <c r="Y118" s="58">
        <v>2</v>
      </c>
      <c r="Z118" s="58">
        <v>4</v>
      </c>
      <c r="AA118" s="64">
        <v>6.5</v>
      </c>
      <c r="AB118" s="58">
        <v>17</v>
      </c>
      <c r="AC118" s="64">
        <v>6.1</v>
      </c>
      <c r="AD118" s="64">
        <v>3.8</v>
      </c>
      <c r="AE118" s="37">
        <v>0.19</v>
      </c>
      <c r="AF118" s="37">
        <v>0.12</v>
      </c>
      <c r="AG118" s="42">
        <f t="shared" si="23"/>
        <v>2775.5199999999995</v>
      </c>
      <c r="AH118" s="42">
        <f t="shared" si="44"/>
        <v>1674.2890735999999</v>
      </c>
      <c r="AI118" s="42">
        <f t="shared" si="45"/>
        <v>0.60323437539632219</v>
      </c>
      <c r="AJ118" s="58">
        <v>2</v>
      </c>
      <c r="AK118" s="58">
        <v>3</v>
      </c>
      <c r="AL118" s="64">
        <v>6.2</v>
      </c>
      <c r="AM118" s="58">
        <v>22</v>
      </c>
      <c r="AN118" s="64">
        <v>6.1</v>
      </c>
      <c r="AO118" s="64">
        <v>3.9</v>
      </c>
      <c r="AP118" s="37">
        <v>0.14000000000000001</v>
      </c>
      <c r="AQ118" s="37">
        <v>0.2</v>
      </c>
      <c r="AR118" s="73">
        <f t="shared" si="24"/>
        <v>1843</v>
      </c>
      <c r="AS118" s="75">
        <f t="shared" si="25"/>
        <v>0.32935431361909928</v>
      </c>
      <c r="AT118" s="75">
        <f t="shared" si="26"/>
        <v>0.51003798155181768</v>
      </c>
      <c r="AU118" s="75">
        <f t="shared" si="27"/>
        <v>0.16060770482908301</v>
      </c>
      <c r="AV118" s="26">
        <f t="shared" si="28"/>
        <v>7.4561403508771926E-2</v>
      </c>
      <c r="AW118" s="26">
        <f t="shared" si="29"/>
        <v>7.2368421052631582E-2</v>
      </c>
      <c r="AX118" s="24">
        <f t="shared" si="30"/>
        <v>0.94974874371859297</v>
      </c>
      <c r="AY118" s="24">
        <f t="shared" si="31"/>
        <v>0.96984924623115576</v>
      </c>
      <c r="AZ118" s="77" t="str">
        <f t="shared" si="32"/>
        <v>5,0 ≤ Alc. Bruta &lt; 7,5 mg/L</v>
      </c>
      <c r="BA118" s="77" t="str">
        <f t="shared" si="33"/>
        <v>15 ≤ Cor &lt; 30 uC</v>
      </c>
      <c r="BB118" s="78" t="str">
        <f t="shared" si="34"/>
        <v>2,5 ≤ Turb &lt; 5,0 uT</v>
      </c>
      <c r="BC118" s="79" t="str">
        <f t="shared" si="35"/>
        <v>SM &gt; TOR &gt; BNN</v>
      </c>
      <c r="BD118" s="78" t="str">
        <f t="shared" si="36"/>
        <v>Tipo 1 (≤0,25) uT</v>
      </c>
      <c r="BE118" s="78" t="str">
        <f t="shared" si="37"/>
        <v>Tipo 1 (≤0,25) uT</v>
      </c>
      <c r="BF118" s="78" t="str">
        <f t="shared" si="38"/>
        <v>Tipo 1 (≤0,25) uT</v>
      </c>
      <c r="BG118" s="78" t="str">
        <f t="shared" si="39"/>
        <v>Tipo 1 (≤0,25) uT</v>
      </c>
      <c r="BH118" s="78" t="str">
        <f t="shared" si="40"/>
        <v>Tipo 1 (≤0,25) uT</v>
      </c>
    </row>
    <row r="119" spans="1:60" x14ac:dyDescent="0.2">
      <c r="A119" s="30">
        <v>46271</v>
      </c>
      <c r="B119" s="82">
        <v>0.3125</v>
      </c>
      <c r="C119" s="59">
        <v>591</v>
      </c>
      <c r="D119" s="59">
        <v>922</v>
      </c>
      <c r="E119" s="59">
        <v>296</v>
      </c>
      <c r="F119" s="59">
        <v>1872</v>
      </c>
      <c r="G119" s="87" t="s">
        <v>78</v>
      </c>
      <c r="H119" s="65">
        <v>10.5</v>
      </c>
      <c r="I119" s="59">
        <v>91.13</v>
      </c>
      <c r="J119" s="59">
        <v>90</v>
      </c>
      <c r="K119" s="59">
        <v>90</v>
      </c>
      <c r="L119" s="59">
        <v>90</v>
      </c>
      <c r="M119" s="59">
        <v>24.3</v>
      </c>
      <c r="N119" s="65">
        <v>6.4</v>
      </c>
      <c r="O119" s="38">
        <v>4.76</v>
      </c>
      <c r="P119" s="59">
        <v>21</v>
      </c>
      <c r="Q119" s="65">
        <v>7.3</v>
      </c>
      <c r="R119" s="38">
        <v>7.0000000000000007E-2</v>
      </c>
      <c r="S119" s="36">
        <v>22.36</v>
      </c>
      <c r="T119" s="36">
        <v>0.88</v>
      </c>
      <c r="U119" s="36">
        <v>0.7</v>
      </c>
      <c r="V119" s="42">
        <f t="shared" si="41"/>
        <v>2318.94</v>
      </c>
      <c r="W119" s="42">
        <f t="shared" si="42"/>
        <v>1372.556302</v>
      </c>
      <c r="X119" s="42">
        <f t="shared" si="43"/>
        <v>0.59188952797398808</v>
      </c>
      <c r="Y119" s="59">
        <v>2</v>
      </c>
      <c r="Z119" s="59">
        <v>4</v>
      </c>
      <c r="AA119" s="65">
        <v>6.5</v>
      </c>
      <c r="AB119" s="59">
        <v>17</v>
      </c>
      <c r="AC119" s="65">
        <v>6.2</v>
      </c>
      <c r="AD119" s="65">
        <v>5.5</v>
      </c>
      <c r="AE119" s="38">
        <v>0.17</v>
      </c>
      <c r="AF119" s="38">
        <v>0.12</v>
      </c>
      <c r="AG119" s="42">
        <f t="shared" si="23"/>
        <v>3091.92</v>
      </c>
      <c r="AH119" s="42">
        <f t="shared" si="44"/>
        <v>1750.3931224</v>
      </c>
      <c r="AI119" s="42">
        <f t="shared" si="45"/>
        <v>0.56611850319542545</v>
      </c>
      <c r="AJ119" s="59">
        <v>2</v>
      </c>
      <c r="AK119" s="59">
        <v>3</v>
      </c>
      <c r="AL119" s="65">
        <v>6.2</v>
      </c>
      <c r="AM119" s="59">
        <v>23</v>
      </c>
      <c r="AN119" s="65">
        <v>6.2</v>
      </c>
      <c r="AO119" s="65">
        <v>5.4</v>
      </c>
      <c r="AP119" s="38">
        <v>0.26</v>
      </c>
      <c r="AQ119" s="38">
        <v>0.28000000000000003</v>
      </c>
      <c r="AR119" s="73">
        <f t="shared" si="24"/>
        <v>1809</v>
      </c>
      <c r="AS119" s="75">
        <f t="shared" si="25"/>
        <v>0.32669983416252074</v>
      </c>
      <c r="AT119" s="75">
        <f t="shared" si="26"/>
        <v>0.50967385295743506</v>
      </c>
      <c r="AU119" s="75">
        <f t="shared" si="27"/>
        <v>0.16362631288004423</v>
      </c>
      <c r="AV119" s="26">
        <f t="shared" si="28"/>
        <v>7.2649572649572655E-2</v>
      </c>
      <c r="AW119" s="26">
        <f t="shared" si="29"/>
        <v>7.371794871794872E-2</v>
      </c>
      <c r="AX119" s="24">
        <f t="shared" si="30"/>
        <v>0.94117647058823528</v>
      </c>
      <c r="AY119" s="24">
        <f t="shared" si="31"/>
        <v>0.97478991596638653</v>
      </c>
      <c r="AZ119" s="77" t="str">
        <f t="shared" si="32"/>
        <v>5,0 ≤ Alc. Bruta &lt; 7,5 mg/L</v>
      </c>
      <c r="BA119" s="77" t="str">
        <f t="shared" si="33"/>
        <v>15 ≤ Cor &lt; 30 uC</v>
      </c>
      <c r="BB119" s="78" t="str">
        <f t="shared" si="34"/>
        <v>2,5 ≤ Turb &lt; 5,0 uT</v>
      </c>
      <c r="BC119" s="79" t="str">
        <f t="shared" si="35"/>
        <v>SM &gt; TOR &gt; BNN</v>
      </c>
      <c r="BD119" s="78" t="str">
        <f t="shared" si="36"/>
        <v>Tipo 1 (≤0,25) uT</v>
      </c>
      <c r="BE119" s="78" t="str">
        <f t="shared" si="37"/>
        <v>Tipo 2 (0,25-0,50) uT</v>
      </c>
      <c r="BF119" s="78" t="str">
        <f t="shared" si="38"/>
        <v>Tipo 1 (≤0,25) uT</v>
      </c>
      <c r="BG119" s="78" t="str">
        <f t="shared" si="39"/>
        <v>Tipo 2 (0,25-0,50) uT</v>
      </c>
      <c r="BH119" s="78" t="str">
        <f t="shared" si="40"/>
        <v>Tipo 1 (≤0,25) uT</v>
      </c>
    </row>
    <row r="120" spans="1:60" x14ac:dyDescent="0.2">
      <c r="A120" s="31">
        <v>46271</v>
      </c>
      <c r="B120" s="80">
        <v>0.39583333333333331</v>
      </c>
      <c r="C120" s="57">
        <v>599</v>
      </c>
      <c r="D120" s="57">
        <v>926</v>
      </c>
      <c r="E120" s="57">
        <v>296</v>
      </c>
      <c r="F120" s="57">
        <v>1884</v>
      </c>
      <c r="G120" s="85" t="s">
        <v>78</v>
      </c>
      <c r="H120" s="63">
        <v>10.5</v>
      </c>
      <c r="I120" s="57">
        <v>92.38</v>
      </c>
      <c r="J120" s="57">
        <v>90</v>
      </c>
      <c r="K120" s="57">
        <v>90</v>
      </c>
      <c r="L120" s="57">
        <v>90</v>
      </c>
      <c r="M120" s="57">
        <v>24.4</v>
      </c>
      <c r="N120" s="63">
        <v>6.4</v>
      </c>
      <c r="O120" s="36">
        <v>3.9</v>
      </c>
      <c r="P120" s="57">
        <v>15</v>
      </c>
      <c r="Q120" s="63">
        <v>6.7</v>
      </c>
      <c r="R120" s="36">
        <v>7.0000000000000007E-2</v>
      </c>
      <c r="S120" s="36">
        <v>22.36</v>
      </c>
      <c r="T120" s="36">
        <v>0.88</v>
      </c>
      <c r="U120" s="36">
        <v>0.7</v>
      </c>
      <c r="V120" s="42">
        <f t="shared" si="41"/>
        <v>2131.2750000000001</v>
      </c>
      <c r="W120" s="42">
        <f t="shared" si="42"/>
        <v>1372.556302</v>
      </c>
      <c r="X120" s="42">
        <f t="shared" si="43"/>
        <v>0.64400713281955635</v>
      </c>
      <c r="Y120" s="57">
        <v>2</v>
      </c>
      <c r="Z120" s="57">
        <v>4</v>
      </c>
      <c r="AA120" s="63">
        <v>6.5</v>
      </c>
      <c r="AB120" s="57">
        <v>17</v>
      </c>
      <c r="AC120" s="63">
        <v>6.1</v>
      </c>
      <c r="AD120" s="63">
        <v>6.1</v>
      </c>
      <c r="AE120" s="36">
        <v>0.15</v>
      </c>
      <c r="AF120" s="36">
        <v>0.14000000000000001</v>
      </c>
      <c r="AG120" s="42">
        <f t="shared" si="23"/>
        <v>2841.7000000000003</v>
      </c>
      <c r="AH120" s="42">
        <f t="shared" si="44"/>
        <v>1785.9247275999996</v>
      </c>
      <c r="AI120" s="42">
        <f t="shared" si="45"/>
        <v>0.62847053791744356</v>
      </c>
      <c r="AJ120" s="57">
        <v>2</v>
      </c>
      <c r="AK120" s="57">
        <v>3</v>
      </c>
      <c r="AL120" s="63">
        <v>6.3</v>
      </c>
      <c r="AM120" s="57">
        <v>23</v>
      </c>
      <c r="AN120" s="63">
        <v>6.1</v>
      </c>
      <c r="AO120" s="63">
        <v>6.9</v>
      </c>
      <c r="AP120" s="36">
        <v>0.15</v>
      </c>
      <c r="AQ120" s="36">
        <v>0.4</v>
      </c>
      <c r="AR120" s="73">
        <f t="shared" si="24"/>
        <v>1821</v>
      </c>
      <c r="AS120" s="75">
        <f t="shared" si="25"/>
        <v>0.32894014277869305</v>
      </c>
      <c r="AT120" s="75">
        <f t="shared" si="26"/>
        <v>0.5085118066996156</v>
      </c>
      <c r="AU120" s="75">
        <f t="shared" si="27"/>
        <v>0.16254805052169138</v>
      </c>
      <c r="AV120" s="26">
        <f t="shared" si="28"/>
        <v>7.2186836518046707E-2</v>
      </c>
      <c r="AW120" s="26">
        <f t="shared" si="29"/>
        <v>7.32484076433121E-2</v>
      </c>
      <c r="AX120" s="24">
        <f t="shared" si="30"/>
        <v>0.89743589743589747</v>
      </c>
      <c r="AY120" s="24">
        <f t="shared" si="31"/>
        <v>0.96410256410256412</v>
      </c>
      <c r="AZ120" s="77" t="str">
        <f t="shared" si="32"/>
        <v>5,0 ≤ Alc. Bruta &lt; 7,5 mg/L</v>
      </c>
      <c r="BA120" s="77" t="str">
        <f t="shared" si="33"/>
        <v>15 ≤ Cor &lt; 30 uC</v>
      </c>
      <c r="BB120" s="78" t="str">
        <f t="shared" si="34"/>
        <v>2,5 ≤ Turb &lt; 5,0 uT</v>
      </c>
      <c r="BC120" s="79" t="str">
        <f t="shared" si="35"/>
        <v>SM &gt; TOR &gt; BNN</v>
      </c>
      <c r="BD120" s="78" t="str">
        <f t="shared" si="36"/>
        <v>Tipo 1 (≤0,25) uT</v>
      </c>
      <c r="BE120" s="78" t="str">
        <f t="shared" si="37"/>
        <v>Tipo 1 (≤0,25) uT</v>
      </c>
      <c r="BF120" s="78" t="str">
        <f t="shared" si="38"/>
        <v>Tipo 1 (≤0,25) uT</v>
      </c>
      <c r="BG120" s="78" t="str">
        <f t="shared" si="39"/>
        <v>Tipo 2 (0,25-0,50) uT</v>
      </c>
      <c r="BH120" s="78" t="str">
        <f t="shared" si="40"/>
        <v>Tipo 1 (≤0,25) uT</v>
      </c>
    </row>
    <row r="121" spans="1:60" x14ac:dyDescent="0.2">
      <c r="A121" s="31">
        <v>46271</v>
      </c>
      <c r="B121" s="80">
        <v>0.47916666666666669</v>
      </c>
      <c r="C121" s="57">
        <v>562</v>
      </c>
      <c r="D121" s="57">
        <v>931</v>
      </c>
      <c r="E121" s="57">
        <v>297</v>
      </c>
      <c r="F121" s="57">
        <v>1782</v>
      </c>
      <c r="G121" s="85" t="s">
        <v>78</v>
      </c>
      <c r="H121" s="63">
        <v>10.5</v>
      </c>
      <c r="I121" s="57">
        <v>23.07</v>
      </c>
      <c r="J121" s="57">
        <v>90</v>
      </c>
      <c r="K121" s="57">
        <v>90</v>
      </c>
      <c r="L121" s="57">
        <v>90</v>
      </c>
      <c r="M121" s="57">
        <v>25.5</v>
      </c>
      <c r="N121" s="63">
        <v>6.4</v>
      </c>
      <c r="O121" s="36">
        <v>3.44</v>
      </c>
      <c r="P121" s="57">
        <v>13</v>
      </c>
      <c r="Q121" s="63">
        <v>7.2</v>
      </c>
      <c r="R121" s="36">
        <v>7.0000000000000007E-2</v>
      </c>
      <c r="S121" s="36">
        <v>22.36</v>
      </c>
      <c r="T121" s="36">
        <v>0.88</v>
      </c>
      <c r="U121" s="36">
        <v>0.7</v>
      </c>
      <c r="V121" s="42">
        <f t="shared" si="41"/>
        <v>1913.4224999999999</v>
      </c>
      <c r="W121" s="42">
        <f t="shared" si="42"/>
        <v>1372.556302</v>
      </c>
      <c r="X121" s="42">
        <f t="shared" si="43"/>
        <v>0.71733049130550097</v>
      </c>
      <c r="Y121" s="57">
        <v>2</v>
      </c>
      <c r="Z121" s="57">
        <v>4</v>
      </c>
      <c r="AA121" s="63">
        <v>6.5</v>
      </c>
      <c r="AB121" s="57">
        <v>17</v>
      </c>
      <c r="AC121" s="63">
        <v>6.1</v>
      </c>
      <c r="AD121" s="63">
        <v>9</v>
      </c>
      <c r="AE121" s="36">
        <v>0.23</v>
      </c>
      <c r="AF121" s="36">
        <v>0.16</v>
      </c>
      <c r="AG121" s="42">
        <f t="shared" si="23"/>
        <v>2551.23</v>
      </c>
      <c r="AH121" s="42">
        <f t="shared" si="44"/>
        <v>1785.9247275999996</v>
      </c>
      <c r="AI121" s="42">
        <f t="shared" si="45"/>
        <v>0.70002497916691153</v>
      </c>
      <c r="AJ121" s="57">
        <v>2</v>
      </c>
      <c r="AK121" s="57">
        <v>3</v>
      </c>
      <c r="AL121" s="63">
        <v>6.3</v>
      </c>
      <c r="AM121" s="57">
        <v>23</v>
      </c>
      <c r="AN121" s="63">
        <v>6</v>
      </c>
      <c r="AO121" s="63">
        <v>7.5</v>
      </c>
      <c r="AP121" s="36">
        <v>0.21</v>
      </c>
      <c r="AQ121" s="36">
        <v>0.42</v>
      </c>
      <c r="AR121" s="73">
        <f t="shared" si="24"/>
        <v>1790</v>
      </c>
      <c r="AS121" s="75">
        <f t="shared" si="25"/>
        <v>0.31396648044692738</v>
      </c>
      <c r="AT121" s="75">
        <f t="shared" si="26"/>
        <v>0.5201117318435754</v>
      </c>
      <c r="AU121" s="75">
        <f t="shared" si="27"/>
        <v>0.1659217877094972</v>
      </c>
      <c r="AV121" s="26">
        <f t="shared" si="28"/>
        <v>7.6318742985409652E-2</v>
      </c>
      <c r="AW121" s="26">
        <f t="shared" si="29"/>
        <v>7.7441077441077436E-2</v>
      </c>
      <c r="AX121" s="24">
        <f t="shared" si="30"/>
        <v>0.87790697674418605</v>
      </c>
      <c r="AY121" s="24">
        <f t="shared" si="31"/>
        <v>0.95348837209302328</v>
      </c>
      <c r="AZ121" s="77" t="str">
        <f t="shared" si="32"/>
        <v>5,0 ≤ Alc. Bruta &lt; 7,5 mg/L</v>
      </c>
      <c r="BA121" s="77" t="str">
        <f t="shared" si="33"/>
        <v>10 ≤ Cor &lt;15 uC</v>
      </c>
      <c r="BB121" s="78" t="str">
        <f t="shared" si="34"/>
        <v>2,5 ≤ Turb &lt; 5,0 uT</v>
      </c>
      <c r="BC121" s="79" t="str">
        <f t="shared" si="35"/>
        <v>SM &gt; TOR &gt; BNN</v>
      </c>
      <c r="BD121" s="78" t="str">
        <f t="shared" si="36"/>
        <v>Tipo 1 (≤0,25) uT</v>
      </c>
      <c r="BE121" s="78" t="str">
        <f t="shared" si="37"/>
        <v>Tipo 1 (≤0,25) uT</v>
      </c>
      <c r="BF121" s="78" t="str">
        <f t="shared" si="38"/>
        <v>Tipo 1 (≤0,25) uT</v>
      </c>
      <c r="BG121" s="78" t="str">
        <f t="shared" si="39"/>
        <v>Tipo 2 (0,25-0,50) uT</v>
      </c>
      <c r="BH121" s="78" t="str">
        <f t="shared" si="40"/>
        <v>Tipo 1 (≤0,25) uT</v>
      </c>
    </row>
    <row r="122" spans="1:60" x14ac:dyDescent="0.2">
      <c r="A122" s="31">
        <v>46272</v>
      </c>
      <c r="B122" s="80">
        <v>6.25E-2</v>
      </c>
      <c r="C122" s="57">
        <v>500</v>
      </c>
      <c r="D122" s="57">
        <v>1026</v>
      </c>
      <c r="E122" s="57">
        <v>250</v>
      </c>
      <c r="F122" s="57">
        <v>1839</v>
      </c>
      <c r="G122" s="85" t="s">
        <v>78</v>
      </c>
      <c r="H122" s="63">
        <v>11</v>
      </c>
      <c r="I122" s="57">
        <v>103.6</v>
      </c>
      <c r="J122" s="57">
        <v>90</v>
      </c>
      <c r="K122" s="57">
        <v>90</v>
      </c>
      <c r="L122" s="57">
        <v>90</v>
      </c>
      <c r="M122" s="57">
        <v>22.7</v>
      </c>
      <c r="N122" s="63">
        <v>6.5</v>
      </c>
      <c r="O122" s="36">
        <v>1.5</v>
      </c>
      <c r="P122" s="57">
        <v>7</v>
      </c>
      <c r="Q122" s="63">
        <v>7.4</v>
      </c>
      <c r="R122" s="36">
        <v>0.35</v>
      </c>
      <c r="S122" s="36">
        <v>22.36</v>
      </c>
      <c r="T122" s="36">
        <v>0.88</v>
      </c>
      <c r="U122" s="36">
        <v>0.7</v>
      </c>
      <c r="V122" s="42">
        <f t="shared" si="41"/>
        <v>2084.1999999999998</v>
      </c>
      <c r="W122" s="42">
        <f t="shared" si="42"/>
        <v>1398.8187927999998</v>
      </c>
      <c r="X122" s="42">
        <f t="shared" si="43"/>
        <v>0.67115382055464923</v>
      </c>
      <c r="Y122" s="57">
        <v>2</v>
      </c>
      <c r="Z122" s="57">
        <v>3</v>
      </c>
      <c r="AA122" s="63">
        <v>6.6</v>
      </c>
      <c r="AB122" s="57">
        <v>17</v>
      </c>
      <c r="AC122" s="63">
        <v>6.1</v>
      </c>
      <c r="AD122" s="63">
        <v>5.7</v>
      </c>
      <c r="AE122" s="36">
        <v>0.25</v>
      </c>
      <c r="AF122" s="36">
        <v>0.27</v>
      </c>
      <c r="AG122" s="42">
        <f t="shared" si="23"/>
        <v>1563.1499999999999</v>
      </c>
      <c r="AH122" s="42">
        <f t="shared" si="44"/>
        <v>1928.0511483999996</v>
      </c>
      <c r="AI122" s="42">
        <f t="shared" si="45"/>
        <v>1.2334396240923775</v>
      </c>
      <c r="AJ122" s="57">
        <v>2</v>
      </c>
      <c r="AK122" s="57">
        <v>4</v>
      </c>
      <c r="AL122" s="63">
        <v>6.7</v>
      </c>
      <c r="AM122" s="57">
        <v>23</v>
      </c>
      <c r="AN122" s="63">
        <v>6</v>
      </c>
      <c r="AO122" s="63">
        <v>5.3</v>
      </c>
      <c r="AP122" s="36">
        <v>0.24</v>
      </c>
      <c r="AQ122" s="36">
        <v>0.15</v>
      </c>
      <c r="AR122" s="73">
        <f t="shared" si="24"/>
        <v>1776</v>
      </c>
      <c r="AS122" s="75">
        <f t="shared" si="25"/>
        <v>0.28153153153153154</v>
      </c>
      <c r="AT122" s="75">
        <f t="shared" si="26"/>
        <v>0.57770270270270274</v>
      </c>
      <c r="AU122" s="75">
        <f t="shared" si="27"/>
        <v>0.14076576576576577</v>
      </c>
      <c r="AV122" s="26">
        <f t="shared" si="28"/>
        <v>5.5464926590538338E-2</v>
      </c>
      <c r="AW122" s="26">
        <f t="shared" si="29"/>
        <v>0.10005437737901034</v>
      </c>
      <c r="AX122" s="24">
        <f t="shared" si="30"/>
        <v>0.9</v>
      </c>
      <c r="AY122" s="24">
        <f t="shared" si="31"/>
        <v>0.82</v>
      </c>
      <c r="AZ122" s="77" t="str">
        <f t="shared" si="32"/>
        <v>5,0 ≤ Alc. Bruta &lt; 7,5 mg/L</v>
      </c>
      <c r="BA122" s="77" t="str">
        <f t="shared" si="33"/>
        <v>5 ≤ Cor &lt; 10 uC</v>
      </c>
      <c r="BB122" s="78" t="str">
        <f t="shared" si="34"/>
        <v>Turbidez &lt; 2,5 uT</v>
      </c>
      <c r="BC122" s="79" t="str">
        <f t="shared" si="35"/>
        <v>SM &gt; TOR &gt; BNN</v>
      </c>
      <c r="BD122" s="78" t="str">
        <f t="shared" si="36"/>
        <v>Tipo 1 (≤0,25) uT</v>
      </c>
      <c r="BE122" s="78" t="str">
        <f t="shared" si="37"/>
        <v>Tipo 1 (≤0,25) uT</v>
      </c>
      <c r="BF122" s="78" t="str">
        <f t="shared" si="38"/>
        <v>Tipo 2 (0,25-0,50) uT</v>
      </c>
      <c r="BG122" s="78" t="str">
        <f t="shared" si="39"/>
        <v>Tipo 1 (≤0,25) uT</v>
      </c>
      <c r="BH122" s="78" t="str">
        <f t="shared" si="40"/>
        <v>Tipo 2 (0,25-0,50) uT</v>
      </c>
    </row>
    <row r="123" spans="1:60" x14ac:dyDescent="0.2">
      <c r="A123" s="31">
        <v>46272</v>
      </c>
      <c r="B123" s="80">
        <v>0.14583333333333334</v>
      </c>
      <c r="C123" s="57">
        <v>505</v>
      </c>
      <c r="D123" s="57">
        <v>1024</v>
      </c>
      <c r="E123" s="57">
        <v>249</v>
      </c>
      <c r="F123" s="57">
        <v>1851</v>
      </c>
      <c r="G123" s="85" t="s">
        <v>78</v>
      </c>
      <c r="H123" s="63">
        <v>11</v>
      </c>
      <c r="I123" s="57">
        <v>105</v>
      </c>
      <c r="J123" s="57">
        <v>90</v>
      </c>
      <c r="K123" s="57">
        <v>90</v>
      </c>
      <c r="L123" s="57">
        <v>90</v>
      </c>
      <c r="M123" s="57">
        <v>22.9</v>
      </c>
      <c r="N123" s="63">
        <v>6.5</v>
      </c>
      <c r="O123" s="36">
        <v>1.38</v>
      </c>
      <c r="P123" s="57">
        <v>7</v>
      </c>
      <c r="Q123" s="63">
        <v>6.8</v>
      </c>
      <c r="R123" s="36">
        <v>0.26</v>
      </c>
      <c r="S123" s="36">
        <v>22.36</v>
      </c>
      <c r="T123" s="36">
        <v>0.88</v>
      </c>
      <c r="U123" s="36">
        <v>0.7</v>
      </c>
      <c r="V123" s="42">
        <f t="shared" si="41"/>
        <v>2060.7799999999997</v>
      </c>
      <c r="W123" s="42">
        <f t="shared" si="42"/>
        <v>1267.1000575999999</v>
      </c>
      <c r="X123" s="42">
        <f t="shared" si="43"/>
        <v>0.61486430264268876</v>
      </c>
      <c r="Y123" s="57">
        <v>2</v>
      </c>
      <c r="Z123" s="57">
        <v>3</v>
      </c>
      <c r="AA123" s="63">
        <v>6.4</v>
      </c>
      <c r="AB123" s="57">
        <v>16</v>
      </c>
      <c r="AC123" s="63">
        <v>6.1</v>
      </c>
      <c r="AD123" s="63">
        <v>5.4</v>
      </c>
      <c r="AE123" s="36">
        <v>0.16</v>
      </c>
      <c r="AF123" s="36">
        <v>0.24</v>
      </c>
      <c r="AG123" s="42">
        <f t="shared" si="23"/>
        <v>1545.585</v>
      </c>
      <c r="AH123" s="42">
        <f t="shared" si="44"/>
        <v>1785.9247275999996</v>
      </c>
      <c r="AI123" s="42">
        <f t="shared" si="45"/>
        <v>1.1555008152900033</v>
      </c>
      <c r="AJ123" s="57">
        <v>2</v>
      </c>
      <c r="AK123" s="57">
        <v>4</v>
      </c>
      <c r="AL123" s="63">
        <v>6.3</v>
      </c>
      <c r="AM123" s="57">
        <v>23</v>
      </c>
      <c r="AN123" s="63">
        <v>6.1</v>
      </c>
      <c r="AO123" s="63">
        <v>5.0999999999999996</v>
      </c>
      <c r="AP123" s="36">
        <v>0.2</v>
      </c>
      <c r="AQ123" s="36">
        <v>0.22</v>
      </c>
      <c r="AR123" s="73">
        <f t="shared" si="24"/>
        <v>1778</v>
      </c>
      <c r="AS123" s="75">
        <f t="shared" si="25"/>
        <v>0.2840269966254218</v>
      </c>
      <c r="AT123" s="75">
        <f t="shared" si="26"/>
        <v>0.5759280089988752</v>
      </c>
      <c r="AU123" s="75">
        <f t="shared" si="27"/>
        <v>0.14004499437570303</v>
      </c>
      <c r="AV123" s="26">
        <f t="shared" si="28"/>
        <v>5.1863857374392218E-2</v>
      </c>
      <c r="AW123" s="26">
        <f t="shared" si="29"/>
        <v>9.9405726634251762E-2</v>
      </c>
      <c r="AX123" s="24">
        <f t="shared" si="30"/>
        <v>0.84057971014492749</v>
      </c>
      <c r="AY123" s="24">
        <f t="shared" si="31"/>
        <v>0.82608695652173914</v>
      </c>
      <c r="AZ123" s="77" t="str">
        <f t="shared" si="32"/>
        <v>5,0 ≤ Alc. Bruta &lt; 7,5 mg/L</v>
      </c>
      <c r="BA123" s="77" t="str">
        <f t="shared" si="33"/>
        <v>5 ≤ Cor &lt; 10 uC</v>
      </c>
      <c r="BB123" s="78" t="str">
        <f t="shared" si="34"/>
        <v>Turbidez &lt; 2,5 uT</v>
      </c>
      <c r="BC123" s="79" t="str">
        <f t="shared" si="35"/>
        <v>SM &gt; TOR &gt; BNN</v>
      </c>
      <c r="BD123" s="78" t="str">
        <f t="shared" si="36"/>
        <v>Tipo 1 (≤0,25) uT</v>
      </c>
      <c r="BE123" s="78" t="str">
        <f t="shared" si="37"/>
        <v>Tipo 1 (≤0,25) uT</v>
      </c>
      <c r="BF123" s="78" t="str">
        <f t="shared" si="38"/>
        <v>Tipo 1 (≤0,25) uT</v>
      </c>
      <c r="BG123" s="78" t="str">
        <f t="shared" si="39"/>
        <v>Tipo 1 (≤0,25) uT</v>
      </c>
      <c r="BH123" s="78" t="str">
        <f t="shared" si="40"/>
        <v>Tipo 2 (0,25-0,50) uT</v>
      </c>
    </row>
    <row r="124" spans="1:60" ht="15.75" thickBot="1" x14ac:dyDescent="0.25">
      <c r="A124" s="32">
        <v>46272</v>
      </c>
      <c r="B124" s="81">
        <v>0.22916666666666666</v>
      </c>
      <c r="C124" s="58">
        <v>504</v>
      </c>
      <c r="D124" s="58">
        <v>1009</v>
      </c>
      <c r="E124" s="58">
        <v>249</v>
      </c>
      <c r="F124" s="58">
        <v>1840</v>
      </c>
      <c r="G124" s="86" t="s">
        <v>78</v>
      </c>
      <c r="H124" s="64">
        <v>11</v>
      </c>
      <c r="I124" s="58">
        <v>105</v>
      </c>
      <c r="J124" s="58">
        <v>90</v>
      </c>
      <c r="K124" s="58">
        <v>90</v>
      </c>
      <c r="L124" s="58">
        <v>90</v>
      </c>
      <c r="M124" s="58">
        <v>22.8</v>
      </c>
      <c r="N124" s="64">
        <v>6.4</v>
      </c>
      <c r="O124" s="37">
        <v>1.45</v>
      </c>
      <c r="P124" s="58">
        <v>8</v>
      </c>
      <c r="Q124" s="64">
        <v>7.3</v>
      </c>
      <c r="R124" s="37">
        <v>0.31</v>
      </c>
      <c r="S124" s="36">
        <v>22.36</v>
      </c>
      <c r="T124" s="36">
        <v>0.88</v>
      </c>
      <c r="U124" s="36">
        <v>0.7</v>
      </c>
      <c r="V124" s="42">
        <f t="shared" si="41"/>
        <v>2070</v>
      </c>
      <c r="W124" s="42">
        <f t="shared" si="42"/>
        <v>1291.8176960000001</v>
      </c>
      <c r="X124" s="42">
        <f t="shared" si="43"/>
        <v>0.62406651980676331</v>
      </c>
      <c r="Y124" s="58">
        <v>2</v>
      </c>
      <c r="Z124" s="58">
        <v>3</v>
      </c>
      <c r="AA124" s="64">
        <v>6.5</v>
      </c>
      <c r="AB124" s="58">
        <v>16</v>
      </c>
      <c r="AC124" s="64">
        <v>6</v>
      </c>
      <c r="AD124" s="64">
        <v>4.2</v>
      </c>
      <c r="AE124" s="37">
        <v>0.17</v>
      </c>
      <c r="AF124" s="37">
        <v>0.23</v>
      </c>
      <c r="AG124" s="42">
        <f t="shared" si="23"/>
        <v>1552.5</v>
      </c>
      <c r="AH124" s="42">
        <f t="shared" si="44"/>
        <v>1785.9247275999996</v>
      </c>
      <c r="AI124" s="42">
        <f t="shared" si="45"/>
        <v>1.1503540918518516</v>
      </c>
      <c r="AJ124" s="58">
        <v>2</v>
      </c>
      <c r="AK124" s="58">
        <v>4</v>
      </c>
      <c r="AL124" s="64">
        <v>6.3</v>
      </c>
      <c r="AM124" s="58">
        <v>23</v>
      </c>
      <c r="AN124" s="64">
        <v>6</v>
      </c>
      <c r="AO124" s="64">
        <v>5.3</v>
      </c>
      <c r="AP124" s="37">
        <v>0.17</v>
      </c>
      <c r="AQ124" s="37">
        <v>0.25</v>
      </c>
      <c r="AR124" s="73">
        <f t="shared" si="24"/>
        <v>1762</v>
      </c>
      <c r="AS124" s="75">
        <f t="shared" si="25"/>
        <v>0.28603859250851305</v>
      </c>
      <c r="AT124" s="75">
        <f t="shared" si="26"/>
        <v>0.57264472190692395</v>
      </c>
      <c r="AU124" s="75">
        <f t="shared" si="27"/>
        <v>0.14131668558456301</v>
      </c>
      <c r="AV124" s="26">
        <f t="shared" si="28"/>
        <v>5.2173913043478258E-2</v>
      </c>
      <c r="AW124" s="26">
        <f t="shared" si="29"/>
        <v>0.1</v>
      </c>
      <c r="AX124" s="24">
        <f t="shared" si="30"/>
        <v>0.82758620689655171</v>
      </c>
      <c r="AY124" s="24">
        <f t="shared" si="31"/>
        <v>0.8413793103448276</v>
      </c>
      <c r="AZ124" s="77" t="str">
        <f t="shared" si="32"/>
        <v>5,0 ≤ Alc. Bruta &lt; 7,5 mg/L</v>
      </c>
      <c r="BA124" s="77" t="str">
        <f t="shared" si="33"/>
        <v>5 ≤ Cor &lt; 10 uC</v>
      </c>
      <c r="BB124" s="78" t="str">
        <f t="shared" si="34"/>
        <v>Turbidez &lt; 2,5 uT</v>
      </c>
      <c r="BC124" s="79" t="str">
        <f t="shared" si="35"/>
        <v>SM &gt; TOR &gt; BNN</v>
      </c>
      <c r="BD124" s="78" t="str">
        <f t="shared" si="36"/>
        <v>Tipo 1 (≤0,25) uT</v>
      </c>
      <c r="BE124" s="78" t="str">
        <f t="shared" si="37"/>
        <v>Tipo 1 (≤0,25) uT</v>
      </c>
      <c r="BF124" s="78" t="str">
        <f t="shared" si="38"/>
        <v>Tipo 1 (≤0,25) uT</v>
      </c>
      <c r="BG124" s="78" t="str">
        <f t="shared" si="39"/>
        <v>Tipo 1 (≤0,25) uT</v>
      </c>
      <c r="BH124" s="78" t="str">
        <f t="shared" si="40"/>
        <v>Tipo 2 (0,25-0,50) uT</v>
      </c>
    </row>
    <row r="125" spans="1:60" x14ac:dyDescent="0.2">
      <c r="A125" s="31">
        <v>46272</v>
      </c>
      <c r="B125" s="80">
        <v>0.39583333333333331</v>
      </c>
      <c r="C125" s="57">
        <v>514</v>
      </c>
      <c r="D125" s="57">
        <v>1024</v>
      </c>
      <c r="E125" s="57">
        <v>250</v>
      </c>
      <c r="F125" s="57">
        <v>1838</v>
      </c>
      <c r="G125" s="85" t="s">
        <v>78</v>
      </c>
      <c r="H125" s="63">
        <v>11</v>
      </c>
      <c r="I125" s="57">
        <v>108</v>
      </c>
      <c r="J125" s="57">
        <v>90</v>
      </c>
      <c r="K125" s="57">
        <v>90</v>
      </c>
      <c r="L125" s="57">
        <v>90</v>
      </c>
      <c r="M125" s="57">
        <v>24.1</v>
      </c>
      <c r="N125" s="63">
        <v>6.6</v>
      </c>
      <c r="O125" s="36">
        <v>1.66</v>
      </c>
      <c r="P125" s="57">
        <v>10</v>
      </c>
      <c r="Q125" s="63">
        <v>7.8</v>
      </c>
      <c r="R125" s="36">
        <v>0.22</v>
      </c>
      <c r="S125" s="36">
        <v>22.36</v>
      </c>
      <c r="T125" s="36">
        <v>0.88</v>
      </c>
      <c r="U125" s="36">
        <v>0.7</v>
      </c>
      <c r="V125" s="42">
        <f t="shared" si="41"/>
        <v>1599.06</v>
      </c>
      <c r="W125" s="42">
        <f t="shared" si="42"/>
        <v>1291.8176960000001</v>
      </c>
      <c r="X125" s="42">
        <f t="shared" si="43"/>
        <v>0.80786067814841223</v>
      </c>
      <c r="Y125" s="57">
        <v>2</v>
      </c>
      <c r="Z125" s="57">
        <v>4</v>
      </c>
      <c r="AA125" s="63">
        <v>6.5</v>
      </c>
      <c r="AB125" s="57">
        <v>16</v>
      </c>
      <c r="AC125" s="63">
        <v>6</v>
      </c>
      <c r="AD125" s="63">
        <v>5.9</v>
      </c>
      <c r="AE125" s="36">
        <v>0.16</v>
      </c>
      <c r="AF125" s="36">
        <v>0.31</v>
      </c>
      <c r="AG125" s="42">
        <f t="shared" si="23"/>
        <v>2132.08</v>
      </c>
      <c r="AH125" s="42">
        <f t="shared" si="44"/>
        <v>1785.9247275999996</v>
      </c>
      <c r="AI125" s="42">
        <f t="shared" si="45"/>
        <v>0.83764433210761313</v>
      </c>
      <c r="AJ125" s="57">
        <v>2</v>
      </c>
      <c r="AK125" s="57">
        <v>3</v>
      </c>
      <c r="AL125" s="63">
        <v>6.3</v>
      </c>
      <c r="AM125" s="57">
        <v>23</v>
      </c>
      <c r="AN125" s="63">
        <v>6.1</v>
      </c>
      <c r="AO125" s="63">
        <v>5.7</v>
      </c>
      <c r="AP125" s="36">
        <v>0.15</v>
      </c>
      <c r="AQ125" s="36">
        <v>0.34</v>
      </c>
      <c r="AR125" s="73">
        <f t="shared" si="24"/>
        <v>1788</v>
      </c>
      <c r="AS125" s="75">
        <f t="shared" si="25"/>
        <v>0.28747203579418346</v>
      </c>
      <c r="AT125" s="75">
        <f t="shared" si="26"/>
        <v>0.57270693512304249</v>
      </c>
      <c r="AU125" s="75">
        <f t="shared" si="27"/>
        <v>0.13982102908277405</v>
      </c>
      <c r="AV125" s="26">
        <f t="shared" si="28"/>
        <v>6.9640914036996737E-2</v>
      </c>
      <c r="AW125" s="26">
        <f t="shared" si="29"/>
        <v>7.5081610446137106E-2</v>
      </c>
      <c r="AX125" s="24">
        <f t="shared" si="30"/>
        <v>0.79518072289156627</v>
      </c>
      <c r="AY125" s="24">
        <f t="shared" si="31"/>
        <v>0.81325301204819278</v>
      </c>
      <c r="AZ125" s="77" t="str">
        <f t="shared" si="32"/>
        <v>7,5 ≤ Alc. Bruta &lt; 10,0 mg/L</v>
      </c>
      <c r="BA125" s="77" t="str">
        <f t="shared" si="33"/>
        <v>10 ≤ Cor &lt;15 uC</v>
      </c>
      <c r="BB125" s="78" t="str">
        <f t="shared" si="34"/>
        <v>Turbidez &lt; 2,5 uT</v>
      </c>
      <c r="BC125" s="79" t="str">
        <f t="shared" si="35"/>
        <v>SM &gt; TOR &gt; BNN</v>
      </c>
      <c r="BD125" s="78" t="str">
        <f t="shared" si="36"/>
        <v>Tipo 1 (≤0,25) uT</v>
      </c>
      <c r="BE125" s="78" t="str">
        <f t="shared" si="37"/>
        <v>Tipo 1 (≤0,25) uT</v>
      </c>
      <c r="BF125" s="78" t="str">
        <f t="shared" si="38"/>
        <v>Tipo 2 (0,25-0,50) uT</v>
      </c>
      <c r="BG125" s="78" t="str">
        <f t="shared" si="39"/>
        <v>Tipo 2 (0,25-0,50) uT</v>
      </c>
      <c r="BH125" s="78" t="str">
        <f t="shared" si="40"/>
        <v>Tipo 1 (≤0,25) uT</v>
      </c>
    </row>
    <row r="126" spans="1:60" x14ac:dyDescent="0.2">
      <c r="A126" s="31">
        <v>46272</v>
      </c>
      <c r="B126" s="80">
        <v>0.47916666666666669</v>
      </c>
      <c r="C126" s="57">
        <v>513</v>
      </c>
      <c r="D126" s="57">
        <v>1041</v>
      </c>
      <c r="E126" s="57">
        <v>250</v>
      </c>
      <c r="F126" s="57">
        <v>1834</v>
      </c>
      <c r="G126" s="85" t="s">
        <v>78</v>
      </c>
      <c r="H126" s="63">
        <v>11</v>
      </c>
      <c r="I126" s="57">
        <v>111</v>
      </c>
      <c r="J126" s="57">
        <v>90</v>
      </c>
      <c r="K126" s="57">
        <v>90</v>
      </c>
      <c r="L126" s="57">
        <v>90</v>
      </c>
      <c r="M126" s="57">
        <v>24.4</v>
      </c>
      <c r="N126" s="63">
        <v>6.6</v>
      </c>
      <c r="O126" s="36">
        <v>1.74</v>
      </c>
      <c r="P126" s="57">
        <v>9</v>
      </c>
      <c r="Q126" s="63">
        <v>8.6999999999999993</v>
      </c>
      <c r="R126" s="36">
        <v>0.17</v>
      </c>
      <c r="S126" s="36">
        <v>22.36</v>
      </c>
      <c r="T126" s="36">
        <v>0.88</v>
      </c>
      <c r="U126" s="36">
        <v>0.7</v>
      </c>
      <c r="V126" s="42">
        <f t="shared" si="41"/>
        <v>1613.92</v>
      </c>
      <c r="W126" s="42">
        <f t="shared" si="42"/>
        <v>1291.8176960000001</v>
      </c>
      <c r="X126" s="42">
        <f t="shared" si="43"/>
        <v>0.80042238524833942</v>
      </c>
      <c r="Y126" s="57">
        <v>2</v>
      </c>
      <c r="Z126" s="57">
        <v>4</v>
      </c>
      <c r="AA126" s="63">
        <v>6.5</v>
      </c>
      <c r="AB126" s="57">
        <v>16</v>
      </c>
      <c r="AC126" s="63">
        <v>6.2</v>
      </c>
      <c r="AD126" s="63">
        <v>6</v>
      </c>
      <c r="AE126" s="36">
        <v>0.13</v>
      </c>
      <c r="AF126" s="36">
        <v>0.26</v>
      </c>
      <c r="AG126" s="42">
        <f t="shared" si="23"/>
        <v>2151.8933333333334</v>
      </c>
      <c r="AH126" s="42">
        <f t="shared" si="44"/>
        <v>1785.9247275999996</v>
      </c>
      <c r="AI126" s="42">
        <f t="shared" si="45"/>
        <v>0.82993180932140354</v>
      </c>
      <c r="AJ126" s="57">
        <v>2</v>
      </c>
      <c r="AK126" s="57">
        <v>3</v>
      </c>
      <c r="AL126" s="63">
        <v>6.3</v>
      </c>
      <c r="AM126" s="57">
        <v>23</v>
      </c>
      <c r="AN126" s="63">
        <v>6.2</v>
      </c>
      <c r="AO126" s="63">
        <v>5.6</v>
      </c>
      <c r="AP126" s="36">
        <v>0.12</v>
      </c>
      <c r="AQ126" s="36">
        <v>0.28000000000000003</v>
      </c>
      <c r="AR126" s="73">
        <f t="shared" si="24"/>
        <v>1804</v>
      </c>
      <c r="AS126" s="75">
        <f t="shared" si="25"/>
        <v>0.2843680709534368</v>
      </c>
      <c r="AT126" s="75">
        <f t="shared" si="26"/>
        <v>0.57705099778270508</v>
      </c>
      <c r="AU126" s="75">
        <f t="shared" si="27"/>
        <v>0.13858093126385809</v>
      </c>
      <c r="AV126" s="26">
        <f t="shared" si="28"/>
        <v>6.9792802617230101E-2</v>
      </c>
      <c r="AW126" s="26">
        <f t="shared" si="29"/>
        <v>7.5245365321701188E-2</v>
      </c>
      <c r="AX126" s="24">
        <f t="shared" si="30"/>
        <v>0.83908045977011492</v>
      </c>
      <c r="AY126" s="24">
        <f t="shared" si="31"/>
        <v>0.85057471264367812</v>
      </c>
      <c r="AZ126" s="77" t="str">
        <f t="shared" si="32"/>
        <v>7,5 ≤ Alc. Bruta &lt; 10,0 mg/L</v>
      </c>
      <c r="BA126" s="77" t="str">
        <f t="shared" si="33"/>
        <v>5 ≤ Cor &lt; 10 uC</v>
      </c>
      <c r="BB126" s="78" t="str">
        <f t="shared" si="34"/>
        <v>Turbidez &lt; 2,5 uT</v>
      </c>
      <c r="BC126" s="79" t="str">
        <f t="shared" si="35"/>
        <v>SM &gt; TOR &gt; BNN</v>
      </c>
      <c r="BD126" s="78" t="str">
        <f t="shared" si="36"/>
        <v>Tipo 1 (≤0,25) uT</v>
      </c>
      <c r="BE126" s="78" t="str">
        <f t="shared" si="37"/>
        <v>Tipo 1 (≤0,25) uT</v>
      </c>
      <c r="BF126" s="78" t="str">
        <f t="shared" si="38"/>
        <v>Tipo 2 (0,25-0,50) uT</v>
      </c>
      <c r="BG126" s="78" t="str">
        <f t="shared" si="39"/>
        <v>Tipo 2 (0,25-0,50) uT</v>
      </c>
      <c r="BH126" s="78" t="str">
        <f t="shared" si="40"/>
        <v>Tipo 1 (≤0,25) uT</v>
      </c>
    </row>
    <row r="127" spans="1:60" x14ac:dyDescent="0.2">
      <c r="A127" s="31">
        <v>46272</v>
      </c>
      <c r="B127" s="80">
        <v>0.64583333333333337</v>
      </c>
      <c r="C127" s="57">
        <v>539</v>
      </c>
      <c r="D127" s="57">
        <v>67</v>
      </c>
      <c r="E127" s="57">
        <v>311</v>
      </c>
      <c r="F127" s="57">
        <v>994</v>
      </c>
      <c r="G127" s="85" t="s">
        <v>78</v>
      </c>
      <c r="H127" s="63">
        <v>11</v>
      </c>
      <c r="I127" s="57">
        <v>113</v>
      </c>
      <c r="J127" s="57">
        <v>90</v>
      </c>
      <c r="K127" s="57">
        <v>90</v>
      </c>
      <c r="L127" s="57">
        <v>90</v>
      </c>
      <c r="M127" s="57">
        <v>24.3</v>
      </c>
      <c r="N127" s="63">
        <v>6.5</v>
      </c>
      <c r="O127" s="36">
        <v>2.12</v>
      </c>
      <c r="P127" s="57">
        <v>12</v>
      </c>
      <c r="Q127" s="63">
        <v>8.1</v>
      </c>
      <c r="R127" s="36">
        <v>0.09</v>
      </c>
      <c r="S127" s="36">
        <v>22.36</v>
      </c>
      <c r="T127" s="36">
        <v>0.88</v>
      </c>
      <c r="U127" s="36">
        <v>0.7</v>
      </c>
      <c r="V127" s="42">
        <f t="shared" si="41"/>
        <v>1229.2466666666667</v>
      </c>
      <c r="W127" s="42">
        <f t="shared" si="42"/>
        <v>1291.8176960000001</v>
      </c>
      <c r="X127" s="42">
        <f t="shared" si="43"/>
        <v>1.0509019312641348</v>
      </c>
      <c r="Y127" s="57">
        <v>1</v>
      </c>
      <c r="Z127" s="57">
        <v>3</v>
      </c>
      <c r="AA127" s="63">
        <v>6.5</v>
      </c>
      <c r="AB127" s="57">
        <v>16</v>
      </c>
      <c r="AC127" s="63">
        <v>5.9</v>
      </c>
      <c r="AD127" s="63">
        <v>4.5999999999999996</v>
      </c>
      <c r="AE127" s="36">
        <v>0.22</v>
      </c>
      <c r="AF127" s="36">
        <v>0.23</v>
      </c>
      <c r="AG127" s="42">
        <f t="shared" si="23"/>
        <v>1229.2466666666667</v>
      </c>
      <c r="AH127" s="42">
        <f t="shared" si="44"/>
        <v>1863.9799099999998</v>
      </c>
      <c r="AI127" s="42">
        <f t="shared" si="45"/>
        <v>1.5163595399892615</v>
      </c>
      <c r="AJ127" s="57">
        <v>2</v>
      </c>
      <c r="AK127" s="57">
        <v>3</v>
      </c>
      <c r="AL127" s="63">
        <v>6.1</v>
      </c>
      <c r="AM127" s="57">
        <v>25</v>
      </c>
      <c r="AN127" s="63">
        <v>6</v>
      </c>
      <c r="AO127" s="63">
        <v>4.8</v>
      </c>
      <c r="AP127" s="36">
        <v>0.19</v>
      </c>
      <c r="AQ127" s="36">
        <v>0.26</v>
      </c>
      <c r="AR127" s="73">
        <f t="shared" si="24"/>
        <v>917</v>
      </c>
      <c r="AS127" s="75">
        <f t="shared" si="25"/>
        <v>0.58778625954198471</v>
      </c>
      <c r="AT127" s="75">
        <f t="shared" si="26"/>
        <v>7.3064340239912762E-2</v>
      </c>
      <c r="AU127" s="75">
        <f t="shared" si="27"/>
        <v>0.33914940021810253</v>
      </c>
      <c r="AV127" s="26">
        <f t="shared" si="28"/>
        <v>9.657947686116701E-2</v>
      </c>
      <c r="AW127" s="26">
        <f t="shared" si="29"/>
        <v>0.15090543259557346</v>
      </c>
      <c r="AX127" s="24">
        <f t="shared" si="30"/>
        <v>0.87735849056603776</v>
      </c>
      <c r="AY127" s="24">
        <f t="shared" si="31"/>
        <v>0.89150943396226412</v>
      </c>
      <c r="AZ127" s="77" t="str">
        <f t="shared" si="32"/>
        <v>7,5 ≤ Alc. Bruta &lt; 10,0 mg/L</v>
      </c>
      <c r="BA127" s="77" t="str">
        <f t="shared" si="33"/>
        <v>10 ≤ Cor &lt;15 uC</v>
      </c>
      <c r="BB127" s="78" t="str">
        <f t="shared" si="34"/>
        <v>Turbidez &lt; 2,5 uT</v>
      </c>
      <c r="BC127" s="79" t="str">
        <f t="shared" si="35"/>
        <v>TOR &gt; BNN &gt; SM</v>
      </c>
      <c r="BD127" s="78" t="str">
        <f t="shared" si="36"/>
        <v>Tipo 1 (≤0,25) uT</v>
      </c>
      <c r="BE127" s="78" t="str">
        <f t="shared" si="37"/>
        <v>Tipo 1 (≤0,25) uT</v>
      </c>
      <c r="BF127" s="78" t="str">
        <f t="shared" si="38"/>
        <v>Tipo 1 (≤0,25) uT</v>
      </c>
      <c r="BG127" s="78" t="str">
        <f t="shared" si="39"/>
        <v>Tipo 2 (0,25-0,50) uT</v>
      </c>
      <c r="BH127" s="78" t="str">
        <f t="shared" si="40"/>
        <v>Tipo 1 (≤0,25) uT</v>
      </c>
    </row>
    <row r="128" spans="1:60" x14ac:dyDescent="0.2">
      <c r="A128" s="31">
        <v>46272</v>
      </c>
      <c r="B128" s="80">
        <v>0.72916666666666663</v>
      </c>
      <c r="C128" s="57">
        <v>537</v>
      </c>
      <c r="D128" s="57">
        <v>776</v>
      </c>
      <c r="E128" s="57">
        <v>0</v>
      </c>
      <c r="F128" s="57">
        <v>1376</v>
      </c>
      <c r="G128" s="85" t="s">
        <v>78</v>
      </c>
      <c r="H128" s="63">
        <v>11</v>
      </c>
      <c r="I128" s="57">
        <v>112</v>
      </c>
      <c r="J128" s="57">
        <v>90</v>
      </c>
      <c r="K128" s="57">
        <v>90</v>
      </c>
      <c r="L128" s="57">
        <v>90</v>
      </c>
      <c r="M128" s="57">
        <v>24</v>
      </c>
      <c r="N128" s="63">
        <v>6.5</v>
      </c>
      <c r="O128" s="36">
        <v>3.23</v>
      </c>
      <c r="P128" s="57">
        <v>16</v>
      </c>
      <c r="Q128" s="63">
        <v>7.9</v>
      </c>
      <c r="R128" s="36">
        <v>0.16</v>
      </c>
      <c r="S128" s="36">
        <v>22.36</v>
      </c>
      <c r="T128" s="36">
        <v>0.88</v>
      </c>
      <c r="U128" s="36">
        <v>0.7</v>
      </c>
      <c r="V128" s="42">
        <f t="shared" si="41"/>
        <v>1956.2133333333334</v>
      </c>
      <c r="W128" s="42">
        <f t="shared" si="42"/>
        <v>1291.8176960000001</v>
      </c>
      <c r="X128" s="42">
        <f t="shared" si="43"/>
        <v>0.66036647127784298</v>
      </c>
      <c r="Y128" s="57">
        <v>1</v>
      </c>
      <c r="Z128" s="57">
        <v>3</v>
      </c>
      <c r="AA128" s="63">
        <v>6.5</v>
      </c>
      <c r="AB128" s="57">
        <v>16</v>
      </c>
      <c r="AC128" s="63">
        <v>6.2</v>
      </c>
      <c r="AD128" s="63">
        <v>5.2</v>
      </c>
      <c r="AE128" s="36">
        <v>0.14000000000000001</v>
      </c>
      <c r="AF128" s="36">
        <v>0.3</v>
      </c>
      <c r="AG128" s="42">
        <f t="shared" si="23"/>
        <v>1956.2133333333334</v>
      </c>
      <c r="AH128" s="42">
        <f t="shared" si="44"/>
        <v>1863.9799099999998</v>
      </c>
      <c r="AI128" s="42">
        <f t="shared" si="45"/>
        <v>0.95285104044548641</v>
      </c>
      <c r="AJ128" s="57">
        <v>2</v>
      </c>
      <c r="AK128" s="57">
        <v>3</v>
      </c>
      <c r="AL128" s="63">
        <v>6.1</v>
      </c>
      <c r="AM128" s="57">
        <v>25</v>
      </c>
      <c r="AN128" s="63">
        <v>6.2</v>
      </c>
      <c r="AO128" s="63">
        <v>5.9</v>
      </c>
      <c r="AP128" s="36">
        <v>0.11</v>
      </c>
      <c r="AQ128" s="36">
        <v>0.23</v>
      </c>
      <c r="AR128" s="73">
        <f t="shared" si="24"/>
        <v>1313</v>
      </c>
      <c r="AS128" s="75">
        <f t="shared" si="25"/>
        <v>0.40898705255140899</v>
      </c>
      <c r="AT128" s="75">
        <f t="shared" si="26"/>
        <v>0.59101294744859101</v>
      </c>
      <c r="AU128" s="75">
        <f t="shared" si="27"/>
        <v>0</v>
      </c>
      <c r="AV128" s="26">
        <f t="shared" si="28"/>
        <v>6.9767441860465115E-2</v>
      </c>
      <c r="AW128" s="26">
        <f t="shared" si="29"/>
        <v>0.10901162790697674</v>
      </c>
      <c r="AX128" s="24">
        <f t="shared" si="30"/>
        <v>0.92879256965944268</v>
      </c>
      <c r="AY128" s="24">
        <f t="shared" si="31"/>
        <v>0.90712074303405577</v>
      </c>
      <c r="AZ128" s="77" t="str">
        <f t="shared" si="32"/>
        <v>7,5 ≤ Alc. Bruta &lt; 10,0 mg/L</v>
      </c>
      <c r="BA128" s="77" t="str">
        <f t="shared" si="33"/>
        <v>15 ≤ Cor &lt; 30 uC</v>
      </c>
      <c r="BB128" s="78" t="str">
        <f t="shared" si="34"/>
        <v>2,5 ≤ Turb &lt; 5,0 uT</v>
      </c>
      <c r="BC128" s="79" t="str">
        <f t="shared" si="35"/>
        <v>SM &gt; TOR &gt; BNN</v>
      </c>
      <c r="BD128" s="78" t="str">
        <f t="shared" si="36"/>
        <v>Tipo 1 (≤0,25) uT</v>
      </c>
      <c r="BE128" s="78" t="str">
        <f t="shared" si="37"/>
        <v>Tipo 1 (≤0,25) uT</v>
      </c>
      <c r="BF128" s="78" t="str">
        <f t="shared" si="38"/>
        <v>Tipo 2 (0,25-0,50) uT</v>
      </c>
      <c r="BG128" s="78" t="str">
        <f t="shared" si="39"/>
        <v>Tipo 1 (≤0,25) uT</v>
      </c>
      <c r="BH128" s="78" t="str">
        <f t="shared" si="40"/>
        <v>Tipo 1 (≤0,25) uT</v>
      </c>
    </row>
    <row r="129" spans="1:60" x14ac:dyDescent="0.2">
      <c r="A129" s="31">
        <v>46272</v>
      </c>
      <c r="B129" s="80">
        <v>0.8125</v>
      </c>
      <c r="C129" s="57">
        <v>532</v>
      </c>
      <c r="D129" s="57">
        <v>774</v>
      </c>
      <c r="E129" s="57">
        <v>0</v>
      </c>
      <c r="F129" s="57">
        <v>1284</v>
      </c>
      <c r="G129" s="85" t="s">
        <v>78</v>
      </c>
      <c r="H129" s="63">
        <v>11</v>
      </c>
      <c r="I129" s="57">
        <v>113</v>
      </c>
      <c r="J129" s="57">
        <v>90</v>
      </c>
      <c r="K129" s="57">
        <v>90</v>
      </c>
      <c r="L129" s="57">
        <v>90</v>
      </c>
      <c r="M129" s="57">
        <v>23.8</v>
      </c>
      <c r="N129" s="63">
        <v>6.4</v>
      </c>
      <c r="O129" s="36">
        <v>1.51</v>
      </c>
      <c r="P129" s="57">
        <v>9</v>
      </c>
      <c r="Q129" s="63">
        <v>5.8</v>
      </c>
      <c r="R129" s="36">
        <v>0.36</v>
      </c>
      <c r="S129" s="36">
        <v>22.36</v>
      </c>
      <c r="T129" s="36">
        <v>0.88</v>
      </c>
      <c r="U129" s="36">
        <v>0.7</v>
      </c>
      <c r="V129" s="42">
        <f t="shared" si="41"/>
        <v>1457.34</v>
      </c>
      <c r="W129" s="42">
        <f t="shared" si="42"/>
        <v>1291.8176960000001</v>
      </c>
      <c r="X129" s="42">
        <f t="shared" si="43"/>
        <v>0.88642162844634753</v>
      </c>
      <c r="Y129" s="57">
        <v>1</v>
      </c>
      <c r="Z129" s="57">
        <v>3</v>
      </c>
      <c r="AA129" s="63">
        <v>6.5</v>
      </c>
      <c r="AB129" s="57">
        <v>16</v>
      </c>
      <c r="AC129" s="63">
        <v>5.4</v>
      </c>
      <c r="AD129" s="63">
        <v>2.1</v>
      </c>
      <c r="AE129" s="36">
        <v>0.9</v>
      </c>
      <c r="AF129" s="36">
        <v>0.45</v>
      </c>
      <c r="AG129" s="42">
        <f t="shared" si="23"/>
        <v>2186.0099999999998</v>
      </c>
      <c r="AH129" s="42">
        <f t="shared" si="44"/>
        <v>1863.9799099999998</v>
      </c>
      <c r="AI129" s="42">
        <f t="shared" si="45"/>
        <v>0.852685902626246</v>
      </c>
      <c r="AJ129" s="57">
        <v>2</v>
      </c>
      <c r="AK129" s="57">
        <v>2</v>
      </c>
      <c r="AL129" s="63">
        <v>6.1</v>
      </c>
      <c r="AM129" s="57">
        <v>25</v>
      </c>
      <c r="AN129" s="63">
        <v>5.4</v>
      </c>
      <c r="AO129" s="63">
        <v>2.5</v>
      </c>
      <c r="AP129" s="36">
        <v>0.17</v>
      </c>
      <c r="AQ129" s="36">
        <v>1.21</v>
      </c>
      <c r="AR129" s="73">
        <f t="shared" si="24"/>
        <v>1306</v>
      </c>
      <c r="AS129" s="75">
        <f t="shared" si="25"/>
        <v>0.40735068912710565</v>
      </c>
      <c r="AT129" s="75">
        <f t="shared" si="26"/>
        <v>0.5926493108728943</v>
      </c>
      <c r="AU129" s="75">
        <f t="shared" si="27"/>
        <v>0</v>
      </c>
      <c r="AV129" s="26">
        <f t="shared" si="28"/>
        <v>7.476635514018691E-2</v>
      </c>
      <c r="AW129" s="26">
        <f t="shared" si="29"/>
        <v>7.7881619937694699E-2</v>
      </c>
      <c r="AX129" s="24">
        <f t="shared" si="30"/>
        <v>0.19867549668874174</v>
      </c>
      <c r="AY129" s="24">
        <f t="shared" si="31"/>
        <v>0.70198675496688745</v>
      </c>
      <c r="AZ129" s="77" t="str">
        <f t="shared" si="32"/>
        <v>5,0 ≤ Alc. Bruta &lt; 7,5 mg/L</v>
      </c>
      <c r="BA129" s="77" t="str">
        <f t="shared" si="33"/>
        <v>5 ≤ Cor &lt; 10 uC</v>
      </c>
      <c r="BB129" s="78" t="str">
        <f t="shared" si="34"/>
        <v>Turbidez &lt; 2,5 uT</v>
      </c>
      <c r="BC129" s="79" t="str">
        <f t="shared" si="35"/>
        <v>SM &gt; TOR &gt; BNN</v>
      </c>
      <c r="BD129" s="78" t="str">
        <f t="shared" si="36"/>
        <v>Tipo 4 (&gt;0,75) uT</v>
      </c>
      <c r="BE129" s="78" t="str">
        <f t="shared" si="37"/>
        <v>Tipo 1 (≤0,25) uT</v>
      </c>
      <c r="BF129" s="78" t="str">
        <f t="shared" si="38"/>
        <v>Tipo 2 (0,25-0,50) uT</v>
      </c>
      <c r="BG129" s="78" t="str">
        <f t="shared" si="39"/>
        <v>Tipo 4 (&gt;0,75) uT</v>
      </c>
      <c r="BH129" s="78" t="str">
        <f t="shared" si="40"/>
        <v>Tipo 2 (0,25-0,50) uT</v>
      </c>
    </row>
    <row r="130" spans="1:60" x14ac:dyDescent="0.2">
      <c r="A130" s="31">
        <v>46272</v>
      </c>
      <c r="B130" s="80">
        <v>0.89583333333333337</v>
      </c>
      <c r="C130" s="57">
        <v>540</v>
      </c>
      <c r="D130" s="57">
        <v>760</v>
      </c>
      <c r="E130" s="57">
        <v>0</v>
      </c>
      <c r="F130" s="57">
        <v>1330</v>
      </c>
      <c r="G130" s="85" t="s">
        <v>78</v>
      </c>
      <c r="H130" s="63">
        <v>11</v>
      </c>
      <c r="I130" s="57">
        <v>113</v>
      </c>
      <c r="J130" s="57">
        <v>90</v>
      </c>
      <c r="K130" s="57">
        <v>90</v>
      </c>
      <c r="L130" s="57">
        <v>90</v>
      </c>
      <c r="M130" s="57">
        <v>23.6</v>
      </c>
      <c r="N130" s="63">
        <v>6.5</v>
      </c>
      <c r="O130" s="36">
        <v>1.3</v>
      </c>
      <c r="P130" s="57">
        <v>8</v>
      </c>
      <c r="Q130" s="63">
        <v>4.9000000000000004</v>
      </c>
      <c r="R130" s="36">
        <v>0.6</v>
      </c>
      <c r="S130" s="36">
        <v>22.36</v>
      </c>
      <c r="T130" s="36">
        <v>0.88</v>
      </c>
      <c r="U130" s="36">
        <v>0.7</v>
      </c>
      <c r="V130" s="42">
        <f t="shared" si="41"/>
        <v>1462.9999999999998</v>
      </c>
      <c r="W130" s="42">
        <f t="shared" si="42"/>
        <v>1291.8176960000001</v>
      </c>
      <c r="X130" s="42">
        <f t="shared" si="43"/>
        <v>0.88299227341079989</v>
      </c>
      <c r="Y130" s="57">
        <v>1</v>
      </c>
      <c r="Z130" s="57">
        <v>3</v>
      </c>
      <c r="AA130" s="63">
        <v>6.5</v>
      </c>
      <c r="AB130" s="57">
        <v>16</v>
      </c>
      <c r="AC130" s="63">
        <v>5.9</v>
      </c>
      <c r="AD130" s="63">
        <v>2.6</v>
      </c>
      <c r="AE130" s="36">
        <v>0.13</v>
      </c>
      <c r="AF130" s="36">
        <v>0.7</v>
      </c>
      <c r="AG130" s="42">
        <f t="shared" ref="AG130:AG193" si="46">(O130+0.3*H130+2)*(F130/2/AK130)</f>
        <v>2194.5</v>
      </c>
      <c r="AH130" s="42">
        <f t="shared" si="44"/>
        <v>1863.9799099999998</v>
      </c>
      <c r="AI130" s="42">
        <f t="shared" si="45"/>
        <v>0.84938706311232615</v>
      </c>
      <c r="AJ130" s="57">
        <v>2</v>
      </c>
      <c r="AK130" s="57">
        <v>2</v>
      </c>
      <c r="AL130" s="63">
        <v>6.1</v>
      </c>
      <c r="AM130" s="57">
        <v>25</v>
      </c>
      <c r="AN130" s="63">
        <v>5.9</v>
      </c>
      <c r="AO130" s="63">
        <v>3.1</v>
      </c>
      <c r="AP130" s="36">
        <v>0.11</v>
      </c>
      <c r="AQ130" s="36">
        <v>0.6</v>
      </c>
      <c r="AR130" s="73">
        <f t="shared" ref="AR130:AR193" si="47">SUM(C130:E130)</f>
        <v>1300</v>
      </c>
      <c r="AS130" s="75">
        <f t="shared" ref="AS130:AS193" si="48">C130/AR130</f>
        <v>0.41538461538461541</v>
      </c>
      <c r="AT130" s="75">
        <f t="shared" ref="AT130:AT193" si="49">D130/AR130</f>
        <v>0.58461538461538465</v>
      </c>
      <c r="AU130" s="75">
        <f t="shared" ref="AU130:AU193" si="50">E130/AR130</f>
        <v>0</v>
      </c>
      <c r="AV130" s="26">
        <f t="shared" ref="AV130:AV193" si="51">IF(AND(F130&lt;&gt;"",Z130&lt;&gt;""),AB130/(F130/2/Z130),"")</f>
        <v>7.2180451127819553E-2</v>
      </c>
      <c r="AW130" s="26">
        <f t="shared" ref="AW130:AW193" si="52">IF(AND(F130&lt;&gt;"",AK130&lt;&gt;""),AM130/(F130/2/AK130),"")</f>
        <v>7.5187969924812026E-2</v>
      </c>
      <c r="AX130" s="24">
        <f t="shared" ref="AX130:AX193" si="53">IF(AND(AQ130&lt;&gt;"",1-(AQ130/O130)&gt;0),1-(AQ130/O130),"")</f>
        <v>0.53846153846153855</v>
      </c>
      <c r="AY130" s="24">
        <f t="shared" ref="AY130:AY193" si="54">IF(AND(AF130&lt;&gt;"",1-(AF130/O130)&gt;0),1-(AF130/O130),"")</f>
        <v>0.46153846153846156</v>
      </c>
      <c r="AZ130" s="77" t="str">
        <f t="shared" ref="AZ130:AZ193" si="55">IF(Q130="","",IF(Q130&lt;2.5,"Alc. Bruta &lt; 2,5 mg/L",IF(Q130&lt;5,"2,5 ≤ Alc. Bruta &lt; 5,0 mg/L",IF(Q130&lt;7.5,"5,0 ≤ Alc. Bruta &lt; 7,5 mg/L",IF(Q130&lt;10,"7,5 ≤ Alc. Bruta &lt; 10,0 mg/L",IF(Q130&lt;15,"10,0 ≤ Alca. Bruta &lt; 15,0 mg/L","Alc. Bruta &gt; 15 mg/L"))))))</f>
        <v>2,5 ≤ Alc. Bruta &lt; 5,0 mg/L</v>
      </c>
      <c r="BA130" s="77" t="str">
        <f t="shared" ref="BA130:BA193" si="56">IF(P130="","",IF(P130&lt;5,"Cor &lt;5 uC",IF(P130&lt;10,"5 ≤ Cor &lt; 10 uC",IF(P130&lt;15,"10 ≤ Cor &lt;15 uC",IF(P130&lt;30,"15 ≤ Cor &lt; 30 uC",IF(P130&lt;50,"30 ≤ Cor &lt; 50 uC","Cor &gt; 50 uC"))))))</f>
        <v>5 ≤ Cor &lt; 10 uC</v>
      </c>
      <c r="BB130" s="78" t="str">
        <f t="shared" ref="BB130:BB193" si="57">IF(O130="","",IF(O130&lt;2.5,"Turbidez &lt; 2,5 uT",IF(O130&lt;5,"2,5 ≤ Turb &lt; 5,0 uT",IF(O130&lt;7.5,"5,0 ≤ Turb &lt; 7,5 uT",IF(O130&lt;10,"7,5 ≤ Turb &lt; 10,0 uT",IF(O130&lt;15,"10,0 ≤ Turb &lt; 15,0 uT","Turb &gt; 15 uT"))))))</f>
        <v>Turbidez &lt; 2,5 uT</v>
      </c>
      <c r="BC130" s="79" t="str">
        <f t="shared" ref="BC130:BC193" si="58">IF(AND(C130&gt;D130,D130&gt;E130),"TOR &gt; SM &gt; BNN",IF(AND(C130&gt;E130,E130&gt;D130),"TOR &gt; BNN &gt; SM",IF(AND(D130&gt;C130,C130&gt;E130),"SM &gt; TOR &gt; BNN",IF(AND(D130&gt;E130,E130&gt;C130),"SM &gt; BNN &gt; TOR",IF(AND(C130=D130,D130=E130),"TOR = SM = BNN","Comb. diferentes")))))</f>
        <v>SM &gt; TOR &gt; BNN</v>
      </c>
      <c r="BD130" s="78" t="str">
        <f t="shared" ref="BD130:BD193" si="59">IF(OR(AE130="",AQ130="-"),"",IF(AE130&lt;=0.25,"Tipo 1 (≤0,25) uT",IF(AE130&lt;=0.5,"Tipo 2 (0,25-0,50) uT",IF(AE130&lt;=0.75,"Tipo 3 (0,50-0,75) uT","Tipo 4 (&gt;0,75) uT"))))</f>
        <v>Tipo 1 (≤0,25) uT</v>
      </c>
      <c r="BE130" s="78" t="str">
        <f t="shared" ref="BE130:BE193" si="60">IF(OR(AP130="",AZ130="-"),"",IF(AP130&lt;=0.25,"Tipo 1 (≤0,25) uT",IF(AP130&lt;=0.5,"Tipo 2 (0,25-0,50) uT",IF(AP130&lt;=0.75,"Tipo 3 (0,50-0,75) uT","Tipo 4 (&gt;0,75) uT"))))</f>
        <v>Tipo 1 (≤0,25) uT</v>
      </c>
      <c r="BF130" s="78" t="str">
        <f t="shared" ref="BF130:BF193" si="61">IF(OR(AF130="",AQ130="-"),"",IF(AF130&lt;=0.25,"Tipo 1 (≤0,25) uT",IF(AF130&lt;=0.5,"Tipo 2 (0,25-0,50) uT",IF(AF130&lt;=0.75,"Tipo 3 (0,50-0,75) uT","Tipo 4 (&gt;0,75) uT"))))</f>
        <v>Tipo 3 (0,50-0,75) uT</v>
      </c>
      <c r="BG130" s="78" t="str">
        <f t="shared" ref="BG130:BG193" si="62">IF(OR(AQ130="",AQ130="-"),"",IF(AQ130&lt;=0.25,"Tipo 1 (≤0,25) uT",IF(AQ130&lt;=0.5,"Tipo 2 (0,25-0,50) uT",IF(AQ130&lt;=0.75,"Tipo 3 (0,50-0,75) uT","Tipo 4 (&gt;0,75) uT"))))</f>
        <v>Tipo 3 (0,50-0,75) uT</v>
      </c>
      <c r="BH130" s="78" t="str">
        <f t="shared" ref="BH130:BH193" si="63">IF(OR(R130="",R130="-"),"",IF(R130&lt;=0.25,"Tipo 1 (≤0,25) uT",IF(R130&lt;=0.5,"Tipo 2 (0,25-0,50) uT",IF(R130&lt;=0.75,"Tipo 3 (0,50-0,75) uT","Tipo 4 (&gt;0,75) uT"))))</f>
        <v>Tipo 3 (0,50-0,75) uT</v>
      </c>
    </row>
    <row r="131" spans="1:60" x14ac:dyDescent="0.2">
      <c r="A131" s="31">
        <v>46272</v>
      </c>
      <c r="B131" s="80">
        <v>0.97916666666666663</v>
      </c>
      <c r="C131" s="57">
        <v>510</v>
      </c>
      <c r="D131" s="57">
        <v>1400</v>
      </c>
      <c r="E131" s="57">
        <v>0</v>
      </c>
      <c r="F131" s="57">
        <v>1949</v>
      </c>
      <c r="G131" s="85" t="s">
        <v>78</v>
      </c>
      <c r="H131" s="63">
        <v>10.8</v>
      </c>
      <c r="I131" s="57">
        <v>113</v>
      </c>
      <c r="J131" s="57">
        <v>90</v>
      </c>
      <c r="K131" s="57">
        <v>90</v>
      </c>
      <c r="L131" s="57">
        <v>90</v>
      </c>
      <c r="M131" s="57">
        <v>23.5</v>
      </c>
      <c r="N131" s="63">
        <v>6.5</v>
      </c>
      <c r="O131" s="36">
        <v>1.39</v>
      </c>
      <c r="P131" s="57">
        <v>8</v>
      </c>
      <c r="Q131" s="63">
        <v>5.2</v>
      </c>
      <c r="R131" s="36">
        <v>0.28999999999999998</v>
      </c>
      <c r="S131" s="36">
        <v>22.36</v>
      </c>
      <c r="T131" s="36">
        <v>0.88</v>
      </c>
      <c r="U131" s="36">
        <v>0.7</v>
      </c>
      <c r="V131" s="42">
        <f t="shared" ref="V131:V194" si="64">(O131+0.3*H131+2)*(F131/2/Z131)</f>
        <v>1615.2337499999999</v>
      </c>
      <c r="W131" s="42">
        <f t="shared" ref="W131:W194" si="65">S131*(U131*AA131*0.987-T131)*AB131</f>
        <v>1372.556302</v>
      </c>
      <c r="X131" s="42">
        <f t="shared" ref="X131:X194" si="66">W131/V131</f>
        <v>0.84975707200273654</v>
      </c>
      <c r="Y131" s="57">
        <v>3</v>
      </c>
      <c r="Z131" s="57">
        <v>4</v>
      </c>
      <c r="AA131" s="63">
        <v>6.5</v>
      </c>
      <c r="AB131" s="57">
        <v>17</v>
      </c>
      <c r="AC131" s="63">
        <v>5.7</v>
      </c>
      <c r="AD131" s="63">
        <v>3.1</v>
      </c>
      <c r="AE131" s="36">
        <v>0.12</v>
      </c>
      <c r="AF131" s="36">
        <v>0.41</v>
      </c>
      <c r="AG131" s="42">
        <f t="shared" si="46"/>
        <v>2153.645</v>
      </c>
      <c r="AH131" s="42">
        <f t="shared" ref="AH131:AH194" si="67">S131*(U131*AL131*0.987-T131)*AM131</f>
        <v>1785.9247275999996</v>
      </c>
      <c r="AI131" s="42">
        <f t="shared" ref="AI131:AI194" si="68">AH131/AG131</f>
        <v>0.82925678447469275</v>
      </c>
      <c r="AJ131" s="57">
        <v>2</v>
      </c>
      <c r="AK131" s="57">
        <v>3</v>
      </c>
      <c r="AL131" s="63">
        <v>6.3</v>
      </c>
      <c r="AM131" s="57">
        <v>23</v>
      </c>
      <c r="AN131" s="63">
        <v>5.6</v>
      </c>
      <c r="AO131" s="63">
        <v>3.3</v>
      </c>
      <c r="AP131" s="36">
        <v>0.1</v>
      </c>
      <c r="AQ131" s="36">
        <v>0.43</v>
      </c>
      <c r="AR131" s="73">
        <f t="shared" si="47"/>
        <v>1910</v>
      </c>
      <c r="AS131" s="75">
        <f t="shared" si="48"/>
        <v>0.26701570680628273</v>
      </c>
      <c r="AT131" s="75">
        <f t="shared" si="49"/>
        <v>0.73298429319371727</v>
      </c>
      <c r="AU131" s="75">
        <f t="shared" si="50"/>
        <v>0</v>
      </c>
      <c r="AV131" s="26">
        <f t="shared" si="51"/>
        <v>6.9779374037968189E-2</v>
      </c>
      <c r="AW131" s="26">
        <f t="shared" si="52"/>
        <v>7.0805541303232425E-2</v>
      </c>
      <c r="AX131" s="24">
        <f t="shared" si="53"/>
        <v>0.69064748201438841</v>
      </c>
      <c r="AY131" s="24">
        <f t="shared" si="54"/>
        <v>0.70503597122302164</v>
      </c>
      <c r="AZ131" s="77" t="str">
        <f t="shared" si="55"/>
        <v>5,0 ≤ Alc. Bruta &lt; 7,5 mg/L</v>
      </c>
      <c r="BA131" s="77" t="str">
        <f t="shared" si="56"/>
        <v>5 ≤ Cor &lt; 10 uC</v>
      </c>
      <c r="BB131" s="78" t="str">
        <f t="shared" si="57"/>
        <v>Turbidez &lt; 2,5 uT</v>
      </c>
      <c r="BC131" s="79" t="str">
        <f t="shared" si="58"/>
        <v>SM &gt; TOR &gt; BNN</v>
      </c>
      <c r="BD131" s="78" t="str">
        <f t="shared" si="59"/>
        <v>Tipo 1 (≤0,25) uT</v>
      </c>
      <c r="BE131" s="78" t="str">
        <f t="shared" si="60"/>
        <v>Tipo 1 (≤0,25) uT</v>
      </c>
      <c r="BF131" s="78" t="str">
        <f t="shared" si="61"/>
        <v>Tipo 2 (0,25-0,50) uT</v>
      </c>
      <c r="BG131" s="78" t="str">
        <f t="shared" si="62"/>
        <v>Tipo 2 (0,25-0,50) uT</v>
      </c>
      <c r="BH131" s="78" t="str">
        <f t="shared" si="63"/>
        <v>Tipo 2 (0,25-0,50) uT</v>
      </c>
    </row>
    <row r="132" spans="1:60" x14ac:dyDescent="0.2">
      <c r="A132" s="31">
        <v>46273</v>
      </c>
      <c r="B132" s="80">
        <v>0.14583333333333334</v>
      </c>
      <c r="C132" s="57">
        <v>490</v>
      </c>
      <c r="D132" s="57">
        <v>1526</v>
      </c>
      <c r="E132" s="57">
        <v>0</v>
      </c>
      <c r="F132" s="57">
        <v>2100</v>
      </c>
      <c r="G132" s="85" t="s">
        <v>78</v>
      </c>
      <c r="H132" s="63">
        <v>10.8</v>
      </c>
      <c r="I132" s="57">
        <v>114</v>
      </c>
      <c r="J132" s="57">
        <v>90</v>
      </c>
      <c r="K132" s="57">
        <v>90</v>
      </c>
      <c r="L132" s="57">
        <v>90</v>
      </c>
      <c r="M132" s="57">
        <v>23</v>
      </c>
      <c r="N132" s="63">
        <v>6.2</v>
      </c>
      <c r="O132" s="36">
        <v>1.08</v>
      </c>
      <c r="P132" s="57">
        <v>7</v>
      </c>
      <c r="Q132" s="63">
        <v>4.0999999999999996</v>
      </c>
      <c r="R132" s="36">
        <v>0.1</v>
      </c>
      <c r="S132" s="36">
        <v>22.36</v>
      </c>
      <c r="T132" s="36">
        <v>0.88</v>
      </c>
      <c r="U132" s="36">
        <v>0.7</v>
      </c>
      <c r="V132" s="42">
        <f t="shared" si="64"/>
        <v>1659</v>
      </c>
      <c r="W132" s="42">
        <f t="shared" si="65"/>
        <v>1372.556302</v>
      </c>
      <c r="X132" s="42">
        <f t="shared" si="66"/>
        <v>0.82733954309825197</v>
      </c>
      <c r="Y132" s="57">
        <v>3</v>
      </c>
      <c r="Z132" s="57">
        <v>4</v>
      </c>
      <c r="AA132" s="63">
        <v>6.5</v>
      </c>
      <c r="AB132" s="57">
        <v>17</v>
      </c>
      <c r="AC132" s="63">
        <v>5.4</v>
      </c>
      <c r="AD132" s="63">
        <v>2</v>
      </c>
      <c r="AE132" s="36">
        <v>0.13</v>
      </c>
      <c r="AF132" s="36">
        <v>0.28000000000000003</v>
      </c>
      <c r="AG132" s="42">
        <f t="shared" si="46"/>
        <v>1659</v>
      </c>
      <c r="AH132" s="42">
        <f t="shared" si="67"/>
        <v>1785.9247275999996</v>
      </c>
      <c r="AI132" s="42">
        <f t="shared" si="68"/>
        <v>1.0765067676913802</v>
      </c>
      <c r="AJ132" s="57">
        <v>3</v>
      </c>
      <c r="AK132" s="57">
        <v>4</v>
      </c>
      <c r="AL132" s="63">
        <v>6.3</v>
      </c>
      <c r="AM132" s="57">
        <v>23</v>
      </c>
      <c r="AN132" s="63">
        <v>5.4</v>
      </c>
      <c r="AO132" s="63">
        <v>2.2999999999999998</v>
      </c>
      <c r="AP132" s="36">
        <v>0.12</v>
      </c>
      <c r="AQ132" s="36">
        <v>0.2</v>
      </c>
      <c r="AR132" s="73">
        <f t="shared" si="47"/>
        <v>2016</v>
      </c>
      <c r="AS132" s="75">
        <f t="shared" si="48"/>
        <v>0.24305555555555555</v>
      </c>
      <c r="AT132" s="75">
        <f t="shared" si="49"/>
        <v>0.75694444444444442</v>
      </c>
      <c r="AU132" s="75">
        <f t="shared" si="50"/>
        <v>0</v>
      </c>
      <c r="AV132" s="26">
        <f t="shared" si="51"/>
        <v>6.4761904761904757E-2</v>
      </c>
      <c r="AW132" s="26">
        <f t="shared" si="52"/>
        <v>8.7619047619047624E-2</v>
      </c>
      <c r="AX132" s="24">
        <f t="shared" si="53"/>
        <v>0.81481481481481488</v>
      </c>
      <c r="AY132" s="24">
        <f t="shared" si="54"/>
        <v>0.7407407407407407</v>
      </c>
      <c r="AZ132" s="77" t="str">
        <f t="shared" si="55"/>
        <v>2,5 ≤ Alc. Bruta &lt; 5,0 mg/L</v>
      </c>
      <c r="BA132" s="77" t="str">
        <f t="shared" si="56"/>
        <v>5 ≤ Cor &lt; 10 uC</v>
      </c>
      <c r="BB132" s="78" t="str">
        <f t="shared" si="57"/>
        <v>Turbidez &lt; 2,5 uT</v>
      </c>
      <c r="BC132" s="79" t="str">
        <f t="shared" si="58"/>
        <v>SM &gt; TOR &gt; BNN</v>
      </c>
      <c r="BD132" s="78" t="str">
        <f t="shared" si="59"/>
        <v>Tipo 1 (≤0,25) uT</v>
      </c>
      <c r="BE132" s="78" t="str">
        <f t="shared" si="60"/>
        <v>Tipo 1 (≤0,25) uT</v>
      </c>
      <c r="BF132" s="78" t="str">
        <f t="shared" si="61"/>
        <v>Tipo 2 (0,25-0,50) uT</v>
      </c>
      <c r="BG132" s="78" t="str">
        <f t="shared" si="62"/>
        <v>Tipo 1 (≤0,25) uT</v>
      </c>
      <c r="BH132" s="78" t="str">
        <f t="shared" si="63"/>
        <v>Tipo 1 (≤0,25) uT</v>
      </c>
    </row>
    <row r="133" spans="1:60" ht="15.75" thickBot="1" x14ac:dyDescent="0.25">
      <c r="A133" s="32">
        <v>46273</v>
      </c>
      <c r="B133" s="81">
        <v>0.22916666666666666</v>
      </c>
      <c r="C133" s="58">
        <v>503</v>
      </c>
      <c r="D133" s="58">
        <v>1630</v>
      </c>
      <c r="E133" s="58">
        <v>0</v>
      </c>
      <c r="F133" s="58">
        <v>2070</v>
      </c>
      <c r="G133" s="86" t="s">
        <v>78</v>
      </c>
      <c r="H133" s="64">
        <v>10.8</v>
      </c>
      <c r="I133" s="58">
        <v>115</v>
      </c>
      <c r="J133" s="58">
        <v>90</v>
      </c>
      <c r="K133" s="58">
        <v>90</v>
      </c>
      <c r="L133" s="58">
        <v>90</v>
      </c>
      <c r="M133" s="58">
        <v>22.7</v>
      </c>
      <c r="N133" s="64">
        <v>6.3</v>
      </c>
      <c r="O133" s="37">
        <v>1.04</v>
      </c>
      <c r="P133" s="58">
        <v>6</v>
      </c>
      <c r="Q133" s="64">
        <v>4.0999999999999996</v>
      </c>
      <c r="R133" s="37">
        <v>0.32</v>
      </c>
      <c r="S133" s="36">
        <v>22.36</v>
      </c>
      <c r="T133" s="36">
        <v>0.88</v>
      </c>
      <c r="U133" s="36">
        <v>0.7</v>
      </c>
      <c r="V133" s="42">
        <f t="shared" si="64"/>
        <v>1624.95</v>
      </c>
      <c r="W133" s="42">
        <f t="shared" si="65"/>
        <v>1372.556302</v>
      </c>
      <c r="X133" s="42">
        <f t="shared" si="66"/>
        <v>0.84467602203144709</v>
      </c>
      <c r="Y133" s="58">
        <v>3</v>
      </c>
      <c r="Z133" s="58">
        <v>4</v>
      </c>
      <c r="AA133" s="64">
        <v>6.5</v>
      </c>
      <c r="AB133" s="58">
        <v>17</v>
      </c>
      <c r="AC133" s="64">
        <v>5.4</v>
      </c>
      <c r="AD133" s="64">
        <v>2.6</v>
      </c>
      <c r="AE133" s="37">
        <v>0.1</v>
      </c>
      <c r="AF133" s="37">
        <v>0.27</v>
      </c>
      <c r="AG133" s="42">
        <f t="shared" si="46"/>
        <v>1624.95</v>
      </c>
      <c r="AH133" s="42">
        <f t="shared" si="67"/>
        <v>1785.9247275999996</v>
      </c>
      <c r="AI133" s="42">
        <f t="shared" si="68"/>
        <v>1.0990644189667371</v>
      </c>
      <c r="AJ133" s="58">
        <v>3</v>
      </c>
      <c r="AK133" s="58">
        <v>4</v>
      </c>
      <c r="AL133" s="64">
        <v>6.3</v>
      </c>
      <c r="AM133" s="58">
        <v>23</v>
      </c>
      <c r="AN133" s="64">
        <v>5.5</v>
      </c>
      <c r="AO133" s="64">
        <v>2.2999999999999998</v>
      </c>
      <c r="AP133" s="37">
        <v>0.09</v>
      </c>
      <c r="AQ133" s="37">
        <v>0.3</v>
      </c>
      <c r="AR133" s="73">
        <f t="shared" si="47"/>
        <v>2133</v>
      </c>
      <c r="AS133" s="75">
        <f t="shared" si="48"/>
        <v>0.23581809657759026</v>
      </c>
      <c r="AT133" s="75">
        <f t="shared" si="49"/>
        <v>0.76418190342240977</v>
      </c>
      <c r="AU133" s="75">
        <f t="shared" si="50"/>
        <v>0</v>
      </c>
      <c r="AV133" s="26">
        <f t="shared" si="51"/>
        <v>6.5700483091787443E-2</v>
      </c>
      <c r="AW133" s="26">
        <f t="shared" si="52"/>
        <v>8.8888888888888892E-2</v>
      </c>
      <c r="AX133" s="24">
        <f t="shared" si="53"/>
        <v>0.71153846153846156</v>
      </c>
      <c r="AY133" s="24">
        <f t="shared" si="54"/>
        <v>0.74038461538461542</v>
      </c>
      <c r="AZ133" s="77" t="str">
        <f t="shared" si="55"/>
        <v>2,5 ≤ Alc. Bruta &lt; 5,0 mg/L</v>
      </c>
      <c r="BA133" s="77" t="str">
        <f t="shared" si="56"/>
        <v>5 ≤ Cor &lt; 10 uC</v>
      </c>
      <c r="BB133" s="78" t="str">
        <f t="shared" si="57"/>
        <v>Turbidez &lt; 2,5 uT</v>
      </c>
      <c r="BC133" s="79" t="str">
        <f t="shared" si="58"/>
        <v>SM &gt; TOR &gt; BNN</v>
      </c>
      <c r="BD133" s="78" t="str">
        <f t="shared" si="59"/>
        <v>Tipo 1 (≤0,25) uT</v>
      </c>
      <c r="BE133" s="78" t="str">
        <f t="shared" si="60"/>
        <v>Tipo 1 (≤0,25) uT</v>
      </c>
      <c r="BF133" s="78" t="str">
        <f t="shared" si="61"/>
        <v>Tipo 2 (0,25-0,50) uT</v>
      </c>
      <c r="BG133" s="78" t="str">
        <f t="shared" si="62"/>
        <v>Tipo 2 (0,25-0,50) uT</v>
      </c>
      <c r="BH133" s="78" t="str">
        <f t="shared" si="63"/>
        <v>Tipo 2 (0,25-0,50) uT</v>
      </c>
    </row>
    <row r="134" spans="1:60" x14ac:dyDescent="0.2">
      <c r="A134" s="30">
        <v>46273</v>
      </c>
      <c r="B134" s="82">
        <v>0.3125</v>
      </c>
      <c r="C134" s="59">
        <v>524</v>
      </c>
      <c r="D134" s="59">
        <v>1520</v>
      </c>
      <c r="E134" s="59">
        <v>0</v>
      </c>
      <c r="F134" s="59">
        <v>2072</v>
      </c>
      <c r="G134" s="87" t="s">
        <v>78</v>
      </c>
      <c r="H134" s="65">
        <v>11</v>
      </c>
      <c r="I134" s="59">
        <v>104</v>
      </c>
      <c r="J134" s="59">
        <v>90</v>
      </c>
      <c r="K134" s="59">
        <v>90</v>
      </c>
      <c r="L134" s="59">
        <v>90</v>
      </c>
      <c r="M134" s="59">
        <v>22.5</v>
      </c>
      <c r="N134" s="65">
        <v>6.1</v>
      </c>
      <c r="O134" s="38">
        <v>1.0900000000000001</v>
      </c>
      <c r="P134" s="59">
        <v>7</v>
      </c>
      <c r="Q134" s="65">
        <v>4.5999999999999996</v>
      </c>
      <c r="R134" s="38">
        <v>0.14000000000000001</v>
      </c>
      <c r="S134" s="36">
        <v>22.36</v>
      </c>
      <c r="T134" s="36">
        <v>0.88</v>
      </c>
      <c r="U134" s="36">
        <v>0.7</v>
      </c>
      <c r="V134" s="42">
        <f t="shared" si="64"/>
        <v>1655.01</v>
      </c>
      <c r="W134" s="42">
        <f t="shared" si="65"/>
        <v>1377.8088001599995</v>
      </c>
      <c r="X134" s="42">
        <f t="shared" si="66"/>
        <v>0.83250783992845934</v>
      </c>
      <c r="Y134" s="59">
        <v>3</v>
      </c>
      <c r="Z134" s="59">
        <v>4</v>
      </c>
      <c r="AA134" s="65">
        <v>6.52</v>
      </c>
      <c r="AB134" s="59">
        <v>17</v>
      </c>
      <c r="AC134" s="65">
        <v>5.4</v>
      </c>
      <c r="AD134" s="65">
        <v>2.2000000000000002</v>
      </c>
      <c r="AE134" s="38">
        <v>0.18</v>
      </c>
      <c r="AF134" s="38">
        <v>0.24</v>
      </c>
      <c r="AG134" s="42">
        <f t="shared" si="46"/>
        <v>1655.01</v>
      </c>
      <c r="AH134" s="42">
        <f t="shared" si="67"/>
        <v>1711.67450168</v>
      </c>
      <c r="AI134" s="42">
        <f t="shared" si="68"/>
        <v>1.0342381627180501</v>
      </c>
      <c r="AJ134" s="59">
        <v>3</v>
      </c>
      <c r="AK134" s="59">
        <v>4</v>
      </c>
      <c r="AL134" s="65">
        <v>6.31</v>
      </c>
      <c r="AM134" s="59">
        <v>22</v>
      </c>
      <c r="AN134" s="65">
        <v>5.4</v>
      </c>
      <c r="AO134" s="65">
        <v>2.7</v>
      </c>
      <c r="AP134" s="38">
        <v>0.22</v>
      </c>
      <c r="AQ134" s="38">
        <v>0.2</v>
      </c>
      <c r="AR134" s="73">
        <f t="shared" si="47"/>
        <v>2044</v>
      </c>
      <c r="AS134" s="75">
        <f t="shared" si="48"/>
        <v>0.25636007827788648</v>
      </c>
      <c r="AT134" s="75">
        <f t="shared" si="49"/>
        <v>0.74363992172211346</v>
      </c>
      <c r="AU134" s="75">
        <f t="shared" si="50"/>
        <v>0</v>
      </c>
      <c r="AV134" s="26">
        <f t="shared" si="51"/>
        <v>6.5637065637065631E-2</v>
      </c>
      <c r="AW134" s="26">
        <f t="shared" si="52"/>
        <v>8.4942084942084939E-2</v>
      </c>
      <c r="AX134" s="24">
        <f t="shared" si="53"/>
        <v>0.8165137614678899</v>
      </c>
      <c r="AY134" s="24">
        <f t="shared" si="54"/>
        <v>0.77981651376146788</v>
      </c>
      <c r="AZ134" s="77" t="str">
        <f t="shared" si="55"/>
        <v>2,5 ≤ Alc. Bruta &lt; 5,0 mg/L</v>
      </c>
      <c r="BA134" s="77" t="str">
        <f t="shared" si="56"/>
        <v>5 ≤ Cor &lt; 10 uC</v>
      </c>
      <c r="BB134" s="78" t="str">
        <f t="shared" si="57"/>
        <v>Turbidez &lt; 2,5 uT</v>
      </c>
      <c r="BC134" s="79" t="str">
        <f t="shared" si="58"/>
        <v>SM &gt; TOR &gt; BNN</v>
      </c>
      <c r="BD134" s="78" t="str">
        <f t="shared" si="59"/>
        <v>Tipo 1 (≤0,25) uT</v>
      </c>
      <c r="BE134" s="78" t="str">
        <f t="shared" si="60"/>
        <v>Tipo 1 (≤0,25) uT</v>
      </c>
      <c r="BF134" s="78" t="str">
        <f t="shared" si="61"/>
        <v>Tipo 1 (≤0,25) uT</v>
      </c>
      <c r="BG134" s="78" t="str">
        <f t="shared" si="62"/>
        <v>Tipo 1 (≤0,25) uT</v>
      </c>
      <c r="BH134" s="78" t="str">
        <f t="shared" si="63"/>
        <v>Tipo 1 (≤0,25) uT</v>
      </c>
    </row>
    <row r="135" spans="1:60" x14ac:dyDescent="0.2">
      <c r="A135" s="31">
        <v>46273</v>
      </c>
      <c r="B135" s="80">
        <v>0.39583333333333331</v>
      </c>
      <c r="C135" s="57">
        <v>420</v>
      </c>
      <c r="D135" s="57">
        <v>1567</v>
      </c>
      <c r="E135" s="57">
        <v>0</v>
      </c>
      <c r="F135" s="57">
        <v>2072</v>
      </c>
      <c r="G135" s="85" t="s">
        <v>78</v>
      </c>
      <c r="H135" s="63">
        <v>11</v>
      </c>
      <c r="I135" s="57">
        <v>104</v>
      </c>
      <c r="J135" s="57">
        <v>90</v>
      </c>
      <c r="K135" s="57">
        <v>90</v>
      </c>
      <c r="L135" s="57">
        <v>90</v>
      </c>
      <c r="M135" s="57">
        <v>22.8</v>
      </c>
      <c r="N135" s="63">
        <v>6.2</v>
      </c>
      <c r="O135" s="36">
        <v>1.1599999999999999</v>
      </c>
      <c r="P135" s="57">
        <v>7</v>
      </c>
      <c r="Q135" s="63">
        <v>4.3</v>
      </c>
      <c r="R135" s="36">
        <v>0.12</v>
      </c>
      <c r="S135" s="36">
        <v>22.36</v>
      </c>
      <c r="T135" s="36">
        <v>0.88</v>
      </c>
      <c r="U135" s="36">
        <v>0.7</v>
      </c>
      <c r="V135" s="42">
        <f t="shared" si="64"/>
        <v>1673.14</v>
      </c>
      <c r="W135" s="42">
        <f t="shared" si="65"/>
        <v>1367.3038038399998</v>
      </c>
      <c r="X135" s="42">
        <f t="shared" si="66"/>
        <v>0.81720824547856108</v>
      </c>
      <c r="Y135" s="57">
        <v>3</v>
      </c>
      <c r="Z135" s="57">
        <v>4</v>
      </c>
      <c r="AA135" s="63">
        <v>6.48</v>
      </c>
      <c r="AB135" s="57">
        <v>17</v>
      </c>
      <c r="AC135" s="63">
        <v>5.6</v>
      </c>
      <c r="AD135" s="63">
        <v>3.1</v>
      </c>
      <c r="AE135" s="36">
        <v>0.19</v>
      </c>
      <c r="AF135" s="36">
        <v>0.24</v>
      </c>
      <c r="AG135" s="42">
        <f t="shared" si="46"/>
        <v>1673.14</v>
      </c>
      <c r="AH135" s="42">
        <f t="shared" si="67"/>
        <v>1800.1373696799999</v>
      </c>
      <c r="AI135" s="42">
        <f t="shared" si="68"/>
        <v>1.0759036121782994</v>
      </c>
      <c r="AJ135" s="57">
        <v>3</v>
      </c>
      <c r="AK135" s="57">
        <v>4</v>
      </c>
      <c r="AL135" s="63">
        <v>6.34</v>
      </c>
      <c r="AM135" s="57">
        <v>23</v>
      </c>
      <c r="AN135" s="63">
        <v>5.5</v>
      </c>
      <c r="AO135" s="63">
        <v>2.4</v>
      </c>
      <c r="AP135" s="36">
        <v>0.19</v>
      </c>
      <c r="AQ135" s="36">
        <v>0.24</v>
      </c>
      <c r="AR135" s="73">
        <f t="shared" si="47"/>
        <v>1987</v>
      </c>
      <c r="AS135" s="75">
        <f t="shared" si="48"/>
        <v>0.21137393054856568</v>
      </c>
      <c r="AT135" s="75">
        <f t="shared" si="49"/>
        <v>0.78862606945143432</v>
      </c>
      <c r="AU135" s="75">
        <f t="shared" si="50"/>
        <v>0</v>
      </c>
      <c r="AV135" s="26">
        <f t="shared" si="51"/>
        <v>6.5637065637065631E-2</v>
      </c>
      <c r="AW135" s="26">
        <f t="shared" si="52"/>
        <v>8.8803088803088806E-2</v>
      </c>
      <c r="AX135" s="24">
        <f t="shared" si="53"/>
        <v>0.7931034482758621</v>
      </c>
      <c r="AY135" s="24">
        <f t="shared" si="54"/>
        <v>0.7931034482758621</v>
      </c>
      <c r="AZ135" s="77" t="str">
        <f t="shared" si="55"/>
        <v>2,5 ≤ Alc. Bruta &lt; 5,0 mg/L</v>
      </c>
      <c r="BA135" s="77" t="str">
        <f t="shared" si="56"/>
        <v>5 ≤ Cor &lt; 10 uC</v>
      </c>
      <c r="BB135" s="78" t="str">
        <f t="shared" si="57"/>
        <v>Turbidez &lt; 2,5 uT</v>
      </c>
      <c r="BC135" s="79" t="str">
        <f t="shared" si="58"/>
        <v>SM &gt; TOR &gt; BNN</v>
      </c>
      <c r="BD135" s="78" t="str">
        <f t="shared" si="59"/>
        <v>Tipo 1 (≤0,25) uT</v>
      </c>
      <c r="BE135" s="78" t="str">
        <f t="shared" si="60"/>
        <v>Tipo 1 (≤0,25) uT</v>
      </c>
      <c r="BF135" s="78" t="str">
        <f t="shared" si="61"/>
        <v>Tipo 1 (≤0,25) uT</v>
      </c>
      <c r="BG135" s="78" t="str">
        <f t="shared" si="62"/>
        <v>Tipo 1 (≤0,25) uT</v>
      </c>
      <c r="BH135" s="78" t="str">
        <f t="shared" si="63"/>
        <v>Tipo 1 (≤0,25) uT</v>
      </c>
    </row>
    <row r="136" spans="1:60" x14ac:dyDescent="0.2">
      <c r="A136" s="31">
        <v>46273</v>
      </c>
      <c r="B136" s="80">
        <v>0.47916666666666669</v>
      </c>
      <c r="C136" s="57">
        <v>402</v>
      </c>
      <c r="D136" s="57">
        <v>1658</v>
      </c>
      <c r="E136" s="57">
        <v>0</v>
      </c>
      <c r="F136" s="57">
        <v>2044</v>
      </c>
      <c r="G136" s="85" t="s">
        <v>78</v>
      </c>
      <c r="H136" s="63">
        <v>11</v>
      </c>
      <c r="I136" s="57">
        <v>118</v>
      </c>
      <c r="J136" s="57">
        <v>90</v>
      </c>
      <c r="K136" s="57">
        <v>90</v>
      </c>
      <c r="L136" s="57">
        <v>90</v>
      </c>
      <c r="M136" s="57">
        <v>23.7</v>
      </c>
      <c r="N136" s="63">
        <v>6.2</v>
      </c>
      <c r="O136" s="36">
        <v>3.19</v>
      </c>
      <c r="P136" s="57">
        <v>15</v>
      </c>
      <c r="Q136" s="63">
        <v>4.9000000000000004</v>
      </c>
      <c r="R136" s="36">
        <v>0.1</v>
      </c>
      <c r="S136" s="36">
        <v>22.36</v>
      </c>
      <c r="T136" s="36">
        <v>0.88</v>
      </c>
      <c r="U136" s="36">
        <v>0.7</v>
      </c>
      <c r="V136" s="42">
        <f t="shared" si="64"/>
        <v>2169.1950000000002</v>
      </c>
      <c r="W136" s="42">
        <f t="shared" si="65"/>
        <v>1372.556302</v>
      </c>
      <c r="X136" s="42">
        <f t="shared" si="66"/>
        <v>0.63274915440981561</v>
      </c>
      <c r="Y136" s="57">
        <v>3</v>
      </c>
      <c r="Z136" s="57">
        <v>4</v>
      </c>
      <c r="AA136" s="63">
        <v>6.5</v>
      </c>
      <c r="AB136" s="57">
        <v>17</v>
      </c>
      <c r="AC136" s="63">
        <v>5.3</v>
      </c>
      <c r="AD136" s="63">
        <v>3.9</v>
      </c>
      <c r="AE136" s="36">
        <v>0.2</v>
      </c>
      <c r="AF136" s="36">
        <v>0.25</v>
      </c>
      <c r="AG136" s="42">
        <f t="shared" si="46"/>
        <v>2169.1950000000002</v>
      </c>
      <c r="AH136" s="42">
        <f t="shared" si="67"/>
        <v>1800.1373696799999</v>
      </c>
      <c r="AI136" s="42">
        <f t="shared" si="68"/>
        <v>0.82986424442246998</v>
      </c>
      <c r="AJ136" s="57">
        <v>3</v>
      </c>
      <c r="AK136" s="57">
        <v>4</v>
      </c>
      <c r="AL136" s="63">
        <v>6.34</v>
      </c>
      <c r="AM136" s="57">
        <v>23</v>
      </c>
      <c r="AN136" s="63">
        <v>5.5</v>
      </c>
      <c r="AO136" s="63">
        <v>2.5</v>
      </c>
      <c r="AP136" s="36">
        <v>0.12</v>
      </c>
      <c r="AQ136" s="36">
        <v>0.21</v>
      </c>
      <c r="AR136" s="73">
        <f t="shared" si="47"/>
        <v>2060</v>
      </c>
      <c r="AS136" s="75">
        <f t="shared" si="48"/>
        <v>0.19514563106796118</v>
      </c>
      <c r="AT136" s="75">
        <f t="shared" si="49"/>
        <v>0.80485436893203888</v>
      </c>
      <c r="AU136" s="75">
        <f t="shared" si="50"/>
        <v>0</v>
      </c>
      <c r="AV136" s="26">
        <f t="shared" si="51"/>
        <v>6.6536203522504889E-2</v>
      </c>
      <c r="AW136" s="26">
        <f t="shared" si="52"/>
        <v>9.0019569471624261E-2</v>
      </c>
      <c r="AX136" s="24">
        <f t="shared" si="53"/>
        <v>0.93416927899686519</v>
      </c>
      <c r="AY136" s="24">
        <f t="shared" si="54"/>
        <v>0.92163009404388718</v>
      </c>
      <c r="AZ136" s="77" t="str">
        <f t="shared" si="55"/>
        <v>2,5 ≤ Alc. Bruta &lt; 5,0 mg/L</v>
      </c>
      <c r="BA136" s="77" t="str">
        <f t="shared" si="56"/>
        <v>15 ≤ Cor &lt; 30 uC</v>
      </c>
      <c r="BB136" s="78" t="str">
        <f t="shared" si="57"/>
        <v>2,5 ≤ Turb &lt; 5,0 uT</v>
      </c>
      <c r="BC136" s="79" t="str">
        <f t="shared" si="58"/>
        <v>SM &gt; TOR &gt; BNN</v>
      </c>
      <c r="BD136" s="78" t="str">
        <f t="shared" si="59"/>
        <v>Tipo 1 (≤0,25) uT</v>
      </c>
      <c r="BE136" s="78" t="str">
        <f t="shared" si="60"/>
        <v>Tipo 1 (≤0,25) uT</v>
      </c>
      <c r="BF136" s="78" t="str">
        <f t="shared" si="61"/>
        <v>Tipo 1 (≤0,25) uT</v>
      </c>
      <c r="BG136" s="78" t="str">
        <f t="shared" si="62"/>
        <v>Tipo 1 (≤0,25) uT</v>
      </c>
      <c r="BH136" s="78" t="str">
        <f t="shared" si="63"/>
        <v>Tipo 1 (≤0,25) uT</v>
      </c>
    </row>
    <row r="137" spans="1:60" x14ac:dyDescent="0.2">
      <c r="A137" s="31">
        <v>46273</v>
      </c>
      <c r="B137" s="80">
        <v>0.72916666666666663</v>
      </c>
      <c r="C137" s="57">
        <v>406</v>
      </c>
      <c r="D137" s="57">
        <v>1494</v>
      </c>
      <c r="E137" s="57">
        <v>0</v>
      </c>
      <c r="F137" s="57">
        <v>1963</v>
      </c>
      <c r="G137" s="85" t="s">
        <v>78</v>
      </c>
      <c r="H137" s="63">
        <v>11</v>
      </c>
      <c r="I137" s="57">
        <v>54</v>
      </c>
      <c r="J137" s="57">
        <v>90</v>
      </c>
      <c r="K137" s="57">
        <v>90</v>
      </c>
      <c r="L137" s="57">
        <v>90</v>
      </c>
      <c r="M137" s="57">
        <v>25.1</v>
      </c>
      <c r="N137" s="63">
        <v>6.3</v>
      </c>
      <c r="O137" s="36">
        <v>1.19</v>
      </c>
      <c r="P137" s="57">
        <v>7</v>
      </c>
      <c r="Q137" s="63">
        <v>4.9000000000000004</v>
      </c>
      <c r="R137" s="36">
        <v>0.1</v>
      </c>
      <c r="S137" s="36">
        <v>22.36</v>
      </c>
      <c r="T137" s="36">
        <v>0.88</v>
      </c>
      <c r="U137" s="36">
        <v>0.7</v>
      </c>
      <c r="V137" s="42">
        <f t="shared" si="64"/>
        <v>1592.4837500000001</v>
      </c>
      <c r="W137" s="42">
        <f t="shared" si="65"/>
        <v>1377.8088001599995</v>
      </c>
      <c r="X137" s="42">
        <f t="shared" si="66"/>
        <v>0.86519488827436974</v>
      </c>
      <c r="Y137" s="57">
        <v>3</v>
      </c>
      <c r="Z137" s="57">
        <v>4</v>
      </c>
      <c r="AA137" s="63">
        <v>6.52</v>
      </c>
      <c r="AB137" s="57">
        <v>17</v>
      </c>
      <c r="AC137" s="63">
        <v>5.5</v>
      </c>
      <c r="AD137" s="63">
        <v>2.5</v>
      </c>
      <c r="AE137" s="36">
        <v>0.13</v>
      </c>
      <c r="AF137" s="36">
        <v>0.21</v>
      </c>
      <c r="AG137" s="42">
        <f t="shared" si="46"/>
        <v>1592.4837500000001</v>
      </c>
      <c r="AH137" s="42">
        <f t="shared" si="67"/>
        <v>1796.58420916</v>
      </c>
      <c r="AI137" s="42">
        <f t="shared" si="68"/>
        <v>1.1281648614373616</v>
      </c>
      <c r="AJ137" s="57">
        <v>3</v>
      </c>
      <c r="AK137" s="57">
        <v>4</v>
      </c>
      <c r="AL137" s="63">
        <v>6.33</v>
      </c>
      <c r="AM137" s="57">
        <v>23</v>
      </c>
      <c r="AN137" s="63">
        <v>5.5</v>
      </c>
      <c r="AO137" s="63">
        <v>2.7</v>
      </c>
      <c r="AP137" s="36">
        <v>0.12</v>
      </c>
      <c r="AQ137" s="36">
        <v>0.21</v>
      </c>
      <c r="AR137" s="73">
        <f t="shared" si="47"/>
        <v>1900</v>
      </c>
      <c r="AS137" s="75">
        <f t="shared" si="48"/>
        <v>0.21368421052631578</v>
      </c>
      <c r="AT137" s="75">
        <f t="shared" si="49"/>
        <v>0.78631578947368419</v>
      </c>
      <c r="AU137" s="75">
        <f t="shared" si="50"/>
        <v>0</v>
      </c>
      <c r="AV137" s="26">
        <f t="shared" si="51"/>
        <v>6.9281711665817633E-2</v>
      </c>
      <c r="AW137" s="26">
        <f t="shared" si="52"/>
        <v>9.3734080489047383E-2</v>
      </c>
      <c r="AX137" s="24">
        <f t="shared" si="53"/>
        <v>0.82352941176470584</v>
      </c>
      <c r="AY137" s="24">
        <f t="shared" si="54"/>
        <v>0.82352941176470584</v>
      </c>
      <c r="AZ137" s="77" t="str">
        <f t="shared" si="55"/>
        <v>2,5 ≤ Alc. Bruta &lt; 5,0 mg/L</v>
      </c>
      <c r="BA137" s="77" t="str">
        <f t="shared" si="56"/>
        <v>5 ≤ Cor &lt; 10 uC</v>
      </c>
      <c r="BB137" s="78" t="str">
        <f t="shared" si="57"/>
        <v>Turbidez &lt; 2,5 uT</v>
      </c>
      <c r="BC137" s="79" t="str">
        <f t="shared" si="58"/>
        <v>SM &gt; TOR &gt; BNN</v>
      </c>
      <c r="BD137" s="78" t="str">
        <f t="shared" si="59"/>
        <v>Tipo 1 (≤0,25) uT</v>
      </c>
      <c r="BE137" s="78" t="str">
        <f t="shared" si="60"/>
        <v>Tipo 1 (≤0,25) uT</v>
      </c>
      <c r="BF137" s="78" t="str">
        <f t="shared" si="61"/>
        <v>Tipo 1 (≤0,25) uT</v>
      </c>
      <c r="BG137" s="78" t="str">
        <f t="shared" si="62"/>
        <v>Tipo 1 (≤0,25) uT</v>
      </c>
      <c r="BH137" s="78" t="str">
        <f t="shared" si="63"/>
        <v>Tipo 1 (≤0,25) uT</v>
      </c>
    </row>
    <row r="138" spans="1:60" x14ac:dyDescent="0.2">
      <c r="A138" s="31">
        <v>46273</v>
      </c>
      <c r="B138" s="80">
        <v>0.8125</v>
      </c>
      <c r="C138" s="57">
        <v>419</v>
      </c>
      <c r="D138" s="57">
        <v>1514</v>
      </c>
      <c r="E138" s="57">
        <v>0</v>
      </c>
      <c r="F138" s="57">
        <v>2004</v>
      </c>
      <c r="G138" s="85" t="s">
        <v>78</v>
      </c>
      <c r="H138" s="63">
        <v>11</v>
      </c>
      <c r="I138" s="57">
        <v>48</v>
      </c>
      <c r="J138" s="57">
        <v>90</v>
      </c>
      <c r="K138" s="57">
        <v>90</v>
      </c>
      <c r="L138" s="57">
        <v>90</v>
      </c>
      <c r="M138" s="57">
        <v>25.4</v>
      </c>
      <c r="N138" s="63">
        <v>6.2</v>
      </c>
      <c r="O138" s="36">
        <v>1</v>
      </c>
      <c r="P138" s="57">
        <v>7</v>
      </c>
      <c r="Q138" s="63">
        <v>4.5999999999999996</v>
      </c>
      <c r="R138" s="36">
        <v>0.09</v>
      </c>
      <c r="S138" s="36">
        <v>22.36</v>
      </c>
      <c r="T138" s="36">
        <v>0.88</v>
      </c>
      <c r="U138" s="36">
        <v>0.7</v>
      </c>
      <c r="V138" s="42">
        <f t="shared" si="64"/>
        <v>1578.1499999999999</v>
      </c>
      <c r="W138" s="42">
        <f t="shared" si="65"/>
        <v>1372.556302</v>
      </c>
      <c r="X138" s="42">
        <f t="shared" si="66"/>
        <v>0.86972486899217438</v>
      </c>
      <c r="Y138" s="57">
        <v>3</v>
      </c>
      <c r="Z138" s="57">
        <v>4</v>
      </c>
      <c r="AA138" s="63">
        <v>6.5</v>
      </c>
      <c r="AB138" s="57">
        <v>17</v>
      </c>
      <c r="AC138" s="63">
        <v>5.5</v>
      </c>
      <c r="AD138" s="63">
        <v>2.8</v>
      </c>
      <c r="AE138" s="36">
        <v>0.1</v>
      </c>
      <c r="AF138" s="36">
        <v>0.15</v>
      </c>
      <c r="AG138" s="42">
        <f t="shared" si="46"/>
        <v>1578.1499999999999</v>
      </c>
      <c r="AH138" s="42">
        <f t="shared" si="67"/>
        <v>1821.4563327999999</v>
      </c>
      <c r="AI138" s="42">
        <f t="shared" si="68"/>
        <v>1.1541718675664545</v>
      </c>
      <c r="AJ138" s="57">
        <v>3</v>
      </c>
      <c r="AK138" s="57">
        <v>4</v>
      </c>
      <c r="AL138" s="63">
        <v>6.4</v>
      </c>
      <c r="AM138" s="57">
        <v>23</v>
      </c>
      <c r="AN138" s="63">
        <v>5.3</v>
      </c>
      <c r="AO138" s="63">
        <v>2.6</v>
      </c>
      <c r="AP138" s="36">
        <v>0.15</v>
      </c>
      <c r="AQ138" s="36">
        <v>0.21</v>
      </c>
      <c r="AR138" s="73">
        <f t="shared" si="47"/>
        <v>1933</v>
      </c>
      <c r="AS138" s="75">
        <f t="shared" si="48"/>
        <v>0.21676151060527676</v>
      </c>
      <c r="AT138" s="75">
        <f t="shared" si="49"/>
        <v>0.78323848939472318</v>
      </c>
      <c r="AU138" s="75">
        <f t="shared" si="50"/>
        <v>0</v>
      </c>
      <c r="AV138" s="26">
        <f t="shared" si="51"/>
        <v>6.7864271457085831E-2</v>
      </c>
      <c r="AW138" s="26">
        <f t="shared" si="52"/>
        <v>9.1816367265469059E-2</v>
      </c>
      <c r="AX138" s="24">
        <f t="shared" si="53"/>
        <v>0.79</v>
      </c>
      <c r="AY138" s="24">
        <f t="shared" si="54"/>
        <v>0.85</v>
      </c>
      <c r="AZ138" s="77" t="str">
        <f t="shared" si="55"/>
        <v>2,5 ≤ Alc. Bruta &lt; 5,0 mg/L</v>
      </c>
      <c r="BA138" s="77" t="str">
        <f t="shared" si="56"/>
        <v>5 ≤ Cor &lt; 10 uC</v>
      </c>
      <c r="BB138" s="78" t="str">
        <f t="shared" si="57"/>
        <v>Turbidez &lt; 2,5 uT</v>
      </c>
      <c r="BC138" s="79" t="str">
        <f t="shared" si="58"/>
        <v>SM &gt; TOR &gt; BNN</v>
      </c>
      <c r="BD138" s="78" t="str">
        <f t="shared" si="59"/>
        <v>Tipo 1 (≤0,25) uT</v>
      </c>
      <c r="BE138" s="78" t="str">
        <f t="shared" si="60"/>
        <v>Tipo 1 (≤0,25) uT</v>
      </c>
      <c r="BF138" s="78" t="str">
        <f t="shared" si="61"/>
        <v>Tipo 1 (≤0,25) uT</v>
      </c>
      <c r="BG138" s="78" t="str">
        <f t="shared" si="62"/>
        <v>Tipo 1 (≤0,25) uT</v>
      </c>
      <c r="BH138" s="78" t="str">
        <f t="shared" si="63"/>
        <v>Tipo 1 (≤0,25) uT</v>
      </c>
    </row>
    <row r="139" spans="1:60" x14ac:dyDescent="0.2">
      <c r="A139" s="31">
        <v>46273</v>
      </c>
      <c r="B139" s="80">
        <v>0.89583333333333337</v>
      </c>
      <c r="C139" s="57">
        <v>419</v>
      </c>
      <c r="D139" s="57">
        <v>1514</v>
      </c>
      <c r="E139" s="57">
        <v>0</v>
      </c>
      <c r="F139" s="57">
        <v>2004</v>
      </c>
      <c r="G139" s="85" t="s">
        <v>78</v>
      </c>
      <c r="H139" s="63">
        <v>11</v>
      </c>
      <c r="I139" s="57">
        <v>45</v>
      </c>
      <c r="J139" s="57">
        <v>90</v>
      </c>
      <c r="K139" s="57">
        <v>90</v>
      </c>
      <c r="L139" s="57">
        <v>90</v>
      </c>
      <c r="M139" s="57">
        <v>24.8</v>
      </c>
      <c r="N139" s="63">
        <v>6.3</v>
      </c>
      <c r="O139" s="36">
        <v>1.03</v>
      </c>
      <c r="P139" s="57">
        <v>7</v>
      </c>
      <c r="Q139" s="63">
        <v>5.0999999999999996</v>
      </c>
      <c r="R139" s="36">
        <v>0.1</v>
      </c>
      <c r="S139" s="36">
        <v>22.36</v>
      </c>
      <c r="T139" s="36">
        <v>0.88</v>
      </c>
      <c r="U139" s="36">
        <v>0.7</v>
      </c>
      <c r="V139" s="42">
        <f t="shared" si="64"/>
        <v>1585.665</v>
      </c>
      <c r="W139" s="42">
        <f t="shared" si="65"/>
        <v>1372.556302</v>
      </c>
      <c r="X139" s="42">
        <f t="shared" si="66"/>
        <v>0.8656029501817849</v>
      </c>
      <c r="Y139" s="57">
        <v>3</v>
      </c>
      <c r="Z139" s="57">
        <v>4</v>
      </c>
      <c r="AA139" s="63">
        <v>6.5</v>
      </c>
      <c r="AB139" s="57">
        <v>17</v>
      </c>
      <c r="AC139" s="63">
        <v>5.6</v>
      </c>
      <c r="AD139" s="63">
        <v>3.3</v>
      </c>
      <c r="AE139" s="36">
        <v>0.2</v>
      </c>
      <c r="AF139" s="36">
        <v>0.14000000000000001</v>
      </c>
      <c r="AG139" s="42">
        <f t="shared" si="46"/>
        <v>1585.665</v>
      </c>
      <c r="AH139" s="42">
        <f t="shared" si="67"/>
        <v>1821.4563327999999</v>
      </c>
      <c r="AI139" s="42">
        <f t="shared" si="68"/>
        <v>1.1487018587154285</v>
      </c>
      <c r="AJ139" s="57">
        <v>3</v>
      </c>
      <c r="AK139" s="57">
        <v>4</v>
      </c>
      <c r="AL139" s="63">
        <v>6.4</v>
      </c>
      <c r="AM139" s="57">
        <v>23</v>
      </c>
      <c r="AN139" s="63">
        <v>5.5</v>
      </c>
      <c r="AO139" s="63">
        <v>4.9000000000000004</v>
      </c>
      <c r="AP139" s="36">
        <v>0.17</v>
      </c>
      <c r="AQ139" s="36">
        <v>0.19</v>
      </c>
      <c r="AR139" s="73">
        <f t="shared" si="47"/>
        <v>1933</v>
      </c>
      <c r="AS139" s="75">
        <f t="shared" si="48"/>
        <v>0.21676151060527676</v>
      </c>
      <c r="AT139" s="75">
        <f t="shared" si="49"/>
        <v>0.78323848939472318</v>
      </c>
      <c r="AU139" s="75">
        <f t="shared" si="50"/>
        <v>0</v>
      </c>
      <c r="AV139" s="26">
        <f t="shared" si="51"/>
        <v>6.7864271457085831E-2</v>
      </c>
      <c r="AW139" s="26">
        <f t="shared" si="52"/>
        <v>9.1816367265469059E-2</v>
      </c>
      <c r="AX139" s="24">
        <f t="shared" si="53"/>
        <v>0.81553398058252424</v>
      </c>
      <c r="AY139" s="24">
        <f t="shared" si="54"/>
        <v>0.86407766990291257</v>
      </c>
      <c r="AZ139" s="77" t="str">
        <f t="shared" si="55"/>
        <v>5,0 ≤ Alc. Bruta &lt; 7,5 mg/L</v>
      </c>
      <c r="BA139" s="77" t="str">
        <f t="shared" si="56"/>
        <v>5 ≤ Cor &lt; 10 uC</v>
      </c>
      <c r="BB139" s="78" t="str">
        <f t="shared" si="57"/>
        <v>Turbidez &lt; 2,5 uT</v>
      </c>
      <c r="BC139" s="79" t="str">
        <f t="shared" si="58"/>
        <v>SM &gt; TOR &gt; BNN</v>
      </c>
      <c r="BD139" s="78" t="str">
        <f t="shared" si="59"/>
        <v>Tipo 1 (≤0,25) uT</v>
      </c>
      <c r="BE139" s="78" t="str">
        <f t="shared" si="60"/>
        <v>Tipo 1 (≤0,25) uT</v>
      </c>
      <c r="BF139" s="78" t="str">
        <f t="shared" si="61"/>
        <v>Tipo 1 (≤0,25) uT</v>
      </c>
      <c r="BG139" s="78" t="str">
        <f t="shared" si="62"/>
        <v>Tipo 1 (≤0,25) uT</v>
      </c>
      <c r="BH139" s="78" t="str">
        <f t="shared" si="63"/>
        <v>Tipo 1 (≤0,25) uT</v>
      </c>
    </row>
    <row r="140" spans="1:60" x14ac:dyDescent="0.2">
      <c r="A140" s="31">
        <v>46273</v>
      </c>
      <c r="B140" s="80">
        <v>0.97916666666666663</v>
      </c>
      <c r="C140" s="57">
        <v>350</v>
      </c>
      <c r="D140" s="57">
        <v>1647</v>
      </c>
      <c r="E140" s="57">
        <v>200</v>
      </c>
      <c r="F140" s="57">
        <v>2216</v>
      </c>
      <c r="G140" s="85" t="s">
        <v>78</v>
      </c>
      <c r="H140" s="63">
        <v>11</v>
      </c>
      <c r="I140" s="57">
        <v>5.25</v>
      </c>
      <c r="J140" s="57">
        <v>90</v>
      </c>
      <c r="K140" s="57">
        <v>90</v>
      </c>
      <c r="L140" s="57">
        <v>90</v>
      </c>
      <c r="M140" s="57">
        <v>24.6</v>
      </c>
      <c r="N140" s="63">
        <v>6.3</v>
      </c>
      <c r="O140" s="36">
        <v>1.01</v>
      </c>
      <c r="P140" s="57">
        <v>5.2</v>
      </c>
      <c r="Q140" s="63">
        <v>10</v>
      </c>
      <c r="R140" s="36">
        <v>0.1</v>
      </c>
      <c r="S140" s="36">
        <v>22.36</v>
      </c>
      <c r="T140" s="36">
        <v>0.88</v>
      </c>
      <c r="U140" s="36">
        <v>0.7</v>
      </c>
      <c r="V140" s="42">
        <f t="shared" si="64"/>
        <v>1747.87</v>
      </c>
      <c r="W140" s="42">
        <f t="shared" si="65"/>
        <v>1372.556302</v>
      </c>
      <c r="X140" s="42">
        <f t="shared" si="66"/>
        <v>0.78527367710413254</v>
      </c>
      <c r="Y140" s="57">
        <v>3</v>
      </c>
      <c r="Z140" s="57">
        <v>4</v>
      </c>
      <c r="AA140" s="63">
        <v>6.5</v>
      </c>
      <c r="AB140" s="57">
        <v>17</v>
      </c>
      <c r="AC140" s="63">
        <v>5.5</v>
      </c>
      <c r="AD140" s="63">
        <v>3.8</v>
      </c>
      <c r="AE140" s="36">
        <v>0.18</v>
      </c>
      <c r="AF140" s="36">
        <v>0.14000000000000001</v>
      </c>
      <c r="AG140" s="42">
        <f t="shared" si="46"/>
        <v>1747.87</v>
      </c>
      <c r="AH140" s="42">
        <f t="shared" si="67"/>
        <v>1821.4563327999999</v>
      </c>
      <c r="AI140" s="42">
        <f t="shared" si="68"/>
        <v>1.0421005754432537</v>
      </c>
      <c r="AJ140" s="57">
        <v>3</v>
      </c>
      <c r="AK140" s="57">
        <v>4</v>
      </c>
      <c r="AL140" s="63">
        <v>6.4</v>
      </c>
      <c r="AM140" s="57">
        <v>23</v>
      </c>
      <c r="AN140" s="63">
        <v>5.4</v>
      </c>
      <c r="AO140" s="63">
        <v>5.5</v>
      </c>
      <c r="AP140" s="36">
        <v>0.17</v>
      </c>
      <c r="AQ140" s="36">
        <v>0.22</v>
      </c>
      <c r="AR140" s="73">
        <f t="shared" si="47"/>
        <v>2197</v>
      </c>
      <c r="AS140" s="75">
        <f t="shared" si="48"/>
        <v>0.15930814747382796</v>
      </c>
      <c r="AT140" s="75">
        <f t="shared" si="49"/>
        <v>0.74965862539827033</v>
      </c>
      <c r="AU140" s="75">
        <f t="shared" si="50"/>
        <v>9.1033227127901684E-2</v>
      </c>
      <c r="AV140" s="26">
        <f t="shared" si="51"/>
        <v>6.1371841155234655E-2</v>
      </c>
      <c r="AW140" s="26">
        <f t="shared" si="52"/>
        <v>8.3032490974729242E-2</v>
      </c>
      <c r="AX140" s="24">
        <f t="shared" si="53"/>
        <v>0.78217821782178221</v>
      </c>
      <c r="AY140" s="24">
        <f t="shared" si="54"/>
        <v>0.86138613861386137</v>
      </c>
      <c r="AZ140" s="77" t="str">
        <f t="shared" si="55"/>
        <v>10,0 ≤ Alca. Bruta &lt; 15,0 mg/L</v>
      </c>
      <c r="BA140" s="77" t="str">
        <f t="shared" si="56"/>
        <v>5 ≤ Cor &lt; 10 uC</v>
      </c>
      <c r="BB140" s="78" t="str">
        <f t="shared" si="57"/>
        <v>Turbidez &lt; 2,5 uT</v>
      </c>
      <c r="BC140" s="79" t="str">
        <f t="shared" si="58"/>
        <v>SM &gt; TOR &gt; BNN</v>
      </c>
      <c r="BD140" s="78" t="str">
        <f t="shared" si="59"/>
        <v>Tipo 1 (≤0,25) uT</v>
      </c>
      <c r="BE140" s="78" t="str">
        <f t="shared" si="60"/>
        <v>Tipo 1 (≤0,25) uT</v>
      </c>
      <c r="BF140" s="78" t="str">
        <f t="shared" si="61"/>
        <v>Tipo 1 (≤0,25) uT</v>
      </c>
      <c r="BG140" s="78" t="str">
        <f t="shared" si="62"/>
        <v>Tipo 1 (≤0,25) uT</v>
      </c>
      <c r="BH140" s="78" t="str">
        <f t="shared" si="63"/>
        <v>Tipo 1 (≤0,25) uT</v>
      </c>
    </row>
    <row r="141" spans="1:60" x14ac:dyDescent="0.2">
      <c r="A141" s="31">
        <v>46274</v>
      </c>
      <c r="B141" s="80">
        <v>6.25E-2</v>
      </c>
      <c r="C141" s="57">
        <v>342</v>
      </c>
      <c r="D141" s="57">
        <v>1621</v>
      </c>
      <c r="E141" s="57">
        <v>199</v>
      </c>
      <c r="F141" s="57">
        <v>2216</v>
      </c>
      <c r="G141" s="85" t="s">
        <v>78</v>
      </c>
      <c r="H141" s="63">
        <v>11</v>
      </c>
      <c r="I141" s="57">
        <v>3.12</v>
      </c>
      <c r="J141" s="57">
        <v>90</v>
      </c>
      <c r="K141" s="57">
        <v>90</v>
      </c>
      <c r="L141" s="57">
        <v>90</v>
      </c>
      <c r="M141" s="57">
        <v>24.1</v>
      </c>
      <c r="N141" s="63">
        <v>6.5</v>
      </c>
      <c r="O141" s="36">
        <v>1.1200000000000001</v>
      </c>
      <c r="P141" s="57">
        <v>6</v>
      </c>
      <c r="Q141" s="63">
        <v>5.8</v>
      </c>
      <c r="R141" s="36">
        <v>0.1</v>
      </c>
      <c r="S141" s="36">
        <v>22.36</v>
      </c>
      <c r="T141" s="36">
        <v>0.88</v>
      </c>
      <c r="U141" s="36">
        <v>0.7</v>
      </c>
      <c r="V141" s="42">
        <f t="shared" si="64"/>
        <v>1778.34</v>
      </c>
      <c r="W141" s="42">
        <f t="shared" si="65"/>
        <v>1372.556302</v>
      </c>
      <c r="X141" s="42">
        <f t="shared" si="66"/>
        <v>0.77181883216932645</v>
      </c>
      <c r="Y141" s="57">
        <v>3</v>
      </c>
      <c r="Z141" s="57">
        <v>4</v>
      </c>
      <c r="AA141" s="63">
        <v>6.5</v>
      </c>
      <c r="AB141" s="57">
        <v>17</v>
      </c>
      <c r="AC141" s="63">
        <v>5.9</v>
      </c>
      <c r="AD141" s="63">
        <v>4.5999999999999996</v>
      </c>
      <c r="AE141" s="36">
        <v>0.22</v>
      </c>
      <c r="AF141" s="36">
        <v>0.15</v>
      </c>
      <c r="AG141" s="42">
        <f t="shared" si="46"/>
        <v>1778.34</v>
      </c>
      <c r="AH141" s="42">
        <f t="shared" si="67"/>
        <v>1821.4563327999999</v>
      </c>
      <c r="AI141" s="42">
        <f t="shared" si="68"/>
        <v>1.0242452696334785</v>
      </c>
      <c r="AJ141" s="57">
        <v>3</v>
      </c>
      <c r="AK141" s="57">
        <v>4</v>
      </c>
      <c r="AL141" s="63">
        <v>6.4</v>
      </c>
      <c r="AM141" s="57">
        <v>23</v>
      </c>
      <c r="AN141" s="63">
        <v>5.9</v>
      </c>
      <c r="AO141" s="63">
        <v>5.6</v>
      </c>
      <c r="AP141" s="36">
        <v>0.18</v>
      </c>
      <c r="AQ141" s="36">
        <v>0.21</v>
      </c>
      <c r="AR141" s="73">
        <f t="shared" si="47"/>
        <v>2162</v>
      </c>
      <c r="AS141" s="75">
        <f t="shared" si="48"/>
        <v>0.15818686401480112</v>
      </c>
      <c r="AT141" s="75">
        <f t="shared" si="49"/>
        <v>0.74976873265494914</v>
      </c>
      <c r="AU141" s="75">
        <f t="shared" si="50"/>
        <v>9.2044403330249769E-2</v>
      </c>
      <c r="AV141" s="26">
        <f t="shared" si="51"/>
        <v>6.1371841155234655E-2</v>
      </c>
      <c r="AW141" s="26">
        <f t="shared" si="52"/>
        <v>8.3032490974729242E-2</v>
      </c>
      <c r="AX141" s="24">
        <f t="shared" si="53"/>
        <v>0.8125</v>
      </c>
      <c r="AY141" s="24">
        <f t="shared" si="54"/>
        <v>0.8660714285714286</v>
      </c>
      <c r="AZ141" s="77" t="str">
        <f t="shared" si="55"/>
        <v>5,0 ≤ Alc. Bruta &lt; 7,5 mg/L</v>
      </c>
      <c r="BA141" s="77" t="str">
        <f t="shared" si="56"/>
        <v>5 ≤ Cor &lt; 10 uC</v>
      </c>
      <c r="BB141" s="78" t="str">
        <f t="shared" si="57"/>
        <v>Turbidez &lt; 2,5 uT</v>
      </c>
      <c r="BC141" s="79" t="str">
        <f t="shared" si="58"/>
        <v>SM &gt; TOR &gt; BNN</v>
      </c>
      <c r="BD141" s="78" t="str">
        <f t="shared" si="59"/>
        <v>Tipo 1 (≤0,25) uT</v>
      </c>
      <c r="BE141" s="78" t="str">
        <f t="shared" si="60"/>
        <v>Tipo 1 (≤0,25) uT</v>
      </c>
      <c r="BF141" s="78" t="str">
        <f t="shared" si="61"/>
        <v>Tipo 1 (≤0,25) uT</v>
      </c>
      <c r="BG141" s="78" t="str">
        <f t="shared" si="62"/>
        <v>Tipo 1 (≤0,25) uT</v>
      </c>
      <c r="BH141" s="78" t="str">
        <f t="shared" si="63"/>
        <v>Tipo 1 (≤0,25) uT</v>
      </c>
    </row>
    <row r="142" spans="1:60" x14ac:dyDescent="0.2">
      <c r="A142" s="31">
        <v>46274</v>
      </c>
      <c r="B142" s="80">
        <v>0.14583333333333334</v>
      </c>
      <c r="C142" s="57">
        <v>362</v>
      </c>
      <c r="D142" s="57">
        <v>1639</v>
      </c>
      <c r="E142" s="57">
        <v>0</v>
      </c>
      <c r="F142" s="57">
        <v>2061</v>
      </c>
      <c r="G142" s="85" t="s">
        <v>78</v>
      </c>
      <c r="H142" s="63">
        <v>11</v>
      </c>
      <c r="I142" s="57">
        <v>30</v>
      </c>
      <c r="J142" s="57">
        <v>90</v>
      </c>
      <c r="K142" s="57">
        <v>90</v>
      </c>
      <c r="L142" s="57">
        <v>90</v>
      </c>
      <c r="M142" s="57">
        <v>23.8</v>
      </c>
      <c r="N142" s="63">
        <v>6.6</v>
      </c>
      <c r="O142" s="36">
        <v>1.06</v>
      </c>
      <c r="P142" s="57">
        <v>6</v>
      </c>
      <c r="Q142" s="63">
        <v>5.6</v>
      </c>
      <c r="R142" s="36">
        <v>0.11</v>
      </c>
      <c r="S142" s="36">
        <v>22.36</v>
      </c>
      <c r="T142" s="36">
        <v>0.88</v>
      </c>
      <c r="U142" s="36">
        <v>0.7</v>
      </c>
      <c r="V142" s="42">
        <f t="shared" si="64"/>
        <v>1638.4949999999999</v>
      </c>
      <c r="W142" s="42">
        <f t="shared" si="65"/>
        <v>1372.556302</v>
      </c>
      <c r="X142" s="42">
        <f t="shared" si="66"/>
        <v>0.83769331123988788</v>
      </c>
      <c r="Y142" s="57">
        <v>4</v>
      </c>
      <c r="Z142" s="57">
        <v>4</v>
      </c>
      <c r="AA142" s="63">
        <v>6.5</v>
      </c>
      <c r="AB142" s="57">
        <v>17</v>
      </c>
      <c r="AC142" s="63">
        <v>5.7</v>
      </c>
      <c r="AD142" s="63">
        <v>5.0999999999999996</v>
      </c>
      <c r="AE142" s="36">
        <v>0.17</v>
      </c>
      <c r="AF142" s="36">
        <v>0.15</v>
      </c>
      <c r="AG142" s="42">
        <f t="shared" si="46"/>
        <v>1638.4949999999999</v>
      </c>
      <c r="AH142" s="42">
        <f t="shared" si="67"/>
        <v>1821.4563327999999</v>
      </c>
      <c r="AI142" s="42">
        <f t="shared" si="68"/>
        <v>1.1116642606782443</v>
      </c>
      <c r="AJ142" s="57">
        <v>4</v>
      </c>
      <c r="AK142" s="57">
        <v>4</v>
      </c>
      <c r="AL142" s="63">
        <v>6.4</v>
      </c>
      <c r="AM142" s="57">
        <v>23</v>
      </c>
      <c r="AN142" s="63">
        <v>6</v>
      </c>
      <c r="AO142" s="63">
        <v>5.0999999999999996</v>
      </c>
      <c r="AP142" s="36">
        <v>0.15</v>
      </c>
      <c r="AQ142" s="36">
        <v>0.1</v>
      </c>
      <c r="AR142" s="73">
        <f t="shared" si="47"/>
        <v>2001</v>
      </c>
      <c r="AS142" s="75">
        <f t="shared" si="48"/>
        <v>0.18090954522738631</v>
      </c>
      <c r="AT142" s="75">
        <f t="shared" si="49"/>
        <v>0.81909045477261366</v>
      </c>
      <c r="AU142" s="75">
        <f t="shared" si="50"/>
        <v>0</v>
      </c>
      <c r="AV142" s="26">
        <f t="shared" si="51"/>
        <v>6.5987384764677345E-2</v>
      </c>
      <c r="AW142" s="26">
        <f t="shared" si="52"/>
        <v>8.9277049975739931E-2</v>
      </c>
      <c r="AX142" s="24">
        <f t="shared" si="53"/>
        <v>0.90566037735849059</v>
      </c>
      <c r="AY142" s="24">
        <f t="shared" si="54"/>
        <v>0.85849056603773588</v>
      </c>
      <c r="AZ142" s="77" t="str">
        <f t="shared" si="55"/>
        <v>5,0 ≤ Alc. Bruta &lt; 7,5 mg/L</v>
      </c>
      <c r="BA142" s="77" t="str">
        <f t="shared" si="56"/>
        <v>5 ≤ Cor &lt; 10 uC</v>
      </c>
      <c r="BB142" s="78" t="str">
        <f t="shared" si="57"/>
        <v>Turbidez &lt; 2,5 uT</v>
      </c>
      <c r="BC142" s="79" t="str">
        <f t="shared" si="58"/>
        <v>SM &gt; TOR &gt; BNN</v>
      </c>
      <c r="BD142" s="78" t="str">
        <f t="shared" si="59"/>
        <v>Tipo 1 (≤0,25) uT</v>
      </c>
      <c r="BE142" s="78" t="str">
        <f t="shared" si="60"/>
        <v>Tipo 1 (≤0,25) uT</v>
      </c>
      <c r="BF142" s="78" t="str">
        <f t="shared" si="61"/>
        <v>Tipo 1 (≤0,25) uT</v>
      </c>
      <c r="BG142" s="78" t="str">
        <f t="shared" si="62"/>
        <v>Tipo 1 (≤0,25) uT</v>
      </c>
      <c r="BH142" s="78" t="str">
        <f t="shared" si="63"/>
        <v>Tipo 1 (≤0,25) uT</v>
      </c>
    </row>
    <row r="143" spans="1:60" ht="15.75" thickBot="1" x14ac:dyDescent="0.25">
      <c r="A143" s="32">
        <v>46274</v>
      </c>
      <c r="B143" s="81">
        <v>0.22916666666666666</v>
      </c>
      <c r="C143" s="58">
        <v>344</v>
      </c>
      <c r="D143" s="58">
        <v>1800</v>
      </c>
      <c r="E143" s="58">
        <v>0</v>
      </c>
      <c r="F143" s="58">
        <v>2061</v>
      </c>
      <c r="G143" s="86" t="s">
        <v>78</v>
      </c>
      <c r="H143" s="64">
        <v>11</v>
      </c>
      <c r="I143" s="58">
        <v>51</v>
      </c>
      <c r="J143" s="58">
        <v>90</v>
      </c>
      <c r="K143" s="58">
        <v>90</v>
      </c>
      <c r="L143" s="58">
        <v>90</v>
      </c>
      <c r="M143" s="58">
        <v>23.8</v>
      </c>
      <c r="N143" s="64">
        <v>6.5</v>
      </c>
      <c r="O143" s="37">
        <v>1.03</v>
      </c>
      <c r="P143" s="58">
        <v>6</v>
      </c>
      <c r="Q143" s="64">
        <v>5.6</v>
      </c>
      <c r="R143" s="37">
        <v>0.1</v>
      </c>
      <c r="S143" s="36">
        <v>22.36</v>
      </c>
      <c r="T143" s="36">
        <v>0.88</v>
      </c>
      <c r="U143" s="36">
        <v>0.7</v>
      </c>
      <c r="V143" s="42">
        <f t="shared" si="64"/>
        <v>1630.7662500000001</v>
      </c>
      <c r="W143" s="42">
        <f t="shared" si="65"/>
        <v>1398.8187927999998</v>
      </c>
      <c r="X143" s="42">
        <f t="shared" si="66"/>
        <v>0.85776780872182001</v>
      </c>
      <c r="Y143" s="58">
        <v>4</v>
      </c>
      <c r="Z143" s="58">
        <v>4</v>
      </c>
      <c r="AA143" s="64">
        <v>6.6</v>
      </c>
      <c r="AB143" s="58">
        <v>17</v>
      </c>
      <c r="AC143" s="64">
        <v>5.6</v>
      </c>
      <c r="AD143" s="64">
        <v>5.2</v>
      </c>
      <c r="AE143" s="37">
        <v>0.16</v>
      </c>
      <c r="AF143" s="37">
        <v>0.13</v>
      </c>
      <c r="AG143" s="42">
        <f t="shared" si="46"/>
        <v>1630.7662500000001</v>
      </c>
      <c r="AH143" s="42">
        <f t="shared" si="67"/>
        <v>1856.9879380000002</v>
      </c>
      <c r="AI143" s="42">
        <f t="shared" si="68"/>
        <v>1.1387210999737087</v>
      </c>
      <c r="AJ143" s="58">
        <v>4</v>
      </c>
      <c r="AK143" s="58">
        <v>4</v>
      </c>
      <c r="AL143" s="64">
        <v>6.5</v>
      </c>
      <c r="AM143" s="58">
        <v>23</v>
      </c>
      <c r="AN143" s="64">
        <v>5.9</v>
      </c>
      <c r="AO143" s="64">
        <v>5.6</v>
      </c>
      <c r="AP143" s="37">
        <v>0.18</v>
      </c>
      <c r="AQ143" s="37">
        <v>0.18</v>
      </c>
      <c r="AR143" s="73">
        <f t="shared" si="47"/>
        <v>2144</v>
      </c>
      <c r="AS143" s="75">
        <f t="shared" si="48"/>
        <v>0.16044776119402984</v>
      </c>
      <c r="AT143" s="75">
        <f t="shared" si="49"/>
        <v>0.83955223880597019</v>
      </c>
      <c r="AU143" s="75">
        <f t="shared" si="50"/>
        <v>0</v>
      </c>
      <c r="AV143" s="26">
        <f t="shared" si="51"/>
        <v>6.5987384764677345E-2</v>
      </c>
      <c r="AW143" s="26">
        <f t="shared" si="52"/>
        <v>8.9277049975739931E-2</v>
      </c>
      <c r="AX143" s="24">
        <f t="shared" si="53"/>
        <v>0.82524271844660202</v>
      </c>
      <c r="AY143" s="24">
        <f t="shared" si="54"/>
        <v>0.87378640776699035</v>
      </c>
      <c r="AZ143" s="77" t="str">
        <f t="shared" si="55"/>
        <v>5,0 ≤ Alc. Bruta &lt; 7,5 mg/L</v>
      </c>
      <c r="BA143" s="77" t="str">
        <f t="shared" si="56"/>
        <v>5 ≤ Cor &lt; 10 uC</v>
      </c>
      <c r="BB143" s="78" t="str">
        <f t="shared" si="57"/>
        <v>Turbidez &lt; 2,5 uT</v>
      </c>
      <c r="BC143" s="79" t="str">
        <f t="shared" si="58"/>
        <v>SM &gt; TOR &gt; BNN</v>
      </c>
      <c r="BD143" s="78" t="str">
        <f t="shared" si="59"/>
        <v>Tipo 1 (≤0,25) uT</v>
      </c>
      <c r="BE143" s="78" t="str">
        <f t="shared" si="60"/>
        <v>Tipo 1 (≤0,25) uT</v>
      </c>
      <c r="BF143" s="78" t="str">
        <f t="shared" si="61"/>
        <v>Tipo 1 (≤0,25) uT</v>
      </c>
      <c r="BG143" s="78" t="str">
        <f t="shared" si="62"/>
        <v>Tipo 1 (≤0,25) uT</v>
      </c>
      <c r="BH143" s="78" t="str">
        <f t="shared" si="63"/>
        <v>Tipo 1 (≤0,25) uT</v>
      </c>
    </row>
    <row r="144" spans="1:60" x14ac:dyDescent="0.2">
      <c r="A144" s="30">
        <v>46274</v>
      </c>
      <c r="B144" s="82">
        <v>0.3125</v>
      </c>
      <c r="C144" s="59">
        <v>348</v>
      </c>
      <c r="D144" s="59">
        <v>1688</v>
      </c>
      <c r="E144" s="57">
        <v>0</v>
      </c>
      <c r="F144" s="59">
        <v>2119</v>
      </c>
      <c r="G144" s="87" t="s">
        <v>78</v>
      </c>
      <c r="H144" s="65">
        <v>11</v>
      </c>
      <c r="I144" s="59">
        <v>41</v>
      </c>
      <c r="J144" s="59">
        <v>90</v>
      </c>
      <c r="K144" s="59">
        <v>90</v>
      </c>
      <c r="L144" s="59">
        <v>90</v>
      </c>
      <c r="M144" s="59">
        <v>25</v>
      </c>
      <c r="N144" s="65">
        <v>6.1</v>
      </c>
      <c r="O144" s="38">
        <v>1.03</v>
      </c>
      <c r="P144" s="59">
        <v>6</v>
      </c>
      <c r="Q144" s="65">
        <v>5.4</v>
      </c>
      <c r="R144" s="38">
        <v>0.09</v>
      </c>
      <c r="S144" s="36">
        <v>22.36</v>
      </c>
      <c r="T144" s="36">
        <v>0.88</v>
      </c>
      <c r="U144" s="36">
        <v>0.7</v>
      </c>
      <c r="V144" s="42">
        <f t="shared" si="64"/>
        <v>1676.6587500000001</v>
      </c>
      <c r="W144" s="42">
        <f t="shared" si="65"/>
        <v>1372.556302</v>
      </c>
      <c r="X144" s="42">
        <f t="shared" si="66"/>
        <v>0.8186259141879646</v>
      </c>
      <c r="Y144" s="59">
        <v>3</v>
      </c>
      <c r="Z144" s="59">
        <v>4</v>
      </c>
      <c r="AA144" s="65">
        <v>6.5</v>
      </c>
      <c r="AB144" s="59">
        <v>17</v>
      </c>
      <c r="AC144" s="65">
        <v>5.6</v>
      </c>
      <c r="AD144" s="65">
        <v>2.2999999999999998</v>
      </c>
      <c r="AE144" s="38">
        <v>0.14000000000000001</v>
      </c>
      <c r="AF144" s="38">
        <v>0.13</v>
      </c>
      <c r="AG144" s="42">
        <f t="shared" si="46"/>
        <v>1676.6587500000001</v>
      </c>
      <c r="AH144" s="42">
        <f t="shared" si="67"/>
        <v>1785.9247275999996</v>
      </c>
      <c r="AI144" s="42">
        <f t="shared" si="68"/>
        <v>1.0651688828153014</v>
      </c>
      <c r="AJ144" s="59">
        <v>3</v>
      </c>
      <c r="AK144" s="59">
        <v>4</v>
      </c>
      <c r="AL144" s="65">
        <v>6.3</v>
      </c>
      <c r="AM144" s="59">
        <v>23</v>
      </c>
      <c r="AN144" s="65">
        <v>5.5</v>
      </c>
      <c r="AO144" s="65">
        <v>2.9</v>
      </c>
      <c r="AP144" s="38">
        <v>0.12</v>
      </c>
      <c r="AQ144" s="38">
        <v>0.18</v>
      </c>
      <c r="AR144" s="73">
        <f t="shared" si="47"/>
        <v>2036</v>
      </c>
      <c r="AS144" s="75">
        <f t="shared" si="48"/>
        <v>0.17092337917485265</v>
      </c>
      <c r="AT144" s="75">
        <f t="shared" si="49"/>
        <v>0.82907662082514733</v>
      </c>
      <c r="AU144" s="75">
        <f t="shared" si="50"/>
        <v>0</v>
      </c>
      <c r="AV144" s="26">
        <f t="shared" si="51"/>
        <v>6.4181217555450684E-2</v>
      </c>
      <c r="AW144" s="26">
        <f t="shared" si="52"/>
        <v>8.6833411986786221E-2</v>
      </c>
      <c r="AX144" s="24">
        <f t="shared" si="53"/>
        <v>0.82524271844660202</v>
      </c>
      <c r="AY144" s="24">
        <f t="shared" si="54"/>
        <v>0.87378640776699035</v>
      </c>
      <c r="AZ144" s="77" t="str">
        <f t="shared" si="55"/>
        <v>5,0 ≤ Alc. Bruta &lt; 7,5 mg/L</v>
      </c>
      <c r="BA144" s="77" t="str">
        <f t="shared" si="56"/>
        <v>5 ≤ Cor &lt; 10 uC</v>
      </c>
      <c r="BB144" s="78" t="str">
        <f t="shared" si="57"/>
        <v>Turbidez &lt; 2,5 uT</v>
      </c>
      <c r="BC144" s="79" t="str">
        <f t="shared" si="58"/>
        <v>SM &gt; TOR &gt; BNN</v>
      </c>
      <c r="BD144" s="78" t="str">
        <f t="shared" si="59"/>
        <v>Tipo 1 (≤0,25) uT</v>
      </c>
      <c r="BE144" s="78" t="str">
        <f t="shared" si="60"/>
        <v>Tipo 1 (≤0,25) uT</v>
      </c>
      <c r="BF144" s="78" t="str">
        <f t="shared" si="61"/>
        <v>Tipo 1 (≤0,25) uT</v>
      </c>
      <c r="BG144" s="78" t="str">
        <f t="shared" si="62"/>
        <v>Tipo 1 (≤0,25) uT</v>
      </c>
      <c r="BH144" s="78" t="str">
        <f t="shared" si="63"/>
        <v>Tipo 1 (≤0,25) uT</v>
      </c>
    </row>
    <row r="145" spans="1:60" x14ac:dyDescent="0.2">
      <c r="A145" s="31">
        <v>46274</v>
      </c>
      <c r="B145" s="80">
        <v>0.39583333333333331</v>
      </c>
      <c r="C145" s="57">
        <v>353</v>
      </c>
      <c r="D145" s="57">
        <v>1678</v>
      </c>
      <c r="E145" s="57">
        <v>0</v>
      </c>
      <c r="F145" s="57">
        <v>1794</v>
      </c>
      <c r="G145" s="85" t="s">
        <v>78</v>
      </c>
      <c r="H145" s="63">
        <v>10.199999999999999</v>
      </c>
      <c r="I145" s="57">
        <v>40</v>
      </c>
      <c r="J145" s="57">
        <v>90</v>
      </c>
      <c r="K145" s="57">
        <v>90</v>
      </c>
      <c r="L145" s="57">
        <v>90</v>
      </c>
      <c r="M145" s="57">
        <v>24.8</v>
      </c>
      <c r="N145" s="63">
        <v>6.4</v>
      </c>
      <c r="O145" s="36">
        <v>0.98</v>
      </c>
      <c r="P145" s="57">
        <v>5</v>
      </c>
      <c r="Q145" s="63">
        <v>5.4</v>
      </c>
      <c r="R145" s="36">
        <v>0.1</v>
      </c>
      <c r="S145" s="36">
        <v>22.36</v>
      </c>
      <c r="T145" s="36">
        <v>0.88</v>
      </c>
      <c r="U145" s="36">
        <v>0.7</v>
      </c>
      <c r="V145" s="42">
        <f t="shared" si="64"/>
        <v>1805.9599999999998</v>
      </c>
      <c r="W145" s="42">
        <f t="shared" si="65"/>
        <v>1493.664211</v>
      </c>
      <c r="X145" s="42">
        <f t="shared" si="66"/>
        <v>0.82707491361934937</v>
      </c>
      <c r="Y145" s="57">
        <v>3</v>
      </c>
      <c r="Z145" s="57">
        <v>3</v>
      </c>
      <c r="AA145" s="63">
        <v>6.5</v>
      </c>
      <c r="AB145" s="57">
        <v>18.5</v>
      </c>
      <c r="AC145" s="63">
        <v>5.5</v>
      </c>
      <c r="AD145" s="63">
        <v>3.1</v>
      </c>
      <c r="AE145" s="36">
        <v>0.15</v>
      </c>
      <c r="AF145" s="36">
        <v>0.15</v>
      </c>
      <c r="AG145" s="42">
        <f t="shared" si="46"/>
        <v>1354.4699999999998</v>
      </c>
      <c r="AH145" s="42">
        <f t="shared" si="67"/>
        <v>1785.9247275999996</v>
      </c>
      <c r="AI145" s="42">
        <f t="shared" si="68"/>
        <v>1.3185413686534215</v>
      </c>
      <c r="AJ145" s="57">
        <v>3</v>
      </c>
      <c r="AK145" s="57">
        <v>4</v>
      </c>
      <c r="AL145" s="63">
        <v>6.3</v>
      </c>
      <c r="AM145" s="57">
        <v>23</v>
      </c>
      <c r="AN145" s="63">
        <v>5.5</v>
      </c>
      <c r="AO145" s="63">
        <v>3.4</v>
      </c>
      <c r="AP145" s="36">
        <v>0.15</v>
      </c>
      <c r="AQ145" s="36">
        <v>0.24</v>
      </c>
      <c r="AR145" s="73">
        <f t="shared" si="47"/>
        <v>2031</v>
      </c>
      <c r="AS145" s="75">
        <f t="shared" si="48"/>
        <v>0.17380600689315609</v>
      </c>
      <c r="AT145" s="75">
        <f t="shared" si="49"/>
        <v>0.82619399310684394</v>
      </c>
      <c r="AU145" s="75">
        <f t="shared" si="50"/>
        <v>0</v>
      </c>
      <c r="AV145" s="26">
        <f t="shared" si="51"/>
        <v>6.1872909698996656E-2</v>
      </c>
      <c r="AW145" s="26">
        <f t="shared" si="52"/>
        <v>0.10256410256410256</v>
      </c>
      <c r="AX145" s="24">
        <f t="shared" si="53"/>
        <v>0.75510204081632648</v>
      </c>
      <c r="AY145" s="24">
        <f t="shared" si="54"/>
        <v>0.84693877551020402</v>
      </c>
      <c r="AZ145" s="77" t="str">
        <f t="shared" si="55"/>
        <v>5,0 ≤ Alc. Bruta &lt; 7,5 mg/L</v>
      </c>
      <c r="BA145" s="77" t="str">
        <f t="shared" si="56"/>
        <v>5 ≤ Cor &lt; 10 uC</v>
      </c>
      <c r="BB145" s="78" t="str">
        <f t="shared" si="57"/>
        <v>Turbidez &lt; 2,5 uT</v>
      </c>
      <c r="BC145" s="79" t="str">
        <f t="shared" si="58"/>
        <v>SM &gt; TOR &gt; BNN</v>
      </c>
      <c r="BD145" s="78" t="str">
        <f t="shared" si="59"/>
        <v>Tipo 1 (≤0,25) uT</v>
      </c>
      <c r="BE145" s="78" t="str">
        <f t="shared" si="60"/>
        <v>Tipo 1 (≤0,25) uT</v>
      </c>
      <c r="BF145" s="78" t="str">
        <f t="shared" si="61"/>
        <v>Tipo 1 (≤0,25) uT</v>
      </c>
      <c r="BG145" s="78" t="str">
        <f t="shared" si="62"/>
        <v>Tipo 1 (≤0,25) uT</v>
      </c>
      <c r="BH145" s="78" t="str">
        <f t="shared" si="63"/>
        <v>Tipo 1 (≤0,25) uT</v>
      </c>
    </row>
    <row r="146" spans="1:60" x14ac:dyDescent="0.2">
      <c r="A146" s="31">
        <v>46274</v>
      </c>
      <c r="B146" s="80">
        <v>0.47916666666666669</v>
      </c>
      <c r="C146" s="57">
        <v>452</v>
      </c>
      <c r="D146" s="57">
        <v>1596</v>
      </c>
      <c r="E146" s="57">
        <v>0</v>
      </c>
      <c r="F146" s="57">
        <v>1788</v>
      </c>
      <c r="G146" s="85" t="s">
        <v>78</v>
      </c>
      <c r="H146" s="63">
        <v>9.6999999999999993</v>
      </c>
      <c r="I146" s="57">
        <v>12</v>
      </c>
      <c r="J146" s="57">
        <v>90</v>
      </c>
      <c r="K146" s="57">
        <v>90</v>
      </c>
      <c r="L146" s="57">
        <v>90</v>
      </c>
      <c r="M146" s="57">
        <v>25.9</v>
      </c>
      <c r="N146" s="63">
        <v>6.4</v>
      </c>
      <c r="O146" s="36">
        <v>1.1200000000000001</v>
      </c>
      <c r="P146" s="57">
        <v>6</v>
      </c>
      <c r="Q146" s="63">
        <v>6</v>
      </c>
      <c r="R146" s="36">
        <v>0.1</v>
      </c>
      <c r="S146" s="36">
        <v>22.36</v>
      </c>
      <c r="T146" s="36">
        <v>0.88</v>
      </c>
      <c r="U146" s="36">
        <v>0.7</v>
      </c>
      <c r="V146" s="42">
        <f t="shared" si="64"/>
        <v>1796.9399999999998</v>
      </c>
      <c r="W146" s="42">
        <f t="shared" si="65"/>
        <v>1493.664211</v>
      </c>
      <c r="X146" s="42">
        <f t="shared" si="66"/>
        <v>0.8312265356661882</v>
      </c>
      <c r="Y146" s="57">
        <v>3</v>
      </c>
      <c r="Z146" s="57">
        <v>3</v>
      </c>
      <c r="AA146" s="63">
        <v>6.5</v>
      </c>
      <c r="AB146" s="57">
        <v>18.5</v>
      </c>
      <c r="AC146" s="63">
        <v>5.7</v>
      </c>
      <c r="AD146" s="63">
        <v>3.9</v>
      </c>
      <c r="AE146" s="36">
        <v>0.15</v>
      </c>
      <c r="AF146" s="36">
        <v>0.13</v>
      </c>
      <c r="AG146" s="42">
        <f t="shared" si="46"/>
        <v>1347.7049999999999</v>
      </c>
      <c r="AH146" s="42">
        <f t="shared" si="67"/>
        <v>1785.9247275999996</v>
      </c>
      <c r="AI146" s="42">
        <f t="shared" si="68"/>
        <v>1.325159977591535</v>
      </c>
      <c r="AJ146" s="57">
        <v>3</v>
      </c>
      <c r="AK146" s="57">
        <v>4</v>
      </c>
      <c r="AL146" s="63">
        <v>6.3</v>
      </c>
      <c r="AM146" s="57">
        <v>23</v>
      </c>
      <c r="AN146" s="63">
        <v>5.7</v>
      </c>
      <c r="AO146" s="63">
        <v>3.7</v>
      </c>
      <c r="AP146" s="36">
        <v>0.14000000000000001</v>
      </c>
      <c r="AQ146" s="36">
        <v>0.17</v>
      </c>
      <c r="AR146" s="73">
        <f t="shared" si="47"/>
        <v>2048</v>
      </c>
      <c r="AS146" s="75">
        <f t="shared" si="48"/>
        <v>0.220703125</v>
      </c>
      <c r="AT146" s="75">
        <f t="shared" si="49"/>
        <v>0.779296875</v>
      </c>
      <c r="AU146" s="75">
        <f t="shared" si="50"/>
        <v>0</v>
      </c>
      <c r="AV146" s="26">
        <f t="shared" si="51"/>
        <v>6.2080536912751678E-2</v>
      </c>
      <c r="AW146" s="26">
        <f t="shared" si="52"/>
        <v>0.1029082774049217</v>
      </c>
      <c r="AX146" s="24">
        <f t="shared" si="53"/>
        <v>0.8482142857142857</v>
      </c>
      <c r="AY146" s="24">
        <f t="shared" si="54"/>
        <v>0.8839285714285714</v>
      </c>
      <c r="AZ146" s="77" t="str">
        <f t="shared" si="55"/>
        <v>5,0 ≤ Alc. Bruta &lt; 7,5 mg/L</v>
      </c>
      <c r="BA146" s="77" t="str">
        <f t="shared" si="56"/>
        <v>5 ≤ Cor &lt; 10 uC</v>
      </c>
      <c r="BB146" s="78" t="str">
        <f t="shared" si="57"/>
        <v>Turbidez &lt; 2,5 uT</v>
      </c>
      <c r="BC146" s="79" t="str">
        <f t="shared" si="58"/>
        <v>SM &gt; TOR &gt; BNN</v>
      </c>
      <c r="BD146" s="78" t="str">
        <f t="shared" si="59"/>
        <v>Tipo 1 (≤0,25) uT</v>
      </c>
      <c r="BE146" s="78" t="str">
        <f t="shared" si="60"/>
        <v>Tipo 1 (≤0,25) uT</v>
      </c>
      <c r="BF146" s="78" t="str">
        <f t="shared" si="61"/>
        <v>Tipo 1 (≤0,25) uT</v>
      </c>
      <c r="BG146" s="78" t="str">
        <f t="shared" si="62"/>
        <v>Tipo 1 (≤0,25) uT</v>
      </c>
      <c r="BH146" s="78" t="str">
        <f t="shared" si="63"/>
        <v>Tipo 1 (≤0,25) uT</v>
      </c>
    </row>
    <row r="147" spans="1:60" x14ac:dyDescent="0.2">
      <c r="A147" s="31">
        <v>46274</v>
      </c>
      <c r="B147" s="80">
        <v>0.89583333333333337</v>
      </c>
      <c r="C147" s="57">
        <v>459</v>
      </c>
      <c r="D147" s="57">
        <v>1675</v>
      </c>
      <c r="E147" s="57">
        <v>0</v>
      </c>
      <c r="F147" s="57">
        <v>2190</v>
      </c>
      <c r="G147" s="85" t="s">
        <v>78</v>
      </c>
      <c r="H147" s="63">
        <v>9.6999999999999993</v>
      </c>
      <c r="I147" s="57">
        <v>14</v>
      </c>
      <c r="J147" s="57">
        <v>90</v>
      </c>
      <c r="K147" s="57">
        <v>90</v>
      </c>
      <c r="L147" s="57">
        <v>90</v>
      </c>
      <c r="M147" s="57">
        <v>26</v>
      </c>
      <c r="N147" s="63">
        <v>6.6</v>
      </c>
      <c r="O147" s="36">
        <v>1.0900000000000001</v>
      </c>
      <c r="P147" s="57">
        <v>12</v>
      </c>
      <c r="Q147" s="63">
        <v>5.6</v>
      </c>
      <c r="R147" s="36">
        <v>0.09</v>
      </c>
      <c r="S147" s="36">
        <v>22.36</v>
      </c>
      <c r="T147" s="36">
        <v>0.88</v>
      </c>
      <c r="U147" s="36">
        <v>0.7</v>
      </c>
      <c r="V147" s="42">
        <f t="shared" si="64"/>
        <v>2190</v>
      </c>
      <c r="W147" s="42">
        <f t="shared" si="65"/>
        <v>1509.8119322</v>
      </c>
      <c r="X147" s="42">
        <f t="shared" si="66"/>
        <v>0.68941184118721466</v>
      </c>
      <c r="Y147" s="57">
        <v>3</v>
      </c>
      <c r="Z147" s="57">
        <v>3</v>
      </c>
      <c r="AA147" s="63">
        <v>6.5</v>
      </c>
      <c r="AB147" s="57">
        <v>18.7</v>
      </c>
      <c r="AC147" s="63">
        <v>5.6</v>
      </c>
      <c r="AD147" s="63">
        <v>5</v>
      </c>
      <c r="AE147" s="36">
        <v>0.17</v>
      </c>
      <c r="AF147" s="36">
        <v>0.11</v>
      </c>
      <c r="AG147" s="42">
        <f t="shared" si="46"/>
        <v>1642.5</v>
      </c>
      <c r="AH147" s="42">
        <f t="shared" si="67"/>
        <v>1840.2789584399995</v>
      </c>
      <c r="AI147" s="42">
        <f t="shared" si="68"/>
        <v>1.1204133689132418</v>
      </c>
      <c r="AJ147" s="57">
        <v>3</v>
      </c>
      <c r="AK147" s="57">
        <v>4</v>
      </c>
      <c r="AL147" s="63">
        <v>6.3</v>
      </c>
      <c r="AM147" s="57">
        <v>23.7</v>
      </c>
      <c r="AN147" s="63">
        <v>5.5</v>
      </c>
      <c r="AO147" s="63">
        <v>4.0999999999999996</v>
      </c>
      <c r="AP147" s="36">
        <v>0.15</v>
      </c>
      <c r="AQ147" s="36">
        <v>0.17</v>
      </c>
      <c r="AR147" s="73">
        <f t="shared" si="47"/>
        <v>2134</v>
      </c>
      <c r="AS147" s="75">
        <f t="shared" si="48"/>
        <v>0.21508903467666354</v>
      </c>
      <c r="AT147" s="75">
        <f t="shared" si="49"/>
        <v>0.78491096532333648</v>
      </c>
      <c r="AU147" s="75">
        <f t="shared" si="50"/>
        <v>0</v>
      </c>
      <c r="AV147" s="26">
        <f t="shared" si="51"/>
        <v>5.1232876712328762E-2</v>
      </c>
      <c r="AW147" s="26">
        <f t="shared" si="52"/>
        <v>8.6575342465753422E-2</v>
      </c>
      <c r="AX147" s="24">
        <f t="shared" si="53"/>
        <v>0.84403669724770647</v>
      </c>
      <c r="AY147" s="24">
        <f t="shared" si="54"/>
        <v>0.8990825688073395</v>
      </c>
      <c r="AZ147" s="77" t="str">
        <f t="shared" si="55"/>
        <v>5,0 ≤ Alc. Bruta &lt; 7,5 mg/L</v>
      </c>
      <c r="BA147" s="77" t="str">
        <f t="shared" si="56"/>
        <v>10 ≤ Cor &lt;15 uC</v>
      </c>
      <c r="BB147" s="78" t="str">
        <f t="shared" si="57"/>
        <v>Turbidez &lt; 2,5 uT</v>
      </c>
      <c r="BC147" s="79" t="str">
        <f t="shared" si="58"/>
        <v>SM &gt; TOR &gt; BNN</v>
      </c>
      <c r="BD147" s="78" t="str">
        <f t="shared" si="59"/>
        <v>Tipo 1 (≤0,25) uT</v>
      </c>
      <c r="BE147" s="78" t="str">
        <f t="shared" si="60"/>
        <v>Tipo 1 (≤0,25) uT</v>
      </c>
      <c r="BF147" s="78" t="str">
        <f t="shared" si="61"/>
        <v>Tipo 1 (≤0,25) uT</v>
      </c>
      <c r="BG147" s="78" t="str">
        <f t="shared" si="62"/>
        <v>Tipo 1 (≤0,25) uT</v>
      </c>
      <c r="BH147" s="78" t="str">
        <f t="shared" si="63"/>
        <v>Tipo 1 (≤0,25) uT</v>
      </c>
    </row>
    <row r="148" spans="1:60" x14ac:dyDescent="0.2">
      <c r="A148" s="31">
        <v>46275</v>
      </c>
      <c r="B148" s="80">
        <v>6.25E-2</v>
      </c>
      <c r="C148" s="57">
        <v>460</v>
      </c>
      <c r="D148" s="57">
        <v>1624</v>
      </c>
      <c r="E148" s="57">
        <v>0</v>
      </c>
      <c r="F148" s="57">
        <v>2197</v>
      </c>
      <c r="G148" s="85" t="s">
        <v>78</v>
      </c>
      <c r="H148" s="63">
        <v>9.6999999999999993</v>
      </c>
      <c r="I148" s="57">
        <v>-1.75</v>
      </c>
      <c r="J148" s="57">
        <v>90</v>
      </c>
      <c r="K148" s="57">
        <v>90</v>
      </c>
      <c r="L148" s="57">
        <v>90</v>
      </c>
      <c r="M148" s="57">
        <v>26</v>
      </c>
      <c r="N148" s="63">
        <v>6.2</v>
      </c>
      <c r="O148" s="36">
        <v>1.45</v>
      </c>
      <c r="P148" s="57">
        <v>9</v>
      </c>
      <c r="Q148" s="63">
        <v>5</v>
      </c>
      <c r="R148" s="36">
        <v>0.08</v>
      </c>
      <c r="S148" s="36">
        <v>22.36</v>
      </c>
      <c r="T148" s="36">
        <v>0.88</v>
      </c>
      <c r="U148" s="36">
        <v>0.7</v>
      </c>
      <c r="V148" s="42">
        <f t="shared" si="64"/>
        <v>2328.8199999999997</v>
      </c>
      <c r="W148" s="42">
        <f t="shared" si="65"/>
        <v>1513.2317734559999</v>
      </c>
      <c r="X148" s="42">
        <f t="shared" si="66"/>
        <v>0.64978477231215814</v>
      </c>
      <c r="Y148" s="57">
        <v>3</v>
      </c>
      <c r="Z148" s="57">
        <v>3</v>
      </c>
      <c r="AA148" s="63">
        <v>6.54</v>
      </c>
      <c r="AB148" s="57">
        <v>18.600000000000001</v>
      </c>
      <c r="AC148" s="63">
        <v>5.6</v>
      </c>
      <c r="AD148" s="63">
        <v>2.8</v>
      </c>
      <c r="AE148" s="36">
        <v>0.2</v>
      </c>
      <c r="AF148" s="36">
        <v>0.11</v>
      </c>
      <c r="AG148" s="42">
        <f t="shared" si="46"/>
        <v>1746.6149999999998</v>
      </c>
      <c r="AH148" s="42">
        <f t="shared" si="67"/>
        <v>1766.1368721879999</v>
      </c>
      <c r="AI148" s="42">
        <f t="shared" si="68"/>
        <v>1.0111769749990698</v>
      </c>
      <c r="AJ148" s="57">
        <v>3</v>
      </c>
      <c r="AK148" s="57">
        <v>4</v>
      </c>
      <c r="AL148" s="63">
        <v>6.31</v>
      </c>
      <c r="AM148" s="57">
        <v>22.7</v>
      </c>
      <c r="AN148" s="63">
        <v>5.6</v>
      </c>
      <c r="AO148" s="63">
        <v>2.9</v>
      </c>
      <c r="AP148" s="36">
        <v>0.15</v>
      </c>
      <c r="AQ148" s="36">
        <v>0.17</v>
      </c>
      <c r="AR148" s="73">
        <f t="shared" si="47"/>
        <v>2084</v>
      </c>
      <c r="AS148" s="75">
        <f t="shared" si="48"/>
        <v>0.22072936660268713</v>
      </c>
      <c r="AT148" s="75">
        <f t="shared" si="49"/>
        <v>0.77927063339731284</v>
      </c>
      <c r="AU148" s="75">
        <f t="shared" si="50"/>
        <v>0</v>
      </c>
      <c r="AV148" s="26">
        <f t="shared" si="51"/>
        <v>5.0796540737369139E-2</v>
      </c>
      <c r="AW148" s="26">
        <f t="shared" si="52"/>
        <v>8.2658170232134731E-2</v>
      </c>
      <c r="AX148" s="24">
        <f t="shared" si="53"/>
        <v>0.88275862068965516</v>
      </c>
      <c r="AY148" s="24">
        <f t="shared" si="54"/>
        <v>0.92413793103448272</v>
      </c>
      <c r="AZ148" s="77" t="str">
        <f t="shared" si="55"/>
        <v>5,0 ≤ Alc. Bruta &lt; 7,5 mg/L</v>
      </c>
      <c r="BA148" s="77" t="str">
        <f t="shared" si="56"/>
        <v>5 ≤ Cor &lt; 10 uC</v>
      </c>
      <c r="BB148" s="78" t="str">
        <f t="shared" si="57"/>
        <v>Turbidez &lt; 2,5 uT</v>
      </c>
      <c r="BC148" s="79" t="str">
        <f t="shared" si="58"/>
        <v>SM &gt; TOR &gt; BNN</v>
      </c>
      <c r="BD148" s="78" t="str">
        <f t="shared" si="59"/>
        <v>Tipo 1 (≤0,25) uT</v>
      </c>
      <c r="BE148" s="78" t="str">
        <f t="shared" si="60"/>
        <v>Tipo 1 (≤0,25) uT</v>
      </c>
      <c r="BF148" s="78" t="str">
        <f t="shared" si="61"/>
        <v>Tipo 1 (≤0,25) uT</v>
      </c>
      <c r="BG148" s="78" t="str">
        <f t="shared" si="62"/>
        <v>Tipo 1 (≤0,25) uT</v>
      </c>
      <c r="BH148" s="78" t="str">
        <f t="shared" si="63"/>
        <v>Tipo 1 (≤0,25) uT</v>
      </c>
    </row>
    <row r="149" spans="1:60" x14ac:dyDescent="0.2">
      <c r="A149" s="31">
        <v>46275</v>
      </c>
      <c r="B149" s="80">
        <v>0.14583333333333334</v>
      </c>
      <c r="C149" s="57">
        <v>448</v>
      </c>
      <c r="D149" s="57">
        <v>1586</v>
      </c>
      <c r="E149" s="57">
        <v>0</v>
      </c>
      <c r="F149" s="57">
        <v>2200</v>
      </c>
      <c r="G149" s="85" t="s">
        <v>78</v>
      </c>
      <c r="H149" s="63">
        <v>9.6999999999999993</v>
      </c>
      <c r="I149" s="57">
        <v>-6.07</v>
      </c>
      <c r="J149" s="57">
        <v>90</v>
      </c>
      <c r="K149" s="57">
        <v>90</v>
      </c>
      <c r="L149" s="57">
        <v>90</v>
      </c>
      <c r="M149" s="57">
        <v>25.5</v>
      </c>
      <c r="N149" s="63">
        <v>6.3</v>
      </c>
      <c r="O149" s="36">
        <v>1.21</v>
      </c>
      <c r="P149" s="57">
        <v>8</v>
      </c>
      <c r="Q149" s="63">
        <v>5.6</v>
      </c>
      <c r="R149" s="36">
        <v>0.09</v>
      </c>
      <c r="S149" s="36">
        <v>22.36</v>
      </c>
      <c r="T149" s="36">
        <v>0.88</v>
      </c>
      <c r="U149" s="36">
        <v>0.7</v>
      </c>
      <c r="V149" s="42">
        <f t="shared" si="64"/>
        <v>2244</v>
      </c>
      <c r="W149" s="42">
        <f t="shared" si="65"/>
        <v>1473.00381696</v>
      </c>
      <c r="X149" s="42">
        <f t="shared" si="66"/>
        <v>0.65641881326203211</v>
      </c>
      <c r="Y149" s="57">
        <v>3</v>
      </c>
      <c r="Z149" s="57">
        <v>3</v>
      </c>
      <c r="AA149" s="63">
        <v>6.4</v>
      </c>
      <c r="AB149" s="57">
        <v>18.600000000000001</v>
      </c>
      <c r="AC149" s="63">
        <v>5.6</v>
      </c>
      <c r="AD149" s="63">
        <v>3.2</v>
      </c>
      <c r="AE149" s="36">
        <v>0.26</v>
      </c>
      <c r="AF149" s="36">
        <v>0.11</v>
      </c>
      <c r="AG149" s="42">
        <f t="shared" si="46"/>
        <v>1682.9999999999998</v>
      </c>
      <c r="AH149" s="42">
        <f t="shared" si="67"/>
        <v>1762.6300572399996</v>
      </c>
      <c r="AI149" s="42">
        <f t="shared" si="68"/>
        <v>1.0473143536779559</v>
      </c>
      <c r="AJ149" s="57">
        <v>3</v>
      </c>
      <c r="AK149" s="57">
        <v>4</v>
      </c>
      <c r="AL149" s="63">
        <v>6.3</v>
      </c>
      <c r="AM149" s="57">
        <v>22.7</v>
      </c>
      <c r="AN149" s="63">
        <v>5.5</v>
      </c>
      <c r="AO149" s="63">
        <v>3.5</v>
      </c>
      <c r="AP149" s="36">
        <v>0.22</v>
      </c>
      <c r="AQ149" s="36">
        <v>0.19</v>
      </c>
      <c r="AR149" s="73">
        <f t="shared" si="47"/>
        <v>2034</v>
      </c>
      <c r="AS149" s="75">
        <f t="shared" si="48"/>
        <v>0.22025565388397247</v>
      </c>
      <c r="AT149" s="75">
        <f t="shared" si="49"/>
        <v>0.7797443461160275</v>
      </c>
      <c r="AU149" s="75">
        <f t="shared" si="50"/>
        <v>0</v>
      </c>
      <c r="AV149" s="26">
        <f t="shared" si="51"/>
        <v>5.0727272727272732E-2</v>
      </c>
      <c r="AW149" s="26">
        <f t="shared" si="52"/>
        <v>8.2545454545454547E-2</v>
      </c>
      <c r="AX149" s="24">
        <f t="shared" si="53"/>
        <v>0.84297520661157022</v>
      </c>
      <c r="AY149" s="24">
        <f t="shared" si="54"/>
        <v>0.90909090909090906</v>
      </c>
      <c r="AZ149" s="77" t="str">
        <f t="shared" si="55"/>
        <v>5,0 ≤ Alc. Bruta &lt; 7,5 mg/L</v>
      </c>
      <c r="BA149" s="77" t="str">
        <f t="shared" si="56"/>
        <v>5 ≤ Cor &lt; 10 uC</v>
      </c>
      <c r="BB149" s="78" t="str">
        <f t="shared" si="57"/>
        <v>Turbidez &lt; 2,5 uT</v>
      </c>
      <c r="BC149" s="79" t="str">
        <f t="shared" si="58"/>
        <v>SM &gt; TOR &gt; BNN</v>
      </c>
      <c r="BD149" s="78" t="str">
        <f t="shared" si="59"/>
        <v>Tipo 2 (0,25-0,50) uT</v>
      </c>
      <c r="BE149" s="78" t="str">
        <f t="shared" si="60"/>
        <v>Tipo 1 (≤0,25) uT</v>
      </c>
      <c r="BF149" s="78" t="str">
        <f t="shared" si="61"/>
        <v>Tipo 1 (≤0,25) uT</v>
      </c>
      <c r="BG149" s="78" t="str">
        <f t="shared" si="62"/>
        <v>Tipo 1 (≤0,25) uT</v>
      </c>
      <c r="BH149" s="78" t="str">
        <f t="shared" si="63"/>
        <v>Tipo 1 (≤0,25) uT</v>
      </c>
    </row>
    <row r="150" spans="1:60" ht="15.75" thickBot="1" x14ac:dyDescent="0.25">
      <c r="A150" s="32">
        <v>46275</v>
      </c>
      <c r="B150" s="81">
        <v>0.22916666666666666</v>
      </c>
      <c r="C150" s="58">
        <v>439</v>
      </c>
      <c r="D150" s="58">
        <v>1656</v>
      </c>
      <c r="E150" s="58">
        <v>0</v>
      </c>
      <c r="F150" s="58">
        <v>2185</v>
      </c>
      <c r="G150" s="86" t="s">
        <v>78</v>
      </c>
      <c r="H150" s="64">
        <v>9.6999999999999993</v>
      </c>
      <c r="I150" s="58">
        <v>-11.62</v>
      </c>
      <c r="J150" s="58">
        <v>90</v>
      </c>
      <c r="K150" s="58">
        <v>90</v>
      </c>
      <c r="L150" s="58">
        <v>90</v>
      </c>
      <c r="M150" s="58">
        <v>25.1</v>
      </c>
      <c r="N150" s="64">
        <v>6.3</v>
      </c>
      <c r="O150" s="37">
        <v>1.1100000000000001</v>
      </c>
      <c r="P150" s="58">
        <v>10</v>
      </c>
      <c r="Q150" s="64">
        <v>5.2</v>
      </c>
      <c r="R150" s="37">
        <v>0.09</v>
      </c>
      <c r="S150" s="36">
        <v>22.36</v>
      </c>
      <c r="T150" s="36">
        <v>0.88</v>
      </c>
      <c r="U150" s="36">
        <v>0.7</v>
      </c>
      <c r="V150" s="42">
        <f t="shared" si="64"/>
        <v>2192.2833333333333</v>
      </c>
      <c r="W150" s="42">
        <f t="shared" si="65"/>
        <v>1473.00381696</v>
      </c>
      <c r="X150" s="42">
        <f t="shared" si="66"/>
        <v>0.67190394351095128</v>
      </c>
      <c r="Y150" s="58">
        <v>3</v>
      </c>
      <c r="Z150" s="58">
        <v>3</v>
      </c>
      <c r="AA150" s="64">
        <v>6.4</v>
      </c>
      <c r="AB150" s="58">
        <v>18.600000000000001</v>
      </c>
      <c r="AC150" s="64">
        <v>5.6</v>
      </c>
      <c r="AD150" s="64">
        <v>2.5</v>
      </c>
      <c r="AE150" s="37">
        <v>0.17</v>
      </c>
      <c r="AF150" s="37">
        <v>0.11</v>
      </c>
      <c r="AG150" s="42">
        <f t="shared" si="46"/>
        <v>1644.2124999999999</v>
      </c>
      <c r="AH150" s="42">
        <f t="shared" si="67"/>
        <v>1762.6300572399996</v>
      </c>
      <c r="AI150" s="42">
        <f t="shared" si="68"/>
        <v>1.0720208350441318</v>
      </c>
      <c r="AJ150" s="58">
        <v>3</v>
      </c>
      <c r="AK150" s="58">
        <v>4</v>
      </c>
      <c r="AL150" s="64">
        <v>6.3</v>
      </c>
      <c r="AM150" s="58">
        <v>22.7</v>
      </c>
      <c r="AN150" s="64">
        <v>5.6</v>
      </c>
      <c r="AO150" s="64">
        <v>2.4</v>
      </c>
      <c r="AP150" s="37">
        <v>0.14000000000000001</v>
      </c>
      <c r="AQ150" s="37">
        <v>0.18</v>
      </c>
      <c r="AR150" s="73">
        <f t="shared" si="47"/>
        <v>2095</v>
      </c>
      <c r="AS150" s="75">
        <f t="shared" si="48"/>
        <v>0.20954653937947493</v>
      </c>
      <c r="AT150" s="75">
        <f t="shared" si="49"/>
        <v>0.79045346062052502</v>
      </c>
      <c r="AU150" s="75">
        <f t="shared" si="50"/>
        <v>0</v>
      </c>
      <c r="AV150" s="26">
        <f t="shared" si="51"/>
        <v>5.1075514874141879E-2</v>
      </c>
      <c r="AW150" s="26">
        <f t="shared" si="52"/>
        <v>8.3112128146453093E-2</v>
      </c>
      <c r="AX150" s="24">
        <f t="shared" si="53"/>
        <v>0.83783783783783783</v>
      </c>
      <c r="AY150" s="24">
        <f t="shared" si="54"/>
        <v>0.90090090090090091</v>
      </c>
      <c r="AZ150" s="77" t="str">
        <f t="shared" si="55"/>
        <v>5,0 ≤ Alc. Bruta &lt; 7,5 mg/L</v>
      </c>
      <c r="BA150" s="77" t="str">
        <f t="shared" si="56"/>
        <v>10 ≤ Cor &lt;15 uC</v>
      </c>
      <c r="BB150" s="78" t="str">
        <f t="shared" si="57"/>
        <v>Turbidez &lt; 2,5 uT</v>
      </c>
      <c r="BC150" s="79" t="str">
        <f t="shared" si="58"/>
        <v>SM &gt; TOR &gt; BNN</v>
      </c>
      <c r="BD150" s="78" t="str">
        <f t="shared" si="59"/>
        <v>Tipo 1 (≤0,25) uT</v>
      </c>
      <c r="BE150" s="78" t="str">
        <f t="shared" si="60"/>
        <v>Tipo 1 (≤0,25) uT</v>
      </c>
      <c r="BF150" s="78" t="str">
        <f t="shared" si="61"/>
        <v>Tipo 1 (≤0,25) uT</v>
      </c>
      <c r="BG150" s="78" t="str">
        <f t="shared" si="62"/>
        <v>Tipo 1 (≤0,25) uT</v>
      </c>
      <c r="BH150" s="78" t="str">
        <f t="shared" si="63"/>
        <v>Tipo 1 (≤0,25) uT</v>
      </c>
    </row>
    <row r="151" spans="1:60" x14ac:dyDescent="0.2">
      <c r="A151" s="30">
        <v>46275</v>
      </c>
      <c r="B151" s="82">
        <v>0.3125</v>
      </c>
      <c r="C151" s="59">
        <v>351</v>
      </c>
      <c r="D151" s="59">
        <v>1653</v>
      </c>
      <c r="E151" s="59">
        <v>0</v>
      </c>
      <c r="F151" s="59">
        <v>2185</v>
      </c>
      <c r="G151" s="87" t="s">
        <v>78</v>
      </c>
      <c r="H151" s="65">
        <v>9.6999999999999993</v>
      </c>
      <c r="I151" s="59">
        <v>-14.8</v>
      </c>
      <c r="J151" s="59">
        <v>90</v>
      </c>
      <c r="K151" s="59">
        <v>90</v>
      </c>
      <c r="L151" s="59">
        <v>90</v>
      </c>
      <c r="M151" s="59">
        <v>25</v>
      </c>
      <c r="N151" s="65">
        <v>6.3</v>
      </c>
      <c r="O151" s="38">
        <v>1.1200000000000001</v>
      </c>
      <c r="P151" s="59">
        <v>7</v>
      </c>
      <c r="Q151" s="65">
        <v>5.5</v>
      </c>
      <c r="R151" s="38">
        <v>0.08</v>
      </c>
      <c r="S151" s="36">
        <v>22.36</v>
      </c>
      <c r="T151" s="36">
        <v>0.88</v>
      </c>
      <c r="U151" s="36">
        <v>0.7</v>
      </c>
      <c r="V151" s="42">
        <f t="shared" si="64"/>
        <v>2195.9249999999997</v>
      </c>
      <c r="W151" s="42">
        <f t="shared" si="65"/>
        <v>1425.4875648</v>
      </c>
      <c r="X151" s="42">
        <f t="shared" si="66"/>
        <v>0.64915129833669194</v>
      </c>
      <c r="Y151" s="59">
        <v>3</v>
      </c>
      <c r="Z151" s="59">
        <v>3</v>
      </c>
      <c r="AA151" s="65">
        <v>6.4</v>
      </c>
      <c r="AB151" s="59">
        <v>18</v>
      </c>
      <c r="AC151" s="65">
        <v>5.7</v>
      </c>
      <c r="AD151" s="65">
        <v>3.8</v>
      </c>
      <c r="AE151" s="38">
        <v>0.15</v>
      </c>
      <c r="AF151" s="38">
        <v>0.1</v>
      </c>
      <c r="AG151" s="42">
        <f t="shared" si="46"/>
        <v>1646.9437499999999</v>
      </c>
      <c r="AH151" s="42">
        <f t="shared" si="67"/>
        <v>1708.2758263999997</v>
      </c>
      <c r="AI151" s="42">
        <f t="shared" si="68"/>
        <v>1.0372399339078822</v>
      </c>
      <c r="AJ151" s="59">
        <v>3</v>
      </c>
      <c r="AK151" s="59">
        <v>4</v>
      </c>
      <c r="AL151" s="65">
        <v>6.3</v>
      </c>
      <c r="AM151" s="59">
        <v>22</v>
      </c>
      <c r="AN151" s="65">
        <v>5.6</v>
      </c>
      <c r="AO151" s="65">
        <v>3.9</v>
      </c>
      <c r="AP151" s="38">
        <v>0.14000000000000001</v>
      </c>
      <c r="AQ151" s="38">
        <v>0.19</v>
      </c>
      <c r="AR151" s="73">
        <f t="shared" si="47"/>
        <v>2004</v>
      </c>
      <c r="AS151" s="75">
        <f t="shared" si="48"/>
        <v>0.17514970059880239</v>
      </c>
      <c r="AT151" s="75">
        <f t="shared" si="49"/>
        <v>0.82485029940119758</v>
      </c>
      <c r="AU151" s="75">
        <f t="shared" si="50"/>
        <v>0</v>
      </c>
      <c r="AV151" s="26">
        <f t="shared" si="51"/>
        <v>4.9427917620137297E-2</v>
      </c>
      <c r="AW151" s="26">
        <f t="shared" si="52"/>
        <v>8.0549199084668191E-2</v>
      </c>
      <c r="AX151" s="24">
        <f t="shared" si="53"/>
        <v>0.8303571428571429</v>
      </c>
      <c r="AY151" s="24">
        <f t="shared" si="54"/>
        <v>0.9107142857142857</v>
      </c>
      <c r="AZ151" s="77" t="str">
        <f t="shared" si="55"/>
        <v>5,0 ≤ Alc. Bruta &lt; 7,5 mg/L</v>
      </c>
      <c r="BA151" s="77" t="str">
        <f t="shared" si="56"/>
        <v>5 ≤ Cor &lt; 10 uC</v>
      </c>
      <c r="BB151" s="78" t="str">
        <f t="shared" si="57"/>
        <v>Turbidez &lt; 2,5 uT</v>
      </c>
      <c r="BC151" s="79" t="str">
        <f t="shared" si="58"/>
        <v>SM &gt; TOR &gt; BNN</v>
      </c>
      <c r="BD151" s="78" t="str">
        <f t="shared" si="59"/>
        <v>Tipo 1 (≤0,25) uT</v>
      </c>
      <c r="BE151" s="78" t="str">
        <f t="shared" si="60"/>
        <v>Tipo 1 (≤0,25) uT</v>
      </c>
      <c r="BF151" s="78" t="str">
        <f t="shared" si="61"/>
        <v>Tipo 1 (≤0,25) uT</v>
      </c>
      <c r="BG151" s="78" t="str">
        <f t="shared" si="62"/>
        <v>Tipo 1 (≤0,25) uT</v>
      </c>
      <c r="BH151" s="78" t="str">
        <f t="shared" si="63"/>
        <v>Tipo 1 (≤0,25) uT</v>
      </c>
    </row>
    <row r="152" spans="1:60" x14ac:dyDescent="0.2">
      <c r="A152" s="31">
        <v>46275</v>
      </c>
      <c r="B152" s="80">
        <v>0.39583333333333331</v>
      </c>
      <c r="C152" s="57">
        <v>357</v>
      </c>
      <c r="D152" s="57">
        <v>1654</v>
      </c>
      <c r="E152" s="57">
        <v>0</v>
      </c>
      <c r="F152" s="57">
        <v>2236</v>
      </c>
      <c r="G152" s="85" t="s">
        <v>78</v>
      </c>
      <c r="H152" s="63">
        <v>9.6999999999999993</v>
      </c>
      <c r="I152" s="57">
        <v>-20</v>
      </c>
      <c r="J152" s="57">
        <v>90</v>
      </c>
      <c r="K152" s="57">
        <v>90</v>
      </c>
      <c r="L152" s="57">
        <v>90</v>
      </c>
      <c r="M152" s="57">
        <v>25.1</v>
      </c>
      <c r="N152" s="63">
        <v>6.3</v>
      </c>
      <c r="O152" s="36">
        <v>1.08</v>
      </c>
      <c r="P152" s="57">
        <v>7</v>
      </c>
      <c r="Q152" s="63">
        <v>5.8</v>
      </c>
      <c r="R152" s="36">
        <v>0.08</v>
      </c>
      <c r="S152" s="36">
        <v>22.36</v>
      </c>
      <c r="T152" s="36">
        <v>0.88</v>
      </c>
      <c r="U152" s="36">
        <v>0.7</v>
      </c>
      <c r="V152" s="42">
        <f t="shared" si="64"/>
        <v>2232.2733333333335</v>
      </c>
      <c r="W152" s="42">
        <f t="shared" si="65"/>
        <v>1425.4875648</v>
      </c>
      <c r="X152" s="42">
        <f t="shared" si="66"/>
        <v>0.63858110183639394</v>
      </c>
      <c r="Y152" s="57">
        <v>3</v>
      </c>
      <c r="Z152" s="57">
        <v>3</v>
      </c>
      <c r="AA152" s="63">
        <v>6.4</v>
      </c>
      <c r="AB152" s="57">
        <v>18</v>
      </c>
      <c r="AC152" s="63">
        <v>5.7</v>
      </c>
      <c r="AD152" s="63">
        <v>3.8</v>
      </c>
      <c r="AE152" s="36">
        <v>0.13</v>
      </c>
      <c r="AF152" s="36">
        <v>0.12</v>
      </c>
      <c r="AG152" s="42">
        <f t="shared" si="46"/>
        <v>1674.2050000000002</v>
      </c>
      <c r="AH152" s="42">
        <f t="shared" si="67"/>
        <v>1708.2758263999997</v>
      </c>
      <c r="AI152" s="42">
        <f t="shared" si="68"/>
        <v>1.0203504507512517</v>
      </c>
      <c r="AJ152" s="57">
        <v>3</v>
      </c>
      <c r="AK152" s="57">
        <v>4</v>
      </c>
      <c r="AL152" s="63">
        <v>6.3</v>
      </c>
      <c r="AM152" s="57">
        <v>22</v>
      </c>
      <c r="AN152" s="63">
        <v>5.6</v>
      </c>
      <c r="AO152" s="63">
        <v>3.5</v>
      </c>
      <c r="AP152" s="36">
        <v>0.14000000000000001</v>
      </c>
      <c r="AQ152" s="36">
        <v>0.19</v>
      </c>
      <c r="AR152" s="73">
        <f t="shared" si="47"/>
        <v>2011</v>
      </c>
      <c r="AS152" s="75">
        <f t="shared" si="48"/>
        <v>0.1775236200895077</v>
      </c>
      <c r="AT152" s="75">
        <f t="shared" si="49"/>
        <v>0.82247637991049227</v>
      </c>
      <c r="AU152" s="75">
        <f t="shared" si="50"/>
        <v>0</v>
      </c>
      <c r="AV152" s="26">
        <f t="shared" si="51"/>
        <v>4.8300536672629693E-2</v>
      </c>
      <c r="AW152" s="26">
        <f t="shared" si="52"/>
        <v>7.8711985688729877E-2</v>
      </c>
      <c r="AX152" s="24">
        <f t="shared" si="53"/>
        <v>0.82407407407407407</v>
      </c>
      <c r="AY152" s="24">
        <f t="shared" si="54"/>
        <v>0.88888888888888884</v>
      </c>
      <c r="AZ152" s="77" t="str">
        <f t="shared" si="55"/>
        <v>5,0 ≤ Alc. Bruta &lt; 7,5 mg/L</v>
      </c>
      <c r="BA152" s="77" t="str">
        <f t="shared" si="56"/>
        <v>5 ≤ Cor &lt; 10 uC</v>
      </c>
      <c r="BB152" s="78" t="str">
        <f t="shared" si="57"/>
        <v>Turbidez &lt; 2,5 uT</v>
      </c>
      <c r="BC152" s="79" t="str">
        <f t="shared" si="58"/>
        <v>SM &gt; TOR &gt; BNN</v>
      </c>
      <c r="BD152" s="78" t="str">
        <f t="shared" si="59"/>
        <v>Tipo 1 (≤0,25) uT</v>
      </c>
      <c r="BE152" s="78" t="str">
        <f t="shared" si="60"/>
        <v>Tipo 1 (≤0,25) uT</v>
      </c>
      <c r="BF152" s="78" t="str">
        <f t="shared" si="61"/>
        <v>Tipo 1 (≤0,25) uT</v>
      </c>
      <c r="BG152" s="78" t="str">
        <f t="shared" si="62"/>
        <v>Tipo 1 (≤0,25) uT</v>
      </c>
      <c r="BH152" s="78" t="str">
        <f t="shared" si="63"/>
        <v>Tipo 1 (≤0,25) uT</v>
      </c>
    </row>
    <row r="153" spans="1:60" x14ac:dyDescent="0.2">
      <c r="A153" s="31">
        <v>46275</v>
      </c>
      <c r="B153" s="80">
        <v>0.47916666666666669</v>
      </c>
      <c r="C153" s="57">
        <v>359</v>
      </c>
      <c r="D153" s="57">
        <v>1702</v>
      </c>
      <c r="E153" s="57">
        <v>0</v>
      </c>
      <c r="F153" s="57">
        <v>2184</v>
      </c>
      <c r="G153" s="85" t="s">
        <v>78</v>
      </c>
      <c r="H153" s="63">
        <v>9.7100000000000009</v>
      </c>
      <c r="I153" s="57">
        <v>-22</v>
      </c>
      <c r="J153" s="57">
        <v>90</v>
      </c>
      <c r="K153" s="57">
        <v>90</v>
      </c>
      <c r="L153" s="57">
        <v>90</v>
      </c>
      <c r="M153" s="57">
        <v>26.2</v>
      </c>
      <c r="N153" s="63">
        <v>6.2</v>
      </c>
      <c r="O153" s="36">
        <v>0.91</v>
      </c>
      <c r="P153" s="57">
        <v>6</v>
      </c>
      <c r="Q153" s="63">
        <v>6.1</v>
      </c>
      <c r="R153" s="36">
        <v>0.09</v>
      </c>
      <c r="S153" s="36">
        <v>22.36</v>
      </c>
      <c r="T153" s="36">
        <v>0.88</v>
      </c>
      <c r="U153" s="36">
        <v>0.7</v>
      </c>
      <c r="V153" s="42">
        <f t="shared" si="64"/>
        <v>2119.5720000000001</v>
      </c>
      <c r="W153" s="42">
        <f t="shared" si="65"/>
        <v>1425.4875648</v>
      </c>
      <c r="X153" s="42">
        <f t="shared" si="66"/>
        <v>0.67253557076617354</v>
      </c>
      <c r="Y153" s="57">
        <v>3</v>
      </c>
      <c r="Z153" s="57">
        <v>3</v>
      </c>
      <c r="AA153" s="63">
        <v>6.4</v>
      </c>
      <c r="AB153" s="57">
        <v>18</v>
      </c>
      <c r="AC153" s="63">
        <v>5.7</v>
      </c>
      <c r="AD153" s="63">
        <v>4</v>
      </c>
      <c r="AE153" s="36">
        <v>0.13</v>
      </c>
      <c r="AF153" s="36">
        <v>0.16</v>
      </c>
      <c r="AG153" s="42">
        <f t="shared" si="46"/>
        <v>1589.6790000000001</v>
      </c>
      <c r="AH153" s="42">
        <f t="shared" si="67"/>
        <v>1708.2758263999997</v>
      </c>
      <c r="AI153" s="42">
        <f t="shared" si="68"/>
        <v>1.0746042606085879</v>
      </c>
      <c r="AJ153" s="57">
        <v>3</v>
      </c>
      <c r="AK153" s="57">
        <v>4</v>
      </c>
      <c r="AL153" s="63">
        <v>6.3</v>
      </c>
      <c r="AM153" s="57">
        <v>22</v>
      </c>
      <c r="AN153" s="63">
        <v>5.6</v>
      </c>
      <c r="AO153" s="63">
        <v>4.0999999999999996</v>
      </c>
      <c r="AP153" s="36">
        <v>0.12</v>
      </c>
      <c r="AQ153" s="36">
        <v>0.19</v>
      </c>
      <c r="AR153" s="73">
        <f t="shared" si="47"/>
        <v>2061</v>
      </c>
      <c r="AS153" s="75">
        <f t="shared" si="48"/>
        <v>0.17418728772440562</v>
      </c>
      <c r="AT153" s="75">
        <f t="shared" si="49"/>
        <v>0.82581271227559438</v>
      </c>
      <c r="AU153" s="75">
        <f t="shared" si="50"/>
        <v>0</v>
      </c>
      <c r="AV153" s="26">
        <f t="shared" si="51"/>
        <v>4.9450549450549448E-2</v>
      </c>
      <c r="AW153" s="26">
        <f t="shared" si="52"/>
        <v>8.0586080586080591E-2</v>
      </c>
      <c r="AX153" s="24">
        <f t="shared" si="53"/>
        <v>0.79120879120879117</v>
      </c>
      <c r="AY153" s="24">
        <f t="shared" si="54"/>
        <v>0.82417582417582413</v>
      </c>
      <c r="AZ153" s="77" t="str">
        <f t="shared" si="55"/>
        <v>5,0 ≤ Alc. Bruta &lt; 7,5 mg/L</v>
      </c>
      <c r="BA153" s="77" t="str">
        <f t="shared" si="56"/>
        <v>5 ≤ Cor &lt; 10 uC</v>
      </c>
      <c r="BB153" s="78" t="str">
        <f t="shared" si="57"/>
        <v>Turbidez &lt; 2,5 uT</v>
      </c>
      <c r="BC153" s="79" t="str">
        <f t="shared" si="58"/>
        <v>SM &gt; TOR &gt; BNN</v>
      </c>
      <c r="BD153" s="78" t="str">
        <f t="shared" si="59"/>
        <v>Tipo 1 (≤0,25) uT</v>
      </c>
      <c r="BE153" s="78" t="str">
        <f t="shared" si="60"/>
        <v>Tipo 1 (≤0,25) uT</v>
      </c>
      <c r="BF153" s="78" t="str">
        <f t="shared" si="61"/>
        <v>Tipo 1 (≤0,25) uT</v>
      </c>
      <c r="BG153" s="78" t="str">
        <f t="shared" si="62"/>
        <v>Tipo 1 (≤0,25) uT</v>
      </c>
      <c r="BH153" s="78" t="str">
        <f t="shared" si="63"/>
        <v>Tipo 1 (≤0,25) uT</v>
      </c>
    </row>
    <row r="154" spans="1:60" x14ac:dyDescent="0.2">
      <c r="A154" s="31">
        <v>46275</v>
      </c>
      <c r="B154" s="80">
        <v>0.64583333333333337</v>
      </c>
      <c r="C154" s="57">
        <v>347</v>
      </c>
      <c r="D154" s="57">
        <v>1701</v>
      </c>
      <c r="E154" s="57">
        <v>250</v>
      </c>
      <c r="F154" s="57">
        <v>2438</v>
      </c>
      <c r="G154" s="85" t="s">
        <v>78</v>
      </c>
      <c r="H154" s="63">
        <v>9.6999999999999993</v>
      </c>
      <c r="I154" s="57">
        <v>-21</v>
      </c>
      <c r="J154" s="57">
        <v>90</v>
      </c>
      <c r="K154" s="57">
        <v>90</v>
      </c>
      <c r="L154" s="57">
        <v>90</v>
      </c>
      <c r="M154" s="57">
        <v>25.6</v>
      </c>
      <c r="N154" s="63">
        <v>6.3</v>
      </c>
      <c r="O154" s="36">
        <v>1.78</v>
      </c>
      <c r="P154" s="57">
        <v>10</v>
      </c>
      <c r="Q154" s="63">
        <v>7.7</v>
      </c>
      <c r="R154" s="36">
        <v>0.12</v>
      </c>
      <c r="S154" s="36">
        <v>22.36</v>
      </c>
      <c r="T154" s="36">
        <v>0.88</v>
      </c>
      <c r="U154" s="36">
        <v>0.7</v>
      </c>
      <c r="V154" s="42">
        <f t="shared" si="64"/>
        <v>2038.7774999999999</v>
      </c>
      <c r="W154" s="42">
        <f t="shared" si="65"/>
        <v>1491.1839279999999</v>
      </c>
      <c r="X154" s="42">
        <f t="shared" si="66"/>
        <v>0.73141082241686495</v>
      </c>
      <c r="Y154" s="57">
        <v>3</v>
      </c>
      <c r="Z154" s="57">
        <v>4</v>
      </c>
      <c r="AA154" s="63">
        <v>6.1</v>
      </c>
      <c r="AB154" s="57">
        <v>20</v>
      </c>
      <c r="AC154" s="63">
        <v>6</v>
      </c>
      <c r="AD154" s="63">
        <v>6</v>
      </c>
      <c r="AE154" s="36">
        <v>0.19</v>
      </c>
      <c r="AF154" s="36">
        <v>0.12</v>
      </c>
      <c r="AG154" s="42">
        <f t="shared" si="46"/>
        <v>2038.7774999999999</v>
      </c>
      <c r="AH154" s="42">
        <f t="shared" si="67"/>
        <v>1708.2758263999997</v>
      </c>
      <c r="AI154" s="42">
        <f t="shared" si="68"/>
        <v>0.83789223022129666</v>
      </c>
      <c r="AJ154" s="57">
        <v>3</v>
      </c>
      <c r="AK154" s="57">
        <v>4</v>
      </c>
      <c r="AL154" s="63">
        <v>6.3</v>
      </c>
      <c r="AM154" s="57">
        <v>22</v>
      </c>
      <c r="AN154" s="63">
        <v>5.9</v>
      </c>
      <c r="AO154" s="63">
        <v>4.5999999999999996</v>
      </c>
      <c r="AP154" s="36">
        <v>0.12</v>
      </c>
      <c r="AQ154" s="36">
        <v>0.18</v>
      </c>
      <c r="AR154" s="73">
        <f t="shared" si="47"/>
        <v>2298</v>
      </c>
      <c r="AS154" s="75">
        <f t="shared" si="48"/>
        <v>0.15100087032201914</v>
      </c>
      <c r="AT154" s="75">
        <f t="shared" si="49"/>
        <v>0.74020887728459528</v>
      </c>
      <c r="AU154" s="75">
        <f t="shared" si="50"/>
        <v>0.10879025239338555</v>
      </c>
      <c r="AV154" s="26">
        <f t="shared" si="51"/>
        <v>6.5627563576702214E-2</v>
      </c>
      <c r="AW154" s="26">
        <f t="shared" si="52"/>
        <v>7.2190319934372443E-2</v>
      </c>
      <c r="AX154" s="24">
        <f t="shared" si="53"/>
        <v>0.898876404494382</v>
      </c>
      <c r="AY154" s="24">
        <f t="shared" si="54"/>
        <v>0.93258426966292141</v>
      </c>
      <c r="AZ154" s="77" t="str">
        <f t="shared" si="55"/>
        <v>7,5 ≤ Alc. Bruta &lt; 10,0 mg/L</v>
      </c>
      <c r="BA154" s="77" t="str">
        <f t="shared" si="56"/>
        <v>10 ≤ Cor &lt;15 uC</v>
      </c>
      <c r="BB154" s="78" t="str">
        <f t="shared" si="57"/>
        <v>Turbidez &lt; 2,5 uT</v>
      </c>
      <c r="BC154" s="79" t="str">
        <f t="shared" si="58"/>
        <v>SM &gt; TOR &gt; BNN</v>
      </c>
      <c r="BD154" s="78" t="str">
        <f t="shared" si="59"/>
        <v>Tipo 1 (≤0,25) uT</v>
      </c>
      <c r="BE154" s="78" t="str">
        <f t="shared" si="60"/>
        <v>Tipo 1 (≤0,25) uT</v>
      </c>
      <c r="BF154" s="78" t="str">
        <f t="shared" si="61"/>
        <v>Tipo 1 (≤0,25) uT</v>
      </c>
      <c r="BG154" s="78" t="str">
        <f t="shared" si="62"/>
        <v>Tipo 1 (≤0,25) uT</v>
      </c>
      <c r="BH154" s="78" t="str">
        <f t="shared" si="63"/>
        <v>Tipo 1 (≤0,25) uT</v>
      </c>
    </row>
    <row r="155" spans="1:60" x14ac:dyDescent="0.2">
      <c r="A155" s="31">
        <v>46275</v>
      </c>
      <c r="B155" s="80">
        <v>0.72916666666666663</v>
      </c>
      <c r="C155" s="57">
        <v>337</v>
      </c>
      <c r="D155" s="57">
        <v>1777</v>
      </c>
      <c r="E155" s="57">
        <v>250</v>
      </c>
      <c r="F155" s="57">
        <v>2382</v>
      </c>
      <c r="G155" s="85" t="s">
        <v>78</v>
      </c>
      <c r="H155" s="63">
        <v>9.6999999999999993</v>
      </c>
      <c r="I155" s="57">
        <v>-18</v>
      </c>
      <c r="J155" s="57">
        <v>90</v>
      </c>
      <c r="K155" s="57">
        <v>90</v>
      </c>
      <c r="L155" s="57">
        <v>90</v>
      </c>
      <c r="M155" s="57">
        <v>25.5</v>
      </c>
      <c r="N155" s="63">
        <v>6.2</v>
      </c>
      <c r="O155" s="36">
        <v>1.42</v>
      </c>
      <c r="P155" s="57">
        <v>10</v>
      </c>
      <c r="Q155" s="63">
        <v>7.8</v>
      </c>
      <c r="R155" s="36">
        <v>0.1</v>
      </c>
      <c r="S155" s="36">
        <v>22.36</v>
      </c>
      <c r="T155" s="36">
        <v>0.88</v>
      </c>
      <c r="U155" s="36">
        <v>0.7</v>
      </c>
      <c r="V155" s="42">
        <f t="shared" si="64"/>
        <v>1884.7574999999999</v>
      </c>
      <c r="W155" s="42">
        <f t="shared" si="65"/>
        <v>1491.1839279999999</v>
      </c>
      <c r="X155" s="42">
        <f t="shared" si="66"/>
        <v>0.79118079010164433</v>
      </c>
      <c r="Y155" s="57">
        <v>3</v>
      </c>
      <c r="Z155" s="57">
        <v>4</v>
      </c>
      <c r="AA155" s="63">
        <v>6.1</v>
      </c>
      <c r="AB155" s="57">
        <v>20</v>
      </c>
      <c r="AC155" s="63">
        <v>6</v>
      </c>
      <c r="AD155" s="63">
        <v>5.4</v>
      </c>
      <c r="AE155" s="36">
        <v>0.17</v>
      </c>
      <c r="AF155" s="36">
        <v>0.12</v>
      </c>
      <c r="AG155" s="42">
        <f t="shared" si="46"/>
        <v>1884.7574999999999</v>
      </c>
      <c r="AH155" s="42">
        <f t="shared" si="67"/>
        <v>1708.2758263999997</v>
      </c>
      <c r="AI155" s="42">
        <f t="shared" si="68"/>
        <v>0.90636372392734865</v>
      </c>
      <c r="AJ155" s="57">
        <v>3</v>
      </c>
      <c r="AK155" s="57">
        <v>4</v>
      </c>
      <c r="AL155" s="63">
        <v>6.3</v>
      </c>
      <c r="AM155" s="57">
        <v>22</v>
      </c>
      <c r="AN155" s="63">
        <v>5.9</v>
      </c>
      <c r="AO155" s="63">
        <v>5.4</v>
      </c>
      <c r="AP155" s="36">
        <v>0.1</v>
      </c>
      <c r="AQ155" s="36">
        <v>0.21</v>
      </c>
      <c r="AR155" s="73">
        <f t="shared" si="47"/>
        <v>2364</v>
      </c>
      <c r="AS155" s="75">
        <f t="shared" si="48"/>
        <v>0.14255499153976312</v>
      </c>
      <c r="AT155" s="75">
        <f t="shared" si="49"/>
        <v>0.75169204737732653</v>
      </c>
      <c r="AU155" s="75">
        <f t="shared" si="50"/>
        <v>0.10575296108291032</v>
      </c>
      <c r="AV155" s="26">
        <f t="shared" si="51"/>
        <v>6.7170445004198151E-2</v>
      </c>
      <c r="AW155" s="26">
        <f t="shared" si="52"/>
        <v>7.3887489504617973E-2</v>
      </c>
      <c r="AX155" s="24">
        <f t="shared" si="53"/>
        <v>0.852112676056338</v>
      </c>
      <c r="AY155" s="24">
        <f t="shared" si="54"/>
        <v>0.91549295774647887</v>
      </c>
      <c r="AZ155" s="77" t="str">
        <f t="shared" si="55"/>
        <v>7,5 ≤ Alc. Bruta &lt; 10,0 mg/L</v>
      </c>
      <c r="BA155" s="77" t="str">
        <f t="shared" si="56"/>
        <v>10 ≤ Cor &lt;15 uC</v>
      </c>
      <c r="BB155" s="78" t="str">
        <f t="shared" si="57"/>
        <v>Turbidez &lt; 2,5 uT</v>
      </c>
      <c r="BC155" s="79" t="str">
        <f t="shared" si="58"/>
        <v>SM &gt; TOR &gt; BNN</v>
      </c>
      <c r="BD155" s="78" t="str">
        <f t="shared" si="59"/>
        <v>Tipo 1 (≤0,25) uT</v>
      </c>
      <c r="BE155" s="78" t="str">
        <f t="shared" si="60"/>
        <v>Tipo 1 (≤0,25) uT</v>
      </c>
      <c r="BF155" s="78" t="str">
        <f t="shared" si="61"/>
        <v>Tipo 1 (≤0,25) uT</v>
      </c>
      <c r="BG155" s="78" t="str">
        <f t="shared" si="62"/>
        <v>Tipo 1 (≤0,25) uT</v>
      </c>
      <c r="BH155" s="78" t="str">
        <f t="shared" si="63"/>
        <v>Tipo 1 (≤0,25) uT</v>
      </c>
    </row>
    <row r="156" spans="1:60" x14ac:dyDescent="0.2">
      <c r="A156" s="31">
        <v>46275</v>
      </c>
      <c r="B156" s="80">
        <v>0.8125</v>
      </c>
      <c r="C156" s="57">
        <v>324</v>
      </c>
      <c r="D156" s="57">
        <v>1672</v>
      </c>
      <c r="E156" s="57">
        <v>250</v>
      </c>
      <c r="F156" s="57">
        <v>2298</v>
      </c>
      <c r="G156" s="85" t="s">
        <v>78</v>
      </c>
      <c r="H156" s="63">
        <v>10</v>
      </c>
      <c r="I156" s="57">
        <v>-15</v>
      </c>
      <c r="J156" s="57">
        <v>90</v>
      </c>
      <c r="K156" s="57">
        <v>90</v>
      </c>
      <c r="L156" s="57">
        <v>90</v>
      </c>
      <c r="M156" s="57">
        <v>25.2</v>
      </c>
      <c r="N156" s="63">
        <v>6.3</v>
      </c>
      <c r="O156" s="36">
        <v>1.53</v>
      </c>
      <c r="P156" s="57">
        <v>11</v>
      </c>
      <c r="Q156" s="63">
        <v>8.6</v>
      </c>
      <c r="R156" s="36">
        <v>0.09</v>
      </c>
      <c r="S156" s="36">
        <v>22.36</v>
      </c>
      <c r="T156" s="36">
        <v>0.88</v>
      </c>
      <c r="U156" s="36">
        <v>0.7</v>
      </c>
      <c r="V156" s="42">
        <f t="shared" si="64"/>
        <v>1875.7425000000001</v>
      </c>
      <c r="W156" s="42">
        <f t="shared" si="65"/>
        <v>1491.1839279999999</v>
      </c>
      <c r="X156" s="42">
        <f t="shared" si="66"/>
        <v>0.79498328155383791</v>
      </c>
      <c r="Y156" s="57">
        <v>3</v>
      </c>
      <c r="Z156" s="57">
        <v>4</v>
      </c>
      <c r="AA156" s="63">
        <v>6.1</v>
      </c>
      <c r="AB156" s="57">
        <v>20</v>
      </c>
      <c r="AC156" s="63">
        <v>5.9</v>
      </c>
      <c r="AD156" s="63">
        <v>5.6</v>
      </c>
      <c r="AE156" s="36">
        <v>0.13</v>
      </c>
      <c r="AF156" s="36">
        <v>0.1</v>
      </c>
      <c r="AG156" s="42">
        <f t="shared" si="46"/>
        <v>1875.7425000000001</v>
      </c>
      <c r="AH156" s="42">
        <f t="shared" si="67"/>
        <v>1708.2758263999997</v>
      </c>
      <c r="AI156" s="42">
        <f t="shared" si="68"/>
        <v>0.91071979570756623</v>
      </c>
      <c r="AJ156" s="57">
        <v>3</v>
      </c>
      <c r="AK156" s="57">
        <v>4</v>
      </c>
      <c r="AL156" s="63">
        <v>6.3</v>
      </c>
      <c r="AM156" s="57">
        <v>22</v>
      </c>
      <c r="AN156" s="63">
        <v>6</v>
      </c>
      <c r="AO156" s="63">
        <v>5.6</v>
      </c>
      <c r="AP156" s="36">
        <v>0.11</v>
      </c>
      <c r="AQ156" s="36">
        <v>0.18</v>
      </c>
      <c r="AR156" s="73">
        <f t="shared" si="47"/>
        <v>2246</v>
      </c>
      <c r="AS156" s="75">
        <f t="shared" si="48"/>
        <v>0.14425645592163847</v>
      </c>
      <c r="AT156" s="75">
        <f t="shared" si="49"/>
        <v>0.74443455031166517</v>
      </c>
      <c r="AU156" s="75">
        <f t="shared" si="50"/>
        <v>0.11130899376669635</v>
      </c>
      <c r="AV156" s="26">
        <f t="shared" si="51"/>
        <v>6.962576153176675E-2</v>
      </c>
      <c r="AW156" s="26">
        <f t="shared" si="52"/>
        <v>7.6588337684943428E-2</v>
      </c>
      <c r="AX156" s="24">
        <f t="shared" si="53"/>
        <v>0.88235294117647056</v>
      </c>
      <c r="AY156" s="24">
        <f t="shared" si="54"/>
        <v>0.934640522875817</v>
      </c>
      <c r="AZ156" s="77" t="str">
        <f t="shared" si="55"/>
        <v>7,5 ≤ Alc. Bruta &lt; 10,0 mg/L</v>
      </c>
      <c r="BA156" s="77" t="str">
        <f t="shared" si="56"/>
        <v>10 ≤ Cor &lt;15 uC</v>
      </c>
      <c r="BB156" s="78" t="str">
        <f t="shared" si="57"/>
        <v>Turbidez &lt; 2,5 uT</v>
      </c>
      <c r="BC156" s="79" t="str">
        <f t="shared" si="58"/>
        <v>SM &gt; TOR &gt; BNN</v>
      </c>
      <c r="BD156" s="78" t="str">
        <f t="shared" si="59"/>
        <v>Tipo 1 (≤0,25) uT</v>
      </c>
      <c r="BE156" s="78" t="str">
        <f t="shared" si="60"/>
        <v>Tipo 1 (≤0,25) uT</v>
      </c>
      <c r="BF156" s="78" t="str">
        <f t="shared" si="61"/>
        <v>Tipo 1 (≤0,25) uT</v>
      </c>
      <c r="BG156" s="78" t="str">
        <f t="shared" si="62"/>
        <v>Tipo 1 (≤0,25) uT</v>
      </c>
      <c r="BH156" s="78" t="str">
        <f t="shared" si="63"/>
        <v>Tipo 1 (≤0,25) uT</v>
      </c>
    </row>
    <row r="157" spans="1:60" x14ac:dyDescent="0.2">
      <c r="A157" s="31">
        <v>46275</v>
      </c>
      <c r="B157" s="80">
        <v>0.89583333333333337</v>
      </c>
      <c r="C157" s="57">
        <v>320</v>
      </c>
      <c r="D157" s="57">
        <v>1660</v>
      </c>
      <c r="E157" s="57">
        <v>250</v>
      </c>
      <c r="F157" s="57">
        <v>2240</v>
      </c>
      <c r="G157" s="85" t="s">
        <v>78</v>
      </c>
      <c r="H157" s="63">
        <v>10</v>
      </c>
      <c r="I157" s="57">
        <v>-10</v>
      </c>
      <c r="J157" s="57">
        <v>90</v>
      </c>
      <c r="K157" s="57">
        <v>90</v>
      </c>
      <c r="L157" s="57">
        <v>90</v>
      </c>
      <c r="M157" s="57">
        <v>25.5</v>
      </c>
      <c r="N157" s="63">
        <v>6.1</v>
      </c>
      <c r="O157" s="36">
        <v>1.38</v>
      </c>
      <c r="P157" s="57">
        <v>8</v>
      </c>
      <c r="Q157" s="63">
        <v>8.1999999999999993</v>
      </c>
      <c r="R157" s="36">
        <v>0.09</v>
      </c>
      <c r="S157" s="36">
        <v>22.36</v>
      </c>
      <c r="T157" s="36">
        <v>0.88</v>
      </c>
      <c r="U157" s="36">
        <v>0.7</v>
      </c>
      <c r="V157" s="42">
        <f t="shared" si="64"/>
        <v>1786.3999999999999</v>
      </c>
      <c r="W157" s="42">
        <f t="shared" si="65"/>
        <v>1663.0688255999999</v>
      </c>
      <c r="X157" s="42">
        <f t="shared" si="66"/>
        <v>0.930961053291536</v>
      </c>
      <c r="Y157" s="57">
        <v>3</v>
      </c>
      <c r="Z157" s="57">
        <v>4</v>
      </c>
      <c r="AA157" s="63">
        <v>6.4</v>
      </c>
      <c r="AB157" s="57">
        <v>21</v>
      </c>
      <c r="AC157" s="63">
        <v>5.9</v>
      </c>
      <c r="AD157" s="63">
        <v>5.4</v>
      </c>
      <c r="AE157" s="36">
        <v>0.16</v>
      </c>
      <c r="AF157" s="36">
        <v>0.12</v>
      </c>
      <c r="AG157" s="42">
        <f t="shared" si="46"/>
        <v>1786.3999999999999</v>
      </c>
      <c r="AH157" s="42">
        <f t="shared" si="67"/>
        <v>1821.4563327999999</v>
      </c>
      <c r="AI157" s="42">
        <f t="shared" si="68"/>
        <v>1.0196240107478729</v>
      </c>
      <c r="AJ157" s="57">
        <v>3</v>
      </c>
      <c r="AK157" s="57">
        <v>4</v>
      </c>
      <c r="AL157" s="63">
        <v>6.4</v>
      </c>
      <c r="AM157" s="57">
        <v>23</v>
      </c>
      <c r="AN157" s="63">
        <v>5.9</v>
      </c>
      <c r="AO157" s="63">
        <v>6.2</v>
      </c>
      <c r="AP157" s="36">
        <v>0.13</v>
      </c>
      <c r="AQ157" s="36">
        <v>0.17</v>
      </c>
      <c r="AR157" s="73">
        <f t="shared" si="47"/>
        <v>2230</v>
      </c>
      <c r="AS157" s="75">
        <f t="shared" si="48"/>
        <v>0.14349775784753363</v>
      </c>
      <c r="AT157" s="75">
        <f t="shared" si="49"/>
        <v>0.74439461883408076</v>
      </c>
      <c r="AU157" s="75">
        <f t="shared" si="50"/>
        <v>0.11210762331838565</v>
      </c>
      <c r="AV157" s="26">
        <f t="shared" si="51"/>
        <v>7.4999999999999997E-2</v>
      </c>
      <c r="AW157" s="26">
        <f t="shared" si="52"/>
        <v>8.2142857142857142E-2</v>
      </c>
      <c r="AX157" s="24">
        <f t="shared" si="53"/>
        <v>0.87681159420289856</v>
      </c>
      <c r="AY157" s="24">
        <f t="shared" si="54"/>
        <v>0.91304347826086962</v>
      </c>
      <c r="AZ157" s="77" t="str">
        <f t="shared" si="55"/>
        <v>7,5 ≤ Alc. Bruta &lt; 10,0 mg/L</v>
      </c>
      <c r="BA157" s="77" t="str">
        <f t="shared" si="56"/>
        <v>5 ≤ Cor &lt; 10 uC</v>
      </c>
      <c r="BB157" s="78" t="str">
        <f t="shared" si="57"/>
        <v>Turbidez &lt; 2,5 uT</v>
      </c>
      <c r="BC157" s="79" t="str">
        <f t="shared" si="58"/>
        <v>SM &gt; TOR &gt; BNN</v>
      </c>
      <c r="BD157" s="78" t="str">
        <f t="shared" si="59"/>
        <v>Tipo 1 (≤0,25) uT</v>
      </c>
      <c r="BE157" s="78" t="str">
        <f t="shared" si="60"/>
        <v>Tipo 1 (≤0,25) uT</v>
      </c>
      <c r="BF157" s="78" t="str">
        <f t="shared" si="61"/>
        <v>Tipo 1 (≤0,25) uT</v>
      </c>
      <c r="BG157" s="78" t="str">
        <f t="shared" si="62"/>
        <v>Tipo 1 (≤0,25) uT</v>
      </c>
      <c r="BH157" s="78" t="str">
        <f t="shared" si="63"/>
        <v>Tipo 1 (≤0,25) uT</v>
      </c>
    </row>
    <row r="158" spans="1:60" x14ac:dyDescent="0.2">
      <c r="A158" s="31">
        <v>46276</v>
      </c>
      <c r="B158" s="80">
        <v>6.25E-2</v>
      </c>
      <c r="C158" s="57">
        <v>342</v>
      </c>
      <c r="D158" s="57">
        <v>1659</v>
      </c>
      <c r="E158" s="57">
        <v>250</v>
      </c>
      <c r="F158" s="57">
        <v>2247</v>
      </c>
      <c r="G158" s="85" t="s">
        <v>78</v>
      </c>
      <c r="H158" s="63">
        <v>10</v>
      </c>
      <c r="I158" s="57">
        <v>-9</v>
      </c>
      <c r="J158" s="57">
        <v>90</v>
      </c>
      <c r="K158" s="57">
        <v>90</v>
      </c>
      <c r="L158" s="57">
        <v>90</v>
      </c>
      <c r="M158" s="57">
        <v>25.2</v>
      </c>
      <c r="N158" s="63">
        <v>6.3</v>
      </c>
      <c r="O158" s="36">
        <v>1.49</v>
      </c>
      <c r="P158" s="57">
        <v>10</v>
      </c>
      <c r="Q158" s="63">
        <v>8.5</v>
      </c>
      <c r="R158" s="36">
        <v>0.1</v>
      </c>
      <c r="S158" s="36">
        <v>22.36</v>
      </c>
      <c r="T158" s="36">
        <v>0.88</v>
      </c>
      <c r="U158" s="36">
        <v>0.7</v>
      </c>
      <c r="V158" s="42">
        <f t="shared" si="64"/>
        <v>1822.8787500000001</v>
      </c>
      <c r="W158" s="42">
        <f t="shared" si="65"/>
        <v>1598.1850248000001</v>
      </c>
      <c r="X158" s="42">
        <f t="shared" si="66"/>
        <v>0.87673687830306868</v>
      </c>
      <c r="Y158" s="57">
        <v>4</v>
      </c>
      <c r="Z158" s="57">
        <v>4</v>
      </c>
      <c r="AA158" s="63">
        <v>6.2</v>
      </c>
      <c r="AB158" s="57">
        <v>21</v>
      </c>
      <c r="AC158" s="63">
        <v>5.9</v>
      </c>
      <c r="AD158" s="63">
        <v>5.6</v>
      </c>
      <c r="AE158" s="36">
        <v>0.21</v>
      </c>
      <c r="AF158" s="36">
        <v>0.11</v>
      </c>
      <c r="AG158" s="42">
        <f t="shared" si="46"/>
        <v>1822.8787500000001</v>
      </c>
      <c r="AH158" s="42">
        <f t="shared" si="67"/>
        <v>1821.4563327999999</v>
      </c>
      <c r="AI158" s="42">
        <f t="shared" si="68"/>
        <v>0.99921968633404712</v>
      </c>
      <c r="AJ158" s="57">
        <v>3</v>
      </c>
      <c r="AK158" s="57">
        <v>4</v>
      </c>
      <c r="AL158" s="63">
        <v>6.4</v>
      </c>
      <c r="AM158" s="57">
        <v>23</v>
      </c>
      <c r="AN158" s="63">
        <v>6</v>
      </c>
      <c r="AO158" s="63">
        <v>5.8</v>
      </c>
      <c r="AP158" s="36">
        <v>0.14000000000000001</v>
      </c>
      <c r="AQ158" s="36">
        <v>0.19</v>
      </c>
      <c r="AR158" s="73">
        <f t="shared" si="47"/>
        <v>2251</v>
      </c>
      <c r="AS158" s="75">
        <f t="shared" si="48"/>
        <v>0.15193247445579741</v>
      </c>
      <c r="AT158" s="75">
        <f t="shared" si="49"/>
        <v>0.73700577521101729</v>
      </c>
      <c r="AU158" s="75">
        <f t="shared" si="50"/>
        <v>0.11106175033318526</v>
      </c>
      <c r="AV158" s="26">
        <f t="shared" si="51"/>
        <v>7.476635514018691E-2</v>
      </c>
      <c r="AW158" s="26">
        <f t="shared" si="52"/>
        <v>8.188696039163329E-2</v>
      </c>
      <c r="AX158" s="24">
        <f t="shared" si="53"/>
        <v>0.87248322147651003</v>
      </c>
      <c r="AY158" s="24">
        <f t="shared" si="54"/>
        <v>0.9261744966442953</v>
      </c>
      <c r="AZ158" s="77" t="str">
        <f t="shared" si="55"/>
        <v>7,5 ≤ Alc. Bruta &lt; 10,0 mg/L</v>
      </c>
      <c r="BA158" s="77" t="str">
        <f t="shared" si="56"/>
        <v>10 ≤ Cor &lt;15 uC</v>
      </c>
      <c r="BB158" s="78" t="str">
        <f t="shared" si="57"/>
        <v>Turbidez &lt; 2,5 uT</v>
      </c>
      <c r="BC158" s="79" t="str">
        <f t="shared" si="58"/>
        <v>SM &gt; TOR &gt; BNN</v>
      </c>
      <c r="BD158" s="78" t="str">
        <f t="shared" si="59"/>
        <v>Tipo 1 (≤0,25) uT</v>
      </c>
      <c r="BE158" s="78" t="str">
        <f t="shared" si="60"/>
        <v>Tipo 1 (≤0,25) uT</v>
      </c>
      <c r="BF158" s="78" t="str">
        <f t="shared" si="61"/>
        <v>Tipo 1 (≤0,25) uT</v>
      </c>
      <c r="BG158" s="78" t="str">
        <f t="shared" si="62"/>
        <v>Tipo 1 (≤0,25) uT</v>
      </c>
      <c r="BH158" s="78" t="str">
        <f t="shared" si="63"/>
        <v>Tipo 1 (≤0,25) uT</v>
      </c>
    </row>
    <row r="159" spans="1:60" x14ac:dyDescent="0.2">
      <c r="A159" s="31">
        <v>46276</v>
      </c>
      <c r="B159" s="80">
        <v>0.14583333333333334</v>
      </c>
      <c r="C159" s="57">
        <v>335</v>
      </c>
      <c r="D159" s="57">
        <v>1680</v>
      </c>
      <c r="E159" s="57">
        <v>250</v>
      </c>
      <c r="F159" s="57">
        <v>2250</v>
      </c>
      <c r="G159" s="85" t="s">
        <v>78</v>
      </c>
      <c r="H159" s="63">
        <v>10</v>
      </c>
      <c r="I159" s="57">
        <v>-4</v>
      </c>
      <c r="J159" s="57">
        <v>90</v>
      </c>
      <c r="K159" s="57">
        <v>90</v>
      </c>
      <c r="L159" s="57">
        <v>90</v>
      </c>
      <c r="M159" s="57">
        <v>25</v>
      </c>
      <c r="N159" s="63">
        <v>6.1</v>
      </c>
      <c r="O159" s="36">
        <v>1.43</v>
      </c>
      <c r="P159" s="57">
        <v>8</v>
      </c>
      <c r="Q159" s="63">
        <v>8.3000000000000007</v>
      </c>
      <c r="R159" s="36">
        <v>0.11</v>
      </c>
      <c r="S159" s="36">
        <v>22.36</v>
      </c>
      <c r="T159" s="36">
        <v>0.88</v>
      </c>
      <c r="U159" s="36">
        <v>0.7</v>
      </c>
      <c r="V159" s="42">
        <f t="shared" si="64"/>
        <v>1808.4375</v>
      </c>
      <c r="W159" s="42">
        <f t="shared" si="65"/>
        <v>1598.1850248000001</v>
      </c>
      <c r="X159" s="42">
        <f t="shared" si="66"/>
        <v>0.88373804723691041</v>
      </c>
      <c r="Y159" s="57">
        <v>3</v>
      </c>
      <c r="Z159" s="57">
        <v>4</v>
      </c>
      <c r="AA159" s="63">
        <v>6.2</v>
      </c>
      <c r="AB159" s="57">
        <v>21</v>
      </c>
      <c r="AC159" s="63">
        <v>5.9</v>
      </c>
      <c r="AD159" s="63">
        <v>5.8</v>
      </c>
      <c r="AE159" s="36">
        <v>0.15</v>
      </c>
      <c r="AF159" s="36">
        <v>0.15</v>
      </c>
      <c r="AG159" s="42">
        <f t="shared" si="46"/>
        <v>1808.4375</v>
      </c>
      <c r="AH159" s="42">
        <f t="shared" si="67"/>
        <v>1821.4563327999999</v>
      </c>
      <c r="AI159" s="42">
        <f t="shared" si="68"/>
        <v>1.007198939858303</v>
      </c>
      <c r="AJ159" s="57">
        <v>3</v>
      </c>
      <c r="AK159" s="57">
        <v>4</v>
      </c>
      <c r="AL159" s="63">
        <v>6.4</v>
      </c>
      <c r="AM159" s="57">
        <v>23</v>
      </c>
      <c r="AN159" s="63">
        <v>5.9</v>
      </c>
      <c r="AO159" s="63">
        <v>6.1</v>
      </c>
      <c r="AP159" s="36">
        <v>0.18</v>
      </c>
      <c r="AQ159" s="36">
        <v>0.18</v>
      </c>
      <c r="AR159" s="73">
        <f t="shared" si="47"/>
        <v>2265</v>
      </c>
      <c r="AS159" s="75">
        <f t="shared" si="48"/>
        <v>0.1479028697571744</v>
      </c>
      <c r="AT159" s="75">
        <f t="shared" si="49"/>
        <v>0.74172185430463577</v>
      </c>
      <c r="AU159" s="75">
        <f t="shared" si="50"/>
        <v>0.11037527593818984</v>
      </c>
      <c r="AV159" s="26">
        <f t="shared" si="51"/>
        <v>7.4666666666666673E-2</v>
      </c>
      <c r="AW159" s="26">
        <f t="shared" si="52"/>
        <v>8.1777777777777783E-2</v>
      </c>
      <c r="AX159" s="24">
        <f t="shared" si="53"/>
        <v>0.87412587412587417</v>
      </c>
      <c r="AY159" s="24">
        <f t="shared" si="54"/>
        <v>0.8951048951048951</v>
      </c>
      <c r="AZ159" s="77" t="str">
        <f t="shared" si="55"/>
        <v>7,5 ≤ Alc. Bruta &lt; 10,0 mg/L</v>
      </c>
      <c r="BA159" s="77" t="str">
        <f t="shared" si="56"/>
        <v>5 ≤ Cor &lt; 10 uC</v>
      </c>
      <c r="BB159" s="78" t="str">
        <f t="shared" si="57"/>
        <v>Turbidez &lt; 2,5 uT</v>
      </c>
      <c r="BC159" s="79" t="str">
        <f t="shared" si="58"/>
        <v>SM &gt; TOR &gt; BNN</v>
      </c>
      <c r="BD159" s="78" t="str">
        <f t="shared" si="59"/>
        <v>Tipo 1 (≤0,25) uT</v>
      </c>
      <c r="BE159" s="78" t="str">
        <f t="shared" si="60"/>
        <v>Tipo 1 (≤0,25) uT</v>
      </c>
      <c r="BF159" s="78" t="str">
        <f t="shared" si="61"/>
        <v>Tipo 1 (≤0,25) uT</v>
      </c>
      <c r="BG159" s="78" t="str">
        <f t="shared" si="62"/>
        <v>Tipo 1 (≤0,25) uT</v>
      </c>
      <c r="BH159" s="78" t="str">
        <f t="shared" si="63"/>
        <v>Tipo 1 (≤0,25) uT</v>
      </c>
    </row>
    <row r="160" spans="1:60" ht="15.75" thickBot="1" x14ac:dyDescent="0.25">
      <c r="A160" s="32">
        <v>46276</v>
      </c>
      <c r="B160" s="81">
        <v>0.22916666666666666</v>
      </c>
      <c r="C160" s="58">
        <v>315</v>
      </c>
      <c r="D160" s="58">
        <v>1620</v>
      </c>
      <c r="E160" s="58">
        <v>250</v>
      </c>
      <c r="F160" s="58">
        <v>2241</v>
      </c>
      <c r="G160" s="86" t="s">
        <v>78</v>
      </c>
      <c r="H160" s="64">
        <v>10</v>
      </c>
      <c r="I160" s="58">
        <v>-2</v>
      </c>
      <c r="J160" s="58">
        <v>90</v>
      </c>
      <c r="K160" s="58">
        <v>90</v>
      </c>
      <c r="L160" s="58">
        <v>90</v>
      </c>
      <c r="M160" s="58">
        <v>24.2</v>
      </c>
      <c r="N160" s="64">
        <v>6.3</v>
      </c>
      <c r="O160" s="37">
        <v>1.38</v>
      </c>
      <c r="P160" s="58">
        <v>8</v>
      </c>
      <c r="Q160" s="64">
        <v>6.4</v>
      </c>
      <c r="R160" s="37">
        <v>0.11</v>
      </c>
      <c r="S160" s="36">
        <v>22.36</v>
      </c>
      <c r="T160" s="36">
        <v>0.88</v>
      </c>
      <c r="U160" s="36">
        <v>0.7</v>
      </c>
      <c r="V160" s="42">
        <f t="shared" si="64"/>
        <v>1787.1975</v>
      </c>
      <c r="W160" s="42">
        <f t="shared" si="65"/>
        <v>1598.1850248000001</v>
      </c>
      <c r="X160" s="42">
        <f t="shared" si="66"/>
        <v>0.89424085743181714</v>
      </c>
      <c r="Y160" s="58">
        <v>3</v>
      </c>
      <c r="Z160" s="58">
        <v>4</v>
      </c>
      <c r="AA160" s="64">
        <v>6.2</v>
      </c>
      <c r="AB160" s="58">
        <v>21</v>
      </c>
      <c r="AC160" s="64">
        <v>5.9</v>
      </c>
      <c r="AD160" s="64">
        <v>3.8</v>
      </c>
      <c r="AE160" s="37">
        <v>0.19</v>
      </c>
      <c r="AF160" s="37">
        <v>0.13</v>
      </c>
      <c r="AG160" s="42">
        <f t="shared" si="46"/>
        <v>1787.1975</v>
      </c>
      <c r="AH160" s="42">
        <f t="shared" si="67"/>
        <v>1821.4563327999999</v>
      </c>
      <c r="AI160" s="42">
        <f t="shared" si="68"/>
        <v>1.0191690245761871</v>
      </c>
      <c r="AJ160" s="58">
        <v>3</v>
      </c>
      <c r="AK160" s="58">
        <v>4</v>
      </c>
      <c r="AL160" s="64">
        <v>6.4</v>
      </c>
      <c r="AM160" s="58">
        <v>23</v>
      </c>
      <c r="AN160" s="64">
        <v>6</v>
      </c>
      <c r="AO160" s="64">
        <v>4.0999999999999996</v>
      </c>
      <c r="AP160" s="37">
        <v>0.14000000000000001</v>
      </c>
      <c r="AQ160" s="37">
        <v>0.25</v>
      </c>
      <c r="AR160" s="73">
        <f t="shared" si="47"/>
        <v>2185</v>
      </c>
      <c r="AS160" s="75">
        <f t="shared" si="48"/>
        <v>0.14416475972540047</v>
      </c>
      <c r="AT160" s="75">
        <f t="shared" si="49"/>
        <v>0.74141876430205955</v>
      </c>
      <c r="AU160" s="75">
        <f t="shared" si="50"/>
        <v>0.11441647597254005</v>
      </c>
      <c r="AV160" s="26">
        <f t="shared" si="51"/>
        <v>7.4966532797858101E-2</v>
      </c>
      <c r="AW160" s="26">
        <f t="shared" si="52"/>
        <v>8.2106202588130298E-2</v>
      </c>
      <c r="AX160" s="24">
        <f t="shared" si="53"/>
        <v>0.8188405797101449</v>
      </c>
      <c r="AY160" s="24">
        <f t="shared" si="54"/>
        <v>0.90579710144927539</v>
      </c>
      <c r="AZ160" s="77" t="str">
        <f t="shared" si="55"/>
        <v>5,0 ≤ Alc. Bruta &lt; 7,5 mg/L</v>
      </c>
      <c r="BA160" s="77" t="str">
        <f t="shared" si="56"/>
        <v>5 ≤ Cor &lt; 10 uC</v>
      </c>
      <c r="BB160" s="78" t="str">
        <f t="shared" si="57"/>
        <v>Turbidez &lt; 2,5 uT</v>
      </c>
      <c r="BC160" s="79" t="str">
        <f t="shared" si="58"/>
        <v>SM &gt; TOR &gt; BNN</v>
      </c>
      <c r="BD160" s="78" t="str">
        <f t="shared" si="59"/>
        <v>Tipo 1 (≤0,25) uT</v>
      </c>
      <c r="BE160" s="78" t="str">
        <f t="shared" si="60"/>
        <v>Tipo 1 (≤0,25) uT</v>
      </c>
      <c r="BF160" s="78" t="str">
        <f t="shared" si="61"/>
        <v>Tipo 1 (≤0,25) uT</v>
      </c>
      <c r="BG160" s="78" t="str">
        <f t="shared" si="62"/>
        <v>Tipo 1 (≤0,25) uT</v>
      </c>
      <c r="BH160" s="78" t="str">
        <f t="shared" si="63"/>
        <v>Tipo 1 (≤0,25) uT</v>
      </c>
    </row>
    <row r="161" spans="1:60" x14ac:dyDescent="0.2">
      <c r="A161" s="31">
        <v>46276</v>
      </c>
      <c r="B161" s="80">
        <v>0.64583333333333337</v>
      </c>
      <c r="C161" s="57">
        <v>329</v>
      </c>
      <c r="D161" s="57">
        <v>1661</v>
      </c>
      <c r="E161" s="57">
        <v>250</v>
      </c>
      <c r="F161" s="57">
        <v>2267</v>
      </c>
      <c r="G161" s="85" t="s">
        <v>78</v>
      </c>
      <c r="H161" s="63">
        <v>10</v>
      </c>
      <c r="I161" s="57">
        <v>-60.4</v>
      </c>
      <c r="J161" s="57">
        <v>90</v>
      </c>
      <c r="K161" s="57">
        <v>90</v>
      </c>
      <c r="L161" s="57">
        <v>90</v>
      </c>
      <c r="M161" s="57">
        <v>25.8</v>
      </c>
      <c r="N161" s="63">
        <v>6.4</v>
      </c>
      <c r="O161" s="36">
        <v>1.76</v>
      </c>
      <c r="P161" s="57">
        <v>8</v>
      </c>
      <c r="Q161" s="63">
        <v>7.4</v>
      </c>
      <c r="R161" s="36">
        <v>0.12</v>
      </c>
      <c r="S161" s="36">
        <v>22.36</v>
      </c>
      <c r="T161" s="36">
        <v>0.88</v>
      </c>
      <c r="U161" s="36">
        <v>0.7</v>
      </c>
      <c r="V161" s="42">
        <f t="shared" si="64"/>
        <v>2554.1533333333332</v>
      </c>
      <c r="W161" s="42">
        <f t="shared" si="65"/>
        <v>1591.79444736</v>
      </c>
      <c r="X161" s="42">
        <f t="shared" si="66"/>
        <v>0.62321804512911005</v>
      </c>
      <c r="Y161" s="57">
        <v>3</v>
      </c>
      <c r="Z161" s="57">
        <v>3</v>
      </c>
      <c r="AA161" s="63">
        <v>6.4</v>
      </c>
      <c r="AB161" s="57">
        <v>20.100000000000001</v>
      </c>
      <c r="AC161" s="63">
        <v>6</v>
      </c>
      <c r="AD161" s="63">
        <v>5.9</v>
      </c>
      <c r="AE161" s="36">
        <v>0.18</v>
      </c>
      <c r="AF161" s="36">
        <v>0.13</v>
      </c>
      <c r="AG161" s="42">
        <f t="shared" si="46"/>
        <v>1915.615</v>
      </c>
      <c r="AH161" s="42">
        <f t="shared" si="67"/>
        <v>1708.2758263999997</v>
      </c>
      <c r="AI161" s="42">
        <f t="shared" si="68"/>
        <v>0.89176365104679156</v>
      </c>
      <c r="AJ161" s="57">
        <v>3</v>
      </c>
      <c r="AK161" s="57">
        <v>4</v>
      </c>
      <c r="AL161" s="63">
        <v>6.3</v>
      </c>
      <c r="AM161" s="57">
        <v>22</v>
      </c>
      <c r="AN161" s="63">
        <v>5.9</v>
      </c>
      <c r="AO161" s="63">
        <v>5.4</v>
      </c>
      <c r="AP161" s="36">
        <v>0.12</v>
      </c>
      <c r="AQ161" s="36">
        <v>0.2</v>
      </c>
      <c r="AR161" s="73">
        <f t="shared" si="47"/>
        <v>2240</v>
      </c>
      <c r="AS161" s="75">
        <f t="shared" si="48"/>
        <v>0.14687500000000001</v>
      </c>
      <c r="AT161" s="75">
        <f t="shared" si="49"/>
        <v>0.74151785714285712</v>
      </c>
      <c r="AU161" s="75">
        <f t="shared" si="50"/>
        <v>0.11160714285714286</v>
      </c>
      <c r="AV161" s="26">
        <f t="shared" si="51"/>
        <v>5.3198059108954573E-2</v>
      </c>
      <c r="AW161" s="26">
        <f t="shared" si="52"/>
        <v>7.7635641817379794E-2</v>
      </c>
      <c r="AX161" s="24">
        <f t="shared" si="53"/>
        <v>0.88636363636363635</v>
      </c>
      <c r="AY161" s="24">
        <f t="shared" si="54"/>
        <v>0.92613636363636365</v>
      </c>
      <c r="AZ161" s="77" t="str">
        <f t="shared" si="55"/>
        <v>5,0 ≤ Alc. Bruta &lt; 7,5 mg/L</v>
      </c>
      <c r="BA161" s="77" t="str">
        <f t="shared" si="56"/>
        <v>5 ≤ Cor &lt; 10 uC</v>
      </c>
      <c r="BB161" s="78" t="str">
        <f t="shared" si="57"/>
        <v>Turbidez &lt; 2,5 uT</v>
      </c>
      <c r="BC161" s="79" t="str">
        <f t="shared" si="58"/>
        <v>SM &gt; TOR &gt; BNN</v>
      </c>
      <c r="BD161" s="78" t="str">
        <f t="shared" si="59"/>
        <v>Tipo 1 (≤0,25) uT</v>
      </c>
      <c r="BE161" s="78" t="str">
        <f t="shared" si="60"/>
        <v>Tipo 1 (≤0,25) uT</v>
      </c>
      <c r="BF161" s="78" t="str">
        <f t="shared" si="61"/>
        <v>Tipo 1 (≤0,25) uT</v>
      </c>
      <c r="BG161" s="78" t="str">
        <f t="shared" si="62"/>
        <v>Tipo 1 (≤0,25) uT</v>
      </c>
      <c r="BH161" s="78" t="str">
        <f t="shared" si="63"/>
        <v>Tipo 1 (≤0,25) uT</v>
      </c>
    </row>
    <row r="162" spans="1:60" x14ac:dyDescent="0.2">
      <c r="A162" s="31">
        <v>46276</v>
      </c>
      <c r="B162" s="80">
        <v>0.72916666666666663</v>
      </c>
      <c r="C162" s="57">
        <v>335</v>
      </c>
      <c r="D162" s="57">
        <v>1663</v>
      </c>
      <c r="E162" s="57">
        <v>249</v>
      </c>
      <c r="F162" s="57">
        <v>2271</v>
      </c>
      <c r="G162" s="85" t="s">
        <v>78</v>
      </c>
      <c r="H162" s="63">
        <v>10</v>
      </c>
      <c r="I162" s="57">
        <v>-69.34</v>
      </c>
      <c r="J162" s="57">
        <v>90</v>
      </c>
      <c r="K162" s="57">
        <v>90</v>
      </c>
      <c r="L162" s="57">
        <v>90</v>
      </c>
      <c r="M162" s="57">
        <v>25.9</v>
      </c>
      <c r="N162" s="63">
        <v>6.3</v>
      </c>
      <c r="O162" s="36">
        <v>1.72</v>
      </c>
      <c r="P162" s="57">
        <v>8</v>
      </c>
      <c r="Q162" s="63">
        <v>7.3</v>
      </c>
      <c r="R162" s="36">
        <v>0.13</v>
      </c>
      <c r="S162" s="36">
        <v>22.36</v>
      </c>
      <c r="T162" s="36">
        <v>0.88</v>
      </c>
      <c r="U162" s="36">
        <v>0.7</v>
      </c>
      <c r="V162" s="42">
        <f t="shared" si="64"/>
        <v>2543.52</v>
      </c>
      <c r="W162" s="42">
        <f t="shared" si="65"/>
        <v>1583.8750719999998</v>
      </c>
      <c r="X162" s="42">
        <f t="shared" si="66"/>
        <v>0.62270989494873241</v>
      </c>
      <c r="Y162" s="57">
        <v>3</v>
      </c>
      <c r="Z162" s="57">
        <v>3</v>
      </c>
      <c r="AA162" s="63">
        <v>6.4</v>
      </c>
      <c r="AB162" s="57">
        <v>20</v>
      </c>
      <c r="AC162" s="63">
        <v>6.1</v>
      </c>
      <c r="AD162" s="63">
        <v>5.8</v>
      </c>
      <c r="AE162" s="36">
        <v>0.19</v>
      </c>
      <c r="AF162" s="36">
        <v>0.14000000000000001</v>
      </c>
      <c r="AG162" s="42">
        <f t="shared" si="46"/>
        <v>1907.6399999999999</v>
      </c>
      <c r="AH162" s="42">
        <f t="shared" si="67"/>
        <v>1708.2758263999997</v>
      </c>
      <c r="AI162" s="42">
        <f t="shared" si="68"/>
        <v>0.89549172086976569</v>
      </c>
      <c r="AJ162" s="57">
        <v>3</v>
      </c>
      <c r="AK162" s="57">
        <v>4</v>
      </c>
      <c r="AL162" s="63">
        <v>6.3</v>
      </c>
      <c r="AM162" s="57">
        <v>22</v>
      </c>
      <c r="AN162" s="63">
        <v>5.9</v>
      </c>
      <c r="AO162" s="63">
        <v>5.5</v>
      </c>
      <c r="AP162" s="36">
        <v>0.13</v>
      </c>
      <c r="AQ162" s="36">
        <v>0.19</v>
      </c>
      <c r="AR162" s="73">
        <f t="shared" si="47"/>
        <v>2247</v>
      </c>
      <c r="AS162" s="75">
        <f t="shared" si="48"/>
        <v>0.14908767245215843</v>
      </c>
      <c r="AT162" s="75">
        <f t="shared" si="49"/>
        <v>0.74009790832220734</v>
      </c>
      <c r="AU162" s="75">
        <f t="shared" si="50"/>
        <v>0.11081441922563418</v>
      </c>
      <c r="AV162" s="26">
        <f t="shared" si="51"/>
        <v>5.2840158520475564E-2</v>
      </c>
      <c r="AW162" s="26">
        <f t="shared" si="52"/>
        <v>7.7498899163364152E-2</v>
      </c>
      <c r="AX162" s="24">
        <f t="shared" si="53"/>
        <v>0.88953488372093026</v>
      </c>
      <c r="AY162" s="24">
        <f t="shared" si="54"/>
        <v>0.91860465116279066</v>
      </c>
      <c r="AZ162" s="77" t="str">
        <f t="shared" si="55"/>
        <v>5,0 ≤ Alc. Bruta &lt; 7,5 mg/L</v>
      </c>
      <c r="BA162" s="77" t="str">
        <f t="shared" si="56"/>
        <v>5 ≤ Cor &lt; 10 uC</v>
      </c>
      <c r="BB162" s="78" t="str">
        <f t="shared" si="57"/>
        <v>Turbidez &lt; 2,5 uT</v>
      </c>
      <c r="BC162" s="79" t="str">
        <f t="shared" si="58"/>
        <v>SM &gt; TOR &gt; BNN</v>
      </c>
      <c r="BD162" s="78" t="str">
        <f t="shared" si="59"/>
        <v>Tipo 1 (≤0,25) uT</v>
      </c>
      <c r="BE162" s="78" t="str">
        <f t="shared" si="60"/>
        <v>Tipo 1 (≤0,25) uT</v>
      </c>
      <c r="BF162" s="78" t="str">
        <f t="shared" si="61"/>
        <v>Tipo 1 (≤0,25) uT</v>
      </c>
      <c r="BG162" s="78" t="str">
        <f t="shared" si="62"/>
        <v>Tipo 1 (≤0,25) uT</v>
      </c>
      <c r="BH162" s="78" t="str">
        <f t="shared" si="63"/>
        <v>Tipo 1 (≤0,25) uT</v>
      </c>
    </row>
    <row r="163" spans="1:60" x14ac:dyDescent="0.2">
      <c r="A163" s="31">
        <v>46276</v>
      </c>
      <c r="B163" s="80">
        <v>0.8125</v>
      </c>
      <c r="C163" s="57">
        <v>343</v>
      </c>
      <c r="D163" s="57">
        <v>1676</v>
      </c>
      <c r="E163" s="57">
        <v>250</v>
      </c>
      <c r="F163" s="57">
        <v>2334</v>
      </c>
      <c r="G163" s="85" t="s">
        <v>78</v>
      </c>
      <c r="H163" s="63">
        <v>10</v>
      </c>
      <c r="I163" s="57">
        <v>-64</v>
      </c>
      <c r="J163" s="57">
        <v>90</v>
      </c>
      <c r="K163" s="57">
        <v>90</v>
      </c>
      <c r="L163" s="57">
        <v>90</v>
      </c>
      <c r="M163" s="57">
        <v>25.3</v>
      </c>
      <c r="N163" s="63">
        <v>6.5</v>
      </c>
      <c r="O163" s="36">
        <v>1.57</v>
      </c>
      <c r="P163" s="57">
        <v>10</v>
      </c>
      <c r="Q163" s="63">
        <v>7.8</v>
      </c>
      <c r="R163" s="36">
        <v>0.35</v>
      </c>
      <c r="S163" s="36">
        <v>22.36</v>
      </c>
      <c r="T163" s="36">
        <v>0.88</v>
      </c>
      <c r="U163" s="36">
        <v>0.7</v>
      </c>
      <c r="V163" s="42">
        <f t="shared" si="64"/>
        <v>1916.7975000000001</v>
      </c>
      <c r="W163" s="42">
        <f t="shared" si="65"/>
        <v>1491.1839279999999</v>
      </c>
      <c r="X163" s="42">
        <f t="shared" si="66"/>
        <v>0.77795590196669173</v>
      </c>
      <c r="Y163" s="57">
        <v>3</v>
      </c>
      <c r="Z163" s="57">
        <v>4</v>
      </c>
      <c r="AA163" s="63">
        <v>6.1</v>
      </c>
      <c r="AB163" s="57">
        <v>20</v>
      </c>
      <c r="AC163" s="63">
        <v>6.1</v>
      </c>
      <c r="AD163" s="63">
        <v>5.8</v>
      </c>
      <c r="AE163" s="36">
        <v>0.12</v>
      </c>
      <c r="AF163" s="36">
        <v>0.18</v>
      </c>
      <c r="AG163" s="42">
        <f t="shared" si="46"/>
        <v>1916.7975000000001</v>
      </c>
      <c r="AH163" s="42">
        <f t="shared" si="67"/>
        <v>1708.2758263999997</v>
      </c>
      <c r="AI163" s="42">
        <f t="shared" si="68"/>
        <v>0.89121350919958919</v>
      </c>
      <c r="AJ163" s="57">
        <v>3</v>
      </c>
      <c r="AK163" s="57">
        <v>4</v>
      </c>
      <c r="AL163" s="63">
        <v>6.3</v>
      </c>
      <c r="AM163" s="57">
        <v>22</v>
      </c>
      <c r="AN163" s="63">
        <v>6.1</v>
      </c>
      <c r="AO163" s="63">
        <v>5.2</v>
      </c>
      <c r="AP163" s="36">
        <v>0.11</v>
      </c>
      <c r="AQ163" s="36">
        <v>0.17</v>
      </c>
      <c r="AR163" s="73">
        <f t="shared" si="47"/>
        <v>2269</v>
      </c>
      <c r="AS163" s="75">
        <f t="shared" si="48"/>
        <v>0.1511679153812252</v>
      </c>
      <c r="AT163" s="75">
        <f t="shared" si="49"/>
        <v>0.7386513882767739</v>
      </c>
      <c r="AU163" s="75">
        <f t="shared" si="50"/>
        <v>0.11018069634200088</v>
      </c>
      <c r="AV163" s="26">
        <f t="shared" si="51"/>
        <v>6.8551842330762641E-2</v>
      </c>
      <c r="AW163" s="26">
        <f t="shared" si="52"/>
        <v>7.5407026563838908E-2</v>
      </c>
      <c r="AX163" s="24">
        <f t="shared" si="53"/>
        <v>0.89171974522292996</v>
      </c>
      <c r="AY163" s="24">
        <f t="shared" si="54"/>
        <v>0.88535031847133761</v>
      </c>
      <c r="AZ163" s="77" t="str">
        <f t="shared" si="55"/>
        <v>7,5 ≤ Alc. Bruta &lt; 10,0 mg/L</v>
      </c>
      <c r="BA163" s="77" t="str">
        <f t="shared" si="56"/>
        <v>10 ≤ Cor &lt;15 uC</v>
      </c>
      <c r="BB163" s="78" t="str">
        <f t="shared" si="57"/>
        <v>Turbidez &lt; 2,5 uT</v>
      </c>
      <c r="BC163" s="79" t="str">
        <f t="shared" si="58"/>
        <v>SM &gt; TOR &gt; BNN</v>
      </c>
      <c r="BD163" s="78" t="str">
        <f t="shared" si="59"/>
        <v>Tipo 1 (≤0,25) uT</v>
      </c>
      <c r="BE163" s="78" t="str">
        <f t="shared" si="60"/>
        <v>Tipo 1 (≤0,25) uT</v>
      </c>
      <c r="BF163" s="78" t="str">
        <f t="shared" si="61"/>
        <v>Tipo 1 (≤0,25) uT</v>
      </c>
      <c r="BG163" s="78" t="str">
        <f t="shared" si="62"/>
        <v>Tipo 1 (≤0,25) uT</v>
      </c>
      <c r="BH163" s="78" t="str">
        <f t="shared" si="63"/>
        <v>Tipo 2 (0,25-0,50) uT</v>
      </c>
    </row>
    <row r="164" spans="1:60" x14ac:dyDescent="0.2">
      <c r="A164" s="31">
        <v>46276</v>
      </c>
      <c r="B164" s="80">
        <v>0.89583333333333337</v>
      </c>
      <c r="C164" s="57">
        <v>333</v>
      </c>
      <c r="D164" s="57">
        <v>1681</v>
      </c>
      <c r="E164" s="57">
        <v>249</v>
      </c>
      <c r="F164" s="57">
        <v>2316</v>
      </c>
      <c r="G164" s="85" t="s">
        <v>78</v>
      </c>
      <c r="H164" s="63">
        <v>10</v>
      </c>
      <c r="I164" s="57">
        <v>-63</v>
      </c>
      <c r="J164" s="57">
        <v>90</v>
      </c>
      <c r="K164" s="57">
        <v>90</v>
      </c>
      <c r="L164" s="57">
        <v>90</v>
      </c>
      <c r="M164" s="57">
        <v>25.6</v>
      </c>
      <c r="N164" s="63">
        <v>6.5</v>
      </c>
      <c r="O164" s="36">
        <v>1.38</v>
      </c>
      <c r="P164" s="57">
        <v>7</v>
      </c>
      <c r="Q164" s="63">
        <v>7.9</v>
      </c>
      <c r="R164" s="36">
        <v>0.31</v>
      </c>
      <c r="S164" s="36">
        <v>22.36</v>
      </c>
      <c r="T164" s="36">
        <v>0.88</v>
      </c>
      <c r="U164" s="36">
        <v>0.7</v>
      </c>
      <c r="V164" s="42">
        <f t="shared" si="64"/>
        <v>1847.01</v>
      </c>
      <c r="W164" s="42">
        <f t="shared" si="65"/>
        <v>1522.080976</v>
      </c>
      <c r="X164" s="42">
        <f t="shared" si="66"/>
        <v>0.82407836232613796</v>
      </c>
      <c r="Y164" s="57">
        <v>3</v>
      </c>
      <c r="Z164" s="57">
        <v>4</v>
      </c>
      <c r="AA164" s="63">
        <v>6.2</v>
      </c>
      <c r="AB164" s="57">
        <v>20</v>
      </c>
      <c r="AC164" s="63">
        <v>6.1</v>
      </c>
      <c r="AD164" s="63">
        <v>5.5</v>
      </c>
      <c r="AE164" s="36">
        <v>0.14000000000000001</v>
      </c>
      <c r="AF164" s="36">
        <v>0.16</v>
      </c>
      <c r="AG164" s="42">
        <f t="shared" si="46"/>
        <v>1847.01</v>
      </c>
      <c r="AH164" s="42">
        <f t="shared" si="67"/>
        <v>1708.2758263999997</v>
      </c>
      <c r="AI164" s="42">
        <f t="shared" si="68"/>
        <v>0.92488715621463868</v>
      </c>
      <c r="AJ164" s="57">
        <v>3</v>
      </c>
      <c r="AK164" s="57">
        <v>4</v>
      </c>
      <c r="AL164" s="63">
        <v>6.3</v>
      </c>
      <c r="AM164" s="57">
        <v>22</v>
      </c>
      <c r="AN164" s="63">
        <v>6</v>
      </c>
      <c r="AO164" s="63">
        <v>5.6</v>
      </c>
      <c r="AP164" s="36">
        <v>0.12</v>
      </c>
      <c r="AQ164" s="36">
        <v>0.18</v>
      </c>
      <c r="AR164" s="73">
        <f t="shared" si="47"/>
        <v>2263</v>
      </c>
      <c r="AS164" s="75">
        <f t="shared" si="48"/>
        <v>0.14714980114891738</v>
      </c>
      <c r="AT164" s="75">
        <f t="shared" si="49"/>
        <v>0.74281926646045071</v>
      </c>
      <c r="AU164" s="75">
        <f t="shared" si="50"/>
        <v>0.1100309323906319</v>
      </c>
      <c r="AV164" s="26">
        <f t="shared" si="51"/>
        <v>6.9084628670120898E-2</v>
      </c>
      <c r="AW164" s="26">
        <f t="shared" si="52"/>
        <v>7.599309153713299E-2</v>
      </c>
      <c r="AX164" s="24">
        <f t="shared" si="53"/>
        <v>0.86956521739130432</v>
      </c>
      <c r="AY164" s="24">
        <f t="shared" si="54"/>
        <v>0.88405797101449268</v>
      </c>
      <c r="AZ164" s="77" t="str">
        <f t="shared" si="55"/>
        <v>7,5 ≤ Alc. Bruta &lt; 10,0 mg/L</v>
      </c>
      <c r="BA164" s="77" t="str">
        <f t="shared" si="56"/>
        <v>5 ≤ Cor &lt; 10 uC</v>
      </c>
      <c r="BB164" s="78" t="str">
        <f t="shared" si="57"/>
        <v>Turbidez &lt; 2,5 uT</v>
      </c>
      <c r="BC164" s="79" t="str">
        <f t="shared" si="58"/>
        <v>SM &gt; TOR &gt; BNN</v>
      </c>
      <c r="BD164" s="78" t="str">
        <f t="shared" si="59"/>
        <v>Tipo 1 (≤0,25) uT</v>
      </c>
      <c r="BE164" s="78" t="str">
        <f t="shared" si="60"/>
        <v>Tipo 1 (≤0,25) uT</v>
      </c>
      <c r="BF164" s="78" t="str">
        <f t="shared" si="61"/>
        <v>Tipo 1 (≤0,25) uT</v>
      </c>
      <c r="BG164" s="78" t="str">
        <f t="shared" si="62"/>
        <v>Tipo 1 (≤0,25) uT</v>
      </c>
      <c r="BH164" s="78" t="str">
        <f t="shared" si="63"/>
        <v>Tipo 2 (0,25-0,50) uT</v>
      </c>
    </row>
    <row r="165" spans="1:60" x14ac:dyDescent="0.2">
      <c r="A165" s="31">
        <v>46277</v>
      </c>
      <c r="B165" s="80">
        <v>6.25E-2</v>
      </c>
      <c r="C165" s="57">
        <v>353</v>
      </c>
      <c r="D165" s="57">
        <v>1645</v>
      </c>
      <c r="E165" s="57">
        <v>250</v>
      </c>
      <c r="F165" s="57">
        <v>2267</v>
      </c>
      <c r="G165" s="85" t="s">
        <v>78</v>
      </c>
      <c r="H165" s="63">
        <v>10</v>
      </c>
      <c r="I165" s="57">
        <v>-60</v>
      </c>
      <c r="J165" s="57">
        <v>90</v>
      </c>
      <c r="K165" s="57">
        <v>90</v>
      </c>
      <c r="L165" s="57">
        <v>90</v>
      </c>
      <c r="M165" s="57">
        <v>24.3</v>
      </c>
      <c r="N165" s="63">
        <v>6.5</v>
      </c>
      <c r="O165" s="36">
        <v>1.35</v>
      </c>
      <c r="P165" s="57">
        <v>8</v>
      </c>
      <c r="Q165" s="63">
        <v>8.3000000000000007</v>
      </c>
      <c r="R165" s="36">
        <v>0.25</v>
      </c>
      <c r="S165" s="36">
        <v>22.36</v>
      </c>
      <c r="T165" s="36">
        <v>0.88</v>
      </c>
      <c r="U165" s="36">
        <v>0.7</v>
      </c>
      <c r="V165" s="42">
        <f t="shared" si="64"/>
        <v>1799.4312499999999</v>
      </c>
      <c r="W165" s="42">
        <f t="shared" si="65"/>
        <v>1522.080976</v>
      </c>
      <c r="X165" s="42">
        <f t="shared" si="66"/>
        <v>0.84586781295478786</v>
      </c>
      <c r="Y165" s="57">
        <v>3</v>
      </c>
      <c r="Z165" s="57">
        <v>4</v>
      </c>
      <c r="AA165" s="63">
        <v>6.2</v>
      </c>
      <c r="AB165" s="57">
        <v>20</v>
      </c>
      <c r="AC165" s="63">
        <v>6.2</v>
      </c>
      <c r="AD165" s="63">
        <v>5.4</v>
      </c>
      <c r="AE165" s="36">
        <v>0.12</v>
      </c>
      <c r="AF165" s="36">
        <v>0.17</v>
      </c>
      <c r="AG165" s="42">
        <f t="shared" si="46"/>
        <v>1799.4312499999999</v>
      </c>
      <c r="AH165" s="42">
        <f t="shared" si="67"/>
        <v>1708.2758263999997</v>
      </c>
      <c r="AI165" s="42">
        <f t="shared" si="68"/>
        <v>0.94934209150808058</v>
      </c>
      <c r="AJ165" s="57">
        <v>3</v>
      </c>
      <c r="AK165" s="57">
        <v>4</v>
      </c>
      <c r="AL165" s="63">
        <v>6.3</v>
      </c>
      <c r="AM165" s="57">
        <v>22</v>
      </c>
      <c r="AN165" s="63">
        <v>6.1</v>
      </c>
      <c r="AO165" s="63">
        <v>5.3</v>
      </c>
      <c r="AP165" s="36">
        <v>0.11</v>
      </c>
      <c r="AQ165" s="36">
        <v>0.18</v>
      </c>
      <c r="AR165" s="73">
        <f t="shared" si="47"/>
        <v>2248</v>
      </c>
      <c r="AS165" s="75">
        <f t="shared" si="48"/>
        <v>0.15702846975088969</v>
      </c>
      <c r="AT165" s="75">
        <f t="shared" si="49"/>
        <v>0.73176156583629892</v>
      </c>
      <c r="AU165" s="75">
        <f t="shared" si="50"/>
        <v>0.11120996441281139</v>
      </c>
      <c r="AV165" s="26">
        <f t="shared" si="51"/>
        <v>7.0577856197618E-2</v>
      </c>
      <c r="AW165" s="26">
        <f t="shared" si="52"/>
        <v>7.7635641817379794E-2</v>
      </c>
      <c r="AX165" s="24">
        <f t="shared" si="53"/>
        <v>0.8666666666666667</v>
      </c>
      <c r="AY165" s="24">
        <f t="shared" si="54"/>
        <v>0.87407407407407411</v>
      </c>
      <c r="AZ165" s="77" t="str">
        <f t="shared" si="55"/>
        <v>7,5 ≤ Alc. Bruta &lt; 10,0 mg/L</v>
      </c>
      <c r="BA165" s="77" t="str">
        <f t="shared" si="56"/>
        <v>5 ≤ Cor &lt; 10 uC</v>
      </c>
      <c r="BB165" s="78" t="str">
        <f t="shared" si="57"/>
        <v>Turbidez &lt; 2,5 uT</v>
      </c>
      <c r="BC165" s="79" t="str">
        <f t="shared" si="58"/>
        <v>SM &gt; TOR &gt; BNN</v>
      </c>
      <c r="BD165" s="78" t="str">
        <f t="shared" si="59"/>
        <v>Tipo 1 (≤0,25) uT</v>
      </c>
      <c r="BE165" s="78" t="str">
        <f t="shared" si="60"/>
        <v>Tipo 1 (≤0,25) uT</v>
      </c>
      <c r="BF165" s="78" t="str">
        <f t="shared" si="61"/>
        <v>Tipo 1 (≤0,25) uT</v>
      </c>
      <c r="BG165" s="78" t="str">
        <f t="shared" si="62"/>
        <v>Tipo 1 (≤0,25) uT</v>
      </c>
      <c r="BH165" s="78" t="str">
        <f t="shared" si="63"/>
        <v>Tipo 1 (≤0,25) uT</v>
      </c>
    </row>
    <row r="166" spans="1:60" x14ac:dyDescent="0.2">
      <c r="A166" s="31">
        <v>46277</v>
      </c>
      <c r="B166" s="80">
        <v>0.14583333333333334</v>
      </c>
      <c r="C166" s="57">
        <v>357</v>
      </c>
      <c r="D166" s="57">
        <v>1680</v>
      </c>
      <c r="E166" s="57">
        <v>249</v>
      </c>
      <c r="F166" s="57">
        <v>2341</v>
      </c>
      <c r="G166" s="85" t="s">
        <v>78</v>
      </c>
      <c r="H166" s="63">
        <v>10</v>
      </c>
      <c r="I166" s="57">
        <v>-58</v>
      </c>
      <c r="J166" s="57">
        <v>90</v>
      </c>
      <c r="K166" s="57">
        <v>90</v>
      </c>
      <c r="L166" s="57">
        <v>90</v>
      </c>
      <c r="M166" s="57">
        <v>23.7</v>
      </c>
      <c r="N166" s="63">
        <v>6.5</v>
      </c>
      <c r="O166" s="36">
        <v>1.17</v>
      </c>
      <c r="P166" s="57">
        <v>8</v>
      </c>
      <c r="Q166" s="63">
        <v>8</v>
      </c>
      <c r="R166" s="36">
        <v>0.12</v>
      </c>
      <c r="S166" s="36">
        <v>22.36</v>
      </c>
      <c r="T166" s="36">
        <v>0.88</v>
      </c>
      <c r="U166" s="36">
        <v>0.7</v>
      </c>
      <c r="V166" s="42">
        <f t="shared" si="64"/>
        <v>1805.4962499999999</v>
      </c>
      <c r="W166" s="42">
        <f t="shared" si="65"/>
        <v>1460.2868799999999</v>
      </c>
      <c r="X166" s="42">
        <f t="shared" si="66"/>
        <v>0.80880083799675573</v>
      </c>
      <c r="Y166" s="57">
        <v>3</v>
      </c>
      <c r="Z166" s="57">
        <v>4</v>
      </c>
      <c r="AA166" s="63">
        <v>6</v>
      </c>
      <c r="AB166" s="57">
        <v>20</v>
      </c>
      <c r="AC166" s="63">
        <v>6.2</v>
      </c>
      <c r="AD166" s="63">
        <v>5.0999999999999996</v>
      </c>
      <c r="AE166" s="36">
        <v>0.18</v>
      </c>
      <c r="AF166" s="36">
        <v>0.17</v>
      </c>
      <c r="AG166" s="42">
        <f t="shared" si="46"/>
        <v>1805.4962499999999</v>
      </c>
      <c r="AH166" s="42">
        <f t="shared" si="67"/>
        <v>1708.2758263999997</v>
      </c>
      <c r="AI166" s="42">
        <f t="shared" si="68"/>
        <v>0.94615307364941892</v>
      </c>
      <c r="AJ166" s="57">
        <v>3</v>
      </c>
      <c r="AK166" s="57">
        <v>4</v>
      </c>
      <c r="AL166" s="63">
        <v>6.3</v>
      </c>
      <c r="AM166" s="57">
        <v>22</v>
      </c>
      <c r="AN166" s="63">
        <v>6</v>
      </c>
      <c r="AO166" s="63">
        <v>5.6</v>
      </c>
      <c r="AP166" s="36">
        <v>0.15</v>
      </c>
      <c r="AQ166" s="36">
        <v>0.18</v>
      </c>
      <c r="AR166" s="73">
        <f t="shared" si="47"/>
        <v>2286</v>
      </c>
      <c r="AS166" s="75">
        <f t="shared" si="48"/>
        <v>0.15616797900262466</v>
      </c>
      <c r="AT166" s="75">
        <f t="shared" si="49"/>
        <v>0.73490813648293962</v>
      </c>
      <c r="AU166" s="75">
        <f t="shared" si="50"/>
        <v>0.1089238845144357</v>
      </c>
      <c r="AV166" s="26">
        <f t="shared" si="51"/>
        <v>6.8346860316104235E-2</v>
      </c>
      <c r="AW166" s="26">
        <f t="shared" si="52"/>
        <v>7.5181546347714651E-2</v>
      </c>
      <c r="AX166" s="24">
        <f t="shared" si="53"/>
        <v>0.84615384615384615</v>
      </c>
      <c r="AY166" s="24">
        <f t="shared" si="54"/>
        <v>0.85470085470085466</v>
      </c>
      <c r="AZ166" s="77" t="str">
        <f t="shared" si="55"/>
        <v>7,5 ≤ Alc. Bruta &lt; 10,0 mg/L</v>
      </c>
      <c r="BA166" s="77" t="str">
        <f t="shared" si="56"/>
        <v>5 ≤ Cor &lt; 10 uC</v>
      </c>
      <c r="BB166" s="78" t="str">
        <f t="shared" si="57"/>
        <v>Turbidez &lt; 2,5 uT</v>
      </c>
      <c r="BC166" s="79" t="str">
        <f t="shared" si="58"/>
        <v>SM &gt; TOR &gt; BNN</v>
      </c>
      <c r="BD166" s="78" t="str">
        <f t="shared" si="59"/>
        <v>Tipo 1 (≤0,25) uT</v>
      </c>
      <c r="BE166" s="78" t="str">
        <f t="shared" si="60"/>
        <v>Tipo 1 (≤0,25) uT</v>
      </c>
      <c r="BF166" s="78" t="str">
        <f t="shared" si="61"/>
        <v>Tipo 1 (≤0,25) uT</v>
      </c>
      <c r="BG166" s="78" t="str">
        <f t="shared" si="62"/>
        <v>Tipo 1 (≤0,25) uT</v>
      </c>
      <c r="BH166" s="78" t="str">
        <f t="shared" si="63"/>
        <v>Tipo 1 (≤0,25) uT</v>
      </c>
    </row>
    <row r="167" spans="1:60" ht="15.75" thickBot="1" x14ac:dyDescent="0.25">
      <c r="A167" s="32">
        <v>46277</v>
      </c>
      <c r="B167" s="81">
        <v>0.22916666666666666</v>
      </c>
      <c r="C167" s="58">
        <v>374</v>
      </c>
      <c r="D167" s="58">
        <v>1161</v>
      </c>
      <c r="E167" s="58">
        <v>249</v>
      </c>
      <c r="F167" s="58">
        <v>1861</v>
      </c>
      <c r="G167" s="86" t="s">
        <v>78</v>
      </c>
      <c r="H167" s="64">
        <v>10</v>
      </c>
      <c r="I167" s="58">
        <v>-54</v>
      </c>
      <c r="J167" s="58">
        <v>90</v>
      </c>
      <c r="K167" s="58">
        <v>90</v>
      </c>
      <c r="L167" s="58">
        <v>90</v>
      </c>
      <c r="M167" s="58">
        <v>23.8</v>
      </c>
      <c r="N167" s="64">
        <v>6.7</v>
      </c>
      <c r="O167" s="37">
        <v>1.21</v>
      </c>
      <c r="P167" s="58">
        <v>6</v>
      </c>
      <c r="Q167" s="64">
        <v>7.8</v>
      </c>
      <c r="R167" s="37">
        <v>0.12</v>
      </c>
      <c r="S167" s="36">
        <v>22.36</v>
      </c>
      <c r="T167" s="36">
        <v>0.88</v>
      </c>
      <c r="U167" s="36">
        <v>0.7</v>
      </c>
      <c r="V167" s="42">
        <f t="shared" si="64"/>
        <v>1444.6012499999999</v>
      </c>
      <c r="W167" s="42">
        <f t="shared" si="65"/>
        <v>1460.2868799999999</v>
      </c>
      <c r="X167" s="42">
        <f t="shared" si="66"/>
        <v>1.0108581035770252</v>
      </c>
      <c r="Y167" s="58">
        <v>2</v>
      </c>
      <c r="Z167" s="58">
        <v>4</v>
      </c>
      <c r="AA167" s="64">
        <v>6</v>
      </c>
      <c r="AB167" s="58">
        <v>20</v>
      </c>
      <c r="AC167" s="64">
        <v>6.1</v>
      </c>
      <c r="AD167" s="64">
        <v>6.2</v>
      </c>
      <c r="AE167" s="37">
        <v>0.16</v>
      </c>
      <c r="AF167" s="37">
        <v>0.18</v>
      </c>
      <c r="AG167" s="42">
        <f t="shared" si="46"/>
        <v>1926.1350000000002</v>
      </c>
      <c r="AH167" s="42">
        <f t="shared" si="67"/>
        <v>1708.2758263999997</v>
      </c>
      <c r="AI167" s="42">
        <f t="shared" si="68"/>
        <v>0.88689309233257252</v>
      </c>
      <c r="AJ167" s="58">
        <v>2</v>
      </c>
      <c r="AK167" s="58">
        <v>3</v>
      </c>
      <c r="AL167" s="64">
        <v>6.3</v>
      </c>
      <c r="AM167" s="58">
        <v>22</v>
      </c>
      <c r="AN167" s="64">
        <v>6</v>
      </c>
      <c r="AO167" s="64">
        <v>5.8</v>
      </c>
      <c r="AP167" s="37">
        <v>0.13</v>
      </c>
      <c r="AQ167" s="37">
        <v>0.18</v>
      </c>
      <c r="AR167" s="73">
        <f t="shared" si="47"/>
        <v>1784</v>
      </c>
      <c r="AS167" s="75">
        <f t="shared" si="48"/>
        <v>0.20964125560538116</v>
      </c>
      <c r="AT167" s="75">
        <f t="shared" si="49"/>
        <v>0.65078475336322872</v>
      </c>
      <c r="AU167" s="75">
        <f t="shared" si="50"/>
        <v>0.13957399103139012</v>
      </c>
      <c r="AV167" s="26">
        <f t="shared" si="51"/>
        <v>8.5975282106394407E-2</v>
      </c>
      <c r="AW167" s="26">
        <f t="shared" si="52"/>
        <v>7.0929607737775388E-2</v>
      </c>
      <c r="AX167" s="24">
        <f t="shared" si="53"/>
        <v>0.85123966942148765</v>
      </c>
      <c r="AY167" s="24">
        <f t="shared" si="54"/>
        <v>0.85123966942148765</v>
      </c>
      <c r="AZ167" s="77" t="str">
        <f t="shared" si="55"/>
        <v>7,5 ≤ Alc. Bruta &lt; 10,0 mg/L</v>
      </c>
      <c r="BA167" s="77" t="str">
        <f t="shared" si="56"/>
        <v>5 ≤ Cor &lt; 10 uC</v>
      </c>
      <c r="BB167" s="78" t="str">
        <f t="shared" si="57"/>
        <v>Turbidez &lt; 2,5 uT</v>
      </c>
      <c r="BC167" s="79" t="str">
        <f t="shared" si="58"/>
        <v>SM &gt; TOR &gt; BNN</v>
      </c>
      <c r="BD167" s="78" t="str">
        <f t="shared" si="59"/>
        <v>Tipo 1 (≤0,25) uT</v>
      </c>
      <c r="BE167" s="78" t="str">
        <f t="shared" si="60"/>
        <v>Tipo 1 (≤0,25) uT</v>
      </c>
      <c r="BF167" s="78" t="str">
        <f t="shared" si="61"/>
        <v>Tipo 1 (≤0,25) uT</v>
      </c>
      <c r="BG167" s="78" t="str">
        <f t="shared" si="62"/>
        <v>Tipo 1 (≤0,25) uT</v>
      </c>
      <c r="BH167" s="78" t="str">
        <f t="shared" si="63"/>
        <v>Tipo 1 (≤0,25) uT</v>
      </c>
    </row>
    <row r="168" spans="1:60" x14ac:dyDescent="0.2">
      <c r="A168" s="30">
        <v>46277</v>
      </c>
      <c r="B168" s="82">
        <v>0.3125</v>
      </c>
      <c r="C168" s="59">
        <v>364</v>
      </c>
      <c r="D168" s="59">
        <v>1166</v>
      </c>
      <c r="E168" s="59">
        <v>250</v>
      </c>
      <c r="F168" s="59">
        <v>1902</v>
      </c>
      <c r="G168" s="87" t="s">
        <v>78</v>
      </c>
      <c r="H168" s="65">
        <v>10</v>
      </c>
      <c r="I168" s="59">
        <v>-47</v>
      </c>
      <c r="J168" s="59">
        <v>90</v>
      </c>
      <c r="K168" s="59">
        <v>90</v>
      </c>
      <c r="L168" s="59">
        <v>90</v>
      </c>
      <c r="M168" s="59">
        <v>23.5</v>
      </c>
      <c r="N168" s="65">
        <v>6.8</v>
      </c>
      <c r="O168" s="38">
        <v>1.49</v>
      </c>
      <c r="P168" s="59">
        <v>9</v>
      </c>
      <c r="Q168" s="65">
        <v>6.5</v>
      </c>
      <c r="R168" s="38">
        <v>0.08</v>
      </c>
      <c r="S168" s="36">
        <v>22.36</v>
      </c>
      <c r="T168" s="36">
        <v>0.88</v>
      </c>
      <c r="U168" s="36">
        <v>0.7</v>
      </c>
      <c r="V168" s="42">
        <f t="shared" si="64"/>
        <v>1542.9974999999999</v>
      </c>
      <c r="W168" s="42">
        <f t="shared" si="65"/>
        <v>1531.7821607295994</v>
      </c>
      <c r="X168" s="42">
        <f t="shared" si="66"/>
        <v>0.99273145985628586</v>
      </c>
      <c r="Y168" s="59">
        <v>2</v>
      </c>
      <c r="Z168" s="59">
        <v>4</v>
      </c>
      <c r="AA168" s="65">
        <v>6.08</v>
      </c>
      <c r="AB168" s="59">
        <v>20.63</v>
      </c>
      <c r="AC168" s="65">
        <v>6.3</v>
      </c>
      <c r="AD168" s="65">
        <v>4.4000000000000004</v>
      </c>
      <c r="AE168" s="38">
        <v>0.15</v>
      </c>
      <c r="AF168" s="38">
        <v>0.14000000000000001</v>
      </c>
      <c r="AG168" s="42">
        <f t="shared" si="46"/>
        <v>2057.33</v>
      </c>
      <c r="AH168" s="42">
        <f t="shared" si="67"/>
        <v>1907.1375767755997</v>
      </c>
      <c r="AI168" s="42">
        <f t="shared" si="68"/>
        <v>0.92699643556240352</v>
      </c>
      <c r="AJ168" s="59">
        <v>2</v>
      </c>
      <c r="AK168" s="59">
        <v>3</v>
      </c>
      <c r="AL168" s="65">
        <v>6.29</v>
      </c>
      <c r="AM168" s="59">
        <v>24.61</v>
      </c>
      <c r="AN168" s="65">
        <v>6.2</v>
      </c>
      <c r="AO168" s="65">
        <v>4.0999999999999996</v>
      </c>
      <c r="AP168" s="38">
        <v>0.15</v>
      </c>
      <c r="AQ168" s="38">
        <v>0.24</v>
      </c>
      <c r="AR168" s="73">
        <f t="shared" si="47"/>
        <v>1780</v>
      </c>
      <c r="AS168" s="75">
        <f t="shared" si="48"/>
        <v>0.20449438202247192</v>
      </c>
      <c r="AT168" s="75">
        <f t="shared" si="49"/>
        <v>0.65505617977528086</v>
      </c>
      <c r="AU168" s="75">
        <f t="shared" si="50"/>
        <v>0.1404494382022472</v>
      </c>
      <c r="AV168" s="26">
        <f t="shared" si="51"/>
        <v>8.6771819137749728E-2</v>
      </c>
      <c r="AW168" s="26">
        <f t="shared" si="52"/>
        <v>7.7634069400630917E-2</v>
      </c>
      <c r="AX168" s="24">
        <f t="shared" si="53"/>
        <v>0.83892617449664431</v>
      </c>
      <c r="AY168" s="24">
        <f t="shared" si="54"/>
        <v>0.90604026845637586</v>
      </c>
      <c r="AZ168" s="77" t="str">
        <f t="shared" si="55"/>
        <v>5,0 ≤ Alc. Bruta &lt; 7,5 mg/L</v>
      </c>
      <c r="BA168" s="77" t="str">
        <f t="shared" si="56"/>
        <v>5 ≤ Cor &lt; 10 uC</v>
      </c>
      <c r="BB168" s="78" t="str">
        <f t="shared" si="57"/>
        <v>Turbidez &lt; 2,5 uT</v>
      </c>
      <c r="BC168" s="79" t="str">
        <f t="shared" si="58"/>
        <v>SM &gt; TOR &gt; BNN</v>
      </c>
      <c r="BD168" s="78" t="str">
        <f t="shared" si="59"/>
        <v>Tipo 1 (≤0,25) uT</v>
      </c>
      <c r="BE168" s="78" t="str">
        <f t="shared" si="60"/>
        <v>Tipo 1 (≤0,25) uT</v>
      </c>
      <c r="BF168" s="78" t="str">
        <f t="shared" si="61"/>
        <v>Tipo 1 (≤0,25) uT</v>
      </c>
      <c r="BG168" s="78" t="str">
        <f t="shared" si="62"/>
        <v>Tipo 1 (≤0,25) uT</v>
      </c>
      <c r="BH168" s="78" t="str">
        <f t="shared" si="63"/>
        <v>Tipo 1 (≤0,25) uT</v>
      </c>
    </row>
    <row r="169" spans="1:60" x14ac:dyDescent="0.2">
      <c r="A169" s="31">
        <v>46277</v>
      </c>
      <c r="B169" s="80">
        <v>0.39583333333333331</v>
      </c>
      <c r="C169" s="57">
        <v>356</v>
      </c>
      <c r="D169" s="57">
        <v>1152</v>
      </c>
      <c r="E169" s="57">
        <v>249</v>
      </c>
      <c r="F169" s="57">
        <v>1804</v>
      </c>
      <c r="G169" s="85" t="s">
        <v>78</v>
      </c>
      <c r="H169" s="63">
        <v>10</v>
      </c>
      <c r="I169" s="57">
        <v>-45</v>
      </c>
      <c r="J169" s="57">
        <v>90</v>
      </c>
      <c r="K169" s="57">
        <v>90</v>
      </c>
      <c r="L169" s="57">
        <v>90</v>
      </c>
      <c r="M169" s="57">
        <v>23.8</v>
      </c>
      <c r="N169" s="63">
        <v>6.7</v>
      </c>
      <c r="O169" s="36">
        <v>1.51</v>
      </c>
      <c r="P169" s="57">
        <v>9</v>
      </c>
      <c r="Q169" s="63">
        <v>6.3</v>
      </c>
      <c r="R169" s="36">
        <v>0.08</v>
      </c>
      <c r="S169" s="36">
        <v>22.36</v>
      </c>
      <c r="T169" s="36">
        <v>0.88</v>
      </c>
      <c r="U169" s="36">
        <v>0.7</v>
      </c>
      <c r="V169" s="42">
        <f t="shared" si="64"/>
        <v>1468.0049999999999</v>
      </c>
      <c r="W169" s="42">
        <f t="shared" si="65"/>
        <v>1522.0424494963997</v>
      </c>
      <c r="X169" s="42">
        <f t="shared" si="66"/>
        <v>1.0368101263254552</v>
      </c>
      <c r="Y169" s="57">
        <v>2</v>
      </c>
      <c r="Z169" s="57">
        <v>4</v>
      </c>
      <c r="AA169" s="63">
        <v>5.99</v>
      </c>
      <c r="AB169" s="57">
        <v>20.89</v>
      </c>
      <c r="AC169" s="63">
        <v>6.4</v>
      </c>
      <c r="AD169" s="63">
        <v>4.3</v>
      </c>
      <c r="AE169" s="36">
        <v>0.19</v>
      </c>
      <c r="AF169" s="36">
        <v>0.15</v>
      </c>
      <c r="AG169" s="42">
        <f t="shared" si="46"/>
        <v>1957.3400000000001</v>
      </c>
      <c r="AH169" s="42">
        <f t="shared" si="67"/>
        <v>1909.3864805079995</v>
      </c>
      <c r="AI169" s="42">
        <f t="shared" si="68"/>
        <v>0.97550066953518522</v>
      </c>
      <c r="AJ169" s="57">
        <v>2</v>
      </c>
      <c r="AK169" s="57">
        <v>3</v>
      </c>
      <c r="AL169" s="63">
        <v>6.3</v>
      </c>
      <c r="AM169" s="57">
        <v>24.59</v>
      </c>
      <c r="AN169" s="63">
        <v>6.2</v>
      </c>
      <c r="AO169" s="63">
        <v>3.7</v>
      </c>
      <c r="AP169" s="36">
        <v>0.16</v>
      </c>
      <c r="AQ169" s="36">
        <v>0.2</v>
      </c>
      <c r="AR169" s="73">
        <f t="shared" si="47"/>
        <v>1757</v>
      </c>
      <c r="AS169" s="75">
        <f t="shared" si="48"/>
        <v>0.20261809903244166</v>
      </c>
      <c r="AT169" s="75">
        <f t="shared" si="49"/>
        <v>0.65566306203756408</v>
      </c>
      <c r="AU169" s="75">
        <f t="shared" si="50"/>
        <v>0.14171883892999432</v>
      </c>
      <c r="AV169" s="26">
        <f t="shared" si="51"/>
        <v>9.2638580931263856E-2</v>
      </c>
      <c r="AW169" s="26">
        <f t="shared" si="52"/>
        <v>8.178492239467848E-2</v>
      </c>
      <c r="AX169" s="24">
        <f t="shared" si="53"/>
        <v>0.86754966887417218</v>
      </c>
      <c r="AY169" s="24">
        <f t="shared" si="54"/>
        <v>0.90066225165562919</v>
      </c>
      <c r="AZ169" s="77" t="str">
        <f t="shared" si="55"/>
        <v>5,0 ≤ Alc. Bruta &lt; 7,5 mg/L</v>
      </c>
      <c r="BA169" s="77" t="str">
        <f t="shared" si="56"/>
        <v>5 ≤ Cor &lt; 10 uC</v>
      </c>
      <c r="BB169" s="78" t="str">
        <f t="shared" si="57"/>
        <v>Turbidez &lt; 2,5 uT</v>
      </c>
      <c r="BC169" s="79" t="str">
        <f t="shared" si="58"/>
        <v>SM &gt; TOR &gt; BNN</v>
      </c>
      <c r="BD169" s="78" t="str">
        <f t="shared" si="59"/>
        <v>Tipo 1 (≤0,25) uT</v>
      </c>
      <c r="BE169" s="78" t="str">
        <f t="shared" si="60"/>
        <v>Tipo 1 (≤0,25) uT</v>
      </c>
      <c r="BF169" s="78" t="str">
        <f t="shared" si="61"/>
        <v>Tipo 1 (≤0,25) uT</v>
      </c>
      <c r="BG169" s="78" t="str">
        <f t="shared" si="62"/>
        <v>Tipo 1 (≤0,25) uT</v>
      </c>
      <c r="BH169" s="78" t="str">
        <f t="shared" si="63"/>
        <v>Tipo 1 (≤0,25) uT</v>
      </c>
    </row>
    <row r="170" spans="1:60" x14ac:dyDescent="0.2">
      <c r="A170" s="31">
        <v>46277</v>
      </c>
      <c r="B170" s="80">
        <v>0.47916666666666669</v>
      </c>
      <c r="C170" s="57">
        <v>355</v>
      </c>
      <c r="D170" s="57">
        <v>1159</v>
      </c>
      <c r="E170" s="57">
        <v>249</v>
      </c>
      <c r="F170" s="57">
        <v>1810</v>
      </c>
      <c r="G170" s="85" t="s">
        <v>78</v>
      </c>
      <c r="H170" s="63">
        <v>10</v>
      </c>
      <c r="I170" s="57">
        <v>-34</v>
      </c>
      <c r="J170" s="57">
        <v>90</v>
      </c>
      <c r="K170" s="57">
        <v>90</v>
      </c>
      <c r="L170" s="57">
        <v>90</v>
      </c>
      <c r="M170" s="57">
        <v>25.1</v>
      </c>
      <c r="N170" s="63">
        <v>6.7</v>
      </c>
      <c r="O170" s="36">
        <v>1.58</v>
      </c>
      <c r="P170" s="57">
        <v>9</v>
      </c>
      <c r="Q170" s="63">
        <v>6.3</v>
      </c>
      <c r="R170" s="36">
        <v>0.09</v>
      </c>
      <c r="S170" s="36">
        <v>22.36</v>
      </c>
      <c r="T170" s="36">
        <v>0.88</v>
      </c>
      <c r="U170" s="36">
        <v>0.7</v>
      </c>
      <c r="V170" s="42">
        <f t="shared" si="64"/>
        <v>1488.7249999999999</v>
      </c>
      <c r="W170" s="42">
        <f t="shared" si="65"/>
        <v>1525.1249411839997</v>
      </c>
      <c r="X170" s="42">
        <f t="shared" si="66"/>
        <v>1.0244504130608405</v>
      </c>
      <c r="Y170" s="57">
        <v>2</v>
      </c>
      <c r="Z170" s="57">
        <v>4</v>
      </c>
      <c r="AA170" s="63">
        <v>6.02</v>
      </c>
      <c r="AB170" s="57">
        <v>20.8</v>
      </c>
      <c r="AC170" s="63">
        <v>6.4</v>
      </c>
      <c r="AD170" s="63">
        <v>4.2</v>
      </c>
      <c r="AE170" s="36">
        <v>0.16</v>
      </c>
      <c r="AF170" s="36">
        <v>0.14000000000000001</v>
      </c>
      <c r="AG170" s="42">
        <f t="shared" si="46"/>
        <v>1984.9666666666669</v>
      </c>
      <c r="AH170" s="42">
        <f t="shared" si="67"/>
        <v>1895.6017019472001</v>
      </c>
      <c r="AI170" s="42">
        <f t="shared" si="68"/>
        <v>0.95497911062177365</v>
      </c>
      <c r="AJ170" s="57">
        <v>2</v>
      </c>
      <c r="AK170" s="57">
        <v>3</v>
      </c>
      <c r="AL170" s="63">
        <v>6.28</v>
      </c>
      <c r="AM170" s="57">
        <v>24.51</v>
      </c>
      <c r="AN170" s="63">
        <v>6.1</v>
      </c>
      <c r="AO170" s="63">
        <v>3.8</v>
      </c>
      <c r="AP170" s="36">
        <v>0.14000000000000001</v>
      </c>
      <c r="AQ170" s="36">
        <v>0.18</v>
      </c>
      <c r="AR170" s="73">
        <f t="shared" si="47"/>
        <v>1763</v>
      </c>
      <c r="AS170" s="75">
        <f t="shared" si="48"/>
        <v>0.20136131593874079</v>
      </c>
      <c r="AT170" s="75">
        <f t="shared" si="49"/>
        <v>0.65740215541690306</v>
      </c>
      <c r="AU170" s="75">
        <f t="shared" si="50"/>
        <v>0.14123652864435621</v>
      </c>
      <c r="AV170" s="26">
        <f t="shared" si="51"/>
        <v>9.1933701657458566E-2</v>
      </c>
      <c r="AW170" s="26">
        <f t="shared" si="52"/>
        <v>8.1248618784530394E-2</v>
      </c>
      <c r="AX170" s="24">
        <f t="shared" si="53"/>
        <v>0.88607594936708867</v>
      </c>
      <c r="AY170" s="24">
        <f t="shared" si="54"/>
        <v>0.91139240506329111</v>
      </c>
      <c r="AZ170" s="77" t="str">
        <f t="shared" si="55"/>
        <v>5,0 ≤ Alc. Bruta &lt; 7,5 mg/L</v>
      </c>
      <c r="BA170" s="77" t="str">
        <f t="shared" si="56"/>
        <v>5 ≤ Cor &lt; 10 uC</v>
      </c>
      <c r="BB170" s="78" t="str">
        <f t="shared" si="57"/>
        <v>Turbidez &lt; 2,5 uT</v>
      </c>
      <c r="BC170" s="79" t="str">
        <f t="shared" si="58"/>
        <v>SM &gt; TOR &gt; BNN</v>
      </c>
      <c r="BD170" s="78" t="str">
        <f t="shared" si="59"/>
        <v>Tipo 1 (≤0,25) uT</v>
      </c>
      <c r="BE170" s="78" t="str">
        <f t="shared" si="60"/>
        <v>Tipo 1 (≤0,25) uT</v>
      </c>
      <c r="BF170" s="78" t="str">
        <f t="shared" si="61"/>
        <v>Tipo 1 (≤0,25) uT</v>
      </c>
      <c r="BG170" s="78" t="str">
        <f t="shared" si="62"/>
        <v>Tipo 1 (≤0,25) uT</v>
      </c>
      <c r="BH170" s="78" t="str">
        <f t="shared" si="63"/>
        <v>Tipo 1 (≤0,25) uT</v>
      </c>
    </row>
    <row r="171" spans="1:60" x14ac:dyDescent="0.2">
      <c r="A171" s="31">
        <v>46277</v>
      </c>
      <c r="B171" s="80">
        <v>0.64583333333333337</v>
      </c>
      <c r="C171" s="57">
        <v>359</v>
      </c>
      <c r="D171" s="57">
        <v>1150</v>
      </c>
      <c r="E171" s="57">
        <v>250</v>
      </c>
      <c r="F171" s="57">
        <v>1799</v>
      </c>
      <c r="G171" s="85" t="s">
        <v>78</v>
      </c>
      <c r="H171" s="63">
        <v>10</v>
      </c>
      <c r="I171" s="57">
        <v>-15</v>
      </c>
      <c r="J171" s="57">
        <v>90</v>
      </c>
      <c r="K171" s="57">
        <v>90</v>
      </c>
      <c r="L171" s="57">
        <v>90</v>
      </c>
      <c r="M171" s="57">
        <v>23.7</v>
      </c>
      <c r="N171" s="63">
        <v>6.7</v>
      </c>
      <c r="O171" s="36">
        <v>1.48</v>
      </c>
      <c r="P171" s="57">
        <v>7</v>
      </c>
      <c r="Q171" s="63">
        <v>6.1</v>
      </c>
      <c r="R171" s="36">
        <v>0.08</v>
      </c>
      <c r="S171" s="36">
        <v>22.36</v>
      </c>
      <c r="T171" s="36">
        <v>0.88</v>
      </c>
      <c r="U171" s="36">
        <v>0.7</v>
      </c>
      <c r="V171" s="42">
        <f t="shared" si="64"/>
        <v>1457.19</v>
      </c>
      <c r="W171" s="42">
        <f t="shared" si="65"/>
        <v>1560.7397488383995</v>
      </c>
      <c r="X171" s="42">
        <f t="shared" si="66"/>
        <v>1.0710612540838185</v>
      </c>
      <c r="Y171" s="57">
        <v>2</v>
      </c>
      <c r="Z171" s="57">
        <v>4</v>
      </c>
      <c r="AA171" s="63">
        <v>6.08</v>
      </c>
      <c r="AB171" s="57">
        <v>21.02</v>
      </c>
      <c r="AC171" s="63">
        <v>6.2</v>
      </c>
      <c r="AD171" s="63">
        <v>4.4000000000000004</v>
      </c>
      <c r="AE171" s="36">
        <v>0.38</v>
      </c>
      <c r="AF171" s="36">
        <v>0.13</v>
      </c>
      <c r="AG171" s="42">
        <f t="shared" si="46"/>
        <v>1942.92</v>
      </c>
      <c r="AH171" s="42">
        <f t="shared" si="67"/>
        <v>1879.5554298559996</v>
      </c>
      <c r="AI171" s="42">
        <f t="shared" si="68"/>
        <v>0.96738693814258925</v>
      </c>
      <c r="AJ171" s="57">
        <v>2</v>
      </c>
      <c r="AK171" s="57">
        <v>3</v>
      </c>
      <c r="AL171" s="63">
        <v>6.26</v>
      </c>
      <c r="AM171" s="57">
        <v>24.4</v>
      </c>
      <c r="AN171" s="63">
        <v>6.2</v>
      </c>
      <c r="AO171" s="63">
        <v>4.5999999999999996</v>
      </c>
      <c r="AP171" s="36">
        <v>0.23</v>
      </c>
      <c r="AQ171" s="36">
        <v>0.18</v>
      </c>
      <c r="AR171" s="73">
        <f t="shared" si="47"/>
        <v>1759</v>
      </c>
      <c r="AS171" s="75">
        <f t="shared" si="48"/>
        <v>0.20409323479249575</v>
      </c>
      <c r="AT171" s="75">
        <f t="shared" si="49"/>
        <v>0.6537805571347356</v>
      </c>
      <c r="AU171" s="75">
        <f t="shared" si="50"/>
        <v>0.14212620807276863</v>
      </c>
      <c r="AV171" s="26">
        <f t="shared" si="51"/>
        <v>9.347415230683713E-2</v>
      </c>
      <c r="AW171" s="26">
        <f t="shared" si="52"/>
        <v>8.1378543635352976E-2</v>
      </c>
      <c r="AX171" s="24">
        <f t="shared" si="53"/>
        <v>0.8783783783783784</v>
      </c>
      <c r="AY171" s="24">
        <f t="shared" si="54"/>
        <v>0.91216216216216217</v>
      </c>
      <c r="AZ171" s="77" t="str">
        <f t="shared" si="55"/>
        <v>5,0 ≤ Alc. Bruta &lt; 7,5 mg/L</v>
      </c>
      <c r="BA171" s="77" t="str">
        <f t="shared" si="56"/>
        <v>5 ≤ Cor &lt; 10 uC</v>
      </c>
      <c r="BB171" s="78" t="str">
        <f t="shared" si="57"/>
        <v>Turbidez &lt; 2,5 uT</v>
      </c>
      <c r="BC171" s="79" t="str">
        <f t="shared" si="58"/>
        <v>SM &gt; TOR &gt; BNN</v>
      </c>
      <c r="BD171" s="78" t="str">
        <f t="shared" si="59"/>
        <v>Tipo 2 (0,25-0,50) uT</v>
      </c>
      <c r="BE171" s="78" t="str">
        <f t="shared" si="60"/>
        <v>Tipo 1 (≤0,25) uT</v>
      </c>
      <c r="BF171" s="78" t="str">
        <f t="shared" si="61"/>
        <v>Tipo 1 (≤0,25) uT</v>
      </c>
      <c r="BG171" s="78" t="str">
        <f t="shared" si="62"/>
        <v>Tipo 1 (≤0,25) uT</v>
      </c>
      <c r="BH171" s="78" t="str">
        <f t="shared" si="63"/>
        <v>Tipo 1 (≤0,25) uT</v>
      </c>
    </row>
    <row r="172" spans="1:60" x14ac:dyDescent="0.2">
      <c r="A172" s="31">
        <v>46277</v>
      </c>
      <c r="B172" s="80">
        <v>0.72916666666666663</v>
      </c>
      <c r="C172" s="57">
        <v>371</v>
      </c>
      <c r="D172" s="57">
        <v>1188</v>
      </c>
      <c r="E172" s="57">
        <v>249</v>
      </c>
      <c r="F172" s="57">
        <v>1857</v>
      </c>
      <c r="G172" s="85" t="s">
        <v>78</v>
      </c>
      <c r="H172" s="63">
        <v>10</v>
      </c>
      <c r="I172" s="57">
        <v>-7</v>
      </c>
      <c r="J172" s="57">
        <v>90</v>
      </c>
      <c r="K172" s="57">
        <v>90</v>
      </c>
      <c r="L172" s="57">
        <v>90</v>
      </c>
      <c r="M172" s="57">
        <v>25.8</v>
      </c>
      <c r="N172" s="63">
        <v>6.7</v>
      </c>
      <c r="O172" s="36">
        <v>1.48</v>
      </c>
      <c r="P172" s="57">
        <v>9</v>
      </c>
      <c r="Q172" s="63">
        <v>6.2</v>
      </c>
      <c r="R172" s="36">
        <v>0.08</v>
      </c>
      <c r="S172" s="36">
        <v>22.36</v>
      </c>
      <c r="T172" s="36">
        <v>0.88</v>
      </c>
      <c r="U172" s="36">
        <v>0.7</v>
      </c>
      <c r="V172" s="42">
        <f t="shared" si="64"/>
        <v>1504.17</v>
      </c>
      <c r="W172" s="42">
        <f t="shared" si="65"/>
        <v>1513.7258766863999</v>
      </c>
      <c r="X172" s="42">
        <f t="shared" si="66"/>
        <v>1.0063529233307404</v>
      </c>
      <c r="Y172" s="57">
        <v>2</v>
      </c>
      <c r="Z172" s="57">
        <v>4</v>
      </c>
      <c r="AA172" s="63">
        <v>5.98</v>
      </c>
      <c r="AB172" s="57">
        <v>20.82</v>
      </c>
      <c r="AC172" s="63">
        <v>6.2</v>
      </c>
      <c r="AD172" s="63">
        <v>4.4000000000000004</v>
      </c>
      <c r="AE172" s="36">
        <v>0.18</v>
      </c>
      <c r="AF172" s="36">
        <v>0.16</v>
      </c>
      <c r="AG172" s="42">
        <f t="shared" si="46"/>
        <v>2005.5600000000002</v>
      </c>
      <c r="AH172" s="42">
        <f t="shared" si="67"/>
        <v>1894.9026865339997</v>
      </c>
      <c r="AI172" s="42">
        <f t="shared" si="68"/>
        <v>0.94482473051616489</v>
      </c>
      <c r="AJ172" s="57">
        <v>2</v>
      </c>
      <c r="AK172" s="57">
        <v>3</v>
      </c>
      <c r="AL172" s="63">
        <v>6.27</v>
      </c>
      <c r="AM172" s="57">
        <v>24.55</v>
      </c>
      <c r="AN172" s="63">
        <v>6.2</v>
      </c>
      <c r="AO172" s="63">
        <v>4.4000000000000004</v>
      </c>
      <c r="AP172" s="36">
        <v>0.23</v>
      </c>
      <c r="AQ172" s="36">
        <v>0.14000000000000001</v>
      </c>
      <c r="AR172" s="73">
        <f t="shared" si="47"/>
        <v>1808</v>
      </c>
      <c r="AS172" s="75">
        <f t="shared" si="48"/>
        <v>0.20519911504424779</v>
      </c>
      <c r="AT172" s="75">
        <f t="shared" si="49"/>
        <v>0.65707964601769908</v>
      </c>
      <c r="AU172" s="75">
        <f t="shared" si="50"/>
        <v>0.1377212389380531</v>
      </c>
      <c r="AV172" s="26">
        <f t="shared" si="51"/>
        <v>8.9693053311793211E-2</v>
      </c>
      <c r="AW172" s="26">
        <f t="shared" si="52"/>
        <v>7.9321486268174479E-2</v>
      </c>
      <c r="AX172" s="24">
        <f t="shared" si="53"/>
        <v>0.90540540540540537</v>
      </c>
      <c r="AY172" s="24">
        <f t="shared" si="54"/>
        <v>0.89189189189189189</v>
      </c>
      <c r="AZ172" s="77" t="str">
        <f t="shared" si="55"/>
        <v>5,0 ≤ Alc. Bruta &lt; 7,5 mg/L</v>
      </c>
      <c r="BA172" s="77" t="str">
        <f t="shared" si="56"/>
        <v>5 ≤ Cor &lt; 10 uC</v>
      </c>
      <c r="BB172" s="78" t="str">
        <f t="shared" si="57"/>
        <v>Turbidez &lt; 2,5 uT</v>
      </c>
      <c r="BC172" s="79" t="str">
        <f t="shared" si="58"/>
        <v>SM &gt; TOR &gt; BNN</v>
      </c>
      <c r="BD172" s="78" t="str">
        <f t="shared" si="59"/>
        <v>Tipo 1 (≤0,25) uT</v>
      </c>
      <c r="BE172" s="78" t="str">
        <f t="shared" si="60"/>
        <v>Tipo 1 (≤0,25) uT</v>
      </c>
      <c r="BF172" s="78" t="str">
        <f t="shared" si="61"/>
        <v>Tipo 1 (≤0,25) uT</v>
      </c>
      <c r="BG172" s="78" t="str">
        <f t="shared" si="62"/>
        <v>Tipo 1 (≤0,25) uT</v>
      </c>
      <c r="BH172" s="78" t="str">
        <f t="shared" si="63"/>
        <v>Tipo 1 (≤0,25) uT</v>
      </c>
    </row>
    <row r="173" spans="1:60" x14ac:dyDescent="0.2">
      <c r="A173" s="31">
        <v>46277</v>
      </c>
      <c r="B173" s="80">
        <v>0.8125</v>
      </c>
      <c r="C173" s="57">
        <v>370</v>
      </c>
      <c r="D173" s="57">
        <v>1140</v>
      </c>
      <c r="E173" s="57">
        <v>249</v>
      </c>
      <c r="F173" s="57">
        <v>1789</v>
      </c>
      <c r="G173" s="85" t="s">
        <v>78</v>
      </c>
      <c r="H173" s="63">
        <v>10</v>
      </c>
      <c r="I173" s="57">
        <v>1.84</v>
      </c>
      <c r="J173" s="57">
        <v>90</v>
      </c>
      <c r="K173" s="57">
        <v>90</v>
      </c>
      <c r="L173" s="57">
        <v>90</v>
      </c>
      <c r="M173" s="57">
        <v>25.3</v>
      </c>
      <c r="N173" s="63">
        <v>6.7</v>
      </c>
      <c r="O173" s="36">
        <v>1.43</v>
      </c>
      <c r="P173" s="57">
        <v>8</v>
      </c>
      <c r="Q173" s="63">
        <v>6.2</v>
      </c>
      <c r="R173" s="36">
        <v>0.09</v>
      </c>
      <c r="S173" s="36">
        <v>22.36</v>
      </c>
      <c r="T173" s="36">
        <v>0.88</v>
      </c>
      <c r="U173" s="36">
        <v>0.7</v>
      </c>
      <c r="V173" s="42">
        <f t="shared" si="64"/>
        <v>1437.9087499999998</v>
      </c>
      <c r="W173" s="42">
        <f t="shared" si="65"/>
        <v>1529.2285311159997</v>
      </c>
      <c r="X173" s="42">
        <f t="shared" si="66"/>
        <v>1.0635087456808368</v>
      </c>
      <c r="Y173" s="57">
        <v>2</v>
      </c>
      <c r="Z173" s="57">
        <v>4</v>
      </c>
      <c r="AA173" s="63">
        <v>6.01</v>
      </c>
      <c r="AB173" s="57">
        <v>20.9</v>
      </c>
      <c r="AC173" s="63">
        <v>6.3</v>
      </c>
      <c r="AD173" s="63">
        <v>6</v>
      </c>
      <c r="AE173" s="36">
        <v>0.2</v>
      </c>
      <c r="AF173" s="36">
        <v>0.15</v>
      </c>
      <c r="AG173" s="42">
        <f t="shared" si="46"/>
        <v>1917.2116666666668</v>
      </c>
      <c r="AH173" s="42">
        <f t="shared" si="67"/>
        <v>1898.6131910199997</v>
      </c>
      <c r="AI173" s="42">
        <f t="shared" si="68"/>
        <v>0.99029920588841236</v>
      </c>
      <c r="AJ173" s="57">
        <v>2</v>
      </c>
      <c r="AK173" s="57">
        <v>3</v>
      </c>
      <c r="AL173" s="63">
        <v>6.29</v>
      </c>
      <c r="AM173" s="57">
        <v>24.5</v>
      </c>
      <c r="AN173" s="63">
        <v>6.2</v>
      </c>
      <c r="AO173" s="63">
        <v>5.5</v>
      </c>
      <c r="AP173" s="36">
        <v>0.24</v>
      </c>
      <c r="AQ173" s="36">
        <v>0.15</v>
      </c>
      <c r="AR173" s="73">
        <f t="shared" si="47"/>
        <v>1759</v>
      </c>
      <c r="AS173" s="75">
        <f t="shared" si="48"/>
        <v>0.21034678794769757</v>
      </c>
      <c r="AT173" s="75">
        <f t="shared" si="49"/>
        <v>0.64809550881182487</v>
      </c>
      <c r="AU173" s="75">
        <f t="shared" si="50"/>
        <v>0.14155770324047753</v>
      </c>
      <c r="AV173" s="26">
        <f t="shared" si="51"/>
        <v>9.3460033538289536E-2</v>
      </c>
      <c r="AW173" s="26">
        <f t="shared" si="52"/>
        <v>8.2168809390721062E-2</v>
      </c>
      <c r="AX173" s="24">
        <f t="shared" si="53"/>
        <v>0.8951048951048951</v>
      </c>
      <c r="AY173" s="24">
        <f t="shared" si="54"/>
        <v>0.8951048951048951</v>
      </c>
      <c r="AZ173" s="77" t="str">
        <f t="shared" si="55"/>
        <v>5,0 ≤ Alc. Bruta &lt; 7,5 mg/L</v>
      </c>
      <c r="BA173" s="77" t="str">
        <f t="shared" si="56"/>
        <v>5 ≤ Cor &lt; 10 uC</v>
      </c>
      <c r="BB173" s="78" t="str">
        <f t="shared" si="57"/>
        <v>Turbidez &lt; 2,5 uT</v>
      </c>
      <c r="BC173" s="79" t="str">
        <f t="shared" si="58"/>
        <v>SM &gt; TOR &gt; BNN</v>
      </c>
      <c r="BD173" s="78" t="str">
        <f t="shared" si="59"/>
        <v>Tipo 1 (≤0,25) uT</v>
      </c>
      <c r="BE173" s="78" t="str">
        <f t="shared" si="60"/>
        <v>Tipo 1 (≤0,25) uT</v>
      </c>
      <c r="BF173" s="78" t="str">
        <f t="shared" si="61"/>
        <v>Tipo 1 (≤0,25) uT</v>
      </c>
      <c r="BG173" s="78" t="str">
        <f t="shared" si="62"/>
        <v>Tipo 1 (≤0,25) uT</v>
      </c>
      <c r="BH173" s="78" t="str">
        <f t="shared" si="63"/>
        <v>Tipo 1 (≤0,25) uT</v>
      </c>
    </row>
    <row r="174" spans="1:60" x14ac:dyDescent="0.2">
      <c r="A174" s="31">
        <v>46277</v>
      </c>
      <c r="B174" s="80">
        <v>0.89583333333333337</v>
      </c>
      <c r="C174" s="57">
        <v>416</v>
      </c>
      <c r="D174" s="57">
        <v>1102</v>
      </c>
      <c r="E174" s="57">
        <v>250</v>
      </c>
      <c r="F174" s="57">
        <v>1816</v>
      </c>
      <c r="G174" s="85" t="s">
        <v>78</v>
      </c>
      <c r="H174" s="63">
        <v>10</v>
      </c>
      <c r="I174" s="57">
        <v>9.06</v>
      </c>
      <c r="J174" s="57">
        <v>90</v>
      </c>
      <c r="K174" s="57">
        <v>90</v>
      </c>
      <c r="L174" s="57">
        <v>90</v>
      </c>
      <c r="M174" s="57">
        <v>25.4</v>
      </c>
      <c r="N174" s="63">
        <v>6.6</v>
      </c>
      <c r="O174" s="36">
        <v>1.46</v>
      </c>
      <c r="P174" s="57">
        <v>8</v>
      </c>
      <c r="Q174" s="63">
        <v>6.9</v>
      </c>
      <c r="R174" s="36">
        <v>7.0000000000000007E-2</v>
      </c>
      <c r="S174" s="36">
        <v>22.36</v>
      </c>
      <c r="T174" s="36">
        <v>0.88</v>
      </c>
      <c r="U174" s="36">
        <v>0.7</v>
      </c>
      <c r="V174" s="42">
        <f t="shared" si="64"/>
        <v>1466.42</v>
      </c>
      <c r="W174" s="42">
        <f t="shared" si="65"/>
        <v>1546.27798416</v>
      </c>
      <c r="X174" s="42">
        <f t="shared" si="66"/>
        <v>1.0544577843728262</v>
      </c>
      <c r="Y174" s="57">
        <v>2</v>
      </c>
      <c r="Z174" s="57">
        <v>4</v>
      </c>
      <c r="AA174" s="63">
        <v>6.04</v>
      </c>
      <c r="AB174" s="57">
        <v>21</v>
      </c>
      <c r="AC174" s="63">
        <v>6.3</v>
      </c>
      <c r="AD174" s="63">
        <v>6.3</v>
      </c>
      <c r="AE174" s="36">
        <v>0.19</v>
      </c>
      <c r="AF174" s="36">
        <v>0.12</v>
      </c>
      <c r="AG174" s="42">
        <f t="shared" si="46"/>
        <v>1955.2266666666667</v>
      </c>
      <c r="AH174" s="42">
        <f t="shared" si="67"/>
        <v>1902.3980793999997</v>
      </c>
      <c r="AI174" s="42">
        <f t="shared" si="68"/>
        <v>0.97298083737946817</v>
      </c>
      <c r="AJ174" s="57">
        <v>2</v>
      </c>
      <c r="AK174" s="57">
        <v>3</v>
      </c>
      <c r="AL174" s="63">
        <v>6.3</v>
      </c>
      <c r="AM174" s="57">
        <v>24.5</v>
      </c>
      <c r="AN174" s="63">
        <v>6.2</v>
      </c>
      <c r="AO174" s="63">
        <v>5.6</v>
      </c>
      <c r="AP174" s="36">
        <v>0.17</v>
      </c>
      <c r="AQ174" s="36">
        <v>0.17</v>
      </c>
      <c r="AR174" s="73">
        <f t="shared" si="47"/>
        <v>1768</v>
      </c>
      <c r="AS174" s="75">
        <f t="shared" si="48"/>
        <v>0.23529411764705882</v>
      </c>
      <c r="AT174" s="75">
        <f t="shared" si="49"/>
        <v>0.62330316742081449</v>
      </c>
      <c r="AU174" s="75">
        <f t="shared" si="50"/>
        <v>0.14140271493212669</v>
      </c>
      <c r="AV174" s="26">
        <f t="shared" si="51"/>
        <v>9.2511013215859028E-2</v>
      </c>
      <c r="AW174" s="26">
        <f t="shared" si="52"/>
        <v>8.0947136563876643E-2</v>
      </c>
      <c r="AX174" s="24">
        <f t="shared" si="53"/>
        <v>0.88356164383561642</v>
      </c>
      <c r="AY174" s="24">
        <f t="shared" si="54"/>
        <v>0.9178082191780822</v>
      </c>
      <c r="AZ174" s="77" t="str">
        <f t="shared" si="55"/>
        <v>5,0 ≤ Alc. Bruta &lt; 7,5 mg/L</v>
      </c>
      <c r="BA174" s="77" t="str">
        <f t="shared" si="56"/>
        <v>5 ≤ Cor &lt; 10 uC</v>
      </c>
      <c r="BB174" s="78" t="str">
        <f t="shared" si="57"/>
        <v>Turbidez &lt; 2,5 uT</v>
      </c>
      <c r="BC174" s="79" t="str">
        <f t="shared" si="58"/>
        <v>SM &gt; TOR &gt; BNN</v>
      </c>
      <c r="BD174" s="78" t="str">
        <f t="shared" si="59"/>
        <v>Tipo 1 (≤0,25) uT</v>
      </c>
      <c r="BE174" s="78" t="str">
        <f t="shared" si="60"/>
        <v>Tipo 1 (≤0,25) uT</v>
      </c>
      <c r="BF174" s="78" t="str">
        <f t="shared" si="61"/>
        <v>Tipo 1 (≤0,25) uT</v>
      </c>
      <c r="BG174" s="78" t="str">
        <f t="shared" si="62"/>
        <v>Tipo 1 (≤0,25) uT</v>
      </c>
      <c r="BH174" s="78" t="str">
        <f t="shared" si="63"/>
        <v>Tipo 1 (≤0,25) uT</v>
      </c>
    </row>
    <row r="175" spans="1:60" x14ac:dyDescent="0.2">
      <c r="A175" s="31">
        <v>46277</v>
      </c>
      <c r="B175" s="80">
        <v>0.97916666666666663</v>
      </c>
      <c r="C175" s="57">
        <v>380</v>
      </c>
      <c r="D175" s="57">
        <v>1180</v>
      </c>
      <c r="E175" s="57">
        <v>250</v>
      </c>
      <c r="F175" s="57">
        <v>1790</v>
      </c>
      <c r="G175" s="85" t="s">
        <v>78</v>
      </c>
      <c r="H175" s="63">
        <v>10</v>
      </c>
      <c r="I175" s="57">
        <v>7.8</v>
      </c>
      <c r="J175" s="57">
        <v>90</v>
      </c>
      <c r="K175" s="57">
        <v>90</v>
      </c>
      <c r="L175" s="57">
        <v>90</v>
      </c>
      <c r="M175" s="57">
        <v>25.5</v>
      </c>
      <c r="N175" s="63">
        <v>6.6</v>
      </c>
      <c r="O175" s="36">
        <v>1.45</v>
      </c>
      <c r="P175" s="57">
        <v>8</v>
      </c>
      <c r="Q175" s="63">
        <v>6.7</v>
      </c>
      <c r="R175" s="36">
        <v>0.08</v>
      </c>
      <c r="S175" s="36">
        <v>22.36</v>
      </c>
      <c r="T175" s="36">
        <v>0.88</v>
      </c>
      <c r="U175" s="36">
        <v>0.7</v>
      </c>
      <c r="V175" s="42">
        <f t="shared" si="64"/>
        <v>1443.1875</v>
      </c>
      <c r="W175" s="42">
        <f t="shared" si="65"/>
        <v>1542.1434971799995</v>
      </c>
      <c r="X175" s="42">
        <f t="shared" si="66"/>
        <v>1.0685676651024205</v>
      </c>
      <c r="Y175" s="57">
        <v>2</v>
      </c>
      <c r="Z175" s="57">
        <v>4</v>
      </c>
      <c r="AA175" s="63">
        <v>6.05</v>
      </c>
      <c r="AB175" s="57">
        <v>20.9</v>
      </c>
      <c r="AC175" s="63">
        <v>6.2</v>
      </c>
      <c r="AD175" s="63">
        <v>6.2</v>
      </c>
      <c r="AE175" s="36">
        <v>0.21</v>
      </c>
      <c r="AF175" s="36">
        <v>0.13</v>
      </c>
      <c r="AG175" s="42">
        <f t="shared" si="46"/>
        <v>1924.25</v>
      </c>
      <c r="AH175" s="42">
        <f t="shared" si="67"/>
        <v>1879.360316496</v>
      </c>
      <c r="AI175" s="42">
        <f t="shared" si="68"/>
        <v>0.97667159490502797</v>
      </c>
      <c r="AJ175" s="57">
        <v>2</v>
      </c>
      <c r="AK175" s="57">
        <v>3</v>
      </c>
      <c r="AL175" s="63">
        <v>6.28</v>
      </c>
      <c r="AM175" s="57">
        <v>24.3</v>
      </c>
      <c r="AN175" s="63">
        <v>6.2</v>
      </c>
      <c r="AO175" s="63">
        <v>5.6</v>
      </c>
      <c r="AP175" s="36">
        <v>0.18</v>
      </c>
      <c r="AQ175" s="36">
        <v>0.17</v>
      </c>
      <c r="AR175" s="73">
        <f t="shared" si="47"/>
        <v>1810</v>
      </c>
      <c r="AS175" s="75">
        <f t="shared" si="48"/>
        <v>0.20994475138121546</v>
      </c>
      <c r="AT175" s="75">
        <f t="shared" si="49"/>
        <v>0.65193370165745856</v>
      </c>
      <c r="AU175" s="75">
        <f t="shared" si="50"/>
        <v>0.13812154696132597</v>
      </c>
      <c r="AV175" s="26">
        <f t="shared" si="51"/>
        <v>9.3407821229050267E-2</v>
      </c>
      <c r="AW175" s="26">
        <f t="shared" si="52"/>
        <v>8.1452513966480455E-2</v>
      </c>
      <c r="AX175" s="24">
        <f t="shared" si="53"/>
        <v>0.88275862068965516</v>
      </c>
      <c r="AY175" s="24">
        <f t="shared" si="54"/>
        <v>0.91034482758620694</v>
      </c>
      <c r="AZ175" s="77" t="str">
        <f t="shared" si="55"/>
        <v>5,0 ≤ Alc. Bruta &lt; 7,5 mg/L</v>
      </c>
      <c r="BA175" s="77" t="str">
        <f t="shared" si="56"/>
        <v>5 ≤ Cor &lt; 10 uC</v>
      </c>
      <c r="BB175" s="78" t="str">
        <f t="shared" si="57"/>
        <v>Turbidez &lt; 2,5 uT</v>
      </c>
      <c r="BC175" s="79" t="str">
        <f t="shared" si="58"/>
        <v>SM &gt; TOR &gt; BNN</v>
      </c>
      <c r="BD175" s="78" t="str">
        <f t="shared" si="59"/>
        <v>Tipo 1 (≤0,25) uT</v>
      </c>
      <c r="BE175" s="78" t="str">
        <f t="shared" si="60"/>
        <v>Tipo 1 (≤0,25) uT</v>
      </c>
      <c r="BF175" s="78" t="str">
        <f t="shared" si="61"/>
        <v>Tipo 1 (≤0,25) uT</v>
      </c>
      <c r="BG175" s="78" t="str">
        <f t="shared" si="62"/>
        <v>Tipo 1 (≤0,25) uT</v>
      </c>
      <c r="BH175" s="78" t="str">
        <f t="shared" si="63"/>
        <v>Tipo 1 (≤0,25) uT</v>
      </c>
    </row>
    <row r="176" spans="1:60" x14ac:dyDescent="0.2">
      <c r="A176" s="31">
        <v>46278</v>
      </c>
      <c r="B176" s="80">
        <v>0.14583333333333334</v>
      </c>
      <c r="C176" s="57">
        <v>340</v>
      </c>
      <c r="D176" s="57">
        <v>1126</v>
      </c>
      <c r="E176" s="57">
        <v>250</v>
      </c>
      <c r="F176" s="57">
        <v>2316</v>
      </c>
      <c r="G176" s="85" t="s">
        <v>78</v>
      </c>
      <c r="H176" s="63">
        <v>10</v>
      </c>
      <c r="I176" s="57">
        <v>21.3</v>
      </c>
      <c r="J176" s="57">
        <v>90</v>
      </c>
      <c r="K176" s="57">
        <v>90</v>
      </c>
      <c r="L176" s="57">
        <v>90</v>
      </c>
      <c r="M176" s="57">
        <v>25.5</v>
      </c>
      <c r="N176" s="63">
        <v>6.6</v>
      </c>
      <c r="O176" s="36">
        <v>1.49</v>
      </c>
      <c r="P176" s="57">
        <v>8</v>
      </c>
      <c r="Q176" s="63">
        <v>6.3</v>
      </c>
      <c r="R176" s="36">
        <v>0.09</v>
      </c>
      <c r="S176" s="36">
        <v>22.36</v>
      </c>
      <c r="T176" s="36">
        <v>0.88</v>
      </c>
      <c r="U176" s="36">
        <v>0.7</v>
      </c>
      <c r="V176" s="42">
        <f t="shared" si="64"/>
        <v>1878.855</v>
      </c>
      <c r="W176" s="42">
        <f t="shared" si="65"/>
        <v>1556.0105542799997</v>
      </c>
      <c r="X176" s="42">
        <f t="shared" si="66"/>
        <v>0.82816957896165466</v>
      </c>
      <c r="Y176" s="57">
        <v>3</v>
      </c>
      <c r="Z176" s="57">
        <v>4</v>
      </c>
      <c r="AA176" s="63">
        <v>6.07</v>
      </c>
      <c r="AB176" s="57">
        <v>21</v>
      </c>
      <c r="AC176" s="63">
        <v>6.2</v>
      </c>
      <c r="AD176" s="63">
        <v>5.01</v>
      </c>
      <c r="AE176" s="36">
        <v>0.16</v>
      </c>
      <c r="AF176" s="36">
        <v>0.12</v>
      </c>
      <c r="AG176" s="42">
        <f t="shared" si="46"/>
        <v>1878.855</v>
      </c>
      <c r="AH176" s="42">
        <f t="shared" si="67"/>
        <v>1902.3980793999997</v>
      </c>
      <c r="AI176" s="42">
        <f t="shared" si="68"/>
        <v>1.0125305462103247</v>
      </c>
      <c r="AJ176" s="57">
        <v>3</v>
      </c>
      <c r="AK176" s="57">
        <v>4</v>
      </c>
      <c r="AL176" s="63">
        <v>6.3</v>
      </c>
      <c r="AM176" s="57">
        <v>24.5</v>
      </c>
      <c r="AN176" s="63">
        <v>6.1</v>
      </c>
      <c r="AO176" s="63">
        <v>5.9</v>
      </c>
      <c r="AP176" s="36">
        <v>0.17</v>
      </c>
      <c r="AQ176" s="36">
        <v>0.18</v>
      </c>
      <c r="AR176" s="73">
        <f t="shared" si="47"/>
        <v>1716</v>
      </c>
      <c r="AS176" s="75">
        <f t="shared" si="48"/>
        <v>0.19813519813519814</v>
      </c>
      <c r="AT176" s="75">
        <f t="shared" si="49"/>
        <v>0.65617715617715622</v>
      </c>
      <c r="AU176" s="75">
        <f t="shared" si="50"/>
        <v>0.14568764568764569</v>
      </c>
      <c r="AV176" s="26">
        <f t="shared" si="51"/>
        <v>7.2538860103626937E-2</v>
      </c>
      <c r="AW176" s="26">
        <f t="shared" si="52"/>
        <v>8.46286701208981E-2</v>
      </c>
      <c r="AX176" s="24">
        <f t="shared" si="53"/>
        <v>0.87919463087248317</v>
      </c>
      <c r="AY176" s="24">
        <f t="shared" si="54"/>
        <v>0.91946308724832215</v>
      </c>
      <c r="AZ176" s="77" t="str">
        <f t="shared" si="55"/>
        <v>5,0 ≤ Alc. Bruta &lt; 7,5 mg/L</v>
      </c>
      <c r="BA176" s="77" t="str">
        <f t="shared" si="56"/>
        <v>5 ≤ Cor &lt; 10 uC</v>
      </c>
      <c r="BB176" s="78" t="str">
        <f t="shared" si="57"/>
        <v>Turbidez &lt; 2,5 uT</v>
      </c>
      <c r="BC176" s="79" t="str">
        <f t="shared" si="58"/>
        <v>SM &gt; TOR &gt; BNN</v>
      </c>
      <c r="BD176" s="78" t="str">
        <f t="shared" si="59"/>
        <v>Tipo 1 (≤0,25) uT</v>
      </c>
      <c r="BE176" s="78" t="str">
        <f t="shared" si="60"/>
        <v>Tipo 1 (≤0,25) uT</v>
      </c>
      <c r="BF176" s="78" t="str">
        <f t="shared" si="61"/>
        <v>Tipo 1 (≤0,25) uT</v>
      </c>
      <c r="BG176" s="78" t="str">
        <f t="shared" si="62"/>
        <v>Tipo 1 (≤0,25) uT</v>
      </c>
      <c r="BH176" s="78" t="str">
        <f t="shared" si="63"/>
        <v>Tipo 1 (≤0,25) uT</v>
      </c>
    </row>
    <row r="177" spans="1:60" ht="15.75" thickBot="1" x14ac:dyDescent="0.25">
      <c r="A177" s="32">
        <v>46278</v>
      </c>
      <c r="B177" s="81">
        <v>0.22916666666666666</v>
      </c>
      <c r="C177" s="58">
        <v>337</v>
      </c>
      <c r="D177" s="58">
        <v>1169</v>
      </c>
      <c r="E177" s="58">
        <v>250</v>
      </c>
      <c r="F177" s="58">
        <v>2256</v>
      </c>
      <c r="G177" s="86" t="s">
        <v>78</v>
      </c>
      <c r="H177" s="64">
        <v>10</v>
      </c>
      <c r="I177" s="58">
        <v>27.13</v>
      </c>
      <c r="J177" s="58">
        <v>90</v>
      </c>
      <c r="K177" s="58">
        <v>90</v>
      </c>
      <c r="L177" s="58">
        <v>90</v>
      </c>
      <c r="M177" s="58">
        <v>24.7</v>
      </c>
      <c r="N177" s="64">
        <v>6.5</v>
      </c>
      <c r="O177" s="37">
        <v>1.4</v>
      </c>
      <c r="P177" s="58">
        <v>9</v>
      </c>
      <c r="Q177" s="64">
        <v>6.6</v>
      </c>
      <c r="R177" s="37">
        <v>0.09</v>
      </c>
      <c r="S177" s="36">
        <v>22.36</v>
      </c>
      <c r="T177" s="36">
        <v>0.88</v>
      </c>
      <c r="U177" s="36">
        <v>0.7</v>
      </c>
      <c r="V177" s="42">
        <f t="shared" si="64"/>
        <v>1804.8000000000002</v>
      </c>
      <c r="W177" s="42">
        <f t="shared" si="65"/>
        <v>1545.3722386959998</v>
      </c>
      <c r="X177" s="42">
        <f t="shared" si="66"/>
        <v>0.85625678119237569</v>
      </c>
      <c r="Y177" s="58">
        <v>2</v>
      </c>
      <c r="Z177" s="58">
        <v>4</v>
      </c>
      <c r="AA177" s="64">
        <v>6.06</v>
      </c>
      <c r="AB177" s="58">
        <v>20.9</v>
      </c>
      <c r="AC177" s="64">
        <v>6.2</v>
      </c>
      <c r="AD177" s="64">
        <v>5.3</v>
      </c>
      <c r="AE177" s="37">
        <v>0.21</v>
      </c>
      <c r="AF177" s="37">
        <v>0.13</v>
      </c>
      <c r="AG177" s="42">
        <f t="shared" si="46"/>
        <v>1804.8000000000002</v>
      </c>
      <c r="AH177" s="42">
        <f t="shared" si="67"/>
        <v>1894.6331892799994</v>
      </c>
      <c r="AI177" s="42">
        <f t="shared" si="68"/>
        <v>1.0497745951241131</v>
      </c>
      <c r="AJ177" s="58">
        <v>3</v>
      </c>
      <c r="AK177" s="58">
        <v>4</v>
      </c>
      <c r="AL177" s="64">
        <v>6.3</v>
      </c>
      <c r="AM177" s="58">
        <v>24.4</v>
      </c>
      <c r="AN177" s="64">
        <v>6.2</v>
      </c>
      <c r="AO177" s="64">
        <v>5.0999999999999996</v>
      </c>
      <c r="AP177" s="37">
        <v>0.27</v>
      </c>
      <c r="AQ177" s="37">
        <v>0.18</v>
      </c>
      <c r="AR177" s="73">
        <f t="shared" si="47"/>
        <v>1756</v>
      </c>
      <c r="AS177" s="75">
        <f t="shared" si="48"/>
        <v>0.19191343963553531</v>
      </c>
      <c r="AT177" s="75">
        <f t="shared" si="49"/>
        <v>0.66571753986332571</v>
      </c>
      <c r="AU177" s="75">
        <f t="shared" si="50"/>
        <v>0.14236902050113895</v>
      </c>
      <c r="AV177" s="26">
        <f t="shared" si="51"/>
        <v>7.411347517730496E-2</v>
      </c>
      <c r="AW177" s="26">
        <f t="shared" si="52"/>
        <v>8.6524822695035461E-2</v>
      </c>
      <c r="AX177" s="24">
        <f t="shared" si="53"/>
        <v>0.87142857142857144</v>
      </c>
      <c r="AY177" s="24">
        <f t="shared" si="54"/>
        <v>0.90714285714285714</v>
      </c>
      <c r="AZ177" s="77" t="str">
        <f t="shared" si="55"/>
        <v>5,0 ≤ Alc. Bruta &lt; 7,5 mg/L</v>
      </c>
      <c r="BA177" s="77" t="str">
        <f t="shared" si="56"/>
        <v>5 ≤ Cor &lt; 10 uC</v>
      </c>
      <c r="BB177" s="78" t="str">
        <f t="shared" si="57"/>
        <v>Turbidez &lt; 2,5 uT</v>
      </c>
      <c r="BC177" s="79" t="str">
        <f t="shared" si="58"/>
        <v>SM &gt; TOR &gt; BNN</v>
      </c>
      <c r="BD177" s="78" t="str">
        <f t="shared" si="59"/>
        <v>Tipo 1 (≤0,25) uT</v>
      </c>
      <c r="BE177" s="78" t="str">
        <f t="shared" si="60"/>
        <v>Tipo 2 (0,25-0,50) uT</v>
      </c>
      <c r="BF177" s="78" t="str">
        <f t="shared" si="61"/>
        <v>Tipo 1 (≤0,25) uT</v>
      </c>
      <c r="BG177" s="78" t="str">
        <f t="shared" si="62"/>
        <v>Tipo 1 (≤0,25) uT</v>
      </c>
      <c r="BH177" s="78" t="str">
        <f t="shared" si="63"/>
        <v>Tipo 1 (≤0,25) uT</v>
      </c>
    </row>
    <row r="178" spans="1:60" x14ac:dyDescent="0.2">
      <c r="A178" s="30">
        <v>46278</v>
      </c>
      <c r="B178" s="82">
        <v>0.3125</v>
      </c>
      <c r="C178" s="59">
        <v>336</v>
      </c>
      <c r="D178" s="59">
        <v>1656</v>
      </c>
      <c r="E178" s="59">
        <v>250</v>
      </c>
      <c r="F178" s="59">
        <v>2327</v>
      </c>
      <c r="G178" s="87" t="s">
        <v>78</v>
      </c>
      <c r="H178" s="65">
        <v>10</v>
      </c>
      <c r="I178" s="59">
        <v>33</v>
      </c>
      <c r="J178" s="59">
        <v>90</v>
      </c>
      <c r="K178" s="59">
        <v>90</v>
      </c>
      <c r="L178" s="59">
        <v>90</v>
      </c>
      <c r="M178" s="59">
        <v>24.9</v>
      </c>
      <c r="N178" s="65">
        <v>6.6</v>
      </c>
      <c r="O178" s="38">
        <v>1.19</v>
      </c>
      <c r="P178" s="59">
        <v>9</v>
      </c>
      <c r="Q178" s="65">
        <v>6.3</v>
      </c>
      <c r="R178" s="38">
        <v>0.09</v>
      </c>
      <c r="S178" s="36">
        <v>22.36</v>
      </c>
      <c r="T178" s="36">
        <v>0.88</v>
      </c>
      <c r="U178" s="36">
        <v>0.7</v>
      </c>
      <c r="V178" s="42">
        <f t="shared" si="64"/>
        <v>1800.5162499999999</v>
      </c>
      <c r="W178" s="42">
        <f t="shared" si="65"/>
        <v>1552.7663642399998</v>
      </c>
      <c r="X178" s="42">
        <f t="shared" si="66"/>
        <v>0.86240063883899953</v>
      </c>
      <c r="Y178" s="59">
        <v>3</v>
      </c>
      <c r="Z178" s="59">
        <v>4</v>
      </c>
      <c r="AA178" s="65">
        <v>6.06</v>
      </c>
      <c r="AB178" s="59">
        <v>21</v>
      </c>
      <c r="AC178" s="65">
        <v>6.1</v>
      </c>
      <c r="AD178" s="65">
        <v>3.4</v>
      </c>
      <c r="AE178" s="38">
        <v>0.16</v>
      </c>
      <c r="AF178" s="38">
        <v>0.13</v>
      </c>
      <c r="AG178" s="42">
        <f t="shared" si="46"/>
        <v>1800.5162499999999</v>
      </c>
      <c r="AH178" s="42">
        <f t="shared" si="67"/>
        <v>1773.9172108319999</v>
      </c>
      <c r="AI178" s="42">
        <f t="shared" si="68"/>
        <v>0.98522699299825811</v>
      </c>
      <c r="AJ178" s="59">
        <v>3</v>
      </c>
      <c r="AK178" s="59">
        <v>4</v>
      </c>
      <c r="AL178" s="65">
        <v>6.31</v>
      </c>
      <c r="AM178" s="59">
        <v>22.8</v>
      </c>
      <c r="AN178" s="65">
        <v>6.1</v>
      </c>
      <c r="AO178" s="65">
        <v>3.4</v>
      </c>
      <c r="AP178" s="38">
        <v>0.14000000000000001</v>
      </c>
      <c r="AQ178" s="38">
        <v>0.18</v>
      </c>
      <c r="AR178" s="73">
        <f t="shared" si="47"/>
        <v>2242</v>
      </c>
      <c r="AS178" s="75">
        <f t="shared" si="48"/>
        <v>0.14986619090098127</v>
      </c>
      <c r="AT178" s="75">
        <f t="shared" si="49"/>
        <v>0.73862622658340771</v>
      </c>
      <c r="AU178" s="75">
        <f t="shared" si="50"/>
        <v>0.11150758251561106</v>
      </c>
      <c r="AV178" s="26">
        <f t="shared" si="51"/>
        <v>7.2195960464116887E-2</v>
      </c>
      <c r="AW178" s="26">
        <f t="shared" si="52"/>
        <v>7.8384185646755478E-2</v>
      </c>
      <c r="AX178" s="24">
        <f t="shared" si="53"/>
        <v>0.84873949579831931</v>
      </c>
      <c r="AY178" s="24">
        <f t="shared" si="54"/>
        <v>0.89075630252100835</v>
      </c>
      <c r="AZ178" s="77" t="str">
        <f t="shared" si="55"/>
        <v>5,0 ≤ Alc. Bruta &lt; 7,5 mg/L</v>
      </c>
      <c r="BA178" s="77" t="str">
        <f t="shared" si="56"/>
        <v>5 ≤ Cor &lt; 10 uC</v>
      </c>
      <c r="BB178" s="78" t="str">
        <f t="shared" si="57"/>
        <v>Turbidez &lt; 2,5 uT</v>
      </c>
      <c r="BC178" s="79" t="str">
        <f t="shared" si="58"/>
        <v>SM &gt; TOR &gt; BNN</v>
      </c>
      <c r="BD178" s="78" t="str">
        <f t="shared" si="59"/>
        <v>Tipo 1 (≤0,25) uT</v>
      </c>
      <c r="BE178" s="78" t="str">
        <f t="shared" si="60"/>
        <v>Tipo 1 (≤0,25) uT</v>
      </c>
      <c r="BF178" s="78" t="str">
        <f t="shared" si="61"/>
        <v>Tipo 1 (≤0,25) uT</v>
      </c>
      <c r="BG178" s="78" t="str">
        <f t="shared" si="62"/>
        <v>Tipo 1 (≤0,25) uT</v>
      </c>
      <c r="BH178" s="78" t="str">
        <f t="shared" si="63"/>
        <v>Tipo 1 (≤0,25) uT</v>
      </c>
    </row>
    <row r="179" spans="1:60" x14ac:dyDescent="0.2">
      <c r="A179" s="31">
        <v>46278</v>
      </c>
      <c r="B179" s="80">
        <v>0.39583333333333331</v>
      </c>
      <c r="C179" s="57">
        <v>331</v>
      </c>
      <c r="D179" s="57">
        <v>1672</v>
      </c>
      <c r="E179" s="57">
        <v>250</v>
      </c>
      <c r="F179" s="57">
        <v>2283</v>
      </c>
      <c r="G179" s="85" t="s">
        <v>78</v>
      </c>
      <c r="H179" s="63">
        <v>10</v>
      </c>
      <c r="I179" s="57">
        <v>44</v>
      </c>
      <c r="J179" s="57">
        <v>90</v>
      </c>
      <c r="K179" s="57">
        <v>90</v>
      </c>
      <c r="L179" s="57">
        <v>90</v>
      </c>
      <c r="M179" s="57">
        <v>25.6</v>
      </c>
      <c r="N179" s="63">
        <v>6.6</v>
      </c>
      <c r="O179" s="36">
        <v>1.26</v>
      </c>
      <c r="P179" s="57">
        <v>7</v>
      </c>
      <c r="Q179" s="63">
        <v>5.8</v>
      </c>
      <c r="R179" s="36">
        <v>0.08</v>
      </c>
      <c r="S179" s="36">
        <v>22.36</v>
      </c>
      <c r="T179" s="36">
        <v>0.88</v>
      </c>
      <c r="U179" s="36">
        <v>0.7</v>
      </c>
      <c r="V179" s="42">
        <f t="shared" si="64"/>
        <v>1786.4475</v>
      </c>
      <c r="W179" s="42">
        <f t="shared" si="65"/>
        <v>1520.0074661199997</v>
      </c>
      <c r="X179" s="42">
        <f t="shared" si="66"/>
        <v>0.85085482003809221</v>
      </c>
      <c r="Y179" s="57">
        <v>3</v>
      </c>
      <c r="Z179" s="57">
        <v>4</v>
      </c>
      <c r="AA179" s="63">
        <v>6.05</v>
      </c>
      <c r="AB179" s="57">
        <v>20.6</v>
      </c>
      <c r="AC179" s="63">
        <v>6.1</v>
      </c>
      <c r="AD179" s="63">
        <v>4.3</v>
      </c>
      <c r="AE179" s="36">
        <v>0.23</v>
      </c>
      <c r="AF179" s="36">
        <v>0.12</v>
      </c>
      <c r="AG179" s="42">
        <f t="shared" si="46"/>
        <v>1786.4475</v>
      </c>
      <c r="AH179" s="42">
        <f t="shared" si="67"/>
        <v>1773.1505020839998</v>
      </c>
      <c r="AI179" s="42">
        <f t="shared" si="68"/>
        <v>0.99255673737067551</v>
      </c>
      <c r="AJ179" s="57">
        <v>3</v>
      </c>
      <c r="AK179" s="57">
        <v>4</v>
      </c>
      <c r="AL179" s="63">
        <v>6.33</v>
      </c>
      <c r="AM179" s="57">
        <v>22.7</v>
      </c>
      <c r="AN179" s="63">
        <v>6.1</v>
      </c>
      <c r="AO179" s="63">
        <v>3.9</v>
      </c>
      <c r="AP179" s="36">
        <v>0.14000000000000001</v>
      </c>
      <c r="AQ179" s="36">
        <v>0.18</v>
      </c>
      <c r="AR179" s="73">
        <f t="shared" si="47"/>
        <v>2253</v>
      </c>
      <c r="AS179" s="75">
        <f t="shared" si="48"/>
        <v>0.14691522414558367</v>
      </c>
      <c r="AT179" s="75">
        <f t="shared" si="49"/>
        <v>0.74212161562361301</v>
      </c>
      <c r="AU179" s="75">
        <f t="shared" si="50"/>
        <v>0.11096316023080337</v>
      </c>
      <c r="AV179" s="26">
        <f t="shared" si="51"/>
        <v>7.2185720543144996E-2</v>
      </c>
      <c r="AW179" s="26">
        <f t="shared" si="52"/>
        <v>7.9544459045116075E-2</v>
      </c>
      <c r="AX179" s="24">
        <f t="shared" si="53"/>
        <v>0.85714285714285721</v>
      </c>
      <c r="AY179" s="24">
        <f t="shared" si="54"/>
        <v>0.90476190476190477</v>
      </c>
      <c r="AZ179" s="77" t="str">
        <f t="shared" si="55"/>
        <v>5,0 ≤ Alc. Bruta &lt; 7,5 mg/L</v>
      </c>
      <c r="BA179" s="77" t="str">
        <f t="shared" si="56"/>
        <v>5 ≤ Cor &lt; 10 uC</v>
      </c>
      <c r="BB179" s="78" t="str">
        <f t="shared" si="57"/>
        <v>Turbidez &lt; 2,5 uT</v>
      </c>
      <c r="BC179" s="79" t="str">
        <f t="shared" si="58"/>
        <v>SM &gt; TOR &gt; BNN</v>
      </c>
      <c r="BD179" s="78" t="str">
        <f t="shared" si="59"/>
        <v>Tipo 1 (≤0,25) uT</v>
      </c>
      <c r="BE179" s="78" t="str">
        <f t="shared" si="60"/>
        <v>Tipo 1 (≤0,25) uT</v>
      </c>
      <c r="BF179" s="78" t="str">
        <f t="shared" si="61"/>
        <v>Tipo 1 (≤0,25) uT</v>
      </c>
      <c r="BG179" s="78" t="str">
        <f t="shared" si="62"/>
        <v>Tipo 1 (≤0,25) uT</v>
      </c>
      <c r="BH179" s="78" t="str">
        <f t="shared" si="63"/>
        <v>Tipo 1 (≤0,25) uT</v>
      </c>
    </row>
    <row r="180" spans="1:60" x14ac:dyDescent="0.2">
      <c r="A180" s="31">
        <v>46278</v>
      </c>
      <c r="B180" s="80">
        <v>0.47916666666666669</v>
      </c>
      <c r="C180" s="57">
        <v>363</v>
      </c>
      <c r="D180" s="57">
        <v>1154</v>
      </c>
      <c r="E180" s="57">
        <v>249</v>
      </c>
      <c r="F180" s="57">
        <v>1821</v>
      </c>
      <c r="G180" s="85" t="s">
        <v>78</v>
      </c>
      <c r="H180" s="63">
        <v>10</v>
      </c>
      <c r="I180" s="57">
        <v>49</v>
      </c>
      <c r="J180" s="57">
        <v>90</v>
      </c>
      <c r="K180" s="57">
        <v>90</v>
      </c>
      <c r="L180" s="57">
        <v>90</v>
      </c>
      <c r="M180" s="57">
        <v>26.1</v>
      </c>
      <c r="N180" s="63">
        <v>6.6</v>
      </c>
      <c r="O180" s="36">
        <v>1.32</v>
      </c>
      <c r="P180" s="57">
        <v>8</v>
      </c>
      <c r="Q180" s="63">
        <v>6.1</v>
      </c>
      <c r="R180" s="36">
        <v>0.08</v>
      </c>
      <c r="S180" s="36">
        <v>22.36</v>
      </c>
      <c r="T180" s="36">
        <v>0.88</v>
      </c>
      <c r="U180" s="36">
        <v>0.7</v>
      </c>
      <c r="V180" s="42">
        <f t="shared" si="64"/>
        <v>1438.5900000000001</v>
      </c>
      <c r="W180" s="42">
        <f t="shared" si="65"/>
        <v>1528.3382341760002</v>
      </c>
      <c r="X180" s="42">
        <f t="shared" si="66"/>
        <v>1.062386249157856</v>
      </c>
      <c r="Y180" s="57">
        <v>3</v>
      </c>
      <c r="Z180" s="57">
        <v>4</v>
      </c>
      <c r="AA180" s="63">
        <v>6.03</v>
      </c>
      <c r="AB180" s="57">
        <v>20.8</v>
      </c>
      <c r="AC180" s="63">
        <v>6.1</v>
      </c>
      <c r="AD180" s="63">
        <v>4.0999999999999996</v>
      </c>
      <c r="AE180" s="36">
        <v>0.3</v>
      </c>
      <c r="AF180" s="36">
        <v>0.12</v>
      </c>
      <c r="AG180" s="42">
        <f t="shared" si="46"/>
        <v>1438.5900000000001</v>
      </c>
      <c r="AH180" s="42">
        <f t="shared" si="67"/>
        <v>1773.1505020839998</v>
      </c>
      <c r="AI180" s="42">
        <f t="shared" si="68"/>
        <v>1.2325613983720167</v>
      </c>
      <c r="AJ180" s="57">
        <v>3</v>
      </c>
      <c r="AK180" s="57">
        <v>4</v>
      </c>
      <c r="AL180" s="63">
        <v>6.33</v>
      </c>
      <c r="AM180" s="57">
        <v>22.7</v>
      </c>
      <c r="AN180" s="63">
        <v>6</v>
      </c>
      <c r="AO180" s="63">
        <v>4</v>
      </c>
      <c r="AP180" s="36">
        <v>0.16</v>
      </c>
      <c r="AQ180" s="36">
        <v>0.2</v>
      </c>
      <c r="AR180" s="73">
        <f t="shared" si="47"/>
        <v>1766</v>
      </c>
      <c r="AS180" s="75">
        <f t="shared" si="48"/>
        <v>0.20554926387315969</v>
      </c>
      <c r="AT180" s="75">
        <f t="shared" si="49"/>
        <v>0.65345413363533411</v>
      </c>
      <c r="AU180" s="75">
        <f t="shared" si="50"/>
        <v>0.14099660249150622</v>
      </c>
      <c r="AV180" s="26">
        <f t="shared" si="51"/>
        <v>9.1378363536518403E-2</v>
      </c>
      <c r="AW180" s="26">
        <f t="shared" si="52"/>
        <v>9.9725425590334982E-2</v>
      </c>
      <c r="AX180" s="24">
        <f t="shared" si="53"/>
        <v>0.84848484848484851</v>
      </c>
      <c r="AY180" s="24">
        <f t="shared" si="54"/>
        <v>0.90909090909090906</v>
      </c>
      <c r="AZ180" s="77" t="str">
        <f t="shared" si="55"/>
        <v>5,0 ≤ Alc. Bruta &lt; 7,5 mg/L</v>
      </c>
      <c r="BA180" s="77" t="str">
        <f t="shared" si="56"/>
        <v>5 ≤ Cor &lt; 10 uC</v>
      </c>
      <c r="BB180" s="78" t="str">
        <f t="shared" si="57"/>
        <v>Turbidez &lt; 2,5 uT</v>
      </c>
      <c r="BC180" s="79" t="str">
        <f t="shared" si="58"/>
        <v>SM &gt; TOR &gt; BNN</v>
      </c>
      <c r="BD180" s="78" t="str">
        <f t="shared" si="59"/>
        <v>Tipo 2 (0,25-0,50) uT</v>
      </c>
      <c r="BE180" s="78" t="str">
        <f t="shared" si="60"/>
        <v>Tipo 1 (≤0,25) uT</v>
      </c>
      <c r="BF180" s="78" t="str">
        <f t="shared" si="61"/>
        <v>Tipo 1 (≤0,25) uT</v>
      </c>
      <c r="BG180" s="78" t="str">
        <f t="shared" si="62"/>
        <v>Tipo 1 (≤0,25) uT</v>
      </c>
      <c r="BH180" s="78" t="str">
        <f t="shared" si="63"/>
        <v>Tipo 1 (≤0,25) uT</v>
      </c>
    </row>
    <row r="181" spans="1:60" x14ac:dyDescent="0.2">
      <c r="A181" s="31">
        <v>46278</v>
      </c>
      <c r="B181" s="80">
        <v>0.64583333333333337</v>
      </c>
      <c r="C181" s="57">
        <v>372</v>
      </c>
      <c r="D181" s="57">
        <v>1171</v>
      </c>
      <c r="E181" s="57">
        <v>250</v>
      </c>
      <c r="F181" s="57">
        <v>1805</v>
      </c>
      <c r="G181" s="85" t="s">
        <v>78</v>
      </c>
      <c r="H181" s="63">
        <v>10.3</v>
      </c>
      <c r="I181" s="57">
        <v>62</v>
      </c>
      <c r="J181" s="57">
        <v>90</v>
      </c>
      <c r="K181" s="57">
        <v>90</v>
      </c>
      <c r="L181" s="57">
        <v>90</v>
      </c>
      <c r="M181" s="57">
        <v>26.6</v>
      </c>
      <c r="N181" s="63">
        <v>6.7</v>
      </c>
      <c r="O181" s="36">
        <v>1.65</v>
      </c>
      <c r="P181" s="57">
        <v>6</v>
      </c>
      <c r="Q181" s="63">
        <v>6.2</v>
      </c>
      <c r="R181" s="36">
        <v>7.0000000000000007E-2</v>
      </c>
      <c r="S181" s="36">
        <v>22.36</v>
      </c>
      <c r="T181" s="36">
        <v>0.88</v>
      </c>
      <c r="U181" s="36">
        <v>0.7</v>
      </c>
      <c r="V181" s="42">
        <f t="shared" si="64"/>
        <v>2027.6166666666666</v>
      </c>
      <c r="W181" s="42">
        <f t="shared" si="65"/>
        <v>1661.5641094</v>
      </c>
      <c r="X181" s="42">
        <f t="shared" si="66"/>
        <v>0.81946658691238483</v>
      </c>
      <c r="Y181" s="57">
        <v>2</v>
      </c>
      <c r="Z181" s="57">
        <v>3</v>
      </c>
      <c r="AA181" s="63">
        <v>5.95</v>
      </c>
      <c r="AB181" s="57">
        <v>23</v>
      </c>
      <c r="AC181" s="63">
        <v>6.2</v>
      </c>
      <c r="AD181" s="63">
        <v>4</v>
      </c>
      <c r="AE181" s="36">
        <v>0.25</v>
      </c>
      <c r="AF181" s="36">
        <v>0.11</v>
      </c>
      <c r="AG181" s="42">
        <f t="shared" si="46"/>
        <v>1520.7125000000001</v>
      </c>
      <c r="AH181" s="42">
        <f t="shared" si="67"/>
        <v>1697.6698921207999</v>
      </c>
      <c r="AI181" s="42">
        <f t="shared" si="68"/>
        <v>1.1163647909258323</v>
      </c>
      <c r="AJ181" s="57">
        <v>3</v>
      </c>
      <c r="AK181" s="57">
        <v>4</v>
      </c>
      <c r="AL181" s="63">
        <v>6.31</v>
      </c>
      <c r="AM181" s="57">
        <v>21.82</v>
      </c>
      <c r="AN181" s="63">
        <v>6.2</v>
      </c>
      <c r="AO181" s="63">
        <v>3.5</v>
      </c>
      <c r="AP181" s="36">
        <v>0.25</v>
      </c>
      <c r="AQ181" s="36">
        <v>0.15</v>
      </c>
      <c r="AR181" s="73">
        <f t="shared" si="47"/>
        <v>1793</v>
      </c>
      <c r="AS181" s="75">
        <f t="shared" si="48"/>
        <v>0.20747350808700502</v>
      </c>
      <c r="AT181" s="75">
        <f t="shared" si="49"/>
        <v>0.65309537088678193</v>
      </c>
      <c r="AU181" s="75">
        <f t="shared" si="50"/>
        <v>0.13943112102621305</v>
      </c>
      <c r="AV181" s="26">
        <f t="shared" si="51"/>
        <v>7.6454293628808873E-2</v>
      </c>
      <c r="AW181" s="26">
        <f t="shared" si="52"/>
        <v>9.6709141274238228E-2</v>
      </c>
      <c r="AX181" s="24">
        <f t="shared" si="53"/>
        <v>0.90909090909090906</v>
      </c>
      <c r="AY181" s="24">
        <f t="shared" si="54"/>
        <v>0.93333333333333335</v>
      </c>
      <c r="AZ181" s="77" t="str">
        <f t="shared" si="55"/>
        <v>5,0 ≤ Alc. Bruta &lt; 7,5 mg/L</v>
      </c>
      <c r="BA181" s="77" t="str">
        <f t="shared" si="56"/>
        <v>5 ≤ Cor &lt; 10 uC</v>
      </c>
      <c r="BB181" s="78" t="str">
        <f t="shared" si="57"/>
        <v>Turbidez &lt; 2,5 uT</v>
      </c>
      <c r="BC181" s="79" t="str">
        <f t="shared" si="58"/>
        <v>SM &gt; TOR &gt; BNN</v>
      </c>
      <c r="BD181" s="78" t="str">
        <f t="shared" si="59"/>
        <v>Tipo 1 (≤0,25) uT</v>
      </c>
      <c r="BE181" s="78" t="str">
        <f t="shared" si="60"/>
        <v>Tipo 1 (≤0,25) uT</v>
      </c>
      <c r="BF181" s="78" t="str">
        <f t="shared" si="61"/>
        <v>Tipo 1 (≤0,25) uT</v>
      </c>
      <c r="BG181" s="78" t="str">
        <f t="shared" si="62"/>
        <v>Tipo 1 (≤0,25) uT</v>
      </c>
      <c r="BH181" s="78" t="str">
        <f t="shared" si="63"/>
        <v>Tipo 1 (≤0,25) uT</v>
      </c>
    </row>
    <row r="182" spans="1:60" x14ac:dyDescent="0.2">
      <c r="A182" s="31">
        <v>46278</v>
      </c>
      <c r="B182" s="80">
        <v>0.72916666666666663</v>
      </c>
      <c r="C182" s="57">
        <v>383</v>
      </c>
      <c r="D182" s="57">
        <v>1173</v>
      </c>
      <c r="E182" s="57">
        <v>257</v>
      </c>
      <c r="F182" s="57">
        <v>1818</v>
      </c>
      <c r="G182" s="85" t="s">
        <v>78</v>
      </c>
      <c r="H182" s="63">
        <v>10.3</v>
      </c>
      <c r="I182" s="57">
        <v>67</v>
      </c>
      <c r="J182" s="57">
        <v>90</v>
      </c>
      <c r="K182" s="57">
        <v>90</v>
      </c>
      <c r="L182" s="57">
        <v>90</v>
      </c>
      <c r="M182" s="57">
        <v>26.5</v>
      </c>
      <c r="N182" s="63">
        <v>6.7</v>
      </c>
      <c r="O182" s="36">
        <v>1.39</v>
      </c>
      <c r="P182" s="57">
        <v>8</v>
      </c>
      <c r="Q182" s="63">
        <v>6</v>
      </c>
      <c r="R182" s="36">
        <v>0.08</v>
      </c>
      <c r="S182" s="36">
        <v>22.36</v>
      </c>
      <c r="T182" s="36">
        <v>0.88</v>
      </c>
      <c r="U182" s="36">
        <v>0.7</v>
      </c>
      <c r="V182" s="42">
        <f t="shared" si="64"/>
        <v>1963.44</v>
      </c>
      <c r="W182" s="42">
        <f t="shared" si="65"/>
        <v>1595.6309068439994</v>
      </c>
      <c r="X182" s="42">
        <f t="shared" si="66"/>
        <v>0.81267108077863304</v>
      </c>
      <c r="Y182" s="57">
        <v>2</v>
      </c>
      <c r="Z182" s="57">
        <v>3</v>
      </c>
      <c r="AA182" s="63">
        <v>5.99</v>
      </c>
      <c r="AB182" s="57">
        <v>21.9</v>
      </c>
      <c r="AC182" s="63">
        <v>6.2</v>
      </c>
      <c r="AD182" s="63">
        <v>4.5999999999999996</v>
      </c>
      <c r="AE182" s="36">
        <v>0.24</v>
      </c>
      <c r="AF182" s="36">
        <v>0.11</v>
      </c>
      <c r="AG182" s="42">
        <f t="shared" si="46"/>
        <v>1472.5800000000002</v>
      </c>
      <c r="AH182" s="42">
        <f t="shared" si="67"/>
        <v>1784.4840012479999</v>
      </c>
      <c r="AI182" s="42">
        <f t="shared" si="68"/>
        <v>1.2118078482989039</v>
      </c>
      <c r="AJ182" s="57">
        <v>3</v>
      </c>
      <c r="AK182" s="57">
        <v>4</v>
      </c>
      <c r="AL182" s="63">
        <v>6.34</v>
      </c>
      <c r="AM182" s="57">
        <v>22.8</v>
      </c>
      <c r="AN182" s="63">
        <v>6.1</v>
      </c>
      <c r="AO182" s="63">
        <v>5.5</v>
      </c>
      <c r="AP182" s="36">
        <v>0.34</v>
      </c>
      <c r="AQ182" s="36">
        <v>0.15</v>
      </c>
      <c r="AR182" s="73">
        <f t="shared" si="47"/>
        <v>1813</v>
      </c>
      <c r="AS182" s="75">
        <f t="shared" si="48"/>
        <v>0.21125206839492552</v>
      </c>
      <c r="AT182" s="75">
        <f t="shared" si="49"/>
        <v>0.64699393270821848</v>
      </c>
      <c r="AU182" s="75">
        <f t="shared" si="50"/>
        <v>0.14175399889685603</v>
      </c>
      <c r="AV182" s="26">
        <f t="shared" si="51"/>
        <v>7.2277227722772272E-2</v>
      </c>
      <c r="AW182" s="26">
        <f t="shared" si="52"/>
        <v>0.10033003300330033</v>
      </c>
      <c r="AX182" s="24">
        <f t="shared" si="53"/>
        <v>0.8920863309352518</v>
      </c>
      <c r="AY182" s="24">
        <f t="shared" si="54"/>
        <v>0.92086330935251803</v>
      </c>
      <c r="AZ182" s="77" t="str">
        <f t="shared" si="55"/>
        <v>5,0 ≤ Alc. Bruta &lt; 7,5 mg/L</v>
      </c>
      <c r="BA182" s="77" t="str">
        <f t="shared" si="56"/>
        <v>5 ≤ Cor &lt; 10 uC</v>
      </c>
      <c r="BB182" s="78" t="str">
        <f t="shared" si="57"/>
        <v>Turbidez &lt; 2,5 uT</v>
      </c>
      <c r="BC182" s="79" t="str">
        <f t="shared" si="58"/>
        <v>SM &gt; TOR &gt; BNN</v>
      </c>
      <c r="BD182" s="78" t="str">
        <f t="shared" si="59"/>
        <v>Tipo 1 (≤0,25) uT</v>
      </c>
      <c r="BE182" s="78" t="str">
        <f t="shared" si="60"/>
        <v>Tipo 2 (0,25-0,50) uT</v>
      </c>
      <c r="BF182" s="78" t="str">
        <f t="shared" si="61"/>
        <v>Tipo 1 (≤0,25) uT</v>
      </c>
      <c r="BG182" s="78" t="str">
        <f t="shared" si="62"/>
        <v>Tipo 1 (≤0,25) uT</v>
      </c>
      <c r="BH182" s="78" t="str">
        <f t="shared" si="63"/>
        <v>Tipo 1 (≤0,25) uT</v>
      </c>
    </row>
    <row r="183" spans="1:60" x14ac:dyDescent="0.2">
      <c r="A183" s="31">
        <v>46278</v>
      </c>
      <c r="B183" s="80">
        <v>0.8125</v>
      </c>
      <c r="C183" s="57">
        <v>372</v>
      </c>
      <c r="D183" s="57">
        <v>1171</v>
      </c>
      <c r="E183" s="57">
        <v>250</v>
      </c>
      <c r="F183" s="57">
        <v>1864</v>
      </c>
      <c r="G183" s="85" t="s">
        <v>78</v>
      </c>
      <c r="H183" s="63">
        <v>10.3</v>
      </c>
      <c r="I183" s="57">
        <v>72</v>
      </c>
      <c r="J183" s="57">
        <v>90</v>
      </c>
      <c r="K183" s="57">
        <v>90</v>
      </c>
      <c r="L183" s="57">
        <v>90</v>
      </c>
      <c r="M183" s="57">
        <v>24.8</v>
      </c>
      <c r="N183" s="63">
        <v>6.6</v>
      </c>
      <c r="O183" s="36">
        <v>1.47</v>
      </c>
      <c r="P183" s="57">
        <v>8</v>
      </c>
      <c r="Q183" s="63">
        <v>8.4</v>
      </c>
      <c r="R183" s="36">
        <v>7.0000000000000007E-2</v>
      </c>
      <c r="S183" s="36">
        <v>22.36</v>
      </c>
      <c r="T183" s="36">
        <v>0.88</v>
      </c>
      <c r="U183" s="36">
        <v>0.7</v>
      </c>
      <c r="V183" s="42">
        <f t="shared" si="64"/>
        <v>2037.9733333333336</v>
      </c>
      <c r="W183" s="42">
        <f t="shared" si="65"/>
        <v>1510.3722067199999</v>
      </c>
      <c r="X183" s="42">
        <f t="shared" si="66"/>
        <v>0.74111480362189874</v>
      </c>
      <c r="Y183" s="57">
        <v>2</v>
      </c>
      <c r="Z183" s="57">
        <v>3</v>
      </c>
      <c r="AA183" s="63">
        <v>5.8</v>
      </c>
      <c r="AB183" s="57">
        <v>21.6</v>
      </c>
      <c r="AC183" s="63">
        <v>6.2</v>
      </c>
      <c r="AD183" s="63">
        <v>6.2</v>
      </c>
      <c r="AE183" s="36">
        <v>0.19</v>
      </c>
      <c r="AF183" s="36">
        <v>0.11</v>
      </c>
      <c r="AG183" s="42">
        <f t="shared" si="46"/>
        <v>1528.48</v>
      </c>
      <c r="AH183" s="42">
        <f t="shared" si="67"/>
        <v>1708.2758263999997</v>
      </c>
      <c r="AI183" s="42">
        <f t="shared" si="68"/>
        <v>1.1176304736731915</v>
      </c>
      <c r="AJ183" s="57">
        <v>3</v>
      </c>
      <c r="AK183" s="57">
        <v>4</v>
      </c>
      <c r="AL183" s="63">
        <v>6.3</v>
      </c>
      <c r="AM183" s="57">
        <v>22</v>
      </c>
      <c r="AN183" s="63">
        <v>6.3</v>
      </c>
      <c r="AO183" s="63">
        <v>6.1</v>
      </c>
      <c r="AP183" s="36">
        <v>0.16</v>
      </c>
      <c r="AQ183" s="36">
        <v>0.15</v>
      </c>
      <c r="AR183" s="73">
        <f t="shared" si="47"/>
        <v>1793</v>
      </c>
      <c r="AS183" s="75">
        <f t="shared" si="48"/>
        <v>0.20747350808700502</v>
      </c>
      <c r="AT183" s="75">
        <f t="shared" si="49"/>
        <v>0.65309537088678193</v>
      </c>
      <c r="AU183" s="75">
        <f t="shared" si="50"/>
        <v>0.13943112102621305</v>
      </c>
      <c r="AV183" s="26">
        <f t="shared" si="51"/>
        <v>6.9527896995708161E-2</v>
      </c>
      <c r="AW183" s="26">
        <f t="shared" si="52"/>
        <v>9.4420600858369105E-2</v>
      </c>
      <c r="AX183" s="24">
        <f t="shared" si="53"/>
        <v>0.89795918367346939</v>
      </c>
      <c r="AY183" s="24">
        <f t="shared" si="54"/>
        <v>0.92517006802721091</v>
      </c>
      <c r="AZ183" s="77" t="str">
        <f t="shared" si="55"/>
        <v>7,5 ≤ Alc. Bruta &lt; 10,0 mg/L</v>
      </c>
      <c r="BA183" s="77" t="str">
        <f t="shared" si="56"/>
        <v>5 ≤ Cor &lt; 10 uC</v>
      </c>
      <c r="BB183" s="78" t="str">
        <f t="shared" si="57"/>
        <v>Turbidez &lt; 2,5 uT</v>
      </c>
      <c r="BC183" s="79" t="str">
        <f t="shared" si="58"/>
        <v>SM &gt; TOR &gt; BNN</v>
      </c>
      <c r="BD183" s="78" t="str">
        <f t="shared" si="59"/>
        <v>Tipo 1 (≤0,25) uT</v>
      </c>
      <c r="BE183" s="78" t="str">
        <f t="shared" si="60"/>
        <v>Tipo 1 (≤0,25) uT</v>
      </c>
      <c r="BF183" s="78" t="str">
        <f t="shared" si="61"/>
        <v>Tipo 1 (≤0,25) uT</v>
      </c>
      <c r="BG183" s="78" t="str">
        <f t="shared" si="62"/>
        <v>Tipo 1 (≤0,25) uT</v>
      </c>
      <c r="BH183" s="78" t="str">
        <f t="shared" si="63"/>
        <v>Tipo 1 (≤0,25) uT</v>
      </c>
    </row>
    <row r="184" spans="1:60" x14ac:dyDescent="0.2">
      <c r="A184" s="31">
        <v>46278</v>
      </c>
      <c r="B184" s="80">
        <v>0.89583333333333337</v>
      </c>
      <c r="C184" s="57">
        <v>359</v>
      </c>
      <c r="D184" s="57">
        <v>1965</v>
      </c>
      <c r="E184" s="57">
        <v>249</v>
      </c>
      <c r="F184" s="57">
        <v>1869</v>
      </c>
      <c r="G184" s="85" t="s">
        <v>78</v>
      </c>
      <c r="H184" s="63">
        <v>10.3</v>
      </c>
      <c r="I184" s="57">
        <v>74</v>
      </c>
      <c r="J184" s="57">
        <v>90</v>
      </c>
      <c r="K184" s="57">
        <v>90</v>
      </c>
      <c r="L184" s="57">
        <v>90</v>
      </c>
      <c r="M184" s="57">
        <v>24.1</v>
      </c>
      <c r="N184" s="63">
        <v>6.6</v>
      </c>
      <c r="O184" s="36">
        <v>1.54</v>
      </c>
      <c r="P184" s="57">
        <v>8</v>
      </c>
      <c r="Q184" s="63">
        <v>7</v>
      </c>
      <c r="R184" s="36">
        <v>0.08</v>
      </c>
      <c r="S184" s="36">
        <v>22.36</v>
      </c>
      <c r="T184" s="36">
        <v>0.88</v>
      </c>
      <c r="U184" s="36">
        <v>0.7</v>
      </c>
      <c r="V184" s="42">
        <f t="shared" si="64"/>
        <v>2065.2450000000003</v>
      </c>
      <c r="W184" s="42">
        <f t="shared" si="65"/>
        <v>1468.4174231999998</v>
      </c>
      <c r="X184" s="42">
        <f t="shared" si="66"/>
        <v>0.71101366820885636</v>
      </c>
      <c r="Y184" s="57">
        <v>2</v>
      </c>
      <c r="Z184" s="57">
        <v>3</v>
      </c>
      <c r="AA184" s="63">
        <v>5.8</v>
      </c>
      <c r="AB184" s="57">
        <v>21</v>
      </c>
      <c r="AC184" s="63">
        <v>6.4</v>
      </c>
      <c r="AD184" s="63">
        <v>4.7</v>
      </c>
      <c r="AE184" s="36">
        <v>0.21</v>
      </c>
      <c r="AF184" s="36">
        <v>0.11</v>
      </c>
      <c r="AG184" s="42">
        <f t="shared" si="46"/>
        <v>1548.9337500000001</v>
      </c>
      <c r="AH184" s="42">
        <f t="shared" si="67"/>
        <v>1708.2758263999997</v>
      </c>
      <c r="AI184" s="42">
        <f t="shared" si="68"/>
        <v>1.1028721056662363</v>
      </c>
      <c r="AJ184" s="57">
        <v>2</v>
      </c>
      <c r="AK184" s="57">
        <v>4</v>
      </c>
      <c r="AL184" s="63">
        <v>6.3</v>
      </c>
      <c r="AM184" s="57">
        <v>22</v>
      </c>
      <c r="AN184" s="63">
        <v>6.2</v>
      </c>
      <c r="AO184" s="63">
        <v>3.9</v>
      </c>
      <c r="AP184" s="36">
        <v>0.25</v>
      </c>
      <c r="AQ184" s="36">
        <v>0.16</v>
      </c>
      <c r="AR184" s="73">
        <f t="shared" si="47"/>
        <v>2573</v>
      </c>
      <c r="AS184" s="75">
        <f t="shared" si="48"/>
        <v>0.13952584531675088</v>
      </c>
      <c r="AT184" s="75">
        <f t="shared" si="49"/>
        <v>0.76369996113486205</v>
      </c>
      <c r="AU184" s="75">
        <f t="shared" si="50"/>
        <v>9.6774193548387094E-2</v>
      </c>
      <c r="AV184" s="26">
        <f t="shared" si="51"/>
        <v>6.741573033707865E-2</v>
      </c>
      <c r="AW184" s="26">
        <f t="shared" si="52"/>
        <v>9.4168004280363829E-2</v>
      </c>
      <c r="AX184" s="24">
        <f t="shared" si="53"/>
        <v>0.89610389610389607</v>
      </c>
      <c r="AY184" s="24">
        <f t="shared" si="54"/>
        <v>0.9285714285714286</v>
      </c>
      <c r="AZ184" s="77" t="str">
        <f t="shared" si="55"/>
        <v>5,0 ≤ Alc. Bruta &lt; 7,5 mg/L</v>
      </c>
      <c r="BA184" s="77" t="str">
        <f t="shared" si="56"/>
        <v>5 ≤ Cor &lt; 10 uC</v>
      </c>
      <c r="BB184" s="78" t="str">
        <f t="shared" si="57"/>
        <v>Turbidez &lt; 2,5 uT</v>
      </c>
      <c r="BC184" s="79" t="str">
        <f t="shared" si="58"/>
        <v>SM &gt; TOR &gt; BNN</v>
      </c>
      <c r="BD184" s="78" t="str">
        <f t="shared" si="59"/>
        <v>Tipo 1 (≤0,25) uT</v>
      </c>
      <c r="BE184" s="78" t="str">
        <f t="shared" si="60"/>
        <v>Tipo 1 (≤0,25) uT</v>
      </c>
      <c r="BF184" s="78" t="str">
        <f t="shared" si="61"/>
        <v>Tipo 1 (≤0,25) uT</v>
      </c>
      <c r="BG184" s="78" t="str">
        <f t="shared" si="62"/>
        <v>Tipo 1 (≤0,25) uT</v>
      </c>
      <c r="BH184" s="78" t="str">
        <f t="shared" si="63"/>
        <v>Tipo 1 (≤0,25) uT</v>
      </c>
    </row>
    <row r="185" spans="1:60" x14ac:dyDescent="0.2">
      <c r="A185" s="31">
        <v>46279</v>
      </c>
      <c r="B185" s="80">
        <v>6.25E-2</v>
      </c>
      <c r="C185" s="57">
        <v>370</v>
      </c>
      <c r="D185" s="57">
        <v>1150</v>
      </c>
      <c r="E185" s="57">
        <v>250</v>
      </c>
      <c r="F185" s="57">
        <v>1851</v>
      </c>
      <c r="G185" s="85" t="s">
        <v>78</v>
      </c>
      <c r="H185" s="63">
        <v>10.3</v>
      </c>
      <c r="I185" s="57">
        <v>77</v>
      </c>
      <c r="J185" s="57">
        <v>90</v>
      </c>
      <c r="K185" s="57">
        <v>90</v>
      </c>
      <c r="L185" s="57">
        <v>90</v>
      </c>
      <c r="M185" s="57">
        <v>25.6</v>
      </c>
      <c r="N185" s="63">
        <v>6.5</v>
      </c>
      <c r="O185" s="36">
        <v>1.39</v>
      </c>
      <c r="P185" s="57">
        <v>10</v>
      </c>
      <c r="Q185" s="63">
        <v>8.6</v>
      </c>
      <c r="R185" s="36">
        <v>7.0000000000000007E-2</v>
      </c>
      <c r="S185" s="36">
        <v>22.36</v>
      </c>
      <c r="T185" s="36">
        <v>0.88</v>
      </c>
      <c r="U185" s="36">
        <v>0.7</v>
      </c>
      <c r="V185" s="42">
        <f t="shared" si="64"/>
        <v>1999.0800000000002</v>
      </c>
      <c r="W185" s="42">
        <f t="shared" si="65"/>
        <v>1468.4174231999998</v>
      </c>
      <c r="X185" s="42">
        <f t="shared" si="66"/>
        <v>0.73454660303739705</v>
      </c>
      <c r="Y185" s="57">
        <v>2</v>
      </c>
      <c r="Z185" s="57">
        <v>3</v>
      </c>
      <c r="AA185" s="63">
        <v>5.8</v>
      </c>
      <c r="AB185" s="57">
        <v>21</v>
      </c>
      <c r="AC185" s="63">
        <v>6.2</v>
      </c>
      <c r="AD185" s="63">
        <v>5.9</v>
      </c>
      <c r="AE185" s="36">
        <v>2.1</v>
      </c>
      <c r="AF185" s="36">
        <v>0.11</v>
      </c>
      <c r="AG185" s="42">
        <f t="shared" si="46"/>
        <v>1499.3100000000002</v>
      </c>
      <c r="AH185" s="42">
        <f t="shared" si="67"/>
        <v>1708.2758263999997</v>
      </c>
      <c r="AI185" s="42">
        <f t="shared" si="68"/>
        <v>1.1393746632784412</v>
      </c>
      <c r="AJ185" s="57">
        <v>2</v>
      </c>
      <c r="AK185" s="57">
        <v>4</v>
      </c>
      <c r="AL185" s="63">
        <v>6.3</v>
      </c>
      <c r="AM185" s="57">
        <v>22</v>
      </c>
      <c r="AN185" s="63">
        <v>6.2</v>
      </c>
      <c r="AO185" s="63">
        <v>5.8</v>
      </c>
      <c r="AP185" s="36">
        <v>0.13</v>
      </c>
      <c r="AQ185" s="36">
        <v>0.17</v>
      </c>
      <c r="AR185" s="73">
        <f t="shared" si="47"/>
        <v>1770</v>
      </c>
      <c r="AS185" s="75">
        <f t="shared" si="48"/>
        <v>0.20903954802259886</v>
      </c>
      <c r="AT185" s="75">
        <f t="shared" si="49"/>
        <v>0.64971751412429379</v>
      </c>
      <c r="AU185" s="75">
        <f t="shared" si="50"/>
        <v>0.14124293785310735</v>
      </c>
      <c r="AV185" s="26">
        <f t="shared" si="51"/>
        <v>6.8071312803889783E-2</v>
      </c>
      <c r="AW185" s="26">
        <f t="shared" si="52"/>
        <v>9.5083738519719074E-2</v>
      </c>
      <c r="AX185" s="24">
        <f t="shared" si="53"/>
        <v>0.87769784172661869</v>
      </c>
      <c r="AY185" s="24">
        <f t="shared" si="54"/>
        <v>0.92086330935251803</v>
      </c>
      <c r="AZ185" s="77" t="str">
        <f t="shared" si="55"/>
        <v>7,5 ≤ Alc. Bruta &lt; 10,0 mg/L</v>
      </c>
      <c r="BA185" s="77" t="str">
        <f t="shared" si="56"/>
        <v>10 ≤ Cor &lt;15 uC</v>
      </c>
      <c r="BB185" s="78" t="str">
        <f t="shared" si="57"/>
        <v>Turbidez &lt; 2,5 uT</v>
      </c>
      <c r="BC185" s="79" t="str">
        <f t="shared" si="58"/>
        <v>SM &gt; TOR &gt; BNN</v>
      </c>
      <c r="BD185" s="78" t="str">
        <f t="shared" si="59"/>
        <v>Tipo 4 (&gt;0,75) uT</v>
      </c>
      <c r="BE185" s="78" t="str">
        <f t="shared" si="60"/>
        <v>Tipo 1 (≤0,25) uT</v>
      </c>
      <c r="BF185" s="78" t="str">
        <f t="shared" si="61"/>
        <v>Tipo 1 (≤0,25) uT</v>
      </c>
      <c r="BG185" s="78" t="str">
        <f t="shared" si="62"/>
        <v>Tipo 1 (≤0,25) uT</v>
      </c>
      <c r="BH185" s="78" t="str">
        <f t="shared" si="63"/>
        <v>Tipo 1 (≤0,25) uT</v>
      </c>
    </row>
    <row r="186" spans="1:60" x14ac:dyDescent="0.2">
      <c r="A186" s="31">
        <v>46279</v>
      </c>
      <c r="B186" s="80">
        <v>0.14583333333333334</v>
      </c>
      <c r="C186" s="57">
        <v>360</v>
      </c>
      <c r="D186" s="57">
        <v>1166</v>
      </c>
      <c r="E186" s="57">
        <v>249</v>
      </c>
      <c r="F186" s="57">
        <v>1794</v>
      </c>
      <c r="G186" s="85" t="s">
        <v>78</v>
      </c>
      <c r="H186" s="63">
        <v>10.3</v>
      </c>
      <c r="I186" s="57">
        <v>79</v>
      </c>
      <c r="J186" s="57">
        <v>90</v>
      </c>
      <c r="K186" s="57">
        <v>90</v>
      </c>
      <c r="L186" s="57">
        <v>90</v>
      </c>
      <c r="M186" s="57">
        <v>24.8</v>
      </c>
      <c r="N186" s="63">
        <v>6.6</v>
      </c>
      <c r="O186" s="36">
        <v>1.45</v>
      </c>
      <c r="P186" s="57">
        <v>10</v>
      </c>
      <c r="Q186" s="63">
        <v>7.5</v>
      </c>
      <c r="R186" s="36">
        <v>0.08</v>
      </c>
      <c r="S186" s="36">
        <v>22.36</v>
      </c>
      <c r="T186" s="36">
        <v>0.88</v>
      </c>
      <c r="U186" s="36">
        <v>0.7</v>
      </c>
      <c r="V186" s="42">
        <f t="shared" si="64"/>
        <v>1955.46</v>
      </c>
      <c r="W186" s="42">
        <f t="shared" si="65"/>
        <v>1510.3722067199999</v>
      </c>
      <c r="X186" s="42">
        <f t="shared" si="66"/>
        <v>0.77238716553649778</v>
      </c>
      <c r="Y186" s="57">
        <v>2</v>
      </c>
      <c r="Z186" s="57">
        <v>3</v>
      </c>
      <c r="AA186" s="63">
        <v>5.8</v>
      </c>
      <c r="AB186" s="57">
        <v>21.6</v>
      </c>
      <c r="AC186" s="63">
        <v>6.1</v>
      </c>
      <c r="AD186" s="63">
        <v>5.9</v>
      </c>
      <c r="AE186" s="36">
        <v>0.15</v>
      </c>
      <c r="AF186" s="36">
        <v>0.1</v>
      </c>
      <c r="AG186" s="42">
        <f t="shared" si="46"/>
        <v>1466.595</v>
      </c>
      <c r="AH186" s="42">
        <f t="shared" si="67"/>
        <v>1708.2758263999997</v>
      </c>
      <c r="AI186" s="42">
        <f t="shared" si="68"/>
        <v>1.1647904338962014</v>
      </c>
      <c r="AJ186" s="57">
        <v>2</v>
      </c>
      <c r="AK186" s="57">
        <v>4</v>
      </c>
      <c r="AL186" s="63">
        <v>6.3</v>
      </c>
      <c r="AM186" s="57">
        <v>22</v>
      </c>
      <c r="AN186" s="63">
        <v>6.1</v>
      </c>
      <c r="AO186" s="63">
        <v>5.2</v>
      </c>
      <c r="AP186" s="36">
        <v>0.2</v>
      </c>
      <c r="AQ186" s="36">
        <v>0.16</v>
      </c>
      <c r="AR186" s="73">
        <f t="shared" si="47"/>
        <v>1775</v>
      </c>
      <c r="AS186" s="75">
        <f t="shared" si="48"/>
        <v>0.20281690140845071</v>
      </c>
      <c r="AT186" s="75">
        <f t="shared" si="49"/>
        <v>0.65690140845070422</v>
      </c>
      <c r="AU186" s="75">
        <f t="shared" si="50"/>
        <v>0.14028169014084507</v>
      </c>
      <c r="AV186" s="26">
        <f t="shared" si="51"/>
        <v>7.2240802675585289E-2</v>
      </c>
      <c r="AW186" s="26">
        <f t="shared" si="52"/>
        <v>9.8104793756967665E-2</v>
      </c>
      <c r="AX186" s="24">
        <f t="shared" si="53"/>
        <v>0.8896551724137931</v>
      </c>
      <c r="AY186" s="24">
        <f t="shared" si="54"/>
        <v>0.93103448275862066</v>
      </c>
      <c r="AZ186" s="77" t="str">
        <f t="shared" si="55"/>
        <v>7,5 ≤ Alc. Bruta &lt; 10,0 mg/L</v>
      </c>
      <c r="BA186" s="77" t="str">
        <f t="shared" si="56"/>
        <v>10 ≤ Cor &lt;15 uC</v>
      </c>
      <c r="BB186" s="78" t="str">
        <f t="shared" si="57"/>
        <v>Turbidez &lt; 2,5 uT</v>
      </c>
      <c r="BC186" s="79" t="str">
        <f t="shared" si="58"/>
        <v>SM &gt; TOR &gt; BNN</v>
      </c>
      <c r="BD186" s="78" t="str">
        <f t="shared" si="59"/>
        <v>Tipo 1 (≤0,25) uT</v>
      </c>
      <c r="BE186" s="78" t="str">
        <f t="shared" si="60"/>
        <v>Tipo 1 (≤0,25) uT</v>
      </c>
      <c r="BF186" s="78" t="str">
        <f t="shared" si="61"/>
        <v>Tipo 1 (≤0,25) uT</v>
      </c>
      <c r="BG186" s="78" t="str">
        <f t="shared" si="62"/>
        <v>Tipo 1 (≤0,25) uT</v>
      </c>
      <c r="BH186" s="78" t="str">
        <f t="shared" si="63"/>
        <v>Tipo 1 (≤0,25) uT</v>
      </c>
    </row>
    <row r="187" spans="1:60" ht="15.75" thickBot="1" x14ac:dyDescent="0.25">
      <c r="A187" s="32">
        <v>46279</v>
      </c>
      <c r="B187" s="81">
        <v>0.22916666666666666</v>
      </c>
      <c r="C187" s="58">
        <v>372</v>
      </c>
      <c r="D187" s="58">
        <v>1176</v>
      </c>
      <c r="E187" s="58">
        <v>249</v>
      </c>
      <c r="F187" s="58">
        <v>1799</v>
      </c>
      <c r="G187" s="86" t="s">
        <v>78</v>
      </c>
      <c r="H187" s="64">
        <v>10.3</v>
      </c>
      <c r="I187" s="58">
        <v>80</v>
      </c>
      <c r="J187" s="58">
        <v>90</v>
      </c>
      <c r="K187" s="58">
        <v>90</v>
      </c>
      <c r="L187" s="58">
        <v>90</v>
      </c>
      <c r="M187" s="58">
        <v>24.5</v>
      </c>
      <c r="N187" s="64">
        <v>6.5</v>
      </c>
      <c r="O187" s="37">
        <v>1.52</v>
      </c>
      <c r="P187" s="58">
        <v>11</v>
      </c>
      <c r="Q187" s="64">
        <v>7.1</v>
      </c>
      <c r="R187" s="37">
        <v>7.0000000000000007E-2</v>
      </c>
      <c r="S187" s="36">
        <v>22.36</v>
      </c>
      <c r="T187" s="36">
        <v>0.88</v>
      </c>
      <c r="U187" s="36">
        <v>0.7</v>
      </c>
      <c r="V187" s="42">
        <f t="shared" si="64"/>
        <v>1981.8983333333333</v>
      </c>
      <c r="W187" s="42">
        <f t="shared" si="65"/>
        <v>1510.3722067199999</v>
      </c>
      <c r="X187" s="42">
        <f t="shared" si="66"/>
        <v>0.7620835949640874</v>
      </c>
      <c r="Y187" s="58">
        <v>3</v>
      </c>
      <c r="Z187" s="58">
        <v>3</v>
      </c>
      <c r="AA187" s="64">
        <v>5.8</v>
      </c>
      <c r="AB187" s="58">
        <v>21.6</v>
      </c>
      <c r="AC187" s="64">
        <v>6.2</v>
      </c>
      <c r="AD187" s="64">
        <v>5.7</v>
      </c>
      <c r="AE187" s="37">
        <v>0.18</v>
      </c>
      <c r="AF187" s="37">
        <v>0.12</v>
      </c>
      <c r="AG187" s="42">
        <f t="shared" si="46"/>
        <v>1486.4237500000002</v>
      </c>
      <c r="AH187" s="42">
        <f t="shared" si="67"/>
        <v>1674.2890735999999</v>
      </c>
      <c r="AI187" s="42">
        <f t="shared" si="68"/>
        <v>1.1263874609107933</v>
      </c>
      <c r="AJ187" s="58">
        <v>2</v>
      </c>
      <c r="AK187" s="58">
        <v>4</v>
      </c>
      <c r="AL187" s="64">
        <v>6.2</v>
      </c>
      <c r="AM187" s="58">
        <v>22</v>
      </c>
      <c r="AN187" s="64">
        <v>6</v>
      </c>
      <c r="AO187" s="64">
        <v>5.4</v>
      </c>
      <c r="AP187" s="37">
        <v>0.16</v>
      </c>
      <c r="AQ187" s="37">
        <v>0.16</v>
      </c>
      <c r="AR187" s="73">
        <f t="shared" si="47"/>
        <v>1797</v>
      </c>
      <c r="AS187" s="75">
        <f t="shared" si="48"/>
        <v>0.20701168614357263</v>
      </c>
      <c r="AT187" s="75">
        <f t="shared" si="49"/>
        <v>0.65442404006677801</v>
      </c>
      <c r="AU187" s="75">
        <f t="shared" si="50"/>
        <v>0.13856427378964942</v>
      </c>
      <c r="AV187" s="26">
        <f t="shared" si="51"/>
        <v>7.2040022234574771E-2</v>
      </c>
      <c r="AW187" s="26">
        <f t="shared" si="52"/>
        <v>9.7832128960533629E-2</v>
      </c>
      <c r="AX187" s="24">
        <f t="shared" si="53"/>
        <v>0.89473684210526316</v>
      </c>
      <c r="AY187" s="24">
        <f t="shared" si="54"/>
        <v>0.92105263157894735</v>
      </c>
      <c r="AZ187" s="77" t="str">
        <f t="shared" si="55"/>
        <v>5,0 ≤ Alc. Bruta &lt; 7,5 mg/L</v>
      </c>
      <c r="BA187" s="77" t="str">
        <f t="shared" si="56"/>
        <v>10 ≤ Cor &lt;15 uC</v>
      </c>
      <c r="BB187" s="78" t="str">
        <f t="shared" si="57"/>
        <v>Turbidez &lt; 2,5 uT</v>
      </c>
      <c r="BC187" s="79" t="str">
        <f t="shared" si="58"/>
        <v>SM &gt; TOR &gt; BNN</v>
      </c>
      <c r="BD187" s="78" t="str">
        <f t="shared" si="59"/>
        <v>Tipo 1 (≤0,25) uT</v>
      </c>
      <c r="BE187" s="78" t="str">
        <f t="shared" si="60"/>
        <v>Tipo 1 (≤0,25) uT</v>
      </c>
      <c r="BF187" s="78" t="str">
        <f t="shared" si="61"/>
        <v>Tipo 1 (≤0,25) uT</v>
      </c>
      <c r="BG187" s="78" t="str">
        <f t="shared" si="62"/>
        <v>Tipo 1 (≤0,25) uT</v>
      </c>
      <c r="BH187" s="78" t="str">
        <f t="shared" si="63"/>
        <v>Tipo 1 (≤0,25) uT</v>
      </c>
    </row>
    <row r="188" spans="1:60" x14ac:dyDescent="0.2">
      <c r="A188" s="30">
        <v>46279</v>
      </c>
      <c r="B188" s="82">
        <v>0.3125</v>
      </c>
      <c r="C188" s="59">
        <v>314</v>
      </c>
      <c r="D188" s="59">
        <v>1194</v>
      </c>
      <c r="E188" s="59">
        <v>250</v>
      </c>
      <c r="F188" s="59">
        <v>1790</v>
      </c>
      <c r="G188" s="87" t="s">
        <v>78</v>
      </c>
      <c r="H188" s="65">
        <v>9.8000000000000007</v>
      </c>
      <c r="I188" s="59">
        <v>80</v>
      </c>
      <c r="J188" s="59">
        <v>90</v>
      </c>
      <c r="K188" s="59">
        <v>90</v>
      </c>
      <c r="L188" s="59">
        <v>90</v>
      </c>
      <c r="M188" s="59">
        <v>24.9</v>
      </c>
      <c r="N188" s="65">
        <v>6.7</v>
      </c>
      <c r="O188" s="38">
        <v>1.39</v>
      </c>
      <c r="P188" s="59">
        <v>10</v>
      </c>
      <c r="Q188" s="65">
        <v>8.1999999999999993</v>
      </c>
      <c r="R188" s="38">
        <v>0.17</v>
      </c>
      <c r="S188" s="36">
        <v>22.36</v>
      </c>
      <c r="T188" s="36">
        <v>0.88</v>
      </c>
      <c r="U188" s="36">
        <v>0.7</v>
      </c>
      <c r="V188" s="42">
        <f t="shared" si="64"/>
        <v>1888.4499999999998</v>
      </c>
      <c r="W188" s="42">
        <f t="shared" si="65"/>
        <v>1398.4927839999998</v>
      </c>
      <c r="X188" s="42">
        <f t="shared" si="66"/>
        <v>0.74055060181630439</v>
      </c>
      <c r="Y188" s="59">
        <v>2</v>
      </c>
      <c r="Z188" s="59">
        <v>3</v>
      </c>
      <c r="AA188" s="65">
        <v>5.8</v>
      </c>
      <c r="AB188" s="59">
        <v>20</v>
      </c>
      <c r="AC188" s="65">
        <v>6.2</v>
      </c>
      <c r="AD188" s="65">
        <v>5.6</v>
      </c>
      <c r="AE188" s="38">
        <v>0.1</v>
      </c>
      <c r="AF188" s="38">
        <v>0.11</v>
      </c>
      <c r="AG188" s="42">
        <f t="shared" si="46"/>
        <v>1416.3375000000001</v>
      </c>
      <c r="AH188" s="42">
        <f t="shared" si="67"/>
        <v>1863.5736287999996</v>
      </c>
      <c r="AI188" s="42">
        <f t="shared" si="68"/>
        <v>1.3157694608806161</v>
      </c>
      <c r="AJ188" s="59">
        <v>2</v>
      </c>
      <c r="AK188" s="59">
        <v>4</v>
      </c>
      <c r="AL188" s="65">
        <v>6.3</v>
      </c>
      <c r="AM188" s="59">
        <v>24</v>
      </c>
      <c r="AN188" s="65">
        <v>6.1</v>
      </c>
      <c r="AO188" s="65">
        <v>5.4</v>
      </c>
      <c r="AP188" s="38">
        <v>0.13</v>
      </c>
      <c r="AQ188" s="38">
        <v>0.17</v>
      </c>
      <c r="AR188" s="73">
        <f t="shared" si="47"/>
        <v>1758</v>
      </c>
      <c r="AS188" s="75">
        <f t="shared" si="48"/>
        <v>0.17861205915813425</v>
      </c>
      <c r="AT188" s="75">
        <f t="shared" si="49"/>
        <v>0.67918088737201365</v>
      </c>
      <c r="AU188" s="75">
        <f t="shared" si="50"/>
        <v>0.1422070534698521</v>
      </c>
      <c r="AV188" s="26">
        <f t="shared" si="51"/>
        <v>6.7039106145251395E-2</v>
      </c>
      <c r="AW188" s="26">
        <f t="shared" si="52"/>
        <v>0.10726256983240223</v>
      </c>
      <c r="AX188" s="24">
        <f t="shared" si="53"/>
        <v>0.87769784172661869</v>
      </c>
      <c r="AY188" s="24">
        <f t="shared" si="54"/>
        <v>0.92086330935251803</v>
      </c>
      <c r="AZ188" s="77" t="str">
        <f t="shared" si="55"/>
        <v>7,5 ≤ Alc. Bruta &lt; 10,0 mg/L</v>
      </c>
      <c r="BA188" s="77" t="str">
        <f t="shared" si="56"/>
        <v>10 ≤ Cor &lt;15 uC</v>
      </c>
      <c r="BB188" s="78" t="str">
        <f t="shared" si="57"/>
        <v>Turbidez &lt; 2,5 uT</v>
      </c>
      <c r="BC188" s="79" t="str">
        <f t="shared" si="58"/>
        <v>SM &gt; TOR &gt; BNN</v>
      </c>
      <c r="BD188" s="78" t="str">
        <f t="shared" si="59"/>
        <v>Tipo 1 (≤0,25) uT</v>
      </c>
      <c r="BE188" s="78" t="str">
        <f t="shared" si="60"/>
        <v>Tipo 1 (≤0,25) uT</v>
      </c>
      <c r="BF188" s="78" t="str">
        <f t="shared" si="61"/>
        <v>Tipo 1 (≤0,25) uT</v>
      </c>
      <c r="BG188" s="78" t="str">
        <f t="shared" si="62"/>
        <v>Tipo 1 (≤0,25) uT</v>
      </c>
      <c r="BH188" s="78" t="str">
        <f t="shared" si="63"/>
        <v>Tipo 1 (≤0,25) uT</v>
      </c>
    </row>
    <row r="189" spans="1:60" x14ac:dyDescent="0.2">
      <c r="A189" s="31">
        <v>46279</v>
      </c>
      <c r="B189" s="80">
        <v>0.39583333333333331</v>
      </c>
      <c r="C189" s="57">
        <v>318</v>
      </c>
      <c r="D189" s="57">
        <v>1210</v>
      </c>
      <c r="E189" s="57">
        <v>250</v>
      </c>
      <c r="F189" s="57">
        <v>1795</v>
      </c>
      <c r="G189" s="85" t="s">
        <v>78</v>
      </c>
      <c r="H189" s="63">
        <v>10</v>
      </c>
      <c r="I189" s="57">
        <v>90</v>
      </c>
      <c r="J189" s="57">
        <v>90</v>
      </c>
      <c r="K189" s="57">
        <v>90</v>
      </c>
      <c r="L189" s="57">
        <v>90</v>
      </c>
      <c r="M189" s="57">
        <v>25</v>
      </c>
      <c r="N189" s="63">
        <v>6.7</v>
      </c>
      <c r="O189" s="36">
        <v>1.8</v>
      </c>
      <c r="P189" s="57">
        <v>10</v>
      </c>
      <c r="Q189" s="63">
        <v>7.5</v>
      </c>
      <c r="R189" s="36">
        <v>0.1</v>
      </c>
      <c r="S189" s="36">
        <v>22.36</v>
      </c>
      <c r="T189" s="36">
        <v>0.88</v>
      </c>
      <c r="U189" s="36">
        <v>0.7</v>
      </c>
      <c r="V189" s="42">
        <f t="shared" si="64"/>
        <v>2034.3333333333335</v>
      </c>
      <c r="W189" s="42">
        <f t="shared" si="65"/>
        <v>1533.3012239999998</v>
      </c>
      <c r="X189" s="42">
        <f t="shared" si="66"/>
        <v>0.75371189120104853</v>
      </c>
      <c r="Y189" s="57">
        <v>2</v>
      </c>
      <c r="Z189" s="57">
        <v>3</v>
      </c>
      <c r="AA189" s="63">
        <v>6</v>
      </c>
      <c r="AB189" s="57">
        <v>21</v>
      </c>
      <c r="AC189" s="63">
        <v>6.3</v>
      </c>
      <c r="AD189" s="63">
        <v>6.1</v>
      </c>
      <c r="AE189" s="36">
        <v>0.09</v>
      </c>
      <c r="AF189" s="36">
        <v>0.1</v>
      </c>
      <c r="AG189" s="42">
        <f t="shared" si="46"/>
        <v>1525.75</v>
      </c>
      <c r="AH189" s="42">
        <f t="shared" si="67"/>
        <v>1821.4563327999999</v>
      </c>
      <c r="AI189" s="42">
        <f t="shared" si="68"/>
        <v>1.1938104753727674</v>
      </c>
      <c r="AJ189" s="57">
        <v>2</v>
      </c>
      <c r="AK189" s="57">
        <v>4</v>
      </c>
      <c r="AL189" s="63">
        <v>6.4</v>
      </c>
      <c r="AM189" s="57">
        <v>23</v>
      </c>
      <c r="AN189" s="63">
        <v>6.2</v>
      </c>
      <c r="AO189" s="63">
        <v>6</v>
      </c>
      <c r="AP189" s="36">
        <v>0.21</v>
      </c>
      <c r="AQ189" s="36">
        <v>0.16</v>
      </c>
      <c r="AR189" s="73">
        <f t="shared" si="47"/>
        <v>1778</v>
      </c>
      <c r="AS189" s="75">
        <f t="shared" si="48"/>
        <v>0.17885264341957255</v>
      </c>
      <c r="AT189" s="75">
        <f t="shared" si="49"/>
        <v>0.68053993250843647</v>
      </c>
      <c r="AU189" s="75">
        <f t="shared" si="50"/>
        <v>0.14060742407199101</v>
      </c>
      <c r="AV189" s="26">
        <f t="shared" si="51"/>
        <v>7.0194986072423388E-2</v>
      </c>
      <c r="AW189" s="26">
        <f t="shared" si="52"/>
        <v>0.10250696378830083</v>
      </c>
      <c r="AX189" s="24">
        <f t="shared" si="53"/>
        <v>0.91111111111111109</v>
      </c>
      <c r="AY189" s="24">
        <f t="shared" si="54"/>
        <v>0.94444444444444442</v>
      </c>
      <c r="AZ189" s="77" t="str">
        <f t="shared" si="55"/>
        <v>7,5 ≤ Alc. Bruta &lt; 10,0 mg/L</v>
      </c>
      <c r="BA189" s="77" t="str">
        <f t="shared" si="56"/>
        <v>10 ≤ Cor &lt;15 uC</v>
      </c>
      <c r="BB189" s="78" t="str">
        <f t="shared" si="57"/>
        <v>Turbidez &lt; 2,5 uT</v>
      </c>
      <c r="BC189" s="79" t="str">
        <f t="shared" si="58"/>
        <v>SM &gt; TOR &gt; BNN</v>
      </c>
      <c r="BD189" s="78" t="str">
        <f t="shared" si="59"/>
        <v>Tipo 1 (≤0,25) uT</v>
      </c>
      <c r="BE189" s="78" t="str">
        <f t="shared" si="60"/>
        <v>Tipo 1 (≤0,25) uT</v>
      </c>
      <c r="BF189" s="78" t="str">
        <f t="shared" si="61"/>
        <v>Tipo 1 (≤0,25) uT</v>
      </c>
      <c r="BG189" s="78" t="str">
        <f t="shared" si="62"/>
        <v>Tipo 1 (≤0,25) uT</v>
      </c>
      <c r="BH189" s="78" t="str">
        <f t="shared" si="63"/>
        <v>Tipo 1 (≤0,25) uT</v>
      </c>
    </row>
    <row r="190" spans="1:60" x14ac:dyDescent="0.2">
      <c r="A190" s="31">
        <v>46279</v>
      </c>
      <c r="B190" s="80">
        <v>0.47916666666666669</v>
      </c>
      <c r="C190" s="57">
        <v>278</v>
      </c>
      <c r="D190" s="57">
        <v>1751</v>
      </c>
      <c r="E190" s="57">
        <v>250</v>
      </c>
      <c r="F190" s="57">
        <v>2314</v>
      </c>
      <c r="G190" s="85" t="s">
        <v>78</v>
      </c>
      <c r="H190" s="63">
        <v>10</v>
      </c>
      <c r="I190" s="57">
        <v>90</v>
      </c>
      <c r="J190" s="57">
        <v>90</v>
      </c>
      <c r="K190" s="57">
        <v>90</v>
      </c>
      <c r="L190" s="57">
        <v>90</v>
      </c>
      <c r="M190" s="57">
        <v>24.9</v>
      </c>
      <c r="N190" s="63">
        <v>6.7</v>
      </c>
      <c r="O190" s="36">
        <v>1.32</v>
      </c>
      <c r="P190" s="57">
        <v>9</v>
      </c>
      <c r="Q190" s="63">
        <v>7.1</v>
      </c>
      <c r="R190" s="36">
        <v>0.12</v>
      </c>
      <c r="S190" s="36">
        <v>22.36</v>
      </c>
      <c r="T190" s="36">
        <v>0.88</v>
      </c>
      <c r="U190" s="36">
        <v>0.7</v>
      </c>
      <c r="V190" s="42">
        <f t="shared" si="64"/>
        <v>1828.0600000000002</v>
      </c>
      <c r="W190" s="42">
        <f t="shared" si="65"/>
        <v>1598.1850248000001</v>
      </c>
      <c r="X190" s="42">
        <f t="shared" si="66"/>
        <v>0.87425195278054324</v>
      </c>
      <c r="Y190" s="57">
        <v>3</v>
      </c>
      <c r="Z190" s="57">
        <v>4</v>
      </c>
      <c r="AA190" s="63">
        <v>6.2</v>
      </c>
      <c r="AB190" s="57">
        <v>21</v>
      </c>
      <c r="AC190" s="63">
        <v>6.4</v>
      </c>
      <c r="AD190" s="63">
        <v>5</v>
      </c>
      <c r="AE190" s="36">
        <v>0.11</v>
      </c>
      <c r="AF190" s="36">
        <v>0.15</v>
      </c>
      <c r="AG190" s="42">
        <f t="shared" si="46"/>
        <v>1828.0600000000002</v>
      </c>
      <c r="AH190" s="42">
        <f t="shared" si="67"/>
        <v>1785.9247275999996</v>
      </c>
      <c r="AI190" s="42">
        <f t="shared" si="68"/>
        <v>0.9769508263404918</v>
      </c>
      <c r="AJ190" s="57">
        <v>3</v>
      </c>
      <c r="AK190" s="57">
        <v>4</v>
      </c>
      <c r="AL190" s="63">
        <v>6.3</v>
      </c>
      <c r="AM190" s="57">
        <v>23</v>
      </c>
      <c r="AN190" s="63">
        <v>6.3</v>
      </c>
      <c r="AO190" s="63">
        <v>5</v>
      </c>
      <c r="AP190" s="36">
        <v>0.16</v>
      </c>
      <c r="AQ190" s="36">
        <v>0.18</v>
      </c>
      <c r="AR190" s="73">
        <f t="shared" si="47"/>
        <v>2279</v>
      </c>
      <c r="AS190" s="75">
        <f t="shared" si="48"/>
        <v>0.12198332602018429</v>
      </c>
      <c r="AT190" s="75">
        <f t="shared" si="49"/>
        <v>0.76831943835015359</v>
      </c>
      <c r="AU190" s="75">
        <f t="shared" si="50"/>
        <v>0.10969723562966213</v>
      </c>
      <c r="AV190" s="26">
        <f t="shared" si="51"/>
        <v>7.260155574762317E-2</v>
      </c>
      <c r="AW190" s="26">
        <f t="shared" si="52"/>
        <v>7.9515989628349174E-2</v>
      </c>
      <c r="AX190" s="24">
        <f t="shared" si="53"/>
        <v>0.86363636363636365</v>
      </c>
      <c r="AY190" s="24">
        <f t="shared" si="54"/>
        <v>0.88636363636363635</v>
      </c>
      <c r="AZ190" s="77" t="str">
        <f t="shared" si="55"/>
        <v>5,0 ≤ Alc. Bruta &lt; 7,5 mg/L</v>
      </c>
      <c r="BA190" s="77" t="str">
        <f t="shared" si="56"/>
        <v>5 ≤ Cor &lt; 10 uC</v>
      </c>
      <c r="BB190" s="78" t="str">
        <f t="shared" si="57"/>
        <v>Turbidez &lt; 2,5 uT</v>
      </c>
      <c r="BC190" s="79" t="str">
        <f t="shared" si="58"/>
        <v>SM &gt; TOR &gt; BNN</v>
      </c>
      <c r="BD190" s="78" t="str">
        <f t="shared" si="59"/>
        <v>Tipo 1 (≤0,25) uT</v>
      </c>
      <c r="BE190" s="78" t="str">
        <f t="shared" si="60"/>
        <v>Tipo 1 (≤0,25) uT</v>
      </c>
      <c r="BF190" s="78" t="str">
        <f t="shared" si="61"/>
        <v>Tipo 1 (≤0,25) uT</v>
      </c>
      <c r="BG190" s="78" t="str">
        <f t="shared" si="62"/>
        <v>Tipo 1 (≤0,25) uT</v>
      </c>
      <c r="BH190" s="78" t="str">
        <f t="shared" si="63"/>
        <v>Tipo 1 (≤0,25) uT</v>
      </c>
    </row>
    <row r="191" spans="1:60" x14ac:dyDescent="0.2">
      <c r="A191" s="31">
        <v>46279</v>
      </c>
      <c r="B191" s="80">
        <v>0.64583333333333337</v>
      </c>
      <c r="C191" s="57">
        <v>281</v>
      </c>
      <c r="D191" s="57">
        <v>1747</v>
      </c>
      <c r="E191" s="57">
        <v>250</v>
      </c>
      <c r="F191" s="57">
        <v>2183</v>
      </c>
      <c r="G191" s="85" t="s">
        <v>78</v>
      </c>
      <c r="H191" s="63">
        <v>10</v>
      </c>
      <c r="I191" s="57">
        <v>95</v>
      </c>
      <c r="J191" s="57">
        <v>90</v>
      </c>
      <c r="K191" s="57">
        <v>90</v>
      </c>
      <c r="L191" s="57">
        <v>90</v>
      </c>
      <c r="M191" s="57">
        <v>26</v>
      </c>
      <c r="N191" s="63">
        <v>6.6</v>
      </c>
      <c r="O191" s="36">
        <v>1.4</v>
      </c>
      <c r="P191" s="57">
        <v>9</v>
      </c>
      <c r="Q191" s="63">
        <v>7.3</v>
      </c>
      <c r="R191" s="36">
        <v>0.14000000000000001</v>
      </c>
      <c r="S191" s="36">
        <v>22.36</v>
      </c>
      <c r="T191" s="36">
        <v>0.88</v>
      </c>
      <c r="U191" s="36">
        <v>0.7</v>
      </c>
      <c r="V191" s="42">
        <f t="shared" si="64"/>
        <v>1746.4</v>
      </c>
      <c r="W191" s="42">
        <f t="shared" si="65"/>
        <v>1708.2758263999997</v>
      </c>
      <c r="X191" s="42">
        <f t="shared" si="66"/>
        <v>0.97816985020613811</v>
      </c>
      <c r="Y191" s="57">
        <v>3</v>
      </c>
      <c r="Z191" s="57">
        <v>4</v>
      </c>
      <c r="AA191" s="63">
        <v>6.3</v>
      </c>
      <c r="AB191" s="57">
        <v>22</v>
      </c>
      <c r="AC191" s="63">
        <v>6.2</v>
      </c>
      <c r="AD191" s="63">
        <v>4.8</v>
      </c>
      <c r="AE191" s="36">
        <v>0.17</v>
      </c>
      <c r="AF191" s="36">
        <v>0.17</v>
      </c>
      <c r="AG191" s="42">
        <f t="shared" si="46"/>
        <v>1746.4</v>
      </c>
      <c r="AH191" s="42">
        <f t="shared" si="67"/>
        <v>1750.3931224</v>
      </c>
      <c r="AI191" s="42">
        <f t="shared" si="68"/>
        <v>1.002286487860742</v>
      </c>
      <c r="AJ191" s="57">
        <v>3</v>
      </c>
      <c r="AK191" s="57">
        <v>4</v>
      </c>
      <c r="AL191" s="63">
        <v>6.2</v>
      </c>
      <c r="AM191" s="57">
        <v>23</v>
      </c>
      <c r="AN191" s="63">
        <v>6.1</v>
      </c>
      <c r="AO191" s="63">
        <v>4.5999999999999996</v>
      </c>
      <c r="AP191" s="36">
        <v>0.14000000000000001</v>
      </c>
      <c r="AQ191" s="36">
        <v>0.17</v>
      </c>
      <c r="AR191" s="73">
        <f t="shared" si="47"/>
        <v>2278</v>
      </c>
      <c r="AS191" s="75">
        <f t="shared" si="48"/>
        <v>0.12335381913959614</v>
      </c>
      <c r="AT191" s="75">
        <f t="shared" si="49"/>
        <v>0.76690079016681301</v>
      </c>
      <c r="AU191" s="75">
        <f t="shared" si="50"/>
        <v>0.10974539069359086</v>
      </c>
      <c r="AV191" s="26">
        <f t="shared" si="51"/>
        <v>8.0622995877233164E-2</v>
      </c>
      <c r="AW191" s="26">
        <f t="shared" si="52"/>
        <v>8.4287677508016495E-2</v>
      </c>
      <c r="AX191" s="24">
        <f t="shared" si="53"/>
        <v>0.87857142857142856</v>
      </c>
      <c r="AY191" s="24">
        <f t="shared" si="54"/>
        <v>0.87857142857142856</v>
      </c>
      <c r="AZ191" s="77" t="str">
        <f t="shared" si="55"/>
        <v>5,0 ≤ Alc. Bruta &lt; 7,5 mg/L</v>
      </c>
      <c r="BA191" s="77" t="str">
        <f t="shared" si="56"/>
        <v>5 ≤ Cor &lt; 10 uC</v>
      </c>
      <c r="BB191" s="78" t="str">
        <f t="shared" si="57"/>
        <v>Turbidez &lt; 2,5 uT</v>
      </c>
      <c r="BC191" s="79" t="str">
        <f t="shared" si="58"/>
        <v>SM &gt; TOR &gt; BNN</v>
      </c>
      <c r="BD191" s="78" t="str">
        <f t="shared" si="59"/>
        <v>Tipo 1 (≤0,25) uT</v>
      </c>
      <c r="BE191" s="78" t="str">
        <f t="shared" si="60"/>
        <v>Tipo 1 (≤0,25) uT</v>
      </c>
      <c r="BF191" s="78" t="str">
        <f t="shared" si="61"/>
        <v>Tipo 1 (≤0,25) uT</v>
      </c>
      <c r="BG191" s="78" t="str">
        <f t="shared" si="62"/>
        <v>Tipo 1 (≤0,25) uT</v>
      </c>
      <c r="BH191" s="78" t="str">
        <f t="shared" si="63"/>
        <v>Tipo 1 (≤0,25) uT</v>
      </c>
    </row>
    <row r="192" spans="1:60" x14ac:dyDescent="0.2">
      <c r="A192" s="31">
        <v>46279</v>
      </c>
      <c r="B192" s="80">
        <v>0.72916666666666663</v>
      </c>
      <c r="C192" s="57">
        <v>291</v>
      </c>
      <c r="D192" s="57">
        <v>1752</v>
      </c>
      <c r="E192" s="57">
        <v>250</v>
      </c>
      <c r="F192" s="57">
        <v>2231</v>
      </c>
      <c r="G192" s="85" t="s">
        <v>78</v>
      </c>
      <c r="H192" s="63">
        <v>9.8000000000000007</v>
      </c>
      <c r="I192" s="57">
        <v>1.7</v>
      </c>
      <c r="J192" s="57">
        <v>90</v>
      </c>
      <c r="K192" s="57">
        <v>90</v>
      </c>
      <c r="L192" s="57">
        <v>90</v>
      </c>
      <c r="M192" s="57">
        <v>26</v>
      </c>
      <c r="N192" s="63">
        <v>6.5</v>
      </c>
      <c r="O192" s="36">
        <v>1.38</v>
      </c>
      <c r="P192" s="57">
        <v>9</v>
      </c>
      <c r="Q192" s="63">
        <v>7.4</v>
      </c>
      <c r="R192" s="36">
        <v>0.1</v>
      </c>
      <c r="S192" s="36">
        <v>22.36</v>
      </c>
      <c r="T192" s="36">
        <v>0.88</v>
      </c>
      <c r="U192" s="36">
        <v>0.7</v>
      </c>
      <c r="V192" s="42">
        <f t="shared" si="64"/>
        <v>1762.49</v>
      </c>
      <c r="W192" s="42">
        <f t="shared" si="65"/>
        <v>1708.2758263999997</v>
      </c>
      <c r="X192" s="42">
        <f t="shared" si="66"/>
        <v>0.96924001066672705</v>
      </c>
      <c r="Y192" s="57">
        <v>3</v>
      </c>
      <c r="Z192" s="57">
        <v>4</v>
      </c>
      <c r="AA192" s="63">
        <v>6.3</v>
      </c>
      <c r="AB192" s="57">
        <v>22</v>
      </c>
      <c r="AC192" s="63">
        <v>6</v>
      </c>
      <c r="AD192" s="63">
        <v>5.0999999999999996</v>
      </c>
      <c r="AE192" s="36">
        <v>0.21</v>
      </c>
      <c r="AF192" s="36">
        <v>0.15</v>
      </c>
      <c r="AG192" s="42">
        <f t="shared" si="46"/>
        <v>1762.49</v>
      </c>
      <c r="AH192" s="42">
        <f t="shared" si="67"/>
        <v>1750.3931224</v>
      </c>
      <c r="AI192" s="42">
        <f t="shared" si="68"/>
        <v>0.99313648440558533</v>
      </c>
      <c r="AJ192" s="57">
        <v>3</v>
      </c>
      <c r="AK192" s="57">
        <v>4</v>
      </c>
      <c r="AL192" s="63">
        <v>6.2</v>
      </c>
      <c r="AM192" s="57">
        <v>23</v>
      </c>
      <c r="AN192" s="63">
        <v>6.1</v>
      </c>
      <c r="AO192" s="63">
        <v>5</v>
      </c>
      <c r="AP192" s="36">
        <v>0.2</v>
      </c>
      <c r="AQ192" s="36">
        <v>0.18</v>
      </c>
      <c r="AR192" s="73">
        <f t="shared" si="47"/>
        <v>2293</v>
      </c>
      <c r="AS192" s="75">
        <f t="shared" si="48"/>
        <v>0.12690798081116442</v>
      </c>
      <c r="AT192" s="75">
        <f t="shared" si="49"/>
        <v>0.7640645442651548</v>
      </c>
      <c r="AU192" s="75">
        <f t="shared" si="50"/>
        <v>0.10902747492368077</v>
      </c>
      <c r="AV192" s="26">
        <f t="shared" si="51"/>
        <v>7.8888390856118332E-2</v>
      </c>
      <c r="AW192" s="26">
        <f t="shared" si="52"/>
        <v>8.247422680412371E-2</v>
      </c>
      <c r="AX192" s="24">
        <f t="shared" si="53"/>
        <v>0.86956521739130432</v>
      </c>
      <c r="AY192" s="24">
        <f t="shared" si="54"/>
        <v>0.89130434782608692</v>
      </c>
      <c r="AZ192" s="77" t="str">
        <f t="shared" si="55"/>
        <v>5,0 ≤ Alc. Bruta &lt; 7,5 mg/L</v>
      </c>
      <c r="BA192" s="77" t="str">
        <f t="shared" si="56"/>
        <v>5 ≤ Cor &lt; 10 uC</v>
      </c>
      <c r="BB192" s="78" t="str">
        <f t="shared" si="57"/>
        <v>Turbidez &lt; 2,5 uT</v>
      </c>
      <c r="BC192" s="79" t="str">
        <f t="shared" si="58"/>
        <v>SM &gt; TOR &gt; BNN</v>
      </c>
      <c r="BD192" s="78" t="str">
        <f t="shared" si="59"/>
        <v>Tipo 1 (≤0,25) uT</v>
      </c>
      <c r="BE192" s="78" t="str">
        <f t="shared" si="60"/>
        <v>Tipo 1 (≤0,25) uT</v>
      </c>
      <c r="BF192" s="78" t="str">
        <f t="shared" si="61"/>
        <v>Tipo 1 (≤0,25) uT</v>
      </c>
      <c r="BG192" s="78" t="str">
        <f t="shared" si="62"/>
        <v>Tipo 1 (≤0,25) uT</v>
      </c>
      <c r="BH192" s="78" t="str">
        <f t="shared" si="63"/>
        <v>Tipo 1 (≤0,25) uT</v>
      </c>
    </row>
    <row r="193" spans="1:60" x14ac:dyDescent="0.2">
      <c r="A193" s="31">
        <v>46279</v>
      </c>
      <c r="B193" s="80">
        <v>0.8125</v>
      </c>
      <c r="C193" s="57">
        <v>288</v>
      </c>
      <c r="D193" s="57">
        <v>1720</v>
      </c>
      <c r="E193" s="57">
        <v>250</v>
      </c>
      <c r="F193" s="57">
        <v>2324</v>
      </c>
      <c r="G193" s="85" t="s">
        <v>78</v>
      </c>
      <c r="H193" s="63">
        <v>9.8000000000000007</v>
      </c>
      <c r="I193" s="57">
        <v>-15</v>
      </c>
      <c r="J193" s="57">
        <v>90</v>
      </c>
      <c r="K193" s="57">
        <v>90</v>
      </c>
      <c r="L193" s="57">
        <v>90</v>
      </c>
      <c r="M193" s="57">
        <v>26</v>
      </c>
      <c r="N193" s="63">
        <v>6.4</v>
      </c>
      <c r="O193" s="36">
        <v>1.37</v>
      </c>
      <c r="P193" s="57">
        <v>10</v>
      </c>
      <c r="Q193" s="63">
        <v>5.9</v>
      </c>
      <c r="R193" s="36">
        <v>0.1</v>
      </c>
      <c r="S193" s="36">
        <v>22.36</v>
      </c>
      <c r="T193" s="36">
        <v>0.88</v>
      </c>
      <c r="U193" s="36">
        <v>0.7</v>
      </c>
      <c r="V193" s="42">
        <f t="shared" si="64"/>
        <v>1833.0550000000001</v>
      </c>
      <c r="W193" s="42">
        <f t="shared" si="65"/>
        <v>1525.9997895999998</v>
      </c>
      <c r="X193" s="42">
        <f t="shared" si="66"/>
        <v>0.83248990870432127</v>
      </c>
      <c r="Y193" s="57">
        <v>3</v>
      </c>
      <c r="Z193" s="57">
        <v>4</v>
      </c>
      <c r="AA193" s="63">
        <v>6</v>
      </c>
      <c r="AB193" s="57">
        <v>20.9</v>
      </c>
      <c r="AC193" s="63">
        <v>6.1</v>
      </c>
      <c r="AD193" s="63">
        <v>3.9</v>
      </c>
      <c r="AE193" s="36">
        <v>0.26</v>
      </c>
      <c r="AF193" s="36">
        <v>0.14000000000000001</v>
      </c>
      <c r="AG193" s="42">
        <f t="shared" si="46"/>
        <v>1833.0550000000001</v>
      </c>
      <c r="AH193" s="42">
        <f t="shared" si="67"/>
        <v>1770.3949473599996</v>
      </c>
      <c r="AI193" s="42">
        <f t="shared" si="68"/>
        <v>0.96581659980742507</v>
      </c>
      <c r="AJ193" s="57">
        <v>3</v>
      </c>
      <c r="AK193" s="57">
        <v>4</v>
      </c>
      <c r="AL193" s="63">
        <v>6.3</v>
      </c>
      <c r="AM193" s="57">
        <v>22.8</v>
      </c>
      <c r="AN193" s="63">
        <v>6</v>
      </c>
      <c r="AO193" s="63">
        <v>3.6</v>
      </c>
      <c r="AP193" s="36">
        <v>0.22</v>
      </c>
      <c r="AQ193" s="36">
        <v>0.21</v>
      </c>
      <c r="AR193" s="73">
        <f t="shared" si="47"/>
        <v>2258</v>
      </c>
      <c r="AS193" s="75">
        <f t="shared" si="48"/>
        <v>0.1275465013286094</v>
      </c>
      <c r="AT193" s="75">
        <f t="shared" si="49"/>
        <v>0.76173604960141716</v>
      </c>
      <c r="AU193" s="75">
        <f t="shared" si="50"/>
        <v>0.11071744906997343</v>
      </c>
      <c r="AV193" s="26">
        <f t="shared" si="51"/>
        <v>7.1944922547332174E-2</v>
      </c>
      <c r="AW193" s="26">
        <f t="shared" si="52"/>
        <v>7.8485370051635112E-2</v>
      </c>
      <c r="AX193" s="24">
        <f t="shared" si="53"/>
        <v>0.84671532846715336</v>
      </c>
      <c r="AY193" s="24">
        <f t="shared" si="54"/>
        <v>0.8978102189781022</v>
      </c>
      <c r="AZ193" s="77" t="str">
        <f t="shared" si="55"/>
        <v>5,0 ≤ Alc. Bruta &lt; 7,5 mg/L</v>
      </c>
      <c r="BA193" s="77" t="str">
        <f t="shared" si="56"/>
        <v>10 ≤ Cor &lt;15 uC</v>
      </c>
      <c r="BB193" s="78" t="str">
        <f t="shared" si="57"/>
        <v>Turbidez &lt; 2,5 uT</v>
      </c>
      <c r="BC193" s="79" t="str">
        <f t="shared" si="58"/>
        <v>SM &gt; TOR &gt; BNN</v>
      </c>
      <c r="BD193" s="78" t="str">
        <f t="shared" si="59"/>
        <v>Tipo 2 (0,25-0,50) uT</v>
      </c>
      <c r="BE193" s="78" t="str">
        <f t="shared" si="60"/>
        <v>Tipo 1 (≤0,25) uT</v>
      </c>
      <c r="BF193" s="78" t="str">
        <f t="shared" si="61"/>
        <v>Tipo 1 (≤0,25) uT</v>
      </c>
      <c r="BG193" s="78" t="str">
        <f t="shared" si="62"/>
        <v>Tipo 1 (≤0,25) uT</v>
      </c>
      <c r="BH193" s="78" t="str">
        <f t="shared" si="63"/>
        <v>Tipo 1 (≤0,25) uT</v>
      </c>
    </row>
    <row r="194" spans="1:60" x14ac:dyDescent="0.2">
      <c r="A194" s="31">
        <v>46279</v>
      </c>
      <c r="B194" s="80">
        <v>0.89583333333333337</v>
      </c>
      <c r="C194" s="57">
        <v>251</v>
      </c>
      <c r="D194" s="57">
        <v>1725</v>
      </c>
      <c r="E194" s="57">
        <v>248</v>
      </c>
      <c r="F194" s="57">
        <v>2242</v>
      </c>
      <c r="G194" s="85" t="s">
        <v>78</v>
      </c>
      <c r="H194" s="63">
        <v>9.8000000000000007</v>
      </c>
      <c r="I194" s="57">
        <v>11.87</v>
      </c>
      <c r="J194" s="57">
        <v>90</v>
      </c>
      <c r="K194" s="57">
        <v>90</v>
      </c>
      <c r="L194" s="57">
        <v>90</v>
      </c>
      <c r="M194" s="57">
        <v>25.8</v>
      </c>
      <c r="N194" s="63">
        <v>6.5</v>
      </c>
      <c r="O194" s="36">
        <v>1.22</v>
      </c>
      <c r="P194" s="57">
        <v>9</v>
      </c>
      <c r="Q194" s="63">
        <v>6.4</v>
      </c>
      <c r="R194" s="36">
        <v>0.09</v>
      </c>
      <c r="S194" s="36">
        <v>22.36</v>
      </c>
      <c r="T194" s="36">
        <v>0.88</v>
      </c>
      <c r="U194" s="36">
        <v>0.7</v>
      </c>
      <c r="V194" s="42">
        <f t="shared" si="64"/>
        <v>1726.3400000000001</v>
      </c>
      <c r="W194" s="42">
        <f t="shared" si="65"/>
        <v>1525.9997895999998</v>
      </c>
      <c r="X194" s="42">
        <f t="shared" si="66"/>
        <v>0.88395089588377707</v>
      </c>
      <c r="Y194" s="57">
        <v>3</v>
      </c>
      <c r="Z194" s="57">
        <v>4</v>
      </c>
      <c r="AA194" s="63">
        <v>6</v>
      </c>
      <c r="AB194" s="57">
        <v>20.9</v>
      </c>
      <c r="AC194" s="63">
        <v>6</v>
      </c>
      <c r="AD194" s="63">
        <v>4.0999999999999996</v>
      </c>
      <c r="AE194" s="36">
        <v>0.2</v>
      </c>
      <c r="AF194" s="36">
        <v>0.12</v>
      </c>
      <c r="AG194" s="42">
        <f t="shared" ref="AG194:AG257" si="69">(O194+0.3*H194+2)*(F194/2/AK194)</f>
        <v>1726.3400000000001</v>
      </c>
      <c r="AH194" s="42">
        <f t="shared" si="67"/>
        <v>1770.3949473599996</v>
      </c>
      <c r="AI194" s="42">
        <f t="shared" si="68"/>
        <v>1.0255192762491743</v>
      </c>
      <c r="AJ194" s="57">
        <v>3</v>
      </c>
      <c r="AK194" s="57">
        <v>4</v>
      </c>
      <c r="AL194" s="63">
        <v>6.3</v>
      </c>
      <c r="AM194" s="57">
        <v>22.8</v>
      </c>
      <c r="AN194" s="63">
        <v>5.8</v>
      </c>
      <c r="AO194" s="63">
        <v>4.8</v>
      </c>
      <c r="AP194" s="36">
        <v>0.25</v>
      </c>
      <c r="AQ194" s="36">
        <v>0.23</v>
      </c>
      <c r="AR194" s="73">
        <f t="shared" ref="AR194:AR257" si="70">SUM(C194:E194)</f>
        <v>2224</v>
      </c>
      <c r="AS194" s="75">
        <f t="shared" ref="AS194:AS257" si="71">C194/AR194</f>
        <v>0.11285971223021583</v>
      </c>
      <c r="AT194" s="75">
        <f t="shared" ref="AT194:AT257" si="72">D194/AR194</f>
        <v>0.77562949640287771</v>
      </c>
      <c r="AU194" s="75">
        <f t="shared" ref="AU194:AU257" si="73">E194/AR194</f>
        <v>0.11151079136690648</v>
      </c>
      <c r="AV194" s="26">
        <f t="shared" ref="AV194:AV257" si="74">IF(AND(F194&lt;&gt;"",Z194&lt;&gt;""),AB194/(F194/2/Z194),"")</f>
        <v>7.4576271186440668E-2</v>
      </c>
      <c r="AW194" s="26">
        <f t="shared" ref="AW194:AW257" si="75">IF(AND(F194&lt;&gt;"",AK194&lt;&gt;""),AM194/(F194/2/AK194),"")</f>
        <v>8.1355932203389839E-2</v>
      </c>
      <c r="AX194" s="24">
        <f t="shared" ref="AX194:AX257" si="76">IF(AND(AQ194&lt;&gt;"",1-(AQ194/O194)&gt;0),1-(AQ194/O194),"")</f>
        <v>0.81147540983606559</v>
      </c>
      <c r="AY194" s="24">
        <f t="shared" ref="AY194:AY257" si="77">IF(AND(AF194&lt;&gt;"",1-(AF194/O194)&gt;0),1-(AF194/O194),"")</f>
        <v>0.90163934426229508</v>
      </c>
      <c r="AZ194" s="77" t="str">
        <f t="shared" ref="AZ194:AZ257" si="78">IF(Q194="","",IF(Q194&lt;2.5,"Alc. Bruta &lt; 2,5 mg/L",IF(Q194&lt;5,"2,5 ≤ Alc. Bruta &lt; 5,0 mg/L",IF(Q194&lt;7.5,"5,0 ≤ Alc. Bruta &lt; 7,5 mg/L",IF(Q194&lt;10,"7,5 ≤ Alc. Bruta &lt; 10,0 mg/L",IF(Q194&lt;15,"10,0 ≤ Alca. Bruta &lt; 15,0 mg/L","Alc. Bruta &gt; 15 mg/L"))))))</f>
        <v>5,0 ≤ Alc. Bruta &lt; 7,5 mg/L</v>
      </c>
      <c r="BA194" s="77" t="str">
        <f t="shared" ref="BA194:BA257" si="79">IF(P194="","",IF(P194&lt;5,"Cor &lt;5 uC",IF(P194&lt;10,"5 ≤ Cor &lt; 10 uC",IF(P194&lt;15,"10 ≤ Cor &lt;15 uC",IF(P194&lt;30,"15 ≤ Cor &lt; 30 uC",IF(P194&lt;50,"30 ≤ Cor &lt; 50 uC","Cor &gt; 50 uC"))))))</f>
        <v>5 ≤ Cor &lt; 10 uC</v>
      </c>
      <c r="BB194" s="78" t="str">
        <f t="shared" ref="BB194:BB257" si="80">IF(O194="","",IF(O194&lt;2.5,"Turbidez &lt; 2,5 uT",IF(O194&lt;5,"2,5 ≤ Turb &lt; 5,0 uT",IF(O194&lt;7.5,"5,0 ≤ Turb &lt; 7,5 uT",IF(O194&lt;10,"7,5 ≤ Turb &lt; 10,0 uT",IF(O194&lt;15,"10,0 ≤ Turb &lt; 15,0 uT","Turb &gt; 15 uT"))))))</f>
        <v>Turbidez &lt; 2,5 uT</v>
      </c>
      <c r="BC194" s="79" t="str">
        <f t="shared" ref="BC194:BC257" si="81">IF(AND(C194&gt;D194,D194&gt;E194),"TOR &gt; SM &gt; BNN",IF(AND(C194&gt;E194,E194&gt;D194),"TOR &gt; BNN &gt; SM",IF(AND(D194&gt;C194,C194&gt;E194),"SM &gt; TOR &gt; BNN",IF(AND(D194&gt;E194,E194&gt;C194),"SM &gt; BNN &gt; TOR",IF(AND(C194=D194,D194=E194),"TOR = SM = BNN","Comb. diferentes")))))</f>
        <v>SM &gt; TOR &gt; BNN</v>
      </c>
      <c r="BD194" s="78" t="str">
        <f t="shared" ref="BD194:BD257" si="82">IF(OR(AE194="",AQ194="-"),"",IF(AE194&lt;=0.25,"Tipo 1 (≤0,25) uT",IF(AE194&lt;=0.5,"Tipo 2 (0,25-0,50) uT",IF(AE194&lt;=0.75,"Tipo 3 (0,50-0,75) uT","Tipo 4 (&gt;0,75) uT"))))</f>
        <v>Tipo 1 (≤0,25) uT</v>
      </c>
      <c r="BE194" s="78" t="str">
        <f t="shared" ref="BE194:BE257" si="83">IF(OR(AP194="",AZ194="-"),"",IF(AP194&lt;=0.25,"Tipo 1 (≤0,25) uT",IF(AP194&lt;=0.5,"Tipo 2 (0,25-0,50) uT",IF(AP194&lt;=0.75,"Tipo 3 (0,50-0,75) uT","Tipo 4 (&gt;0,75) uT"))))</f>
        <v>Tipo 1 (≤0,25) uT</v>
      </c>
      <c r="BF194" s="78" t="str">
        <f t="shared" ref="BF194:BF257" si="84">IF(OR(AF194="",AQ194="-"),"",IF(AF194&lt;=0.25,"Tipo 1 (≤0,25) uT",IF(AF194&lt;=0.5,"Tipo 2 (0,25-0,50) uT",IF(AF194&lt;=0.75,"Tipo 3 (0,50-0,75) uT","Tipo 4 (&gt;0,75) uT"))))</f>
        <v>Tipo 1 (≤0,25) uT</v>
      </c>
      <c r="BG194" s="78" t="str">
        <f t="shared" ref="BG194:BG257" si="85">IF(OR(AQ194="",AQ194="-"),"",IF(AQ194&lt;=0.25,"Tipo 1 (≤0,25) uT",IF(AQ194&lt;=0.5,"Tipo 2 (0,25-0,50) uT",IF(AQ194&lt;=0.75,"Tipo 3 (0,50-0,75) uT","Tipo 4 (&gt;0,75) uT"))))</f>
        <v>Tipo 1 (≤0,25) uT</v>
      </c>
      <c r="BH194" s="78" t="str">
        <f t="shared" ref="BH194:BH257" si="86">IF(OR(R194="",R194="-"),"",IF(R194&lt;=0.25,"Tipo 1 (≤0,25) uT",IF(R194&lt;=0.5,"Tipo 2 (0,25-0,50) uT",IF(R194&lt;=0.75,"Tipo 3 (0,50-0,75) uT","Tipo 4 (&gt;0,75) uT"))))</f>
        <v>Tipo 1 (≤0,25) uT</v>
      </c>
    </row>
    <row r="195" spans="1:60" x14ac:dyDescent="0.2">
      <c r="A195" s="31">
        <v>46280</v>
      </c>
      <c r="B195" s="80">
        <v>6.25E-2</v>
      </c>
      <c r="C195" s="57">
        <v>290</v>
      </c>
      <c r="D195" s="57">
        <v>1727</v>
      </c>
      <c r="E195" s="57">
        <v>250</v>
      </c>
      <c r="F195" s="57">
        <v>2266</v>
      </c>
      <c r="G195" s="85" t="s">
        <v>78</v>
      </c>
      <c r="H195" s="63">
        <v>9.5</v>
      </c>
      <c r="I195" s="57">
        <v>-24</v>
      </c>
      <c r="J195" s="57">
        <v>90</v>
      </c>
      <c r="K195" s="57">
        <v>90</v>
      </c>
      <c r="L195" s="57">
        <v>90</v>
      </c>
      <c r="M195" s="57">
        <v>24.9</v>
      </c>
      <c r="N195" s="63">
        <v>6.5</v>
      </c>
      <c r="O195" s="36">
        <v>1.4</v>
      </c>
      <c r="P195" s="57">
        <v>9</v>
      </c>
      <c r="Q195" s="63">
        <v>5.9</v>
      </c>
      <c r="R195" s="36">
        <v>0.1</v>
      </c>
      <c r="S195" s="36">
        <v>22.36</v>
      </c>
      <c r="T195" s="36">
        <v>0.88</v>
      </c>
      <c r="U195" s="36">
        <v>0.7</v>
      </c>
      <c r="V195" s="42">
        <f t="shared" ref="V195:V258" si="87">(O195+0.3*H195+2)*(F195/2/Z195)</f>
        <v>1770.3125</v>
      </c>
      <c r="W195" s="42">
        <f t="shared" ref="W195:W258" si="88">S195*(U195*AA195*0.987-T195)*AB195</f>
        <v>1525.9997895999998</v>
      </c>
      <c r="X195" s="42">
        <f t="shared" ref="X195:X258" si="89">W195/V195</f>
        <v>0.86199458547572805</v>
      </c>
      <c r="Y195" s="57">
        <v>3</v>
      </c>
      <c r="Z195" s="57">
        <v>4</v>
      </c>
      <c r="AA195" s="63">
        <v>6</v>
      </c>
      <c r="AB195" s="57">
        <v>20.9</v>
      </c>
      <c r="AC195" s="63">
        <v>6.1</v>
      </c>
      <c r="AD195" s="63">
        <v>4.9000000000000004</v>
      </c>
      <c r="AE195" s="36">
        <v>0.2</v>
      </c>
      <c r="AF195" s="36">
        <v>0.12</v>
      </c>
      <c r="AG195" s="42">
        <f t="shared" si="69"/>
        <v>1770.3125</v>
      </c>
      <c r="AH195" s="42">
        <f t="shared" ref="AH195:AH258" si="90">S195*(U195*AL195*0.987-T195)*AM195</f>
        <v>1848.0438485599996</v>
      </c>
      <c r="AI195" s="42">
        <f t="shared" ref="AI195:AI258" si="91">AH195/AG195</f>
        <v>1.0439082639703439</v>
      </c>
      <c r="AJ195" s="57">
        <v>3</v>
      </c>
      <c r="AK195" s="57">
        <v>4</v>
      </c>
      <c r="AL195" s="63">
        <v>6.3</v>
      </c>
      <c r="AM195" s="57">
        <v>23.8</v>
      </c>
      <c r="AN195" s="63">
        <v>6.1</v>
      </c>
      <c r="AO195" s="63">
        <v>4.5</v>
      </c>
      <c r="AP195" s="36">
        <v>0.3</v>
      </c>
      <c r="AQ195" s="36">
        <v>0.19</v>
      </c>
      <c r="AR195" s="73">
        <f t="shared" si="70"/>
        <v>2267</v>
      </c>
      <c r="AS195" s="75">
        <f t="shared" si="71"/>
        <v>0.12792236435818263</v>
      </c>
      <c r="AT195" s="75">
        <f t="shared" si="72"/>
        <v>0.76179973533303924</v>
      </c>
      <c r="AU195" s="75">
        <f t="shared" si="73"/>
        <v>0.11027790030877813</v>
      </c>
      <c r="AV195" s="26">
        <f t="shared" si="74"/>
        <v>7.3786407766990289E-2</v>
      </c>
      <c r="AW195" s="26">
        <f t="shared" si="75"/>
        <v>8.4024713150926744E-2</v>
      </c>
      <c r="AX195" s="24">
        <f t="shared" si="76"/>
        <v>0.86428571428571432</v>
      </c>
      <c r="AY195" s="24">
        <f t="shared" si="77"/>
        <v>0.91428571428571426</v>
      </c>
      <c r="AZ195" s="77" t="str">
        <f t="shared" si="78"/>
        <v>5,0 ≤ Alc. Bruta &lt; 7,5 mg/L</v>
      </c>
      <c r="BA195" s="77" t="str">
        <f t="shared" si="79"/>
        <v>5 ≤ Cor &lt; 10 uC</v>
      </c>
      <c r="BB195" s="78" t="str">
        <f t="shared" si="80"/>
        <v>Turbidez &lt; 2,5 uT</v>
      </c>
      <c r="BC195" s="79" t="str">
        <f t="shared" si="81"/>
        <v>SM &gt; TOR &gt; BNN</v>
      </c>
      <c r="BD195" s="78" t="str">
        <f t="shared" si="82"/>
        <v>Tipo 1 (≤0,25) uT</v>
      </c>
      <c r="BE195" s="78" t="str">
        <f t="shared" si="83"/>
        <v>Tipo 2 (0,25-0,50) uT</v>
      </c>
      <c r="BF195" s="78" t="str">
        <f t="shared" si="84"/>
        <v>Tipo 1 (≤0,25) uT</v>
      </c>
      <c r="BG195" s="78" t="str">
        <f t="shared" si="85"/>
        <v>Tipo 1 (≤0,25) uT</v>
      </c>
      <c r="BH195" s="78" t="str">
        <f t="shared" si="86"/>
        <v>Tipo 1 (≤0,25) uT</v>
      </c>
    </row>
    <row r="196" spans="1:60" x14ac:dyDescent="0.2">
      <c r="A196" s="31">
        <v>46280</v>
      </c>
      <c r="B196" s="80">
        <v>0.14583333333333334</v>
      </c>
      <c r="C196" s="57">
        <v>283</v>
      </c>
      <c r="D196" s="57">
        <v>1689</v>
      </c>
      <c r="E196" s="57">
        <v>249</v>
      </c>
      <c r="F196" s="57">
        <v>2356</v>
      </c>
      <c r="G196" s="85" t="s">
        <v>78</v>
      </c>
      <c r="H196" s="63">
        <v>9.5</v>
      </c>
      <c r="I196" s="57">
        <v>-25</v>
      </c>
      <c r="J196" s="57">
        <v>90</v>
      </c>
      <c r="K196" s="57">
        <v>90</v>
      </c>
      <c r="L196" s="57">
        <v>90</v>
      </c>
      <c r="M196" s="57">
        <v>24.8</v>
      </c>
      <c r="N196" s="63">
        <v>6.5</v>
      </c>
      <c r="O196" s="36">
        <v>1.31</v>
      </c>
      <c r="P196" s="57">
        <v>9</v>
      </c>
      <c r="Q196" s="63">
        <v>6</v>
      </c>
      <c r="R196" s="36">
        <v>0.12</v>
      </c>
      <c r="S196" s="36">
        <v>22.36</v>
      </c>
      <c r="T196" s="36">
        <v>0.88</v>
      </c>
      <c r="U196" s="36">
        <v>0.7</v>
      </c>
      <c r="V196" s="42">
        <f t="shared" si="87"/>
        <v>1814.1200000000001</v>
      </c>
      <c r="W196" s="42">
        <f t="shared" si="88"/>
        <v>1525.9997895999998</v>
      </c>
      <c r="X196" s="42">
        <f t="shared" si="89"/>
        <v>0.84117907834101369</v>
      </c>
      <c r="Y196" s="57">
        <v>3</v>
      </c>
      <c r="Z196" s="57">
        <v>4</v>
      </c>
      <c r="AA196" s="63">
        <v>6</v>
      </c>
      <c r="AB196" s="57">
        <v>20.9</v>
      </c>
      <c r="AC196" s="63">
        <v>6</v>
      </c>
      <c r="AD196" s="63">
        <v>4</v>
      </c>
      <c r="AE196" s="36">
        <v>0.21</v>
      </c>
      <c r="AF196" s="36">
        <v>0.12</v>
      </c>
      <c r="AG196" s="42">
        <f t="shared" si="69"/>
        <v>1814.1200000000001</v>
      </c>
      <c r="AH196" s="42">
        <f t="shared" si="90"/>
        <v>1770.3949473599996</v>
      </c>
      <c r="AI196" s="42">
        <f t="shared" si="91"/>
        <v>0.97589737578550451</v>
      </c>
      <c r="AJ196" s="57">
        <v>3</v>
      </c>
      <c r="AK196" s="57">
        <v>4</v>
      </c>
      <c r="AL196" s="63">
        <v>6.3</v>
      </c>
      <c r="AM196" s="57">
        <v>22.8</v>
      </c>
      <c r="AN196" s="63">
        <v>6</v>
      </c>
      <c r="AO196" s="63">
        <v>5.2</v>
      </c>
      <c r="AP196" s="36">
        <v>0.26</v>
      </c>
      <c r="AQ196" s="36">
        <v>0.21</v>
      </c>
      <c r="AR196" s="73">
        <f t="shared" si="70"/>
        <v>2221</v>
      </c>
      <c r="AS196" s="75">
        <f t="shared" si="71"/>
        <v>0.12742008104457453</v>
      </c>
      <c r="AT196" s="75">
        <f t="shared" si="72"/>
        <v>0.76046825754164793</v>
      </c>
      <c r="AU196" s="75">
        <f t="shared" si="73"/>
        <v>0.11211166141377758</v>
      </c>
      <c r="AV196" s="26">
        <f t="shared" si="74"/>
        <v>7.0967741935483872E-2</v>
      </c>
      <c r="AW196" s="26">
        <f t="shared" si="75"/>
        <v>7.7419354838709681E-2</v>
      </c>
      <c r="AX196" s="24">
        <f t="shared" si="76"/>
        <v>0.83969465648854968</v>
      </c>
      <c r="AY196" s="24">
        <f t="shared" si="77"/>
        <v>0.90839694656488557</v>
      </c>
      <c r="AZ196" s="77" t="str">
        <f t="shared" si="78"/>
        <v>5,0 ≤ Alc. Bruta &lt; 7,5 mg/L</v>
      </c>
      <c r="BA196" s="77" t="str">
        <f t="shared" si="79"/>
        <v>5 ≤ Cor &lt; 10 uC</v>
      </c>
      <c r="BB196" s="78" t="str">
        <f t="shared" si="80"/>
        <v>Turbidez &lt; 2,5 uT</v>
      </c>
      <c r="BC196" s="79" t="str">
        <f t="shared" si="81"/>
        <v>SM &gt; TOR &gt; BNN</v>
      </c>
      <c r="BD196" s="78" t="str">
        <f t="shared" si="82"/>
        <v>Tipo 1 (≤0,25) uT</v>
      </c>
      <c r="BE196" s="78" t="str">
        <f t="shared" si="83"/>
        <v>Tipo 2 (0,25-0,50) uT</v>
      </c>
      <c r="BF196" s="78" t="str">
        <f t="shared" si="84"/>
        <v>Tipo 1 (≤0,25) uT</v>
      </c>
      <c r="BG196" s="78" t="str">
        <f t="shared" si="85"/>
        <v>Tipo 1 (≤0,25) uT</v>
      </c>
      <c r="BH196" s="78" t="str">
        <f t="shared" si="86"/>
        <v>Tipo 1 (≤0,25) uT</v>
      </c>
    </row>
    <row r="197" spans="1:60" ht="15.75" thickBot="1" x14ac:dyDescent="0.25">
      <c r="A197" s="32">
        <v>46280</v>
      </c>
      <c r="B197" s="81">
        <v>0.22916666666666666</v>
      </c>
      <c r="C197" s="58">
        <v>318</v>
      </c>
      <c r="D197" s="58">
        <v>1211</v>
      </c>
      <c r="E197" s="58">
        <v>249</v>
      </c>
      <c r="F197" s="58">
        <v>1847</v>
      </c>
      <c r="G197" s="86" t="s">
        <v>78</v>
      </c>
      <c r="H197" s="64">
        <v>9.5</v>
      </c>
      <c r="I197" s="58">
        <v>70</v>
      </c>
      <c r="J197" s="58">
        <v>90</v>
      </c>
      <c r="K197" s="58">
        <v>90</v>
      </c>
      <c r="L197" s="58">
        <v>90</v>
      </c>
      <c r="M197" s="58">
        <v>24.8</v>
      </c>
      <c r="N197" s="64">
        <v>6.4</v>
      </c>
      <c r="O197" s="37">
        <v>1.24</v>
      </c>
      <c r="P197" s="58">
        <v>8</v>
      </c>
      <c r="Q197" s="64">
        <v>6.4</v>
      </c>
      <c r="R197" s="37">
        <v>7.0000000000000007E-2</v>
      </c>
      <c r="S197" s="36">
        <v>22.36</v>
      </c>
      <c r="T197" s="36">
        <v>0.88</v>
      </c>
      <c r="U197" s="36">
        <v>0.7</v>
      </c>
      <c r="V197" s="42">
        <f t="shared" si="87"/>
        <v>1406.0287499999999</v>
      </c>
      <c r="W197" s="42">
        <f t="shared" si="88"/>
        <v>1525.9997895999998</v>
      </c>
      <c r="X197" s="42">
        <f t="shared" si="89"/>
        <v>1.0853261639209013</v>
      </c>
      <c r="Y197" s="58">
        <v>3</v>
      </c>
      <c r="Z197" s="58">
        <v>4</v>
      </c>
      <c r="AA197" s="64">
        <v>6</v>
      </c>
      <c r="AB197" s="58">
        <v>20.9</v>
      </c>
      <c r="AC197" s="64">
        <v>6.1</v>
      </c>
      <c r="AD197" s="64">
        <v>3.6</v>
      </c>
      <c r="AE197" s="37">
        <v>0.18</v>
      </c>
      <c r="AF197" s="37">
        <v>0.1</v>
      </c>
      <c r="AG197" s="42">
        <f t="shared" si="69"/>
        <v>1406.0287499999999</v>
      </c>
      <c r="AH197" s="42">
        <f t="shared" si="90"/>
        <v>1770.3949473599996</v>
      </c>
      <c r="AI197" s="42">
        <f t="shared" si="91"/>
        <v>1.2591456237007954</v>
      </c>
      <c r="AJ197" s="58">
        <v>3</v>
      </c>
      <c r="AK197" s="58">
        <v>4</v>
      </c>
      <c r="AL197" s="64">
        <v>6.3</v>
      </c>
      <c r="AM197" s="58">
        <v>22.8</v>
      </c>
      <c r="AN197" s="64">
        <v>6</v>
      </c>
      <c r="AO197" s="64">
        <v>4.5</v>
      </c>
      <c r="AP197" s="37">
        <v>0.19</v>
      </c>
      <c r="AQ197" s="37">
        <v>0.15</v>
      </c>
      <c r="AR197" s="73">
        <f t="shared" si="70"/>
        <v>1778</v>
      </c>
      <c r="AS197" s="75">
        <f t="shared" si="71"/>
        <v>0.17885264341957255</v>
      </c>
      <c r="AT197" s="75">
        <f t="shared" si="72"/>
        <v>0.68110236220472442</v>
      </c>
      <c r="AU197" s="75">
        <f t="shared" si="73"/>
        <v>0.14004499437570303</v>
      </c>
      <c r="AV197" s="26">
        <f t="shared" si="74"/>
        <v>9.0525175961017862E-2</v>
      </c>
      <c r="AW197" s="26">
        <f t="shared" si="75"/>
        <v>9.8754737412019497E-2</v>
      </c>
      <c r="AX197" s="24">
        <f t="shared" si="76"/>
        <v>0.87903225806451613</v>
      </c>
      <c r="AY197" s="24">
        <f t="shared" si="77"/>
        <v>0.91935483870967738</v>
      </c>
      <c r="AZ197" s="77" t="str">
        <f t="shared" si="78"/>
        <v>5,0 ≤ Alc. Bruta &lt; 7,5 mg/L</v>
      </c>
      <c r="BA197" s="77" t="str">
        <f t="shared" si="79"/>
        <v>5 ≤ Cor &lt; 10 uC</v>
      </c>
      <c r="BB197" s="78" t="str">
        <f t="shared" si="80"/>
        <v>Turbidez &lt; 2,5 uT</v>
      </c>
      <c r="BC197" s="79" t="str">
        <f t="shared" si="81"/>
        <v>SM &gt; TOR &gt; BNN</v>
      </c>
      <c r="BD197" s="78" t="str">
        <f t="shared" si="82"/>
        <v>Tipo 1 (≤0,25) uT</v>
      </c>
      <c r="BE197" s="78" t="str">
        <f t="shared" si="83"/>
        <v>Tipo 1 (≤0,25) uT</v>
      </c>
      <c r="BF197" s="78" t="str">
        <f t="shared" si="84"/>
        <v>Tipo 1 (≤0,25) uT</v>
      </c>
      <c r="BG197" s="78" t="str">
        <f t="shared" si="85"/>
        <v>Tipo 1 (≤0,25) uT</v>
      </c>
      <c r="BH197" s="78" t="str">
        <f t="shared" si="86"/>
        <v>Tipo 1 (≤0,25) uT</v>
      </c>
    </row>
    <row r="198" spans="1:60" x14ac:dyDescent="0.2">
      <c r="A198" s="30">
        <v>46280</v>
      </c>
      <c r="B198" s="82">
        <v>0.3125</v>
      </c>
      <c r="C198" s="59">
        <v>290</v>
      </c>
      <c r="D198" s="59">
        <v>1745</v>
      </c>
      <c r="E198" s="59">
        <v>200</v>
      </c>
      <c r="F198" s="59">
        <v>2200</v>
      </c>
      <c r="G198" s="87" t="s">
        <v>78</v>
      </c>
      <c r="H198" s="65">
        <v>9.5</v>
      </c>
      <c r="I198" s="59">
        <v>7.75</v>
      </c>
      <c r="J198" s="59">
        <v>90</v>
      </c>
      <c r="K198" s="59">
        <v>90</v>
      </c>
      <c r="L198" s="59">
        <v>90</v>
      </c>
      <c r="M198" s="59">
        <v>25.3</v>
      </c>
      <c r="N198" s="65">
        <v>6.5</v>
      </c>
      <c r="O198" s="38">
        <v>1.27</v>
      </c>
      <c r="P198" s="59">
        <v>8</v>
      </c>
      <c r="Q198" s="65">
        <v>6.2</v>
      </c>
      <c r="R198" s="38">
        <v>0.08</v>
      </c>
      <c r="S198" s="36">
        <v>22.36</v>
      </c>
      <c r="T198" s="36">
        <v>0.88</v>
      </c>
      <c r="U198" s="36">
        <v>0.7</v>
      </c>
      <c r="V198" s="42">
        <f t="shared" si="87"/>
        <v>1683</v>
      </c>
      <c r="W198" s="42">
        <f t="shared" si="88"/>
        <v>1533.3012239999998</v>
      </c>
      <c r="X198" s="42">
        <f t="shared" si="89"/>
        <v>0.9110524206773617</v>
      </c>
      <c r="Y198" s="59">
        <v>3</v>
      </c>
      <c r="Z198" s="59">
        <v>4</v>
      </c>
      <c r="AA198" s="65">
        <v>6</v>
      </c>
      <c r="AB198" s="59">
        <v>21</v>
      </c>
      <c r="AC198" s="65">
        <v>6.1</v>
      </c>
      <c r="AD198" s="65">
        <v>4</v>
      </c>
      <c r="AE198" s="38">
        <v>0.21</v>
      </c>
      <c r="AF198" s="38">
        <v>0.09</v>
      </c>
      <c r="AG198" s="42">
        <f t="shared" si="69"/>
        <v>1683</v>
      </c>
      <c r="AH198" s="42">
        <f t="shared" si="90"/>
        <v>1785.9247275999996</v>
      </c>
      <c r="AI198" s="42">
        <f t="shared" si="91"/>
        <v>1.0611555125371359</v>
      </c>
      <c r="AJ198" s="59">
        <v>3</v>
      </c>
      <c r="AK198" s="59">
        <v>4</v>
      </c>
      <c r="AL198" s="65">
        <v>6.3</v>
      </c>
      <c r="AM198" s="59">
        <v>23</v>
      </c>
      <c r="AN198" s="65">
        <v>6.1</v>
      </c>
      <c r="AO198" s="65">
        <v>4.4000000000000004</v>
      </c>
      <c r="AP198" s="38">
        <v>0.16</v>
      </c>
      <c r="AQ198" s="38">
        <v>0.15</v>
      </c>
      <c r="AR198" s="73">
        <f t="shared" si="70"/>
        <v>2235</v>
      </c>
      <c r="AS198" s="75">
        <f t="shared" si="71"/>
        <v>0.12975391498881431</v>
      </c>
      <c r="AT198" s="75">
        <f t="shared" si="72"/>
        <v>0.78076062639821031</v>
      </c>
      <c r="AU198" s="75">
        <f t="shared" si="73"/>
        <v>8.9485458612975396E-2</v>
      </c>
      <c r="AV198" s="26">
        <f t="shared" si="74"/>
        <v>7.636363636363637E-2</v>
      </c>
      <c r="AW198" s="26">
        <f t="shared" si="75"/>
        <v>8.3636363636363634E-2</v>
      </c>
      <c r="AX198" s="24">
        <f t="shared" si="76"/>
        <v>0.88188976377952755</v>
      </c>
      <c r="AY198" s="24">
        <f t="shared" si="77"/>
        <v>0.92913385826771655</v>
      </c>
      <c r="AZ198" s="77" t="str">
        <f t="shared" si="78"/>
        <v>5,0 ≤ Alc. Bruta &lt; 7,5 mg/L</v>
      </c>
      <c r="BA198" s="77" t="str">
        <f t="shared" si="79"/>
        <v>5 ≤ Cor &lt; 10 uC</v>
      </c>
      <c r="BB198" s="78" t="str">
        <f t="shared" si="80"/>
        <v>Turbidez &lt; 2,5 uT</v>
      </c>
      <c r="BC198" s="79" t="str">
        <f t="shared" si="81"/>
        <v>SM &gt; TOR &gt; BNN</v>
      </c>
      <c r="BD198" s="78" t="str">
        <f t="shared" si="82"/>
        <v>Tipo 1 (≤0,25) uT</v>
      </c>
      <c r="BE198" s="78" t="str">
        <f t="shared" si="83"/>
        <v>Tipo 1 (≤0,25) uT</v>
      </c>
      <c r="BF198" s="78" t="str">
        <f t="shared" si="84"/>
        <v>Tipo 1 (≤0,25) uT</v>
      </c>
      <c r="BG198" s="78" t="str">
        <f t="shared" si="85"/>
        <v>Tipo 1 (≤0,25) uT</v>
      </c>
      <c r="BH198" s="78" t="str">
        <f t="shared" si="86"/>
        <v>Tipo 1 (≤0,25) uT</v>
      </c>
    </row>
    <row r="199" spans="1:60" ht="15.75" thickBot="1" x14ac:dyDescent="0.25">
      <c r="A199" s="31">
        <v>46280</v>
      </c>
      <c r="B199" s="80">
        <v>0.39583333333333331</v>
      </c>
      <c r="C199" s="57">
        <v>281</v>
      </c>
      <c r="D199" s="57">
        <v>1717</v>
      </c>
      <c r="E199" s="57">
        <v>200</v>
      </c>
      <c r="F199" s="57">
        <v>2188</v>
      </c>
      <c r="G199" s="85" t="s">
        <v>78</v>
      </c>
      <c r="H199" s="63">
        <v>9.5</v>
      </c>
      <c r="I199" s="57">
        <v>-3.94</v>
      </c>
      <c r="J199" s="57">
        <v>90</v>
      </c>
      <c r="K199" s="57">
        <v>90</v>
      </c>
      <c r="L199" s="57">
        <v>90</v>
      </c>
      <c r="M199" s="57">
        <v>24.8</v>
      </c>
      <c r="N199" s="63">
        <v>6.4</v>
      </c>
      <c r="O199" s="36">
        <v>1.31</v>
      </c>
      <c r="P199" s="57">
        <v>10</v>
      </c>
      <c r="Q199" s="63">
        <v>5.6</v>
      </c>
      <c r="R199" s="36">
        <v>0.08</v>
      </c>
      <c r="S199" s="36">
        <v>22.36</v>
      </c>
      <c r="T199" s="36">
        <v>0.88</v>
      </c>
      <c r="U199" s="36">
        <v>0.7</v>
      </c>
      <c r="V199" s="42">
        <f t="shared" si="87"/>
        <v>1684.76</v>
      </c>
      <c r="W199" s="42">
        <f t="shared" si="88"/>
        <v>1460.2868799999999</v>
      </c>
      <c r="X199" s="42">
        <f t="shared" si="89"/>
        <v>0.86676255371684985</v>
      </c>
      <c r="Y199" s="57">
        <v>3</v>
      </c>
      <c r="Z199" s="57">
        <v>4</v>
      </c>
      <c r="AA199" s="63">
        <v>6</v>
      </c>
      <c r="AB199" s="57">
        <v>20</v>
      </c>
      <c r="AC199" s="63">
        <v>6.1</v>
      </c>
      <c r="AD199" s="63">
        <v>3.6</v>
      </c>
      <c r="AE199" s="36">
        <v>0.21</v>
      </c>
      <c r="AF199" s="36">
        <v>0.09</v>
      </c>
      <c r="AG199" s="42">
        <f t="shared" si="69"/>
        <v>1684.76</v>
      </c>
      <c r="AH199" s="42">
        <f t="shared" si="90"/>
        <v>1708.2758263999997</v>
      </c>
      <c r="AI199" s="42">
        <f t="shared" si="91"/>
        <v>1.0139579681378947</v>
      </c>
      <c r="AJ199" s="57">
        <v>4</v>
      </c>
      <c r="AK199" s="57">
        <v>4</v>
      </c>
      <c r="AL199" s="63">
        <v>6.3</v>
      </c>
      <c r="AM199" s="57">
        <v>22</v>
      </c>
      <c r="AN199" s="63">
        <v>6.1</v>
      </c>
      <c r="AO199" s="63">
        <v>4.0999999999999996</v>
      </c>
      <c r="AP199" s="36">
        <v>0.18</v>
      </c>
      <c r="AQ199" s="36">
        <v>0.22</v>
      </c>
      <c r="AR199" s="73">
        <f t="shared" si="70"/>
        <v>2198</v>
      </c>
      <c r="AS199" s="75">
        <f t="shared" si="71"/>
        <v>0.12784349408553231</v>
      </c>
      <c r="AT199" s="75">
        <f t="shared" si="72"/>
        <v>0.78116469517743403</v>
      </c>
      <c r="AU199" s="75">
        <f t="shared" si="73"/>
        <v>9.0991810737033663E-2</v>
      </c>
      <c r="AV199" s="26">
        <f t="shared" si="74"/>
        <v>7.3126142595978064E-2</v>
      </c>
      <c r="AW199" s="26">
        <f t="shared" si="75"/>
        <v>8.0438756855575874E-2</v>
      </c>
      <c r="AX199" s="24">
        <f t="shared" si="76"/>
        <v>0.83206106870229002</v>
      </c>
      <c r="AY199" s="24">
        <f t="shared" si="77"/>
        <v>0.93129770992366412</v>
      </c>
      <c r="AZ199" s="77" t="str">
        <f t="shared" si="78"/>
        <v>5,0 ≤ Alc. Bruta &lt; 7,5 mg/L</v>
      </c>
      <c r="BA199" s="77" t="str">
        <f t="shared" si="79"/>
        <v>10 ≤ Cor &lt;15 uC</v>
      </c>
      <c r="BB199" s="78" t="str">
        <f t="shared" si="80"/>
        <v>Turbidez &lt; 2,5 uT</v>
      </c>
      <c r="BC199" s="79" t="str">
        <f t="shared" si="81"/>
        <v>SM &gt; TOR &gt; BNN</v>
      </c>
      <c r="BD199" s="78" t="str">
        <f t="shared" si="82"/>
        <v>Tipo 1 (≤0,25) uT</v>
      </c>
      <c r="BE199" s="78" t="str">
        <f t="shared" si="83"/>
        <v>Tipo 1 (≤0,25) uT</v>
      </c>
      <c r="BF199" s="78" t="str">
        <f t="shared" si="84"/>
        <v>Tipo 1 (≤0,25) uT</v>
      </c>
      <c r="BG199" s="78" t="str">
        <f t="shared" si="85"/>
        <v>Tipo 1 (≤0,25) uT</v>
      </c>
      <c r="BH199" s="78" t="str">
        <f t="shared" si="86"/>
        <v>Tipo 1 (≤0,25) uT</v>
      </c>
    </row>
    <row r="200" spans="1:60" x14ac:dyDescent="0.2">
      <c r="A200" s="31">
        <v>46280</v>
      </c>
      <c r="B200" s="82">
        <v>0.47916666666666702</v>
      </c>
      <c r="C200" s="57">
        <v>280</v>
      </c>
      <c r="D200" s="57">
        <v>1710</v>
      </c>
      <c r="E200" s="57">
        <v>199</v>
      </c>
      <c r="F200" s="57">
        <v>2172</v>
      </c>
      <c r="G200" s="85" t="s">
        <v>78</v>
      </c>
      <c r="H200" s="63">
        <v>9.5</v>
      </c>
      <c r="I200" s="57">
        <v>-11.74</v>
      </c>
      <c r="J200" s="57">
        <v>90</v>
      </c>
      <c r="K200" s="57">
        <v>90</v>
      </c>
      <c r="L200" s="57">
        <v>90</v>
      </c>
      <c r="M200" s="57">
        <v>25.2</v>
      </c>
      <c r="N200" s="63">
        <v>6.4</v>
      </c>
      <c r="O200" s="36">
        <v>1.1399999999999999</v>
      </c>
      <c r="P200" s="57">
        <v>9</v>
      </c>
      <c r="Q200" s="63">
        <v>6</v>
      </c>
      <c r="R200" s="36">
        <v>0.1</v>
      </c>
      <c r="S200" s="36">
        <v>22.36</v>
      </c>
      <c r="T200" s="36">
        <v>0.88</v>
      </c>
      <c r="U200" s="36">
        <v>0.7</v>
      </c>
      <c r="V200" s="42">
        <f t="shared" si="87"/>
        <v>1626.2850000000001</v>
      </c>
      <c r="W200" s="42">
        <f t="shared" si="88"/>
        <v>1533.3012239999998</v>
      </c>
      <c r="X200" s="42">
        <f t="shared" si="89"/>
        <v>0.94282442745275263</v>
      </c>
      <c r="Y200" s="57">
        <v>3</v>
      </c>
      <c r="Z200" s="57">
        <v>4</v>
      </c>
      <c r="AA200" s="63">
        <v>6</v>
      </c>
      <c r="AB200" s="57">
        <v>21</v>
      </c>
      <c r="AC200" s="63">
        <v>6</v>
      </c>
      <c r="AD200" s="63">
        <v>3.9</v>
      </c>
      <c r="AE200" s="36">
        <v>0.19</v>
      </c>
      <c r="AF200" s="36">
        <v>0.11</v>
      </c>
      <c r="AG200" s="42">
        <f t="shared" si="69"/>
        <v>1626.2850000000001</v>
      </c>
      <c r="AH200" s="42">
        <f t="shared" si="90"/>
        <v>1708.2758263999997</v>
      </c>
      <c r="AI200" s="42">
        <f t="shared" si="91"/>
        <v>1.0504160257273476</v>
      </c>
      <c r="AJ200" s="57">
        <v>4</v>
      </c>
      <c r="AK200" s="57">
        <v>4</v>
      </c>
      <c r="AL200" s="63">
        <v>6.3</v>
      </c>
      <c r="AM200" s="57">
        <v>22</v>
      </c>
      <c r="AN200" s="63">
        <v>5.9</v>
      </c>
      <c r="AO200" s="63">
        <v>4</v>
      </c>
      <c r="AP200" s="36">
        <v>0.19</v>
      </c>
      <c r="AQ200" s="36">
        <v>0.19</v>
      </c>
      <c r="AR200" s="73">
        <f t="shared" si="70"/>
        <v>2189</v>
      </c>
      <c r="AS200" s="75">
        <f t="shared" si="71"/>
        <v>0.12791228871630883</v>
      </c>
      <c r="AT200" s="75">
        <f t="shared" si="72"/>
        <v>0.78117862037460029</v>
      </c>
      <c r="AU200" s="75">
        <f t="shared" si="73"/>
        <v>9.0909090909090912E-2</v>
      </c>
      <c r="AV200" s="26">
        <f t="shared" si="74"/>
        <v>7.7348066298342538E-2</v>
      </c>
      <c r="AW200" s="26">
        <f t="shared" si="75"/>
        <v>8.1031307550644568E-2</v>
      </c>
      <c r="AX200" s="24">
        <f t="shared" si="76"/>
        <v>0.83333333333333326</v>
      </c>
      <c r="AY200" s="24">
        <f t="shared" si="77"/>
        <v>0.90350877192982459</v>
      </c>
      <c r="AZ200" s="77" t="str">
        <f t="shared" si="78"/>
        <v>5,0 ≤ Alc. Bruta &lt; 7,5 mg/L</v>
      </c>
      <c r="BA200" s="77" t="str">
        <f t="shared" si="79"/>
        <v>5 ≤ Cor &lt; 10 uC</v>
      </c>
      <c r="BB200" s="78" t="str">
        <f t="shared" si="80"/>
        <v>Turbidez &lt; 2,5 uT</v>
      </c>
      <c r="BC200" s="79" t="str">
        <f t="shared" si="81"/>
        <v>SM &gt; TOR &gt; BNN</v>
      </c>
      <c r="BD200" s="78" t="str">
        <f t="shared" si="82"/>
        <v>Tipo 1 (≤0,25) uT</v>
      </c>
      <c r="BE200" s="78" t="str">
        <f t="shared" si="83"/>
        <v>Tipo 1 (≤0,25) uT</v>
      </c>
      <c r="BF200" s="78" t="str">
        <f t="shared" si="84"/>
        <v>Tipo 1 (≤0,25) uT</v>
      </c>
      <c r="BG200" s="78" t="str">
        <f t="shared" si="85"/>
        <v>Tipo 1 (≤0,25) uT</v>
      </c>
      <c r="BH200" s="78" t="str">
        <f t="shared" si="86"/>
        <v>Tipo 1 (≤0,25) uT</v>
      </c>
    </row>
    <row r="201" spans="1:60" x14ac:dyDescent="0.2">
      <c r="A201" s="31">
        <v>46280</v>
      </c>
      <c r="B201" s="80">
        <v>0.64583333333333337</v>
      </c>
      <c r="C201" s="57">
        <v>287</v>
      </c>
      <c r="D201" s="57">
        <v>1780</v>
      </c>
      <c r="E201" s="57">
        <v>200</v>
      </c>
      <c r="F201" s="57">
        <v>2262</v>
      </c>
      <c r="G201" s="85" t="s">
        <v>78</v>
      </c>
      <c r="H201" s="63">
        <v>9.5</v>
      </c>
      <c r="I201" s="57">
        <v>-35</v>
      </c>
      <c r="J201" s="57">
        <v>90</v>
      </c>
      <c r="K201" s="57">
        <v>90</v>
      </c>
      <c r="L201" s="57">
        <v>90</v>
      </c>
      <c r="M201" s="57">
        <v>24.9</v>
      </c>
      <c r="N201" s="63">
        <v>6.4</v>
      </c>
      <c r="O201" s="36">
        <v>1.1499999999999999</v>
      </c>
      <c r="P201" s="57">
        <v>7</v>
      </c>
      <c r="Q201" s="63">
        <v>6.4</v>
      </c>
      <c r="R201" s="36">
        <v>0.1</v>
      </c>
      <c r="S201" s="36">
        <v>22.36</v>
      </c>
      <c r="T201" s="36">
        <v>0.88</v>
      </c>
      <c r="U201" s="36">
        <v>0.7</v>
      </c>
      <c r="V201" s="42">
        <f t="shared" si="87"/>
        <v>1696.5</v>
      </c>
      <c r="W201" s="42">
        <f t="shared" si="88"/>
        <v>1565.7431243999997</v>
      </c>
      <c r="X201" s="42">
        <f t="shared" si="89"/>
        <v>0.92292550804597684</v>
      </c>
      <c r="Y201" s="57">
        <v>3</v>
      </c>
      <c r="Z201" s="57">
        <v>4</v>
      </c>
      <c r="AA201" s="63">
        <v>6.1</v>
      </c>
      <c r="AB201" s="57">
        <v>21</v>
      </c>
      <c r="AC201" s="63">
        <v>6.1</v>
      </c>
      <c r="AD201" s="63">
        <v>5</v>
      </c>
      <c r="AE201" s="36">
        <v>0.21</v>
      </c>
      <c r="AF201" s="36">
        <v>0.1</v>
      </c>
      <c r="AG201" s="42">
        <f t="shared" si="69"/>
        <v>1696.5</v>
      </c>
      <c r="AH201" s="42">
        <f t="shared" si="90"/>
        <v>1708.2758263999997</v>
      </c>
      <c r="AI201" s="42">
        <f t="shared" si="91"/>
        <v>1.0069412475095783</v>
      </c>
      <c r="AJ201" s="57">
        <v>3</v>
      </c>
      <c r="AK201" s="57">
        <v>4</v>
      </c>
      <c r="AL201" s="63">
        <v>6.3</v>
      </c>
      <c r="AM201" s="57">
        <v>22</v>
      </c>
      <c r="AN201" s="63">
        <v>5.9</v>
      </c>
      <c r="AO201" s="63">
        <v>4.3</v>
      </c>
      <c r="AP201" s="36">
        <v>0.17</v>
      </c>
      <c r="AQ201" s="36">
        <v>0.17</v>
      </c>
      <c r="AR201" s="73">
        <f t="shared" si="70"/>
        <v>2267</v>
      </c>
      <c r="AS201" s="75">
        <f t="shared" si="71"/>
        <v>0.12659902955447727</v>
      </c>
      <c r="AT201" s="75">
        <f t="shared" si="72"/>
        <v>0.78517865019850019</v>
      </c>
      <c r="AU201" s="75">
        <f t="shared" si="73"/>
        <v>8.8222320247022493E-2</v>
      </c>
      <c r="AV201" s="26">
        <f t="shared" si="74"/>
        <v>7.4270557029177717E-2</v>
      </c>
      <c r="AW201" s="26">
        <f t="shared" si="75"/>
        <v>7.7807250221043331E-2</v>
      </c>
      <c r="AX201" s="24">
        <f t="shared" si="76"/>
        <v>0.85217391304347823</v>
      </c>
      <c r="AY201" s="24">
        <f t="shared" si="77"/>
        <v>0.91304347826086951</v>
      </c>
      <c r="AZ201" s="77" t="str">
        <f t="shared" si="78"/>
        <v>5,0 ≤ Alc. Bruta &lt; 7,5 mg/L</v>
      </c>
      <c r="BA201" s="77" t="str">
        <f t="shared" si="79"/>
        <v>5 ≤ Cor &lt; 10 uC</v>
      </c>
      <c r="BB201" s="78" t="str">
        <f t="shared" si="80"/>
        <v>Turbidez &lt; 2,5 uT</v>
      </c>
      <c r="BC201" s="79" t="str">
        <f t="shared" si="81"/>
        <v>SM &gt; TOR &gt; BNN</v>
      </c>
      <c r="BD201" s="78" t="str">
        <f t="shared" si="82"/>
        <v>Tipo 1 (≤0,25) uT</v>
      </c>
      <c r="BE201" s="78" t="str">
        <f t="shared" si="83"/>
        <v>Tipo 1 (≤0,25) uT</v>
      </c>
      <c r="BF201" s="78" t="str">
        <f t="shared" si="84"/>
        <v>Tipo 1 (≤0,25) uT</v>
      </c>
      <c r="BG201" s="78" t="str">
        <f t="shared" si="85"/>
        <v>Tipo 1 (≤0,25) uT</v>
      </c>
      <c r="BH201" s="78" t="str">
        <f t="shared" si="86"/>
        <v>Tipo 1 (≤0,25) uT</v>
      </c>
    </row>
    <row r="202" spans="1:60" x14ac:dyDescent="0.2">
      <c r="A202" s="31">
        <v>46280</v>
      </c>
      <c r="B202" s="80">
        <v>0.72916666666666663</v>
      </c>
      <c r="C202" s="57">
        <v>291</v>
      </c>
      <c r="D202" s="57">
        <v>1733</v>
      </c>
      <c r="E202" s="57">
        <v>200</v>
      </c>
      <c r="F202" s="57">
        <v>2214</v>
      </c>
      <c r="G202" s="85" t="s">
        <v>78</v>
      </c>
      <c r="H202" s="63">
        <v>9.5</v>
      </c>
      <c r="I202" s="57">
        <v>-37</v>
      </c>
      <c r="J202" s="57">
        <v>90</v>
      </c>
      <c r="K202" s="57">
        <v>90</v>
      </c>
      <c r="L202" s="57">
        <v>90</v>
      </c>
      <c r="M202" s="57">
        <v>24.6</v>
      </c>
      <c r="N202" s="63">
        <v>6.4</v>
      </c>
      <c r="O202" s="36">
        <v>1.1100000000000001</v>
      </c>
      <c r="P202" s="57">
        <v>7</v>
      </c>
      <c r="Q202" s="63">
        <v>6.4</v>
      </c>
      <c r="R202" s="36">
        <v>0.14000000000000001</v>
      </c>
      <c r="S202" s="36">
        <v>22.36</v>
      </c>
      <c r="T202" s="36">
        <v>0.88</v>
      </c>
      <c r="U202" s="36">
        <v>0.7</v>
      </c>
      <c r="V202" s="42">
        <f t="shared" si="87"/>
        <v>1649.43</v>
      </c>
      <c r="W202" s="42">
        <f t="shared" si="88"/>
        <v>1460.2868799999999</v>
      </c>
      <c r="X202" s="42">
        <f t="shared" si="89"/>
        <v>0.88532819216335334</v>
      </c>
      <c r="Y202" s="57">
        <v>3</v>
      </c>
      <c r="Z202" s="57">
        <v>4</v>
      </c>
      <c r="AA202" s="63">
        <v>6</v>
      </c>
      <c r="AB202" s="57">
        <v>20</v>
      </c>
      <c r="AC202" s="63">
        <v>6.1</v>
      </c>
      <c r="AD202" s="63">
        <v>4.0999999999999996</v>
      </c>
      <c r="AE202" s="36">
        <v>0.18</v>
      </c>
      <c r="AF202" s="36">
        <v>0.15</v>
      </c>
      <c r="AG202" s="42">
        <f t="shared" si="69"/>
        <v>1649.43</v>
      </c>
      <c r="AH202" s="42">
        <f t="shared" si="90"/>
        <v>1708.2758263999997</v>
      </c>
      <c r="AI202" s="42">
        <f t="shared" si="91"/>
        <v>1.0356764618080183</v>
      </c>
      <c r="AJ202" s="57">
        <v>3</v>
      </c>
      <c r="AK202" s="57">
        <v>4</v>
      </c>
      <c r="AL202" s="63">
        <v>6.3</v>
      </c>
      <c r="AM202" s="57">
        <v>22</v>
      </c>
      <c r="AN202" s="63">
        <v>5.9</v>
      </c>
      <c r="AO202" s="63">
        <v>4.5999999999999996</v>
      </c>
      <c r="AP202" s="36">
        <v>0.19</v>
      </c>
      <c r="AQ202" s="36">
        <v>0.21</v>
      </c>
      <c r="AR202" s="73">
        <f t="shared" si="70"/>
        <v>2224</v>
      </c>
      <c r="AS202" s="75">
        <f t="shared" si="71"/>
        <v>0.13084532374100719</v>
      </c>
      <c r="AT202" s="75">
        <f t="shared" si="72"/>
        <v>0.77922661870503596</v>
      </c>
      <c r="AU202" s="75">
        <f t="shared" si="73"/>
        <v>8.9928057553956831E-2</v>
      </c>
      <c r="AV202" s="26">
        <f t="shared" si="74"/>
        <v>7.2267389340560068E-2</v>
      </c>
      <c r="AW202" s="26">
        <f t="shared" si="75"/>
        <v>7.9494128274616077E-2</v>
      </c>
      <c r="AX202" s="24">
        <f t="shared" si="76"/>
        <v>0.81081081081081086</v>
      </c>
      <c r="AY202" s="24">
        <f t="shared" si="77"/>
        <v>0.86486486486486491</v>
      </c>
      <c r="AZ202" s="77" t="str">
        <f t="shared" si="78"/>
        <v>5,0 ≤ Alc. Bruta &lt; 7,5 mg/L</v>
      </c>
      <c r="BA202" s="77" t="str">
        <f t="shared" si="79"/>
        <v>5 ≤ Cor &lt; 10 uC</v>
      </c>
      <c r="BB202" s="78" t="str">
        <f t="shared" si="80"/>
        <v>Turbidez &lt; 2,5 uT</v>
      </c>
      <c r="BC202" s="79" t="str">
        <f t="shared" si="81"/>
        <v>SM &gt; TOR &gt; BNN</v>
      </c>
      <c r="BD202" s="78" t="str">
        <f t="shared" si="82"/>
        <v>Tipo 1 (≤0,25) uT</v>
      </c>
      <c r="BE202" s="78" t="str">
        <f t="shared" si="83"/>
        <v>Tipo 1 (≤0,25) uT</v>
      </c>
      <c r="BF202" s="78" t="str">
        <f t="shared" si="84"/>
        <v>Tipo 1 (≤0,25) uT</v>
      </c>
      <c r="BG202" s="78" t="str">
        <f t="shared" si="85"/>
        <v>Tipo 1 (≤0,25) uT</v>
      </c>
      <c r="BH202" s="78" t="str">
        <f t="shared" si="86"/>
        <v>Tipo 1 (≤0,25) uT</v>
      </c>
    </row>
    <row r="203" spans="1:60" x14ac:dyDescent="0.2">
      <c r="A203" s="31">
        <v>46280</v>
      </c>
      <c r="B203" s="80">
        <v>0.8125</v>
      </c>
      <c r="C203" s="57">
        <v>397</v>
      </c>
      <c r="D203" s="57">
        <v>1630</v>
      </c>
      <c r="E203" s="57">
        <v>200</v>
      </c>
      <c r="F203" s="57">
        <v>2215</v>
      </c>
      <c r="G203" s="85" t="s">
        <v>78</v>
      </c>
      <c r="H203" s="63">
        <v>9.5</v>
      </c>
      <c r="I203" s="57">
        <v>-38</v>
      </c>
      <c r="J203" s="57">
        <v>90</v>
      </c>
      <c r="K203" s="57">
        <v>90</v>
      </c>
      <c r="L203" s="57">
        <v>90</v>
      </c>
      <c r="M203" s="57">
        <v>25</v>
      </c>
      <c r="N203" s="63">
        <v>6.5</v>
      </c>
      <c r="O203" s="36">
        <v>1.51</v>
      </c>
      <c r="P203" s="57">
        <v>9</v>
      </c>
      <c r="Q203" s="63">
        <v>6.2</v>
      </c>
      <c r="R203" s="36">
        <v>0.13</v>
      </c>
      <c r="S203" s="36">
        <v>22.36</v>
      </c>
      <c r="T203" s="36">
        <v>0.88</v>
      </c>
      <c r="U203" s="36">
        <v>0.7</v>
      </c>
      <c r="V203" s="42">
        <f t="shared" si="87"/>
        <v>1760.9250000000002</v>
      </c>
      <c r="W203" s="42">
        <f t="shared" si="88"/>
        <v>1565.7431243999997</v>
      </c>
      <c r="X203" s="42">
        <f t="shared" si="89"/>
        <v>0.88915946130584755</v>
      </c>
      <c r="Y203" s="57">
        <v>4</v>
      </c>
      <c r="Z203" s="57">
        <v>4</v>
      </c>
      <c r="AA203" s="63">
        <v>6.1</v>
      </c>
      <c r="AB203" s="57">
        <v>21</v>
      </c>
      <c r="AC203" s="63">
        <v>6</v>
      </c>
      <c r="AD203" s="63">
        <v>4.4000000000000004</v>
      </c>
      <c r="AE203" s="36">
        <v>0.17</v>
      </c>
      <c r="AF203" s="36">
        <v>0.13</v>
      </c>
      <c r="AG203" s="42">
        <f t="shared" si="69"/>
        <v>1760.9250000000002</v>
      </c>
      <c r="AH203" s="42">
        <f t="shared" si="90"/>
        <v>1785.9247275999996</v>
      </c>
      <c r="AI203" s="42">
        <f t="shared" si="91"/>
        <v>1.0141969292275363</v>
      </c>
      <c r="AJ203" s="57">
        <v>3</v>
      </c>
      <c r="AK203" s="57">
        <v>4</v>
      </c>
      <c r="AL203" s="63">
        <v>6.3</v>
      </c>
      <c r="AM203" s="57">
        <v>23</v>
      </c>
      <c r="AN203" s="63">
        <v>6.1</v>
      </c>
      <c r="AO203" s="63">
        <v>4.3</v>
      </c>
      <c r="AP203" s="36">
        <v>0.21</v>
      </c>
      <c r="AQ203" s="36">
        <v>0.18</v>
      </c>
      <c r="AR203" s="73">
        <f t="shared" si="70"/>
        <v>2227</v>
      </c>
      <c r="AS203" s="75">
        <f t="shared" si="71"/>
        <v>0.17826672653794343</v>
      </c>
      <c r="AT203" s="75">
        <f t="shared" si="72"/>
        <v>0.73192635832959141</v>
      </c>
      <c r="AU203" s="75">
        <f t="shared" si="73"/>
        <v>8.9806915132465207E-2</v>
      </c>
      <c r="AV203" s="26">
        <f t="shared" si="74"/>
        <v>7.584650112866817E-2</v>
      </c>
      <c r="AW203" s="26">
        <f t="shared" si="75"/>
        <v>8.3069977426636563E-2</v>
      </c>
      <c r="AX203" s="24">
        <f t="shared" si="76"/>
        <v>0.88079470198675502</v>
      </c>
      <c r="AY203" s="24">
        <f t="shared" si="77"/>
        <v>0.91390728476821192</v>
      </c>
      <c r="AZ203" s="77" t="str">
        <f t="shared" si="78"/>
        <v>5,0 ≤ Alc. Bruta &lt; 7,5 mg/L</v>
      </c>
      <c r="BA203" s="77" t="str">
        <f t="shared" si="79"/>
        <v>5 ≤ Cor &lt; 10 uC</v>
      </c>
      <c r="BB203" s="78" t="str">
        <f t="shared" si="80"/>
        <v>Turbidez &lt; 2,5 uT</v>
      </c>
      <c r="BC203" s="79" t="str">
        <f t="shared" si="81"/>
        <v>SM &gt; TOR &gt; BNN</v>
      </c>
      <c r="BD203" s="78" t="str">
        <f t="shared" si="82"/>
        <v>Tipo 1 (≤0,25) uT</v>
      </c>
      <c r="BE203" s="78" t="str">
        <f t="shared" si="83"/>
        <v>Tipo 1 (≤0,25) uT</v>
      </c>
      <c r="BF203" s="78" t="str">
        <f t="shared" si="84"/>
        <v>Tipo 1 (≤0,25) uT</v>
      </c>
      <c r="BG203" s="78" t="str">
        <f t="shared" si="85"/>
        <v>Tipo 1 (≤0,25) uT</v>
      </c>
      <c r="BH203" s="78" t="str">
        <f t="shared" si="86"/>
        <v>Tipo 1 (≤0,25) uT</v>
      </c>
    </row>
    <row r="204" spans="1:60" x14ac:dyDescent="0.2">
      <c r="A204" s="31">
        <v>46280</v>
      </c>
      <c r="B204" s="80">
        <v>0.89583333333333337</v>
      </c>
      <c r="C204" s="57">
        <v>385</v>
      </c>
      <c r="D204" s="57">
        <v>1610</v>
      </c>
      <c r="E204" s="57">
        <v>200</v>
      </c>
      <c r="F204" s="57">
        <v>2240</v>
      </c>
      <c r="G204" s="85" t="s">
        <v>78</v>
      </c>
      <c r="H204" s="63">
        <v>9.5</v>
      </c>
      <c r="I204" s="57">
        <v>30</v>
      </c>
      <c r="J204" s="57">
        <v>90</v>
      </c>
      <c r="K204" s="57">
        <v>90</v>
      </c>
      <c r="L204" s="57">
        <v>90</v>
      </c>
      <c r="M204" s="57">
        <v>24.9</v>
      </c>
      <c r="N204" s="63">
        <v>6.5</v>
      </c>
      <c r="O204" s="36">
        <v>2.4500000000000002</v>
      </c>
      <c r="P204" s="57">
        <v>9</v>
      </c>
      <c r="Q204" s="63">
        <v>6.1</v>
      </c>
      <c r="R204" s="36">
        <v>0.12</v>
      </c>
      <c r="S204" s="36">
        <v>22.36</v>
      </c>
      <c r="T204" s="36">
        <v>0.88</v>
      </c>
      <c r="U204" s="36">
        <v>0.7</v>
      </c>
      <c r="V204" s="42">
        <f t="shared" si="87"/>
        <v>2044.0000000000002</v>
      </c>
      <c r="W204" s="42">
        <f t="shared" si="88"/>
        <v>1522.080976</v>
      </c>
      <c r="X204" s="42">
        <f t="shared" si="89"/>
        <v>0.74465801174168289</v>
      </c>
      <c r="Y204" s="57">
        <v>3</v>
      </c>
      <c r="Z204" s="57">
        <v>4</v>
      </c>
      <c r="AA204" s="63">
        <v>6.2</v>
      </c>
      <c r="AB204" s="57">
        <v>20</v>
      </c>
      <c r="AC204" s="63">
        <v>6.1</v>
      </c>
      <c r="AD204" s="63">
        <v>4.5999999999999996</v>
      </c>
      <c r="AE204" s="36">
        <v>0.16</v>
      </c>
      <c r="AF204" s="36">
        <v>0.14000000000000001</v>
      </c>
      <c r="AG204" s="42">
        <f t="shared" si="69"/>
        <v>2044.0000000000002</v>
      </c>
      <c r="AH204" s="42">
        <f t="shared" si="90"/>
        <v>1674.2890735999999</v>
      </c>
      <c r="AI204" s="42">
        <f t="shared" si="91"/>
        <v>0.81912381291585112</v>
      </c>
      <c r="AJ204" s="57">
        <v>4</v>
      </c>
      <c r="AK204" s="57">
        <v>4</v>
      </c>
      <c r="AL204" s="63">
        <v>6.2</v>
      </c>
      <c r="AM204" s="57">
        <v>22</v>
      </c>
      <c r="AN204" s="63">
        <v>6.2</v>
      </c>
      <c r="AO204" s="63">
        <v>4.5</v>
      </c>
      <c r="AP204" s="36">
        <v>0.2</v>
      </c>
      <c r="AQ204" s="36">
        <v>0.19</v>
      </c>
      <c r="AR204" s="73">
        <f t="shared" si="70"/>
        <v>2195</v>
      </c>
      <c r="AS204" s="75">
        <f t="shared" si="71"/>
        <v>0.17539863325740318</v>
      </c>
      <c r="AT204" s="75">
        <f t="shared" si="72"/>
        <v>0.73348519362186793</v>
      </c>
      <c r="AU204" s="75">
        <f t="shared" si="73"/>
        <v>9.1116173120728935E-2</v>
      </c>
      <c r="AV204" s="26">
        <f t="shared" si="74"/>
        <v>7.1428571428571425E-2</v>
      </c>
      <c r="AW204" s="26">
        <f t="shared" si="75"/>
        <v>7.857142857142857E-2</v>
      </c>
      <c r="AX204" s="24">
        <f t="shared" si="76"/>
        <v>0.92244897959183669</v>
      </c>
      <c r="AY204" s="24">
        <f t="shared" si="77"/>
        <v>0.94285714285714284</v>
      </c>
      <c r="AZ204" s="77" t="str">
        <f t="shared" si="78"/>
        <v>5,0 ≤ Alc. Bruta &lt; 7,5 mg/L</v>
      </c>
      <c r="BA204" s="77" t="str">
        <f t="shared" si="79"/>
        <v>5 ≤ Cor &lt; 10 uC</v>
      </c>
      <c r="BB204" s="78" t="str">
        <f t="shared" si="80"/>
        <v>Turbidez &lt; 2,5 uT</v>
      </c>
      <c r="BC204" s="79" t="str">
        <f t="shared" si="81"/>
        <v>SM &gt; TOR &gt; BNN</v>
      </c>
      <c r="BD204" s="78" t="str">
        <f t="shared" si="82"/>
        <v>Tipo 1 (≤0,25) uT</v>
      </c>
      <c r="BE204" s="78" t="str">
        <f t="shared" si="83"/>
        <v>Tipo 1 (≤0,25) uT</v>
      </c>
      <c r="BF204" s="78" t="str">
        <f t="shared" si="84"/>
        <v>Tipo 1 (≤0,25) uT</v>
      </c>
      <c r="BG204" s="78" t="str">
        <f t="shared" si="85"/>
        <v>Tipo 1 (≤0,25) uT</v>
      </c>
      <c r="BH204" s="78" t="str">
        <f t="shared" si="86"/>
        <v>Tipo 1 (≤0,25) uT</v>
      </c>
    </row>
    <row r="205" spans="1:60" x14ac:dyDescent="0.2">
      <c r="A205" s="31">
        <v>46280</v>
      </c>
      <c r="B205" s="80">
        <v>0.97916666666666663</v>
      </c>
      <c r="C205" s="57">
        <v>560</v>
      </c>
      <c r="D205" s="57">
        <v>1494</v>
      </c>
      <c r="E205" s="57">
        <v>200</v>
      </c>
      <c r="F205" s="57">
        <v>2233</v>
      </c>
      <c r="G205" s="85" t="s">
        <v>78</v>
      </c>
      <c r="H205" s="63">
        <v>9.5</v>
      </c>
      <c r="I205" s="57">
        <v>-32</v>
      </c>
      <c r="J205" s="57">
        <v>90</v>
      </c>
      <c r="K205" s="57">
        <v>90</v>
      </c>
      <c r="L205" s="57">
        <v>90</v>
      </c>
      <c r="M205" s="57">
        <v>24.8</v>
      </c>
      <c r="N205" s="63">
        <v>6.4</v>
      </c>
      <c r="O205" s="36">
        <v>2.2400000000000002</v>
      </c>
      <c r="P205" s="57">
        <v>8</v>
      </c>
      <c r="Q205" s="63">
        <v>6.3</v>
      </c>
      <c r="R205" s="36">
        <v>0.11</v>
      </c>
      <c r="S205" s="36">
        <v>22.36</v>
      </c>
      <c r="T205" s="36">
        <v>0.88</v>
      </c>
      <c r="U205" s="36">
        <v>0.7</v>
      </c>
      <c r="V205" s="42">
        <f t="shared" si="87"/>
        <v>1978.9962499999999</v>
      </c>
      <c r="W205" s="42">
        <f t="shared" si="88"/>
        <v>1522.080976</v>
      </c>
      <c r="X205" s="42">
        <f t="shared" si="89"/>
        <v>0.76911766558425765</v>
      </c>
      <c r="Y205" s="57">
        <v>3</v>
      </c>
      <c r="Z205" s="57">
        <v>4</v>
      </c>
      <c r="AA205" s="63">
        <v>6.2</v>
      </c>
      <c r="AB205" s="57">
        <v>20</v>
      </c>
      <c r="AC205" s="63">
        <v>6.1</v>
      </c>
      <c r="AD205" s="63">
        <v>4.5</v>
      </c>
      <c r="AE205" s="36">
        <v>0.16</v>
      </c>
      <c r="AF205" s="36">
        <v>0.12</v>
      </c>
      <c r="AG205" s="42">
        <f t="shared" si="69"/>
        <v>1978.9962499999999</v>
      </c>
      <c r="AH205" s="42">
        <f t="shared" si="90"/>
        <v>1785.9247275999996</v>
      </c>
      <c r="AI205" s="42">
        <f t="shared" si="91"/>
        <v>0.90243967243495271</v>
      </c>
      <c r="AJ205" s="57">
        <v>3</v>
      </c>
      <c r="AK205" s="57">
        <v>4</v>
      </c>
      <c r="AL205" s="63">
        <v>6.3</v>
      </c>
      <c r="AM205" s="57">
        <v>23</v>
      </c>
      <c r="AN205" s="63">
        <v>6</v>
      </c>
      <c r="AO205" s="63">
        <v>4.3</v>
      </c>
      <c r="AP205" s="36">
        <v>0.15</v>
      </c>
      <c r="AQ205" s="36">
        <v>0.19</v>
      </c>
      <c r="AR205" s="73">
        <f t="shared" si="70"/>
        <v>2254</v>
      </c>
      <c r="AS205" s="75">
        <f t="shared" si="71"/>
        <v>0.2484472049689441</v>
      </c>
      <c r="AT205" s="75">
        <f t="shared" si="72"/>
        <v>0.6628216503992902</v>
      </c>
      <c r="AU205" s="75">
        <f t="shared" si="73"/>
        <v>8.8731144631765749E-2</v>
      </c>
      <c r="AV205" s="26">
        <f t="shared" si="74"/>
        <v>7.1652485445588887E-2</v>
      </c>
      <c r="AW205" s="26">
        <f t="shared" si="75"/>
        <v>8.2400358262427226E-2</v>
      </c>
      <c r="AX205" s="24">
        <f t="shared" si="76"/>
        <v>0.9151785714285714</v>
      </c>
      <c r="AY205" s="24">
        <f t="shared" si="77"/>
        <v>0.9464285714285714</v>
      </c>
      <c r="AZ205" s="77" t="str">
        <f t="shared" si="78"/>
        <v>5,0 ≤ Alc. Bruta &lt; 7,5 mg/L</v>
      </c>
      <c r="BA205" s="77" t="str">
        <f t="shared" si="79"/>
        <v>5 ≤ Cor &lt; 10 uC</v>
      </c>
      <c r="BB205" s="78" t="str">
        <f t="shared" si="80"/>
        <v>Turbidez &lt; 2,5 uT</v>
      </c>
      <c r="BC205" s="79" t="str">
        <f t="shared" si="81"/>
        <v>SM &gt; TOR &gt; BNN</v>
      </c>
      <c r="BD205" s="78" t="str">
        <f t="shared" si="82"/>
        <v>Tipo 1 (≤0,25) uT</v>
      </c>
      <c r="BE205" s="78" t="str">
        <f t="shared" si="83"/>
        <v>Tipo 1 (≤0,25) uT</v>
      </c>
      <c r="BF205" s="78" t="str">
        <f t="shared" si="84"/>
        <v>Tipo 1 (≤0,25) uT</v>
      </c>
      <c r="BG205" s="78" t="str">
        <f t="shared" si="85"/>
        <v>Tipo 1 (≤0,25) uT</v>
      </c>
      <c r="BH205" s="78" t="str">
        <f t="shared" si="86"/>
        <v>Tipo 1 (≤0,25) uT</v>
      </c>
    </row>
    <row r="206" spans="1:60" x14ac:dyDescent="0.2">
      <c r="A206" s="31">
        <v>46281</v>
      </c>
      <c r="B206" s="80">
        <v>0.14583333333333334</v>
      </c>
      <c r="C206" s="57">
        <v>394</v>
      </c>
      <c r="D206" s="57">
        <v>1605</v>
      </c>
      <c r="E206" s="57">
        <v>200</v>
      </c>
      <c r="F206" s="57">
        <v>2301</v>
      </c>
      <c r="G206" s="85" t="s">
        <v>78</v>
      </c>
      <c r="H206" s="63">
        <v>9.5</v>
      </c>
      <c r="I206" s="57">
        <v>7</v>
      </c>
      <c r="J206" s="57">
        <v>90</v>
      </c>
      <c r="K206" s="57">
        <v>90</v>
      </c>
      <c r="L206" s="57">
        <v>90</v>
      </c>
      <c r="M206" s="57">
        <v>24.8</v>
      </c>
      <c r="N206" s="63">
        <v>6.4</v>
      </c>
      <c r="O206" s="36">
        <v>1.37</v>
      </c>
      <c r="P206" s="57">
        <v>9</v>
      </c>
      <c r="Q206" s="63">
        <v>6.3</v>
      </c>
      <c r="R206" s="36">
        <v>0.1</v>
      </c>
      <c r="S206" s="36">
        <v>22.36</v>
      </c>
      <c r="T206" s="36">
        <v>0.88</v>
      </c>
      <c r="U206" s="36">
        <v>0.7</v>
      </c>
      <c r="V206" s="42">
        <f t="shared" si="87"/>
        <v>1789.0275000000001</v>
      </c>
      <c r="W206" s="42">
        <f t="shared" si="88"/>
        <v>1522.080976</v>
      </c>
      <c r="X206" s="42">
        <f t="shared" si="89"/>
        <v>0.85078679673733348</v>
      </c>
      <c r="Y206" s="57">
        <v>3</v>
      </c>
      <c r="Z206" s="57">
        <v>4</v>
      </c>
      <c r="AA206" s="63">
        <v>6.2</v>
      </c>
      <c r="AB206" s="57">
        <v>20</v>
      </c>
      <c r="AC206" s="63">
        <v>6</v>
      </c>
      <c r="AD206" s="63">
        <v>4.4000000000000004</v>
      </c>
      <c r="AE206" s="36">
        <v>0.14000000000000001</v>
      </c>
      <c r="AF206" s="36">
        <v>0.1</v>
      </c>
      <c r="AG206" s="42">
        <f t="shared" si="69"/>
        <v>1789.0275000000001</v>
      </c>
      <c r="AH206" s="42">
        <f t="shared" si="90"/>
        <v>1863.5736287999996</v>
      </c>
      <c r="AI206" s="42">
        <f t="shared" si="91"/>
        <v>1.0416685203553324</v>
      </c>
      <c r="AJ206" s="57">
        <v>3</v>
      </c>
      <c r="AK206" s="57">
        <v>4</v>
      </c>
      <c r="AL206" s="63">
        <v>6.3</v>
      </c>
      <c r="AM206" s="57">
        <v>24</v>
      </c>
      <c r="AN206" s="63">
        <v>6</v>
      </c>
      <c r="AO206" s="63">
        <v>4.2</v>
      </c>
      <c r="AP206" s="36">
        <v>0.21</v>
      </c>
      <c r="AQ206" s="36">
        <v>0.2</v>
      </c>
      <c r="AR206" s="73">
        <f t="shared" si="70"/>
        <v>2199</v>
      </c>
      <c r="AS206" s="75">
        <f t="shared" si="71"/>
        <v>0.17917235106866758</v>
      </c>
      <c r="AT206" s="75">
        <f t="shared" si="72"/>
        <v>0.72987721691678031</v>
      </c>
      <c r="AU206" s="75">
        <f t="shared" si="73"/>
        <v>9.0950432014552066E-2</v>
      </c>
      <c r="AV206" s="26">
        <f t="shared" si="74"/>
        <v>6.9534984789222071E-2</v>
      </c>
      <c r="AW206" s="26">
        <f t="shared" si="75"/>
        <v>8.344198174706649E-2</v>
      </c>
      <c r="AX206" s="24">
        <f t="shared" si="76"/>
        <v>0.85401459854014594</v>
      </c>
      <c r="AY206" s="24">
        <f t="shared" si="77"/>
        <v>0.92700729927007297</v>
      </c>
      <c r="AZ206" s="77" t="str">
        <f t="shared" si="78"/>
        <v>5,0 ≤ Alc. Bruta &lt; 7,5 mg/L</v>
      </c>
      <c r="BA206" s="77" t="str">
        <f t="shared" si="79"/>
        <v>5 ≤ Cor &lt; 10 uC</v>
      </c>
      <c r="BB206" s="78" t="str">
        <f t="shared" si="80"/>
        <v>Turbidez &lt; 2,5 uT</v>
      </c>
      <c r="BC206" s="79" t="str">
        <f t="shared" si="81"/>
        <v>SM &gt; TOR &gt; BNN</v>
      </c>
      <c r="BD206" s="78" t="str">
        <f t="shared" si="82"/>
        <v>Tipo 1 (≤0,25) uT</v>
      </c>
      <c r="BE206" s="78" t="str">
        <f t="shared" si="83"/>
        <v>Tipo 1 (≤0,25) uT</v>
      </c>
      <c r="BF206" s="78" t="str">
        <f t="shared" si="84"/>
        <v>Tipo 1 (≤0,25) uT</v>
      </c>
      <c r="BG206" s="78" t="str">
        <f t="shared" si="85"/>
        <v>Tipo 1 (≤0,25) uT</v>
      </c>
      <c r="BH206" s="78" t="str">
        <f t="shared" si="86"/>
        <v>Tipo 1 (≤0,25) uT</v>
      </c>
    </row>
    <row r="207" spans="1:60" ht="15.75" thickBot="1" x14ac:dyDescent="0.25">
      <c r="A207" s="32">
        <v>46281</v>
      </c>
      <c r="B207" s="81">
        <v>0.22916666666666666</v>
      </c>
      <c r="C207" s="58">
        <v>392</v>
      </c>
      <c r="D207" s="58">
        <v>1603</v>
      </c>
      <c r="E207" s="58">
        <v>200</v>
      </c>
      <c r="F207" s="58">
        <v>2302</v>
      </c>
      <c r="G207" s="86" t="s">
        <v>78</v>
      </c>
      <c r="H207" s="64">
        <v>9.5</v>
      </c>
      <c r="I207" s="58">
        <v>8</v>
      </c>
      <c r="J207" s="58">
        <v>90</v>
      </c>
      <c r="K207" s="58">
        <v>90</v>
      </c>
      <c r="L207" s="58">
        <v>90</v>
      </c>
      <c r="M207" s="58">
        <v>24.7</v>
      </c>
      <c r="N207" s="64">
        <v>6.4</v>
      </c>
      <c r="O207" s="37">
        <v>1.76</v>
      </c>
      <c r="P207" s="58">
        <v>10</v>
      </c>
      <c r="Q207" s="64">
        <v>6.3</v>
      </c>
      <c r="R207" s="37">
        <v>0.08</v>
      </c>
      <c r="S207" s="36">
        <v>22.36</v>
      </c>
      <c r="T207" s="36">
        <v>0.88</v>
      </c>
      <c r="U207" s="36">
        <v>0.7</v>
      </c>
      <c r="V207" s="42">
        <f t="shared" si="87"/>
        <v>1902.0275000000001</v>
      </c>
      <c r="W207" s="42">
        <f t="shared" si="88"/>
        <v>1522.080976</v>
      </c>
      <c r="X207" s="42">
        <f t="shared" si="89"/>
        <v>0.800241308813884</v>
      </c>
      <c r="Y207" s="58">
        <v>3</v>
      </c>
      <c r="Z207" s="58">
        <v>4</v>
      </c>
      <c r="AA207" s="64">
        <v>6.2</v>
      </c>
      <c r="AB207" s="58">
        <v>20</v>
      </c>
      <c r="AC207" s="64">
        <v>6</v>
      </c>
      <c r="AD207" s="64">
        <v>4.3</v>
      </c>
      <c r="AE207" s="37">
        <v>0.13</v>
      </c>
      <c r="AF207" s="37">
        <v>0.09</v>
      </c>
      <c r="AG207" s="42">
        <f t="shared" si="69"/>
        <v>1902.0275000000001</v>
      </c>
      <c r="AH207" s="42">
        <f t="shared" si="90"/>
        <v>1785.9247275999996</v>
      </c>
      <c r="AI207" s="42">
        <f t="shared" si="91"/>
        <v>0.93895841548032266</v>
      </c>
      <c r="AJ207" s="58">
        <v>3</v>
      </c>
      <c r="AK207" s="58">
        <v>4</v>
      </c>
      <c r="AL207" s="64">
        <v>6.3</v>
      </c>
      <c r="AM207" s="58">
        <v>23</v>
      </c>
      <c r="AN207" s="64">
        <v>6</v>
      </c>
      <c r="AO207" s="64">
        <v>4.0999999999999996</v>
      </c>
      <c r="AP207" s="37">
        <v>0.23</v>
      </c>
      <c r="AQ207" s="37">
        <v>0.21</v>
      </c>
      <c r="AR207" s="73">
        <f t="shared" si="70"/>
        <v>2195</v>
      </c>
      <c r="AS207" s="75">
        <f t="shared" si="71"/>
        <v>0.17858769931662871</v>
      </c>
      <c r="AT207" s="75">
        <f t="shared" si="72"/>
        <v>0.73029612756264239</v>
      </c>
      <c r="AU207" s="75">
        <f t="shared" si="73"/>
        <v>9.1116173120728935E-2</v>
      </c>
      <c r="AV207" s="26">
        <f t="shared" si="74"/>
        <v>6.9504778453518684E-2</v>
      </c>
      <c r="AW207" s="26">
        <f t="shared" si="75"/>
        <v>7.993049522154648E-2</v>
      </c>
      <c r="AX207" s="24">
        <f t="shared" si="76"/>
        <v>0.88068181818181823</v>
      </c>
      <c r="AY207" s="24">
        <f t="shared" si="77"/>
        <v>0.94886363636363635</v>
      </c>
      <c r="AZ207" s="77" t="str">
        <f t="shared" si="78"/>
        <v>5,0 ≤ Alc. Bruta &lt; 7,5 mg/L</v>
      </c>
      <c r="BA207" s="77" t="str">
        <f t="shared" si="79"/>
        <v>10 ≤ Cor &lt;15 uC</v>
      </c>
      <c r="BB207" s="78" t="str">
        <f t="shared" si="80"/>
        <v>Turbidez &lt; 2,5 uT</v>
      </c>
      <c r="BC207" s="79" t="str">
        <f t="shared" si="81"/>
        <v>SM &gt; TOR &gt; BNN</v>
      </c>
      <c r="BD207" s="78" t="str">
        <f t="shared" si="82"/>
        <v>Tipo 1 (≤0,25) uT</v>
      </c>
      <c r="BE207" s="78" t="str">
        <f t="shared" si="83"/>
        <v>Tipo 1 (≤0,25) uT</v>
      </c>
      <c r="BF207" s="78" t="str">
        <f t="shared" si="84"/>
        <v>Tipo 1 (≤0,25) uT</v>
      </c>
      <c r="BG207" s="78" t="str">
        <f t="shared" si="85"/>
        <v>Tipo 1 (≤0,25) uT</v>
      </c>
      <c r="BH207" s="78" t="str">
        <f t="shared" si="86"/>
        <v>Tipo 1 (≤0,25) uT</v>
      </c>
    </row>
    <row r="208" spans="1:60" x14ac:dyDescent="0.2">
      <c r="A208" s="30">
        <v>46281</v>
      </c>
      <c r="B208" s="82">
        <v>0.3125</v>
      </c>
      <c r="C208" s="59">
        <v>397</v>
      </c>
      <c r="D208" s="59">
        <v>1671</v>
      </c>
      <c r="E208" s="59">
        <v>0</v>
      </c>
      <c r="F208" s="59">
        <v>2145</v>
      </c>
      <c r="G208" s="87" t="s">
        <v>78</v>
      </c>
      <c r="H208" s="65">
        <v>9.5</v>
      </c>
      <c r="I208" s="59">
        <v>1.06</v>
      </c>
      <c r="J208" s="59">
        <v>90</v>
      </c>
      <c r="K208" s="59">
        <v>90</v>
      </c>
      <c r="L208" s="59">
        <v>90</v>
      </c>
      <c r="M208" s="59">
        <v>24.3</v>
      </c>
      <c r="N208" s="65">
        <v>6.3</v>
      </c>
      <c r="O208" s="38">
        <v>1.53</v>
      </c>
      <c r="P208" s="59">
        <v>9</v>
      </c>
      <c r="Q208" s="65">
        <v>6.4</v>
      </c>
      <c r="R208" s="38">
        <v>0.09</v>
      </c>
      <c r="S208" s="36">
        <v>22.36</v>
      </c>
      <c r="T208" s="36">
        <v>0.88</v>
      </c>
      <c r="U208" s="36">
        <v>0.7</v>
      </c>
      <c r="V208" s="42">
        <f t="shared" si="87"/>
        <v>1710.6375</v>
      </c>
      <c r="W208" s="42">
        <f t="shared" si="88"/>
        <v>1550.8312851199998</v>
      </c>
      <c r="X208" s="42">
        <f t="shared" si="89"/>
        <v>0.90658090046546969</v>
      </c>
      <c r="Y208" s="59">
        <v>3</v>
      </c>
      <c r="Z208" s="59">
        <v>4</v>
      </c>
      <c r="AA208" s="65">
        <v>6.1</v>
      </c>
      <c r="AB208" s="59">
        <v>20.8</v>
      </c>
      <c r="AC208" s="65">
        <v>6.1</v>
      </c>
      <c r="AD208" s="65">
        <v>4.2</v>
      </c>
      <c r="AE208" s="38">
        <v>0.14000000000000001</v>
      </c>
      <c r="AF208" s="38">
        <v>0.1</v>
      </c>
      <c r="AG208" s="42">
        <f t="shared" si="69"/>
        <v>1710.6375</v>
      </c>
      <c r="AH208" s="42">
        <f t="shared" si="90"/>
        <v>1770.3949473599996</v>
      </c>
      <c r="AI208" s="42">
        <f t="shared" si="91"/>
        <v>1.0349328524365913</v>
      </c>
      <c r="AJ208" s="59">
        <v>3</v>
      </c>
      <c r="AK208" s="59">
        <v>4</v>
      </c>
      <c r="AL208" s="65">
        <v>6.3</v>
      </c>
      <c r="AM208" s="59">
        <v>22.8</v>
      </c>
      <c r="AN208" s="65">
        <v>6</v>
      </c>
      <c r="AO208" s="65">
        <v>4.5</v>
      </c>
      <c r="AP208" s="38">
        <v>0.21</v>
      </c>
      <c r="AQ208" s="38">
        <v>0.2</v>
      </c>
      <c r="AR208" s="73">
        <f t="shared" si="70"/>
        <v>2068</v>
      </c>
      <c r="AS208" s="75">
        <f t="shared" si="71"/>
        <v>0.19197292069632496</v>
      </c>
      <c r="AT208" s="75">
        <f t="shared" si="72"/>
        <v>0.80802707930367501</v>
      </c>
      <c r="AU208" s="75">
        <f t="shared" si="73"/>
        <v>0</v>
      </c>
      <c r="AV208" s="26">
        <f t="shared" si="74"/>
        <v>7.7575757575757576E-2</v>
      </c>
      <c r="AW208" s="26">
        <f t="shared" si="75"/>
        <v>8.5034965034965035E-2</v>
      </c>
      <c r="AX208" s="24">
        <f t="shared" si="76"/>
        <v>0.86928104575163401</v>
      </c>
      <c r="AY208" s="24">
        <f t="shared" si="77"/>
        <v>0.934640522875817</v>
      </c>
      <c r="AZ208" s="77" t="str">
        <f t="shared" si="78"/>
        <v>5,0 ≤ Alc. Bruta &lt; 7,5 mg/L</v>
      </c>
      <c r="BA208" s="77" t="str">
        <f t="shared" si="79"/>
        <v>5 ≤ Cor &lt; 10 uC</v>
      </c>
      <c r="BB208" s="78" t="str">
        <f t="shared" si="80"/>
        <v>Turbidez &lt; 2,5 uT</v>
      </c>
      <c r="BC208" s="79" t="str">
        <f t="shared" si="81"/>
        <v>SM &gt; TOR &gt; BNN</v>
      </c>
      <c r="BD208" s="78" t="str">
        <f t="shared" si="82"/>
        <v>Tipo 1 (≤0,25) uT</v>
      </c>
      <c r="BE208" s="78" t="str">
        <f t="shared" si="83"/>
        <v>Tipo 1 (≤0,25) uT</v>
      </c>
      <c r="BF208" s="78" t="str">
        <f t="shared" si="84"/>
        <v>Tipo 1 (≤0,25) uT</v>
      </c>
      <c r="BG208" s="78" t="str">
        <f t="shared" si="85"/>
        <v>Tipo 1 (≤0,25) uT</v>
      </c>
      <c r="BH208" s="78" t="str">
        <f t="shared" si="86"/>
        <v>Tipo 1 (≤0,25) uT</v>
      </c>
    </row>
    <row r="209" spans="1:60" x14ac:dyDescent="0.2">
      <c r="A209" s="31">
        <v>46281</v>
      </c>
      <c r="B209" s="80">
        <v>0.47916666666666669</v>
      </c>
      <c r="C209" s="57">
        <v>406</v>
      </c>
      <c r="D209" s="57">
        <v>1653</v>
      </c>
      <c r="E209" s="57">
        <v>0</v>
      </c>
      <c r="F209" s="57">
        <v>2029</v>
      </c>
      <c r="G209" s="85" t="s">
        <v>78</v>
      </c>
      <c r="H209" s="63">
        <v>9.5</v>
      </c>
      <c r="I209" s="57">
        <v>43.35</v>
      </c>
      <c r="J209" s="57">
        <v>90</v>
      </c>
      <c r="K209" s="57">
        <v>90</v>
      </c>
      <c r="L209" s="57">
        <v>90</v>
      </c>
      <c r="M209" s="57">
        <v>23.8</v>
      </c>
      <c r="N209" s="63">
        <v>6.3</v>
      </c>
      <c r="O209" s="36">
        <v>1.39</v>
      </c>
      <c r="P209" s="57">
        <v>8</v>
      </c>
      <c r="Q209" s="63">
        <v>6.3</v>
      </c>
      <c r="R209" s="36">
        <v>0.1</v>
      </c>
      <c r="S209" s="36">
        <v>22.36</v>
      </c>
      <c r="T209" s="36">
        <v>0.88</v>
      </c>
      <c r="U209" s="36">
        <v>0.7</v>
      </c>
      <c r="V209" s="42">
        <f t="shared" si="87"/>
        <v>1582.6200000000001</v>
      </c>
      <c r="W209" s="42">
        <f t="shared" si="88"/>
        <v>1535.91944584</v>
      </c>
      <c r="X209" s="42">
        <f t="shared" si="89"/>
        <v>0.97049161885986523</v>
      </c>
      <c r="Y209" s="57">
        <v>3</v>
      </c>
      <c r="Z209" s="57">
        <v>4</v>
      </c>
      <c r="AA209" s="63">
        <v>6.1</v>
      </c>
      <c r="AB209" s="57">
        <v>20.6</v>
      </c>
      <c r="AC209" s="63">
        <v>6.1</v>
      </c>
      <c r="AD209" s="63">
        <v>4.4000000000000004</v>
      </c>
      <c r="AE209" s="36">
        <v>0.13</v>
      </c>
      <c r="AF209" s="36">
        <v>0.11</v>
      </c>
      <c r="AG209" s="42">
        <f t="shared" si="69"/>
        <v>1582.6200000000001</v>
      </c>
      <c r="AH209" s="42">
        <f t="shared" si="90"/>
        <v>1762.6300572399996</v>
      </c>
      <c r="AI209" s="42">
        <f t="shared" si="91"/>
        <v>1.1137418061442415</v>
      </c>
      <c r="AJ209" s="57">
        <v>3</v>
      </c>
      <c r="AK209" s="57">
        <v>4</v>
      </c>
      <c r="AL209" s="63">
        <v>6.3</v>
      </c>
      <c r="AM209" s="57">
        <v>22.7</v>
      </c>
      <c r="AN209" s="63">
        <v>6</v>
      </c>
      <c r="AO209" s="63">
        <v>4.5999999999999996</v>
      </c>
      <c r="AP209" s="36">
        <v>0.22</v>
      </c>
      <c r="AQ209" s="36">
        <v>0.19</v>
      </c>
      <c r="AR209" s="73">
        <f t="shared" si="70"/>
        <v>2059</v>
      </c>
      <c r="AS209" s="75">
        <f t="shared" si="71"/>
        <v>0.19718309859154928</v>
      </c>
      <c r="AT209" s="75">
        <f t="shared" si="72"/>
        <v>0.80281690140845074</v>
      </c>
      <c r="AU209" s="75">
        <f t="shared" si="73"/>
        <v>0</v>
      </c>
      <c r="AV209" s="26">
        <f t="shared" si="74"/>
        <v>8.1222276983735839E-2</v>
      </c>
      <c r="AW209" s="26">
        <f t="shared" si="75"/>
        <v>8.9502217841301135E-2</v>
      </c>
      <c r="AX209" s="24">
        <f t="shared" si="76"/>
        <v>0.86330935251798557</v>
      </c>
      <c r="AY209" s="24">
        <f t="shared" si="77"/>
        <v>0.92086330935251803</v>
      </c>
      <c r="AZ209" s="77" t="str">
        <f t="shared" si="78"/>
        <v>5,0 ≤ Alc. Bruta &lt; 7,5 mg/L</v>
      </c>
      <c r="BA209" s="77" t="str">
        <f t="shared" si="79"/>
        <v>5 ≤ Cor &lt; 10 uC</v>
      </c>
      <c r="BB209" s="78" t="str">
        <f t="shared" si="80"/>
        <v>Turbidez &lt; 2,5 uT</v>
      </c>
      <c r="BC209" s="79" t="str">
        <f t="shared" si="81"/>
        <v>SM &gt; TOR &gt; BNN</v>
      </c>
      <c r="BD209" s="78" t="str">
        <f t="shared" si="82"/>
        <v>Tipo 1 (≤0,25) uT</v>
      </c>
      <c r="BE209" s="78" t="str">
        <f t="shared" si="83"/>
        <v>Tipo 1 (≤0,25) uT</v>
      </c>
      <c r="BF209" s="78" t="str">
        <f t="shared" si="84"/>
        <v>Tipo 1 (≤0,25) uT</v>
      </c>
      <c r="BG209" s="78" t="str">
        <f t="shared" si="85"/>
        <v>Tipo 1 (≤0,25) uT</v>
      </c>
      <c r="BH209" s="78" t="str">
        <f t="shared" si="86"/>
        <v>Tipo 1 (≤0,25) uT</v>
      </c>
    </row>
    <row r="210" spans="1:60" x14ac:dyDescent="0.2">
      <c r="A210" s="31">
        <v>46281</v>
      </c>
      <c r="B210" s="80">
        <v>0.64583333333333337</v>
      </c>
      <c r="C210" s="57">
        <v>380</v>
      </c>
      <c r="D210" s="57">
        <v>1665</v>
      </c>
      <c r="E210" s="57">
        <v>224</v>
      </c>
      <c r="F210" s="57">
        <v>2170</v>
      </c>
      <c r="G210" s="85" t="s">
        <v>78</v>
      </c>
      <c r="H210" s="63">
        <v>9.5</v>
      </c>
      <c r="I210" s="57">
        <v>-1.06</v>
      </c>
      <c r="J210" s="57">
        <v>90</v>
      </c>
      <c r="K210" s="57">
        <v>90</v>
      </c>
      <c r="L210" s="57">
        <v>90</v>
      </c>
      <c r="M210" s="57">
        <v>25.7</v>
      </c>
      <c r="N210" s="63">
        <v>6.3</v>
      </c>
      <c r="O210" s="36">
        <v>1.37</v>
      </c>
      <c r="P210" s="57">
        <v>10</v>
      </c>
      <c r="Q210" s="63">
        <v>6.3</v>
      </c>
      <c r="R210" s="36">
        <v>0.11</v>
      </c>
      <c r="S210" s="36">
        <v>22.36</v>
      </c>
      <c r="T210" s="36">
        <v>0.88</v>
      </c>
      <c r="U210" s="36">
        <v>0.7</v>
      </c>
      <c r="V210" s="42">
        <f t="shared" si="87"/>
        <v>1687.1750000000002</v>
      </c>
      <c r="W210" s="42">
        <f t="shared" si="88"/>
        <v>1543.3753654799998</v>
      </c>
      <c r="X210" s="42">
        <f t="shared" si="89"/>
        <v>0.91476898690414432</v>
      </c>
      <c r="Y210" s="57">
        <v>3</v>
      </c>
      <c r="Z210" s="57">
        <v>4</v>
      </c>
      <c r="AA210" s="63">
        <v>6.1</v>
      </c>
      <c r="AB210" s="57">
        <v>20.7</v>
      </c>
      <c r="AC210" s="63">
        <v>6.1</v>
      </c>
      <c r="AD210" s="63">
        <v>4.5999999999999996</v>
      </c>
      <c r="AE210" s="36">
        <v>0.11</v>
      </c>
      <c r="AF210" s="36">
        <v>0.09</v>
      </c>
      <c r="AG210" s="42">
        <f t="shared" si="69"/>
        <v>1687.1750000000002</v>
      </c>
      <c r="AH210" s="42">
        <f t="shared" si="90"/>
        <v>1770.3949473599996</v>
      </c>
      <c r="AI210" s="42">
        <f t="shared" si="91"/>
        <v>1.0493250239957321</v>
      </c>
      <c r="AJ210" s="57">
        <v>3</v>
      </c>
      <c r="AK210" s="57">
        <v>4</v>
      </c>
      <c r="AL210" s="63">
        <v>6.3</v>
      </c>
      <c r="AM210" s="57">
        <v>22.8</v>
      </c>
      <c r="AN210" s="63">
        <v>6.1</v>
      </c>
      <c r="AO210" s="63">
        <v>4.9000000000000004</v>
      </c>
      <c r="AP210" s="36">
        <v>0.21</v>
      </c>
      <c r="AQ210" s="36">
        <v>0.2</v>
      </c>
      <c r="AR210" s="73">
        <f t="shared" si="70"/>
        <v>2269</v>
      </c>
      <c r="AS210" s="75">
        <f t="shared" si="71"/>
        <v>0.16747465843984133</v>
      </c>
      <c r="AT210" s="75">
        <f t="shared" si="72"/>
        <v>0.73380343763772582</v>
      </c>
      <c r="AU210" s="75">
        <f t="shared" si="73"/>
        <v>9.8721903922432797E-2</v>
      </c>
      <c r="AV210" s="26">
        <f t="shared" si="74"/>
        <v>7.6313364055299537E-2</v>
      </c>
      <c r="AW210" s="26">
        <f t="shared" si="75"/>
        <v>8.4055299539170514E-2</v>
      </c>
      <c r="AX210" s="24">
        <f t="shared" si="76"/>
        <v>0.85401459854014594</v>
      </c>
      <c r="AY210" s="24">
        <f t="shared" si="77"/>
        <v>0.93430656934306566</v>
      </c>
      <c r="AZ210" s="77" t="str">
        <f t="shared" si="78"/>
        <v>5,0 ≤ Alc. Bruta &lt; 7,5 mg/L</v>
      </c>
      <c r="BA210" s="77" t="str">
        <f t="shared" si="79"/>
        <v>10 ≤ Cor &lt;15 uC</v>
      </c>
      <c r="BB210" s="78" t="str">
        <f t="shared" si="80"/>
        <v>Turbidez &lt; 2,5 uT</v>
      </c>
      <c r="BC210" s="79" t="str">
        <f t="shared" si="81"/>
        <v>SM &gt; TOR &gt; BNN</v>
      </c>
      <c r="BD210" s="78" t="str">
        <f t="shared" si="82"/>
        <v>Tipo 1 (≤0,25) uT</v>
      </c>
      <c r="BE210" s="78" t="str">
        <f t="shared" si="83"/>
        <v>Tipo 1 (≤0,25) uT</v>
      </c>
      <c r="BF210" s="78" t="str">
        <f t="shared" si="84"/>
        <v>Tipo 1 (≤0,25) uT</v>
      </c>
      <c r="BG210" s="78" t="str">
        <f t="shared" si="85"/>
        <v>Tipo 1 (≤0,25) uT</v>
      </c>
      <c r="BH210" s="78" t="str">
        <f t="shared" si="86"/>
        <v>Tipo 1 (≤0,25) uT</v>
      </c>
    </row>
    <row r="211" spans="1:60" x14ac:dyDescent="0.2">
      <c r="A211" s="31">
        <v>46281</v>
      </c>
      <c r="B211" s="80">
        <v>0.72916666666666663</v>
      </c>
      <c r="C211" s="57">
        <v>385</v>
      </c>
      <c r="D211" s="57">
        <v>1671</v>
      </c>
      <c r="E211" s="57">
        <v>225</v>
      </c>
      <c r="F211" s="57">
        <v>2215</v>
      </c>
      <c r="G211" s="85" t="s">
        <v>78</v>
      </c>
      <c r="H211" s="63">
        <v>9.5</v>
      </c>
      <c r="I211" s="57">
        <v>3.06</v>
      </c>
      <c r="J211" s="57">
        <v>90</v>
      </c>
      <c r="K211" s="57">
        <v>90</v>
      </c>
      <c r="L211" s="57">
        <v>90</v>
      </c>
      <c r="M211" s="57">
        <v>25.8</v>
      </c>
      <c r="N211" s="63">
        <v>6.3</v>
      </c>
      <c r="O211" s="36">
        <v>1.4</v>
      </c>
      <c r="P211" s="57">
        <v>9</v>
      </c>
      <c r="Q211" s="63">
        <v>6.3</v>
      </c>
      <c r="R211" s="36">
        <v>0.12</v>
      </c>
      <c r="S211" s="36">
        <v>22.36</v>
      </c>
      <c r="T211" s="36">
        <v>0.88</v>
      </c>
      <c r="U211" s="36">
        <v>0.7</v>
      </c>
      <c r="V211" s="42">
        <f t="shared" si="87"/>
        <v>1730.46875</v>
      </c>
      <c r="W211" s="42">
        <f t="shared" si="88"/>
        <v>1535.91944584</v>
      </c>
      <c r="X211" s="42">
        <f t="shared" si="89"/>
        <v>0.88757421700911965</v>
      </c>
      <c r="Y211" s="57">
        <v>3</v>
      </c>
      <c r="Z211" s="57">
        <v>4</v>
      </c>
      <c r="AA211" s="63">
        <v>6.1</v>
      </c>
      <c r="AB211" s="57">
        <v>20.6</v>
      </c>
      <c r="AC211" s="63">
        <v>6</v>
      </c>
      <c r="AD211" s="63">
        <v>4.5</v>
      </c>
      <c r="AE211" s="36">
        <v>0.12</v>
      </c>
      <c r="AF211" s="36">
        <v>0.11</v>
      </c>
      <c r="AG211" s="42">
        <f t="shared" si="69"/>
        <v>1730.46875</v>
      </c>
      <c r="AH211" s="42">
        <f t="shared" si="90"/>
        <v>1762.6300572399996</v>
      </c>
      <c r="AI211" s="42">
        <f t="shared" si="91"/>
        <v>1.0185853152447852</v>
      </c>
      <c r="AJ211" s="57">
        <v>3</v>
      </c>
      <c r="AK211" s="57">
        <v>4</v>
      </c>
      <c r="AL211" s="63">
        <v>6.3</v>
      </c>
      <c r="AM211" s="57">
        <v>22.7</v>
      </c>
      <c r="AN211" s="63">
        <v>6.1</v>
      </c>
      <c r="AO211" s="63">
        <v>4.8</v>
      </c>
      <c r="AP211" s="36">
        <v>0.18</v>
      </c>
      <c r="AQ211" s="36">
        <v>0.21</v>
      </c>
      <c r="AR211" s="73">
        <f t="shared" si="70"/>
        <v>2281</v>
      </c>
      <c r="AS211" s="75">
        <f t="shared" si="71"/>
        <v>0.16878562034195529</v>
      </c>
      <c r="AT211" s="75">
        <f t="shared" si="72"/>
        <v>0.73257343270495401</v>
      </c>
      <c r="AU211" s="75">
        <f t="shared" si="73"/>
        <v>9.8640946953090752E-2</v>
      </c>
      <c r="AV211" s="26">
        <f t="shared" si="74"/>
        <v>7.4401805869074494E-2</v>
      </c>
      <c r="AW211" s="26">
        <f t="shared" si="75"/>
        <v>8.1986455981941306E-2</v>
      </c>
      <c r="AX211" s="24">
        <f t="shared" si="76"/>
        <v>0.85</v>
      </c>
      <c r="AY211" s="24">
        <f t="shared" si="77"/>
        <v>0.92142857142857137</v>
      </c>
      <c r="AZ211" s="77" t="str">
        <f t="shared" si="78"/>
        <v>5,0 ≤ Alc. Bruta &lt; 7,5 mg/L</v>
      </c>
      <c r="BA211" s="77" t="str">
        <f t="shared" si="79"/>
        <v>5 ≤ Cor &lt; 10 uC</v>
      </c>
      <c r="BB211" s="78" t="str">
        <f t="shared" si="80"/>
        <v>Turbidez &lt; 2,5 uT</v>
      </c>
      <c r="BC211" s="79" t="str">
        <f t="shared" si="81"/>
        <v>SM &gt; TOR &gt; BNN</v>
      </c>
      <c r="BD211" s="78" t="str">
        <f t="shared" si="82"/>
        <v>Tipo 1 (≤0,25) uT</v>
      </c>
      <c r="BE211" s="78" t="str">
        <f t="shared" si="83"/>
        <v>Tipo 1 (≤0,25) uT</v>
      </c>
      <c r="BF211" s="78" t="str">
        <f t="shared" si="84"/>
        <v>Tipo 1 (≤0,25) uT</v>
      </c>
      <c r="BG211" s="78" t="str">
        <f t="shared" si="85"/>
        <v>Tipo 1 (≤0,25) uT</v>
      </c>
      <c r="BH211" s="78" t="str">
        <f t="shared" si="86"/>
        <v>Tipo 1 (≤0,25) uT</v>
      </c>
    </row>
    <row r="212" spans="1:60" x14ac:dyDescent="0.2">
      <c r="A212" s="31">
        <v>46281</v>
      </c>
      <c r="B212" s="80">
        <v>0.8125</v>
      </c>
      <c r="C212" s="57">
        <v>384</v>
      </c>
      <c r="D212" s="57">
        <v>1661</v>
      </c>
      <c r="E212" s="57">
        <v>225</v>
      </c>
      <c r="F212" s="57">
        <v>2223</v>
      </c>
      <c r="G212" s="85" t="s">
        <v>78</v>
      </c>
      <c r="H212" s="63">
        <v>9.5</v>
      </c>
      <c r="I212" s="57">
        <v>-8.8000000000000007</v>
      </c>
      <c r="J212" s="57">
        <v>90</v>
      </c>
      <c r="K212" s="57">
        <v>90</v>
      </c>
      <c r="L212" s="57">
        <v>90</v>
      </c>
      <c r="M212" s="57">
        <v>24.9</v>
      </c>
      <c r="N212" s="63">
        <v>6.5</v>
      </c>
      <c r="O212" s="36">
        <v>1.27</v>
      </c>
      <c r="P212" s="57">
        <v>9</v>
      </c>
      <c r="Q212" s="63">
        <v>7.8</v>
      </c>
      <c r="R212" s="36">
        <v>0.09</v>
      </c>
      <c r="S212" s="36">
        <v>22.36</v>
      </c>
      <c r="T212" s="36">
        <v>0.88</v>
      </c>
      <c r="U212" s="36">
        <v>0.7</v>
      </c>
      <c r="V212" s="42">
        <f t="shared" si="87"/>
        <v>1700.595</v>
      </c>
      <c r="W212" s="42">
        <f t="shared" si="88"/>
        <v>2221.8640527199996</v>
      </c>
      <c r="X212" s="42">
        <f t="shared" si="89"/>
        <v>1.3065215719909793</v>
      </c>
      <c r="Y212" s="57">
        <v>3</v>
      </c>
      <c r="Z212" s="57">
        <v>4</v>
      </c>
      <c r="AA212" s="63">
        <v>6.1</v>
      </c>
      <c r="AB212" s="57">
        <v>29.8</v>
      </c>
      <c r="AC212" s="63">
        <v>6.1</v>
      </c>
      <c r="AD212" s="63">
        <v>6.2</v>
      </c>
      <c r="AE212" s="36">
        <v>0.13</v>
      </c>
      <c r="AF212" s="36">
        <v>0.12</v>
      </c>
      <c r="AG212" s="42">
        <f t="shared" si="69"/>
        <v>1700.595</v>
      </c>
      <c r="AH212" s="42">
        <f t="shared" si="90"/>
        <v>1762.6300572399996</v>
      </c>
      <c r="AI212" s="42">
        <f t="shared" si="91"/>
        <v>1.0364784426862361</v>
      </c>
      <c r="AJ212" s="57">
        <v>3</v>
      </c>
      <c r="AK212" s="57">
        <v>4</v>
      </c>
      <c r="AL212" s="63">
        <v>6.3</v>
      </c>
      <c r="AM212" s="57">
        <v>22.7</v>
      </c>
      <c r="AN212" s="63">
        <v>6.1</v>
      </c>
      <c r="AO212" s="63">
        <v>5.4</v>
      </c>
      <c r="AP212" s="36">
        <v>0.12</v>
      </c>
      <c r="AQ212" s="36">
        <v>0.19</v>
      </c>
      <c r="AR212" s="73">
        <f t="shared" si="70"/>
        <v>2270</v>
      </c>
      <c r="AS212" s="75">
        <f t="shared" si="71"/>
        <v>0.16916299559471365</v>
      </c>
      <c r="AT212" s="75">
        <f t="shared" si="72"/>
        <v>0.73171806167400877</v>
      </c>
      <c r="AU212" s="75">
        <f t="shared" si="73"/>
        <v>9.9118942731277526E-2</v>
      </c>
      <c r="AV212" s="26">
        <f t="shared" si="74"/>
        <v>0.10724246513720198</v>
      </c>
      <c r="AW212" s="26">
        <f t="shared" si="75"/>
        <v>8.1691408007197472E-2</v>
      </c>
      <c r="AX212" s="24">
        <f t="shared" si="76"/>
        <v>0.85039370078740162</v>
      </c>
      <c r="AY212" s="24">
        <f t="shared" si="77"/>
        <v>0.90551181102362199</v>
      </c>
      <c r="AZ212" s="77" t="str">
        <f t="shared" si="78"/>
        <v>7,5 ≤ Alc. Bruta &lt; 10,0 mg/L</v>
      </c>
      <c r="BA212" s="77" t="str">
        <f t="shared" si="79"/>
        <v>5 ≤ Cor &lt; 10 uC</v>
      </c>
      <c r="BB212" s="78" t="str">
        <f t="shared" si="80"/>
        <v>Turbidez &lt; 2,5 uT</v>
      </c>
      <c r="BC212" s="79" t="str">
        <f t="shared" si="81"/>
        <v>SM &gt; TOR &gt; BNN</v>
      </c>
      <c r="BD212" s="78" t="str">
        <f t="shared" si="82"/>
        <v>Tipo 1 (≤0,25) uT</v>
      </c>
      <c r="BE212" s="78" t="str">
        <f t="shared" si="83"/>
        <v>Tipo 1 (≤0,25) uT</v>
      </c>
      <c r="BF212" s="78" t="str">
        <f t="shared" si="84"/>
        <v>Tipo 1 (≤0,25) uT</v>
      </c>
      <c r="BG212" s="78" t="str">
        <f t="shared" si="85"/>
        <v>Tipo 1 (≤0,25) uT</v>
      </c>
      <c r="BH212" s="78" t="str">
        <f t="shared" si="86"/>
        <v>Tipo 1 (≤0,25) uT</v>
      </c>
    </row>
    <row r="213" spans="1:60" x14ac:dyDescent="0.2">
      <c r="A213" s="31">
        <v>46281</v>
      </c>
      <c r="B213" s="80">
        <v>0.89583333333333337</v>
      </c>
      <c r="C213" s="57">
        <v>399</v>
      </c>
      <c r="D213" s="57">
        <v>1566</v>
      </c>
      <c r="E213" s="57">
        <v>224</v>
      </c>
      <c r="F213" s="57">
        <v>2224</v>
      </c>
      <c r="G213" s="85" t="s">
        <v>78</v>
      </c>
      <c r="H213" s="63">
        <v>9.5</v>
      </c>
      <c r="I213" s="57">
        <v>-17.5</v>
      </c>
      <c r="J213" s="57">
        <v>90</v>
      </c>
      <c r="K213" s="57">
        <v>90</v>
      </c>
      <c r="L213" s="57">
        <v>90</v>
      </c>
      <c r="M213" s="57">
        <v>24.5</v>
      </c>
      <c r="N213" s="63">
        <v>6.5</v>
      </c>
      <c r="O213" s="36">
        <v>1.27</v>
      </c>
      <c r="P213" s="57">
        <v>12</v>
      </c>
      <c r="Q213" s="63">
        <v>8</v>
      </c>
      <c r="R213" s="36">
        <v>0.09</v>
      </c>
      <c r="S213" s="36">
        <v>22.36</v>
      </c>
      <c r="T213" s="36">
        <v>0.88</v>
      </c>
      <c r="U213" s="36">
        <v>0.7</v>
      </c>
      <c r="V213" s="42">
        <f t="shared" si="87"/>
        <v>1701.3600000000001</v>
      </c>
      <c r="W213" s="42">
        <f t="shared" si="88"/>
        <v>1314.2581919999998</v>
      </c>
      <c r="X213" s="42">
        <f t="shared" si="89"/>
        <v>0.7724750740584001</v>
      </c>
      <c r="Y213" s="57">
        <v>3</v>
      </c>
      <c r="Z213" s="57">
        <v>4</v>
      </c>
      <c r="AA213" s="63">
        <v>6</v>
      </c>
      <c r="AB213" s="57">
        <v>18</v>
      </c>
      <c r="AC213" s="63">
        <v>6.1</v>
      </c>
      <c r="AD213" s="63">
        <v>5.0999999999999996</v>
      </c>
      <c r="AE213" s="36">
        <v>0.14000000000000001</v>
      </c>
      <c r="AF213" s="36">
        <v>0.11</v>
      </c>
      <c r="AG213" s="42">
        <f t="shared" si="69"/>
        <v>1701.3600000000001</v>
      </c>
      <c r="AH213" s="42">
        <f t="shared" si="90"/>
        <v>1770.3949473599996</v>
      </c>
      <c r="AI213" s="42">
        <f t="shared" si="91"/>
        <v>1.040576331499506</v>
      </c>
      <c r="AJ213" s="57">
        <v>3</v>
      </c>
      <c r="AK213" s="57">
        <v>4</v>
      </c>
      <c r="AL213" s="63">
        <v>6.3</v>
      </c>
      <c r="AM213" s="57">
        <v>22.8</v>
      </c>
      <c r="AN213" s="63">
        <v>6.1</v>
      </c>
      <c r="AO213" s="63">
        <v>5.0999999999999996</v>
      </c>
      <c r="AP213" s="36">
        <v>0.14000000000000001</v>
      </c>
      <c r="AQ213" s="36">
        <v>0.19</v>
      </c>
      <c r="AR213" s="73">
        <f t="shared" si="70"/>
        <v>2189</v>
      </c>
      <c r="AS213" s="75">
        <f t="shared" si="71"/>
        <v>0.18227501142074007</v>
      </c>
      <c r="AT213" s="75">
        <f t="shared" si="72"/>
        <v>0.71539515760621286</v>
      </c>
      <c r="AU213" s="75">
        <f t="shared" si="73"/>
        <v>0.10232983097304706</v>
      </c>
      <c r="AV213" s="26">
        <f t="shared" si="74"/>
        <v>6.4748201438848921E-2</v>
      </c>
      <c r="AW213" s="26">
        <f t="shared" si="75"/>
        <v>8.2014388489208639E-2</v>
      </c>
      <c r="AX213" s="24">
        <f t="shared" si="76"/>
        <v>0.85039370078740162</v>
      </c>
      <c r="AY213" s="24">
        <f t="shared" si="77"/>
        <v>0.91338582677165359</v>
      </c>
      <c r="AZ213" s="77" t="str">
        <f t="shared" si="78"/>
        <v>7,5 ≤ Alc. Bruta &lt; 10,0 mg/L</v>
      </c>
      <c r="BA213" s="77" t="str">
        <f t="shared" si="79"/>
        <v>10 ≤ Cor &lt;15 uC</v>
      </c>
      <c r="BB213" s="78" t="str">
        <f t="shared" si="80"/>
        <v>Turbidez &lt; 2,5 uT</v>
      </c>
      <c r="BC213" s="79" t="str">
        <f t="shared" si="81"/>
        <v>SM &gt; TOR &gt; BNN</v>
      </c>
      <c r="BD213" s="78" t="str">
        <f t="shared" si="82"/>
        <v>Tipo 1 (≤0,25) uT</v>
      </c>
      <c r="BE213" s="78" t="str">
        <f t="shared" si="83"/>
        <v>Tipo 1 (≤0,25) uT</v>
      </c>
      <c r="BF213" s="78" t="str">
        <f t="shared" si="84"/>
        <v>Tipo 1 (≤0,25) uT</v>
      </c>
      <c r="BG213" s="78" t="str">
        <f t="shared" si="85"/>
        <v>Tipo 1 (≤0,25) uT</v>
      </c>
      <c r="BH213" s="78" t="str">
        <f t="shared" si="86"/>
        <v>Tipo 1 (≤0,25) uT</v>
      </c>
    </row>
    <row r="214" spans="1:60" x14ac:dyDescent="0.2">
      <c r="A214" s="31">
        <v>46282</v>
      </c>
      <c r="B214" s="80">
        <v>6.25E-2</v>
      </c>
      <c r="C214" s="57">
        <v>380</v>
      </c>
      <c r="D214" s="57">
        <v>1642</v>
      </c>
      <c r="E214" s="57">
        <v>224</v>
      </c>
      <c r="F214" s="57">
        <v>2243</v>
      </c>
      <c r="G214" s="85" t="s">
        <v>78</v>
      </c>
      <c r="H214" s="63">
        <v>9.5</v>
      </c>
      <c r="I214" s="57">
        <v>-20</v>
      </c>
      <c r="J214" s="57">
        <v>90</v>
      </c>
      <c r="K214" s="57">
        <v>90</v>
      </c>
      <c r="L214" s="57">
        <v>90</v>
      </c>
      <c r="M214" s="57">
        <v>24.1</v>
      </c>
      <c r="N214" s="63">
        <v>6.4</v>
      </c>
      <c r="O214" s="36">
        <v>1.52</v>
      </c>
      <c r="P214" s="57">
        <v>14</v>
      </c>
      <c r="Q214" s="63">
        <v>8</v>
      </c>
      <c r="R214" s="36">
        <v>0.1</v>
      </c>
      <c r="S214" s="36">
        <v>22.36</v>
      </c>
      <c r="T214" s="36">
        <v>0.88</v>
      </c>
      <c r="U214" s="36">
        <v>0.7</v>
      </c>
      <c r="V214" s="42">
        <f t="shared" si="87"/>
        <v>1785.98875</v>
      </c>
      <c r="W214" s="42">
        <f t="shared" si="88"/>
        <v>1314.2581919999998</v>
      </c>
      <c r="X214" s="42">
        <f t="shared" si="89"/>
        <v>0.73587148407289793</v>
      </c>
      <c r="Y214" s="57">
        <v>3</v>
      </c>
      <c r="Z214" s="57">
        <v>4</v>
      </c>
      <c r="AA214" s="63">
        <v>6</v>
      </c>
      <c r="AB214" s="57">
        <v>18</v>
      </c>
      <c r="AC214" s="63">
        <v>6.2</v>
      </c>
      <c r="AD214" s="63">
        <v>5.0999999999999996</v>
      </c>
      <c r="AE214" s="36">
        <v>0.16</v>
      </c>
      <c r="AF214" s="36">
        <v>0.11</v>
      </c>
      <c r="AG214" s="42">
        <f t="shared" si="69"/>
        <v>1785.98875</v>
      </c>
      <c r="AH214" s="42">
        <f t="shared" si="90"/>
        <v>1708.2758263999997</v>
      </c>
      <c r="AI214" s="42">
        <f t="shared" si="91"/>
        <v>0.95648745066283292</v>
      </c>
      <c r="AJ214" s="57">
        <v>3</v>
      </c>
      <c r="AK214" s="57">
        <v>4</v>
      </c>
      <c r="AL214" s="63">
        <v>6.3</v>
      </c>
      <c r="AM214" s="57">
        <v>22</v>
      </c>
      <c r="AN214" s="63">
        <v>6.1</v>
      </c>
      <c r="AO214" s="63">
        <v>5.0999999999999996</v>
      </c>
      <c r="AP214" s="36">
        <v>0.11</v>
      </c>
      <c r="AQ214" s="36">
        <v>0.2</v>
      </c>
      <c r="AR214" s="73">
        <f t="shared" si="70"/>
        <v>2246</v>
      </c>
      <c r="AS214" s="75">
        <f t="shared" si="71"/>
        <v>0.16918967052537845</v>
      </c>
      <c r="AT214" s="75">
        <f t="shared" si="72"/>
        <v>0.73107747105966159</v>
      </c>
      <c r="AU214" s="75">
        <f t="shared" si="73"/>
        <v>9.9732858414959935E-2</v>
      </c>
      <c r="AV214" s="26">
        <f t="shared" si="74"/>
        <v>6.4199732501114576E-2</v>
      </c>
      <c r="AW214" s="26">
        <f t="shared" si="75"/>
        <v>7.846633972358448E-2</v>
      </c>
      <c r="AX214" s="24">
        <f t="shared" si="76"/>
        <v>0.86842105263157898</v>
      </c>
      <c r="AY214" s="24">
        <f t="shared" si="77"/>
        <v>0.92763157894736836</v>
      </c>
      <c r="AZ214" s="77" t="str">
        <f t="shared" si="78"/>
        <v>7,5 ≤ Alc. Bruta &lt; 10,0 mg/L</v>
      </c>
      <c r="BA214" s="77" t="str">
        <f t="shared" si="79"/>
        <v>10 ≤ Cor &lt;15 uC</v>
      </c>
      <c r="BB214" s="78" t="str">
        <f t="shared" si="80"/>
        <v>Turbidez &lt; 2,5 uT</v>
      </c>
      <c r="BC214" s="79" t="str">
        <f t="shared" si="81"/>
        <v>SM &gt; TOR &gt; BNN</v>
      </c>
      <c r="BD214" s="78" t="str">
        <f t="shared" si="82"/>
        <v>Tipo 1 (≤0,25) uT</v>
      </c>
      <c r="BE214" s="78" t="str">
        <f t="shared" si="83"/>
        <v>Tipo 1 (≤0,25) uT</v>
      </c>
      <c r="BF214" s="78" t="str">
        <f t="shared" si="84"/>
        <v>Tipo 1 (≤0,25) uT</v>
      </c>
      <c r="BG214" s="78" t="str">
        <f t="shared" si="85"/>
        <v>Tipo 1 (≤0,25) uT</v>
      </c>
      <c r="BH214" s="78" t="str">
        <f t="shared" si="86"/>
        <v>Tipo 1 (≤0,25) uT</v>
      </c>
    </row>
    <row r="215" spans="1:60" x14ac:dyDescent="0.2">
      <c r="A215" s="31">
        <v>46282</v>
      </c>
      <c r="B215" s="80">
        <v>0.14583333333333334</v>
      </c>
      <c r="C215" s="57">
        <v>398</v>
      </c>
      <c r="D215" s="57">
        <v>1671</v>
      </c>
      <c r="E215" s="57">
        <v>225</v>
      </c>
      <c r="F215" s="57">
        <v>2246</v>
      </c>
      <c r="G215" s="85" t="s">
        <v>78</v>
      </c>
      <c r="H215" s="63">
        <v>9.5</v>
      </c>
      <c r="I215" s="57">
        <v>-26</v>
      </c>
      <c r="J215" s="57">
        <v>90</v>
      </c>
      <c r="K215" s="57">
        <v>90</v>
      </c>
      <c r="L215" s="57">
        <v>90</v>
      </c>
      <c r="M215" s="57">
        <v>24.6</v>
      </c>
      <c r="N215" s="63">
        <v>6.6</v>
      </c>
      <c r="O215" s="36">
        <v>1.31</v>
      </c>
      <c r="P215" s="57">
        <v>11</v>
      </c>
      <c r="Q215" s="63">
        <v>8</v>
      </c>
      <c r="R215" s="36">
        <v>0.09</v>
      </c>
      <c r="S215" s="36">
        <v>22.36</v>
      </c>
      <c r="T215" s="36">
        <v>0.88</v>
      </c>
      <c r="U215" s="36">
        <v>0.7</v>
      </c>
      <c r="V215" s="42">
        <f t="shared" si="87"/>
        <v>1729.42</v>
      </c>
      <c r="W215" s="42">
        <f t="shared" si="88"/>
        <v>1460.2868799999999</v>
      </c>
      <c r="X215" s="42">
        <f t="shared" si="89"/>
        <v>0.84437954921303082</v>
      </c>
      <c r="Y215" s="57">
        <v>3</v>
      </c>
      <c r="Z215" s="57">
        <v>4</v>
      </c>
      <c r="AA215" s="63">
        <v>6</v>
      </c>
      <c r="AB215" s="57">
        <v>20</v>
      </c>
      <c r="AC215" s="63">
        <v>6.2</v>
      </c>
      <c r="AD215" s="63">
        <v>5.0999999999999996</v>
      </c>
      <c r="AE215" s="36">
        <v>0.38</v>
      </c>
      <c r="AF215" s="36">
        <v>0.1</v>
      </c>
      <c r="AG215" s="42">
        <f t="shared" si="69"/>
        <v>1729.42</v>
      </c>
      <c r="AH215" s="42">
        <f t="shared" si="90"/>
        <v>1552.9780239999996</v>
      </c>
      <c r="AI215" s="42">
        <f t="shared" si="91"/>
        <v>0.8979762139908174</v>
      </c>
      <c r="AJ215" s="57">
        <v>3</v>
      </c>
      <c r="AK215" s="57">
        <v>4</v>
      </c>
      <c r="AL215" s="63">
        <v>6.3</v>
      </c>
      <c r="AM215" s="57">
        <v>20</v>
      </c>
      <c r="AN215" s="63">
        <v>6.2</v>
      </c>
      <c r="AO215" s="63">
        <v>5.0999999999999996</v>
      </c>
      <c r="AP215" s="36">
        <v>0.19</v>
      </c>
      <c r="AQ215" s="36">
        <v>0.19</v>
      </c>
      <c r="AR215" s="73">
        <f t="shared" si="70"/>
        <v>2294</v>
      </c>
      <c r="AS215" s="75">
        <f t="shared" si="71"/>
        <v>0.17349607672188316</v>
      </c>
      <c r="AT215" s="75">
        <f t="shared" si="72"/>
        <v>0.72842197035745426</v>
      </c>
      <c r="AU215" s="75">
        <f t="shared" si="73"/>
        <v>9.8081952920662602E-2</v>
      </c>
      <c r="AV215" s="26">
        <f t="shared" si="74"/>
        <v>7.123775601068566E-2</v>
      </c>
      <c r="AW215" s="26">
        <f t="shared" si="75"/>
        <v>7.123775601068566E-2</v>
      </c>
      <c r="AX215" s="24">
        <f t="shared" si="76"/>
        <v>0.85496183206106868</v>
      </c>
      <c r="AY215" s="24">
        <f t="shared" si="77"/>
        <v>0.92366412213740456</v>
      </c>
      <c r="AZ215" s="77" t="str">
        <f t="shared" si="78"/>
        <v>7,5 ≤ Alc. Bruta &lt; 10,0 mg/L</v>
      </c>
      <c r="BA215" s="77" t="str">
        <f t="shared" si="79"/>
        <v>10 ≤ Cor &lt;15 uC</v>
      </c>
      <c r="BB215" s="78" t="str">
        <f t="shared" si="80"/>
        <v>Turbidez &lt; 2,5 uT</v>
      </c>
      <c r="BC215" s="79" t="str">
        <f t="shared" si="81"/>
        <v>SM &gt; TOR &gt; BNN</v>
      </c>
      <c r="BD215" s="78" t="str">
        <f t="shared" si="82"/>
        <v>Tipo 2 (0,25-0,50) uT</v>
      </c>
      <c r="BE215" s="78" t="str">
        <f t="shared" si="83"/>
        <v>Tipo 1 (≤0,25) uT</v>
      </c>
      <c r="BF215" s="78" t="str">
        <f t="shared" si="84"/>
        <v>Tipo 1 (≤0,25) uT</v>
      </c>
      <c r="BG215" s="78" t="str">
        <f t="shared" si="85"/>
        <v>Tipo 1 (≤0,25) uT</v>
      </c>
      <c r="BH215" s="78" t="str">
        <f t="shared" si="86"/>
        <v>Tipo 1 (≤0,25) uT</v>
      </c>
    </row>
    <row r="216" spans="1:60" ht="15.75" thickBot="1" x14ac:dyDescent="0.25">
      <c r="A216" s="32">
        <v>46282</v>
      </c>
      <c r="B216" s="81">
        <v>0.22916666666666666</v>
      </c>
      <c r="C216" s="58">
        <v>394</v>
      </c>
      <c r="D216" s="58">
        <v>1604</v>
      </c>
      <c r="E216" s="58">
        <v>225</v>
      </c>
      <c r="F216" s="58">
        <v>2244</v>
      </c>
      <c r="G216" s="86" t="s">
        <v>78</v>
      </c>
      <c r="H216" s="64">
        <v>9.5</v>
      </c>
      <c r="I216" s="58">
        <v>-29</v>
      </c>
      <c r="J216" s="58">
        <v>30</v>
      </c>
      <c r="K216" s="58">
        <v>90</v>
      </c>
      <c r="L216" s="58">
        <v>90</v>
      </c>
      <c r="M216" s="58">
        <v>23.1</v>
      </c>
      <c r="N216" s="64">
        <v>6.6</v>
      </c>
      <c r="O216" s="37">
        <v>1.47</v>
      </c>
      <c r="P216" s="58">
        <v>13</v>
      </c>
      <c r="Q216" s="64">
        <v>8</v>
      </c>
      <c r="R216" s="37">
        <v>0.3</v>
      </c>
      <c r="S216" s="36">
        <v>22.36</v>
      </c>
      <c r="T216" s="36">
        <v>0.88</v>
      </c>
      <c r="U216" s="36">
        <v>0.7</v>
      </c>
      <c r="V216" s="42">
        <f t="shared" si="87"/>
        <v>1772.76</v>
      </c>
      <c r="W216" s="42">
        <f t="shared" si="88"/>
        <v>1460.2868799999999</v>
      </c>
      <c r="X216" s="42">
        <f t="shared" si="89"/>
        <v>0.82373636589273214</v>
      </c>
      <c r="Y216" s="58">
        <v>3</v>
      </c>
      <c r="Z216" s="58">
        <v>4</v>
      </c>
      <c r="AA216" s="64">
        <v>6</v>
      </c>
      <c r="AB216" s="58">
        <v>20</v>
      </c>
      <c r="AC216" s="64">
        <v>6.1</v>
      </c>
      <c r="AD216" s="64">
        <v>5.0999999999999996</v>
      </c>
      <c r="AE216" s="37">
        <v>0.17</v>
      </c>
      <c r="AF216" s="37">
        <v>0.11</v>
      </c>
      <c r="AG216" s="42">
        <f t="shared" si="69"/>
        <v>1772.76</v>
      </c>
      <c r="AH216" s="42">
        <f t="shared" si="90"/>
        <v>1677.2162659199998</v>
      </c>
      <c r="AI216" s="42">
        <f t="shared" si="91"/>
        <v>0.94610452961483782</v>
      </c>
      <c r="AJ216" s="58">
        <v>3</v>
      </c>
      <c r="AK216" s="58">
        <v>4</v>
      </c>
      <c r="AL216" s="64">
        <v>6.3</v>
      </c>
      <c r="AM216" s="58">
        <v>21.6</v>
      </c>
      <c r="AN216" s="64">
        <v>6.2</v>
      </c>
      <c r="AO216" s="64">
        <v>5.0999999999999996</v>
      </c>
      <c r="AP216" s="37">
        <v>0.21</v>
      </c>
      <c r="AQ216" s="37">
        <v>0.2</v>
      </c>
      <c r="AR216" s="73">
        <f t="shared" si="70"/>
        <v>2223</v>
      </c>
      <c r="AS216" s="75">
        <f t="shared" si="71"/>
        <v>0.17723796671165093</v>
      </c>
      <c r="AT216" s="75">
        <f t="shared" si="72"/>
        <v>0.72154745838956369</v>
      </c>
      <c r="AU216" s="75">
        <f t="shared" si="73"/>
        <v>0.10121457489878542</v>
      </c>
      <c r="AV216" s="26">
        <f t="shared" si="74"/>
        <v>7.130124777183601E-2</v>
      </c>
      <c r="AW216" s="26">
        <f t="shared" si="75"/>
        <v>7.7005347593582893E-2</v>
      </c>
      <c r="AX216" s="24">
        <f t="shared" si="76"/>
        <v>0.86394557823129248</v>
      </c>
      <c r="AY216" s="24">
        <f t="shared" si="77"/>
        <v>0.92517006802721091</v>
      </c>
      <c r="AZ216" s="77" t="str">
        <f t="shared" si="78"/>
        <v>7,5 ≤ Alc. Bruta &lt; 10,0 mg/L</v>
      </c>
      <c r="BA216" s="77" t="str">
        <f t="shared" si="79"/>
        <v>10 ≤ Cor &lt;15 uC</v>
      </c>
      <c r="BB216" s="78" t="str">
        <f t="shared" si="80"/>
        <v>Turbidez &lt; 2,5 uT</v>
      </c>
      <c r="BC216" s="79" t="str">
        <f t="shared" si="81"/>
        <v>SM &gt; TOR &gt; BNN</v>
      </c>
      <c r="BD216" s="78" t="str">
        <f t="shared" si="82"/>
        <v>Tipo 1 (≤0,25) uT</v>
      </c>
      <c r="BE216" s="78" t="str">
        <f t="shared" si="83"/>
        <v>Tipo 1 (≤0,25) uT</v>
      </c>
      <c r="BF216" s="78" t="str">
        <f t="shared" si="84"/>
        <v>Tipo 1 (≤0,25) uT</v>
      </c>
      <c r="BG216" s="78" t="str">
        <f t="shared" si="85"/>
        <v>Tipo 1 (≤0,25) uT</v>
      </c>
      <c r="BH216" s="78" t="str">
        <f t="shared" si="86"/>
        <v>Tipo 2 (0,25-0,50) uT</v>
      </c>
    </row>
    <row r="217" spans="1:60" x14ac:dyDescent="0.2">
      <c r="A217" s="30">
        <v>46282</v>
      </c>
      <c r="B217" s="82">
        <v>0.3125</v>
      </c>
      <c r="C217" s="59">
        <v>390</v>
      </c>
      <c r="D217" s="59">
        <v>1647</v>
      </c>
      <c r="E217" s="59">
        <v>220</v>
      </c>
      <c r="F217" s="59">
        <v>2240</v>
      </c>
      <c r="G217" s="87" t="s">
        <v>78</v>
      </c>
      <c r="H217" s="65">
        <v>9.5</v>
      </c>
      <c r="I217" s="59">
        <v>-30</v>
      </c>
      <c r="J217" s="59">
        <v>90</v>
      </c>
      <c r="K217" s="59">
        <v>90</v>
      </c>
      <c r="L217" s="59">
        <v>90</v>
      </c>
      <c r="M217" s="59">
        <v>23.4</v>
      </c>
      <c r="N217" s="65">
        <v>6.5</v>
      </c>
      <c r="O217" s="38">
        <v>1.4</v>
      </c>
      <c r="P217" s="59">
        <v>12</v>
      </c>
      <c r="Q217" s="65">
        <v>8</v>
      </c>
      <c r="R217" s="38">
        <v>0.12</v>
      </c>
      <c r="S217" s="36">
        <v>22.36</v>
      </c>
      <c r="T217" s="36">
        <v>0.88</v>
      </c>
      <c r="U217" s="36">
        <v>0.7</v>
      </c>
      <c r="V217" s="42">
        <f t="shared" si="87"/>
        <v>1750</v>
      </c>
      <c r="W217" s="42">
        <f t="shared" si="88"/>
        <v>1460.2868799999999</v>
      </c>
      <c r="X217" s="42">
        <f t="shared" si="89"/>
        <v>0.83444964571428559</v>
      </c>
      <c r="Y217" s="59">
        <v>3</v>
      </c>
      <c r="Z217" s="59">
        <v>4</v>
      </c>
      <c r="AA217" s="65">
        <v>6</v>
      </c>
      <c r="AB217" s="59">
        <v>20</v>
      </c>
      <c r="AC217" s="65">
        <v>6.1</v>
      </c>
      <c r="AD217" s="65">
        <v>5.0999999999999996</v>
      </c>
      <c r="AE217" s="38">
        <v>0.19</v>
      </c>
      <c r="AF217" s="38">
        <v>0.11</v>
      </c>
      <c r="AG217" s="42">
        <f t="shared" si="69"/>
        <v>1750</v>
      </c>
      <c r="AH217" s="42">
        <f t="shared" si="90"/>
        <v>1552.9780239999996</v>
      </c>
      <c r="AI217" s="42">
        <f t="shared" si="91"/>
        <v>0.88741601371428547</v>
      </c>
      <c r="AJ217" s="59">
        <v>3</v>
      </c>
      <c r="AK217" s="59">
        <v>4</v>
      </c>
      <c r="AL217" s="65">
        <v>6.3</v>
      </c>
      <c r="AM217" s="59">
        <v>20</v>
      </c>
      <c r="AN217" s="65">
        <v>6.2</v>
      </c>
      <c r="AO217" s="65">
        <v>5.0999999999999996</v>
      </c>
      <c r="AP217" s="38">
        <v>0.2</v>
      </c>
      <c r="AQ217" s="38">
        <v>0.2</v>
      </c>
      <c r="AR217" s="73">
        <f t="shared" si="70"/>
        <v>2257</v>
      </c>
      <c r="AS217" s="75">
        <f t="shared" si="71"/>
        <v>0.17279574656623836</v>
      </c>
      <c r="AT217" s="75">
        <f t="shared" si="72"/>
        <v>0.72972972972972971</v>
      </c>
      <c r="AU217" s="75">
        <f t="shared" si="73"/>
        <v>9.7474523704031896E-2</v>
      </c>
      <c r="AV217" s="26">
        <f t="shared" si="74"/>
        <v>7.1428571428571425E-2</v>
      </c>
      <c r="AW217" s="26">
        <f t="shared" si="75"/>
        <v>7.1428571428571425E-2</v>
      </c>
      <c r="AX217" s="24">
        <f t="shared" si="76"/>
        <v>0.8571428571428571</v>
      </c>
      <c r="AY217" s="24">
        <f t="shared" si="77"/>
        <v>0.92142857142857137</v>
      </c>
      <c r="AZ217" s="77" t="str">
        <f t="shared" si="78"/>
        <v>7,5 ≤ Alc. Bruta &lt; 10,0 mg/L</v>
      </c>
      <c r="BA217" s="77" t="str">
        <f t="shared" si="79"/>
        <v>10 ≤ Cor &lt;15 uC</v>
      </c>
      <c r="BB217" s="78" t="str">
        <f t="shared" si="80"/>
        <v>Turbidez &lt; 2,5 uT</v>
      </c>
      <c r="BC217" s="79" t="str">
        <f t="shared" si="81"/>
        <v>SM &gt; TOR &gt; BNN</v>
      </c>
      <c r="BD217" s="78" t="str">
        <f t="shared" si="82"/>
        <v>Tipo 1 (≤0,25) uT</v>
      </c>
      <c r="BE217" s="78" t="str">
        <f t="shared" si="83"/>
        <v>Tipo 1 (≤0,25) uT</v>
      </c>
      <c r="BF217" s="78" t="str">
        <f t="shared" si="84"/>
        <v>Tipo 1 (≤0,25) uT</v>
      </c>
      <c r="BG217" s="78" t="str">
        <f t="shared" si="85"/>
        <v>Tipo 1 (≤0,25) uT</v>
      </c>
      <c r="BH217" s="78" t="str">
        <f t="shared" si="86"/>
        <v>Tipo 1 (≤0,25) uT</v>
      </c>
    </row>
    <row r="218" spans="1:60" x14ac:dyDescent="0.2">
      <c r="A218" s="31">
        <v>46282</v>
      </c>
      <c r="B218" s="80">
        <v>0.47916666666666669</v>
      </c>
      <c r="C218" s="57">
        <v>388</v>
      </c>
      <c r="D218" s="57">
        <v>1657</v>
      </c>
      <c r="E218" s="57">
        <v>250</v>
      </c>
      <c r="F218" s="57">
        <v>2204</v>
      </c>
      <c r="G218" s="85" t="s">
        <v>78</v>
      </c>
      <c r="H218" s="63">
        <v>9.5</v>
      </c>
      <c r="I218" s="57">
        <v>-1.1000000000000001</v>
      </c>
      <c r="J218" s="57">
        <v>90</v>
      </c>
      <c r="K218" s="57">
        <v>90</v>
      </c>
      <c r="L218" s="57">
        <v>90</v>
      </c>
      <c r="M218" s="57">
        <v>26.4</v>
      </c>
      <c r="N218" s="63">
        <v>6.5</v>
      </c>
      <c r="O218" s="36">
        <v>1.19</v>
      </c>
      <c r="P218" s="57">
        <v>12</v>
      </c>
      <c r="Q218" s="63">
        <v>6.6</v>
      </c>
      <c r="R218" s="36">
        <v>0.15</v>
      </c>
      <c r="S218" s="36">
        <v>22.36</v>
      </c>
      <c r="T218" s="36">
        <v>0.88</v>
      </c>
      <c r="U218" s="36">
        <v>0.7</v>
      </c>
      <c r="V218" s="42">
        <f t="shared" si="87"/>
        <v>1664.02</v>
      </c>
      <c r="W218" s="42">
        <f t="shared" si="88"/>
        <v>1491.1839279999999</v>
      </c>
      <c r="X218" s="42">
        <f t="shared" si="89"/>
        <v>0.89613341666566504</v>
      </c>
      <c r="Y218" s="57">
        <v>3</v>
      </c>
      <c r="Z218" s="57">
        <v>4</v>
      </c>
      <c r="AA218" s="63">
        <v>6.1</v>
      </c>
      <c r="AB218" s="57">
        <v>20</v>
      </c>
      <c r="AC218" s="63">
        <v>6.2</v>
      </c>
      <c r="AD218" s="63">
        <v>3.9</v>
      </c>
      <c r="AE218" s="36">
        <v>0.16</v>
      </c>
      <c r="AF218" s="36">
        <v>0.1</v>
      </c>
      <c r="AG218" s="42">
        <f t="shared" si="69"/>
        <v>1664.02</v>
      </c>
      <c r="AH218" s="42">
        <f t="shared" si="90"/>
        <v>1708.2758263999997</v>
      </c>
      <c r="AI218" s="42">
        <f t="shared" si="91"/>
        <v>1.026595729859016</v>
      </c>
      <c r="AJ218" s="57">
        <v>3</v>
      </c>
      <c r="AK218" s="57">
        <v>4</v>
      </c>
      <c r="AL218" s="63">
        <v>6.3</v>
      </c>
      <c r="AM218" s="57">
        <v>22</v>
      </c>
      <c r="AN218" s="63">
        <v>6</v>
      </c>
      <c r="AO218" s="63">
        <v>4.4000000000000004</v>
      </c>
      <c r="AP218" s="36">
        <v>0.19</v>
      </c>
      <c r="AQ218" s="36">
        <v>0.19</v>
      </c>
      <c r="AR218" s="73">
        <f t="shared" si="70"/>
        <v>2295</v>
      </c>
      <c r="AS218" s="75">
        <f t="shared" si="71"/>
        <v>0.16906318082788671</v>
      </c>
      <c r="AT218" s="75">
        <f t="shared" si="72"/>
        <v>0.7220043572984749</v>
      </c>
      <c r="AU218" s="75">
        <f t="shared" si="73"/>
        <v>0.10893246187363835</v>
      </c>
      <c r="AV218" s="26">
        <f t="shared" si="74"/>
        <v>7.2595281306715068E-2</v>
      </c>
      <c r="AW218" s="26">
        <f t="shared" si="75"/>
        <v>7.985480943738657E-2</v>
      </c>
      <c r="AX218" s="24">
        <f t="shared" si="76"/>
        <v>0.84033613445378152</v>
      </c>
      <c r="AY218" s="24">
        <f t="shared" si="77"/>
        <v>0.91596638655462181</v>
      </c>
      <c r="AZ218" s="77" t="str">
        <f t="shared" si="78"/>
        <v>5,0 ≤ Alc. Bruta &lt; 7,5 mg/L</v>
      </c>
      <c r="BA218" s="77" t="str">
        <f t="shared" si="79"/>
        <v>10 ≤ Cor &lt;15 uC</v>
      </c>
      <c r="BB218" s="78" t="str">
        <f t="shared" si="80"/>
        <v>Turbidez &lt; 2,5 uT</v>
      </c>
      <c r="BC218" s="79" t="str">
        <f t="shared" si="81"/>
        <v>SM &gt; TOR &gt; BNN</v>
      </c>
      <c r="BD218" s="78" t="str">
        <f t="shared" si="82"/>
        <v>Tipo 1 (≤0,25) uT</v>
      </c>
      <c r="BE218" s="78" t="str">
        <f t="shared" si="83"/>
        <v>Tipo 1 (≤0,25) uT</v>
      </c>
      <c r="BF218" s="78" t="str">
        <f t="shared" si="84"/>
        <v>Tipo 1 (≤0,25) uT</v>
      </c>
      <c r="BG218" s="78" t="str">
        <f t="shared" si="85"/>
        <v>Tipo 1 (≤0,25) uT</v>
      </c>
      <c r="BH218" s="78" t="str">
        <f t="shared" si="86"/>
        <v>Tipo 1 (≤0,25) uT</v>
      </c>
    </row>
    <row r="219" spans="1:60" x14ac:dyDescent="0.2">
      <c r="A219" s="31">
        <v>46282</v>
      </c>
      <c r="B219" s="80">
        <v>0.64583333333333337</v>
      </c>
      <c r="C219" s="57">
        <v>395</v>
      </c>
      <c r="D219" s="57">
        <v>1670</v>
      </c>
      <c r="E219" s="57">
        <v>220</v>
      </c>
      <c r="F219" s="57">
        <v>2300</v>
      </c>
      <c r="G219" s="85" t="s">
        <v>78</v>
      </c>
      <c r="H219" s="63">
        <v>9.5</v>
      </c>
      <c r="I219" s="57">
        <v>-15</v>
      </c>
      <c r="J219" s="57">
        <v>90</v>
      </c>
      <c r="K219" s="57">
        <v>90</v>
      </c>
      <c r="L219" s="57">
        <v>90</v>
      </c>
      <c r="M219" s="57">
        <v>25.5</v>
      </c>
      <c r="N219" s="63">
        <v>6.4</v>
      </c>
      <c r="O219" s="36">
        <v>1.61</v>
      </c>
      <c r="P219" s="57">
        <v>16</v>
      </c>
      <c r="Q219" s="63">
        <v>6.3</v>
      </c>
      <c r="R219" s="36">
        <v>0.11</v>
      </c>
      <c r="S219" s="36">
        <v>22.36</v>
      </c>
      <c r="T219" s="36">
        <v>0.88</v>
      </c>
      <c r="U219" s="36">
        <v>0.7</v>
      </c>
      <c r="V219" s="42">
        <f t="shared" si="87"/>
        <v>1857.25</v>
      </c>
      <c r="W219" s="42">
        <f t="shared" si="88"/>
        <v>1491.1839279999999</v>
      </c>
      <c r="X219" s="42">
        <f t="shared" si="89"/>
        <v>0.80289887091129353</v>
      </c>
      <c r="Y219" s="57">
        <v>3</v>
      </c>
      <c r="Z219" s="57">
        <v>4</v>
      </c>
      <c r="AA219" s="63">
        <v>6.1</v>
      </c>
      <c r="AB219" s="57">
        <v>20</v>
      </c>
      <c r="AC219" s="63">
        <v>6.1</v>
      </c>
      <c r="AD219" s="63">
        <v>3.5</v>
      </c>
      <c r="AE219" s="36">
        <v>0.18</v>
      </c>
      <c r="AF219" s="36">
        <v>0.16</v>
      </c>
      <c r="AG219" s="42">
        <f t="shared" si="69"/>
        <v>1857.25</v>
      </c>
      <c r="AH219" s="42">
        <f t="shared" si="90"/>
        <v>1708.2758263999997</v>
      </c>
      <c r="AI219" s="42">
        <f t="shared" si="91"/>
        <v>0.91978776492125436</v>
      </c>
      <c r="AJ219" s="57">
        <v>3</v>
      </c>
      <c r="AK219" s="57">
        <v>4</v>
      </c>
      <c r="AL219" s="63">
        <v>6.3</v>
      </c>
      <c r="AM219" s="57">
        <v>22</v>
      </c>
      <c r="AN219" s="63">
        <v>5.9</v>
      </c>
      <c r="AO219" s="63">
        <v>4.2</v>
      </c>
      <c r="AP219" s="36">
        <v>0.21</v>
      </c>
      <c r="AQ219" s="36">
        <v>0.21</v>
      </c>
      <c r="AR219" s="73">
        <f t="shared" si="70"/>
        <v>2285</v>
      </c>
      <c r="AS219" s="75">
        <f t="shared" si="71"/>
        <v>0.17286652078774617</v>
      </c>
      <c r="AT219" s="75">
        <f t="shared" si="72"/>
        <v>0.73085339168490149</v>
      </c>
      <c r="AU219" s="75">
        <f t="shared" si="73"/>
        <v>9.6280087527352301E-2</v>
      </c>
      <c r="AV219" s="26">
        <f t="shared" si="74"/>
        <v>6.9565217391304349E-2</v>
      </c>
      <c r="AW219" s="26">
        <f t="shared" si="75"/>
        <v>7.6521739130434779E-2</v>
      </c>
      <c r="AX219" s="24">
        <f t="shared" si="76"/>
        <v>0.86956521739130432</v>
      </c>
      <c r="AY219" s="24">
        <f t="shared" si="77"/>
        <v>0.90062111801242239</v>
      </c>
      <c r="AZ219" s="77" t="str">
        <f t="shared" si="78"/>
        <v>5,0 ≤ Alc. Bruta &lt; 7,5 mg/L</v>
      </c>
      <c r="BA219" s="77" t="str">
        <f t="shared" si="79"/>
        <v>15 ≤ Cor &lt; 30 uC</v>
      </c>
      <c r="BB219" s="78" t="str">
        <f t="shared" si="80"/>
        <v>Turbidez &lt; 2,5 uT</v>
      </c>
      <c r="BC219" s="79" t="str">
        <f t="shared" si="81"/>
        <v>SM &gt; TOR &gt; BNN</v>
      </c>
      <c r="BD219" s="78" t="str">
        <f t="shared" si="82"/>
        <v>Tipo 1 (≤0,25) uT</v>
      </c>
      <c r="BE219" s="78" t="str">
        <f t="shared" si="83"/>
        <v>Tipo 1 (≤0,25) uT</v>
      </c>
      <c r="BF219" s="78" t="str">
        <f t="shared" si="84"/>
        <v>Tipo 1 (≤0,25) uT</v>
      </c>
      <c r="BG219" s="78" t="str">
        <f t="shared" si="85"/>
        <v>Tipo 1 (≤0,25) uT</v>
      </c>
      <c r="BH219" s="78" t="str">
        <f t="shared" si="86"/>
        <v>Tipo 1 (≤0,25) uT</v>
      </c>
    </row>
    <row r="220" spans="1:60" x14ac:dyDescent="0.2">
      <c r="A220" s="31">
        <v>46282</v>
      </c>
      <c r="B220" s="80">
        <v>0.72916666666666663</v>
      </c>
      <c r="C220" s="57">
        <v>389</v>
      </c>
      <c r="D220" s="57">
        <v>1665</v>
      </c>
      <c r="E220" s="57">
        <v>250</v>
      </c>
      <c r="F220" s="57">
        <v>2294</v>
      </c>
      <c r="G220" s="85" t="s">
        <v>78</v>
      </c>
      <c r="H220" s="63">
        <v>9.5</v>
      </c>
      <c r="I220" s="57">
        <v>-1.8</v>
      </c>
      <c r="J220" s="57">
        <v>90</v>
      </c>
      <c r="K220" s="57">
        <v>90</v>
      </c>
      <c r="L220" s="57">
        <v>90</v>
      </c>
      <c r="M220" s="57">
        <v>25.6</v>
      </c>
      <c r="N220" s="63">
        <v>6.3</v>
      </c>
      <c r="O220" s="36">
        <v>1.37</v>
      </c>
      <c r="P220" s="57">
        <v>14</v>
      </c>
      <c r="Q220" s="63">
        <v>6.4</v>
      </c>
      <c r="R220" s="36">
        <v>0.1</v>
      </c>
      <c r="S220" s="36">
        <v>22.36</v>
      </c>
      <c r="T220" s="36">
        <v>0.88</v>
      </c>
      <c r="U220" s="36">
        <v>0.7</v>
      </c>
      <c r="V220" s="42">
        <f t="shared" si="87"/>
        <v>1783.5850000000003</v>
      </c>
      <c r="W220" s="42">
        <f t="shared" si="88"/>
        <v>1491.1839279999999</v>
      </c>
      <c r="X220" s="42">
        <f t="shared" si="89"/>
        <v>0.83605991752565745</v>
      </c>
      <c r="Y220" s="57">
        <v>3</v>
      </c>
      <c r="Z220" s="57">
        <v>4</v>
      </c>
      <c r="AA220" s="63">
        <v>6.1</v>
      </c>
      <c r="AB220" s="57">
        <v>20</v>
      </c>
      <c r="AC220" s="63">
        <v>6.2</v>
      </c>
      <c r="AD220" s="63">
        <v>4.4000000000000004</v>
      </c>
      <c r="AE220" s="36">
        <v>0.11</v>
      </c>
      <c r="AF220" s="36">
        <v>0.11</v>
      </c>
      <c r="AG220" s="42">
        <f t="shared" si="69"/>
        <v>1783.5850000000003</v>
      </c>
      <c r="AH220" s="42">
        <f t="shared" si="90"/>
        <v>1708.2758263999997</v>
      </c>
      <c r="AI220" s="42">
        <f t="shared" si="91"/>
        <v>0.95777651550108323</v>
      </c>
      <c r="AJ220" s="57">
        <v>3</v>
      </c>
      <c r="AK220" s="57">
        <v>4</v>
      </c>
      <c r="AL220" s="63">
        <v>6.3</v>
      </c>
      <c r="AM220" s="57">
        <v>22</v>
      </c>
      <c r="AN220" s="63">
        <v>5.9</v>
      </c>
      <c r="AO220" s="63">
        <v>4</v>
      </c>
      <c r="AP220" s="36">
        <v>0.16</v>
      </c>
      <c r="AQ220" s="36">
        <v>0.16</v>
      </c>
      <c r="AR220" s="73">
        <f t="shared" si="70"/>
        <v>2304</v>
      </c>
      <c r="AS220" s="75">
        <f t="shared" si="71"/>
        <v>0.16883680555555555</v>
      </c>
      <c r="AT220" s="75">
        <f t="shared" si="72"/>
        <v>0.72265625</v>
      </c>
      <c r="AU220" s="75">
        <f t="shared" si="73"/>
        <v>0.10850694444444445</v>
      </c>
      <c r="AV220" s="26">
        <f t="shared" si="74"/>
        <v>6.9747166521360066E-2</v>
      </c>
      <c r="AW220" s="26">
        <f t="shared" si="75"/>
        <v>7.6721883173496083E-2</v>
      </c>
      <c r="AX220" s="24">
        <f t="shared" si="76"/>
        <v>0.88321167883211682</v>
      </c>
      <c r="AY220" s="24">
        <f t="shared" si="77"/>
        <v>0.91970802919708028</v>
      </c>
      <c r="AZ220" s="77" t="str">
        <f t="shared" si="78"/>
        <v>5,0 ≤ Alc. Bruta &lt; 7,5 mg/L</v>
      </c>
      <c r="BA220" s="77" t="str">
        <f t="shared" si="79"/>
        <v>10 ≤ Cor &lt;15 uC</v>
      </c>
      <c r="BB220" s="78" t="str">
        <f t="shared" si="80"/>
        <v>Turbidez &lt; 2,5 uT</v>
      </c>
      <c r="BC220" s="79" t="str">
        <f t="shared" si="81"/>
        <v>SM &gt; TOR &gt; BNN</v>
      </c>
      <c r="BD220" s="78" t="str">
        <f t="shared" si="82"/>
        <v>Tipo 1 (≤0,25) uT</v>
      </c>
      <c r="BE220" s="78" t="str">
        <f t="shared" si="83"/>
        <v>Tipo 1 (≤0,25) uT</v>
      </c>
      <c r="BF220" s="78" t="str">
        <f t="shared" si="84"/>
        <v>Tipo 1 (≤0,25) uT</v>
      </c>
      <c r="BG220" s="78" t="str">
        <f t="shared" si="85"/>
        <v>Tipo 1 (≤0,25) uT</v>
      </c>
      <c r="BH220" s="78" t="str">
        <f t="shared" si="86"/>
        <v>Tipo 1 (≤0,25) uT</v>
      </c>
    </row>
    <row r="221" spans="1:60" x14ac:dyDescent="0.2">
      <c r="A221" s="31">
        <v>46282</v>
      </c>
      <c r="B221" s="80">
        <v>0.8125</v>
      </c>
      <c r="C221" s="57">
        <v>402</v>
      </c>
      <c r="D221" s="57">
        <v>1613</v>
      </c>
      <c r="E221" s="57">
        <v>250</v>
      </c>
      <c r="F221" s="57">
        <v>2264</v>
      </c>
      <c r="G221" s="85" t="s">
        <v>78</v>
      </c>
      <c r="H221" s="63">
        <v>9.5</v>
      </c>
      <c r="I221" s="57">
        <v>-15.6</v>
      </c>
      <c r="J221" s="57">
        <v>90</v>
      </c>
      <c r="K221" s="57">
        <v>90</v>
      </c>
      <c r="L221" s="57">
        <v>90</v>
      </c>
      <c r="M221" s="57">
        <v>23.9</v>
      </c>
      <c r="N221" s="63">
        <v>6.3</v>
      </c>
      <c r="O221" s="36">
        <v>1.7</v>
      </c>
      <c r="P221" s="57">
        <v>15</v>
      </c>
      <c r="Q221" s="63">
        <v>6.3</v>
      </c>
      <c r="R221" s="36">
        <v>0.1</v>
      </c>
      <c r="S221" s="36">
        <v>22.36</v>
      </c>
      <c r="T221" s="36">
        <v>0.88</v>
      </c>
      <c r="U221" s="36">
        <v>0.7</v>
      </c>
      <c r="V221" s="42">
        <f t="shared" si="87"/>
        <v>1853.6499999999999</v>
      </c>
      <c r="W221" s="42">
        <f t="shared" si="88"/>
        <v>1491.1839279999999</v>
      </c>
      <c r="X221" s="42">
        <f t="shared" si="89"/>
        <v>0.80445819221535886</v>
      </c>
      <c r="Y221" s="57">
        <v>3</v>
      </c>
      <c r="Z221" s="57">
        <v>4</v>
      </c>
      <c r="AA221" s="63">
        <v>6.1</v>
      </c>
      <c r="AB221" s="57">
        <v>20</v>
      </c>
      <c r="AC221" s="63">
        <v>6.2</v>
      </c>
      <c r="AD221" s="63">
        <v>4.7</v>
      </c>
      <c r="AE221" s="36">
        <v>0.16</v>
      </c>
      <c r="AF221" s="36">
        <v>0.11</v>
      </c>
      <c r="AG221" s="42">
        <f t="shared" si="69"/>
        <v>1853.6499999999999</v>
      </c>
      <c r="AH221" s="42">
        <f t="shared" si="90"/>
        <v>1708.2758263999997</v>
      </c>
      <c r="AI221" s="42">
        <f t="shared" si="91"/>
        <v>0.92157409780702926</v>
      </c>
      <c r="AJ221" s="57">
        <v>3</v>
      </c>
      <c r="AK221" s="57">
        <v>4</v>
      </c>
      <c r="AL221" s="63">
        <v>6.3</v>
      </c>
      <c r="AM221" s="57">
        <v>22</v>
      </c>
      <c r="AN221" s="63">
        <v>6</v>
      </c>
      <c r="AO221" s="63">
        <v>4.9000000000000004</v>
      </c>
      <c r="AP221" s="36">
        <v>0.32</v>
      </c>
      <c r="AQ221" s="36">
        <v>0.32</v>
      </c>
      <c r="AR221" s="73">
        <f t="shared" si="70"/>
        <v>2265</v>
      </c>
      <c r="AS221" s="75">
        <f t="shared" si="71"/>
        <v>0.17748344370860927</v>
      </c>
      <c r="AT221" s="75">
        <f t="shared" si="72"/>
        <v>0.7121412803532009</v>
      </c>
      <c r="AU221" s="75">
        <f t="shared" si="73"/>
        <v>0.11037527593818984</v>
      </c>
      <c r="AV221" s="26">
        <f t="shared" si="74"/>
        <v>7.0671378091872794E-2</v>
      </c>
      <c r="AW221" s="26">
        <f t="shared" si="75"/>
        <v>7.7738515901060068E-2</v>
      </c>
      <c r="AX221" s="24">
        <f t="shared" si="76"/>
        <v>0.81176470588235294</v>
      </c>
      <c r="AY221" s="24">
        <f t="shared" si="77"/>
        <v>0.93529411764705883</v>
      </c>
      <c r="AZ221" s="77" t="str">
        <f t="shared" si="78"/>
        <v>5,0 ≤ Alc. Bruta &lt; 7,5 mg/L</v>
      </c>
      <c r="BA221" s="77" t="str">
        <f t="shared" si="79"/>
        <v>15 ≤ Cor &lt; 30 uC</v>
      </c>
      <c r="BB221" s="78" t="str">
        <f t="shared" si="80"/>
        <v>Turbidez &lt; 2,5 uT</v>
      </c>
      <c r="BC221" s="79" t="str">
        <f t="shared" si="81"/>
        <v>SM &gt; TOR &gt; BNN</v>
      </c>
      <c r="BD221" s="78" t="str">
        <f t="shared" si="82"/>
        <v>Tipo 1 (≤0,25) uT</v>
      </c>
      <c r="BE221" s="78" t="str">
        <f t="shared" si="83"/>
        <v>Tipo 2 (0,25-0,50) uT</v>
      </c>
      <c r="BF221" s="78" t="str">
        <f t="shared" si="84"/>
        <v>Tipo 1 (≤0,25) uT</v>
      </c>
      <c r="BG221" s="78" t="str">
        <f t="shared" si="85"/>
        <v>Tipo 2 (0,25-0,50) uT</v>
      </c>
      <c r="BH221" s="78" t="str">
        <f t="shared" si="86"/>
        <v>Tipo 1 (≤0,25) uT</v>
      </c>
    </row>
    <row r="222" spans="1:60" x14ac:dyDescent="0.2">
      <c r="A222" s="31">
        <v>46282</v>
      </c>
      <c r="B222" s="80">
        <v>0.89583333333333337</v>
      </c>
      <c r="C222" s="57">
        <v>384</v>
      </c>
      <c r="D222" s="57">
        <v>1693</v>
      </c>
      <c r="E222" s="57">
        <v>250</v>
      </c>
      <c r="F222" s="57">
        <v>2260</v>
      </c>
      <c r="G222" s="85" t="s">
        <v>78</v>
      </c>
      <c r="H222" s="63">
        <v>9.5</v>
      </c>
      <c r="I222" s="57">
        <v>14.8</v>
      </c>
      <c r="J222" s="57">
        <v>90</v>
      </c>
      <c r="K222" s="57">
        <v>90</v>
      </c>
      <c r="L222" s="57">
        <v>90</v>
      </c>
      <c r="M222" s="57">
        <v>25.1</v>
      </c>
      <c r="N222" s="63">
        <v>6.4</v>
      </c>
      <c r="O222" s="36">
        <v>1.22</v>
      </c>
      <c r="P222" s="57">
        <v>10</v>
      </c>
      <c r="Q222" s="63">
        <v>6.5</v>
      </c>
      <c r="R222" s="36">
        <v>0.09</v>
      </c>
      <c r="S222" s="36">
        <v>22.36</v>
      </c>
      <c r="T222" s="36">
        <v>0.88</v>
      </c>
      <c r="U222" s="36">
        <v>0.7</v>
      </c>
      <c r="V222" s="42">
        <f t="shared" si="87"/>
        <v>1714.7750000000001</v>
      </c>
      <c r="W222" s="42">
        <f t="shared" si="88"/>
        <v>1460.2868799999999</v>
      </c>
      <c r="X222" s="42">
        <f t="shared" si="89"/>
        <v>0.85159095508157034</v>
      </c>
      <c r="Y222" s="57">
        <v>3</v>
      </c>
      <c r="Z222" s="57">
        <v>4</v>
      </c>
      <c r="AA222" s="63">
        <v>6</v>
      </c>
      <c r="AB222" s="57">
        <v>20</v>
      </c>
      <c r="AC222" s="63">
        <v>6.1</v>
      </c>
      <c r="AD222" s="63">
        <v>4.8</v>
      </c>
      <c r="AE222" s="36">
        <v>0.17</v>
      </c>
      <c r="AF222" s="36">
        <v>0.1</v>
      </c>
      <c r="AG222" s="42">
        <f t="shared" si="69"/>
        <v>1714.7750000000001</v>
      </c>
      <c r="AH222" s="42">
        <f t="shared" si="90"/>
        <v>1708.2758263999997</v>
      </c>
      <c r="AI222" s="42">
        <f t="shared" si="91"/>
        <v>0.99620989715851915</v>
      </c>
      <c r="AJ222" s="57">
        <v>3</v>
      </c>
      <c r="AK222" s="57">
        <v>4</v>
      </c>
      <c r="AL222" s="63">
        <v>6.3</v>
      </c>
      <c r="AM222" s="57">
        <v>22</v>
      </c>
      <c r="AN222" s="63">
        <v>6.1</v>
      </c>
      <c r="AO222" s="63">
        <v>5.0999999999999996</v>
      </c>
      <c r="AP222" s="36">
        <v>0.26</v>
      </c>
      <c r="AQ222" s="36">
        <v>0.26</v>
      </c>
      <c r="AR222" s="73">
        <f t="shared" si="70"/>
        <v>2327</v>
      </c>
      <c r="AS222" s="75">
        <f t="shared" si="71"/>
        <v>0.16501933820369574</v>
      </c>
      <c r="AT222" s="75">
        <f t="shared" si="72"/>
        <v>0.72754619681993982</v>
      </c>
      <c r="AU222" s="75">
        <f t="shared" si="73"/>
        <v>0.10743446497636441</v>
      </c>
      <c r="AV222" s="26">
        <f t="shared" si="74"/>
        <v>7.0796460176991149E-2</v>
      </c>
      <c r="AW222" s="26">
        <f t="shared" si="75"/>
        <v>7.7876106194690264E-2</v>
      </c>
      <c r="AX222" s="24">
        <f t="shared" si="76"/>
        <v>0.78688524590163933</v>
      </c>
      <c r="AY222" s="24">
        <f t="shared" si="77"/>
        <v>0.91803278688524592</v>
      </c>
      <c r="AZ222" s="77" t="str">
        <f t="shared" si="78"/>
        <v>5,0 ≤ Alc. Bruta &lt; 7,5 mg/L</v>
      </c>
      <c r="BA222" s="77" t="str">
        <f t="shared" si="79"/>
        <v>10 ≤ Cor &lt;15 uC</v>
      </c>
      <c r="BB222" s="78" t="str">
        <f t="shared" si="80"/>
        <v>Turbidez &lt; 2,5 uT</v>
      </c>
      <c r="BC222" s="79" t="str">
        <f t="shared" si="81"/>
        <v>SM &gt; TOR &gt; BNN</v>
      </c>
      <c r="BD222" s="78" t="str">
        <f t="shared" si="82"/>
        <v>Tipo 1 (≤0,25) uT</v>
      </c>
      <c r="BE222" s="78" t="str">
        <f t="shared" si="83"/>
        <v>Tipo 2 (0,25-0,50) uT</v>
      </c>
      <c r="BF222" s="78" t="str">
        <f t="shared" si="84"/>
        <v>Tipo 1 (≤0,25) uT</v>
      </c>
      <c r="BG222" s="78" t="str">
        <f t="shared" si="85"/>
        <v>Tipo 2 (0,25-0,50) uT</v>
      </c>
      <c r="BH222" s="78" t="str">
        <f t="shared" si="86"/>
        <v>Tipo 1 (≤0,25) uT</v>
      </c>
    </row>
    <row r="223" spans="1:60" x14ac:dyDescent="0.2">
      <c r="A223" s="31">
        <v>46283</v>
      </c>
      <c r="B223" s="80">
        <v>6.25E-2</v>
      </c>
      <c r="C223" s="57">
        <v>402</v>
      </c>
      <c r="D223" s="57">
        <v>1600</v>
      </c>
      <c r="E223" s="57">
        <v>249</v>
      </c>
      <c r="F223" s="57">
        <v>2312</v>
      </c>
      <c r="G223" s="85" t="s">
        <v>78</v>
      </c>
      <c r="H223" s="63">
        <v>9.5</v>
      </c>
      <c r="I223" s="57">
        <v>-29.1</v>
      </c>
      <c r="J223" s="57">
        <v>90</v>
      </c>
      <c r="K223" s="57">
        <v>90</v>
      </c>
      <c r="L223" s="57">
        <v>90</v>
      </c>
      <c r="M223" s="57">
        <v>24.9</v>
      </c>
      <c r="N223" s="63">
        <v>6.4</v>
      </c>
      <c r="O223" s="36">
        <v>1.33</v>
      </c>
      <c r="P223" s="57">
        <v>10</v>
      </c>
      <c r="Q223" s="63">
        <v>6.3</v>
      </c>
      <c r="R223" s="36">
        <v>0.1</v>
      </c>
      <c r="S223" s="36">
        <v>22.36</v>
      </c>
      <c r="T223" s="36">
        <v>0.88</v>
      </c>
      <c r="U223" s="36">
        <v>0.7</v>
      </c>
      <c r="V223" s="42">
        <f t="shared" si="87"/>
        <v>1786.02</v>
      </c>
      <c r="W223" s="42">
        <f t="shared" si="88"/>
        <v>1460.2868799999999</v>
      </c>
      <c r="X223" s="42">
        <f t="shared" si="89"/>
        <v>0.8176206761402447</v>
      </c>
      <c r="Y223" s="57">
        <v>3</v>
      </c>
      <c r="Z223" s="57">
        <v>4</v>
      </c>
      <c r="AA223" s="63">
        <v>6</v>
      </c>
      <c r="AB223" s="57">
        <v>20</v>
      </c>
      <c r="AC223" s="63">
        <v>6.4</v>
      </c>
      <c r="AD223" s="63">
        <v>5</v>
      </c>
      <c r="AE223" s="36">
        <v>0.26</v>
      </c>
      <c r="AF223" s="36">
        <v>0.19</v>
      </c>
      <c r="AG223" s="42">
        <f t="shared" si="69"/>
        <v>1786.02</v>
      </c>
      <c r="AH223" s="42">
        <f t="shared" si="90"/>
        <v>1708.2758263999997</v>
      </c>
      <c r="AI223" s="42">
        <f t="shared" si="91"/>
        <v>0.95647071499759229</v>
      </c>
      <c r="AJ223" s="57">
        <v>3</v>
      </c>
      <c r="AK223" s="57">
        <v>4</v>
      </c>
      <c r="AL223" s="63">
        <v>6.3</v>
      </c>
      <c r="AM223" s="57">
        <v>22</v>
      </c>
      <c r="AN223" s="63">
        <v>6.1</v>
      </c>
      <c r="AO223" s="63">
        <v>5.0999999999999996</v>
      </c>
      <c r="AP223" s="36">
        <v>0.31</v>
      </c>
      <c r="AQ223" s="36">
        <v>0.31</v>
      </c>
      <c r="AR223" s="73">
        <f t="shared" si="70"/>
        <v>2251</v>
      </c>
      <c r="AS223" s="75">
        <f t="shared" si="71"/>
        <v>0.17858729453576189</v>
      </c>
      <c r="AT223" s="75">
        <f t="shared" si="72"/>
        <v>0.71079520213238556</v>
      </c>
      <c r="AU223" s="75">
        <f t="shared" si="73"/>
        <v>0.11061750333185251</v>
      </c>
      <c r="AV223" s="26">
        <f t="shared" si="74"/>
        <v>6.9204152249134954E-2</v>
      </c>
      <c r="AW223" s="26">
        <f t="shared" si="75"/>
        <v>7.6124567474048443E-2</v>
      </c>
      <c r="AX223" s="24">
        <f t="shared" si="76"/>
        <v>0.76691729323308278</v>
      </c>
      <c r="AY223" s="24">
        <f t="shared" si="77"/>
        <v>0.85714285714285721</v>
      </c>
      <c r="AZ223" s="77" t="str">
        <f t="shared" si="78"/>
        <v>5,0 ≤ Alc. Bruta &lt; 7,5 mg/L</v>
      </c>
      <c r="BA223" s="77" t="str">
        <f t="shared" si="79"/>
        <v>10 ≤ Cor &lt;15 uC</v>
      </c>
      <c r="BB223" s="78" t="str">
        <f t="shared" si="80"/>
        <v>Turbidez &lt; 2,5 uT</v>
      </c>
      <c r="BC223" s="79" t="str">
        <f t="shared" si="81"/>
        <v>SM &gt; TOR &gt; BNN</v>
      </c>
      <c r="BD223" s="78" t="str">
        <f t="shared" si="82"/>
        <v>Tipo 2 (0,25-0,50) uT</v>
      </c>
      <c r="BE223" s="78" t="str">
        <f t="shared" si="83"/>
        <v>Tipo 2 (0,25-0,50) uT</v>
      </c>
      <c r="BF223" s="78" t="str">
        <f t="shared" si="84"/>
        <v>Tipo 1 (≤0,25) uT</v>
      </c>
      <c r="BG223" s="78" t="str">
        <f t="shared" si="85"/>
        <v>Tipo 2 (0,25-0,50) uT</v>
      </c>
      <c r="BH223" s="78" t="str">
        <f t="shared" si="86"/>
        <v>Tipo 1 (≤0,25) uT</v>
      </c>
    </row>
    <row r="224" spans="1:60" x14ac:dyDescent="0.2">
      <c r="A224" s="31">
        <v>46283</v>
      </c>
      <c r="B224" s="80">
        <v>0.14583333333333334</v>
      </c>
      <c r="C224" s="57">
        <v>392</v>
      </c>
      <c r="D224" s="57">
        <v>1654</v>
      </c>
      <c r="E224" s="57">
        <v>250</v>
      </c>
      <c r="F224" s="57">
        <v>2264</v>
      </c>
      <c r="G224" s="85" t="s">
        <v>78</v>
      </c>
      <c r="H224" s="63">
        <v>9.5</v>
      </c>
      <c r="I224" s="57">
        <v>-29.4</v>
      </c>
      <c r="J224" s="57">
        <v>90</v>
      </c>
      <c r="K224" s="57">
        <v>90</v>
      </c>
      <c r="L224" s="57">
        <v>90</v>
      </c>
      <c r="M224" s="57">
        <v>24.6</v>
      </c>
      <c r="N224" s="63">
        <v>6.4</v>
      </c>
      <c r="O224" s="36">
        <v>1.31</v>
      </c>
      <c r="P224" s="57">
        <v>7</v>
      </c>
      <c r="Q224" s="63">
        <v>6.4</v>
      </c>
      <c r="R224" s="36">
        <v>0.11</v>
      </c>
      <c r="S224" s="36">
        <v>22.36</v>
      </c>
      <c r="T224" s="36">
        <v>0.88</v>
      </c>
      <c r="U224" s="36">
        <v>0.7</v>
      </c>
      <c r="V224" s="42">
        <f t="shared" si="87"/>
        <v>1743.28</v>
      </c>
      <c r="W224" s="42">
        <f t="shared" si="88"/>
        <v>1536.7169375999999</v>
      </c>
      <c r="X224" s="42">
        <f t="shared" si="89"/>
        <v>0.8815089587444358</v>
      </c>
      <c r="Y224" s="57">
        <v>3</v>
      </c>
      <c r="Z224" s="57">
        <v>4</v>
      </c>
      <c r="AA224" s="63">
        <v>6.8</v>
      </c>
      <c r="AB224" s="57">
        <v>18</v>
      </c>
      <c r="AC224" s="63">
        <v>6.1</v>
      </c>
      <c r="AD224" s="63">
        <v>4.9000000000000004</v>
      </c>
      <c r="AE224" s="36">
        <v>0.2</v>
      </c>
      <c r="AF224" s="36">
        <v>0.11</v>
      </c>
      <c r="AG224" s="42">
        <f t="shared" si="69"/>
        <v>1743.28</v>
      </c>
      <c r="AH224" s="42">
        <f t="shared" si="90"/>
        <v>1708.2758263999997</v>
      </c>
      <c r="AI224" s="42">
        <f t="shared" si="91"/>
        <v>0.9799205098435132</v>
      </c>
      <c r="AJ224" s="57">
        <v>3</v>
      </c>
      <c r="AK224" s="57">
        <v>4</v>
      </c>
      <c r="AL224" s="63">
        <v>6.3</v>
      </c>
      <c r="AM224" s="57">
        <v>22</v>
      </c>
      <c r="AN224" s="63">
        <v>6</v>
      </c>
      <c r="AO224" s="63">
        <v>5.2</v>
      </c>
      <c r="AP224" s="36">
        <v>0.22</v>
      </c>
      <c r="AQ224" s="36">
        <v>0.22</v>
      </c>
      <c r="AR224" s="73">
        <f t="shared" si="70"/>
        <v>2296</v>
      </c>
      <c r="AS224" s="75">
        <f t="shared" si="71"/>
        <v>0.17073170731707318</v>
      </c>
      <c r="AT224" s="75">
        <f t="shared" si="72"/>
        <v>0.72038327526132406</v>
      </c>
      <c r="AU224" s="75">
        <f t="shared" si="73"/>
        <v>0.10888501742160278</v>
      </c>
      <c r="AV224" s="26">
        <f t="shared" si="74"/>
        <v>6.3604240282685506E-2</v>
      </c>
      <c r="AW224" s="26">
        <f t="shared" si="75"/>
        <v>7.7738515901060068E-2</v>
      </c>
      <c r="AX224" s="24">
        <f t="shared" si="76"/>
        <v>0.83206106870229002</v>
      </c>
      <c r="AY224" s="24">
        <f t="shared" si="77"/>
        <v>0.91603053435114501</v>
      </c>
      <c r="AZ224" s="77" t="str">
        <f t="shared" si="78"/>
        <v>5,0 ≤ Alc. Bruta &lt; 7,5 mg/L</v>
      </c>
      <c r="BA224" s="77" t="str">
        <f t="shared" si="79"/>
        <v>5 ≤ Cor &lt; 10 uC</v>
      </c>
      <c r="BB224" s="78" t="str">
        <f t="shared" si="80"/>
        <v>Turbidez &lt; 2,5 uT</v>
      </c>
      <c r="BC224" s="79" t="str">
        <f t="shared" si="81"/>
        <v>SM &gt; TOR &gt; BNN</v>
      </c>
      <c r="BD224" s="78" t="str">
        <f t="shared" si="82"/>
        <v>Tipo 1 (≤0,25) uT</v>
      </c>
      <c r="BE224" s="78" t="str">
        <f t="shared" si="83"/>
        <v>Tipo 1 (≤0,25) uT</v>
      </c>
      <c r="BF224" s="78" t="str">
        <f t="shared" si="84"/>
        <v>Tipo 1 (≤0,25) uT</v>
      </c>
      <c r="BG224" s="78" t="str">
        <f t="shared" si="85"/>
        <v>Tipo 1 (≤0,25) uT</v>
      </c>
      <c r="BH224" s="78" t="str">
        <f t="shared" si="86"/>
        <v>Tipo 1 (≤0,25) uT</v>
      </c>
    </row>
    <row r="225" spans="1:60" ht="15.75" thickBot="1" x14ac:dyDescent="0.25">
      <c r="A225" s="32">
        <v>46283</v>
      </c>
      <c r="B225" s="81">
        <v>0.22916666666666666</v>
      </c>
      <c r="C225" s="58">
        <v>401</v>
      </c>
      <c r="D225" s="58">
        <v>1622</v>
      </c>
      <c r="E225" s="58">
        <v>249</v>
      </c>
      <c r="F225" s="58">
        <v>2250</v>
      </c>
      <c r="G225" s="86" t="s">
        <v>78</v>
      </c>
      <c r="H225" s="64">
        <v>9.5</v>
      </c>
      <c r="I225" s="58">
        <v>-34.200000000000003</v>
      </c>
      <c r="J225" s="58">
        <v>90</v>
      </c>
      <c r="K225" s="58">
        <v>90</v>
      </c>
      <c r="L225" s="58">
        <v>90</v>
      </c>
      <c r="M225" s="58">
        <v>24.2</v>
      </c>
      <c r="N225" s="64">
        <v>6.5</v>
      </c>
      <c r="O225" s="37">
        <v>1.29</v>
      </c>
      <c r="P225" s="58">
        <v>7</v>
      </c>
      <c r="Q225" s="64">
        <v>6.4</v>
      </c>
      <c r="R225" s="37">
        <v>0.12</v>
      </c>
      <c r="S225" s="36">
        <v>22.36</v>
      </c>
      <c r="T225" s="36">
        <v>0.88</v>
      </c>
      <c r="U225" s="36">
        <v>0.7</v>
      </c>
      <c r="V225" s="42">
        <f t="shared" si="87"/>
        <v>1726.8750000000002</v>
      </c>
      <c r="W225" s="42">
        <f t="shared" si="88"/>
        <v>1460.2868799999999</v>
      </c>
      <c r="X225" s="42">
        <f t="shared" si="89"/>
        <v>0.84562396235975368</v>
      </c>
      <c r="Y225" s="58">
        <v>3</v>
      </c>
      <c r="Z225" s="58">
        <v>4</v>
      </c>
      <c r="AA225" s="64">
        <v>6</v>
      </c>
      <c r="AB225" s="58">
        <v>20</v>
      </c>
      <c r="AC225" s="64">
        <v>6.2</v>
      </c>
      <c r="AD225" s="64">
        <v>5</v>
      </c>
      <c r="AE225" s="37">
        <v>0.12</v>
      </c>
      <c r="AF225" s="37">
        <v>0.11</v>
      </c>
      <c r="AG225" s="42">
        <f t="shared" si="69"/>
        <v>1726.8750000000002</v>
      </c>
      <c r="AH225" s="42">
        <f t="shared" si="90"/>
        <v>1785.9247275999996</v>
      </c>
      <c r="AI225" s="42">
        <f t="shared" si="91"/>
        <v>1.0341945581469414</v>
      </c>
      <c r="AJ225" s="58">
        <v>3</v>
      </c>
      <c r="AK225" s="58">
        <v>4</v>
      </c>
      <c r="AL225" s="64">
        <v>6.3</v>
      </c>
      <c r="AM225" s="58">
        <v>23</v>
      </c>
      <c r="AN225" s="64">
        <v>6.2</v>
      </c>
      <c r="AO225" s="64">
        <v>5.3</v>
      </c>
      <c r="AP225" s="37">
        <v>0.15</v>
      </c>
      <c r="AQ225" s="37">
        <v>0.15</v>
      </c>
      <c r="AR225" s="73">
        <f t="shared" si="70"/>
        <v>2272</v>
      </c>
      <c r="AS225" s="75">
        <f t="shared" si="71"/>
        <v>0.17649647887323944</v>
      </c>
      <c r="AT225" s="75">
        <f t="shared" si="72"/>
        <v>0.71390845070422537</v>
      </c>
      <c r="AU225" s="75">
        <f t="shared" si="73"/>
        <v>0.10959507042253522</v>
      </c>
      <c r="AV225" s="26">
        <f t="shared" si="74"/>
        <v>7.1111111111111111E-2</v>
      </c>
      <c r="AW225" s="26">
        <f t="shared" si="75"/>
        <v>8.1777777777777783E-2</v>
      </c>
      <c r="AX225" s="24">
        <f t="shared" si="76"/>
        <v>0.88372093023255816</v>
      </c>
      <c r="AY225" s="24">
        <f t="shared" si="77"/>
        <v>0.9147286821705426</v>
      </c>
      <c r="AZ225" s="77" t="str">
        <f t="shared" si="78"/>
        <v>5,0 ≤ Alc. Bruta &lt; 7,5 mg/L</v>
      </c>
      <c r="BA225" s="77" t="str">
        <f t="shared" si="79"/>
        <v>5 ≤ Cor &lt; 10 uC</v>
      </c>
      <c r="BB225" s="78" t="str">
        <f t="shared" si="80"/>
        <v>Turbidez &lt; 2,5 uT</v>
      </c>
      <c r="BC225" s="79" t="str">
        <f t="shared" si="81"/>
        <v>SM &gt; TOR &gt; BNN</v>
      </c>
      <c r="BD225" s="78" t="str">
        <f t="shared" si="82"/>
        <v>Tipo 1 (≤0,25) uT</v>
      </c>
      <c r="BE225" s="78" t="str">
        <f t="shared" si="83"/>
        <v>Tipo 1 (≤0,25) uT</v>
      </c>
      <c r="BF225" s="78" t="str">
        <f t="shared" si="84"/>
        <v>Tipo 1 (≤0,25) uT</v>
      </c>
      <c r="BG225" s="78" t="str">
        <f t="shared" si="85"/>
        <v>Tipo 1 (≤0,25) uT</v>
      </c>
      <c r="BH225" s="78" t="str">
        <f t="shared" si="86"/>
        <v>Tipo 1 (≤0,25) uT</v>
      </c>
    </row>
    <row r="226" spans="1:60" x14ac:dyDescent="0.2">
      <c r="A226" s="30">
        <v>46283</v>
      </c>
      <c r="B226" s="82">
        <v>0.3125</v>
      </c>
      <c r="C226" s="59">
        <v>397</v>
      </c>
      <c r="D226" s="59">
        <v>1628</v>
      </c>
      <c r="E226" s="59">
        <v>250</v>
      </c>
      <c r="F226" s="59">
        <v>2251</v>
      </c>
      <c r="G226" s="87" t="s">
        <v>78</v>
      </c>
      <c r="H226" s="65">
        <v>9.5</v>
      </c>
      <c r="I226" s="59">
        <v>-23</v>
      </c>
      <c r="J226" s="59">
        <v>90</v>
      </c>
      <c r="K226" s="59">
        <v>90</v>
      </c>
      <c r="L226" s="59">
        <v>90</v>
      </c>
      <c r="M226" s="59">
        <v>24.1</v>
      </c>
      <c r="N226" s="65">
        <v>6.5</v>
      </c>
      <c r="O226" s="38">
        <v>1.32</v>
      </c>
      <c r="P226" s="59">
        <v>10</v>
      </c>
      <c r="Q226" s="65">
        <v>6.8</v>
      </c>
      <c r="R226" s="38">
        <v>0.11</v>
      </c>
      <c r="S226" s="36">
        <v>22.36</v>
      </c>
      <c r="T226" s="36">
        <v>0.88</v>
      </c>
      <c r="U226" s="36">
        <v>0.7</v>
      </c>
      <c r="V226" s="42">
        <f t="shared" si="87"/>
        <v>1736.08375</v>
      </c>
      <c r="W226" s="42">
        <f t="shared" si="88"/>
        <v>1524.7355663799997</v>
      </c>
      <c r="X226" s="42">
        <f t="shared" si="89"/>
        <v>0.87826152763655541</v>
      </c>
      <c r="Y226" s="59">
        <v>3</v>
      </c>
      <c r="Z226" s="59">
        <v>4</v>
      </c>
      <c r="AA226" s="65">
        <v>6.1</v>
      </c>
      <c r="AB226" s="59">
        <v>20.45</v>
      </c>
      <c r="AC226" s="65">
        <v>6.1</v>
      </c>
      <c r="AD226" s="65">
        <v>4.0999999999999996</v>
      </c>
      <c r="AE226" s="38">
        <v>0.1</v>
      </c>
      <c r="AF226" s="38">
        <v>0.11</v>
      </c>
      <c r="AG226" s="42">
        <f t="shared" si="69"/>
        <v>1736.08375</v>
      </c>
      <c r="AH226" s="42">
        <f t="shared" si="90"/>
        <v>1771.5831092387998</v>
      </c>
      <c r="AI226" s="42">
        <f t="shared" si="91"/>
        <v>1.0204479531812909</v>
      </c>
      <c r="AJ226" s="59">
        <v>3</v>
      </c>
      <c r="AK226" s="59">
        <v>4</v>
      </c>
      <c r="AL226" s="65">
        <v>6.31</v>
      </c>
      <c r="AM226" s="59">
        <v>22.77</v>
      </c>
      <c r="AN226" s="65">
        <v>6.1</v>
      </c>
      <c r="AO226" s="65">
        <v>4.0999999999999996</v>
      </c>
      <c r="AP226" s="38">
        <v>0.11</v>
      </c>
      <c r="AQ226" s="38">
        <v>0.18</v>
      </c>
      <c r="AR226" s="73">
        <f t="shared" si="70"/>
        <v>2275</v>
      </c>
      <c r="AS226" s="75">
        <f t="shared" si="71"/>
        <v>0.17450549450549452</v>
      </c>
      <c r="AT226" s="75">
        <f t="shared" si="72"/>
        <v>0.71560439560439559</v>
      </c>
      <c r="AU226" s="75">
        <f t="shared" si="73"/>
        <v>0.10989010989010989</v>
      </c>
      <c r="AV226" s="26">
        <f t="shared" si="74"/>
        <v>7.2678809418036422E-2</v>
      </c>
      <c r="AW226" s="26">
        <f t="shared" si="75"/>
        <v>8.0924033762772102E-2</v>
      </c>
      <c r="AX226" s="24">
        <f t="shared" si="76"/>
        <v>0.86363636363636365</v>
      </c>
      <c r="AY226" s="24">
        <f t="shared" si="77"/>
        <v>0.91666666666666663</v>
      </c>
      <c r="AZ226" s="77" t="str">
        <f t="shared" si="78"/>
        <v>5,0 ≤ Alc. Bruta &lt; 7,5 mg/L</v>
      </c>
      <c r="BA226" s="77" t="str">
        <f t="shared" si="79"/>
        <v>10 ≤ Cor &lt;15 uC</v>
      </c>
      <c r="BB226" s="78" t="str">
        <f t="shared" si="80"/>
        <v>Turbidez &lt; 2,5 uT</v>
      </c>
      <c r="BC226" s="79" t="str">
        <f t="shared" si="81"/>
        <v>SM &gt; TOR &gt; BNN</v>
      </c>
      <c r="BD226" s="78" t="str">
        <f t="shared" si="82"/>
        <v>Tipo 1 (≤0,25) uT</v>
      </c>
      <c r="BE226" s="78" t="str">
        <f t="shared" si="83"/>
        <v>Tipo 1 (≤0,25) uT</v>
      </c>
      <c r="BF226" s="78" t="str">
        <f t="shared" si="84"/>
        <v>Tipo 1 (≤0,25) uT</v>
      </c>
      <c r="BG226" s="78" t="str">
        <f t="shared" si="85"/>
        <v>Tipo 1 (≤0,25) uT</v>
      </c>
      <c r="BH226" s="78" t="str">
        <f t="shared" si="86"/>
        <v>Tipo 1 (≤0,25) uT</v>
      </c>
    </row>
    <row r="227" spans="1:60" x14ac:dyDescent="0.2">
      <c r="A227" s="31">
        <v>46283</v>
      </c>
      <c r="B227" s="80">
        <v>0.39583333333333331</v>
      </c>
      <c r="C227" s="57">
        <v>385</v>
      </c>
      <c r="D227" s="57">
        <v>1626</v>
      </c>
      <c r="E227" s="57">
        <v>250</v>
      </c>
      <c r="F227" s="57">
        <v>2284</v>
      </c>
      <c r="G227" s="85" t="s">
        <v>78</v>
      </c>
      <c r="H227" s="63">
        <v>9.5</v>
      </c>
      <c r="I227" s="57">
        <v>-19</v>
      </c>
      <c r="J227" s="57">
        <v>90</v>
      </c>
      <c r="K227" s="57">
        <v>90</v>
      </c>
      <c r="L227" s="57">
        <v>90</v>
      </c>
      <c r="M227" s="57">
        <v>25.2</v>
      </c>
      <c r="N227" s="63">
        <v>6.5</v>
      </c>
      <c r="O227" s="36">
        <v>1.44</v>
      </c>
      <c r="P227" s="57">
        <v>10</v>
      </c>
      <c r="Q227" s="63">
        <v>6.8</v>
      </c>
      <c r="R227" s="36">
        <v>0.1</v>
      </c>
      <c r="S227" s="36">
        <v>22.36</v>
      </c>
      <c r="T227" s="36">
        <v>0.88</v>
      </c>
      <c r="U227" s="36">
        <v>0.7</v>
      </c>
      <c r="V227" s="42">
        <f t="shared" si="87"/>
        <v>1795.7950000000001</v>
      </c>
      <c r="W227" s="42">
        <f t="shared" si="88"/>
        <v>1485.8419004</v>
      </c>
      <c r="X227" s="42">
        <f t="shared" si="89"/>
        <v>0.82740062223137933</v>
      </c>
      <c r="Y227" s="57">
        <v>3</v>
      </c>
      <c r="Z227" s="57">
        <v>4</v>
      </c>
      <c r="AA227" s="63">
        <v>6</v>
      </c>
      <c r="AB227" s="57">
        <v>20.350000000000001</v>
      </c>
      <c r="AC227" s="63">
        <v>6.1</v>
      </c>
      <c r="AD227" s="63">
        <v>4.3</v>
      </c>
      <c r="AE227" s="36">
        <v>0.11</v>
      </c>
      <c r="AF227" s="36">
        <v>0.12</v>
      </c>
      <c r="AG227" s="42">
        <f t="shared" si="69"/>
        <v>1795.7950000000001</v>
      </c>
      <c r="AH227" s="42">
        <f t="shared" si="90"/>
        <v>1774.3211594367997</v>
      </c>
      <c r="AI227" s="42">
        <f t="shared" si="91"/>
        <v>0.98804215371843651</v>
      </c>
      <c r="AJ227" s="57">
        <v>3</v>
      </c>
      <c r="AK227" s="57">
        <v>4</v>
      </c>
      <c r="AL227" s="63">
        <v>6.32</v>
      </c>
      <c r="AM227" s="57">
        <v>22.76</v>
      </c>
      <c r="AN227" s="63">
        <v>6</v>
      </c>
      <c r="AO227" s="63">
        <v>4.4000000000000004</v>
      </c>
      <c r="AP227" s="36">
        <v>0.11</v>
      </c>
      <c r="AQ227" s="36">
        <v>0.18</v>
      </c>
      <c r="AR227" s="73">
        <f t="shared" si="70"/>
        <v>2261</v>
      </c>
      <c r="AS227" s="75">
        <f t="shared" si="71"/>
        <v>0.17027863777089783</v>
      </c>
      <c r="AT227" s="75">
        <f t="shared" si="72"/>
        <v>0.71915081822202565</v>
      </c>
      <c r="AU227" s="75">
        <f t="shared" si="73"/>
        <v>0.11057054400707651</v>
      </c>
      <c r="AV227" s="26">
        <f t="shared" si="74"/>
        <v>7.12784588441331E-2</v>
      </c>
      <c r="AW227" s="26">
        <f t="shared" si="75"/>
        <v>7.9719789842381789E-2</v>
      </c>
      <c r="AX227" s="24">
        <f t="shared" si="76"/>
        <v>0.875</v>
      </c>
      <c r="AY227" s="24">
        <f t="shared" si="77"/>
        <v>0.91666666666666663</v>
      </c>
      <c r="AZ227" s="77" t="str">
        <f t="shared" si="78"/>
        <v>5,0 ≤ Alc. Bruta &lt; 7,5 mg/L</v>
      </c>
      <c r="BA227" s="77" t="str">
        <f t="shared" si="79"/>
        <v>10 ≤ Cor &lt;15 uC</v>
      </c>
      <c r="BB227" s="78" t="str">
        <f t="shared" si="80"/>
        <v>Turbidez &lt; 2,5 uT</v>
      </c>
      <c r="BC227" s="79" t="str">
        <f t="shared" si="81"/>
        <v>SM &gt; TOR &gt; BNN</v>
      </c>
      <c r="BD227" s="78" t="str">
        <f t="shared" si="82"/>
        <v>Tipo 1 (≤0,25) uT</v>
      </c>
      <c r="BE227" s="78" t="str">
        <f t="shared" si="83"/>
        <v>Tipo 1 (≤0,25) uT</v>
      </c>
      <c r="BF227" s="78" t="str">
        <f t="shared" si="84"/>
        <v>Tipo 1 (≤0,25) uT</v>
      </c>
      <c r="BG227" s="78" t="str">
        <f t="shared" si="85"/>
        <v>Tipo 1 (≤0,25) uT</v>
      </c>
      <c r="BH227" s="78" t="str">
        <f t="shared" si="86"/>
        <v>Tipo 1 (≤0,25) uT</v>
      </c>
    </row>
    <row r="228" spans="1:60" x14ac:dyDescent="0.2">
      <c r="A228" s="31">
        <v>46283</v>
      </c>
      <c r="B228" s="80">
        <v>0.64583333333333337</v>
      </c>
      <c r="C228" s="57">
        <v>391</v>
      </c>
      <c r="D228" s="57">
        <v>1729</v>
      </c>
      <c r="E228" s="57">
        <v>249</v>
      </c>
      <c r="F228" s="57">
        <v>2041</v>
      </c>
      <c r="G228" s="85" t="s">
        <v>78</v>
      </c>
      <c r="H228" s="63">
        <v>9.5</v>
      </c>
      <c r="I228" s="57">
        <v>-25.36</v>
      </c>
      <c r="J228" s="57">
        <v>90</v>
      </c>
      <c r="K228" s="57">
        <v>90</v>
      </c>
      <c r="L228" s="57">
        <v>90</v>
      </c>
      <c r="M228" s="57">
        <v>26</v>
      </c>
      <c r="N228" s="63">
        <v>6.5</v>
      </c>
      <c r="O228" s="36">
        <v>1.41</v>
      </c>
      <c r="P228" s="57">
        <v>9</v>
      </c>
      <c r="Q228" s="63">
        <v>6.5</v>
      </c>
      <c r="R228" s="36">
        <v>0.12</v>
      </c>
      <c r="S228" s="36">
        <v>22.36</v>
      </c>
      <c r="T228" s="36">
        <v>0.88</v>
      </c>
      <c r="U228" s="36">
        <v>0.7</v>
      </c>
      <c r="V228" s="42">
        <f t="shared" si="87"/>
        <v>1597.0825</v>
      </c>
      <c r="W228" s="42">
        <f t="shared" si="88"/>
        <v>1541.1385895879998</v>
      </c>
      <c r="X228" s="42">
        <f t="shared" si="89"/>
        <v>0.96497118313424624</v>
      </c>
      <c r="Y228" s="57">
        <v>3</v>
      </c>
      <c r="Z228" s="57">
        <v>4</v>
      </c>
      <c r="AA228" s="63">
        <v>6.1</v>
      </c>
      <c r="AB228" s="57">
        <v>20.67</v>
      </c>
      <c r="AC228" s="63">
        <v>6</v>
      </c>
      <c r="AD228" s="63">
        <v>4</v>
      </c>
      <c r="AE228" s="36">
        <v>0.11</v>
      </c>
      <c r="AF228" s="36">
        <v>0.11</v>
      </c>
      <c r="AG228" s="42">
        <f t="shared" si="69"/>
        <v>1597.0825</v>
      </c>
      <c r="AH228" s="42">
        <f t="shared" si="90"/>
        <v>1773.9316256531999</v>
      </c>
      <c r="AI228" s="42">
        <f t="shared" si="91"/>
        <v>1.1107326175405465</v>
      </c>
      <c r="AJ228" s="57">
        <v>3</v>
      </c>
      <c r="AK228" s="57">
        <v>4</v>
      </c>
      <c r="AL228" s="63">
        <v>6.33</v>
      </c>
      <c r="AM228" s="57">
        <v>22.71</v>
      </c>
      <c r="AN228" s="63">
        <v>6</v>
      </c>
      <c r="AO228" s="63">
        <v>4.2</v>
      </c>
      <c r="AP228" s="36">
        <v>0.1</v>
      </c>
      <c r="AQ228" s="36">
        <v>0.17</v>
      </c>
      <c r="AR228" s="73">
        <f t="shared" si="70"/>
        <v>2369</v>
      </c>
      <c r="AS228" s="75">
        <f t="shared" si="71"/>
        <v>0.1650485436893204</v>
      </c>
      <c r="AT228" s="75">
        <f t="shared" si="72"/>
        <v>0.7298438159560996</v>
      </c>
      <c r="AU228" s="75">
        <f t="shared" si="73"/>
        <v>0.10510764035457999</v>
      </c>
      <c r="AV228" s="26">
        <f t="shared" si="74"/>
        <v>8.1019108280254784E-2</v>
      </c>
      <c r="AW228" s="26">
        <f t="shared" si="75"/>
        <v>8.9015188633023032E-2</v>
      </c>
      <c r="AX228" s="24">
        <f t="shared" si="76"/>
        <v>0.87943262411347511</v>
      </c>
      <c r="AY228" s="24">
        <f t="shared" si="77"/>
        <v>0.92198581560283688</v>
      </c>
      <c r="AZ228" s="77" t="str">
        <f t="shared" si="78"/>
        <v>5,0 ≤ Alc. Bruta &lt; 7,5 mg/L</v>
      </c>
      <c r="BA228" s="77" t="str">
        <f t="shared" si="79"/>
        <v>5 ≤ Cor &lt; 10 uC</v>
      </c>
      <c r="BB228" s="78" t="str">
        <f t="shared" si="80"/>
        <v>Turbidez &lt; 2,5 uT</v>
      </c>
      <c r="BC228" s="79" t="str">
        <f t="shared" si="81"/>
        <v>SM &gt; TOR &gt; BNN</v>
      </c>
      <c r="BD228" s="78" t="str">
        <f t="shared" si="82"/>
        <v>Tipo 1 (≤0,25) uT</v>
      </c>
      <c r="BE228" s="78" t="str">
        <f t="shared" si="83"/>
        <v>Tipo 1 (≤0,25) uT</v>
      </c>
      <c r="BF228" s="78" t="str">
        <f t="shared" si="84"/>
        <v>Tipo 1 (≤0,25) uT</v>
      </c>
      <c r="BG228" s="78" t="str">
        <f t="shared" si="85"/>
        <v>Tipo 1 (≤0,25) uT</v>
      </c>
      <c r="BH228" s="78" t="str">
        <f t="shared" si="86"/>
        <v>Tipo 1 (≤0,25) uT</v>
      </c>
    </row>
    <row r="229" spans="1:60" x14ac:dyDescent="0.2">
      <c r="A229" s="31">
        <v>46283</v>
      </c>
      <c r="B229" s="80">
        <v>0.72916666666666663</v>
      </c>
      <c r="C229" s="57">
        <v>394</v>
      </c>
      <c r="D229" s="57">
        <v>1605</v>
      </c>
      <c r="E229" s="57">
        <v>249</v>
      </c>
      <c r="F229" s="57">
        <v>2284</v>
      </c>
      <c r="G229" s="85" t="s">
        <v>78</v>
      </c>
      <c r="H229" s="63">
        <v>9.5</v>
      </c>
      <c r="I229" s="57">
        <v>-21.55</v>
      </c>
      <c r="J229" s="57">
        <v>90</v>
      </c>
      <c r="K229" s="57">
        <v>90</v>
      </c>
      <c r="L229" s="57">
        <v>90</v>
      </c>
      <c r="M229" s="57">
        <v>26.7</v>
      </c>
      <c r="N229" s="63">
        <v>6.3</v>
      </c>
      <c r="O229" s="36">
        <v>1.58</v>
      </c>
      <c r="P229" s="57">
        <v>13</v>
      </c>
      <c r="Q229" s="63">
        <v>7.7</v>
      </c>
      <c r="R229" s="36">
        <v>0.15</v>
      </c>
      <c r="S229" s="36">
        <v>22.36</v>
      </c>
      <c r="T229" s="36">
        <v>0.88</v>
      </c>
      <c r="U229" s="36">
        <v>0.7</v>
      </c>
      <c r="V229" s="42">
        <f t="shared" si="87"/>
        <v>1835.7649999999999</v>
      </c>
      <c r="W229" s="42">
        <f t="shared" si="88"/>
        <v>1525.9997895999998</v>
      </c>
      <c r="X229" s="42">
        <f t="shared" si="89"/>
        <v>0.83126096728067034</v>
      </c>
      <c r="Y229" s="57">
        <v>3</v>
      </c>
      <c r="Z229" s="57">
        <v>4</v>
      </c>
      <c r="AA229" s="63">
        <v>6</v>
      </c>
      <c r="AB229" s="57">
        <v>20.9</v>
      </c>
      <c r="AC229" s="63">
        <v>6</v>
      </c>
      <c r="AD229" s="63">
        <v>4.9000000000000004</v>
      </c>
      <c r="AE229" s="36">
        <v>0.12</v>
      </c>
      <c r="AF229" s="36">
        <v>0.16</v>
      </c>
      <c r="AG229" s="42">
        <f t="shared" si="69"/>
        <v>1835.7649999999999</v>
      </c>
      <c r="AH229" s="42">
        <f t="shared" si="90"/>
        <v>1779.7879907183999</v>
      </c>
      <c r="AI229" s="42">
        <f t="shared" si="91"/>
        <v>0.96950752994985745</v>
      </c>
      <c r="AJ229" s="57">
        <v>3</v>
      </c>
      <c r="AK229" s="57">
        <v>4</v>
      </c>
      <c r="AL229" s="63">
        <v>6.34</v>
      </c>
      <c r="AM229" s="57">
        <v>22.74</v>
      </c>
      <c r="AN229" s="63">
        <v>6</v>
      </c>
      <c r="AO229" s="63">
        <v>5.5</v>
      </c>
      <c r="AP229" s="36">
        <v>0.6</v>
      </c>
      <c r="AQ229" s="36">
        <v>0.17</v>
      </c>
      <c r="AR229" s="73">
        <f t="shared" si="70"/>
        <v>2248</v>
      </c>
      <c r="AS229" s="75">
        <f t="shared" si="71"/>
        <v>0.17526690391459074</v>
      </c>
      <c r="AT229" s="75">
        <f t="shared" si="72"/>
        <v>0.71396797153024916</v>
      </c>
      <c r="AU229" s="75">
        <f t="shared" si="73"/>
        <v>0.11076512455516015</v>
      </c>
      <c r="AV229" s="26">
        <f t="shared" si="74"/>
        <v>7.320490367775831E-2</v>
      </c>
      <c r="AW229" s="26">
        <f t="shared" si="75"/>
        <v>7.9649737302977225E-2</v>
      </c>
      <c r="AX229" s="24">
        <f t="shared" si="76"/>
        <v>0.89240506329113922</v>
      </c>
      <c r="AY229" s="24">
        <f t="shared" si="77"/>
        <v>0.89873417721518989</v>
      </c>
      <c r="AZ229" s="77" t="str">
        <f t="shared" si="78"/>
        <v>7,5 ≤ Alc. Bruta &lt; 10,0 mg/L</v>
      </c>
      <c r="BA229" s="77" t="str">
        <f t="shared" si="79"/>
        <v>10 ≤ Cor &lt;15 uC</v>
      </c>
      <c r="BB229" s="78" t="str">
        <f t="shared" si="80"/>
        <v>Turbidez &lt; 2,5 uT</v>
      </c>
      <c r="BC229" s="79" t="str">
        <f t="shared" si="81"/>
        <v>SM &gt; TOR &gt; BNN</v>
      </c>
      <c r="BD229" s="78" t="str">
        <f t="shared" si="82"/>
        <v>Tipo 1 (≤0,25) uT</v>
      </c>
      <c r="BE229" s="78" t="str">
        <f t="shared" si="83"/>
        <v>Tipo 3 (0,50-0,75) uT</v>
      </c>
      <c r="BF229" s="78" t="str">
        <f t="shared" si="84"/>
        <v>Tipo 1 (≤0,25) uT</v>
      </c>
      <c r="BG229" s="78" t="str">
        <f t="shared" si="85"/>
        <v>Tipo 1 (≤0,25) uT</v>
      </c>
      <c r="BH229" s="78" t="str">
        <f t="shared" si="86"/>
        <v>Tipo 1 (≤0,25) uT</v>
      </c>
    </row>
    <row r="230" spans="1:60" x14ac:dyDescent="0.2">
      <c r="A230" s="31">
        <v>46283</v>
      </c>
      <c r="B230" s="80">
        <v>0.8125</v>
      </c>
      <c r="C230" s="57">
        <v>390</v>
      </c>
      <c r="D230" s="57">
        <v>1616</v>
      </c>
      <c r="E230" s="57">
        <v>247</v>
      </c>
      <c r="F230" s="57">
        <v>2260</v>
      </c>
      <c r="G230" s="85" t="s">
        <v>78</v>
      </c>
      <c r="H230" s="63">
        <v>9.5</v>
      </c>
      <c r="I230" s="57">
        <v>-11.74</v>
      </c>
      <c r="J230" s="57">
        <v>90</v>
      </c>
      <c r="K230" s="57">
        <v>90</v>
      </c>
      <c r="L230" s="57">
        <v>90</v>
      </c>
      <c r="M230" s="57">
        <v>25.9</v>
      </c>
      <c r="N230" s="63">
        <v>6.3</v>
      </c>
      <c r="O230" s="36">
        <v>1.55</v>
      </c>
      <c r="P230" s="57">
        <v>11</v>
      </c>
      <c r="Q230" s="63">
        <v>7.2</v>
      </c>
      <c r="R230" s="36">
        <v>0.09</v>
      </c>
      <c r="S230" s="36">
        <v>22.36</v>
      </c>
      <c r="T230" s="36">
        <v>0.88</v>
      </c>
      <c r="U230" s="36">
        <v>0.7</v>
      </c>
      <c r="V230" s="42">
        <f t="shared" si="87"/>
        <v>1808</v>
      </c>
      <c r="W230" s="42">
        <f t="shared" si="88"/>
        <v>1504.0954864</v>
      </c>
      <c r="X230" s="42">
        <f t="shared" si="89"/>
        <v>0.83191122035398235</v>
      </c>
      <c r="Y230" s="57">
        <v>3</v>
      </c>
      <c r="Z230" s="57">
        <v>4</v>
      </c>
      <c r="AA230" s="63">
        <v>6</v>
      </c>
      <c r="AB230" s="57">
        <v>20.6</v>
      </c>
      <c r="AC230" s="63">
        <v>6.1</v>
      </c>
      <c r="AD230" s="63">
        <v>4.2</v>
      </c>
      <c r="AE230" s="36">
        <v>0.18</v>
      </c>
      <c r="AF230" s="36">
        <v>0.1</v>
      </c>
      <c r="AG230" s="42">
        <f t="shared" si="69"/>
        <v>1808</v>
      </c>
      <c r="AH230" s="42">
        <f t="shared" si="90"/>
        <v>1762.6300572399996</v>
      </c>
      <c r="AI230" s="42">
        <f t="shared" si="91"/>
        <v>0.9749060051106192</v>
      </c>
      <c r="AJ230" s="57">
        <v>3</v>
      </c>
      <c r="AK230" s="57">
        <v>4</v>
      </c>
      <c r="AL230" s="63">
        <v>6.3</v>
      </c>
      <c r="AM230" s="57">
        <v>22.7</v>
      </c>
      <c r="AN230" s="63">
        <v>6</v>
      </c>
      <c r="AO230" s="63">
        <v>4.5999999999999996</v>
      </c>
      <c r="AP230" s="36">
        <v>0.14000000000000001</v>
      </c>
      <c r="AQ230" s="36">
        <v>0.19</v>
      </c>
      <c r="AR230" s="73">
        <f t="shared" si="70"/>
        <v>2253</v>
      </c>
      <c r="AS230" s="75">
        <f t="shared" si="71"/>
        <v>0.17310252996005326</v>
      </c>
      <c r="AT230" s="75">
        <f t="shared" si="72"/>
        <v>0.71726586773191303</v>
      </c>
      <c r="AU230" s="75">
        <f t="shared" si="73"/>
        <v>0.10963160230803373</v>
      </c>
      <c r="AV230" s="26">
        <f t="shared" si="74"/>
        <v>7.2920353982300887E-2</v>
      </c>
      <c r="AW230" s="26">
        <f t="shared" si="75"/>
        <v>8.0353982300884946E-2</v>
      </c>
      <c r="AX230" s="24">
        <f t="shared" si="76"/>
        <v>0.8774193548387097</v>
      </c>
      <c r="AY230" s="24">
        <f t="shared" si="77"/>
        <v>0.93548387096774199</v>
      </c>
      <c r="AZ230" s="77" t="str">
        <f t="shared" si="78"/>
        <v>5,0 ≤ Alc. Bruta &lt; 7,5 mg/L</v>
      </c>
      <c r="BA230" s="77" t="str">
        <f t="shared" si="79"/>
        <v>10 ≤ Cor &lt;15 uC</v>
      </c>
      <c r="BB230" s="78" t="str">
        <f t="shared" si="80"/>
        <v>Turbidez &lt; 2,5 uT</v>
      </c>
      <c r="BC230" s="79" t="str">
        <f t="shared" si="81"/>
        <v>SM &gt; TOR &gt; BNN</v>
      </c>
      <c r="BD230" s="78" t="str">
        <f t="shared" si="82"/>
        <v>Tipo 1 (≤0,25) uT</v>
      </c>
      <c r="BE230" s="78" t="str">
        <f t="shared" si="83"/>
        <v>Tipo 1 (≤0,25) uT</v>
      </c>
      <c r="BF230" s="78" t="str">
        <f t="shared" si="84"/>
        <v>Tipo 1 (≤0,25) uT</v>
      </c>
      <c r="BG230" s="78" t="str">
        <f t="shared" si="85"/>
        <v>Tipo 1 (≤0,25) uT</v>
      </c>
      <c r="BH230" s="78" t="str">
        <f t="shared" si="86"/>
        <v>Tipo 1 (≤0,25) uT</v>
      </c>
    </row>
    <row r="231" spans="1:60" x14ac:dyDescent="0.2">
      <c r="A231" s="31">
        <v>46283</v>
      </c>
      <c r="B231" s="80">
        <v>0.89583333333333337</v>
      </c>
      <c r="C231" s="57">
        <v>406</v>
      </c>
      <c r="D231" s="57">
        <v>1641</v>
      </c>
      <c r="E231" s="57">
        <v>200</v>
      </c>
      <c r="F231" s="57">
        <v>2278</v>
      </c>
      <c r="G231" s="85" t="s">
        <v>78</v>
      </c>
      <c r="H231" s="63">
        <v>9.5</v>
      </c>
      <c r="I231" s="57">
        <v>-48</v>
      </c>
      <c r="J231" s="57">
        <v>90</v>
      </c>
      <c r="K231" s="57">
        <v>90</v>
      </c>
      <c r="L231" s="57">
        <v>90</v>
      </c>
      <c r="M231" s="57">
        <v>25.3</v>
      </c>
      <c r="N231" s="63">
        <v>6.4</v>
      </c>
      <c r="O231" s="36">
        <v>1.36</v>
      </c>
      <c r="P231" s="57">
        <v>10</v>
      </c>
      <c r="Q231" s="63">
        <v>6.4</v>
      </c>
      <c r="R231" s="36">
        <v>0.09</v>
      </c>
      <c r="S231" s="36">
        <v>22.36</v>
      </c>
      <c r="T231" s="36">
        <v>0.88</v>
      </c>
      <c r="U231" s="36">
        <v>0.7</v>
      </c>
      <c r="V231" s="42">
        <f t="shared" si="87"/>
        <v>1768.2974999999999</v>
      </c>
      <c r="W231" s="42">
        <f t="shared" si="88"/>
        <v>1460.2868799999999</v>
      </c>
      <c r="X231" s="42">
        <f t="shared" si="89"/>
        <v>0.82581515836560304</v>
      </c>
      <c r="Y231" s="57">
        <v>3</v>
      </c>
      <c r="Z231" s="57">
        <v>4</v>
      </c>
      <c r="AA231" s="63">
        <v>6</v>
      </c>
      <c r="AB231" s="57">
        <v>20</v>
      </c>
      <c r="AC231" s="63">
        <v>6.1</v>
      </c>
      <c r="AD231" s="63">
        <v>4.7</v>
      </c>
      <c r="AE231" s="36">
        <v>0.13</v>
      </c>
      <c r="AF231" s="36">
        <v>0.09</v>
      </c>
      <c r="AG231" s="42">
        <f t="shared" si="69"/>
        <v>1768.2974999999999</v>
      </c>
      <c r="AH231" s="42">
        <f t="shared" si="90"/>
        <v>1708.2758263999997</v>
      </c>
      <c r="AI231" s="42">
        <f t="shared" si="91"/>
        <v>0.96605680118871384</v>
      </c>
      <c r="AJ231" s="57">
        <v>3</v>
      </c>
      <c r="AK231" s="57">
        <v>4</v>
      </c>
      <c r="AL231" s="63">
        <v>6.3</v>
      </c>
      <c r="AM231" s="57">
        <v>22</v>
      </c>
      <c r="AN231" s="63">
        <v>6.1</v>
      </c>
      <c r="AO231" s="63">
        <v>5.6</v>
      </c>
      <c r="AP231" s="36">
        <v>0.12</v>
      </c>
      <c r="AQ231" s="36">
        <v>0.18</v>
      </c>
      <c r="AR231" s="73">
        <f t="shared" si="70"/>
        <v>2247</v>
      </c>
      <c r="AS231" s="75">
        <f t="shared" si="71"/>
        <v>0.18068535825545171</v>
      </c>
      <c r="AT231" s="75">
        <f t="shared" si="72"/>
        <v>0.73030707610146861</v>
      </c>
      <c r="AU231" s="75">
        <f t="shared" si="73"/>
        <v>8.9007565643079656E-2</v>
      </c>
      <c r="AV231" s="26">
        <f t="shared" si="74"/>
        <v>7.0237050043898158E-2</v>
      </c>
      <c r="AW231" s="26">
        <f t="shared" si="75"/>
        <v>7.7260755048287971E-2</v>
      </c>
      <c r="AX231" s="24">
        <f t="shared" si="76"/>
        <v>0.86764705882352944</v>
      </c>
      <c r="AY231" s="24">
        <f t="shared" si="77"/>
        <v>0.93382352941176472</v>
      </c>
      <c r="AZ231" s="77" t="str">
        <f t="shared" si="78"/>
        <v>5,0 ≤ Alc. Bruta &lt; 7,5 mg/L</v>
      </c>
      <c r="BA231" s="77" t="str">
        <f t="shared" si="79"/>
        <v>10 ≤ Cor &lt;15 uC</v>
      </c>
      <c r="BB231" s="78" t="str">
        <f t="shared" si="80"/>
        <v>Turbidez &lt; 2,5 uT</v>
      </c>
      <c r="BC231" s="79" t="str">
        <f t="shared" si="81"/>
        <v>SM &gt; TOR &gt; BNN</v>
      </c>
      <c r="BD231" s="78" t="str">
        <f t="shared" si="82"/>
        <v>Tipo 1 (≤0,25) uT</v>
      </c>
      <c r="BE231" s="78" t="str">
        <f t="shared" si="83"/>
        <v>Tipo 1 (≤0,25) uT</v>
      </c>
      <c r="BF231" s="78" t="str">
        <f t="shared" si="84"/>
        <v>Tipo 1 (≤0,25) uT</v>
      </c>
      <c r="BG231" s="78" t="str">
        <f t="shared" si="85"/>
        <v>Tipo 1 (≤0,25) uT</v>
      </c>
      <c r="BH231" s="78" t="str">
        <f t="shared" si="86"/>
        <v>Tipo 1 (≤0,25) uT</v>
      </c>
    </row>
    <row r="232" spans="1:60" x14ac:dyDescent="0.2">
      <c r="A232" s="31">
        <v>46283</v>
      </c>
      <c r="B232" s="80">
        <v>0.97916666666666663</v>
      </c>
      <c r="C232" s="57">
        <v>400</v>
      </c>
      <c r="D232" s="57">
        <v>1651</v>
      </c>
      <c r="E232" s="57">
        <v>199</v>
      </c>
      <c r="F232" s="57">
        <v>2252</v>
      </c>
      <c r="G232" s="85" t="s">
        <v>78</v>
      </c>
      <c r="H232" s="63">
        <v>9.5</v>
      </c>
      <c r="I232" s="57">
        <v>-3.4</v>
      </c>
      <c r="J232" s="57">
        <v>90</v>
      </c>
      <c r="K232" s="57">
        <v>90</v>
      </c>
      <c r="L232" s="57">
        <v>90</v>
      </c>
      <c r="M232" s="57">
        <v>25.1</v>
      </c>
      <c r="N232" s="63">
        <v>6.3</v>
      </c>
      <c r="O232" s="36">
        <v>1.45</v>
      </c>
      <c r="P232" s="57">
        <v>12</v>
      </c>
      <c r="Q232" s="63">
        <v>6.9</v>
      </c>
      <c r="R232" s="36">
        <v>0.1</v>
      </c>
      <c r="S232" s="36">
        <v>22.36</v>
      </c>
      <c r="T232" s="36">
        <v>0.88</v>
      </c>
      <c r="U232" s="36">
        <v>0.7</v>
      </c>
      <c r="V232" s="42">
        <f t="shared" si="87"/>
        <v>1773.45</v>
      </c>
      <c r="W232" s="42">
        <f t="shared" si="88"/>
        <v>1460.2868799999999</v>
      </c>
      <c r="X232" s="42">
        <f t="shared" si="89"/>
        <v>0.82341587301587293</v>
      </c>
      <c r="Y232" s="57">
        <v>3</v>
      </c>
      <c r="Z232" s="57">
        <v>4</v>
      </c>
      <c r="AA232" s="63">
        <v>6</v>
      </c>
      <c r="AB232" s="57">
        <v>20</v>
      </c>
      <c r="AC232" s="63">
        <v>6.1</v>
      </c>
      <c r="AD232" s="63">
        <v>4.4000000000000004</v>
      </c>
      <c r="AE232" s="36">
        <v>0.15</v>
      </c>
      <c r="AF232" s="36">
        <v>0.09</v>
      </c>
      <c r="AG232" s="42">
        <f t="shared" si="69"/>
        <v>1773.45</v>
      </c>
      <c r="AH232" s="42">
        <f t="shared" si="90"/>
        <v>1708.2758263999997</v>
      </c>
      <c r="AI232" s="42">
        <f t="shared" si="91"/>
        <v>0.96325006422509774</v>
      </c>
      <c r="AJ232" s="57">
        <v>3</v>
      </c>
      <c r="AK232" s="57">
        <v>4</v>
      </c>
      <c r="AL232" s="63">
        <v>6.3</v>
      </c>
      <c r="AM232" s="57">
        <v>22</v>
      </c>
      <c r="AN232" s="63">
        <v>6</v>
      </c>
      <c r="AO232" s="63">
        <v>5.5</v>
      </c>
      <c r="AP232" s="36">
        <v>0.14000000000000001</v>
      </c>
      <c r="AQ232" s="36">
        <v>0.16</v>
      </c>
      <c r="AR232" s="73">
        <f t="shared" si="70"/>
        <v>2250</v>
      </c>
      <c r="AS232" s="75">
        <f t="shared" si="71"/>
        <v>0.17777777777777778</v>
      </c>
      <c r="AT232" s="75">
        <f t="shared" si="72"/>
        <v>0.73377777777777775</v>
      </c>
      <c r="AU232" s="75">
        <f t="shared" si="73"/>
        <v>8.8444444444444451E-2</v>
      </c>
      <c r="AV232" s="26">
        <f t="shared" si="74"/>
        <v>7.1047957371225573E-2</v>
      </c>
      <c r="AW232" s="26">
        <f t="shared" si="75"/>
        <v>7.8152753108348141E-2</v>
      </c>
      <c r="AX232" s="24">
        <f t="shared" si="76"/>
        <v>0.8896551724137931</v>
      </c>
      <c r="AY232" s="24">
        <f t="shared" si="77"/>
        <v>0.93793103448275861</v>
      </c>
      <c r="AZ232" s="77" t="str">
        <f t="shared" si="78"/>
        <v>5,0 ≤ Alc. Bruta &lt; 7,5 mg/L</v>
      </c>
      <c r="BA232" s="77" t="str">
        <f t="shared" si="79"/>
        <v>10 ≤ Cor &lt;15 uC</v>
      </c>
      <c r="BB232" s="78" t="str">
        <f t="shared" si="80"/>
        <v>Turbidez &lt; 2,5 uT</v>
      </c>
      <c r="BC232" s="79" t="str">
        <f t="shared" si="81"/>
        <v>SM &gt; TOR &gt; BNN</v>
      </c>
      <c r="BD232" s="78" t="str">
        <f t="shared" si="82"/>
        <v>Tipo 1 (≤0,25) uT</v>
      </c>
      <c r="BE232" s="78" t="str">
        <f t="shared" si="83"/>
        <v>Tipo 1 (≤0,25) uT</v>
      </c>
      <c r="BF232" s="78" t="str">
        <f t="shared" si="84"/>
        <v>Tipo 1 (≤0,25) uT</v>
      </c>
      <c r="BG232" s="78" t="str">
        <f t="shared" si="85"/>
        <v>Tipo 1 (≤0,25) uT</v>
      </c>
      <c r="BH232" s="78" t="str">
        <f t="shared" si="86"/>
        <v>Tipo 1 (≤0,25) uT</v>
      </c>
    </row>
    <row r="233" spans="1:60" x14ac:dyDescent="0.2">
      <c r="A233" s="31">
        <v>46284</v>
      </c>
      <c r="B233" s="80">
        <v>6.25E-2</v>
      </c>
      <c r="C233" s="57">
        <v>399</v>
      </c>
      <c r="D233" s="57">
        <v>1657</v>
      </c>
      <c r="E233" s="57">
        <v>199</v>
      </c>
      <c r="F233" s="57">
        <v>2275</v>
      </c>
      <c r="G233" s="85" t="s">
        <v>78</v>
      </c>
      <c r="H233" s="63">
        <v>9.5</v>
      </c>
      <c r="I233" s="57">
        <v>-10</v>
      </c>
      <c r="J233" s="57">
        <v>90</v>
      </c>
      <c r="K233" s="57">
        <v>90</v>
      </c>
      <c r="L233" s="57">
        <v>90</v>
      </c>
      <c r="M233" s="57">
        <v>24.6</v>
      </c>
      <c r="N233" s="63">
        <v>6.2</v>
      </c>
      <c r="O233" s="36">
        <v>1.35</v>
      </c>
      <c r="P233" s="57">
        <v>10</v>
      </c>
      <c r="Q233" s="63">
        <v>6.8</v>
      </c>
      <c r="R233" s="36">
        <v>0.09</v>
      </c>
      <c r="S233" s="36">
        <v>22.36</v>
      </c>
      <c r="T233" s="36">
        <v>0.88</v>
      </c>
      <c r="U233" s="36">
        <v>0.7</v>
      </c>
      <c r="V233" s="42">
        <f t="shared" si="87"/>
        <v>1763.125</v>
      </c>
      <c r="W233" s="42">
        <f t="shared" si="88"/>
        <v>1460.2868799999999</v>
      </c>
      <c r="X233" s="42">
        <f t="shared" si="89"/>
        <v>0.82823786175115199</v>
      </c>
      <c r="Y233" s="57">
        <v>3</v>
      </c>
      <c r="Z233" s="57">
        <v>4</v>
      </c>
      <c r="AA233" s="63">
        <v>6</v>
      </c>
      <c r="AB233" s="57">
        <v>20</v>
      </c>
      <c r="AC233" s="63">
        <v>6.2</v>
      </c>
      <c r="AD233" s="63">
        <v>4.7</v>
      </c>
      <c r="AE233" s="36">
        <v>0.16</v>
      </c>
      <c r="AF233" s="36">
        <v>0.08</v>
      </c>
      <c r="AG233" s="42">
        <f t="shared" si="69"/>
        <v>1763.125</v>
      </c>
      <c r="AH233" s="42">
        <f t="shared" si="90"/>
        <v>1708.2758263999997</v>
      </c>
      <c r="AI233" s="42">
        <f t="shared" si="91"/>
        <v>0.96889093308755747</v>
      </c>
      <c r="AJ233" s="57">
        <v>3</v>
      </c>
      <c r="AK233" s="57">
        <v>4</v>
      </c>
      <c r="AL233" s="63">
        <v>6.3</v>
      </c>
      <c r="AM233" s="57">
        <v>22</v>
      </c>
      <c r="AN233" s="63">
        <v>6</v>
      </c>
      <c r="AO233" s="63">
        <v>4.7</v>
      </c>
      <c r="AP233" s="36">
        <v>0.17</v>
      </c>
      <c r="AQ233" s="36">
        <v>0.17</v>
      </c>
      <c r="AR233" s="73">
        <f t="shared" si="70"/>
        <v>2255</v>
      </c>
      <c r="AS233" s="75">
        <f t="shared" si="71"/>
        <v>0.17694013303769401</v>
      </c>
      <c r="AT233" s="75">
        <f t="shared" si="72"/>
        <v>0.7348115299334812</v>
      </c>
      <c r="AU233" s="75">
        <f t="shared" si="73"/>
        <v>8.8248337028824828E-2</v>
      </c>
      <c r="AV233" s="26">
        <f t="shared" si="74"/>
        <v>7.032967032967033E-2</v>
      </c>
      <c r="AW233" s="26">
        <f t="shared" si="75"/>
        <v>7.7362637362637363E-2</v>
      </c>
      <c r="AX233" s="24">
        <f t="shared" si="76"/>
        <v>0.87407407407407411</v>
      </c>
      <c r="AY233" s="24">
        <f t="shared" si="77"/>
        <v>0.94074074074074077</v>
      </c>
      <c r="AZ233" s="77" t="str">
        <f t="shared" si="78"/>
        <v>5,0 ≤ Alc. Bruta &lt; 7,5 mg/L</v>
      </c>
      <c r="BA233" s="77" t="str">
        <f t="shared" si="79"/>
        <v>10 ≤ Cor &lt;15 uC</v>
      </c>
      <c r="BB233" s="78" t="str">
        <f t="shared" si="80"/>
        <v>Turbidez &lt; 2,5 uT</v>
      </c>
      <c r="BC233" s="79" t="str">
        <f t="shared" si="81"/>
        <v>SM &gt; TOR &gt; BNN</v>
      </c>
      <c r="BD233" s="78" t="str">
        <f t="shared" si="82"/>
        <v>Tipo 1 (≤0,25) uT</v>
      </c>
      <c r="BE233" s="78" t="str">
        <f t="shared" si="83"/>
        <v>Tipo 1 (≤0,25) uT</v>
      </c>
      <c r="BF233" s="78" t="str">
        <f t="shared" si="84"/>
        <v>Tipo 1 (≤0,25) uT</v>
      </c>
      <c r="BG233" s="78" t="str">
        <f t="shared" si="85"/>
        <v>Tipo 1 (≤0,25) uT</v>
      </c>
      <c r="BH233" s="78" t="str">
        <f t="shared" si="86"/>
        <v>Tipo 1 (≤0,25) uT</v>
      </c>
    </row>
    <row r="234" spans="1:60" x14ac:dyDescent="0.2">
      <c r="A234" s="31">
        <v>46284</v>
      </c>
      <c r="B234" s="80">
        <v>0.14583333333333334</v>
      </c>
      <c r="C234" s="57">
        <v>240</v>
      </c>
      <c r="D234" s="57">
        <v>1713</v>
      </c>
      <c r="E234" s="57">
        <v>200</v>
      </c>
      <c r="F234" s="57">
        <v>2272</v>
      </c>
      <c r="G234" s="85" t="s">
        <v>78</v>
      </c>
      <c r="H234" s="63">
        <v>9.5</v>
      </c>
      <c r="I234" s="57">
        <v>-37</v>
      </c>
      <c r="J234" s="57">
        <v>90</v>
      </c>
      <c r="K234" s="57">
        <v>90</v>
      </c>
      <c r="L234" s="57">
        <v>90</v>
      </c>
      <c r="M234" s="57">
        <v>24.3</v>
      </c>
      <c r="N234" s="63">
        <v>6.3</v>
      </c>
      <c r="O234" s="36">
        <v>1.4</v>
      </c>
      <c r="P234" s="57">
        <v>11</v>
      </c>
      <c r="Q234" s="63">
        <v>6.5</v>
      </c>
      <c r="R234" s="36">
        <v>0.11</v>
      </c>
      <c r="S234" s="36">
        <v>22.36</v>
      </c>
      <c r="T234" s="36">
        <v>0.88</v>
      </c>
      <c r="U234" s="36">
        <v>0.7</v>
      </c>
      <c r="V234" s="42">
        <f t="shared" si="87"/>
        <v>1775</v>
      </c>
      <c r="W234" s="42">
        <f t="shared" si="88"/>
        <v>1491.1839279999999</v>
      </c>
      <c r="X234" s="42">
        <f t="shared" si="89"/>
        <v>0.84010362140845063</v>
      </c>
      <c r="Y234" s="57">
        <v>3</v>
      </c>
      <c r="Z234" s="57">
        <v>4</v>
      </c>
      <c r="AA234" s="63">
        <v>6.1</v>
      </c>
      <c r="AB234" s="57">
        <v>20</v>
      </c>
      <c r="AC234" s="63">
        <v>6.1</v>
      </c>
      <c r="AD234" s="63">
        <v>4.3</v>
      </c>
      <c r="AE234" s="36">
        <v>0.17</v>
      </c>
      <c r="AF234" s="36">
        <v>0.11</v>
      </c>
      <c r="AG234" s="42">
        <f t="shared" si="69"/>
        <v>1775</v>
      </c>
      <c r="AH234" s="42">
        <f t="shared" si="90"/>
        <v>1708.2758263999997</v>
      </c>
      <c r="AI234" s="42">
        <f t="shared" si="91"/>
        <v>0.96240891628169001</v>
      </c>
      <c r="AJ234" s="57">
        <v>3</v>
      </c>
      <c r="AK234" s="57">
        <v>4</v>
      </c>
      <c r="AL234" s="63">
        <v>6.3</v>
      </c>
      <c r="AM234" s="57">
        <v>22</v>
      </c>
      <c r="AN234" s="63">
        <v>6</v>
      </c>
      <c r="AO234" s="63">
        <v>4.8</v>
      </c>
      <c r="AP234" s="36">
        <v>0.17</v>
      </c>
      <c r="AQ234" s="36">
        <v>0.19</v>
      </c>
      <c r="AR234" s="73">
        <f t="shared" si="70"/>
        <v>2153</v>
      </c>
      <c r="AS234" s="75">
        <f t="shared" si="71"/>
        <v>0.1114723641430562</v>
      </c>
      <c r="AT234" s="75">
        <f t="shared" si="72"/>
        <v>0.79563399907106358</v>
      </c>
      <c r="AU234" s="75">
        <f t="shared" si="73"/>
        <v>9.2893636785880168E-2</v>
      </c>
      <c r="AV234" s="26">
        <f t="shared" si="74"/>
        <v>7.0422535211267609E-2</v>
      </c>
      <c r="AW234" s="26">
        <f t="shared" si="75"/>
        <v>7.746478873239436E-2</v>
      </c>
      <c r="AX234" s="24">
        <f t="shared" si="76"/>
        <v>0.86428571428571432</v>
      </c>
      <c r="AY234" s="24">
        <f t="shared" si="77"/>
        <v>0.92142857142857137</v>
      </c>
      <c r="AZ234" s="77" t="str">
        <f t="shared" si="78"/>
        <v>5,0 ≤ Alc. Bruta &lt; 7,5 mg/L</v>
      </c>
      <c r="BA234" s="77" t="str">
        <f t="shared" si="79"/>
        <v>10 ≤ Cor &lt;15 uC</v>
      </c>
      <c r="BB234" s="78" t="str">
        <f t="shared" si="80"/>
        <v>Turbidez &lt; 2,5 uT</v>
      </c>
      <c r="BC234" s="79" t="str">
        <f t="shared" si="81"/>
        <v>SM &gt; TOR &gt; BNN</v>
      </c>
      <c r="BD234" s="78" t="str">
        <f t="shared" si="82"/>
        <v>Tipo 1 (≤0,25) uT</v>
      </c>
      <c r="BE234" s="78" t="str">
        <f t="shared" si="83"/>
        <v>Tipo 1 (≤0,25) uT</v>
      </c>
      <c r="BF234" s="78" t="str">
        <f t="shared" si="84"/>
        <v>Tipo 1 (≤0,25) uT</v>
      </c>
      <c r="BG234" s="78" t="str">
        <f t="shared" si="85"/>
        <v>Tipo 1 (≤0,25) uT</v>
      </c>
      <c r="BH234" s="78" t="str">
        <f t="shared" si="86"/>
        <v>Tipo 1 (≤0,25) uT</v>
      </c>
    </row>
    <row r="235" spans="1:60" ht="15.75" thickBot="1" x14ac:dyDescent="0.25">
      <c r="A235" s="32">
        <v>46284</v>
      </c>
      <c r="B235" s="81">
        <v>0.22916666666666666</v>
      </c>
      <c r="C235" s="58">
        <v>243</v>
      </c>
      <c r="D235" s="58">
        <v>1720</v>
      </c>
      <c r="E235" s="58">
        <v>200</v>
      </c>
      <c r="F235" s="58">
        <v>2270</v>
      </c>
      <c r="G235" s="86" t="s">
        <v>78</v>
      </c>
      <c r="H235" s="64">
        <v>9.5</v>
      </c>
      <c r="I235" s="58">
        <v>-54</v>
      </c>
      <c r="J235" s="58">
        <v>90</v>
      </c>
      <c r="K235" s="58">
        <v>90</v>
      </c>
      <c r="L235" s="58">
        <v>90</v>
      </c>
      <c r="M235" s="58">
        <v>24.1</v>
      </c>
      <c r="N235" s="64">
        <v>6.4</v>
      </c>
      <c r="O235" s="37">
        <v>1.33</v>
      </c>
      <c r="P235" s="58">
        <v>10</v>
      </c>
      <c r="Q235" s="64">
        <v>6.5</v>
      </c>
      <c r="R235" s="37">
        <v>0.18</v>
      </c>
      <c r="S235" s="36">
        <v>22.36</v>
      </c>
      <c r="T235" s="36">
        <v>0.88</v>
      </c>
      <c r="U235" s="36">
        <v>0.7</v>
      </c>
      <c r="V235" s="42">
        <f t="shared" si="87"/>
        <v>1753.5749999999998</v>
      </c>
      <c r="W235" s="42">
        <f t="shared" si="88"/>
        <v>1460.2868799999999</v>
      </c>
      <c r="X235" s="42">
        <f t="shared" si="89"/>
        <v>0.83274845957543875</v>
      </c>
      <c r="Y235" s="58">
        <v>3</v>
      </c>
      <c r="Z235" s="58">
        <v>4</v>
      </c>
      <c r="AA235" s="64">
        <v>6</v>
      </c>
      <c r="AB235" s="58">
        <v>20</v>
      </c>
      <c r="AC235" s="64">
        <v>6.1</v>
      </c>
      <c r="AD235" s="64">
        <v>4.4000000000000004</v>
      </c>
      <c r="AE235" s="37">
        <v>0.14000000000000001</v>
      </c>
      <c r="AF235" s="37">
        <v>0.14000000000000001</v>
      </c>
      <c r="AG235" s="42">
        <f t="shared" si="69"/>
        <v>1753.5749999999998</v>
      </c>
      <c r="AH235" s="42">
        <f t="shared" si="90"/>
        <v>1708.2758263999997</v>
      </c>
      <c r="AI235" s="42">
        <f t="shared" si="91"/>
        <v>0.97416752998873724</v>
      </c>
      <c r="AJ235" s="58">
        <v>3</v>
      </c>
      <c r="AK235" s="58">
        <v>4</v>
      </c>
      <c r="AL235" s="64">
        <v>6.3</v>
      </c>
      <c r="AM235" s="58">
        <v>22</v>
      </c>
      <c r="AN235" s="64">
        <v>5.9</v>
      </c>
      <c r="AO235" s="64">
        <v>5.0999999999999996</v>
      </c>
      <c r="AP235" s="37">
        <v>0.15</v>
      </c>
      <c r="AQ235" s="37">
        <v>0.17</v>
      </c>
      <c r="AR235" s="73">
        <f t="shared" si="70"/>
        <v>2163</v>
      </c>
      <c r="AS235" s="75">
        <f t="shared" si="71"/>
        <v>0.11234396671289876</v>
      </c>
      <c r="AT235" s="75">
        <f t="shared" si="72"/>
        <v>0.79519186315302826</v>
      </c>
      <c r="AU235" s="75">
        <f t="shared" si="73"/>
        <v>9.2464170134073043E-2</v>
      </c>
      <c r="AV235" s="26">
        <f t="shared" si="74"/>
        <v>7.0484581497797363E-2</v>
      </c>
      <c r="AW235" s="26">
        <f t="shared" si="75"/>
        <v>7.7533039647577087E-2</v>
      </c>
      <c r="AX235" s="24">
        <f t="shared" si="76"/>
        <v>0.8721804511278195</v>
      </c>
      <c r="AY235" s="24">
        <f t="shared" si="77"/>
        <v>0.89473684210526316</v>
      </c>
      <c r="AZ235" s="77" t="str">
        <f t="shared" si="78"/>
        <v>5,0 ≤ Alc. Bruta &lt; 7,5 mg/L</v>
      </c>
      <c r="BA235" s="77" t="str">
        <f t="shared" si="79"/>
        <v>10 ≤ Cor &lt;15 uC</v>
      </c>
      <c r="BB235" s="78" t="str">
        <f t="shared" si="80"/>
        <v>Turbidez &lt; 2,5 uT</v>
      </c>
      <c r="BC235" s="79" t="str">
        <f t="shared" si="81"/>
        <v>SM &gt; TOR &gt; BNN</v>
      </c>
      <c r="BD235" s="78" t="str">
        <f t="shared" si="82"/>
        <v>Tipo 1 (≤0,25) uT</v>
      </c>
      <c r="BE235" s="78" t="str">
        <f t="shared" si="83"/>
        <v>Tipo 1 (≤0,25) uT</v>
      </c>
      <c r="BF235" s="78" t="str">
        <f t="shared" si="84"/>
        <v>Tipo 1 (≤0,25) uT</v>
      </c>
      <c r="BG235" s="78" t="str">
        <f t="shared" si="85"/>
        <v>Tipo 1 (≤0,25) uT</v>
      </c>
      <c r="BH235" s="78" t="str">
        <f t="shared" si="86"/>
        <v>Tipo 1 (≤0,25) uT</v>
      </c>
    </row>
    <row r="236" spans="1:60" x14ac:dyDescent="0.2">
      <c r="A236" s="30">
        <v>46284</v>
      </c>
      <c r="B236" s="82">
        <v>0.3125</v>
      </c>
      <c r="C236" s="59">
        <v>347</v>
      </c>
      <c r="D236" s="59">
        <v>1673</v>
      </c>
      <c r="E236" s="59">
        <v>200</v>
      </c>
      <c r="F236" s="59">
        <v>2277</v>
      </c>
      <c r="G236" s="87" t="s">
        <v>78</v>
      </c>
      <c r="H236" s="65">
        <v>9.5</v>
      </c>
      <c r="I236" s="59">
        <v>-62</v>
      </c>
      <c r="J236" s="59">
        <v>90</v>
      </c>
      <c r="K236" s="59">
        <v>90</v>
      </c>
      <c r="L236" s="59">
        <v>90</v>
      </c>
      <c r="M236" s="59">
        <v>24.2</v>
      </c>
      <c r="N236" s="65">
        <v>6.5</v>
      </c>
      <c r="O236" s="38">
        <v>1.22</v>
      </c>
      <c r="P236" s="59">
        <v>8</v>
      </c>
      <c r="Q236" s="65">
        <v>7.5</v>
      </c>
      <c r="R236" s="38">
        <v>0.19</v>
      </c>
      <c r="S236" s="36">
        <v>22.36</v>
      </c>
      <c r="T236" s="36">
        <v>0.88</v>
      </c>
      <c r="U236" s="36">
        <v>0.7</v>
      </c>
      <c r="V236" s="42">
        <f t="shared" si="87"/>
        <v>1727.6737500000002</v>
      </c>
      <c r="W236" s="42">
        <f t="shared" si="88"/>
        <v>1491.1839279999999</v>
      </c>
      <c r="X236" s="42">
        <f t="shared" si="89"/>
        <v>0.86311662025310032</v>
      </c>
      <c r="Y236" s="59">
        <v>3</v>
      </c>
      <c r="Z236" s="59">
        <v>4</v>
      </c>
      <c r="AA236" s="65">
        <v>6.1</v>
      </c>
      <c r="AB236" s="59">
        <v>20</v>
      </c>
      <c r="AC236" s="65">
        <v>6.1</v>
      </c>
      <c r="AD236" s="65">
        <v>5</v>
      </c>
      <c r="AE236" s="38">
        <v>0.18</v>
      </c>
      <c r="AF236" s="38">
        <v>0.15</v>
      </c>
      <c r="AG236" s="42">
        <f t="shared" si="69"/>
        <v>1727.6737500000002</v>
      </c>
      <c r="AH236" s="42">
        <f t="shared" si="90"/>
        <v>1785.9247275999996</v>
      </c>
      <c r="AI236" s="42">
        <f t="shared" si="91"/>
        <v>1.0337164222122375</v>
      </c>
      <c r="AJ236" s="59">
        <v>3</v>
      </c>
      <c r="AK236" s="59">
        <v>4</v>
      </c>
      <c r="AL236" s="65">
        <v>6.3</v>
      </c>
      <c r="AM236" s="59">
        <v>23</v>
      </c>
      <c r="AN236" s="65">
        <v>6.1</v>
      </c>
      <c r="AO236" s="65">
        <v>4.7</v>
      </c>
      <c r="AP236" s="38">
        <v>0.19</v>
      </c>
      <c r="AQ236" s="38">
        <v>0.18</v>
      </c>
      <c r="AR236" s="73">
        <f t="shared" si="70"/>
        <v>2220</v>
      </c>
      <c r="AS236" s="75">
        <f t="shared" si="71"/>
        <v>0.15630630630630632</v>
      </c>
      <c r="AT236" s="75">
        <f t="shared" si="72"/>
        <v>0.75360360360360357</v>
      </c>
      <c r="AU236" s="75">
        <f t="shared" si="73"/>
        <v>9.0090090090090086E-2</v>
      </c>
      <c r="AV236" s="26">
        <f t="shared" si="74"/>
        <v>7.026789635485288E-2</v>
      </c>
      <c r="AW236" s="26">
        <f t="shared" si="75"/>
        <v>8.0808080808080815E-2</v>
      </c>
      <c r="AX236" s="24">
        <f t="shared" si="76"/>
        <v>0.85245901639344268</v>
      </c>
      <c r="AY236" s="24">
        <f t="shared" si="77"/>
        <v>0.87704918032786883</v>
      </c>
      <c r="AZ236" s="77" t="str">
        <f t="shared" si="78"/>
        <v>7,5 ≤ Alc. Bruta &lt; 10,0 mg/L</v>
      </c>
      <c r="BA236" s="77" t="str">
        <f t="shared" si="79"/>
        <v>5 ≤ Cor &lt; 10 uC</v>
      </c>
      <c r="BB236" s="78" t="str">
        <f t="shared" si="80"/>
        <v>Turbidez &lt; 2,5 uT</v>
      </c>
      <c r="BC236" s="79" t="str">
        <f t="shared" si="81"/>
        <v>SM &gt; TOR &gt; BNN</v>
      </c>
      <c r="BD236" s="78" t="str">
        <f t="shared" si="82"/>
        <v>Tipo 1 (≤0,25) uT</v>
      </c>
      <c r="BE236" s="78" t="str">
        <f t="shared" si="83"/>
        <v>Tipo 1 (≤0,25) uT</v>
      </c>
      <c r="BF236" s="78" t="str">
        <f t="shared" si="84"/>
        <v>Tipo 1 (≤0,25) uT</v>
      </c>
      <c r="BG236" s="78" t="str">
        <f t="shared" si="85"/>
        <v>Tipo 1 (≤0,25) uT</v>
      </c>
      <c r="BH236" s="78" t="str">
        <f t="shared" si="86"/>
        <v>Tipo 1 (≤0,25) uT</v>
      </c>
    </row>
    <row r="237" spans="1:60" x14ac:dyDescent="0.2">
      <c r="A237" s="31">
        <v>46284</v>
      </c>
      <c r="B237" s="80">
        <v>0.39583333333333331</v>
      </c>
      <c r="C237" s="57">
        <v>383</v>
      </c>
      <c r="D237" s="57">
        <v>1223</v>
      </c>
      <c r="E237" s="57">
        <v>224</v>
      </c>
      <c r="F237" s="57">
        <v>1770</v>
      </c>
      <c r="G237" s="85" t="s">
        <v>78</v>
      </c>
      <c r="H237" s="63">
        <v>9.5</v>
      </c>
      <c r="I237" s="57">
        <v>-35</v>
      </c>
      <c r="J237" s="57">
        <v>90</v>
      </c>
      <c r="K237" s="57">
        <v>90</v>
      </c>
      <c r="L237" s="57">
        <v>90</v>
      </c>
      <c r="M237" s="57">
        <v>25</v>
      </c>
      <c r="N237" s="63">
        <v>6.5</v>
      </c>
      <c r="O237" s="36">
        <v>1.3</v>
      </c>
      <c r="P237" s="57">
        <v>9</v>
      </c>
      <c r="Q237" s="63">
        <v>7.7</v>
      </c>
      <c r="R237" s="36">
        <v>0.13</v>
      </c>
      <c r="S237" s="36">
        <v>22.36</v>
      </c>
      <c r="T237" s="36">
        <v>0.88</v>
      </c>
      <c r="U237" s="36">
        <v>0.7</v>
      </c>
      <c r="V237" s="42">
        <f t="shared" si="87"/>
        <v>1360.6875</v>
      </c>
      <c r="W237" s="42">
        <f t="shared" si="88"/>
        <v>1491.1839279999999</v>
      </c>
      <c r="X237" s="42">
        <f t="shared" si="89"/>
        <v>1.0959047746084241</v>
      </c>
      <c r="Y237" s="57">
        <v>2</v>
      </c>
      <c r="Z237" s="57">
        <v>4</v>
      </c>
      <c r="AA237" s="63">
        <v>6.1</v>
      </c>
      <c r="AB237" s="57">
        <v>20</v>
      </c>
      <c r="AC237" s="63">
        <v>6.1</v>
      </c>
      <c r="AD237" s="63">
        <v>5.0999999999999996</v>
      </c>
      <c r="AE237" s="36">
        <v>0.16</v>
      </c>
      <c r="AF237" s="36">
        <v>0.14000000000000001</v>
      </c>
      <c r="AG237" s="42">
        <f t="shared" si="69"/>
        <v>1814.25</v>
      </c>
      <c r="AH237" s="42">
        <f t="shared" si="90"/>
        <v>1674.2890735999999</v>
      </c>
      <c r="AI237" s="42">
        <f t="shared" si="91"/>
        <v>0.92285466369023006</v>
      </c>
      <c r="AJ237" s="57">
        <v>2</v>
      </c>
      <c r="AK237" s="57">
        <v>3</v>
      </c>
      <c r="AL237" s="63">
        <v>6.2</v>
      </c>
      <c r="AM237" s="57">
        <v>22</v>
      </c>
      <c r="AN237" s="63">
        <v>6.1</v>
      </c>
      <c r="AO237" s="63">
        <v>5.0999999999999996</v>
      </c>
      <c r="AP237" s="36">
        <v>0.14000000000000001</v>
      </c>
      <c r="AQ237" s="36">
        <v>0.17</v>
      </c>
      <c r="AR237" s="73">
        <f t="shared" si="70"/>
        <v>1830</v>
      </c>
      <c r="AS237" s="75">
        <f t="shared" si="71"/>
        <v>0.20928961748633879</v>
      </c>
      <c r="AT237" s="75">
        <f t="shared" si="72"/>
        <v>0.6683060109289618</v>
      </c>
      <c r="AU237" s="75">
        <f t="shared" si="73"/>
        <v>0.12240437158469945</v>
      </c>
      <c r="AV237" s="26">
        <f t="shared" si="74"/>
        <v>9.03954802259887E-2</v>
      </c>
      <c r="AW237" s="26">
        <f t="shared" si="75"/>
        <v>7.4576271186440682E-2</v>
      </c>
      <c r="AX237" s="24">
        <f t="shared" si="76"/>
        <v>0.86923076923076925</v>
      </c>
      <c r="AY237" s="24">
        <f t="shared" si="77"/>
        <v>0.89230769230769225</v>
      </c>
      <c r="AZ237" s="77" t="str">
        <f t="shared" si="78"/>
        <v>7,5 ≤ Alc. Bruta &lt; 10,0 mg/L</v>
      </c>
      <c r="BA237" s="77" t="str">
        <f t="shared" si="79"/>
        <v>5 ≤ Cor &lt; 10 uC</v>
      </c>
      <c r="BB237" s="78" t="str">
        <f t="shared" si="80"/>
        <v>Turbidez &lt; 2,5 uT</v>
      </c>
      <c r="BC237" s="79" t="str">
        <f t="shared" si="81"/>
        <v>SM &gt; TOR &gt; BNN</v>
      </c>
      <c r="BD237" s="78" t="str">
        <f t="shared" si="82"/>
        <v>Tipo 1 (≤0,25) uT</v>
      </c>
      <c r="BE237" s="78" t="str">
        <f t="shared" si="83"/>
        <v>Tipo 1 (≤0,25) uT</v>
      </c>
      <c r="BF237" s="78" t="str">
        <f t="shared" si="84"/>
        <v>Tipo 1 (≤0,25) uT</v>
      </c>
      <c r="BG237" s="78" t="str">
        <f t="shared" si="85"/>
        <v>Tipo 1 (≤0,25) uT</v>
      </c>
      <c r="BH237" s="78" t="str">
        <f t="shared" si="86"/>
        <v>Tipo 1 (≤0,25) uT</v>
      </c>
    </row>
    <row r="238" spans="1:60" x14ac:dyDescent="0.2">
      <c r="A238" s="31">
        <v>46284</v>
      </c>
      <c r="B238" s="80">
        <v>0.47916666666666669</v>
      </c>
      <c r="C238" s="57">
        <v>380</v>
      </c>
      <c r="D238" s="57">
        <v>1221</v>
      </c>
      <c r="E238" s="57">
        <v>225</v>
      </c>
      <c r="F238" s="57">
        <v>1768</v>
      </c>
      <c r="G238" s="85" t="s">
        <v>78</v>
      </c>
      <c r="H238" s="63">
        <v>9.5</v>
      </c>
      <c r="I238" s="57">
        <v>-31</v>
      </c>
      <c r="J238" s="57">
        <v>90</v>
      </c>
      <c r="K238" s="57">
        <v>90</v>
      </c>
      <c r="L238" s="57">
        <v>90</v>
      </c>
      <c r="M238" s="57">
        <v>25.2</v>
      </c>
      <c r="N238" s="63">
        <v>6.5</v>
      </c>
      <c r="O238" s="36">
        <v>1.7</v>
      </c>
      <c r="P238" s="57">
        <v>10</v>
      </c>
      <c r="Q238" s="63">
        <v>7.7</v>
      </c>
      <c r="R238" s="36">
        <v>0.21</v>
      </c>
      <c r="S238" s="36">
        <v>22.36</v>
      </c>
      <c r="T238" s="36">
        <v>0.88</v>
      </c>
      <c r="U238" s="36">
        <v>0.7</v>
      </c>
      <c r="V238" s="42">
        <f t="shared" si="87"/>
        <v>1447.55</v>
      </c>
      <c r="W238" s="42">
        <f t="shared" si="88"/>
        <v>1491.1839279999999</v>
      </c>
      <c r="X238" s="42">
        <f t="shared" si="89"/>
        <v>1.0301432959137853</v>
      </c>
      <c r="Y238" s="57">
        <v>2</v>
      </c>
      <c r="Z238" s="57">
        <v>4</v>
      </c>
      <c r="AA238" s="63">
        <v>6.1</v>
      </c>
      <c r="AB238" s="57">
        <v>20</v>
      </c>
      <c r="AC238" s="63">
        <v>6.2</v>
      </c>
      <c r="AD238" s="63">
        <v>5.3</v>
      </c>
      <c r="AE238" s="36">
        <v>0.14000000000000001</v>
      </c>
      <c r="AF238" s="36">
        <v>0.1</v>
      </c>
      <c r="AG238" s="42">
        <f t="shared" si="69"/>
        <v>1930.0666666666668</v>
      </c>
      <c r="AH238" s="42">
        <f t="shared" si="90"/>
        <v>1674.2890735999999</v>
      </c>
      <c r="AI238" s="42">
        <f t="shared" si="91"/>
        <v>0.86747732734620553</v>
      </c>
      <c r="AJ238" s="57">
        <v>2</v>
      </c>
      <c r="AK238" s="57">
        <v>3</v>
      </c>
      <c r="AL238" s="63">
        <v>6.2</v>
      </c>
      <c r="AM238" s="57">
        <v>22</v>
      </c>
      <c r="AN238" s="63">
        <v>6.1</v>
      </c>
      <c r="AO238" s="63">
        <v>5.2</v>
      </c>
      <c r="AP238" s="36">
        <v>0.13</v>
      </c>
      <c r="AQ238" s="36">
        <v>0.16</v>
      </c>
      <c r="AR238" s="73">
        <f t="shared" si="70"/>
        <v>1826</v>
      </c>
      <c r="AS238" s="75">
        <f t="shared" si="71"/>
        <v>0.20810514786418402</v>
      </c>
      <c r="AT238" s="75">
        <f t="shared" si="72"/>
        <v>0.66867469879518071</v>
      </c>
      <c r="AU238" s="75">
        <f t="shared" si="73"/>
        <v>0.12322015334063527</v>
      </c>
      <c r="AV238" s="26">
        <f t="shared" si="74"/>
        <v>9.0497737556561084E-2</v>
      </c>
      <c r="AW238" s="26">
        <f t="shared" si="75"/>
        <v>7.4660633484162894E-2</v>
      </c>
      <c r="AX238" s="24">
        <f t="shared" si="76"/>
        <v>0.90588235294117647</v>
      </c>
      <c r="AY238" s="24">
        <f t="shared" si="77"/>
        <v>0.94117647058823528</v>
      </c>
      <c r="AZ238" s="77" t="str">
        <f t="shared" si="78"/>
        <v>7,5 ≤ Alc. Bruta &lt; 10,0 mg/L</v>
      </c>
      <c r="BA238" s="77" t="str">
        <f t="shared" si="79"/>
        <v>10 ≤ Cor &lt;15 uC</v>
      </c>
      <c r="BB238" s="78" t="str">
        <f t="shared" si="80"/>
        <v>Turbidez &lt; 2,5 uT</v>
      </c>
      <c r="BC238" s="79" t="str">
        <f t="shared" si="81"/>
        <v>SM &gt; TOR &gt; BNN</v>
      </c>
      <c r="BD238" s="78" t="str">
        <f t="shared" si="82"/>
        <v>Tipo 1 (≤0,25) uT</v>
      </c>
      <c r="BE238" s="78" t="str">
        <f t="shared" si="83"/>
        <v>Tipo 1 (≤0,25) uT</v>
      </c>
      <c r="BF238" s="78" t="str">
        <f t="shared" si="84"/>
        <v>Tipo 1 (≤0,25) uT</v>
      </c>
      <c r="BG238" s="78" t="str">
        <f t="shared" si="85"/>
        <v>Tipo 1 (≤0,25) uT</v>
      </c>
      <c r="BH238" s="78" t="str">
        <f t="shared" si="86"/>
        <v>Tipo 1 (≤0,25) uT</v>
      </c>
    </row>
    <row r="239" spans="1:60" x14ac:dyDescent="0.2">
      <c r="A239" s="31">
        <v>46284</v>
      </c>
      <c r="B239" s="80">
        <v>0.64583333333333337</v>
      </c>
      <c r="C239" s="57">
        <v>329</v>
      </c>
      <c r="D239" s="57">
        <v>1243</v>
      </c>
      <c r="E239" s="57">
        <v>223</v>
      </c>
      <c r="F239" s="57">
        <v>1758</v>
      </c>
      <c r="G239" s="85" t="s">
        <v>78</v>
      </c>
      <c r="H239" s="63">
        <v>9.5</v>
      </c>
      <c r="I239" s="57">
        <v>-20</v>
      </c>
      <c r="J239" s="57">
        <v>90</v>
      </c>
      <c r="K239" s="57">
        <v>90</v>
      </c>
      <c r="L239" s="57">
        <v>90</v>
      </c>
      <c r="M239" s="57">
        <v>26</v>
      </c>
      <c r="N239" s="63">
        <v>6.4</v>
      </c>
      <c r="O239" s="36">
        <v>1.91</v>
      </c>
      <c r="P239" s="57">
        <v>11</v>
      </c>
      <c r="Q239" s="63">
        <v>7.5</v>
      </c>
      <c r="R239" s="36">
        <v>0.09</v>
      </c>
      <c r="S239" s="36">
        <v>22.36</v>
      </c>
      <c r="T239" s="36">
        <v>0.88</v>
      </c>
      <c r="U239" s="36">
        <v>0.7</v>
      </c>
      <c r="V239" s="42">
        <f t="shared" si="87"/>
        <v>1485.51</v>
      </c>
      <c r="W239" s="42">
        <f t="shared" si="88"/>
        <v>1598.1850248000001</v>
      </c>
      <c r="X239" s="42">
        <f t="shared" si="89"/>
        <v>1.0758493882908899</v>
      </c>
      <c r="Y239" s="57">
        <v>2</v>
      </c>
      <c r="Z239" s="57">
        <v>4</v>
      </c>
      <c r="AA239" s="63">
        <v>6.2</v>
      </c>
      <c r="AB239" s="57">
        <v>21</v>
      </c>
      <c r="AC239" s="63">
        <v>6.1</v>
      </c>
      <c r="AD239" s="63">
        <v>5.6</v>
      </c>
      <c r="AE239" s="36">
        <v>0.15</v>
      </c>
      <c r="AF239" s="36">
        <v>0.2</v>
      </c>
      <c r="AG239" s="42">
        <f t="shared" si="69"/>
        <v>1980.6799999999998</v>
      </c>
      <c r="AH239" s="42">
        <f t="shared" si="90"/>
        <v>1674.2890735999999</v>
      </c>
      <c r="AI239" s="42">
        <f t="shared" si="91"/>
        <v>0.84531023365712787</v>
      </c>
      <c r="AJ239" s="57">
        <v>2</v>
      </c>
      <c r="AK239" s="57">
        <v>3</v>
      </c>
      <c r="AL239" s="63">
        <v>6.2</v>
      </c>
      <c r="AM239" s="57">
        <v>22</v>
      </c>
      <c r="AN239" s="63">
        <v>6.1</v>
      </c>
      <c r="AO239" s="63">
        <v>5.5</v>
      </c>
      <c r="AP239" s="36">
        <v>0.22</v>
      </c>
      <c r="AQ239" s="36">
        <v>0.17</v>
      </c>
      <c r="AR239" s="73">
        <f t="shared" si="70"/>
        <v>1795</v>
      </c>
      <c r="AS239" s="75">
        <f t="shared" si="71"/>
        <v>0.18328690807799444</v>
      </c>
      <c r="AT239" s="75">
        <f t="shared" si="72"/>
        <v>0.69247910863509754</v>
      </c>
      <c r="AU239" s="75">
        <f t="shared" si="73"/>
        <v>0.12423398328690807</v>
      </c>
      <c r="AV239" s="26">
        <f t="shared" si="74"/>
        <v>9.556313993174062E-2</v>
      </c>
      <c r="AW239" s="26">
        <f t="shared" si="75"/>
        <v>7.5085324232081918E-2</v>
      </c>
      <c r="AX239" s="24">
        <f t="shared" si="76"/>
        <v>0.91099476439790572</v>
      </c>
      <c r="AY239" s="24">
        <f t="shared" si="77"/>
        <v>0.89528795811518325</v>
      </c>
      <c r="AZ239" s="77" t="str">
        <f t="shared" si="78"/>
        <v>7,5 ≤ Alc. Bruta &lt; 10,0 mg/L</v>
      </c>
      <c r="BA239" s="77" t="str">
        <f t="shared" si="79"/>
        <v>10 ≤ Cor &lt;15 uC</v>
      </c>
      <c r="BB239" s="78" t="str">
        <f t="shared" si="80"/>
        <v>Turbidez &lt; 2,5 uT</v>
      </c>
      <c r="BC239" s="79" t="str">
        <f t="shared" si="81"/>
        <v>SM &gt; TOR &gt; BNN</v>
      </c>
      <c r="BD239" s="78" t="str">
        <f t="shared" si="82"/>
        <v>Tipo 1 (≤0,25) uT</v>
      </c>
      <c r="BE239" s="78" t="str">
        <f t="shared" si="83"/>
        <v>Tipo 1 (≤0,25) uT</v>
      </c>
      <c r="BF239" s="78" t="str">
        <f t="shared" si="84"/>
        <v>Tipo 1 (≤0,25) uT</v>
      </c>
      <c r="BG239" s="78" t="str">
        <f t="shared" si="85"/>
        <v>Tipo 1 (≤0,25) uT</v>
      </c>
      <c r="BH239" s="78" t="str">
        <f t="shared" si="86"/>
        <v>Tipo 1 (≤0,25) uT</v>
      </c>
    </row>
    <row r="240" spans="1:60" x14ac:dyDescent="0.2">
      <c r="A240" s="31">
        <v>46284</v>
      </c>
      <c r="B240" s="80">
        <v>0.72916666666666663</v>
      </c>
      <c r="C240" s="57">
        <v>323</v>
      </c>
      <c r="D240" s="57">
        <v>1170</v>
      </c>
      <c r="E240" s="57">
        <v>224</v>
      </c>
      <c r="F240" s="57">
        <v>1702</v>
      </c>
      <c r="G240" s="85" t="s">
        <v>78</v>
      </c>
      <c r="H240" s="63">
        <v>9.5</v>
      </c>
      <c r="I240" s="57">
        <v>-8</v>
      </c>
      <c r="J240" s="57">
        <v>90</v>
      </c>
      <c r="K240" s="57">
        <v>90</v>
      </c>
      <c r="L240" s="57">
        <v>90</v>
      </c>
      <c r="M240" s="57">
        <v>26.1</v>
      </c>
      <c r="N240" s="63">
        <v>6.4</v>
      </c>
      <c r="O240" s="36">
        <v>1.82</v>
      </c>
      <c r="P240" s="57">
        <v>10</v>
      </c>
      <c r="Q240" s="63">
        <v>7.4</v>
      </c>
      <c r="R240" s="36">
        <v>0.08</v>
      </c>
      <c r="S240" s="36">
        <v>22.36</v>
      </c>
      <c r="T240" s="36">
        <v>0.88</v>
      </c>
      <c r="U240" s="36">
        <v>0.7</v>
      </c>
      <c r="V240" s="42">
        <f t="shared" si="87"/>
        <v>1419.0425</v>
      </c>
      <c r="W240" s="42">
        <f t="shared" si="88"/>
        <v>1491.1839279999999</v>
      </c>
      <c r="X240" s="42">
        <f t="shared" si="89"/>
        <v>1.0508381024528863</v>
      </c>
      <c r="Y240" s="57">
        <v>2</v>
      </c>
      <c r="Z240" s="57">
        <v>4</v>
      </c>
      <c r="AA240" s="63">
        <v>6.1</v>
      </c>
      <c r="AB240" s="57">
        <v>20</v>
      </c>
      <c r="AC240" s="63">
        <v>6.1</v>
      </c>
      <c r="AD240" s="63">
        <v>5.2</v>
      </c>
      <c r="AE240" s="36">
        <v>0.12</v>
      </c>
      <c r="AF240" s="36">
        <v>0.1</v>
      </c>
      <c r="AG240" s="42">
        <f t="shared" si="69"/>
        <v>1892.0566666666668</v>
      </c>
      <c r="AH240" s="42">
        <f t="shared" si="90"/>
        <v>1785.9247275999996</v>
      </c>
      <c r="AI240" s="42">
        <f t="shared" si="91"/>
        <v>0.94390657482069751</v>
      </c>
      <c r="AJ240" s="57">
        <v>2</v>
      </c>
      <c r="AK240" s="57">
        <v>3</v>
      </c>
      <c r="AL240" s="63">
        <v>6.3</v>
      </c>
      <c r="AM240" s="57">
        <v>23</v>
      </c>
      <c r="AN240" s="63">
        <v>6.1</v>
      </c>
      <c r="AO240" s="63">
        <v>5.4</v>
      </c>
      <c r="AP240" s="36">
        <v>0.16</v>
      </c>
      <c r="AQ240" s="36">
        <v>0.15</v>
      </c>
      <c r="AR240" s="73">
        <f t="shared" si="70"/>
        <v>1717</v>
      </c>
      <c r="AS240" s="75">
        <f t="shared" si="71"/>
        <v>0.18811881188118812</v>
      </c>
      <c r="AT240" s="75">
        <f t="shared" si="72"/>
        <v>0.68142108328479911</v>
      </c>
      <c r="AU240" s="75">
        <f t="shared" si="73"/>
        <v>0.13046010483401282</v>
      </c>
      <c r="AV240" s="26">
        <f t="shared" si="74"/>
        <v>9.400705052878966E-2</v>
      </c>
      <c r="AW240" s="26">
        <f t="shared" si="75"/>
        <v>8.1081081081081072E-2</v>
      </c>
      <c r="AX240" s="24">
        <f t="shared" si="76"/>
        <v>0.91758241758241754</v>
      </c>
      <c r="AY240" s="24">
        <f t="shared" si="77"/>
        <v>0.94505494505494503</v>
      </c>
      <c r="AZ240" s="77" t="str">
        <f t="shared" si="78"/>
        <v>5,0 ≤ Alc. Bruta &lt; 7,5 mg/L</v>
      </c>
      <c r="BA240" s="77" t="str">
        <f t="shared" si="79"/>
        <v>10 ≤ Cor &lt;15 uC</v>
      </c>
      <c r="BB240" s="78" t="str">
        <f t="shared" si="80"/>
        <v>Turbidez &lt; 2,5 uT</v>
      </c>
      <c r="BC240" s="79" t="str">
        <f t="shared" si="81"/>
        <v>SM &gt; TOR &gt; BNN</v>
      </c>
      <c r="BD240" s="78" t="str">
        <f t="shared" si="82"/>
        <v>Tipo 1 (≤0,25) uT</v>
      </c>
      <c r="BE240" s="78" t="str">
        <f t="shared" si="83"/>
        <v>Tipo 1 (≤0,25) uT</v>
      </c>
      <c r="BF240" s="78" t="str">
        <f t="shared" si="84"/>
        <v>Tipo 1 (≤0,25) uT</v>
      </c>
      <c r="BG240" s="78" t="str">
        <f t="shared" si="85"/>
        <v>Tipo 1 (≤0,25) uT</v>
      </c>
      <c r="BH240" s="78" t="str">
        <f t="shared" si="86"/>
        <v>Tipo 1 (≤0,25) uT</v>
      </c>
    </row>
    <row r="241" spans="1:60" x14ac:dyDescent="0.2">
      <c r="A241" s="31">
        <v>46284</v>
      </c>
      <c r="B241" s="80">
        <v>0.8125</v>
      </c>
      <c r="C241" s="57">
        <v>310</v>
      </c>
      <c r="D241" s="57">
        <v>1210</v>
      </c>
      <c r="E241" s="57">
        <v>220</v>
      </c>
      <c r="F241" s="57">
        <v>1763</v>
      </c>
      <c r="G241" s="85" t="s">
        <v>78</v>
      </c>
      <c r="H241" s="63">
        <v>9.5</v>
      </c>
      <c r="I241" s="57">
        <v>3.9</v>
      </c>
      <c r="J241" s="57">
        <v>90</v>
      </c>
      <c r="K241" s="57">
        <v>90</v>
      </c>
      <c r="L241" s="57">
        <v>90</v>
      </c>
      <c r="M241" s="57">
        <v>25.8</v>
      </c>
      <c r="N241" s="63">
        <v>6.5</v>
      </c>
      <c r="O241" s="36">
        <v>1.77</v>
      </c>
      <c r="P241" s="57">
        <v>10</v>
      </c>
      <c r="Q241" s="63">
        <v>7.1</v>
      </c>
      <c r="R241" s="36">
        <v>0.08</v>
      </c>
      <c r="S241" s="36">
        <v>22.36</v>
      </c>
      <c r="T241" s="36">
        <v>0.88</v>
      </c>
      <c r="U241" s="36">
        <v>0.7</v>
      </c>
      <c r="V241" s="42">
        <f t="shared" si="87"/>
        <v>1458.8824999999999</v>
      </c>
      <c r="W241" s="42">
        <f t="shared" si="88"/>
        <v>1491.1839279999999</v>
      </c>
      <c r="X241" s="42">
        <f t="shared" si="89"/>
        <v>1.0221412128804068</v>
      </c>
      <c r="Y241" s="57">
        <v>2</v>
      </c>
      <c r="Z241" s="57">
        <v>4</v>
      </c>
      <c r="AA241" s="63">
        <v>6.1</v>
      </c>
      <c r="AB241" s="57">
        <v>20</v>
      </c>
      <c r="AC241" s="63">
        <v>6.1</v>
      </c>
      <c r="AD241" s="63">
        <v>5.5</v>
      </c>
      <c r="AE241" s="36">
        <v>0.16</v>
      </c>
      <c r="AF241" s="36">
        <v>0.1</v>
      </c>
      <c r="AG241" s="42">
        <f t="shared" si="69"/>
        <v>1945.1766666666665</v>
      </c>
      <c r="AH241" s="42">
        <f t="shared" si="90"/>
        <v>1708.2758263999997</v>
      </c>
      <c r="AI241" s="42">
        <f t="shared" si="91"/>
        <v>0.87821114435192682</v>
      </c>
      <c r="AJ241" s="57">
        <v>2</v>
      </c>
      <c r="AK241" s="57">
        <v>3</v>
      </c>
      <c r="AL241" s="63">
        <v>6.3</v>
      </c>
      <c r="AM241" s="57">
        <v>22</v>
      </c>
      <c r="AN241" s="63">
        <v>6.1</v>
      </c>
      <c r="AO241" s="63">
        <v>5.3</v>
      </c>
      <c r="AP241" s="36">
        <v>0.18</v>
      </c>
      <c r="AQ241" s="36">
        <v>0.14000000000000001</v>
      </c>
      <c r="AR241" s="73">
        <f t="shared" si="70"/>
        <v>1740</v>
      </c>
      <c r="AS241" s="75">
        <f t="shared" si="71"/>
        <v>0.17816091954022989</v>
      </c>
      <c r="AT241" s="75">
        <f t="shared" si="72"/>
        <v>0.6954022988505747</v>
      </c>
      <c r="AU241" s="75">
        <f t="shared" si="73"/>
        <v>0.12643678160919541</v>
      </c>
      <c r="AV241" s="26">
        <f t="shared" si="74"/>
        <v>9.075439591605218E-2</v>
      </c>
      <c r="AW241" s="26">
        <f t="shared" si="75"/>
        <v>7.4872376630743059E-2</v>
      </c>
      <c r="AX241" s="24">
        <f t="shared" si="76"/>
        <v>0.92090395480225984</v>
      </c>
      <c r="AY241" s="24">
        <f t="shared" si="77"/>
        <v>0.94350282485875703</v>
      </c>
      <c r="AZ241" s="77" t="str">
        <f t="shared" si="78"/>
        <v>5,0 ≤ Alc. Bruta &lt; 7,5 mg/L</v>
      </c>
      <c r="BA241" s="77" t="str">
        <f t="shared" si="79"/>
        <v>10 ≤ Cor &lt;15 uC</v>
      </c>
      <c r="BB241" s="78" t="str">
        <f t="shared" si="80"/>
        <v>Turbidez &lt; 2,5 uT</v>
      </c>
      <c r="BC241" s="79" t="str">
        <f t="shared" si="81"/>
        <v>SM &gt; TOR &gt; BNN</v>
      </c>
      <c r="BD241" s="78" t="str">
        <f t="shared" si="82"/>
        <v>Tipo 1 (≤0,25) uT</v>
      </c>
      <c r="BE241" s="78" t="str">
        <f t="shared" si="83"/>
        <v>Tipo 1 (≤0,25) uT</v>
      </c>
      <c r="BF241" s="78" t="str">
        <f t="shared" si="84"/>
        <v>Tipo 1 (≤0,25) uT</v>
      </c>
      <c r="BG241" s="78" t="str">
        <f t="shared" si="85"/>
        <v>Tipo 1 (≤0,25) uT</v>
      </c>
      <c r="BH241" s="78" t="str">
        <f t="shared" si="86"/>
        <v>Tipo 1 (≤0,25) uT</v>
      </c>
    </row>
    <row r="242" spans="1:60" x14ac:dyDescent="0.2">
      <c r="A242" s="31">
        <v>46284</v>
      </c>
      <c r="B242" s="80">
        <v>0.89583333333333337</v>
      </c>
      <c r="C242" s="57">
        <v>309</v>
      </c>
      <c r="D242" s="57">
        <v>1225</v>
      </c>
      <c r="E242" s="57">
        <v>220</v>
      </c>
      <c r="F242" s="57">
        <v>1757</v>
      </c>
      <c r="G242" s="85" t="s">
        <v>78</v>
      </c>
      <c r="H242" s="63">
        <v>9.5</v>
      </c>
      <c r="I242" s="57">
        <v>-3.5</v>
      </c>
      <c r="J242" s="57">
        <v>90</v>
      </c>
      <c r="K242" s="57">
        <v>90</v>
      </c>
      <c r="L242" s="57">
        <v>90</v>
      </c>
      <c r="M242" s="57">
        <v>24.9</v>
      </c>
      <c r="N242" s="63">
        <v>6.4</v>
      </c>
      <c r="O242" s="36">
        <v>1.33</v>
      </c>
      <c r="P242" s="57">
        <v>9</v>
      </c>
      <c r="Q242" s="63">
        <v>6.8</v>
      </c>
      <c r="R242" s="36">
        <v>7.0000000000000007E-2</v>
      </c>
      <c r="S242" s="36">
        <v>22.36</v>
      </c>
      <c r="T242" s="36">
        <v>0.88</v>
      </c>
      <c r="U242" s="36">
        <v>0.7</v>
      </c>
      <c r="V242" s="42">
        <f t="shared" si="87"/>
        <v>1357.2825</v>
      </c>
      <c r="W242" s="42">
        <f t="shared" si="88"/>
        <v>1460.2868799999999</v>
      </c>
      <c r="X242" s="42">
        <f t="shared" si="89"/>
        <v>1.0758901555129459</v>
      </c>
      <c r="Y242" s="57">
        <v>2</v>
      </c>
      <c r="Z242" s="57">
        <v>4</v>
      </c>
      <c r="AA242" s="63">
        <v>6</v>
      </c>
      <c r="AB242" s="57">
        <v>20</v>
      </c>
      <c r="AC242" s="63">
        <v>6.1</v>
      </c>
      <c r="AD242" s="63">
        <v>5.3</v>
      </c>
      <c r="AE242" s="36">
        <v>0.15</v>
      </c>
      <c r="AF242" s="36">
        <v>0.1</v>
      </c>
      <c r="AG242" s="42">
        <f t="shared" si="69"/>
        <v>1809.7099999999998</v>
      </c>
      <c r="AH242" s="42">
        <f t="shared" si="90"/>
        <v>1708.2758263999997</v>
      </c>
      <c r="AI242" s="42">
        <f t="shared" si="91"/>
        <v>0.94395003973012248</v>
      </c>
      <c r="AJ242" s="57">
        <v>2</v>
      </c>
      <c r="AK242" s="57">
        <v>3</v>
      </c>
      <c r="AL242" s="63">
        <v>6.3</v>
      </c>
      <c r="AM242" s="57">
        <v>22</v>
      </c>
      <c r="AN242" s="63">
        <v>6</v>
      </c>
      <c r="AO242" s="63">
        <v>4.3</v>
      </c>
      <c r="AP242" s="36">
        <v>0.13</v>
      </c>
      <c r="AQ242" s="36">
        <v>0.14000000000000001</v>
      </c>
      <c r="AR242" s="73">
        <f t="shared" si="70"/>
        <v>1754</v>
      </c>
      <c r="AS242" s="75">
        <f t="shared" si="71"/>
        <v>0.17616875712656785</v>
      </c>
      <c r="AT242" s="75">
        <f t="shared" si="72"/>
        <v>0.69840364880273664</v>
      </c>
      <c r="AU242" s="75">
        <f t="shared" si="73"/>
        <v>0.12542759407069556</v>
      </c>
      <c r="AV242" s="26">
        <f t="shared" si="74"/>
        <v>9.1064314171883889E-2</v>
      </c>
      <c r="AW242" s="26">
        <f t="shared" si="75"/>
        <v>7.5128059191804222E-2</v>
      </c>
      <c r="AX242" s="24">
        <f t="shared" si="76"/>
        <v>0.89473684210526316</v>
      </c>
      <c r="AY242" s="24">
        <f t="shared" si="77"/>
        <v>0.92481203007518797</v>
      </c>
      <c r="AZ242" s="77" t="str">
        <f t="shared" si="78"/>
        <v>5,0 ≤ Alc. Bruta &lt; 7,5 mg/L</v>
      </c>
      <c r="BA242" s="77" t="str">
        <f t="shared" si="79"/>
        <v>5 ≤ Cor &lt; 10 uC</v>
      </c>
      <c r="BB242" s="78" t="str">
        <f t="shared" si="80"/>
        <v>Turbidez &lt; 2,5 uT</v>
      </c>
      <c r="BC242" s="79" t="str">
        <f t="shared" si="81"/>
        <v>SM &gt; TOR &gt; BNN</v>
      </c>
      <c r="BD242" s="78" t="str">
        <f t="shared" si="82"/>
        <v>Tipo 1 (≤0,25) uT</v>
      </c>
      <c r="BE242" s="78" t="str">
        <f t="shared" si="83"/>
        <v>Tipo 1 (≤0,25) uT</v>
      </c>
      <c r="BF242" s="78" t="str">
        <f t="shared" si="84"/>
        <v>Tipo 1 (≤0,25) uT</v>
      </c>
      <c r="BG242" s="78" t="str">
        <f t="shared" si="85"/>
        <v>Tipo 1 (≤0,25) uT</v>
      </c>
      <c r="BH242" s="78" t="str">
        <f t="shared" si="86"/>
        <v>Tipo 1 (≤0,25) uT</v>
      </c>
    </row>
    <row r="243" spans="1:60" x14ac:dyDescent="0.2">
      <c r="A243" s="31">
        <v>46284</v>
      </c>
      <c r="B243" s="80">
        <v>0.97916666666666663</v>
      </c>
      <c r="C243" s="57">
        <v>310</v>
      </c>
      <c r="D243" s="57">
        <v>1220</v>
      </c>
      <c r="E243" s="57">
        <v>223</v>
      </c>
      <c r="F243" s="57">
        <v>1770</v>
      </c>
      <c r="G243" s="85" t="s">
        <v>78</v>
      </c>
      <c r="H243" s="63">
        <v>9.5</v>
      </c>
      <c r="I243" s="57">
        <v>-7.8</v>
      </c>
      <c r="J243" s="57">
        <v>90</v>
      </c>
      <c r="K243" s="57">
        <v>90</v>
      </c>
      <c r="L243" s="57">
        <v>90</v>
      </c>
      <c r="M243" s="57">
        <v>24.7</v>
      </c>
      <c r="N243" s="63">
        <v>6.5</v>
      </c>
      <c r="O243" s="36">
        <v>1.35</v>
      </c>
      <c r="P243" s="57">
        <v>10</v>
      </c>
      <c r="Q243" s="63">
        <v>7</v>
      </c>
      <c r="R243" s="36">
        <v>0.08</v>
      </c>
      <c r="S243" s="36">
        <v>22.36</v>
      </c>
      <c r="T243" s="36">
        <v>0.88</v>
      </c>
      <c r="U243" s="36">
        <v>0.7</v>
      </c>
      <c r="V243" s="42">
        <f t="shared" si="87"/>
        <v>1371.75</v>
      </c>
      <c r="W243" s="42">
        <f t="shared" si="88"/>
        <v>1565.7431243999997</v>
      </c>
      <c r="X243" s="42">
        <f t="shared" si="89"/>
        <v>1.1414201745215964</v>
      </c>
      <c r="Y243" s="57">
        <v>2</v>
      </c>
      <c r="Z243" s="57">
        <v>4</v>
      </c>
      <c r="AA243" s="63">
        <v>6.1</v>
      </c>
      <c r="AB243" s="57">
        <v>21</v>
      </c>
      <c r="AC243" s="63">
        <v>6.2</v>
      </c>
      <c r="AD243" s="63">
        <v>5</v>
      </c>
      <c r="AE243" s="36">
        <v>0.15</v>
      </c>
      <c r="AF243" s="36">
        <v>0.1</v>
      </c>
      <c r="AG243" s="42">
        <f t="shared" si="69"/>
        <v>1829</v>
      </c>
      <c r="AH243" s="42">
        <f t="shared" si="90"/>
        <v>1708.2758263999997</v>
      </c>
      <c r="AI243" s="42">
        <f t="shared" si="91"/>
        <v>0.9339944376161835</v>
      </c>
      <c r="AJ243" s="57">
        <v>2</v>
      </c>
      <c r="AK243" s="57">
        <v>3</v>
      </c>
      <c r="AL243" s="63">
        <v>6.3</v>
      </c>
      <c r="AM243" s="57">
        <v>22</v>
      </c>
      <c r="AN243" s="63">
        <v>6.1</v>
      </c>
      <c r="AO243" s="63">
        <v>5.0999999999999996</v>
      </c>
      <c r="AP243" s="36">
        <v>0.16</v>
      </c>
      <c r="AQ243" s="36">
        <v>0.15</v>
      </c>
      <c r="AR243" s="73">
        <f t="shared" si="70"/>
        <v>1753</v>
      </c>
      <c r="AS243" s="75">
        <f t="shared" si="71"/>
        <v>0.17683970336565888</v>
      </c>
      <c r="AT243" s="75">
        <f t="shared" si="72"/>
        <v>0.69594980034227039</v>
      </c>
      <c r="AU243" s="75">
        <f t="shared" si="73"/>
        <v>0.12721049629207073</v>
      </c>
      <c r="AV243" s="26">
        <f t="shared" si="74"/>
        <v>9.4915254237288138E-2</v>
      </c>
      <c r="AW243" s="26">
        <f t="shared" si="75"/>
        <v>7.4576271186440682E-2</v>
      </c>
      <c r="AX243" s="24">
        <f t="shared" si="76"/>
        <v>0.88888888888888884</v>
      </c>
      <c r="AY243" s="24">
        <f t="shared" si="77"/>
        <v>0.92592592592592593</v>
      </c>
      <c r="AZ243" s="77" t="str">
        <f t="shared" si="78"/>
        <v>5,0 ≤ Alc. Bruta &lt; 7,5 mg/L</v>
      </c>
      <c r="BA243" s="77" t="str">
        <f t="shared" si="79"/>
        <v>10 ≤ Cor &lt;15 uC</v>
      </c>
      <c r="BB243" s="78" t="str">
        <f t="shared" si="80"/>
        <v>Turbidez &lt; 2,5 uT</v>
      </c>
      <c r="BC243" s="79" t="str">
        <f t="shared" si="81"/>
        <v>SM &gt; TOR &gt; BNN</v>
      </c>
      <c r="BD243" s="78" t="str">
        <f t="shared" si="82"/>
        <v>Tipo 1 (≤0,25) uT</v>
      </c>
      <c r="BE243" s="78" t="str">
        <f t="shared" si="83"/>
        <v>Tipo 1 (≤0,25) uT</v>
      </c>
      <c r="BF243" s="78" t="str">
        <f t="shared" si="84"/>
        <v>Tipo 1 (≤0,25) uT</v>
      </c>
      <c r="BG243" s="78" t="str">
        <f t="shared" si="85"/>
        <v>Tipo 1 (≤0,25) uT</v>
      </c>
      <c r="BH243" s="78" t="str">
        <f t="shared" si="86"/>
        <v>Tipo 1 (≤0,25) uT</v>
      </c>
    </row>
    <row r="244" spans="1:60" x14ac:dyDescent="0.2">
      <c r="A244" s="31">
        <v>46285</v>
      </c>
      <c r="B244" s="80">
        <v>6.25E-2</v>
      </c>
      <c r="C244" s="57">
        <v>319</v>
      </c>
      <c r="D244" s="57">
        <v>1211</v>
      </c>
      <c r="E244" s="57">
        <v>222</v>
      </c>
      <c r="F244" s="57">
        <v>1800</v>
      </c>
      <c r="G244" s="85" t="s">
        <v>78</v>
      </c>
      <c r="H244" s="63">
        <v>9.5</v>
      </c>
      <c r="I244" s="57">
        <v>-46</v>
      </c>
      <c r="J244" s="57">
        <v>90</v>
      </c>
      <c r="K244" s="57">
        <v>90</v>
      </c>
      <c r="L244" s="57">
        <v>90</v>
      </c>
      <c r="M244" s="57">
        <v>24.4</v>
      </c>
      <c r="N244" s="63">
        <v>6.5</v>
      </c>
      <c r="O244" s="36">
        <v>1.32</v>
      </c>
      <c r="P244" s="57">
        <v>10</v>
      </c>
      <c r="Q244" s="63">
        <v>6.1</v>
      </c>
      <c r="R244" s="36">
        <v>0.09</v>
      </c>
      <c r="S244" s="36">
        <v>22.36</v>
      </c>
      <c r="T244" s="36">
        <v>0.88</v>
      </c>
      <c r="U244" s="36">
        <v>0.7</v>
      </c>
      <c r="V244" s="42">
        <f t="shared" si="87"/>
        <v>1388.25</v>
      </c>
      <c r="W244" s="42">
        <f t="shared" si="88"/>
        <v>1565.7431243999997</v>
      </c>
      <c r="X244" s="42">
        <f t="shared" si="89"/>
        <v>1.1278538623446783</v>
      </c>
      <c r="Y244" s="57">
        <v>2</v>
      </c>
      <c r="Z244" s="57">
        <v>4</v>
      </c>
      <c r="AA244" s="63">
        <v>6.1</v>
      </c>
      <c r="AB244" s="57">
        <v>21</v>
      </c>
      <c r="AC244" s="63">
        <v>6.2</v>
      </c>
      <c r="AD244" s="63">
        <v>3.8</v>
      </c>
      <c r="AE244" s="36">
        <v>0.1</v>
      </c>
      <c r="AF244" s="36">
        <v>0.09</v>
      </c>
      <c r="AG244" s="42">
        <f t="shared" si="69"/>
        <v>1851</v>
      </c>
      <c r="AH244" s="42">
        <f t="shared" si="90"/>
        <v>1785.9247275999996</v>
      </c>
      <c r="AI244" s="42">
        <f t="shared" si="91"/>
        <v>0.9648431807671527</v>
      </c>
      <c r="AJ244" s="57">
        <v>3</v>
      </c>
      <c r="AK244" s="57">
        <v>3</v>
      </c>
      <c r="AL244" s="63">
        <v>6.3</v>
      </c>
      <c r="AM244" s="57">
        <v>23</v>
      </c>
      <c r="AN244" s="63">
        <v>6.1</v>
      </c>
      <c r="AO244" s="63">
        <v>4.5999999999999996</v>
      </c>
      <c r="AP244" s="36">
        <v>0.15</v>
      </c>
      <c r="AQ244" s="36">
        <v>0.17</v>
      </c>
      <c r="AR244" s="73">
        <f t="shared" si="70"/>
        <v>1752</v>
      </c>
      <c r="AS244" s="75">
        <f t="shared" si="71"/>
        <v>0.18207762557077625</v>
      </c>
      <c r="AT244" s="75">
        <f t="shared" si="72"/>
        <v>0.69121004566210043</v>
      </c>
      <c r="AU244" s="75">
        <f t="shared" si="73"/>
        <v>0.12671232876712329</v>
      </c>
      <c r="AV244" s="26">
        <f t="shared" si="74"/>
        <v>9.3333333333333338E-2</v>
      </c>
      <c r="AW244" s="26">
        <f t="shared" si="75"/>
        <v>7.6666666666666661E-2</v>
      </c>
      <c r="AX244" s="24">
        <f t="shared" si="76"/>
        <v>0.87121212121212122</v>
      </c>
      <c r="AY244" s="24">
        <f t="shared" si="77"/>
        <v>0.93181818181818188</v>
      </c>
      <c r="AZ244" s="77" t="str">
        <f t="shared" si="78"/>
        <v>5,0 ≤ Alc. Bruta &lt; 7,5 mg/L</v>
      </c>
      <c r="BA244" s="77" t="str">
        <f t="shared" si="79"/>
        <v>10 ≤ Cor &lt;15 uC</v>
      </c>
      <c r="BB244" s="78" t="str">
        <f t="shared" si="80"/>
        <v>Turbidez &lt; 2,5 uT</v>
      </c>
      <c r="BC244" s="79" t="str">
        <f t="shared" si="81"/>
        <v>SM &gt; TOR &gt; BNN</v>
      </c>
      <c r="BD244" s="78" t="str">
        <f t="shared" si="82"/>
        <v>Tipo 1 (≤0,25) uT</v>
      </c>
      <c r="BE244" s="78" t="str">
        <f t="shared" si="83"/>
        <v>Tipo 1 (≤0,25) uT</v>
      </c>
      <c r="BF244" s="78" t="str">
        <f t="shared" si="84"/>
        <v>Tipo 1 (≤0,25) uT</v>
      </c>
      <c r="BG244" s="78" t="str">
        <f t="shared" si="85"/>
        <v>Tipo 1 (≤0,25) uT</v>
      </c>
      <c r="BH244" s="78" t="str">
        <f t="shared" si="86"/>
        <v>Tipo 1 (≤0,25) uT</v>
      </c>
    </row>
    <row r="245" spans="1:60" x14ac:dyDescent="0.2">
      <c r="A245" s="31">
        <v>46285</v>
      </c>
      <c r="B245" s="80">
        <v>0.14583333333333334</v>
      </c>
      <c r="C245" s="57">
        <v>306</v>
      </c>
      <c r="D245" s="57">
        <v>1203</v>
      </c>
      <c r="E245" s="57">
        <v>223</v>
      </c>
      <c r="F245" s="57">
        <v>1808</v>
      </c>
      <c r="G245" s="85" t="s">
        <v>78</v>
      </c>
      <c r="H245" s="63">
        <v>9.5</v>
      </c>
      <c r="I245" s="57">
        <v>-49</v>
      </c>
      <c r="J245" s="57">
        <v>90</v>
      </c>
      <c r="K245" s="57">
        <v>90</v>
      </c>
      <c r="L245" s="57">
        <v>90</v>
      </c>
      <c r="M245" s="57">
        <v>24.3</v>
      </c>
      <c r="N245" s="63">
        <v>6.4</v>
      </c>
      <c r="O245" s="36">
        <v>1.41</v>
      </c>
      <c r="P245" s="57">
        <v>10</v>
      </c>
      <c r="Q245" s="63">
        <v>6.3</v>
      </c>
      <c r="R245" s="36">
        <v>0.13</v>
      </c>
      <c r="S245" s="36">
        <v>22.36</v>
      </c>
      <c r="T245" s="36">
        <v>0.88</v>
      </c>
      <c r="U245" s="36">
        <v>0.7</v>
      </c>
      <c r="V245" s="42">
        <f t="shared" si="87"/>
        <v>1414.76</v>
      </c>
      <c r="W245" s="42">
        <f t="shared" si="88"/>
        <v>1565.7431243999997</v>
      </c>
      <c r="X245" s="42">
        <f t="shared" si="89"/>
        <v>1.1067199556108454</v>
      </c>
      <c r="Y245" s="57">
        <v>2</v>
      </c>
      <c r="Z245" s="57">
        <v>4</v>
      </c>
      <c r="AA245" s="63">
        <v>6.1</v>
      </c>
      <c r="AB245" s="57">
        <v>21</v>
      </c>
      <c r="AC245" s="63">
        <v>6.1</v>
      </c>
      <c r="AD245" s="63">
        <v>4</v>
      </c>
      <c r="AE245" s="36">
        <v>0.14000000000000001</v>
      </c>
      <c r="AF245" s="36">
        <v>0.09</v>
      </c>
      <c r="AG245" s="42">
        <f t="shared" si="69"/>
        <v>1886.3466666666666</v>
      </c>
      <c r="AH245" s="42">
        <f t="shared" si="90"/>
        <v>1674.2890735999999</v>
      </c>
      <c r="AI245" s="42">
        <f t="shared" si="91"/>
        <v>0.88758291526477995</v>
      </c>
      <c r="AJ245" s="57">
        <v>2</v>
      </c>
      <c r="AK245" s="57">
        <v>3</v>
      </c>
      <c r="AL245" s="63">
        <v>6.2</v>
      </c>
      <c r="AM245" s="57">
        <v>22</v>
      </c>
      <c r="AN245" s="63">
        <v>6.3</v>
      </c>
      <c r="AO245" s="63">
        <v>4.3</v>
      </c>
      <c r="AP245" s="36">
        <v>0.2</v>
      </c>
      <c r="AQ245" s="36">
        <v>0.17</v>
      </c>
      <c r="AR245" s="73">
        <f t="shared" si="70"/>
        <v>1732</v>
      </c>
      <c r="AS245" s="75">
        <f t="shared" si="71"/>
        <v>0.17667436489607391</v>
      </c>
      <c r="AT245" s="75">
        <f t="shared" si="72"/>
        <v>0.69457274826789839</v>
      </c>
      <c r="AU245" s="75">
        <f t="shared" si="73"/>
        <v>0.1287528868360277</v>
      </c>
      <c r="AV245" s="26">
        <f t="shared" si="74"/>
        <v>9.2920353982300891E-2</v>
      </c>
      <c r="AW245" s="26">
        <f t="shared" si="75"/>
        <v>7.3008849557522126E-2</v>
      </c>
      <c r="AX245" s="24">
        <f t="shared" si="76"/>
        <v>0.87943262411347511</v>
      </c>
      <c r="AY245" s="24">
        <f t="shared" si="77"/>
        <v>0.93617021276595747</v>
      </c>
      <c r="AZ245" s="77" t="str">
        <f t="shared" si="78"/>
        <v>5,0 ≤ Alc. Bruta &lt; 7,5 mg/L</v>
      </c>
      <c r="BA245" s="77" t="str">
        <f t="shared" si="79"/>
        <v>10 ≤ Cor &lt;15 uC</v>
      </c>
      <c r="BB245" s="78" t="str">
        <f t="shared" si="80"/>
        <v>Turbidez &lt; 2,5 uT</v>
      </c>
      <c r="BC245" s="79" t="str">
        <f t="shared" si="81"/>
        <v>SM &gt; TOR &gt; BNN</v>
      </c>
      <c r="BD245" s="78" t="str">
        <f t="shared" si="82"/>
        <v>Tipo 1 (≤0,25) uT</v>
      </c>
      <c r="BE245" s="78" t="str">
        <f t="shared" si="83"/>
        <v>Tipo 1 (≤0,25) uT</v>
      </c>
      <c r="BF245" s="78" t="str">
        <f t="shared" si="84"/>
        <v>Tipo 1 (≤0,25) uT</v>
      </c>
      <c r="BG245" s="78" t="str">
        <f t="shared" si="85"/>
        <v>Tipo 1 (≤0,25) uT</v>
      </c>
      <c r="BH245" s="78" t="str">
        <f t="shared" si="86"/>
        <v>Tipo 1 (≤0,25) uT</v>
      </c>
    </row>
    <row r="246" spans="1:60" ht="15.75" thickBot="1" x14ac:dyDescent="0.25">
      <c r="A246" s="32">
        <v>46285</v>
      </c>
      <c r="B246" s="81">
        <v>0.22916666666666666</v>
      </c>
      <c r="C246" s="58">
        <v>313</v>
      </c>
      <c r="D246" s="58">
        <v>1220</v>
      </c>
      <c r="E246" s="58">
        <v>223</v>
      </c>
      <c r="F246" s="58">
        <v>1816</v>
      </c>
      <c r="G246" s="86" t="s">
        <v>78</v>
      </c>
      <c r="H246" s="64">
        <v>9.5</v>
      </c>
      <c r="I246" s="58">
        <v>-50</v>
      </c>
      <c r="J246" s="58">
        <v>90</v>
      </c>
      <c r="K246" s="58">
        <v>80</v>
      </c>
      <c r="L246" s="58">
        <v>70</v>
      </c>
      <c r="M246" s="58">
        <v>24.2</v>
      </c>
      <c r="N246" s="64">
        <v>6.6</v>
      </c>
      <c r="O246" s="37">
        <v>1.48</v>
      </c>
      <c r="P246" s="58">
        <v>10</v>
      </c>
      <c r="Q246" s="64">
        <v>6.5</v>
      </c>
      <c r="R246" s="37">
        <v>0.11</v>
      </c>
      <c r="S246" s="36">
        <v>22.36</v>
      </c>
      <c r="T246" s="36">
        <v>0.88</v>
      </c>
      <c r="U246" s="36">
        <v>0.7</v>
      </c>
      <c r="V246" s="42">
        <f t="shared" si="87"/>
        <v>1436.91</v>
      </c>
      <c r="W246" s="42">
        <f t="shared" si="88"/>
        <v>1565.7431243999997</v>
      </c>
      <c r="X246" s="42">
        <f t="shared" si="89"/>
        <v>1.0896598425788668</v>
      </c>
      <c r="Y246" s="58">
        <v>2</v>
      </c>
      <c r="Z246" s="58">
        <v>4</v>
      </c>
      <c r="AA246" s="64">
        <v>6.1</v>
      </c>
      <c r="AB246" s="58">
        <v>21</v>
      </c>
      <c r="AC246" s="64">
        <v>6.1</v>
      </c>
      <c r="AD246" s="64">
        <v>4.8</v>
      </c>
      <c r="AE246" s="37">
        <v>0.12</v>
      </c>
      <c r="AF246" s="37">
        <v>0.09</v>
      </c>
      <c r="AG246" s="42">
        <f t="shared" si="69"/>
        <v>1915.88</v>
      </c>
      <c r="AH246" s="42">
        <f t="shared" si="90"/>
        <v>1674.2890735999999</v>
      </c>
      <c r="AI246" s="42">
        <f t="shared" si="91"/>
        <v>0.873900804643297</v>
      </c>
      <c r="AJ246" s="58">
        <v>2</v>
      </c>
      <c r="AK246" s="58">
        <v>3</v>
      </c>
      <c r="AL246" s="64">
        <v>6.2</v>
      </c>
      <c r="AM246" s="58">
        <v>22</v>
      </c>
      <c r="AN246" s="64">
        <v>6.2</v>
      </c>
      <c r="AO246" s="64">
        <v>4.0999999999999996</v>
      </c>
      <c r="AP246" s="37">
        <v>0.14000000000000001</v>
      </c>
      <c r="AQ246" s="37">
        <v>0.16</v>
      </c>
      <c r="AR246" s="73">
        <f t="shared" si="70"/>
        <v>1756</v>
      </c>
      <c r="AS246" s="75">
        <f t="shared" si="71"/>
        <v>0.17824601366742596</v>
      </c>
      <c r="AT246" s="75">
        <f t="shared" si="72"/>
        <v>0.69476082004555806</v>
      </c>
      <c r="AU246" s="75">
        <f t="shared" si="73"/>
        <v>0.12699316628701596</v>
      </c>
      <c r="AV246" s="26">
        <f t="shared" si="74"/>
        <v>9.2511013215859028E-2</v>
      </c>
      <c r="AW246" s="26">
        <f t="shared" si="75"/>
        <v>7.268722466960352E-2</v>
      </c>
      <c r="AX246" s="24">
        <f t="shared" si="76"/>
        <v>0.89189189189189189</v>
      </c>
      <c r="AY246" s="24">
        <f t="shared" si="77"/>
        <v>0.93918918918918914</v>
      </c>
      <c r="AZ246" s="77" t="str">
        <f t="shared" si="78"/>
        <v>5,0 ≤ Alc. Bruta &lt; 7,5 mg/L</v>
      </c>
      <c r="BA246" s="77" t="str">
        <f t="shared" si="79"/>
        <v>10 ≤ Cor &lt;15 uC</v>
      </c>
      <c r="BB246" s="78" t="str">
        <f t="shared" si="80"/>
        <v>Turbidez &lt; 2,5 uT</v>
      </c>
      <c r="BC246" s="79" t="str">
        <f t="shared" si="81"/>
        <v>SM &gt; TOR &gt; BNN</v>
      </c>
      <c r="BD246" s="78" t="str">
        <f t="shared" si="82"/>
        <v>Tipo 1 (≤0,25) uT</v>
      </c>
      <c r="BE246" s="78" t="str">
        <f t="shared" si="83"/>
        <v>Tipo 1 (≤0,25) uT</v>
      </c>
      <c r="BF246" s="78" t="str">
        <f t="shared" si="84"/>
        <v>Tipo 1 (≤0,25) uT</v>
      </c>
      <c r="BG246" s="78" t="str">
        <f t="shared" si="85"/>
        <v>Tipo 1 (≤0,25) uT</v>
      </c>
      <c r="BH246" s="78" t="str">
        <f t="shared" si="86"/>
        <v>Tipo 1 (≤0,25) uT</v>
      </c>
    </row>
    <row r="247" spans="1:60" x14ac:dyDescent="0.2">
      <c r="A247" s="31">
        <v>46285</v>
      </c>
      <c r="B247" s="80">
        <v>0.97916666666666663</v>
      </c>
      <c r="C247" s="57">
        <v>346</v>
      </c>
      <c r="D247" s="57">
        <v>1639</v>
      </c>
      <c r="E247" s="57">
        <v>270</v>
      </c>
      <c r="F247" s="57">
        <v>2281</v>
      </c>
      <c r="G247" s="85" t="s">
        <v>78</v>
      </c>
      <c r="H247" s="63">
        <v>9.5</v>
      </c>
      <c r="I247" s="57">
        <v>-52</v>
      </c>
      <c r="J247" s="57">
        <v>90</v>
      </c>
      <c r="K247" s="57">
        <v>90</v>
      </c>
      <c r="L247" s="57">
        <v>90</v>
      </c>
      <c r="M247" s="57">
        <v>25.5</v>
      </c>
      <c r="N247" s="63">
        <v>6.5</v>
      </c>
      <c r="O247" s="36">
        <v>2.42</v>
      </c>
      <c r="P247" s="57">
        <v>12</v>
      </c>
      <c r="Q247" s="63">
        <v>7.6</v>
      </c>
      <c r="R247" s="36">
        <v>0.09</v>
      </c>
      <c r="S247" s="36">
        <v>22.36</v>
      </c>
      <c r="T247" s="36">
        <v>0.88</v>
      </c>
      <c r="U247" s="36">
        <v>0.7</v>
      </c>
      <c r="V247" s="42">
        <f t="shared" si="87"/>
        <v>2072.8587499999999</v>
      </c>
      <c r="W247" s="42">
        <f t="shared" si="88"/>
        <v>1630.6269251999997</v>
      </c>
      <c r="X247" s="42">
        <f t="shared" si="89"/>
        <v>0.78665607350235511</v>
      </c>
      <c r="Y247" s="57">
        <v>3</v>
      </c>
      <c r="Z247" s="57">
        <v>4</v>
      </c>
      <c r="AA247" s="63">
        <v>6.3</v>
      </c>
      <c r="AB247" s="57">
        <v>21</v>
      </c>
      <c r="AC247" s="63">
        <v>6.3</v>
      </c>
      <c r="AD247" s="63">
        <v>6</v>
      </c>
      <c r="AE247" s="36">
        <v>0.15</v>
      </c>
      <c r="AF247" s="36">
        <v>0.09</v>
      </c>
      <c r="AG247" s="42">
        <f t="shared" si="69"/>
        <v>2072.8587499999999</v>
      </c>
      <c r="AH247" s="42">
        <f t="shared" si="90"/>
        <v>1714.8615171999998</v>
      </c>
      <c r="AI247" s="42">
        <f t="shared" si="91"/>
        <v>0.82729299196098138</v>
      </c>
      <c r="AJ247" s="57">
        <v>3</v>
      </c>
      <c r="AK247" s="57">
        <v>4</v>
      </c>
      <c r="AL247" s="63">
        <v>6.1</v>
      </c>
      <c r="AM247" s="57">
        <v>23</v>
      </c>
      <c r="AN247" s="63">
        <v>6.4</v>
      </c>
      <c r="AO247" s="63">
        <v>6</v>
      </c>
      <c r="AP247" s="36">
        <v>0.11</v>
      </c>
      <c r="AQ247" s="36">
        <v>0.16</v>
      </c>
      <c r="AR247" s="73">
        <f t="shared" si="70"/>
        <v>2255</v>
      </c>
      <c r="AS247" s="75">
        <f t="shared" si="71"/>
        <v>0.15343680709534369</v>
      </c>
      <c r="AT247" s="75">
        <f t="shared" si="72"/>
        <v>0.72682926829268291</v>
      </c>
      <c r="AU247" s="75">
        <f t="shared" si="73"/>
        <v>0.11973392461197339</v>
      </c>
      <c r="AV247" s="26">
        <f t="shared" si="74"/>
        <v>7.3651907058307764E-2</v>
      </c>
      <c r="AW247" s="26">
        <f t="shared" si="75"/>
        <v>8.0666374397194207E-2</v>
      </c>
      <c r="AX247" s="24">
        <f t="shared" si="76"/>
        <v>0.93388429752066116</v>
      </c>
      <c r="AY247" s="24">
        <f t="shared" si="77"/>
        <v>0.96280991735537191</v>
      </c>
      <c r="AZ247" s="77" t="str">
        <f t="shared" si="78"/>
        <v>7,5 ≤ Alc. Bruta &lt; 10,0 mg/L</v>
      </c>
      <c r="BA247" s="77" t="str">
        <f t="shared" si="79"/>
        <v>10 ≤ Cor &lt;15 uC</v>
      </c>
      <c r="BB247" s="78" t="str">
        <f t="shared" si="80"/>
        <v>Turbidez &lt; 2,5 uT</v>
      </c>
      <c r="BC247" s="79" t="str">
        <f t="shared" si="81"/>
        <v>SM &gt; TOR &gt; BNN</v>
      </c>
      <c r="BD247" s="78" t="str">
        <f t="shared" si="82"/>
        <v>Tipo 1 (≤0,25) uT</v>
      </c>
      <c r="BE247" s="78" t="str">
        <f t="shared" si="83"/>
        <v>Tipo 1 (≤0,25) uT</v>
      </c>
      <c r="BF247" s="78" t="str">
        <f t="shared" si="84"/>
        <v>Tipo 1 (≤0,25) uT</v>
      </c>
      <c r="BG247" s="78" t="str">
        <f t="shared" si="85"/>
        <v>Tipo 1 (≤0,25) uT</v>
      </c>
      <c r="BH247" s="78" t="str">
        <f t="shared" si="86"/>
        <v>Tipo 1 (≤0,25) uT</v>
      </c>
    </row>
    <row r="248" spans="1:60" x14ac:dyDescent="0.2">
      <c r="A248" s="31">
        <v>46286</v>
      </c>
      <c r="B248" s="80">
        <v>6.25E-2</v>
      </c>
      <c r="C248" s="57">
        <v>352</v>
      </c>
      <c r="D248" s="57">
        <v>1640</v>
      </c>
      <c r="E248" s="57">
        <v>269</v>
      </c>
      <c r="F248" s="57">
        <v>2339</v>
      </c>
      <c r="G248" s="85" t="s">
        <v>78</v>
      </c>
      <c r="H248" s="63">
        <v>9.5</v>
      </c>
      <c r="I248" s="57">
        <v>-50</v>
      </c>
      <c r="J248" s="57">
        <v>90</v>
      </c>
      <c r="K248" s="57">
        <v>90</v>
      </c>
      <c r="L248" s="57">
        <v>90</v>
      </c>
      <c r="M248" s="57">
        <v>25.3</v>
      </c>
      <c r="N248" s="63">
        <v>6.4</v>
      </c>
      <c r="O248" s="36">
        <v>2.4</v>
      </c>
      <c r="P248" s="57">
        <v>11</v>
      </c>
      <c r="Q248" s="63">
        <v>7.8</v>
      </c>
      <c r="R248" s="36">
        <v>0.1</v>
      </c>
      <c r="S248" s="36">
        <v>22.36</v>
      </c>
      <c r="T248" s="36">
        <v>0.88</v>
      </c>
      <c r="U248" s="36">
        <v>0.7</v>
      </c>
      <c r="V248" s="42">
        <f t="shared" si="87"/>
        <v>2119.71875</v>
      </c>
      <c r="W248" s="42">
        <f t="shared" si="88"/>
        <v>1535.91944584</v>
      </c>
      <c r="X248" s="42">
        <f t="shared" si="89"/>
        <v>0.72458643196886374</v>
      </c>
      <c r="Y248" s="57">
        <v>3</v>
      </c>
      <c r="Z248" s="57">
        <v>4</v>
      </c>
      <c r="AA248" s="63">
        <v>6.1</v>
      </c>
      <c r="AB248" s="57">
        <v>20.6</v>
      </c>
      <c r="AC248" s="63">
        <v>6.2</v>
      </c>
      <c r="AD248" s="63">
        <v>5.6</v>
      </c>
      <c r="AE248" s="36">
        <v>0.16</v>
      </c>
      <c r="AF248" s="36">
        <v>0.1</v>
      </c>
      <c r="AG248" s="42">
        <f t="shared" si="69"/>
        <v>2119.71875</v>
      </c>
      <c r="AH248" s="42">
        <f t="shared" si="90"/>
        <v>1762.6300572399996</v>
      </c>
      <c r="AI248" s="42">
        <f t="shared" si="91"/>
        <v>0.8315395885609822</v>
      </c>
      <c r="AJ248" s="57">
        <v>3</v>
      </c>
      <c r="AK248" s="57">
        <v>4</v>
      </c>
      <c r="AL248" s="63">
        <v>6.3</v>
      </c>
      <c r="AM248" s="57">
        <v>22.7</v>
      </c>
      <c r="AN248" s="63">
        <v>6.1</v>
      </c>
      <c r="AO248" s="63">
        <v>5.4</v>
      </c>
      <c r="AP248" s="36">
        <v>0.16</v>
      </c>
      <c r="AQ248" s="36">
        <v>0.17</v>
      </c>
      <c r="AR248" s="73">
        <f t="shared" si="70"/>
        <v>2261</v>
      </c>
      <c r="AS248" s="75">
        <f t="shared" si="71"/>
        <v>0.15568332596196374</v>
      </c>
      <c r="AT248" s="75">
        <f t="shared" si="72"/>
        <v>0.72534276868642189</v>
      </c>
      <c r="AU248" s="75">
        <f t="shared" si="73"/>
        <v>0.11897390535161433</v>
      </c>
      <c r="AV248" s="26">
        <f t="shared" si="74"/>
        <v>7.0457460453185128E-2</v>
      </c>
      <c r="AW248" s="26">
        <f t="shared" si="75"/>
        <v>7.7640017101325356E-2</v>
      </c>
      <c r="AX248" s="24">
        <f t="shared" si="76"/>
        <v>0.9291666666666667</v>
      </c>
      <c r="AY248" s="24">
        <f t="shared" si="77"/>
        <v>0.95833333333333337</v>
      </c>
      <c r="AZ248" s="77" t="str">
        <f t="shared" si="78"/>
        <v>7,5 ≤ Alc. Bruta &lt; 10,0 mg/L</v>
      </c>
      <c r="BA248" s="77" t="str">
        <f t="shared" si="79"/>
        <v>10 ≤ Cor &lt;15 uC</v>
      </c>
      <c r="BB248" s="78" t="str">
        <f t="shared" si="80"/>
        <v>Turbidez &lt; 2,5 uT</v>
      </c>
      <c r="BC248" s="79" t="str">
        <f t="shared" si="81"/>
        <v>SM &gt; TOR &gt; BNN</v>
      </c>
      <c r="BD248" s="78" t="str">
        <f t="shared" si="82"/>
        <v>Tipo 1 (≤0,25) uT</v>
      </c>
      <c r="BE248" s="78" t="str">
        <f t="shared" si="83"/>
        <v>Tipo 1 (≤0,25) uT</v>
      </c>
      <c r="BF248" s="78" t="str">
        <f t="shared" si="84"/>
        <v>Tipo 1 (≤0,25) uT</v>
      </c>
      <c r="BG248" s="78" t="str">
        <f t="shared" si="85"/>
        <v>Tipo 1 (≤0,25) uT</v>
      </c>
      <c r="BH248" s="78" t="str">
        <f t="shared" si="86"/>
        <v>Tipo 1 (≤0,25) uT</v>
      </c>
    </row>
    <row r="249" spans="1:60" x14ac:dyDescent="0.2">
      <c r="A249" s="31">
        <v>46286</v>
      </c>
      <c r="B249" s="80">
        <v>0.14583333333333334</v>
      </c>
      <c r="C249" s="57">
        <v>354</v>
      </c>
      <c r="D249" s="57">
        <v>1674</v>
      </c>
      <c r="E249" s="57">
        <v>270</v>
      </c>
      <c r="F249" s="57">
        <v>2341</v>
      </c>
      <c r="G249" s="85" t="s">
        <v>78</v>
      </c>
      <c r="H249" s="63">
        <v>9.5</v>
      </c>
      <c r="I249" s="57">
        <v>-77</v>
      </c>
      <c r="J249" s="57">
        <v>90</v>
      </c>
      <c r="K249" s="57">
        <v>90</v>
      </c>
      <c r="L249" s="57">
        <v>90</v>
      </c>
      <c r="M249" s="57">
        <v>25.1</v>
      </c>
      <c r="N249" s="63">
        <v>6.4</v>
      </c>
      <c r="O249" s="36">
        <v>1.49</v>
      </c>
      <c r="P249" s="57">
        <v>12</v>
      </c>
      <c r="Q249" s="63">
        <v>7.4</v>
      </c>
      <c r="R249" s="36">
        <v>0.09</v>
      </c>
      <c r="S249" s="36">
        <v>22.36</v>
      </c>
      <c r="T249" s="36">
        <v>0.88</v>
      </c>
      <c r="U249" s="36">
        <v>0.7</v>
      </c>
      <c r="V249" s="42">
        <f t="shared" si="87"/>
        <v>1855.2425000000001</v>
      </c>
      <c r="W249" s="42">
        <f t="shared" si="88"/>
        <v>1565.7431243999997</v>
      </c>
      <c r="X249" s="42">
        <f t="shared" si="89"/>
        <v>0.84395604585384376</v>
      </c>
      <c r="Y249" s="57">
        <v>3</v>
      </c>
      <c r="Z249" s="57">
        <v>4</v>
      </c>
      <c r="AA249" s="63">
        <v>6.1</v>
      </c>
      <c r="AB249" s="57">
        <v>21</v>
      </c>
      <c r="AC249" s="63">
        <v>6.2</v>
      </c>
      <c r="AD249" s="63">
        <v>5.8</v>
      </c>
      <c r="AE249" s="36">
        <v>0.18</v>
      </c>
      <c r="AF249" s="36">
        <v>0.12</v>
      </c>
      <c r="AG249" s="42">
        <f t="shared" si="69"/>
        <v>1855.2425000000001</v>
      </c>
      <c r="AH249" s="42">
        <f t="shared" si="90"/>
        <v>1785.9247275999996</v>
      </c>
      <c r="AI249" s="42">
        <f t="shared" si="91"/>
        <v>0.96263681303118032</v>
      </c>
      <c r="AJ249" s="57">
        <v>3</v>
      </c>
      <c r="AK249" s="57">
        <v>4</v>
      </c>
      <c r="AL249" s="63">
        <v>6.3</v>
      </c>
      <c r="AM249" s="57">
        <v>23</v>
      </c>
      <c r="AN249" s="63">
        <v>6.1</v>
      </c>
      <c r="AO249" s="63">
        <v>6</v>
      </c>
      <c r="AP249" s="36">
        <v>0.19</v>
      </c>
      <c r="AQ249" s="36">
        <v>0.18</v>
      </c>
      <c r="AR249" s="73">
        <f t="shared" si="70"/>
        <v>2298</v>
      </c>
      <c r="AS249" s="75">
        <f t="shared" si="71"/>
        <v>0.15404699738903394</v>
      </c>
      <c r="AT249" s="75">
        <f t="shared" si="72"/>
        <v>0.72845953002610964</v>
      </c>
      <c r="AU249" s="75">
        <f t="shared" si="73"/>
        <v>0.1174934725848564</v>
      </c>
      <c r="AV249" s="26">
        <f t="shared" si="74"/>
        <v>7.1764203331909443E-2</v>
      </c>
      <c r="AW249" s="26">
        <f t="shared" si="75"/>
        <v>7.8598889363519858E-2</v>
      </c>
      <c r="AX249" s="24">
        <f t="shared" si="76"/>
        <v>0.87919463087248317</v>
      </c>
      <c r="AY249" s="24">
        <f t="shared" si="77"/>
        <v>0.91946308724832215</v>
      </c>
      <c r="AZ249" s="77" t="str">
        <f t="shared" si="78"/>
        <v>5,0 ≤ Alc. Bruta &lt; 7,5 mg/L</v>
      </c>
      <c r="BA249" s="77" t="str">
        <f t="shared" si="79"/>
        <v>10 ≤ Cor &lt;15 uC</v>
      </c>
      <c r="BB249" s="78" t="str">
        <f t="shared" si="80"/>
        <v>Turbidez &lt; 2,5 uT</v>
      </c>
      <c r="BC249" s="79" t="str">
        <f t="shared" si="81"/>
        <v>SM &gt; TOR &gt; BNN</v>
      </c>
      <c r="BD249" s="78" t="str">
        <f t="shared" si="82"/>
        <v>Tipo 1 (≤0,25) uT</v>
      </c>
      <c r="BE249" s="78" t="str">
        <f t="shared" si="83"/>
        <v>Tipo 1 (≤0,25) uT</v>
      </c>
      <c r="BF249" s="78" t="str">
        <f t="shared" si="84"/>
        <v>Tipo 1 (≤0,25) uT</v>
      </c>
      <c r="BG249" s="78" t="str">
        <f t="shared" si="85"/>
        <v>Tipo 1 (≤0,25) uT</v>
      </c>
      <c r="BH249" s="78" t="str">
        <f t="shared" si="86"/>
        <v>Tipo 1 (≤0,25) uT</v>
      </c>
    </row>
    <row r="250" spans="1:60" x14ac:dyDescent="0.2">
      <c r="A250" s="31">
        <v>46286</v>
      </c>
      <c r="B250" s="80">
        <v>0.64583333333333337</v>
      </c>
      <c r="C250" s="57">
        <v>401</v>
      </c>
      <c r="D250" s="57">
        <v>1598</v>
      </c>
      <c r="E250" s="57">
        <v>200</v>
      </c>
      <c r="F250" s="57">
        <v>2184</v>
      </c>
      <c r="G250" s="85" t="s">
        <v>78</v>
      </c>
      <c r="H250" s="63">
        <v>9.5</v>
      </c>
      <c r="I250" s="57">
        <v>-5.87</v>
      </c>
      <c r="J250" s="57">
        <v>90</v>
      </c>
      <c r="K250" s="57">
        <v>90</v>
      </c>
      <c r="L250" s="57">
        <v>90</v>
      </c>
      <c r="M250" s="57">
        <v>27.3</v>
      </c>
      <c r="N250" s="63">
        <v>6.7</v>
      </c>
      <c r="O250" s="36">
        <v>1.3</v>
      </c>
      <c r="P250" s="57">
        <v>9</v>
      </c>
      <c r="Q250" s="63">
        <v>6.4</v>
      </c>
      <c r="R250" s="36">
        <v>0.11</v>
      </c>
      <c r="S250" s="36">
        <v>22.36</v>
      </c>
      <c r="T250" s="36">
        <v>0.88</v>
      </c>
      <c r="U250" s="36">
        <v>0.7</v>
      </c>
      <c r="V250" s="42">
        <f t="shared" si="87"/>
        <v>1678.95</v>
      </c>
      <c r="W250" s="42">
        <f t="shared" si="88"/>
        <v>1259.0573221199998</v>
      </c>
      <c r="X250" s="42">
        <f t="shared" si="89"/>
        <v>0.74990757444831579</v>
      </c>
      <c r="Y250" s="57">
        <v>3</v>
      </c>
      <c r="Z250" s="57">
        <v>4</v>
      </c>
      <c r="AA250" s="63">
        <v>5.0999999999999996</v>
      </c>
      <c r="AB250" s="57">
        <v>21.3</v>
      </c>
      <c r="AC250" s="63">
        <v>6.4</v>
      </c>
      <c r="AD250" s="63">
        <v>5.4</v>
      </c>
      <c r="AE250" s="36">
        <v>0.3</v>
      </c>
      <c r="AF250" s="36">
        <v>0.16</v>
      </c>
      <c r="AG250" s="42">
        <f t="shared" si="69"/>
        <v>1678.95</v>
      </c>
      <c r="AH250" s="42">
        <f t="shared" si="90"/>
        <v>1723.4428693039997</v>
      </c>
      <c r="AI250" s="42">
        <f t="shared" si="91"/>
        <v>1.0265004135346494</v>
      </c>
      <c r="AJ250" s="57">
        <v>3</v>
      </c>
      <c r="AK250" s="57">
        <v>4</v>
      </c>
      <c r="AL250" s="63">
        <v>6.21</v>
      </c>
      <c r="AM250" s="57">
        <v>22.6</v>
      </c>
      <c r="AN250" s="63">
        <v>6.3</v>
      </c>
      <c r="AO250" s="63">
        <v>5.7</v>
      </c>
      <c r="AP250" s="36">
        <v>0.2</v>
      </c>
      <c r="AQ250" s="36">
        <v>0.16</v>
      </c>
      <c r="AR250" s="73">
        <f t="shared" si="70"/>
        <v>2199</v>
      </c>
      <c r="AS250" s="75">
        <f t="shared" si="71"/>
        <v>0.18235561618917689</v>
      </c>
      <c r="AT250" s="75">
        <f t="shared" si="72"/>
        <v>0.72669395179627105</v>
      </c>
      <c r="AU250" s="75">
        <f t="shared" si="73"/>
        <v>9.0950432014552066E-2</v>
      </c>
      <c r="AV250" s="26">
        <f t="shared" si="74"/>
        <v>7.8021978021978022E-2</v>
      </c>
      <c r="AW250" s="26">
        <f t="shared" si="75"/>
        <v>8.2783882783882795E-2</v>
      </c>
      <c r="AX250" s="24">
        <f t="shared" si="76"/>
        <v>0.87692307692307692</v>
      </c>
      <c r="AY250" s="24">
        <f t="shared" si="77"/>
        <v>0.87692307692307692</v>
      </c>
      <c r="AZ250" s="77" t="str">
        <f t="shared" si="78"/>
        <v>5,0 ≤ Alc. Bruta &lt; 7,5 mg/L</v>
      </c>
      <c r="BA250" s="77" t="str">
        <f t="shared" si="79"/>
        <v>5 ≤ Cor &lt; 10 uC</v>
      </c>
      <c r="BB250" s="78" t="str">
        <f t="shared" si="80"/>
        <v>Turbidez &lt; 2,5 uT</v>
      </c>
      <c r="BC250" s="79" t="str">
        <f t="shared" si="81"/>
        <v>SM &gt; TOR &gt; BNN</v>
      </c>
      <c r="BD250" s="78" t="str">
        <f t="shared" si="82"/>
        <v>Tipo 2 (0,25-0,50) uT</v>
      </c>
      <c r="BE250" s="78" t="str">
        <f t="shared" si="83"/>
        <v>Tipo 1 (≤0,25) uT</v>
      </c>
      <c r="BF250" s="78" t="str">
        <f t="shared" si="84"/>
        <v>Tipo 1 (≤0,25) uT</v>
      </c>
      <c r="BG250" s="78" t="str">
        <f t="shared" si="85"/>
        <v>Tipo 1 (≤0,25) uT</v>
      </c>
      <c r="BH250" s="78" t="str">
        <f t="shared" si="86"/>
        <v>Tipo 1 (≤0,25) uT</v>
      </c>
    </row>
    <row r="251" spans="1:60" x14ac:dyDescent="0.2">
      <c r="A251" s="31">
        <v>46286</v>
      </c>
      <c r="B251" s="80">
        <v>0.72916666666666663</v>
      </c>
      <c r="C251" s="57">
        <v>398</v>
      </c>
      <c r="D251" s="57">
        <v>1608</v>
      </c>
      <c r="E251" s="57">
        <v>200</v>
      </c>
      <c r="F251" s="57">
        <v>2240</v>
      </c>
      <c r="G251" s="85" t="s">
        <v>78</v>
      </c>
      <c r="H251" s="63">
        <v>9.5</v>
      </c>
      <c r="I251" s="57">
        <v>31.24</v>
      </c>
      <c r="J251" s="57">
        <v>90</v>
      </c>
      <c r="K251" s="57">
        <v>90</v>
      </c>
      <c r="L251" s="57">
        <v>90</v>
      </c>
      <c r="M251" s="57">
        <v>27</v>
      </c>
      <c r="N251" s="63">
        <v>6.7</v>
      </c>
      <c r="O251" s="36">
        <v>1.36</v>
      </c>
      <c r="P251" s="57">
        <v>9</v>
      </c>
      <c r="Q251" s="63">
        <v>6.3</v>
      </c>
      <c r="R251" s="36">
        <v>0.12</v>
      </c>
      <c r="S251" s="36">
        <v>22.36</v>
      </c>
      <c r="T251" s="36">
        <v>0.88</v>
      </c>
      <c r="U251" s="36">
        <v>0.7</v>
      </c>
      <c r="V251" s="42">
        <f t="shared" si="87"/>
        <v>1738.8</v>
      </c>
      <c r="W251" s="42">
        <f t="shared" si="88"/>
        <v>1580.6549636799998</v>
      </c>
      <c r="X251" s="42">
        <f t="shared" si="89"/>
        <v>0.90904932348746248</v>
      </c>
      <c r="Y251" s="57">
        <v>3</v>
      </c>
      <c r="Z251" s="57">
        <v>4</v>
      </c>
      <c r="AA251" s="63">
        <v>6.1</v>
      </c>
      <c r="AB251" s="57">
        <v>21.2</v>
      </c>
      <c r="AC251" s="63">
        <v>6.4</v>
      </c>
      <c r="AD251" s="63">
        <v>5.7</v>
      </c>
      <c r="AE251" s="36">
        <v>0.28000000000000003</v>
      </c>
      <c r="AF251" s="36">
        <v>0.16</v>
      </c>
      <c r="AG251" s="42">
        <f t="shared" si="69"/>
        <v>1738.8</v>
      </c>
      <c r="AH251" s="42">
        <f t="shared" si="90"/>
        <v>1730.425602152</v>
      </c>
      <c r="AI251" s="42">
        <f t="shared" si="91"/>
        <v>0.99518380616057056</v>
      </c>
      <c r="AJ251" s="57">
        <v>3</v>
      </c>
      <c r="AK251" s="57">
        <v>4</v>
      </c>
      <c r="AL251" s="63">
        <v>6.23</v>
      </c>
      <c r="AM251" s="57">
        <v>22.6</v>
      </c>
      <c r="AN251" s="63">
        <v>6.4</v>
      </c>
      <c r="AO251" s="63">
        <v>5.6</v>
      </c>
      <c r="AP251" s="36">
        <v>0.22</v>
      </c>
      <c r="AQ251" s="36">
        <v>0.17</v>
      </c>
      <c r="AR251" s="73">
        <f t="shared" si="70"/>
        <v>2206</v>
      </c>
      <c r="AS251" s="75">
        <f t="shared" si="71"/>
        <v>0.18041704442429737</v>
      </c>
      <c r="AT251" s="75">
        <f t="shared" si="72"/>
        <v>0.72892112420670896</v>
      </c>
      <c r="AU251" s="75">
        <f t="shared" si="73"/>
        <v>9.0661831368993653E-2</v>
      </c>
      <c r="AV251" s="26">
        <f t="shared" si="74"/>
        <v>7.5714285714285706E-2</v>
      </c>
      <c r="AW251" s="26">
        <f t="shared" si="75"/>
        <v>8.0714285714285725E-2</v>
      </c>
      <c r="AX251" s="24">
        <f t="shared" si="76"/>
        <v>0.875</v>
      </c>
      <c r="AY251" s="24">
        <f t="shared" si="77"/>
        <v>0.88235294117647056</v>
      </c>
      <c r="AZ251" s="77" t="str">
        <f t="shared" si="78"/>
        <v>5,0 ≤ Alc. Bruta &lt; 7,5 mg/L</v>
      </c>
      <c r="BA251" s="77" t="str">
        <f t="shared" si="79"/>
        <v>5 ≤ Cor &lt; 10 uC</v>
      </c>
      <c r="BB251" s="78" t="str">
        <f t="shared" si="80"/>
        <v>Turbidez &lt; 2,5 uT</v>
      </c>
      <c r="BC251" s="79" t="str">
        <f t="shared" si="81"/>
        <v>SM &gt; TOR &gt; BNN</v>
      </c>
      <c r="BD251" s="78" t="str">
        <f t="shared" si="82"/>
        <v>Tipo 2 (0,25-0,50) uT</v>
      </c>
      <c r="BE251" s="78" t="str">
        <f t="shared" si="83"/>
        <v>Tipo 1 (≤0,25) uT</v>
      </c>
      <c r="BF251" s="78" t="str">
        <f t="shared" si="84"/>
        <v>Tipo 1 (≤0,25) uT</v>
      </c>
      <c r="BG251" s="78" t="str">
        <f t="shared" si="85"/>
        <v>Tipo 1 (≤0,25) uT</v>
      </c>
      <c r="BH251" s="78" t="str">
        <f t="shared" si="86"/>
        <v>Tipo 1 (≤0,25) uT</v>
      </c>
    </row>
    <row r="252" spans="1:60" x14ac:dyDescent="0.2">
      <c r="A252" s="31">
        <v>46286</v>
      </c>
      <c r="B252" s="80">
        <v>0.8125</v>
      </c>
      <c r="C252" s="57">
        <v>405</v>
      </c>
      <c r="D252" s="57">
        <v>1560</v>
      </c>
      <c r="E252" s="57">
        <v>200</v>
      </c>
      <c r="F252" s="57">
        <v>2281</v>
      </c>
      <c r="G252" s="85" t="s">
        <v>78</v>
      </c>
      <c r="H252" s="63">
        <v>9.5</v>
      </c>
      <c r="I252" s="57">
        <v>28</v>
      </c>
      <c r="J252" s="57">
        <v>90</v>
      </c>
      <c r="K252" s="57">
        <v>90</v>
      </c>
      <c r="L252" s="57">
        <v>90</v>
      </c>
      <c r="M252" s="57">
        <v>26.8</v>
      </c>
      <c r="N252" s="63">
        <v>6.5</v>
      </c>
      <c r="O252" s="36">
        <v>1.35</v>
      </c>
      <c r="P252" s="57">
        <v>12</v>
      </c>
      <c r="Q252" s="63">
        <v>5.4</v>
      </c>
      <c r="R252" s="36">
        <v>0.18</v>
      </c>
      <c r="S252" s="36">
        <v>22.36</v>
      </c>
      <c r="T252" s="36">
        <v>0.88</v>
      </c>
      <c r="U252" s="36">
        <v>0.7</v>
      </c>
      <c r="V252" s="42">
        <f t="shared" si="87"/>
        <v>1767.7750000000001</v>
      </c>
      <c r="W252" s="42">
        <f t="shared" si="88"/>
        <v>1460.2868799999999</v>
      </c>
      <c r="X252" s="42">
        <f t="shared" si="89"/>
        <v>0.82605924396487096</v>
      </c>
      <c r="Y252" s="57">
        <v>3</v>
      </c>
      <c r="Z252" s="57">
        <v>4</v>
      </c>
      <c r="AA252" s="63">
        <v>6</v>
      </c>
      <c r="AB252" s="57">
        <v>20</v>
      </c>
      <c r="AC252" s="63">
        <v>6</v>
      </c>
      <c r="AD252" s="63">
        <v>4.2</v>
      </c>
      <c r="AE252" s="36">
        <v>0.23</v>
      </c>
      <c r="AF252" s="36">
        <v>0.15</v>
      </c>
      <c r="AG252" s="42">
        <f t="shared" si="69"/>
        <v>1767.7750000000001</v>
      </c>
      <c r="AH252" s="42">
        <f t="shared" si="90"/>
        <v>1821.4563327999999</v>
      </c>
      <c r="AI252" s="42">
        <f t="shared" si="91"/>
        <v>1.0303666093252817</v>
      </c>
      <c r="AJ252" s="57">
        <v>3</v>
      </c>
      <c r="AK252" s="57">
        <v>4</v>
      </c>
      <c r="AL252" s="63">
        <v>6.4</v>
      </c>
      <c r="AM252" s="57">
        <v>23</v>
      </c>
      <c r="AN252" s="63">
        <v>6</v>
      </c>
      <c r="AO252" s="63">
        <v>4.5</v>
      </c>
      <c r="AP252" s="36">
        <v>0.11</v>
      </c>
      <c r="AQ252" s="36">
        <v>0.16</v>
      </c>
      <c r="AR252" s="73">
        <f t="shared" si="70"/>
        <v>2165</v>
      </c>
      <c r="AS252" s="75">
        <f t="shared" si="71"/>
        <v>0.18706697459584296</v>
      </c>
      <c r="AT252" s="75">
        <f t="shared" si="72"/>
        <v>0.72055427251732107</v>
      </c>
      <c r="AU252" s="75">
        <f t="shared" si="73"/>
        <v>9.237875288683603E-2</v>
      </c>
      <c r="AV252" s="26">
        <f t="shared" si="74"/>
        <v>7.0144673388864529E-2</v>
      </c>
      <c r="AW252" s="26">
        <f t="shared" si="75"/>
        <v>8.0666374397194207E-2</v>
      </c>
      <c r="AX252" s="24">
        <f t="shared" si="76"/>
        <v>0.88148148148148153</v>
      </c>
      <c r="AY252" s="24">
        <f t="shared" si="77"/>
        <v>0.88888888888888884</v>
      </c>
      <c r="AZ252" s="77" t="str">
        <f t="shared" si="78"/>
        <v>5,0 ≤ Alc. Bruta &lt; 7,5 mg/L</v>
      </c>
      <c r="BA252" s="77" t="str">
        <f t="shared" si="79"/>
        <v>10 ≤ Cor &lt;15 uC</v>
      </c>
      <c r="BB252" s="78" t="str">
        <f t="shared" si="80"/>
        <v>Turbidez &lt; 2,5 uT</v>
      </c>
      <c r="BC252" s="79" t="str">
        <f t="shared" si="81"/>
        <v>SM &gt; TOR &gt; BNN</v>
      </c>
      <c r="BD252" s="78" t="str">
        <f t="shared" si="82"/>
        <v>Tipo 1 (≤0,25) uT</v>
      </c>
      <c r="BE252" s="78" t="str">
        <f t="shared" si="83"/>
        <v>Tipo 1 (≤0,25) uT</v>
      </c>
      <c r="BF252" s="78" t="str">
        <f t="shared" si="84"/>
        <v>Tipo 1 (≤0,25) uT</v>
      </c>
      <c r="BG252" s="78" t="str">
        <f t="shared" si="85"/>
        <v>Tipo 1 (≤0,25) uT</v>
      </c>
      <c r="BH252" s="78" t="str">
        <f t="shared" si="86"/>
        <v>Tipo 1 (≤0,25) uT</v>
      </c>
    </row>
    <row r="253" spans="1:60" x14ac:dyDescent="0.2">
      <c r="A253" s="31">
        <v>46286</v>
      </c>
      <c r="B253" s="80">
        <v>0.89583333333333337</v>
      </c>
      <c r="C253" s="57">
        <v>388</v>
      </c>
      <c r="D253" s="57">
        <v>1640</v>
      </c>
      <c r="E253" s="57">
        <v>200</v>
      </c>
      <c r="F253" s="57">
        <v>2219</v>
      </c>
      <c r="G253" s="85" t="s">
        <v>78</v>
      </c>
      <c r="H253" s="63">
        <v>9.5</v>
      </c>
      <c r="I253" s="57">
        <v>34</v>
      </c>
      <c r="J253" s="57">
        <v>90</v>
      </c>
      <c r="K253" s="57">
        <v>90</v>
      </c>
      <c r="L253" s="57">
        <v>90</v>
      </c>
      <c r="M253" s="57">
        <v>26</v>
      </c>
      <c r="N253" s="63">
        <v>6.4</v>
      </c>
      <c r="O253" s="36">
        <v>1.44</v>
      </c>
      <c r="P253" s="57">
        <v>12</v>
      </c>
      <c r="Q253" s="63">
        <v>5.9</v>
      </c>
      <c r="R253" s="36">
        <v>0.22</v>
      </c>
      <c r="S253" s="36">
        <v>22.36</v>
      </c>
      <c r="T253" s="36">
        <v>0.88</v>
      </c>
      <c r="U253" s="36">
        <v>0.7</v>
      </c>
      <c r="V253" s="42">
        <f t="shared" si="87"/>
        <v>1744.68875</v>
      </c>
      <c r="W253" s="42">
        <f t="shared" si="88"/>
        <v>1550.8312851199998</v>
      </c>
      <c r="X253" s="42">
        <f t="shared" si="89"/>
        <v>0.88888707806478362</v>
      </c>
      <c r="Y253" s="57">
        <v>3</v>
      </c>
      <c r="Z253" s="57">
        <v>4</v>
      </c>
      <c r="AA253" s="63">
        <v>6.1</v>
      </c>
      <c r="AB253" s="57">
        <v>20.8</v>
      </c>
      <c r="AC253" s="63">
        <v>6.1</v>
      </c>
      <c r="AD253" s="63">
        <v>4.3</v>
      </c>
      <c r="AE253" s="36">
        <v>0.19</v>
      </c>
      <c r="AF253" s="36">
        <v>0.17299999999999999</v>
      </c>
      <c r="AG253" s="42">
        <f t="shared" si="69"/>
        <v>1744.68875</v>
      </c>
      <c r="AH253" s="42">
        <f t="shared" si="90"/>
        <v>1754.8651671199998</v>
      </c>
      <c r="AI253" s="42">
        <f t="shared" si="91"/>
        <v>1.0058327980391917</v>
      </c>
      <c r="AJ253" s="57">
        <v>3</v>
      </c>
      <c r="AK253" s="57">
        <v>4</v>
      </c>
      <c r="AL253" s="63">
        <v>6.3</v>
      </c>
      <c r="AM253" s="57">
        <v>22.6</v>
      </c>
      <c r="AN253" s="63">
        <v>6.1</v>
      </c>
      <c r="AO253" s="63">
        <v>4.7</v>
      </c>
      <c r="AP253" s="36">
        <v>0.22</v>
      </c>
      <c r="AQ253" s="36">
        <v>0.17</v>
      </c>
      <c r="AR253" s="73">
        <f t="shared" si="70"/>
        <v>2228</v>
      </c>
      <c r="AS253" s="75">
        <f t="shared" si="71"/>
        <v>0.1741472172351885</v>
      </c>
      <c r="AT253" s="75">
        <f t="shared" si="72"/>
        <v>0.73608617594254933</v>
      </c>
      <c r="AU253" s="75">
        <f t="shared" si="73"/>
        <v>8.9766606822262118E-2</v>
      </c>
      <c r="AV253" s="26">
        <f t="shared" si="74"/>
        <v>7.4988733663812535E-2</v>
      </c>
      <c r="AW253" s="26">
        <f t="shared" si="75"/>
        <v>8.1478143307796305E-2</v>
      </c>
      <c r="AX253" s="24">
        <f t="shared" si="76"/>
        <v>0.88194444444444442</v>
      </c>
      <c r="AY253" s="24">
        <f t="shared" si="77"/>
        <v>0.87986111111111109</v>
      </c>
      <c r="AZ253" s="77" t="str">
        <f t="shared" si="78"/>
        <v>5,0 ≤ Alc. Bruta &lt; 7,5 mg/L</v>
      </c>
      <c r="BA253" s="77" t="str">
        <f t="shared" si="79"/>
        <v>10 ≤ Cor &lt;15 uC</v>
      </c>
      <c r="BB253" s="78" t="str">
        <f t="shared" si="80"/>
        <v>Turbidez &lt; 2,5 uT</v>
      </c>
      <c r="BC253" s="79" t="str">
        <f t="shared" si="81"/>
        <v>SM &gt; TOR &gt; BNN</v>
      </c>
      <c r="BD253" s="78" t="str">
        <f t="shared" si="82"/>
        <v>Tipo 1 (≤0,25) uT</v>
      </c>
      <c r="BE253" s="78" t="str">
        <f t="shared" si="83"/>
        <v>Tipo 1 (≤0,25) uT</v>
      </c>
      <c r="BF253" s="78" t="str">
        <f t="shared" si="84"/>
        <v>Tipo 1 (≤0,25) uT</v>
      </c>
      <c r="BG253" s="78" t="str">
        <f t="shared" si="85"/>
        <v>Tipo 1 (≤0,25) uT</v>
      </c>
      <c r="BH253" s="78" t="str">
        <f t="shared" si="86"/>
        <v>Tipo 1 (≤0,25) uT</v>
      </c>
    </row>
    <row r="254" spans="1:60" x14ac:dyDescent="0.2">
      <c r="A254" s="31">
        <v>46287</v>
      </c>
      <c r="B254" s="80">
        <v>6.25E-2</v>
      </c>
      <c r="C254" s="57">
        <v>400</v>
      </c>
      <c r="D254" s="57">
        <v>1700</v>
      </c>
      <c r="E254" s="57">
        <v>200</v>
      </c>
      <c r="F254" s="57">
        <v>2273</v>
      </c>
      <c r="G254" s="85" t="s">
        <v>78</v>
      </c>
      <c r="H254" s="63">
        <v>9.5</v>
      </c>
      <c r="I254" s="57">
        <v>-15</v>
      </c>
      <c r="J254" s="57">
        <v>90</v>
      </c>
      <c r="K254" s="57">
        <v>90</v>
      </c>
      <c r="L254" s="57">
        <v>90</v>
      </c>
      <c r="M254" s="57">
        <v>25.7</v>
      </c>
      <c r="N254" s="63">
        <v>6.4</v>
      </c>
      <c r="O254" s="36">
        <v>1.39</v>
      </c>
      <c r="P254" s="57">
        <v>10</v>
      </c>
      <c r="Q254" s="63">
        <v>5.6</v>
      </c>
      <c r="R254" s="36">
        <v>0.38</v>
      </c>
      <c r="S254" s="36">
        <v>22.36</v>
      </c>
      <c r="T254" s="36">
        <v>0.88</v>
      </c>
      <c r="U254" s="36">
        <v>0.7</v>
      </c>
      <c r="V254" s="42">
        <f t="shared" si="87"/>
        <v>1772.94</v>
      </c>
      <c r="W254" s="42">
        <f t="shared" si="88"/>
        <v>1460.2868799999999</v>
      </c>
      <c r="X254" s="42">
        <f t="shared" si="89"/>
        <v>0.82365273500513259</v>
      </c>
      <c r="Y254" s="57">
        <v>3</v>
      </c>
      <c r="Z254" s="57">
        <v>4</v>
      </c>
      <c r="AA254" s="63">
        <v>6</v>
      </c>
      <c r="AB254" s="57">
        <v>20</v>
      </c>
      <c r="AC254" s="63">
        <v>6.1</v>
      </c>
      <c r="AD254" s="63">
        <v>4.8</v>
      </c>
      <c r="AE254" s="36">
        <v>0.26</v>
      </c>
      <c r="AF254" s="36">
        <v>0.23</v>
      </c>
      <c r="AG254" s="42">
        <f t="shared" si="69"/>
        <v>1772.94</v>
      </c>
      <c r="AH254" s="42">
        <f t="shared" si="90"/>
        <v>1821.4563327999999</v>
      </c>
      <c r="AI254" s="42">
        <f t="shared" si="91"/>
        <v>1.0273649039448598</v>
      </c>
      <c r="AJ254" s="57">
        <v>3</v>
      </c>
      <c r="AK254" s="57">
        <v>4</v>
      </c>
      <c r="AL254" s="63">
        <v>6.4</v>
      </c>
      <c r="AM254" s="57">
        <v>23</v>
      </c>
      <c r="AN254" s="63">
        <v>6.1</v>
      </c>
      <c r="AO254" s="63">
        <v>4.9000000000000004</v>
      </c>
      <c r="AP254" s="36">
        <v>0.28000000000000003</v>
      </c>
      <c r="AQ254" s="36">
        <v>0.16</v>
      </c>
      <c r="AR254" s="73">
        <f t="shared" si="70"/>
        <v>2300</v>
      </c>
      <c r="AS254" s="75">
        <f t="shared" si="71"/>
        <v>0.17391304347826086</v>
      </c>
      <c r="AT254" s="75">
        <f t="shared" si="72"/>
        <v>0.73913043478260865</v>
      </c>
      <c r="AU254" s="75">
        <f t="shared" si="73"/>
        <v>8.6956521739130432E-2</v>
      </c>
      <c r="AV254" s="26">
        <f t="shared" si="74"/>
        <v>7.0391553013638364E-2</v>
      </c>
      <c r="AW254" s="26">
        <f t="shared" si="75"/>
        <v>8.0950285965684113E-2</v>
      </c>
      <c r="AX254" s="24">
        <f t="shared" si="76"/>
        <v>0.8848920863309353</v>
      </c>
      <c r="AY254" s="24">
        <f t="shared" si="77"/>
        <v>0.83453237410071934</v>
      </c>
      <c r="AZ254" s="77" t="str">
        <f t="shared" si="78"/>
        <v>5,0 ≤ Alc. Bruta &lt; 7,5 mg/L</v>
      </c>
      <c r="BA254" s="77" t="str">
        <f t="shared" si="79"/>
        <v>10 ≤ Cor &lt;15 uC</v>
      </c>
      <c r="BB254" s="78" t="str">
        <f t="shared" si="80"/>
        <v>Turbidez &lt; 2,5 uT</v>
      </c>
      <c r="BC254" s="79" t="str">
        <f t="shared" si="81"/>
        <v>SM &gt; TOR &gt; BNN</v>
      </c>
      <c r="BD254" s="78" t="str">
        <f t="shared" si="82"/>
        <v>Tipo 2 (0,25-0,50) uT</v>
      </c>
      <c r="BE254" s="78" t="str">
        <f t="shared" si="83"/>
        <v>Tipo 2 (0,25-0,50) uT</v>
      </c>
      <c r="BF254" s="78" t="str">
        <f t="shared" si="84"/>
        <v>Tipo 1 (≤0,25) uT</v>
      </c>
      <c r="BG254" s="78" t="str">
        <f t="shared" si="85"/>
        <v>Tipo 1 (≤0,25) uT</v>
      </c>
      <c r="BH254" s="78" t="str">
        <f t="shared" si="86"/>
        <v>Tipo 2 (0,25-0,50) uT</v>
      </c>
    </row>
    <row r="255" spans="1:60" x14ac:dyDescent="0.2">
      <c r="A255" s="31">
        <v>46287</v>
      </c>
      <c r="B255" s="80">
        <v>0.14583333333333334</v>
      </c>
      <c r="C255" s="57">
        <v>396</v>
      </c>
      <c r="D255" s="57">
        <v>1588</v>
      </c>
      <c r="E255" s="57">
        <v>199</v>
      </c>
      <c r="F255" s="57">
        <v>2219</v>
      </c>
      <c r="G255" s="85" t="s">
        <v>78</v>
      </c>
      <c r="H255" s="63">
        <v>9.5</v>
      </c>
      <c r="I255" s="57">
        <v>48</v>
      </c>
      <c r="J255" s="57">
        <v>90</v>
      </c>
      <c r="K255" s="57">
        <v>90</v>
      </c>
      <c r="L255" s="57">
        <v>90</v>
      </c>
      <c r="M255" s="57">
        <v>25.3</v>
      </c>
      <c r="N255" s="63">
        <v>6.4</v>
      </c>
      <c r="O255" s="36">
        <v>1.54</v>
      </c>
      <c r="P255" s="57">
        <v>14</v>
      </c>
      <c r="Q255" s="63">
        <v>6.2</v>
      </c>
      <c r="R255" s="36">
        <v>0.25</v>
      </c>
      <c r="S255" s="36">
        <v>22.36</v>
      </c>
      <c r="T255" s="36">
        <v>0.88</v>
      </c>
      <c r="U255" s="36">
        <v>0.7</v>
      </c>
      <c r="V255" s="42">
        <f t="shared" si="87"/>
        <v>1772.4262500000002</v>
      </c>
      <c r="W255" s="42">
        <f t="shared" si="88"/>
        <v>1550.8312851199998</v>
      </c>
      <c r="X255" s="42">
        <f t="shared" si="89"/>
        <v>0.87497648216392621</v>
      </c>
      <c r="Y255" s="57">
        <v>3</v>
      </c>
      <c r="Z255" s="57">
        <v>4</v>
      </c>
      <c r="AA255" s="63">
        <v>6.1</v>
      </c>
      <c r="AB255" s="57">
        <v>20.8</v>
      </c>
      <c r="AC255" s="63">
        <v>6.1</v>
      </c>
      <c r="AD255" s="63">
        <v>4</v>
      </c>
      <c r="AE255" s="36">
        <v>0.2</v>
      </c>
      <c r="AF255" s="36">
        <v>0.25</v>
      </c>
      <c r="AG255" s="42">
        <f t="shared" si="69"/>
        <v>1772.4262500000002</v>
      </c>
      <c r="AH255" s="42">
        <f t="shared" si="90"/>
        <v>1797.6982067199997</v>
      </c>
      <c r="AI255" s="42">
        <f t="shared" si="91"/>
        <v>1.0142583967710925</v>
      </c>
      <c r="AJ255" s="57">
        <v>3</v>
      </c>
      <c r="AK255" s="57">
        <v>4</v>
      </c>
      <c r="AL255" s="63">
        <v>6.4</v>
      </c>
      <c r="AM255" s="57">
        <v>22.7</v>
      </c>
      <c r="AN255" s="63">
        <v>6</v>
      </c>
      <c r="AO255" s="63">
        <v>3.5</v>
      </c>
      <c r="AP255" s="36">
        <v>0.19</v>
      </c>
      <c r="AQ255" s="36">
        <v>0.13</v>
      </c>
      <c r="AR255" s="73">
        <f t="shared" si="70"/>
        <v>2183</v>
      </c>
      <c r="AS255" s="75">
        <f t="shared" si="71"/>
        <v>0.18140174072377463</v>
      </c>
      <c r="AT255" s="75">
        <f t="shared" si="72"/>
        <v>0.72743930371049015</v>
      </c>
      <c r="AU255" s="75">
        <f t="shared" si="73"/>
        <v>9.1158955565735222E-2</v>
      </c>
      <c r="AV255" s="26">
        <f t="shared" si="74"/>
        <v>7.4988733663812535E-2</v>
      </c>
      <c r="AW255" s="26">
        <f t="shared" si="75"/>
        <v>8.1838666065795401E-2</v>
      </c>
      <c r="AX255" s="24">
        <f t="shared" si="76"/>
        <v>0.91558441558441561</v>
      </c>
      <c r="AY255" s="24">
        <f t="shared" si="77"/>
        <v>0.83766233766233766</v>
      </c>
      <c r="AZ255" s="77" t="str">
        <f t="shared" si="78"/>
        <v>5,0 ≤ Alc. Bruta &lt; 7,5 mg/L</v>
      </c>
      <c r="BA255" s="77" t="str">
        <f t="shared" si="79"/>
        <v>10 ≤ Cor &lt;15 uC</v>
      </c>
      <c r="BB255" s="78" t="str">
        <f t="shared" si="80"/>
        <v>Turbidez &lt; 2,5 uT</v>
      </c>
      <c r="BC255" s="79" t="str">
        <f t="shared" si="81"/>
        <v>SM &gt; TOR &gt; BNN</v>
      </c>
      <c r="BD255" s="78" t="str">
        <f t="shared" si="82"/>
        <v>Tipo 1 (≤0,25) uT</v>
      </c>
      <c r="BE255" s="78" t="str">
        <f t="shared" si="83"/>
        <v>Tipo 1 (≤0,25) uT</v>
      </c>
      <c r="BF255" s="78" t="str">
        <f t="shared" si="84"/>
        <v>Tipo 1 (≤0,25) uT</v>
      </c>
      <c r="BG255" s="78" t="str">
        <f t="shared" si="85"/>
        <v>Tipo 1 (≤0,25) uT</v>
      </c>
      <c r="BH255" s="78" t="str">
        <f t="shared" si="86"/>
        <v>Tipo 1 (≤0,25) uT</v>
      </c>
    </row>
    <row r="256" spans="1:60" ht="15.75" thickBot="1" x14ac:dyDescent="0.25">
      <c r="A256" s="32">
        <v>46287</v>
      </c>
      <c r="B256" s="81">
        <v>0.22916666666666666</v>
      </c>
      <c r="C256" s="58">
        <v>406</v>
      </c>
      <c r="D256" s="58">
        <v>1730</v>
      </c>
      <c r="E256" s="58">
        <v>200</v>
      </c>
      <c r="F256" s="58">
        <v>2275</v>
      </c>
      <c r="G256" s="86" t="s">
        <v>78</v>
      </c>
      <c r="H256" s="64">
        <v>8.6999999999999993</v>
      </c>
      <c r="I256" s="58">
        <v>16</v>
      </c>
      <c r="J256" s="58">
        <v>90</v>
      </c>
      <c r="K256" s="58">
        <v>90</v>
      </c>
      <c r="L256" s="58">
        <v>90</v>
      </c>
      <c r="M256" s="58">
        <v>24.4</v>
      </c>
      <c r="N256" s="64">
        <v>6.4</v>
      </c>
      <c r="O256" s="37">
        <v>1.45</v>
      </c>
      <c r="P256" s="58">
        <v>13</v>
      </c>
      <c r="Q256" s="64">
        <v>5.2</v>
      </c>
      <c r="R256" s="37">
        <v>0.17</v>
      </c>
      <c r="S256" s="36">
        <v>22.36</v>
      </c>
      <c r="T256" s="36">
        <v>0.88</v>
      </c>
      <c r="U256" s="36">
        <v>0.7</v>
      </c>
      <c r="V256" s="42">
        <f t="shared" si="87"/>
        <v>1723.3125</v>
      </c>
      <c r="W256" s="42">
        <f t="shared" si="88"/>
        <v>1550.8312851199998</v>
      </c>
      <c r="X256" s="42">
        <f t="shared" si="89"/>
        <v>0.89991297870815645</v>
      </c>
      <c r="Y256" s="58">
        <v>3</v>
      </c>
      <c r="Z256" s="58">
        <v>4</v>
      </c>
      <c r="AA256" s="64">
        <v>6.1</v>
      </c>
      <c r="AB256" s="58">
        <v>20.8</v>
      </c>
      <c r="AC256" s="64">
        <v>6.2</v>
      </c>
      <c r="AD256" s="64">
        <v>4.3</v>
      </c>
      <c r="AE256" s="37">
        <v>0.21</v>
      </c>
      <c r="AF256" s="37">
        <v>0.15</v>
      </c>
      <c r="AG256" s="42">
        <f t="shared" si="69"/>
        <v>1723.3125</v>
      </c>
      <c r="AH256" s="42">
        <f t="shared" si="90"/>
        <v>1797.6982067199997</v>
      </c>
      <c r="AI256" s="42">
        <f t="shared" si="91"/>
        <v>1.0431643748420554</v>
      </c>
      <c r="AJ256" s="58">
        <v>3</v>
      </c>
      <c r="AK256" s="58">
        <v>4</v>
      </c>
      <c r="AL256" s="64">
        <v>6.4</v>
      </c>
      <c r="AM256" s="58">
        <v>22.7</v>
      </c>
      <c r="AN256" s="64">
        <v>6.1</v>
      </c>
      <c r="AO256" s="64">
        <v>4</v>
      </c>
      <c r="AP256" s="37">
        <v>0.14000000000000001</v>
      </c>
      <c r="AQ256" s="37">
        <v>0.13</v>
      </c>
      <c r="AR256" s="73">
        <f t="shared" si="70"/>
        <v>2336</v>
      </c>
      <c r="AS256" s="75">
        <f t="shared" si="71"/>
        <v>0.1738013698630137</v>
      </c>
      <c r="AT256" s="75">
        <f t="shared" si="72"/>
        <v>0.74058219178082196</v>
      </c>
      <c r="AU256" s="75">
        <f t="shared" si="73"/>
        <v>8.5616438356164379E-2</v>
      </c>
      <c r="AV256" s="26">
        <f t="shared" si="74"/>
        <v>7.3142857142857148E-2</v>
      </c>
      <c r="AW256" s="26">
        <f t="shared" si="75"/>
        <v>7.9824175824175822E-2</v>
      </c>
      <c r="AX256" s="24">
        <f t="shared" si="76"/>
        <v>0.91034482758620694</v>
      </c>
      <c r="AY256" s="24">
        <f t="shared" si="77"/>
        <v>0.89655172413793105</v>
      </c>
      <c r="AZ256" s="77" t="str">
        <f t="shared" si="78"/>
        <v>5,0 ≤ Alc. Bruta &lt; 7,5 mg/L</v>
      </c>
      <c r="BA256" s="77" t="str">
        <f t="shared" si="79"/>
        <v>10 ≤ Cor &lt;15 uC</v>
      </c>
      <c r="BB256" s="78" t="str">
        <f t="shared" si="80"/>
        <v>Turbidez &lt; 2,5 uT</v>
      </c>
      <c r="BC256" s="79" t="str">
        <f t="shared" si="81"/>
        <v>SM &gt; TOR &gt; BNN</v>
      </c>
      <c r="BD256" s="78" t="str">
        <f t="shared" si="82"/>
        <v>Tipo 1 (≤0,25) uT</v>
      </c>
      <c r="BE256" s="78" t="str">
        <f t="shared" si="83"/>
        <v>Tipo 1 (≤0,25) uT</v>
      </c>
      <c r="BF256" s="78" t="str">
        <f t="shared" si="84"/>
        <v>Tipo 1 (≤0,25) uT</v>
      </c>
      <c r="BG256" s="78" t="str">
        <f t="shared" si="85"/>
        <v>Tipo 1 (≤0,25) uT</v>
      </c>
      <c r="BH256" s="78" t="str">
        <f t="shared" si="86"/>
        <v>Tipo 1 (≤0,25) uT</v>
      </c>
    </row>
    <row r="257" spans="1:60" x14ac:dyDescent="0.2">
      <c r="A257" s="30">
        <v>46287</v>
      </c>
      <c r="B257" s="82">
        <v>0.3125</v>
      </c>
      <c r="C257" s="59">
        <v>348</v>
      </c>
      <c r="D257" s="59">
        <v>1711</v>
      </c>
      <c r="E257" s="59">
        <v>200</v>
      </c>
      <c r="F257" s="59">
        <v>2280</v>
      </c>
      <c r="G257" s="87" t="s">
        <v>78</v>
      </c>
      <c r="H257" s="65">
        <v>8.6999999999999993</v>
      </c>
      <c r="I257" s="59">
        <v>5</v>
      </c>
      <c r="J257" s="59">
        <v>90</v>
      </c>
      <c r="K257" s="59">
        <v>90</v>
      </c>
      <c r="L257" s="59">
        <v>90</v>
      </c>
      <c r="M257" s="59">
        <v>24.7</v>
      </c>
      <c r="N257" s="65">
        <v>6.4</v>
      </c>
      <c r="O257" s="38">
        <v>1.39</v>
      </c>
      <c r="P257" s="59">
        <v>12</v>
      </c>
      <c r="Q257" s="65">
        <v>5.4</v>
      </c>
      <c r="R257" s="38">
        <v>0.19</v>
      </c>
      <c r="S257" s="36">
        <v>22.36</v>
      </c>
      <c r="T257" s="36">
        <v>0.88</v>
      </c>
      <c r="U257" s="36">
        <v>0.7</v>
      </c>
      <c r="V257" s="42">
        <f t="shared" si="87"/>
        <v>1710</v>
      </c>
      <c r="W257" s="42">
        <f t="shared" si="88"/>
        <v>1491.1839279999999</v>
      </c>
      <c r="X257" s="42">
        <f t="shared" si="89"/>
        <v>0.87203738479532156</v>
      </c>
      <c r="Y257" s="59">
        <v>3</v>
      </c>
      <c r="Z257" s="59">
        <v>4</v>
      </c>
      <c r="AA257" s="65">
        <v>6.1</v>
      </c>
      <c r="AB257" s="59">
        <v>20</v>
      </c>
      <c r="AC257" s="65">
        <v>6.1</v>
      </c>
      <c r="AD257" s="65">
        <v>4.3</v>
      </c>
      <c r="AE257" s="38">
        <v>0.2</v>
      </c>
      <c r="AF257" s="38">
        <v>0.19</v>
      </c>
      <c r="AG257" s="42">
        <f t="shared" si="69"/>
        <v>1710</v>
      </c>
      <c r="AH257" s="42">
        <f t="shared" si="90"/>
        <v>1708.2758263999997</v>
      </c>
      <c r="AI257" s="42">
        <f t="shared" si="91"/>
        <v>0.99899171134502907</v>
      </c>
      <c r="AJ257" s="59">
        <v>3</v>
      </c>
      <c r="AK257" s="59">
        <v>4</v>
      </c>
      <c r="AL257" s="65">
        <v>6.3</v>
      </c>
      <c r="AM257" s="59">
        <v>22</v>
      </c>
      <c r="AN257" s="65">
        <v>6.1</v>
      </c>
      <c r="AO257" s="65">
        <v>4.4000000000000004</v>
      </c>
      <c r="AP257" s="38">
        <v>0.16</v>
      </c>
      <c r="AQ257" s="38">
        <v>0.18</v>
      </c>
      <c r="AR257" s="73">
        <f t="shared" si="70"/>
        <v>2259</v>
      </c>
      <c r="AS257" s="75">
        <f t="shared" si="71"/>
        <v>0.15405046480743692</v>
      </c>
      <c r="AT257" s="75">
        <f t="shared" si="72"/>
        <v>0.75741478530323147</v>
      </c>
      <c r="AU257" s="75">
        <f t="shared" si="73"/>
        <v>8.8534749889331563E-2</v>
      </c>
      <c r="AV257" s="26">
        <f t="shared" si="74"/>
        <v>7.0175438596491224E-2</v>
      </c>
      <c r="AW257" s="26">
        <f t="shared" si="75"/>
        <v>7.7192982456140355E-2</v>
      </c>
      <c r="AX257" s="24">
        <f t="shared" si="76"/>
        <v>0.87050359712230219</v>
      </c>
      <c r="AY257" s="24">
        <f t="shared" si="77"/>
        <v>0.86330935251798557</v>
      </c>
      <c r="AZ257" s="77" t="str">
        <f t="shared" si="78"/>
        <v>5,0 ≤ Alc. Bruta &lt; 7,5 mg/L</v>
      </c>
      <c r="BA257" s="77" t="str">
        <f t="shared" si="79"/>
        <v>10 ≤ Cor &lt;15 uC</v>
      </c>
      <c r="BB257" s="78" t="str">
        <f t="shared" si="80"/>
        <v>Turbidez &lt; 2,5 uT</v>
      </c>
      <c r="BC257" s="79" t="str">
        <f t="shared" si="81"/>
        <v>SM &gt; TOR &gt; BNN</v>
      </c>
      <c r="BD257" s="78" t="str">
        <f t="shared" si="82"/>
        <v>Tipo 1 (≤0,25) uT</v>
      </c>
      <c r="BE257" s="78" t="str">
        <f t="shared" si="83"/>
        <v>Tipo 1 (≤0,25) uT</v>
      </c>
      <c r="BF257" s="78" t="str">
        <f t="shared" si="84"/>
        <v>Tipo 1 (≤0,25) uT</v>
      </c>
      <c r="BG257" s="78" t="str">
        <f t="shared" si="85"/>
        <v>Tipo 1 (≤0,25) uT</v>
      </c>
      <c r="BH257" s="78" t="str">
        <f t="shared" si="86"/>
        <v>Tipo 1 (≤0,25) uT</v>
      </c>
    </row>
    <row r="258" spans="1:60" x14ac:dyDescent="0.2">
      <c r="A258" s="31">
        <v>46287</v>
      </c>
      <c r="B258" s="80">
        <v>0.39583333333333331</v>
      </c>
      <c r="C258" s="57">
        <v>346</v>
      </c>
      <c r="D258" s="57">
        <v>1674</v>
      </c>
      <c r="E258" s="57">
        <v>198</v>
      </c>
      <c r="F258" s="57">
        <v>2171</v>
      </c>
      <c r="G258" s="85" t="s">
        <v>78</v>
      </c>
      <c r="H258" s="63">
        <v>9.1999999999999993</v>
      </c>
      <c r="I258" s="57">
        <v>94</v>
      </c>
      <c r="J258" s="57">
        <v>90</v>
      </c>
      <c r="K258" s="57">
        <v>90</v>
      </c>
      <c r="L258" s="57">
        <v>90</v>
      </c>
      <c r="M258" s="57">
        <v>25</v>
      </c>
      <c r="N258" s="63">
        <v>6.3</v>
      </c>
      <c r="O258" s="36">
        <v>1.56</v>
      </c>
      <c r="P258" s="57">
        <v>11</v>
      </c>
      <c r="Q258" s="63">
        <v>6.2</v>
      </c>
      <c r="R258" s="36">
        <v>0.13</v>
      </c>
      <c r="S258" s="36">
        <v>22.36</v>
      </c>
      <c r="T258" s="36">
        <v>0.88</v>
      </c>
      <c r="U258" s="36">
        <v>0.7</v>
      </c>
      <c r="V258" s="42">
        <f t="shared" si="87"/>
        <v>1715.0900000000001</v>
      </c>
      <c r="W258" s="42">
        <f t="shared" si="88"/>
        <v>1491.1839279999999</v>
      </c>
      <c r="X258" s="42">
        <f t="shared" si="89"/>
        <v>0.86944937466838468</v>
      </c>
      <c r="Y258" s="57">
        <v>3</v>
      </c>
      <c r="Z258" s="57">
        <v>4</v>
      </c>
      <c r="AA258" s="63">
        <v>6.1</v>
      </c>
      <c r="AB258" s="57">
        <v>20</v>
      </c>
      <c r="AC258" s="63">
        <v>6.1</v>
      </c>
      <c r="AD258" s="63">
        <v>4.2</v>
      </c>
      <c r="AE258" s="36">
        <v>0.16</v>
      </c>
      <c r="AF258" s="36">
        <v>0.16</v>
      </c>
      <c r="AG258" s="42">
        <f t="shared" ref="AG258:AG321" si="92">(O258+0.3*H258+2)*(F258/2/AK258)</f>
        <v>1715.0900000000001</v>
      </c>
      <c r="AH258" s="42">
        <f t="shared" si="90"/>
        <v>1708.2758263999997</v>
      </c>
      <c r="AI258" s="42">
        <f t="shared" si="91"/>
        <v>0.99602692943227444</v>
      </c>
      <c r="AJ258" s="57">
        <v>3</v>
      </c>
      <c r="AK258" s="57">
        <v>4</v>
      </c>
      <c r="AL258" s="63">
        <v>6.3</v>
      </c>
      <c r="AM258" s="57">
        <v>22</v>
      </c>
      <c r="AN258" s="63">
        <v>6</v>
      </c>
      <c r="AO258" s="63">
        <v>4.4000000000000004</v>
      </c>
      <c r="AP258" s="36">
        <v>0.13</v>
      </c>
      <c r="AQ258" s="36">
        <v>0.17</v>
      </c>
      <c r="AR258" s="73">
        <f t="shared" ref="AR258:AR321" si="93">SUM(C258:E258)</f>
        <v>2218</v>
      </c>
      <c r="AS258" s="75">
        <f t="shared" ref="AS258:AS321" si="94">C258/AR258</f>
        <v>0.15599639314697927</v>
      </c>
      <c r="AT258" s="75">
        <f t="shared" ref="AT258:AT321" si="95">D258/AR258</f>
        <v>0.75473399458972046</v>
      </c>
      <c r="AU258" s="75">
        <f t="shared" ref="AU258:AU321" si="96">E258/AR258</f>
        <v>8.9269612263300269E-2</v>
      </c>
      <c r="AV258" s="26">
        <f t="shared" ref="AV258:AV321" si="97">IF(AND(F258&lt;&gt;"",Z258&lt;&gt;""),AB258/(F258/2/Z258),"")</f>
        <v>7.3698756333486867E-2</v>
      </c>
      <c r="AW258" s="26">
        <f t="shared" ref="AW258:AW321" si="98">IF(AND(F258&lt;&gt;"",AK258&lt;&gt;""),AM258/(F258/2/AK258),"")</f>
        <v>8.1068631966835558E-2</v>
      </c>
      <c r="AX258" s="24">
        <f t="shared" ref="AX258:AX321" si="99">IF(AND(AQ258&lt;&gt;"",1-(AQ258/O258)&gt;0),1-(AQ258/O258),"")</f>
        <v>0.89102564102564097</v>
      </c>
      <c r="AY258" s="24">
        <f t="shared" ref="AY258:AY321" si="100">IF(AND(AF258&lt;&gt;"",1-(AF258/O258)&gt;0),1-(AF258/O258),"")</f>
        <v>0.89743589743589747</v>
      </c>
      <c r="AZ258" s="77" t="str">
        <f t="shared" ref="AZ258:AZ321" si="101">IF(Q258="","",IF(Q258&lt;2.5,"Alc. Bruta &lt; 2,5 mg/L",IF(Q258&lt;5,"2,5 ≤ Alc. Bruta &lt; 5,0 mg/L",IF(Q258&lt;7.5,"5,0 ≤ Alc. Bruta &lt; 7,5 mg/L",IF(Q258&lt;10,"7,5 ≤ Alc. Bruta &lt; 10,0 mg/L",IF(Q258&lt;15,"10,0 ≤ Alca. Bruta &lt; 15,0 mg/L","Alc. Bruta &gt; 15 mg/L"))))))</f>
        <v>5,0 ≤ Alc. Bruta &lt; 7,5 mg/L</v>
      </c>
      <c r="BA258" s="77" t="str">
        <f t="shared" ref="BA258:BA321" si="102">IF(P258="","",IF(P258&lt;5,"Cor &lt;5 uC",IF(P258&lt;10,"5 ≤ Cor &lt; 10 uC",IF(P258&lt;15,"10 ≤ Cor &lt;15 uC",IF(P258&lt;30,"15 ≤ Cor &lt; 30 uC",IF(P258&lt;50,"30 ≤ Cor &lt; 50 uC","Cor &gt; 50 uC"))))))</f>
        <v>10 ≤ Cor &lt;15 uC</v>
      </c>
      <c r="BB258" s="78" t="str">
        <f t="shared" ref="BB258:BB321" si="103">IF(O258="","",IF(O258&lt;2.5,"Turbidez &lt; 2,5 uT",IF(O258&lt;5,"2,5 ≤ Turb &lt; 5,0 uT",IF(O258&lt;7.5,"5,0 ≤ Turb &lt; 7,5 uT",IF(O258&lt;10,"7,5 ≤ Turb &lt; 10,0 uT",IF(O258&lt;15,"10,0 ≤ Turb &lt; 15,0 uT","Turb &gt; 15 uT"))))))</f>
        <v>Turbidez &lt; 2,5 uT</v>
      </c>
      <c r="BC258" s="79" t="str">
        <f t="shared" ref="BC258:BC321" si="104">IF(AND(C258&gt;D258,D258&gt;E258),"TOR &gt; SM &gt; BNN",IF(AND(C258&gt;E258,E258&gt;D258),"TOR &gt; BNN &gt; SM",IF(AND(D258&gt;C258,C258&gt;E258),"SM &gt; TOR &gt; BNN",IF(AND(D258&gt;E258,E258&gt;C258),"SM &gt; BNN &gt; TOR",IF(AND(C258=D258,D258=E258),"TOR = SM = BNN","Comb. diferentes")))))</f>
        <v>SM &gt; TOR &gt; BNN</v>
      </c>
      <c r="BD258" s="78" t="str">
        <f t="shared" ref="BD258:BD321" si="105">IF(OR(AE258="",AQ258="-"),"",IF(AE258&lt;=0.25,"Tipo 1 (≤0,25) uT",IF(AE258&lt;=0.5,"Tipo 2 (0,25-0,50) uT",IF(AE258&lt;=0.75,"Tipo 3 (0,50-0,75) uT","Tipo 4 (&gt;0,75) uT"))))</f>
        <v>Tipo 1 (≤0,25) uT</v>
      </c>
      <c r="BE258" s="78" t="str">
        <f t="shared" ref="BE258:BE321" si="106">IF(OR(AP258="",AZ258="-"),"",IF(AP258&lt;=0.25,"Tipo 1 (≤0,25) uT",IF(AP258&lt;=0.5,"Tipo 2 (0,25-0,50) uT",IF(AP258&lt;=0.75,"Tipo 3 (0,50-0,75) uT","Tipo 4 (&gt;0,75) uT"))))</f>
        <v>Tipo 1 (≤0,25) uT</v>
      </c>
      <c r="BF258" s="78" t="str">
        <f t="shared" ref="BF258:BF321" si="107">IF(OR(AF258="",AQ258="-"),"",IF(AF258&lt;=0.25,"Tipo 1 (≤0,25) uT",IF(AF258&lt;=0.5,"Tipo 2 (0,25-0,50) uT",IF(AF258&lt;=0.75,"Tipo 3 (0,50-0,75) uT","Tipo 4 (&gt;0,75) uT"))))</f>
        <v>Tipo 1 (≤0,25) uT</v>
      </c>
      <c r="BG258" s="78" t="str">
        <f t="shared" ref="BG258:BG321" si="108">IF(OR(AQ258="",AQ258="-"),"",IF(AQ258&lt;=0.25,"Tipo 1 (≤0,25) uT",IF(AQ258&lt;=0.5,"Tipo 2 (0,25-0,50) uT",IF(AQ258&lt;=0.75,"Tipo 3 (0,50-0,75) uT","Tipo 4 (&gt;0,75) uT"))))</f>
        <v>Tipo 1 (≤0,25) uT</v>
      </c>
      <c r="BH258" s="78" t="str">
        <f t="shared" ref="BH258:BH321" si="109">IF(OR(R258="",R258="-"),"",IF(R258&lt;=0.25,"Tipo 1 (≤0,25) uT",IF(R258&lt;=0.5,"Tipo 2 (0,25-0,50) uT",IF(R258&lt;=0.75,"Tipo 3 (0,50-0,75) uT","Tipo 4 (&gt;0,75) uT"))))</f>
        <v>Tipo 1 (≤0,25) uT</v>
      </c>
    </row>
    <row r="259" spans="1:60" x14ac:dyDescent="0.2">
      <c r="A259" s="31">
        <v>46287</v>
      </c>
      <c r="B259" s="80">
        <v>0.47916666666666669</v>
      </c>
      <c r="C259" s="57">
        <v>340</v>
      </c>
      <c r="D259" s="57">
        <v>1680</v>
      </c>
      <c r="E259" s="57">
        <v>199</v>
      </c>
      <c r="F259" s="57">
        <v>2175</v>
      </c>
      <c r="G259" s="85" t="s">
        <v>78</v>
      </c>
      <c r="H259" s="63">
        <v>9.1999999999999993</v>
      </c>
      <c r="I259" s="57">
        <v>3.8</v>
      </c>
      <c r="J259" s="57">
        <v>90</v>
      </c>
      <c r="K259" s="57">
        <v>90</v>
      </c>
      <c r="L259" s="57">
        <v>90</v>
      </c>
      <c r="M259" s="57">
        <v>25.4</v>
      </c>
      <c r="N259" s="63">
        <v>5.3</v>
      </c>
      <c r="O259" s="36">
        <v>1.49</v>
      </c>
      <c r="P259" s="57">
        <v>11</v>
      </c>
      <c r="Q259" s="63">
        <v>6.5</v>
      </c>
      <c r="R259" s="36">
        <v>0.17</v>
      </c>
      <c r="S259" s="36">
        <v>22.36</v>
      </c>
      <c r="T259" s="36">
        <v>0.88</v>
      </c>
      <c r="U259" s="36">
        <v>0.7</v>
      </c>
      <c r="V259" s="42">
        <f t="shared" ref="V259:V322" si="110">(O259+0.3*H259+2)*(F259/2/Z259)</f>
        <v>1699.21875</v>
      </c>
      <c r="W259" s="42">
        <f t="shared" ref="W259:W322" si="111">S259*(U259*AA259*0.987-T259)*AB259</f>
        <v>1491.1839279999999</v>
      </c>
      <c r="X259" s="42">
        <f t="shared" ref="X259:X322" si="112">W259/V259</f>
        <v>0.87757031165057464</v>
      </c>
      <c r="Y259" s="57">
        <v>3</v>
      </c>
      <c r="Z259" s="57">
        <v>4</v>
      </c>
      <c r="AA259" s="63">
        <v>6.1</v>
      </c>
      <c r="AB259" s="57">
        <v>20</v>
      </c>
      <c r="AC259" s="63">
        <v>6.1</v>
      </c>
      <c r="AD259" s="63">
        <v>4.2</v>
      </c>
      <c r="AE259" s="36">
        <v>0.16</v>
      </c>
      <c r="AF259" s="36">
        <v>0.2</v>
      </c>
      <c r="AG259" s="42">
        <f t="shared" si="92"/>
        <v>1699.21875</v>
      </c>
      <c r="AH259" s="42">
        <f t="shared" ref="AH259:AH322" si="113">S259*(U259*AL259*0.987-T259)*AM259</f>
        <v>1708.2758263999997</v>
      </c>
      <c r="AI259" s="42">
        <f t="shared" ref="AI259:AI322" si="114">AH259/AG259</f>
        <v>1.0053301415135629</v>
      </c>
      <c r="AJ259" s="57">
        <v>3</v>
      </c>
      <c r="AK259" s="57">
        <v>4</v>
      </c>
      <c r="AL259" s="63">
        <v>6.3</v>
      </c>
      <c r="AM259" s="57">
        <v>22</v>
      </c>
      <c r="AN259" s="63">
        <v>6.1</v>
      </c>
      <c r="AO259" s="63">
        <v>4.4000000000000004</v>
      </c>
      <c r="AP259" s="36">
        <v>0.13</v>
      </c>
      <c r="AQ259" s="36">
        <v>0.18</v>
      </c>
      <c r="AR259" s="73">
        <f t="shared" si="93"/>
        <v>2219</v>
      </c>
      <c r="AS259" s="75">
        <f t="shared" si="94"/>
        <v>0.15322217214961695</v>
      </c>
      <c r="AT259" s="75">
        <f t="shared" si="95"/>
        <v>0.75709779179810721</v>
      </c>
      <c r="AU259" s="75">
        <f t="shared" si="96"/>
        <v>8.9680036052275799E-2</v>
      </c>
      <c r="AV259" s="26">
        <f t="shared" si="97"/>
        <v>7.3563218390804597E-2</v>
      </c>
      <c r="AW259" s="26">
        <f t="shared" si="98"/>
        <v>8.0919540229885054E-2</v>
      </c>
      <c r="AX259" s="24">
        <f t="shared" si="99"/>
        <v>0.87919463087248317</v>
      </c>
      <c r="AY259" s="24">
        <f t="shared" si="100"/>
        <v>0.86577181208053688</v>
      </c>
      <c r="AZ259" s="77" t="str">
        <f t="shared" si="101"/>
        <v>5,0 ≤ Alc. Bruta &lt; 7,5 mg/L</v>
      </c>
      <c r="BA259" s="77" t="str">
        <f t="shared" si="102"/>
        <v>10 ≤ Cor &lt;15 uC</v>
      </c>
      <c r="BB259" s="78" t="str">
        <f t="shared" si="103"/>
        <v>Turbidez &lt; 2,5 uT</v>
      </c>
      <c r="BC259" s="79" t="str">
        <f t="shared" si="104"/>
        <v>SM &gt; TOR &gt; BNN</v>
      </c>
      <c r="BD259" s="78" t="str">
        <f t="shared" si="105"/>
        <v>Tipo 1 (≤0,25) uT</v>
      </c>
      <c r="BE259" s="78" t="str">
        <f t="shared" si="106"/>
        <v>Tipo 1 (≤0,25) uT</v>
      </c>
      <c r="BF259" s="78" t="str">
        <f t="shared" si="107"/>
        <v>Tipo 1 (≤0,25) uT</v>
      </c>
      <c r="BG259" s="78" t="str">
        <f t="shared" si="108"/>
        <v>Tipo 1 (≤0,25) uT</v>
      </c>
      <c r="BH259" s="78" t="str">
        <f t="shared" si="109"/>
        <v>Tipo 1 (≤0,25) uT</v>
      </c>
    </row>
    <row r="260" spans="1:60" x14ac:dyDescent="0.2">
      <c r="A260" s="31">
        <v>46287</v>
      </c>
      <c r="B260" s="80">
        <v>0.64583333333333337</v>
      </c>
      <c r="C260" s="57">
        <v>349</v>
      </c>
      <c r="D260" s="57">
        <v>1647</v>
      </c>
      <c r="E260" s="57">
        <v>200</v>
      </c>
      <c r="F260" s="57">
        <v>2163</v>
      </c>
      <c r="G260" s="85" t="s">
        <v>78</v>
      </c>
      <c r="H260" s="63">
        <v>9.1999999999999993</v>
      </c>
      <c r="I260" s="57">
        <v>74</v>
      </c>
      <c r="J260" s="57">
        <v>90</v>
      </c>
      <c r="K260" s="57">
        <v>90</v>
      </c>
      <c r="L260" s="57">
        <v>90</v>
      </c>
      <c r="M260" s="57">
        <v>27.5</v>
      </c>
      <c r="N260" s="63">
        <v>6.4</v>
      </c>
      <c r="O260" s="36">
        <v>1.33</v>
      </c>
      <c r="P260" s="57">
        <v>10</v>
      </c>
      <c r="Q260" s="63">
        <v>5.5</v>
      </c>
      <c r="R260" s="36">
        <v>0.13</v>
      </c>
      <c r="S260" s="36">
        <v>22.36</v>
      </c>
      <c r="T260" s="36">
        <v>0.88</v>
      </c>
      <c r="U260" s="36">
        <v>0.7</v>
      </c>
      <c r="V260" s="42">
        <f t="shared" si="110"/>
        <v>1646.58375</v>
      </c>
      <c r="W260" s="42">
        <f t="shared" si="111"/>
        <v>1522.080976</v>
      </c>
      <c r="X260" s="42">
        <f t="shared" si="112"/>
        <v>0.9243872205103445</v>
      </c>
      <c r="Y260" s="57">
        <v>3</v>
      </c>
      <c r="Z260" s="57">
        <v>4</v>
      </c>
      <c r="AA260" s="63">
        <v>6.2</v>
      </c>
      <c r="AB260" s="57">
        <v>20</v>
      </c>
      <c r="AC260" s="63">
        <v>6.1</v>
      </c>
      <c r="AD260" s="63">
        <v>3.9</v>
      </c>
      <c r="AE260" s="36">
        <v>0.14000000000000001</v>
      </c>
      <c r="AF260" s="36">
        <v>0.11</v>
      </c>
      <c r="AG260" s="42">
        <f t="shared" si="92"/>
        <v>1646.58375</v>
      </c>
      <c r="AH260" s="42">
        <f t="shared" si="113"/>
        <v>1708.2758263999997</v>
      </c>
      <c r="AI260" s="42">
        <f t="shared" si="114"/>
        <v>1.0374667103328328</v>
      </c>
      <c r="AJ260" s="57">
        <v>3</v>
      </c>
      <c r="AK260" s="57">
        <v>4</v>
      </c>
      <c r="AL260" s="63">
        <v>6.3</v>
      </c>
      <c r="AM260" s="57">
        <v>22</v>
      </c>
      <c r="AN260" s="63">
        <v>6.2</v>
      </c>
      <c r="AO260" s="63">
        <v>4.9000000000000004</v>
      </c>
      <c r="AP260" s="36">
        <v>0.13</v>
      </c>
      <c r="AQ260" s="36">
        <v>0.17</v>
      </c>
      <c r="AR260" s="73">
        <f t="shared" si="93"/>
        <v>2196</v>
      </c>
      <c r="AS260" s="75">
        <f t="shared" si="94"/>
        <v>0.15892531876138433</v>
      </c>
      <c r="AT260" s="75">
        <f t="shared" si="95"/>
        <v>0.75</v>
      </c>
      <c r="AU260" s="75">
        <f t="shared" si="96"/>
        <v>9.107468123861566E-2</v>
      </c>
      <c r="AV260" s="26">
        <f t="shared" si="97"/>
        <v>7.3971336107258437E-2</v>
      </c>
      <c r="AW260" s="26">
        <f t="shared" si="98"/>
        <v>8.1368469717984282E-2</v>
      </c>
      <c r="AX260" s="24">
        <f t="shared" si="99"/>
        <v>0.8721804511278195</v>
      </c>
      <c r="AY260" s="24">
        <f t="shared" si="100"/>
        <v>0.91729323308270683</v>
      </c>
      <c r="AZ260" s="77" t="str">
        <f t="shared" si="101"/>
        <v>5,0 ≤ Alc. Bruta &lt; 7,5 mg/L</v>
      </c>
      <c r="BA260" s="77" t="str">
        <f t="shared" si="102"/>
        <v>10 ≤ Cor &lt;15 uC</v>
      </c>
      <c r="BB260" s="78" t="str">
        <f t="shared" si="103"/>
        <v>Turbidez &lt; 2,5 uT</v>
      </c>
      <c r="BC260" s="79" t="str">
        <f t="shared" si="104"/>
        <v>SM &gt; TOR &gt; BNN</v>
      </c>
      <c r="BD260" s="78" t="str">
        <f t="shared" si="105"/>
        <v>Tipo 1 (≤0,25) uT</v>
      </c>
      <c r="BE260" s="78" t="str">
        <f t="shared" si="106"/>
        <v>Tipo 1 (≤0,25) uT</v>
      </c>
      <c r="BF260" s="78" t="str">
        <f t="shared" si="107"/>
        <v>Tipo 1 (≤0,25) uT</v>
      </c>
      <c r="BG260" s="78" t="str">
        <f t="shared" si="108"/>
        <v>Tipo 1 (≤0,25) uT</v>
      </c>
      <c r="BH260" s="78" t="str">
        <f t="shared" si="109"/>
        <v>Tipo 1 (≤0,25) uT</v>
      </c>
    </row>
    <row r="261" spans="1:60" x14ac:dyDescent="0.2">
      <c r="A261" s="31">
        <v>46287</v>
      </c>
      <c r="B261" s="80">
        <v>0.8125</v>
      </c>
      <c r="C261" s="57">
        <v>333</v>
      </c>
      <c r="D261" s="57">
        <v>1679</v>
      </c>
      <c r="E261" s="57">
        <v>200</v>
      </c>
      <c r="F261" s="57">
        <v>2193</v>
      </c>
      <c r="G261" s="85" t="s">
        <v>78</v>
      </c>
      <c r="H261" s="63">
        <v>10</v>
      </c>
      <c r="I261" s="57">
        <v>66.8</v>
      </c>
      <c r="J261" s="57">
        <v>90</v>
      </c>
      <c r="K261" s="57">
        <v>90</v>
      </c>
      <c r="L261" s="57">
        <v>90</v>
      </c>
      <c r="M261" s="57">
        <v>26.9</v>
      </c>
      <c r="N261" s="63">
        <v>6.4</v>
      </c>
      <c r="O261" s="36">
        <v>1.35</v>
      </c>
      <c r="P261" s="57">
        <v>9</v>
      </c>
      <c r="Q261" s="63">
        <v>6.4</v>
      </c>
      <c r="R261" s="36">
        <v>0.19</v>
      </c>
      <c r="S261" s="36">
        <v>22.36</v>
      </c>
      <c r="T261" s="36">
        <v>0.88</v>
      </c>
      <c r="U261" s="36">
        <v>0.7</v>
      </c>
      <c r="V261" s="42">
        <f t="shared" si="110"/>
        <v>1740.6937499999999</v>
      </c>
      <c r="W261" s="42">
        <f t="shared" si="111"/>
        <v>1575.35381016</v>
      </c>
      <c r="X261" s="42">
        <f t="shared" si="112"/>
        <v>0.90501491727651695</v>
      </c>
      <c r="Y261" s="57">
        <v>3</v>
      </c>
      <c r="Z261" s="57">
        <v>4</v>
      </c>
      <c r="AA261" s="63">
        <v>6.2</v>
      </c>
      <c r="AB261" s="57">
        <v>20.7</v>
      </c>
      <c r="AC261" s="63">
        <v>6.1</v>
      </c>
      <c r="AD261" s="63">
        <v>4.3</v>
      </c>
      <c r="AE261" s="36">
        <v>0.22</v>
      </c>
      <c r="AF261" s="36">
        <v>0.15</v>
      </c>
      <c r="AG261" s="42">
        <f t="shared" si="92"/>
        <v>1740.6937499999999</v>
      </c>
      <c r="AH261" s="42">
        <f t="shared" si="113"/>
        <v>1789.7788313599999</v>
      </c>
      <c r="AI261" s="42">
        <f t="shared" si="114"/>
        <v>1.0281985739076733</v>
      </c>
      <c r="AJ261" s="57">
        <v>3</v>
      </c>
      <c r="AK261" s="57">
        <v>4</v>
      </c>
      <c r="AL261" s="63">
        <v>6.4</v>
      </c>
      <c r="AM261" s="57">
        <v>22.6</v>
      </c>
      <c r="AN261" s="63">
        <v>6.2</v>
      </c>
      <c r="AO261" s="63">
        <v>5.2</v>
      </c>
      <c r="AP261" s="36">
        <v>0.14000000000000001</v>
      </c>
      <c r="AQ261" s="36">
        <v>0.17</v>
      </c>
      <c r="AR261" s="73">
        <f t="shared" si="93"/>
        <v>2212</v>
      </c>
      <c r="AS261" s="75">
        <f t="shared" si="94"/>
        <v>0.15054249547920434</v>
      </c>
      <c r="AT261" s="75">
        <f t="shared" si="95"/>
        <v>0.75904159132007232</v>
      </c>
      <c r="AU261" s="75">
        <f t="shared" si="96"/>
        <v>9.0415913200723327E-2</v>
      </c>
      <c r="AV261" s="26">
        <f t="shared" si="97"/>
        <v>7.5512995896032831E-2</v>
      </c>
      <c r="AW261" s="26">
        <f t="shared" si="98"/>
        <v>8.2444140446876424E-2</v>
      </c>
      <c r="AX261" s="24">
        <f t="shared" si="99"/>
        <v>0.87407407407407411</v>
      </c>
      <c r="AY261" s="24">
        <f t="shared" si="100"/>
        <v>0.88888888888888884</v>
      </c>
      <c r="AZ261" s="77" t="str">
        <f t="shared" si="101"/>
        <v>5,0 ≤ Alc. Bruta &lt; 7,5 mg/L</v>
      </c>
      <c r="BA261" s="77" t="str">
        <f t="shared" si="102"/>
        <v>5 ≤ Cor &lt; 10 uC</v>
      </c>
      <c r="BB261" s="78" t="str">
        <f t="shared" si="103"/>
        <v>Turbidez &lt; 2,5 uT</v>
      </c>
      <c r="BC261" s="79" t="str">
        <f t="shared" si="104"/>
        <v>SM &gt; TOR &gt; BNN</v>
      </c>
      <c r="BD261" s="78" t="str">
        <f t="shared" si="105"/>
        <v>Tipo 1 (≤0,25) uT</v>
      </c>
      <c r="BE261" s="78" t="str">
        <f t="shared" si="106"/>
        <v>Tipo 1 (≤0,25) uT</v>
      </c>
      <c r="BF261" s="78" t="str">
        <f t="shared" si="107"/>
        <v>Tipo 1 (≤0,25) uT</v>
      </c>
      <c r="BG261" s="78" t="str">
        <f t="shared" si="108"/>
        <v>Tipo 1 (≤0,25) uT</v>
      </c>
      <c r="BH261" s="78" t="str">
        <f t="shared" si="109"/>
        <v>Tipo 1 (≤0,25) uT</v>
      </c>
    </row>
    <row r="262" spans="1:60" x14ac:dyDescent="0.2">
      <c r="A262" s="31">
        <v>46287</v>
      </c>
      <c r="B262" s="80">
        <v>0.89583333333333337</v>
      </c>
      <c r="C262" s="57">
        <v>251</v>
      </c>
      <c r="D262" s="57">
        <v>1685</v>
      </c>
      <c r="E262" s="57">
        <v>199</v>
      </c>
      <c r="F262" s="57">
        <v>2201</v>
      </c>
      <c r="G262" s="85" t="s">
        <v>78</v>
      </c>
      <c r="H262" s="63">
        <v>9.1999999999999993</v>
      </c>
      <c r="I262" s="57">
        <v>30.1</v>
      </c>
      <c r="J262" s="57">
        <v>90</v>
      </c>
      <c r="K262" s="57">
        <v>90</v>
      </c>
      <c r="L262" s="57">
        <v>90</v>
      </c>
      <c r="M262" s="57">
        <v>26</v>
      </c>
      <c r="N262" s="63">
        <v>6.4</v>
      </c>
      <c r="O262" s="36">
        <v>1.47</v>
      </c>
      <c r="P262" s="57">
        <v>11</v>
      </c>
      <c r="Q262" s="63">
        <v>6.8</v>
      </c>
      <c r="R262" s="36">
        <v>0.18</v>
      </c>
      <c r="S262" s="36">
        <v>22.36</v>
      </c>
      <c r="T262" s="36">
        <v>0.88</v>
      </c>
      <c r="U262" s="36">
        <v>0.7</v>
      </c>
      <c r="V262" s="42">
        <f t="shared" si="110"/>
        <v>1714.0287499999999</v>
      </c>
      <c r="W262" s="42">
        <f t="shared" si="111"/>
        <v>1598.1850248000001</v>
      </c>
      <c r="X262" s="42">
        <f t="shared" si="112"/>
        <v>0.93241436282792811</v>
      </c>
      <c r="Y262" s="57">
        <v>3</v>
      </c>
      <c r="Z262" s="57">
        <v>4</v>
      </c>
      <c r="AA262" s="63">
        <v>6.2</v>
      </c>
      <c r="AB262" s="57">
        <v>21</v>
      </c>
      <c r="AC262" s="63">
        <v>6.1</v>
      </c>
      <c r="AD262" s="63">
        <v>4.5</v>
      </c>
      <c r="AE262" s="36">
        <v>0.21</v>
      </c>
      <c r="AF262" s="36">
        <v>0.17</v>
      </c>
      <c r="AG262" s="42">
        <f t="shared" si="92"/>
        <v>1714.0287499999999</v>
      </c>
      <c r="AH262" s="42">
        <f t="shared" si="113"/>
        <v>1742.2625791999999</v>
      </c>
      <c r="AI262" s="42">
        <f t="shared" si="114"/>
        <v>1.0164722028145676</v>
      </c>
      <c r="AJ262" s="57">
        <v>3</v>
      </c>
      <c r="AK262" s="57">
        <v>4</v>
      </c>
      <c r="AL262" s="63">
        <v>6.4</v>
      </c>
      <c r="AM262" s="57">
        <v>22</v>
      </c>
      <c r="AN262" s="63">
        <v>6.1</v>
      </c>
      <c r="AO262" s="63">
        <v>4.9000000000000004</v>
      </c>
      <c r="AP262" s="36">
        <v>0.19</v>
      </c>
      <c r="AQ262" s="36">
        <v>0.17</v>
      </c>
      <c r="AR262" s="73">
        <f t="shared" si="93"/>
        <v>2135</v>
      </c>
      <c r="AS262" s="75">
        <f t="shared" si="94"/>
        <v>0.11756440281030445</v>
      </c>
      <c r="AT262" s="75">
        <f t="shared" si="95"/>
        <v>0.78922716627634659</v>
      </c>
      <c r="AU262" s="75">
        <f t="shared" si="96"/>
        <v>9.3208430913348947E-2</v>
      </c>
      <c r="AV262" s="26">
        <f t="shared" si="97"/>
        <v>7.6328941390277141E-2</v>
      </c>
      <c r="AW262" s="26">
        <f t="shared" si="98"/>
        <v>7.996365288505225E-2</v>
      </c>
      <c r="AX262" s="24">
        <f t="shared" si="99"/>
        <v>0.88435374149659862</v>
      </c>
      <c r="AY262" s="24">
        <f t="shared" si="100"/>
        <v>0.88435374149659862</v>
      </c>
      <c r="AZ262" s="77" t="str">
        <f t="shared" si="101"/>
        <v>5,0 ≤ Alc. Bruta &lt; 7,5 mg/L</v>
      </c>
      <c r="BA262" s="77" t="str">
        <f t="shared" si="102"/>
        <v>10 ≤ Cor &lt;15 uC</v>
      </c>
      <c r="BB262" s="78" t="str">
        <f t="shared" si="103"/>
        <v>Turbidez &lt; 2,5 uT</v>
      </c>
      <c r="BC262" s="79" t="str">
        <f t="shared" si="104"/>
        <v>SM &gt; TOR &gt; BNN</v>
      </c>
      <c r="BD262" s="78" t="str">
        <f t="shared" si="105"/>
        <v>Tipo 1 (≤0,25) uT</v>
      </c>
      <c r="BE262" s="78" t="str">
        <f t="shared" si="106"/>
        <v>Tipo 1 (≤0,25) uT</v>
      </c>
      <c r="BF262" s="78" t="str">
        <f t="shared" si="107"/>
        <v>Tipo 1 (≤0,25) uT</v>
      </c>
      <c r="BG262" s="78" t="str">
        <f t="shared" si="108"/>
        <v>Tipo 1 (≤0,25) uT</v>
      </c>
      <c r="BH262" s="78" t="str">
        <f t="shared" si="109"/>
        <v>Tipo 1 (≤0,25) uT</v>
      </c>
    </row>
    <row r="263" spans="1:60" x14ac:dyDescent="0.2">
      <c r="A263" s="31">
        <v>46287</v>
      </c>
      <c r="B263" s="80">
        <v>0.97916666666666663</v>
      </c>
      <c r="C263" s="57">
        <v>346</v>
      </c>
      <c r="D263" s="57">
        <v>1688</v>
      </c>
      <c r="E263" s="57">
        <v>200</v>
      </c>
      <c r="F263" s="57">
        <v>2287</v>
      </c>
      <c r="G263" s="85" t="s">
        <v>78</v>
      </c>
      <c r="H263" s="63">
        <v>9.1999999999999993</v>
      </c>
      <c r="I263" s="57">
        <v>33.4</v>
      </c>
      <c r="J263" s="57">
        <v>90</v>
      </c>
      <c r="K263" s="57">
        <v>90</v>
      </c>
      <c r="L263" s="57">
        <v>90</v>
      </c>
      <c r="M263" s="57">
        <v>25.9</v>
      </c>
      <c r="N263" s="63">
        <v>6.4</v>
      </c>
      <c r="O263" s="36">
        <v>1.48</v>
      </c>
      <c r="P263" s="57">
        <v>10</v>
      </c>
      <c r="Q263" s="63">
        <v>6.7</v>
      </c>
      <c r="R263" s="36">
        <v>0.2</v>
      </c>
      <c r="S263" s="36">
        <v>22.36</v>
      </c>
      <c r="T263" s="36">
        <v>0.88</v>
      </c>
      <c r="U263" s="36">
        <v>0.7</v>
      </c>
      <c r="V263" s="42">
        <f t="shared" si="110"/>
        <v>1783.8600000000001</v>
      </c>
      <c r="W263" s="42">
        <f t="shared" si="111"/>
        <v>1582.96421504</v>
      </c>
      <c r="X263" s="42">
        <f t="shared" si="112"/>
        <v>0.88738141728610986</v>
      </c>
      <c r="Y263" s="57">
        <v>3</v>
      </c>
      <c r="Z263" s="57">
        <v>4</v>
      </c>
      <c r="AA263" s="63">
        <v>6.2</v>
      </c>
      <c r="AB263" s="57">
        <v>20.8</v>
      </c>
      <c r="AC263" s="63">
        <v>6.1</v>
      </c>
      <c r="AD263" s="63">
        <v>4.4000000000000004</v>
      </c>
      <c r="AE263" s="36">
        <v>0.2</v>
      </c>
      <c r="AF263" s="36">
        <v>0.17</v>
      </c>
      <c r="AG263" s="42">
        <f t="shared" si="92"/>
        <v>1783.8600000000001</v>
      </c>
      <c r="AH263" s="42">
        <f t="shared" si="113"/>
        <v>1750.1819545599999</v>
      </c>
      <c r="AI263" s="42">
        <f t="shared" si="114"/>
        <v>0.981120690278385</v>
      </c>
      <c r="AJ263" s="57">
        <v>3</v>
      </c>
      <c r="AK263" s="57">
        <v>4</v>
      </c>
      <c r="AL263" s="63">
        <v>6.4</v>
      </c>
      <c r="AM263" s="57">
        <v>22.1</v>
      </c>
      <c r="AN263" s="63">
        <v>6.1</v>
      </c>
      <c r="AO263" s="63">
        <v>5</v>
      </c>
      <c r="AP263" s="36">
        <v>0.2</v>
      </c>
      <c r="AQ263" s="36">
        <v>0.17</v>
      </c>
      <c r="AR263" s="73">
        <f t="shared" si="93"/>
        <v>2234</v>
      </c>
      <c r="AS263" s="75">
        <f t="shared" si="94"/>
        <v>0.15487914055505819</v>
      </c>
      <c r="AT263" s="75">
        <f t="shared" si="95"/>
        <v>0.75559534467323186</v>
      </c>
      <c r="AU263" s="75">
        <f t="shared" si="96"/>
        <v>8.9525514771709933E-2</v>
      </c>
      <c r="AV263" s="26">
        <f t="shared" si="97"/>
        <v>7.2759073021425452E-2</v>
      </c>
      <c r="AW263" s="26">
        <f t="shared" si="98"/>
        <v>7.7306515085264538E-2</v>
      </c>
      <c r="AX263" s="24">
        <f t="shared" si="99"/>
        <v>0.88513513513513509</v>
      </c>
      <c r="AY263" s="24">
        <f t="shared" si="100"/>
        <v>0.88513513513513509</v>
      </c>
      <c r="AZ263" s="77" t="str">
        <f t="shared" si="101"/>
        <v>5,0 ≤ Alc. Bruta &lt; 7,5 mg/L</v>
      </c>
      <c r="BA263" s="77" t="str">
        <f t="shared" si="102"/>
        <v>10 ≤ Cor &lt;15 uC</v>
      </c>
      <c r="BB263" s="78" t="str">
        <f t="shared" si="103"/>
        <v>Turbidez &lt; 2,5 uT</v>
      </c>
      <c r="BC263" s="79" t="str">
        <f t="shared" si="104"/>
        <v>SM &gt; TOR &gt; BNN</v>
      </c>
      <c r="BD263" s="78" t="str">
        <f t="shared" si="105"/>
        <v>Tipo 1 (≤0,25) uT</v>
      </c>
      <c r="BE263" s="78" t="str">
        <f t="shared" si="106"/>
        <v>Tipo 1 (≤0,25) uT</v>
      </c>
      <c r="BF263" s="78" t="str">
        <f t="shared" si="107"/>
        <v>Tipo 1 (≤0,25) uT</v>
      </c>
      <c r="BG263" s="78" t="str">
        <f t="shared" si="108"/>
        <v>Tipo 1 (≤0,25) uT</v>
      </c>
      <c r="BH263" s="78" t="str">
        <f t="shared" si="109"/>
        <v>Tipo 1 (≤0,25) uT</v>
      </c>
    </row>
    <row r="264" spans="1:60" x14ac:dyDescent="0.2">
      <c r="A264" s="31">
        <v>46288</v>
      </c>
      <c r="B264" s="80">
        <v>0.14583333333333334</v>
      </c>
      <c r="C264" s="57">
        <v>343</v>
      </c>
      <c r="D264" s="57">
        <v>1641</v>
      </c>
      <c r="E264" s="57">
        <v>200</v>
      </c>
      <c r="F264" s="57">
        <v>2266</v>
      </c>
      <c r="G264" s="85" t="s">
        <v>78</v>
      </c>
      <c r="H264" s="63">
        <v>9.1999999999999993</v>
      </c>
      <c r="I264" s="57">
        <v>36.11</v>
      </c>
      <c r="J264" s="57">
        <v>90</v>
      </c>
      <c r="K264" s="57">
        <v>90</v>
      </c>
      <c r="L264" s="57">
        <v>90</v>
      </c>
      <c r="M264" s="57">
        <v>25.4</v>
      </c>
      <c r="N264" s="63">
        <v>6.4</v>
      </c>
      <c r="O264" s="36">
        <v>1.41</v>
      </c>
      <c r="P264" s="57">
        <v>10</v>
      </c>
      <c r="Q264" s="63">
        <v>6.2</v>
      </c>
      <c r="R264" s="36">
        <v>0.17</v>
      </c>
      <c r="S264" s="36">
        <v>22.36</v>
      </c>
      <c r="T264" s="36">
        <v>0.88</v>
      </c>
      <c r="U264" s="36">
        <v>0.7</v>
      </c>
      <c r="V264" s="42">
        <f t="shared" si="110"/>
        <v>1747.6524999999999</v>
      </c>
      <c r="W264" s="42">
        <f t="shared" si="111"/>
        <v>1560.1330004000001</v>
      </c>
      <c r="X264" s="42">
        <f t="shared" si="112"/>
        <v>0.89270206771655136</v>
      </c>
      <c r="Y264" s="57">
        <v>3</v>
      </c>
      <c r="Z264" s="57">
        <v>4</v>
      </c>
      <c r="AA264" s="63">
        <v>6.2</v>
      </c>
      <c r="AB264" s="57">
        <v>20.5</v>
      </c>
      <c r="AC264" s="63">
        <v>6.1</v>
      </c>
      <c r="AD264" s="63">
        <v>4.9000000000000004</v>
      </c>
      <c r="AE264" s="36">
        <v>0.23</v>
      </c>
      <c r="AF264" s="36">
        <v>0.18</v>
      </c>
      <c r="AG264" s="42">
        <f t="shared" si="92"/>
        <v>1747.6524999999999</v>
      </c>
      <c r="AH264" s="42">
        <f t="shared" si="113"/>
        <v>1821.4563327999999</v>
      </c>
      <c r="AI264" s="42">
        <f t="shared" si="114"/>
        <v>1.0422302676304356</v>
      </c>
      <c r="AJ264" s="57">
        <v>3</v>
      </c>
      <c r="AK264" s="57">
        <v>4</v>
      </c>
      <c r="AL264" s="63">
        <v>6.4</v>
      </c>
      <c r="AM264" s="57">
        <v>23</v>
      </c>
      <c r="AN264" s="63">
        <v>6.1</v>
      </c>
      <c r="AO264" s="63">
        <v>4.5999999999999996</v>
      </c>
      <c r="AP264" s="36">
        <v>0.21</v>
      </c>
      <c r="AQ264" s="36">
        <v>0.18</v>
      </c>
      <c r="AR264" s="73">
        <f t="shared" si="93"/>
        <v>2184</v>
      </c>
      <c r="AS264" s="75">
        <f t="shared" si="94"/>
        <v>0.15705128205128205</v>
      </c>
      <c r="AT264" s="75">
        <f t="shared" si="95"/>
        <v>0.75137362637362637</v>
      </c>
      <c r="AU264" s="75">
        <f t="shared" si="96"/>
        <v>9.1575091575091569E-2</v>
      </c>
      <c r="AV264" s="26">
        <f t="shared" si="97"/>
        <v>7.237422771403354E-2</v>
      </c>
      <c r="AW264" s="26">
        <f t="shared" si="98"/>
        <v>8.1200353045013246E-2</v>
      </c>
      <c r="AX264" s="24">
        <f t="shared" si="99"/>
        <v>0.87234042553191493</v>
      </c>
      <c r="AY264" s="24">
        <f t="shared" si="100"/>
        <v>0.87234042553191493</v>
      </c>
      <c r="AZ264" s="77" t="str">
        <f t="shared" si="101"/>
        <v>5,0 ≤ Alc. Bruta &lt; 7,5 mg/L</v>
      </c>
      <c r="BA264" s="77" t="str">
        <f t="shared" si="102"/>
        <v>10 ≤ Cor &lt;15 uC</v>
      </c>
      <c r="BB264" s="78" t="str">
        <f t="shared" si="103"/>
        <v>Turbidez &lt; 2,5 uT</v>
      </c>
      <c r="BC264" s="79" t="str">
        <f t="shared" si="104"/>
        <v>SM &gt; TOR &gt; BNN</v>
      </c>
      <c r="BD264" s="78" t="str">
        <f t="shared" si="105"/>
        <v>Tipo 1 (≤0,25) uT</v>
      </c>
      <c r="BE264" s="78" t="str">
        <f t="shared" si="106"/>
        <v>Tipo 1 (≤0,25) uT</v>
      </c>
      <c r="BF264" s="78" t="str">
        <f t="shared" si="107"/>
        <v>Tipo 1 (≤0,25) uT</v>
      </c>
      <c r="BG264" s="78" t="str">
        <f t="shared" si="108"/>
        <v>Tipo 1 (≤0,25) uT</v>
      </c>
      <c r="BH264" s="78" t="str">
        <f t="shared" si="109"/>
        <v>Tipo 1 (≤0,25) uT</v>
      </c>
    </row>
    <row r="265" spans="1:60" ht="15.75" thickBot="1" x14ac:dyDescent="0.25">
      <c r="A265" s="32">
        <v>46288</v>
      </c>
      <c r="B265" s="81">
        <v>0.22916666666666666</v>
      </c>
      <c r="C265" s="58">
        <v>345</v>
      </c>
      <c r="D265" s="58">
        <v>1660</v>
      </c>
      <c r="E265" s="58">
        <v>200</v>
      </c>
      <c r="F265" s="58">
        <v>2227</v>
      </c>
      <c r="G265" s="86" t="s">
        <v>78</v>
      </c>
      <c r="H265" s="64">
        <v>9.1999999999999993</v>
      </c>
      <c r="I265" s="58">
        <v>40.700000000000003</v>
      </c>
      <c r="J265" s="58">
        <v>90</v>
      </c>
      <c r="K265" s="58">
        <v>90</v>
      </c>
      <c r="L265" s="58">
        <v>90</v>
      </c>
      <c r="M265" s="58">
        <v>25.2</v>
      </c>
      <c r="N265" s="64">
        <v>6.3</v>
      </c>
      <c r="O265" s="37">
        <v>1.36</v>
      </c>
      <c r="P265" s="58">
        <v>10</v>
      </c>
      <c r="Q265" s="64">
        <v>5.9</v>
      </c>
      <c r="R265" s="37">
        <v>0.15</v>
      </c>
      <c r="S265" s="36">
        <v>22.36</v>
      </c>
      <c r="T265" s="36">
        <v>0.88</v>
      </c>
      <c r="U265" s="36">
        <v>0.7</v>
      </c>
      <c r="V265" s="42">
        <f t="shared" si="110"/>
        <v>1703.655</v>
      </c>
      <c r="W265" s="42">
        <f t="shared" si="111"/>
        <v>1543.3753654799998</v>
      </c>
      <c r="X265" s="42">
        <f t="shared" si="112"/>
        <v>0.90592013375947589</v>
      </c>
      <c r="Y265" s="58">
        <v>3</v>
      </c>
      <c r="Z265" s="58">
        <v>4</v>
      </c>
      <c r="AA265" s="64">
        <v>6.1</v>
      </c>
      <c r="AB265" s="58">
        <v>20.7</v>
      </c>
      <c r="AC265" s="64">
        <v>6.1</v>
      </c>
      <c r="AD265" s="64">
        <v>5.3</v>
      </c>
      <c r="AE265" s="37">
        <v>0.23</v>
      </c>
      <c r="AF265" s="37">
        <v>0.17</v>
      </c>
      <c r="AG265" s="42">
        <f t="shared" si="92"/>
        <v>1703.655</v>
      </c>
      <c r="AH265" s="42">
        <f t="shared" si="113"/>
        <v>1821.4563327999999</v>
      </c>
      <c r="AI265" s="42">
        <f t="shared" si="114"/>
        <v>1.0691462372369993</v>
      </c>
      <c r="AJ265" s="58">
        <v>3</v>
      </c>
      <c r="AK265" s="58">
        <v>4</v>
      </c>
      <c r="AL265" s="64">
        <v>6.4</v>
      </c>
      <c r="AM265" s="58">
        <v>23</v>
      </c>
      <c r="AN265" s="64">
        <v>6.1</v>
      </c>
      <c r="AO265" s="64">
        <v>5.8</v>
      </c>
      <c r="AP265" s="37">
        <v>0.24</v>
      </c>
      <c r="AQ265" s="37">
        <v>0.16</v>
      </c>
      <c r="AR265" s="73">
        <f t="shared" si="93"/>
        <v>2205</v>
      </c>
      <c r="AS265" s="75">
        <f t="shared" si="94"/>
        <v>0.15646258503401361</v>
      </c>
      <c r="AT265" s="75">
        <f t="shared" si="95"/>
        <v>0.75283446712018143</v>
      </c>
      <c r="AU265" s="75">
        <f t="shared" si="96"/>
        <v>9.0702947845804988E-2</v>
      </c>
      <c r="AV265" s="26">
        <f t="shared" si="97"/>
        <v>7.436012572968119E-2</v>
      </c>
      <c r="AW265" s="26">
        <f t="shared" si="98"/>
        <v>8.262236192186799E-2</v>
      </c>
      <c r="AX265" s="24">
        <f t="shared" si="99"/>
        <v>0.88235294117647056</v>
      </c>
      <c r="AY265" s="24">
        <f t="shared" si="100"/>
        <v>0.875</v>
      </c>
      <c r="AZ265" s="77" t="str">
        <f t="shared" si="101"/>
        <v>5,0 ≤ Alc. Bruta &lt; 7,5 mg/L</v>
      </c>
      <c r="BA265" s="77" t="str">
        <f t="shared" si="102"/>
        <v>10 ≤ Cor &lt;15 uC</v>
      </c>
      <c r="BB265" s="78" t="str">
        <f t="shared" si="103"/>
        <v>Turbidez &lt; 2,5 uT</v>
      </c>
      <c r="BC265" s="79" t="str">
        <f t="shared" si="104"/>
        <v>SM &gt; TOR &gt; BNN</v>
      </c>
      <c r="BD265" s="78" t="str">
        <f t="shared" si="105"/>
        <v>Tipo 1 (≤0,25) uT</v>
      </c>
      <c r="BE265" s="78" t="str">
        <f t="shared" si="106"/>
        <v>Tipo 1 (≤0,25) uT</v>
      </c>
      <c r="BF265" s="78" t="str">
        <f t="shared" si="107"/>
        <v>Tipo 1 (≤0,25) uT</v>
      </c>
      <c r="BG265" s="78" t="str">
        <f t="shared" si="108"/>
        <v>Tipo 1 (≤0,25) uT</v>
      </c>
      <c r="BH265" s="78" t="str">
        <f t="shared" si="109"/>
        <v>Tipo 1 (≤0,25) uT</v>
      </c>
    </row>
    <row r="266" spans="1:60" x14ac:dyDescent="0.2">
      <c r="A266" s="30">
        <v>46288</v>
      </c>
      <c r="B266" s="82">
        <v>0.3125</v>
      </c>
      <c r="C266" s="59">
        <v>342</v>
      </c>
      <c r="D266" s="59">
        <v>1673</v>
      </c>
      <c r="E266" s="59">
        <v>199</v>
      </c>
      <c r="F266" s="59">
        <v>2211</v>
      </c>
      <c r="G266" s="87" t="s">
        <v>78</v>
      </c>
      <c r="H266" s="65">
        <v>9.1999999999999993</v>
      </c>
      <c r="I266" s="59">
        <v>39.54</v>
      </c>
      <c r="J266" s="59">
        <v>90</v>
      </c>
      <c r="K266" s="59">
        <v>90</v>
      </c>
      <c r="L266" s="59">
        <v>90</v>
      </c>
      <c r="M266" s="59">
        <v>25.1</v>
      </c>
      <c r="N266" s="65">
        <v>6.3</v>
      </c>
      <c r="O266" s="38">
        <v>1.26</v>
      </c>
      <c r="P266" s="59">
        <v>11</v>
      </c>
      <c r="Q266" s="65">
        <v>5.8</v>
      </c>
      <c r="R266" s="38">
        <v>0.16</v>
      </c>
      <c r="S266" s="36">
        <v>22.36</v>
      </c>
      <c r="T266" s="36">
        <v>0.88</v>
      </c>
      <c r="U266" s="36">
        <v>0.7</v>
      </c>
      <c r="V266" s="42">
        <f t="shared" si="110"/>
        <v>1663.7774999999999</v>
      </c>
      <c r="W266" s="42">
        <f t="shared" si="111"/>
        <v>1541.8841815519997</v>
      </c>
      <c r="X266" s="42">
        <f t="shared" si="112"/>
        <v>0.92673700753375965</v>
      </c>
      <c r="Y266" s="59">
        <v>3</v>
      </c>
      <c r="Z266" s="59">
        <v>4</v>
      </c>
      <c r="AA266" s="65">
        <v>6.1</v>
      </c>
      <c r="AB266" s="59">
        <v>20.68</v>
      </c>
      <c r="AC266" s="65">
        <v>6.1</v>
      </c>
      <c r="AD266" s="65">
        <v>4</v>
      </c>
      <c r="AE266" s="38">
        <v>0.25</v>
      </c>
      <c r="AF266" s="38">
        <v>0.17</v>
      </c>
      <c r="AG266" s="42">
        <f t="shared" si="92"/>
        <v>1663.7774999999999</v>
      </c>
      <c r="AH266" s="42">
        <f t="shared" si="113"/>
        <v>1765.7457935519994</v>
      </c>
      <c r="AI266" s="42">
        <f t="shared" si="114"/>
        <v>1.0612872175227754</v>
      </c>
      <c r="AJ266" s="59">
        <v>3</v>
      </c>
      <c r="AK266" s="59">
        <v>4</v>
      </c>
      <c r="AL266" s="65">
        <v>6.32</v>
      </c>
      <c r="AM266" s="59">
        <v>22.65</v>
      </c>
      <c r="AN266" s="65">
        <v>6</v>
      </c>
      <c r="AO266" s="65">
        <v>4.0999999999999996</v>
      </c>
      <c r="AP266" s="38">
        <v>0.18</v>
      </c>
      <c r="AQ266" s="38">
        <v>0.16</v>
      </c>
      <c r="AR266" s="73">
        <f t="shared" si="93"/>
        <v>2214</v>
      </c>
      <c r="AS266" s="75">
        <f t="shared" si="94"/>
        <v>0.15447154471544716</v>
      </c>
      <c r="AT266" s="75">
        <f t="shared" si="95"/>
        <v>0.75564588979223124</v>
      </c>
      <c r="AU266" s="75">
        <f t="shared" si="96"/>
        <v>8.9882565492321584E-2</v>
      </c>
      <c r="AV266" s="26">
        <f t="shared" si="97"/>
        <v>7.4825870646766171E-2</v>
      </c>
      <c r="AW266" s="26">
        <f t="shared" si="98"/>
        <v>8.1953867028493887E-2</v>
      </c>
      <c r="AX266" s="24">
        <f t="shared" si="99"/>
        <v>0.87301587301587302</v>
      </c>
      <c r="AY266" s="24">
        <f t="shared" si="100"/>
        <v>0.86507936507936511</v>
      </c>
      <c r="AZ266" s="77" t="str">
        <f t="shared" si="101"/>
        <v>5,0 ≤ Alc. Bruta &lt; 7,5 mg/L</v>
      </c>
      <c r="BA266" s="77" t="str">
        <f t="shared" si="102"/>
        <v>10 ≤ Cor &lt;15 uC</v>
      </c>
      <c r="BB266" s="78" t="str">
        <f t="shared" si="103"/>
        <v>Turbidez &lt; 2,5 uT</v>
      </c>
      <c r="BC266" s="79" t="str">
        <f t="shared" si="104"/>
        <v>SM &gt; TOR &gt; BNN</v>
      </c>
      <c r="BD266" s="78" t="str">
        <f t="shared" si="105"/>
        <v>Tipo 1 (≤0,25) uT</v>
      </c>
      <c r="BE266" s="78" t="str">
        <f t="shared" si="106"/>
        <v>Tipo 1 (≤0,25) uT</v>
      </c>
      <c r="BF266" s="78" t="str">
        <f t="shared" si="107"/>
        <v>Tipo 1 (≤0,25) uT</v>
      </c>
      <c r="BG266" s="78" t="str">
        <f t="shared" si="108"/>
        <v>Tipo 1 (≤0,25) uT</v>
      </c>
      <c r="BH266" s="78" t="str">
        <f t="shared" si="109"/>
        <v>Tipo 1 (≤0,25) uT</v>
      </c>
    </row>
    <row r="267" spans="1:60" x14ac:dyDescent="0.2">
      <c r="A267" s="31">
        <v>46288</v>
      </c>
      <c r="B267" s="80">
        <v>0.39583333333333331</v>
      </c>
      <c r="C267" s="57">
        <v>366</v>
      </c>
      <c r="D267" s="57">
        <v>1685</v>
      </c>
      <c r="E267" s="57">
        <v>200</v>
      </c>
      <c r="F267" s="57">
        <v>2256</v>
      </c>
      <c r="G267" s="85" t="s">
        <v>78</v>
      </c>
      <c r="H267" s="63">
        <v>9.1999999999999993</v>
      </c>
      <c r="I267" s="57">
        <v>25.55</v>
      </c>
      <c r="J267" s="57">
        <v>90</v>
      </c>
      <c r="K267" s="57">
        <v>90</v>
      </c>
      <c r="L267" s="57">
        <v>90</v>
      </c>
      <c r="M267" s="57">
        <v>25</v>
      </c>
      <c r="N267" s="63">
        <v>6.4</v>
      </c>
      <c r="O267" s="36">
        <v>1.25</v>
      </c>
      <c r="P267" s="57">
        <v>11</v>
      </c>
      <c r="Q267" s="63">
        <v>6.1</v>
      </c>
      <c r="R267" s="36">
        <v>0.17</v>
      </c>
      <c r="S267" s="36">
        <v>22.36</v>
      </c>
      <c r="T267" s="36">
        <v>0.88</v>
      </c>
      <c r="U267" s="36">
        <v>0.7</v>
      </c>
      <c r="V267" s="42">
        <f t="shared" si="110"/>
        <v>1694.82</v>
      </c>
      <c r="W267" s="42">
        <f t="shared" si="111"/>
        <v>1491.1839279999999</v>
      </c>
      <c r="X267" s="42">
        <f t="shared" si="112"/>
        <v>0.87984796497563167</v>
      </c>
      <c r="Y267" s="57">
        <v>3</v>
      </c>
      <c r="Z267" s="57">
        <v>4</v>
      </c>
      <c r="AA267" s="63">
        <v>6.1</v>
      </c>
      <c r="AB267" s="57">
        <v>20</v>
      </c>
      <c r="AC267" s="63">
        <v>6.2</v>
      </c>
      <c r="AD267" s="63">
        <v>4.7</v>
      </c>
      <c r="AE267" s="36">
        <v>0.2</v>
      </c>
      <c r="AF267" s="36">
        <v>0.17</v>
      </c>
      <c r="AG267" s="42">
        <f t="shared" si="92"/>
        <v>1694.82</v>
      </c>
      <c r="AH267" s="42">
        <f t="shared" si="113"/>
        <v>1747.1002769999996</v>
      </c>
      <c r="AI267" s="42">
        <f t="shared" si="114"/>
        <v>1.0308470970368533</v>
      </c>
      <c r="AJ267" s="57">
        <v>3</v>
      </c>
      <c r="AK267" s="57">
        <v>4</v>
      </c>
      <c r="AL267" s="63">
        <v>6.3</v>
      </c>
      <c r="AM267" s="57">
        <v>22.5</v>
      </c>
      <c r="AN267" s="63">
        <v>6</v>
      </c>
      <c r="AO267" s="63">
        <v>3.6</v>
      </c>
      <c r="AP267" s="36">
        <v>0.24</v>
      </c>
      <c r="AQ267" s="36">
        <v>0.17</v>
      </c>
      <c r="AR267" s="73">
        <f t="shared" si="93"/>
        <v>2251</v>
      </c>
      <c r="AS267" s="75">
        <f t="shared" si="94"/>
        <v>0.1625944024877832</v>
      </c>
      <c r="AT267" s="75">
        <f t="shared" si="95"/>
        <v>0.74855619724566858</v>
      </c>
      <c r="AU267" s="75">
        <f t="shared" si="96"/>
        <v>8.8849400266548195E-2</v>
      </c>
      <c r="AV267" s="26">
        <f t="shared" si="97"/>
        <v>7.0921985815602842E-2</v>
      </c>
      <c r="AW267" s="26">
        <f t="shared" si="98"/>
        <v>7.9787234042553196E-2</v>
      </c>
      <c r="AX267" s="24">
        <f t="shared" si="99"/>
        <v>0.86399999999999999</v>
      </c>
      <c r="AY267" s="24">
        <f t="shared" si="100"/>
        <v>0.86399999999999999</v>
      </c>
      <c r="AZ267" s="77" t="str">
        <f t="shared" si="101"/>
        <v>5,0 ≤ Alc. Bruta &lt; 7,5 mg/L</v>
      </c>
      <c r="BA267" s="77" t="str">
        <f t="shared" si="102"/>
        <v>10 ≤ Cor &lt;15 uC</v>
      </c>
      <c r="BB267" s="78" t="str">
        <f t="shared" si="103"/>
        <v>Turbidez &lt; 2,5 uT</v>
      </c>
      <c r="BC267" s="79" t="str">
        <f t="shared" si="104"/>
        <v>SM &gt; TOR &gt; BNN</v>
      </c>
      <c r="BD267" s="78" t="str">
        <f t="shared" si="105"/>
        <v>Tipo 1 (≤0,25) uT</v>
      </c>
      <c r="BE267" s="78" t="str">
        <f t="shared" si="106"/>
        <v>Tipo 1 (≤0,25) uT</v>
      </c>
      <c r="BF267" s="78" t="str">
        <f t="shared" si="107"/>
        <v>Tipo 1 (≤0,25) uT</v>
      </c>
      <c r="BG267" s="78" t="str">
        <f t="shared" si="108"/>
        <v>Tipo 1 (≤0,25) uT</v>
      </c>
      <c r="BH267" s="78" t="str">
        <f t="shared" si="109"/>
        <v>Tipo 1 (≤0,25) uT</v>
      </c>
    </row>
    <row r="268" spans="1:60" x14ac:dyDescent="0.2">
      <c r="A268" s="31">
        <v>46288</v>
      </c>
      <c r="B268" s="80">
        <v>0.5625</v>
      </c>
      <c r="C268" s="57">
        <v>304</v>
      </c>
      <c r="D268" s="57">
        <v>1771</v>
      </c>
      <c r="E268" s="57">
        <v>200</v>
      </c>
      <c r="F268" s="57">
        <v>2178</v>
      </c>
      <c r="G268" s="85" t="s">
        <v>78</v>
      </c>
      <c r="H268" s="63">
        <v>9.1999999999999993</v>
      </c>
      <c r="I268" s="57">
        <v>22.92</v>
      </c>
      <c r="J268" s="57">
        <v>90</v>
      </c>
      <c r="K268" s="57">
        <v>90</v>
      </c>
      <c r="L268" s="57">
        <v>90</v>
      </c>
      <c r="M268" s="57">
        <v>26.1</v>
      </c>
      <c r="N268" s="63">
        <v>6.4</v>
      </c>
      <c r="O268" s="36">
        <v>1.31</v>
      </c>
      <c r="P268" s="57">
        <v>10</v>
      </c>
      <c r="Q268" s="63">
        <v>6.2</v>
      </c>
      <c r="R268" s="36">
        <v>0.17</v>
      </c>
      <c r="S268" s="36">
        <v>22.36</v>
      </c>
      <c r="T268" s="36">
        <v>0.88</v>
      </c>
      <c r="U268" s="36">
        <v>0.7</v>
      </c>
      <c r="V268" s="42">
        <f t="shared" si="110"/>
        <v>1652.5575000000001</v>
      </c>
      <c r="W268" s="42">
        <f t="shared" si="111"/>
        <v>1565.7431243999997</v>
      </c>
      <c r="X268" s="42">
        <f t="shared" si="112"/>
        <v>0.94746665359601689</v>
      </c>
      <c r="Y268" s="57">
        <v>3</v>
      </c>
      <c r="Z268" s="57">
        <v>4</v>
      </c>
      <c r="AA268" s="63">
        <v>6.1</v>
      </c>
      <c r="AB268" s="57">
        <v>21</v>
      </c>
      <c r="AC268" s="63">
        <v>6.1</v>
      </c>
      <c r="AD268" s="63">
        <v>4.4000000000000004</v>
      </c>
      <c r="AE268" s="36">
        <v>0.2</v>
      </c>
      <c r="AF268" s="36">
        <v>0.16</v>
      </c>
      <c r="AG268" s="42">
        <f t="shared" si="92"/>
        <v>1652.5575000000001</v>
      </c>
      <c r="AH268" s="42">
        <f t="shared" si="113"/>
        <v>1789.7788313599999</v>
      </c>
      <c r="AI268" s="42">
        <f t="shared" si="114"/>
        <v>1.0830357378548097</v>
      </c>
      <c r="AJ268" s="57">
        <v>3</v>
      </c>
      <c r="AK268" s="57">
        <v>4</v>
      </c>
      <c r="AL268" s="63">
        <v>6.4</v>
      </c>
      <c r="AM268" s="57">
        <v>22.6</v>
      </c>
      <c r="AN268" s="63">
        <v>6.1</v>
      </c>
      <c r="AO268" s="63">
        <v>4</v>
      </c>
      <c r="AP268" s="36">
        <v>0.91</v>
      </c>
      <c r="AQ268" s="36">
        <v>0.17</v>
      </c>
      <c r="AR268" s="73">
        <f t="shared" si="93"/>
        <v>2275</v>
      </c>
      <c r="AS268" s="75">
        <f t="shared" si="94"/>
        <v>0.13362637362637364</v>
      </c>
      <c r="AT268" s="75">
        <f t="shared" si="95"/>
        <v>0.77846153846153843</v>
      </c>
      <c r="AU268" s="75">
        <f t="shared" si="96"/>
        <v>8.7912087912087919E-2</v>
      </c>
      <c r="AV268" s="26">
        <f t="shared" si="97"/>
        <v>7.7134986225895319E-2</v>
      </c>
      <c r="AW268" s="26">
        <f t="shared" si="98"/>
        <v>8.3011937557392113E-2</v>
      </c>
      <c r="AX268" s="24">
        <f t="shared" si="99"/>
        <v>0.87022900763358779</v>
      </c>
      <c r="AY268" s="24">
        <f t="shared" si="100"/>
        <v>0.87786259541984735</v>
      </c>
      <c r="AZ268" s="77" t="str">
        <f t="shared" si="101"/>
        <v>5,0 ≤ Alc. Bruta &lt; 7,5 mg/L</v>
      </c>
      <c r="BA268" s="77" t="str">
        <f t="shared" si="102"/>
        <v>10 ≤ Cor &lt;15 uC</v>
      </c>
      <c r="BB268" s="78" t="str">
        <f t="shared" si="103"/>
        <v>Turbidez &lt; 2,5 uT</v>
      </c>
      <c r="BC268" s="79" t="str">
        <f t="shared" si="104"/>
        <v>SM &gt; TOR &gt; BNN</v>
      </c>
      <c r="BD268" s="78" t="str">
        <f t="shared" si="105"/>
        <v>Tipo 1 (≤0,25) uT</v>
      </c>
      <c r="BE268" s="78" t="str">
        <f t="shared" si="106"/>
        <v>Tipo 4 (&gt;0,75) uT</v>
      </c>
      <c r="BF268" s="78" t="str">
        <f t="shared" si="107"/>
        <v>Tipo 1 (≤0,25) uT</v>
      </c>
      <c r="BG268" s="78" t="str">
        <f t="shared" si="108"/>
        <v>Tipo 1 (≤0,25) uT</v>
      </c>
      <c r="BH268" s="78" t="str">
        <f t="shared" si="109"/>
        <v>Tipo 1 (≤0,25) uT</v>
      </c>
    </row>
    <row r="269" spans="1:60" x14ac:dyDescent="0.2">
      <c r="A269" s="31">
        <v>46288</v>
      </c>
      <c r="B269" s="80">
        <v>0.64583333333333337</v>
      </c>
      <c r="C269" s="57">
        <v>236</v>
      </c>
      <c r="D269" s="57">
        <v>1728</v>
      </c>
      <c r="E269" s="57">
        <v>199</v>
      </c>
      <c r="F269" s="57">
        <v>2192</v>
      </c>
      <c r="G269" s="85" t="s">
        <v>78</v>
      </c>
      <c r="H269" s="63">
        <v>9.1999999999999993</v>
      </c>
      <c r="I269" s="57">
        <v>21.67</v>
      </c>
      <c r="J269" s="57">
        <v>90</v>
      </c>
      <c r="K269" s="57">
        <v>90</v>
      </c>
      <c r="L269" s="57">
        <v>90</v>
      </c>
      <c r="M269" s="57">
        <v>26.2</v>
      </c>
      <c r="N269" s="63">
        <v>6.4</v>
      </c>
      <c r="O269" s="36">
        <v>1.36</v>
      </c>
      <c r="P269" s="57">
        <v>11</v>
      </c>
      <c r="Q269" s="63">
        <v>6.4</v>
      </c>
      <c r="R269" s="36">
        <v>0.16</v>
      </c>
      <c r="S269" s="36">
        <v>22.36</v>
      </c>
      <c r="T269" s="36">
        <v>0.88</v>
      </c>
      <c r="U269" s="36">
        <v>0.7</v>
      </c>
      <c r="V269" s="42">
        <f t="shared" si="110"/>
        <v>1676.88</v>
      </c>
      <c r="W269" s="42">
        <f t="shared" si="111"/>
        <v>1511.3969207999999</v>
      </c>
      <c r="X269" s="42">
        <f t="shared" si="112"/>
        <v>0.901314894804637</v>
      </c>
      <c r="Y269" s="57">
        <v>3</v>
      </c>
      <c r="Z269" s="57">
        <v>4</v>
      </c>
      <c r="AA269" s="63">
        <v>6</v>
      </c>
      <c r="AB269" s="57">
        <v>20.7</v>
      </c>
      <c r="AC269" s="63">
        <v>6.1</v>
      </c>
      <c r="AD269" s="63">
        <v>4.2</v>
      </c>
      <c r="AE269" s="36">
        <v>0.26</v>
      </c>
      <c r="AF269" s="36">
        <v>0.17</v>
      </c>
      <c r="AG269" s="42">
        <f t="shared" si="92"/>
        <v>1676.88</v>
      </c>
      <c r="AH269" s="42">
        <f t="shared" si="113"/>
        <v>1789.7788313599999</v>
      </c>
      <c r="AI269" s="42">
        <f t="shared" si="114"/>
        <v>1.0673267206717236</v>
      </c>
      <c r="AJ269" s="57">
        <v>3</v>
      </c>
      <c r="AK269" s="57">
        <v>4</v>
      </c>
      <c r="AL269" s="63">
        <v>6.4</v>
      </c>
      <c r="AM269" s="57">
        <v>22.6</v>
      </c>
      <c r="AN269" s="63">
        <v>6.3</v>
      </c>
      <c r="AO269" s="63">
        <v>3.9</v>
      </c>
      <c r="AP269" s="36">
        <v>0.4</v>
      </c>
      <c r="AQ269" s="36">
        <v>0.18</v>
      </c>
      <c r="AR269" s="73">
        <f t="shared" si="93"/>
        <v>2163</v>
      </c>
      <c r="AS269" s="75">
        <f t="shared" si="94"/>
        <v>0.1091077207582062</v>
      </c>
      <c r="AT269" s="75">
        <f t="shared" si="95"/>
        <v>0.7988904299583911</v>
      </c>
      <c r="AU269" s="75">
        <f t="shared" si="96"/>
        <v>9.2001849283402687E-2</v>
      </c>
      <c r="AV269" s="26">
        <f t="shared" si="97"/>
        <v>7.5547445255474452E-2</v>
      </c>
      <c r="AW269" s="26">
        <f t="shared" si="98"/>
        <v>8.2481751824817526E-2</v>
      </c>
      <c r="AX269" s="24">
        <f t="shared" si="99"/>
        <v>0.86764705882352944</v>
      </c>
      <c r="AY269" s="24">
        <f t="shared" si="100"/>
        <v>0.875</v>
      </c>
      <c r="AZ269" s="77" t="str">
        <f t="shared" si="101"/>
        <v>5,0 ≤ Alc. Bruta &lt; 7,5 mg/L</v>
      </c>
      <c r="BA269" s="77" t="str">
        <f t="shared" si="102"/>
        <v>10 ≤ Cor &lt;15 uC</v>
      </c>
      <c r="BB269" s="78" t="str">
        <f t="shared" si="103"/>
        <v>Turbidez &lt; 2,5 uT</v>
      </c>
      <c r="BC269" s="79" t="str">
        <f t="shared" si="104"/>
        <v>SM &gt; TOR &gt; BNN</v>
      </c>
      <c r="BD269" s="78" t="str">
        <f t="shared" si="105"/>
        <v>Tipo 2 (0,25-0,50) uT</v>
      </c>
      <c r="BE269" s="78" t="str">
        <f t="shared" si="106"/>
        <v>Tipo 2 (0,25-0,50) uT</v>
      </c>
      <c r="BF269" s="78" t="str">
        <f t="shared" si="107"/>
        <v>Tipo 1 (≤0,25) uT</v>
      </c>
      <c r="BG269" s="78" t="str">
        <f t="shared" si="108"/>
        <v>Tipo 1 (≤0,25) uT</v>
      </c>
      <c r="BH269" s="78" t="str">
        <f t="shared" si="109"/>
        <v>Tipo 1 (≤0,25) uT</v>
      </c>
    </row>
    <row r="270" spans="1:60" x14ac:dyDescent="0.2">
      <c r="A270" s="31">
        <v>46288</v>
      </c>
      <c r="B270" s="80">
        <v>0.8125</v>
      </c>
      <c r="C270" s="57">
        <v>237</v>
      </c>
      <c r="D270" s="57">
        <v>1775</v>
      </c>
      <c r="E270" s="57">
        <v>200</v>
      </c>
      <c r="F270" s="57">
        <v>2200</v>
      </c>
      <c r="G270" s="85" t="s">
        <v>78</v>
      </c>
      <c r="H270" s="63">
        <v>9.1999999999999993</v>
      </c>
      <c r="I270" s="57">
        <v>-46</v>
      </c>
      <c r="J270" s="57">
        <v>90</v>
      </c>
      <c r="K270" s="57">
        <v>90</v>
      </c>
      <c r="L270" s="57">
        <v>90</v>
      </c>
      <c r="M270" s="57">
        <v>25.9</v>
      </c>
      <c r="N270" s="63">
        <v>6.4</v>
      </c>
      <c r="O270" s="36">
        <v>1.4</v>
      </c>
      <c r="P270" s="57">
        <v>11</v>
      </c>
      <c r="Q270" s="63">
        <v>6</v>
      </c>
      <c r="R270" s="36">
        <v>0.13</v>
      </c>
      <c r="S270" s="36">
        <v>22.36</v>
      </c>
      <c r="T270" s="36">
        <v>0.88</v>
      </c>
      <c r="U270" s="36">
        <v>0.7</v>
      </c>
      <c r="V270" s="42">
        <f t="shared" si="110"/>
        <v>1694</v>
      </c>
      <c r="W270" s="42">
        <f t="shared" si="111"/>
        <v>1491.1839279999999</v>
      </c>
      <c r="X270" s="42">
        <f t="shared" si="112"/>
        <v>0.88027386540731989</v>
      </c>
      <c r="Y270" s="57">
        <v>3</v>
      </c>
      <c r="Z270" s="57">
        <v>4</v>
      </c>
      <c r="AA270" s="63">
        <v>6.1</v>
      </c>
      <c r="AB270" s="57">
        <v>20</v>
      </c>
      <c r="AC270" s="63">
        <v>6.1</v>
      </c>
      <c r="AD270" s="63">
        <v>4.5999999999999996</v>
      </c>
      <c r="AE270" s="36">
        <v>0.21</v>
      </c>
      <c r="AF270" s="36">
        <v>0.18</v>
      </c>
      <c r="AG270" s="42">
        <f t="shared" si="92"/>
        <v>1694</v>
      </c>
      <c r="AH270" s="42">
        <f t="shared" si="113"/>
        <v>1708.2758263999997</v>
      </c>
      <c r="AI270" s="42">
        <f t="shared" si="114"/>
        <v>1.008427288311688</v>
      </c>
      <c r="AJ270" s="57">
        <v>3</v>
      </c>
      <c r="AK270" s="57">
        <v>4</v>
      </c>
      <c r="AL270" s="63">
        <v>6.3</v>
      </c>
      <c r="AM270" s="57">
        <v>22</v>
      </c>
      <c r="AN270" s="63">
        <v>6.2</v>
      </c>
      <c r="AO270" s="63">
        <v>4.2</v>
      </c>
      <c r="AP270" s="36">
        <v>0.14000000000000001</v>
      </c>
      <c r="AQ270" s="36">
        <v>0.17</v>
      </c>
      <c r="AR270" s="73">
        <f t="shared" si="93"/>
        <v>2212</v>
      </c>
      <c r="AS270" s="75">
        <f t="shared" si="94"/>
        <v>0.10714285714285714</v>
      </c>
      <c r="AT270" s="75">
        <f t="shared" si="95"/>
        <v>0.80244122965641951</v>
      </c>
      <c r="AU270" s="75">
        <f t="shared" si="96"/>
        <v>9.0415913200723327E-2</v>
      </c>
      <c r="AV270" s="26">
        <f t="shared" si="97"/>
        <v>7.2727272727272724E-2</v>
      </c>
      <c r="AW270" s="26">
        <f t="shared" si="98"/>
        <v>0.08</v>
      </c>
      <c r="AX270" s="24">
        <f t="shared" si="99"/>
        <v>0.87857142857142856</v>
      </c>
      <c r="AY270" s="24">
        <f t="shared" si="100"/>
        <v>0.87142857142857144</v>
      </c>
      <c r="AZ270" s="77" t="str">
        <f t="shared" si="101"/>
        <v>5,0 ≤ Alc. Bruta &lt; 7,5 mg/L</v>
      </c>
      <c r="BA270" s="77" t="str">
        <f t="shared" si="102"/>
        <v>10 ≤ Cor &lt;15 uC</v>
      </c>
      <c r="BB270" s="78" t="str">
        <f t="shared" si="103"/>
        <v>Turbidez &lt; 2,5 uT</v>
      </c>
      <c r="BC270" s="79" t="str">
        <f t="shared" si="104"/>
        <v>SM &gt; TOR &gt; BNN</v>
      </c>
      <c r="BD270" s="78" t="str">
        <f t="shared" si="105"/>
        <v>Tipo 1 (≤0,25) uT</v>
      </c>
      <c r="BE270" s="78" t="str">
        <f t="shared" si="106"/>
        <v>Tipo 1 (≤0,25) uT</v>
      </c>
      <c r="BF270" s="78" t="str">
        <f t="shared" si="107"/>
        <v>Tipo 1 (≤0,25) uT</v>
      </c>
      <c r="BG270" s="78" t="str">
        <f t="shared" si="108"/>
        <v>Tipo 1 (≤0,25) uT</v>
      </c>
      <c r="BH270" s="78" t="str">
        <f t="shared" si="109"/>
        <v>Tipo 1 (≤0,25) uT</v>
      </c>
    </row>
    <row r="271" spans="1:60" x14ac:dyDescent="0.2">
      <c r="A271" s="31">
        <v>46288</v>
      </c>
      <c r="B271" s="80">
        <v>0.89583333333333337</v>
      </c>
      <c r="C271" s="57">
        <v>237</v>
      </c>
      <c r="D271" s="57">
        <v>1867</v>
      </c>
      <c r="E271" s="57">
        <v>200</v>
      </c>
      <c r="F271" s="57">
        <v>2246</v>
      </c>
      <c r="G271" s="85" t="s">
        <v>78</v>
      </c>
      <c r="H271" s="63">
        <v>9.1999999999999993</v>
      </c>
      <c r="I271" s="57">
        <v>-50</v>
      </c>
      <c r="J271" s="57">
        <v>90</v>
      </c>
      <c r="K271" s="57">
        <v>90</v>
      </c>
      <c r="L271" s="57">
        <v>90</v>
      </c>
      <c r="M271" s="57">
        <v>26</v>
      </c>
      <c r="N271" s="63">
        <v>6.5</v>
      </c>
      <c r="O271" s="36">
        <v>1.41</v>
      </c>
      <c r="P271" s="57">
        <v>11</v>
      </c>
      <c r="Q271" s="63">
        <v>6.1</v>
      </c>
      <c r="R271" s="36">
        <v>0.14000000000000001</v>
      </c>
      <c r="S271" s="36">
        <v>22.36</v>
      </c>
      <c r="T271" s="36">
        <v>0.88</v>
      </c>
      <c r="U271" s="36">
        <v>0.7</v>
      </c>
      <c r="V271" s="42">
        <f t="shared" si="110"/>
        <v>1732.2275</v>
      </c>
      <c r="W271" s="42">
        <f t="shared" si="111"/>
        <v>1491.1839279999999</v>
      </c>
      <c r="X271" s="42">
        <f t="shared" si="112"/>
        <v>0.86084762422949634</v>
      </c>
      <c r="Y271" s="57">
        <v>3</v>
      </c>
      <c r="Z271" s="57">
        <v>4</v>
      </c>
      <c r="AA271" s="63">
        <v>6.1</v>
      </c>
      <c r="AB271" s="57">
        <v>20</v>
      </c>
      <c r="AC271" s="63">
        <v>5</v>
      </c>
      <c r="AD271" s="63">
        <v>3.5</v>
      </c>
      <c r="AE271" s="36">
        <v>0.2</v>
      </c>
      <c r="AF271" s="36">
        <v>0.17</v>
      </c>
      <c r="AG271" s="42">
        <f t="shared" si="92"/>
        <v>2309.6366666666663</v>
      </c>
      <c r="AH271" s="42">
        <f t="shared" si="113"/>
        <v>1630.6269251999997</v>
      </c>
      <c r="AI271" s="42">
        <f t="shared" si="114"/>
        <v>0.70601014814739982</v>
      </c>
      <c r="AJ271" s="57">
        <v>4</v>
      </c>
      <c r="AK271" s="57">
        <v>3</v>
      </c>
      <c r="AL271" s="63">
        <v>6.3</v>
      </c>
      <c r="AM271" s="57">
        <v>21</v>
      </c>
      <c r="AN271" s="63">
        <v>6.1</v>
      </c>
      <c r="AO271" s="63">
        <v>5.6</v>
      </c>
      <c r="AP271" s="36">
        <v>0.16</v>
      </c>
      <c r="AQ271" s="36">
        <v>0.17</v>
      </c>
      <c r="AR271" s="73">
        <f t="shared" si="93"/>
        <v>2304</v>
      </c>
      <c r="AS271" s="75">
        <f t="shared" si="94"/>
        <v>0.10286458333333333</v>
      </c>
      <c r="AT271" s="75">
        <f t="shared" si="95"/>
        <v>0.81032986111111116</v>
      </c>
      <c r="AU271" s="75">
        <f t="shared" si="96"/>
        <v>8.6805555555555552E-2</v>
      </c>
      <c r="AV271" s="26">
        <f t="shared" si="97"/>
        <v>7.123775601068566E-2</v>
      </c>
      <c r="AW271" s="26">
        <f t="shared" si="98"/>
        <v>5.6099732858414963E-2</v>
      </c>
      <c r="AX271" s="24">
        <f t="shared" si="99"/>
        <v>0.87943262411347511</v>
      </c>
      <c r="AY271" s="24">
        <f t="shared" si="100"/>
        <v>0.87943262411347511</v>
      </c>
      <c r="AZ271" s="77" t="str">
        <f t="shared" si="101"/>
        <v>5,0 ≤ Alc. Bruta &lt; 7,5 mg/L</v>
      </c>
      <c r="BA271" s="77" t="str">
        <f t="shared" si="102"/>
        <v>10 ≤ Cor &lt;15 uC</v>
      </c>
      <c r="BB271" s="78" t="str">
        <f t="shared" si="103"/>
        <v>Turbidez &lt; 2,5 uT</v>
      </c>
      <c r="BC271" s="79" t="str">
        <f t="shared" si="104"/>
        <v>SM &gt; TOR &gt; BNN</v>
      </c>
      <c r="BD271" s="78" t="str">
        <f t="shared" si="105"/>
        <v>Tipo 1 (≤0,25) uT</v>
      </c>
      <c r="BE271" s="78" t="str">
        <f t="shared" si="106"/>
        <v>Tipo 1 (≤0,25) uT</v>
      </c>
      <c r="BF271" s="78" t="str">
        <f t="shared" si="107"/>
        <v>Tipo 1 (≤0,25) uT</v>
      </c>
      <c r="BG271" s="78" t="str">
        <f t="shared" si="108"/>
        <v>Tipo 1 (≤0,25) uT</v>
      </c>
      <c r="BH271" s="78" t="str">
        <f t="shared" si="109"/>
        <v>Tipo 1 (≤0,25) uT</v>
      </c>
    </row>
    <row r="272" spans="1:60" x14ac:dyDescent="0.2">
      <c r="A272" s="31">
        <v>46288</v>
      </c>
      <c r="B272" s="80">
        <v>0.97916666666666663</v>
      </c>
      <c r="C272" s="57">
        <v>230</v>
      </c>
      <c r="D272" s="57">
        <v>1710</v>
      </c>
      <c r="E272" s="57">
        <v>200</v>
      </c>
      <c r="F272" s="57">
        <v>2230</v>
      </c>
      <c r="G272" s="85" t="s">
        <v>78</v>
      </c>
      <c r="H272" s="63">
        <v>9.1999999999999993</v>
      </c>
      <c r="I272" s="57">
        <v>-37</v>
      </c>
      <c r="J272" s="57">
        <v>90</v>
      </c>
      <c r="K272" s="57">
        <v>90</v>
      </c>
      <c r="L272" s="57">
        <v>90</v>
      </c>
      <c r="M272" s="57">
        <v>24.9</v>
      </c>
      <c r="N272" s="63">
        <v>6.5</v>
      </c>
      <c r="O272" s="36">
        <v>1.4</v>
      </c>
      <c r="P272" s="57">
        <v>10</v>
      </c>
      <c r="Q272" s="63">
        <v>6.1</v>
      </c>
      <c r="R272" s="36">
        <v>0.14000000000000001</v>
      </c>
      <c r="S272" s="36">
        <v>22.36</v>
      </c>
      <c r="T272" s="36">
        <v>0.88</v>
      </c>
      <c r="U272" s="36">
        <v>0.7</v>
      </c>
      <c r="V272" s="42">
        <f t="shared" si="110"/>
        <v>1717.1000000000001</v>
      </c>
      <c r="W272" s="42">
        <f t="shared" si="111"/>
        <v>1491.1839279999999</v>
      </c>
      <c r="X272" s="42">
        <f t="shared" si="112"/>
        <v>0.86843161609690744</v>
      </c>
      <c r="Y272" s="57">
        <v>3</v>
      </c>
      <c r="Z272" s="57">
        <v>4</v>
      </c>
      <c r="AA272" s="63">
        <v>6.1</v>
      </c>
      <c r="AB272" s="57">
        <v>20</v>
      </c>
      <c r="AC272" s="63">
        <v>6.2</v>
      </c>
      <c r="AD272" s="63">
        <v>4.8</v>
      </c>
      <c r="AE272" s="36">
        <v>0.22</v>
      </c>
      <c r="AF272" s="36">
        <v>0.16</v>
      </c>
      <c r="AG272" s="42">
        <f t="shared" si="92"/>
        <v>1717.1000000000001</v>
      </c>
      <c r="AH272" s="42">
        <f t="shared" si="113"/>
        <v>1708.2758263999997</v>
      </c>
      <c r="AI272" s="42">
        <f t="shared" si="114"/>
        <v>0.99486100192184468</v>
      </c>
      <c r="AJ272" s="57">
        <v>3</v>
      </c>
      <c r="AK272" s="57">
        <v>4</v>
      </c>
      <c r="AL272" s="63">
        <v>6.3</v>
      </c>
      <c r="AM272" s="57">
        <v>22</v>
      </c>
      <c r="AN272" s="63">
        <v>6.1</v>
      </c>
      <c r="AO272" s="63">
        <v>4.4000000000000004</v>
      </c>
      <c r="AP272" s="36">
        <v>0.14000000000000001</v>
      </c>
      <c r="AQ272" s="36">
        <v>0.17</v>
      </c>
      <c r="AR272" s="73">
        <f t="shared" si="93"/>
        <v>2140</v>
      </c>
      <c r="AS272" s="75">
        <f t="shared" si="94"/>
        <v>0.10747663551401869</v>
      </c>
      <c r="AT272" s="75">
        <f t="shared" si="95"/>
        <v>0.7990654205607477</v>
      </c>
      <c r="AU272" s="75">
        <f t="shared" si="96"/>
        <v>9.3457943925233641E-2</v>
      </c>
      <c r="AV272" s="26">
        <f t="shared" si="97"/>
        <v>7.1748878923766815E-2</v>
      </c>
      <c r="AW272" s="26">
        <f t="shared" si="98"/>
        <v>7.8923766816143492E-2</v>
      </c>
      <c r="AX272" s="24">
        <f t="shared" si="99"/>
        <v>0.87857142857142856</v>
      </c>
      <c r="AY272" s="24">
        <f t="shared" si="100"/>
        <v>0.88571428571428568</v>
      </c>
      <c r="AZ272" s="77" t="str">
        <f t="shared" si="101"/>
        <v>5,0 ≤ Alc. Bruta &lt; 7,5 mg/L</v>
      </c>
      <c r="BA272" s="77" t="str">
        <f t="shared" si="102"/>
        <v>10 ≤ Cor &lt;15 uC</v>
      </c>
      <c r="BB272" s="78" t="str">
        <f t="shared" si="103"/>
        <v>Turbidez &lt; 2,5 uT</v>
      </c>
      <c r="BC272" s="79" t="str">
        <f t="shared" si="104"/>
        <v>SM &gt; TOR &gt; BNN</v>
      </c>
      <c r="BD272" s="78" t="str">
        <f t="shared" si="105"/>
        <v>Tipo 1 (≤0,25) uT</v>
      </c>
      <c r="BE272" s="78" t="str">
        <f t="shared" si="106"/>
        <v>Tipo 1 (≤0,25) uT</v>
      </c>
      <c r="BF272" s="78" t="str">
        <f t="shared" si="107"/>
        <v>Tipo 1 (≤0,25) uT</v>
      </c>
      <c r="BG272" s="78" t="str">
        <f t="shared" si="108"/>
        <v>Tipo 1 (≤0,25) uT</v>
      </c>
      <c r="BH272" s="78" t="str">
        <f t="shared" si="109"/>
        <v>Tipo 1 (≤0,25) uT</v>
      </c>
    </row>
    <row r="273" spans="1:60" x14ac:dyDescent="0.2">
      <c r="A273" s="31">
        <v>46289</v>
      </c>
      <c r="B273" s="80">
        <v>6.25E-2</v>
      </c>
      <c r="C273" s="57">
        <v>340</v>
      </c>
      <c r="D273" s="57">
        <v>1780</v>
      </c>
      <c r="E273" s="57">
        <v>200</v>
      </c>
      <c r="F273" s="57">
        <v>2222</v>
      </c>
      <c r="G273" s="85" t="s">
        <v>78</v>
      </c>
      <c r="H273" s="63">
        <v>9.1999999999999993</v>
      </c>
      <c r="I273" s="57">
        <v>-52</v>
      </c>
      <c r="J273" s="57">
        <v>90</v>
      </c>
      <c r="K273" s="57">
        <v>90</v>
      </c>
      <c r="L273" s="57">
        <v>90</v>
      </c>
      <c r="M273" s="57">
        <v>25.1</v>
      </c>
      <c r="N273" s="63">
        <v>6.5</v>
      </c>
      <c r="O273" s="36">
        <v>1.46</v>
      </c>
      <c r="P273" s="57">
        <v>11</v>
      </c>
      <c r="Q273" s="63">
        <v>6</v>
      </c>
      <c r="R273" s="36">
        <v>0.11</v>
      </c>
      <c r="S273" s="36">
        <v>22.36</v>
      </c>
      <c r="T273" s="36">
        <v>0.88</v>
      </c>
      <c r="U273" s="36">
        <v>0.7</v>
      </c>
      <c r="V273" s="42">
        <f t="shared" si="110"/>
        <v>1727.605</v>
      </c>
      <c r="W273" s="42">
        <f t="shared" si="111"/>
        <v>1460.2868799999999</v>
      </c>
      <c r="X273" s="42">
        <f t="shared" si="112"/>
        <v>0.84526664370617122</v>
      </c>
      <c r="Y273" s="57">
        <v>4</v>
      </c>
      <c r="Z273" s="57">
        <v>4</v>
      </c>
      <c r="AA273" s="63">
        <v>6</v>
      </c>
      <c r="AB273" s="57">
        <v>20</v>
      </c>
      <c r="AC273" s="63">
        <v>6.3</v>
      </c>
      <c r="AD273" s="63">
        <v>4.4000000000000004</v>
      </c>
      <c r="AE273" s="36">
        <v>0.17</v>
      </c>
      <c r="AF273" s="36">
        <v>0.15</v>
      </c>
      <c r="AG273" s="42">
        <f t="shared" si="92"/>
        <v>2303.4733333333329</v>
      </c>
      <c r="AH273" s="42">
        <f t="shared" si="113"/>
        <v>1708.2758263999997</v>
      </c>
      <c r="AI273" s="42">
        <f t="shared" si="114"/>
        <v>0.74160868358218457</v>
      </c>
      <c r="AJ273" s="57">
        <v>3</v>
      </c>
      <c r="AK273" s="57">
        <v>3</v>
      </c>
      <c r="AL273" s="63">
        <v>6.3</v>
      </c>
      <c r="AM273" s="57">
        <v>22</v>
      </c>
      <c r="AN273" s="63">
        <v>6</v>
      </c>
      <c r="AO273" s="63">
        <v>4</v>
      </c>
      <c r="AP273" s="36">
        <v>0.12</v>
      </c>
      <c r="AQ273" s="36">
        <v>0.18</v>
      </c>
      <c r="AR273" s="73">
        <f t="shared" si="93"/>
        <v>2320</v>
      </c>
      <c r="AS273" s="75">
        <f t="shared" si="94"/>
        <v>0.14655172413793102</v>
      </c>
      <c r="AT273" s="75">
        <f t="shared" si="95"/>
        <v>0.76724137931034486</v>
      </c>
      <c r="AU273" s="75">
        <f t="shared" si="96"/>
        <v>8.6206896551724144E-2</v>
      </c>
      <c r="AV273" s="26">
        <f t="shared" si="97"/>
        <v>7.2007200720072009E-2</v>
      </c>
      <c r="AW273" s="26">
        <f t="shared" si="98"/>
        <v>5.940594059405941E-2</v>
      </c>
      <c r="AX273" s="24">
        <f t="shared" si="99"/>
        <v>0.87671232876712324</v>
      </c>
      <c r="AY273" s="24">
        <f t="shared" si="100"/>
        <v>0.89726027397260277</v>
      </c>
      <c r="AZ273" s="77" t="str">
        <f t="shared" si="101"/>
        <v>5,0 ≤ Alc. Bruta &lt; 7,5 mg/L</v>
      </c>
      <c r="BA273" s="77" t="str">
        <f t="shared" si="102"/>
        <v>10 ≤ Cor &lt;15 uC</v>
      </c>
      <c r="BB273" s="78" t="str">
        <f t="shared" si="103"/>
        <v>Turbidez &lt; 2,5 uT</v>
      </c>
      <c r="BC273" s="79" t="str">
        <f t="shared" si="104"/>
        <v>SM &gt; TOR &gt; BNN</v>
      </c>
      <c r="BD273" s="78" t="str">
        <f t="shared" si="105"/>
        <v>Tipo 1 (≤0,25) uT</v>
      </c>
      <c r="BE273" s="78" t="str">
        <f t="shared" si="106"/>
        <v>Tipo 1 (≤0,25) uT</v>
      </c>
      <c r="BF273" s="78" t="str">
        <f t="shared" si="107"/>
        <v>Tipo 1 (≤0,25) uT</v>
      </c>
      <c r="BG273" s="78" t="str">
        <f t="shared" si="108"/>
        <v>Tipo 1 (≤0,25) uT</v>
      </c>
      <c r="BH273" s="78" t="str">
        <f t="shared" si="109"/>
        <v>Tipo 1 (≤0,25) uT</v>
      </c>
    </row>
    <row r="274" spans="1:60" x14ac:dyDescent="0.2">
      <c r="A274" s="31">
        <v>46289</v>
      </c>
      <c r="B274" s="80">
        <v>0.14583333333333334</v>
      </c>
      <c r="C274" s="57">
        <v>351</v>
      </c>
      <c r="D274" s="57">
        <v>1690</v>
      </c>
      <c r="E274" s="57">
        <v>200</v>
      </c>
      <c r="F274" s="57">
        <v>2241</v>
      </c>
      <c r="G274" s="85" t="s">
        <v>78</v>
      </c>
      <c r="H274" s="63">
        <v>9.1999999999999993</v>
      </c>
      <c r="I274" s="57">
        <v>-52</v>
      </c>
      <c r="J274" s="57">
        <v>90</v>
      </c>
      <c r="K274" s="57">
        <v>90</v>
      </c>
      <c r="L274" s="57">
        <v>90</v>
      </c>
      <c r="M274" s="57">
        <v>25</v>
      </c>
      <c r="N274" s="63">
        <v>6.5</v>
      </c>
      <c r="O274" s="36">
        <v>1.49</v>
      </c>
      <c r="P274" s="57">
        <v>11</v>
      </c>
      <c r="Q274" s="63">
        <v>6.1</v>
      </c>
      <c r="R274" s="36">
        <v>0.1</v>
      </c>
      <c r="S274" s="36">
        <v>22.36</v>
      </c>
      <c r="T274" s="36">
        <v>0.88</v>
      </c>
      <c r="U274" s="36">
        <v>0.7</v>
      </c>
      <c r="V274" s="42">
        <f t="shared" si="110"/>
        <v>1750.78125</v>
      </c>
      <c r="W274" s="42">
        <f t="shared" si="111"/>
        <v>1460.2868799999999</v>
      </c>
      <c r="X274" s="42">
        <f t="shared" si="112"/>
        <v>0.83407728978134754</v>
      </c>
      <c r="Y274" s="57">
        <v>3</v>
      </c>
      <c r="Z274" s="57">
        <v>4</v>
      </c>
      <c r="AA274" s="63">
        <v>6</v>
      </c>
      <c r="AB274" s="57">
        <v>20</v>
      </c>
      <c r="AC274" s="63">
        <v>5.0999999999999996</v>
      </c>
      <c r="AD274" s="63">
        <v>5.2</v>
      </c>
      <c r="AE274" s="36">
        <v>0.14000000000000001</v>
      </c>
      <c r="AF274" s="36">
        <v>0.15</v>
      </c>
      <c r="AG274" s="42">
        <f t="shared" si="92"/>
        <v>2334.375</v>
      </c>
      <c r="AH274" s="42">
        <f t="shared" si="113"/>
        <v>1695.510726</v>
      </c>
      <c r="AI274" s="42">
        <f t="shared" si="114"/>
        <v>0.72632320257028116</v>
      </c>
      <c r="AJ274" s="57">
        <v>4</v>
      </c>
      <c r="AK274" s="57">
        <v>3</v>
      </c>
      <c r="AL274" s="63">
        <v>6.5</v>
      </c>
      <c r="AM274" s="57">
        <v>21</v>
      </c>
      <c r="AN274" s="63">
        <v>6.1</v>
      </c>
      <c r="AO274" s="63">
        <v>5.5</v>
      </c>
      <c r="AP274" s="36">
        <v>0.15</v>
      </c>
      <c r="AQ274" s="36">
        <v>0.1</v>
      </c>
      <c r="AR274" s="73">
        <f t="shared" si="93"/>
        <v>2241</v>
      </c>
      <c r="AS274" s="75">
        <f t="shared" si="94"/>
        <v>0.15662650602409639</v>
      </c>
      <c r="AT274" s="75">
        <f t="shared" si="95"/>
        <v>0.75412762159750113</v>
      </c>
      <c r="AU274" s="75">
        <f t="shared" si="96"/>
        <v>8.9245872378402494E-2</v>
      </c>
      <c r="AV274" s="26">
        <f t="shared" si="97"/>
        <v>7.1396697902722003E-2</v>
      </c>
      <c r="AW274" s="26">
        <f t="shared" si="98"/>
        <v>5.6224899598393573E-2</v>
      </c>
      <c r="AX274" s="24">
        <f t="shared" si="99"/>
        <v>0.93288590604026844</v>
      </c>
      <c r="AY274" s="24">
        <f t="shared" si="100"/>
        <v>0.89932885906040272</v>
      </c>
      <c r="AZ274" s="77" t="str">
        <f t="shared" si="101"/>
        <v>5,0 ≤ Alc. Bruta &lt; 7,5 mg/L</v>
      </c>
      <c r="BA274" s="77" t="str">
        <f t="shared" si="102"/>
        <v>10 ≤ Cor &lt;15 uC</v>
      </c>
      <c r="BB274" s="78" t="str">
        <f t="shared" si="103"/>
        <v>Turbidez &lt; 2,5 uT</v>
      </c>
      <c r="BC274" s="79" t="str">
        <f t="shared" si="104"/>
        <v>SM &gt; TOR &gt; BNN</v>
      </c>
      <c r="BD274" s="78" t="str">
        <f t="shared" si="105"/>
        <v>Tipo 1 (≤0,25) uT</v>
      </c>
      <c r="BE274" s="78" t="str">
        <f t="shared" si="106"/>
        <v>Tipo 1 (≤0,25) uT</v>
      </c>
      <c r="BF274" s="78" t="str">
        <f t="shared" si="107"/>
        <v>Tipo 1 (≤0,25) uT</v>
      </c>
      <c r="BG274" s="78" t="str">
        <f t="shared" si="108"/>
        <v>Tipo 1 (≤0,25) uT</v>
      </c>
      <c r="BH274" s="78" t="str">
        <f t="shared" si="109"/>
        <v>Tipo 1 (≤0,25) uT</v>
      </c>
    </row>
    <row r="275" spans="1:60" ht="15.75" thickBot="1" x14ac:dyDescent="0.25">
      <c r="A275" s="32">
        <v>46289</v>
      </c>
      <c r="B275" s="81">
        <v>0.22916666666666666</v>
      </c>
      <c r="C275" s="58">
        <v>367</v>
      </c>
      <c r="D275" s="58">
        <v>1573</v>
      </c>
      <c r="E275" s="58">
        <v>201</v>
      </c>
      <c r="F275" s="58">
        <v>2222</v>
      </c>
      <c r="G275" s="86" t="s">
        <v>78</v>
      </c>
      <c r="H275" s="64">
        <v>9.1999999999999993</v>
      </c>
      <c r="I275" s="58">
        <v>-51</v>
      </c>
      <c r="J275" s="58">
        <v>90</v>
      </c>
      <c r="K275" s="58">
        <v>90</v>
      </c>
      <c r="L275" s="58">
        <v>90</v>
      </c>
      <c r="M275" s="58">
        <v>25</v>
      </c>
      <c r="N275" s="64">
        <v>6.5</v>
      </c>
      <c r="O275" s="37">
        <v>1.46</v>
      </c>
      <c r="P275" s="58">
        <v>12</v>
      </c>
      <c r="Q275" s="64">
        <v>6</v>
      </c>
      <c r="R275" s="37">
        <v>0.08</v>
      </c>
      <c r="S275" s="36">
        <v>22.36</v>
      </c>
      <c r="T275" s="36">
        <v>0.88</v>
      </c>
      <c r="U275" s="36">
        <v>0.7</v>
      </c>
      <c r="V275" s="42">
        <f t="shared" si="110"/>
        <v>1727.605</v>
      </c>
      <c r="W275" s="42">
        <f t="shared" si="111"/>
        <v>1460.2868799999999</v>
      </c>
      <c r="X275" s="42">
        <f t="shared" si="112"/>
        <v>0.84526664370617122</v>
      </c>
      <c r="Y275" s="58">
        <v>3</v>
      </c>
      <c r="Z275" s="58">
        <v>4</v>
      </c>
      <c r="AA275" s="64">
        <v>6</v>
      </c>
      <c r="AB275" s="58">
        <v>20</v>
      </c>
      <c r="AC275" s="64">
        <v>6.1</v>
      </c>
      <c r="AD275" s="64">
        <v>5.5</v>
      </c>
      <c r="AE275" s="37">
        <v>0.17</v>
      </c>
      <c r="AF275" s="37">
        <v>0.14000000000000001</v>
      </c>
      <c r="AG275" s="42">
        <f t="shared" si="92"/>
        <v>1727.605</v>
      </c>
      <c r="AH275" s="42">
        <f t="shared" si="113"/>
        <v>1776.2493320000001</v>
      </c>
      <c r="AI275" s="42">
        <f t="shared" si="114"/>
        <v>1.0281570914647735</v>
      </c>
      <c r="AJ275" s="58">
        <v>3</v>
      </c>
      <c r="AK275" s="58">
        <v>4</v>
      </c>
      <c r="AL275" s="64">
        <v>6.5</v>
      </c>
      <c r="AM275" s="58">
        <v>22</v>
      </c>
      <c r="AN275" s="64">
        <v>6.2</v>
      </c>
      <c r="AO275" s="64">
        <v>5.7</v>
      </c>
      <c r="AP275" s="37">
        <v>0.17</v>
      </c>
      <c r="AQ275" s="37">
        <v>0.19</v>
      </c>
      <c r="AR275" s="73">
        <f t="shared" si="93"/>
        <v>2141</v>
      </c>
      <c r="AS275" s="75">
        <f t="shared" si="94"/>
        <v>0.17141522652965904</v>
      </c>
      <c r="AT275" s="75">
        <f t="shared" si="95"/>
        <v>0.73470340962167213</v>
      </c>
      <c r="AU275" s="75">
        <f t="shared" si="96"/>
        <v>9.3881363848668853E-2</v>
      </c>
      <c r="AV275" s="26">
        <f t="shared" si="97"/>
        <v>7.2007200720072009E-2</v>
      </c>
      <c r="AW275" s="26">
        <f t="shared" si="98"/>
        <v>7.9207920792079209E-2</v>
      </c>
      <c r="AX275" s="24">
        <f t="shared" si="99"/>
        <v>0.86986301369863017</v>
      </c>
      <c r="AY275" s="24">
        <f t="shared" si="100"/>
        <v>0.90410958904109584</v>
      </c>
      <c r="AZ275" s="77" t="str">
        <f t="shared" si="101"/>
        <v>5,0 ≤ Alc. Bruta &lt; 7,5 mg/L</v>
      </c>
      <c r="BA275" s="77" t="str">
        <f t="shared" si="102"/>
        <v>10 ≤ Cor &lt;15 uC</v>
      </c>
      <c r="BB275" s="78" t="str">
        <f t="shared" si="103"/>
        <v>Turbidez &lt; 2,5 uT</v>
      </c>
      <c r="BC275" s="79" t="str">
        <f t="shared" si="104"/>
        <v>SM &gt; TOR &gt; BNN</v>
      </c>
      <c r="BD275" s="78" t="str">
        <f t="shared" si="105"/>
        <v>Tipo 1 (≤0,25) uT</v>
      </c>
      <c r="BE275" s="78" t="str">
        <f t="shared" si="106"/>
        <v>Tipo 1 (≤0,25) uT</v>
      </c>
      <c r="BF275" s="78" t="str">
        <f t="shared" si="107"/>
        <v>Tipo 1 (≤0,25) uT</v>
      </c>
      <c r="BG275" s="78" t="str">
        <f t="shared" si="108"/>
        <v>Tipo 1 (≤0,25) uT</v>
      </c>
      <c r="BH275" s="78" t="str">
        <f t="shared" si="109"/>
        <v>Tipo 1 (≤0,25) uT</v>
      </c>
    </row>
    <row r="276" spans="1:60" x14ac:dyDescent="0.2">
      <c r="A276" s="30">
        <v>46289</v>
      </c>
      <c r="B276" s="82">
        <v>0.3125</v>
      </c>
      <c r="C276" s="59">
        <v>386</v>
      </c>
      <c r="D276" s="59">
        <v>1655</v>
      </c>
      <c r="E276" s="59">
        <v>200</v>
      </c>
      <c r="F276" s="59">
        <v>2275</v>
      </c>
      <c r="G276" s="87" t="s">
        <v>78</v>
      </c>
      <c r="H276" s="65">
        <v>9.1999999999999993</v>
      </c>
      <c r="I276" s="59">
        <v>-51</v>
      </c>
      <c r="J276" s="59">
        <v>90</v>
      </c>
      <c r="K276" s="59">
        <v>90</v>
      </c>
      <c r="L276" s="59">
        <v>90</v>
      </c>
      <c r="M276" s="59">
        <v>24.6</v>
      </c>
      <c r="N276" s="65">
        <v>6.4</v>
      </c>
      <c r="O276" s="38">
        <v>2.42</v>
      </c>
      <c r="P276" s="59">
        <v>18</v>
      </c>
      <c r="Q276" s="65">
        <v>8.3000000000000007</v>
      </c>
      <c r="R276" s="38">
        <v>0.09</v>
      </c>
      <c r="S276" s="36">
        <v>22.36</v>
      </c>
      <c r="T276" s="36">
        <v>0.88</v>
      </c>
      <c r="U276" s="36">
        <v>0.7</v>
      </c>
      <c r="V276" s="42">
        <f t="shared" si="110"/>
        <v>2041.8125</v>
      </c>
      <c r="W276" s="42">
        <f t="shared" si="111"/>
        <v>1560.1330004000001</v>
      </c>
      <c r="X276" s="42">
        <f t="shared" si="112"/>
        <v>0.76409219769200165</v>
      </c>
      <c r="Y276" s="59">
        <v>3</v>
      </c>
      <c r="Z276" s="59">
        <v>4</v>
      </c>
      <c r="AA276" s="65">
        <v>6.2</v>
      </c>
      <c r="AB276" s="59">
        <v>20.5</v>
      </c>
      <c r="AC276" s="65">
        <v>6.1</v>
      </c>
      <c r="AD276" s="65">
        <v>5.2</v>
      </c>
      <c r="AE276" s="38">
        <v>0.1</v>
      </c>
      <c r="AF276" s="38">
        <v>0.14000000000000001</v>
      </c>
      <c r="AG276" s="42">
        <f t="shared" si="92"/>
        <v>2041.8125</v>
      </c>
      <c r="AH276" s="42">
        <f t="shared" si="113"/>
        <v>1781.8594559999999</v>
      </c>
      <c r="AI276" s="42">
        <f t="shared" si="114"/>
        <v>0.8726851539992041</v>
      </c>
      <c r="AJ276" s="59">
        <v>3</v>
      </c>
      <c r="AK276" s="59">
        <v>4</v>
      </c>
      <c r="AL276" s="65">
        <v>6.4</v>
      </c>
      <c r="AM276" s="59">
        <v>22.5</v>
      </c>
      <c r="AN276" s="65">
        <v>6.1</v>
      </c>
      <c r="AO276" s="65">
        <v>5.9</v>
      </c>
      <c r="AP276" s="38">
        <v>0.18</v>
      </c>
      <c r="AQ276" s="38">
        <v>0.2</v>
      </c>
      <c r="AR276" s="73">
        <f t="shared" si="93"/>
        <v>2241</v>
      </c>
      <c r="AS276" s="75">
        <f t="shared" si="94"/>
        <v>0.17224453369031684</v>
      </c>
      <c r="AT276" s="75">
        <f t="shared" si="95"/>
        <v>0.73850959393128068</v>
      </c>
      <c r="AU276" s="75">
        <f t="shared" si="96"/>
        <v>8.9245872378402494E-2</v>
      </c>
      <c r="AV276" s="26">
        <f t="shared" si="97"/>
        <v>7.2087912087912084E-2</v>
      </c>
      <c r="AW276" s="26">
        <f t="shared" si="98"/>
        <v>7.9120879120879117E-2</v>
      </c>
      <c r="AX276" s="24">
        <f t="shared" si="99"/>
        <v>0.9173553719008265</v>
      </c>
      <c r="AY276" s="24">
        <f t="shared" si="100"/>
        <v>0.94214876033057848</v>
      </c>
      <c r="AZ276" s="77" t="str">
        <f t="shared" si="101"/>
        <v>7,5 ≤ Alc. Bruta &lt; 10,0 mg/L</v>
      </c>
      <c r="BA276" s="77" t="str">
        <f t="shared" si="102"/>
        <v>15 ≤ Cor &lt; 30 uC</v>
      </c>
      <c r="BB276" s="78" t="str">
        <f t="shared" si="103"/>
        <v>Turbidez &lt; 2,5 uT</v>
      </c>
      <c r="BC276" s="79" t="str">
        <f t="shared" si="104"/>
        <v>SM &gt; TOR &gt; BNN</v>
      </c>
      <c r="BD276" s="78" t="str">
        <f t="shared" si="105"/>
        <v>Tipo 1 (≤0,25) uT</v>
      </c>
      <c r="BE276" s="78" t="str">
        <f t="shared" si="106"/>
        <v>Tipo 1 (≤0,25) uT</v>
      </c>
      <c r="BF276" s="78" t="str">
        <f t="shared" si="107"/>
        <v>Tipo 1 (≤0,25) uT</v>
      </c>
      <c r="BG276" s="78" t="str">
        <f t="shared" si="108"/>
        <v>Tipo 1 (≤0,25) uT</v>
      </c>
      <c r="BH276" s="78" t="str">
        <f t="shared" si="109"/>
        <v>Tipo 1 (≤0,25) uT</v>
      </c>
    </row>
    <row r="277" spans="1:60" x14ac:dyDescent="0.2">
      <c r="A277" s="31">
        <v>46289</v>
      </c>
      <c r="B277" s="80">
        <v>0.39583333333333331</v>
      </c>
      <c r="C277" s="57">
        <v>370</v>
      </c>
      <c r="D277" s="57">
        <v>1687</v>
      </c>
      <c r="E277" s="57">
        <v>200</v>
      </c>
      <c r="F277" s="57">
        <v>2248</v>
      </c>
      <c r="G277" s="85" t="s">
        <v>78</v>
      </c>
      <c r="H277" s="63">
        <v>9.1999999999999993</v>
      </c>
      <c r="I277" s="57">
        <v>-63</v>
      </c>
      <c r="J277" s="57">
        <v>90</v>
      </c>
      <c r="K277" s="57">
        <v>90</v>
      </c>
      <c r="L277" s="57">
        <v>90</v>
      </c>
      <c r="M277" s="57">
        <v>24.8</v>
      </c>
      <c r="N277" s="63">
        <v>6.4</v>
      </c>
      <c r="O277" s="36">
        <v>1.55</v>
      </c>
      <c r="P277" s="57">
        <v>13</v>
      </c>
      <c r="Q277" s="63">
        <v>7.3</v>
      </c>
      <c r="R277" s="36">
        <v>0.09</v>
      </c>
      <c r="S277" s="36">
        <v>22.36</v>
      </c>
      <c r="T277" s="36">
        <v>0.88</v>
      </c>
      <c r="U277" s="36">
        <v>0.7</v>
      </c>
      <c r="V277" s="42">
        <f t="shared" si="110"/>
        <v>1773.11</v>
      </c>
      <c r="W277" s="42">
        <f t="shared" si="111"/>
        <v>1522.080976</v>
      </c>
      <c r="X277" s="42">
        <f t="shared" si="112"/>
        <v>0.85842444969573239</v>
      </c>
      <c r="Y277" s="57">
        <v>3</v>
      </c>
      <c r="Z277" s="57">
        <v>4</v>
      </c>
      <c r="AA277" s="63">
        <v>6.2</v>
      </c>
      <c r="AB277" s="57">
        <v>20</v>
      </c>
      <c r="AC277" s="63">
        <v>6.1</v>
      </c>
      <c r="AD277" s="63">
        <v>5.2</v>
      </c>
      <c r="AE277" s="36">
        <v>0.11</v>
      </c>
      <c r="AF277" s="36">
        <v>0.14000000000000001</v>
      </c>
      <c r="AG277" s="42">
        <f t="shared" si="92"/>
        <v>1773.11</v>
      </c>
      <c r="AH277" s="42">
        <f t="shared" si="113"/>
        <v>1708.2758263999997</v>
      </c>
      <c r="AI277" s="42">
        <f t="shared" si="114"/>
        <v>0.96343477077000284</v>
      </c>
      <c r="AJ277" s="57">
        <v>3</v>
      </c>
      <c r="AK277" s="57">
        <v>4</v>
      </c>
      <c r="AL277" s="63">
        <v>6.3</v>
      </c>
      <c r="AM277" s="57">
        <v>22</v>
      </c>
      <c r="AN277" s="63">
        <v>6.1</v>
      </c>
      <c r="AO277" s="63">
        <v>5.2</v>
      </c>
      <c r="AP277" s="36">
        <v>0.19</v>
      </c>
      <c r="AQ277" s="36">
        <v>0.2</v>
      </c>
      <c r="AR277" s="73">
        <f t="shared" si="93"/>
        <v>2257</v>
      </c>
      <c r="AS277" s="75">
        <f t="shared" si="94"/>
        <v>0.16393442622950818</v>
      </c>
      <c r="AT277" s="75">
        <f t="shared" si="95"/>
        <v>0.74745237040319013</v>
      </c>
      <c r="AU277" s="75">
        <f t="shared" si="96"/>
        <v>8.8613203367301732E-2</v>
      </c>
      <c r="AV277" s="26">
        <f t="shared" si="97"/>
        <v>7.1174377224199295E-2</v>
      </c>
      <c r="AW277" s="26">
        <f t="shared" si="98"/>
        <v>7.8291814946619215E-2</v>
      </c>
      <c r="AX277" s="24">
        <f t="shared" si="99"/>
        <v>0.87096774193548387</v>
      </c>
      <c r="AY277" s="24">
        <f t="shared" si="100"/>
        <v>0.9096774193548387</v>
      </c>
      <c r="AZ277" s="77" t="str">
        <f t="shared" si="101"/>
        <v>5,0 ≤ Alc. Bruta &lt; 7,5 mg/L</v>
      </c>
      <c r="BA277" s="77" t="str">
        <f t="shared" si="102"/>
        <v>10 ≤ Cor &lt;15 uC</v>
      </c>
      <c r="BB277" s="78" t="str">
        <f t="shared" si="103"/>
        <v>Turbidez &lt; 2,5 uT</v>
      </c>
      <c r="BC277" s="79" t="str">
        <f t="shared" si="104"/>
        <v>SM &gt; TOR &gt; BNN</v>
      </c>
      <c r="BD277" s="78" t="str">
        <f t="shared" si="105"/>
        <v>Tipo 1 (≤0,25) uT</v>
      </c>
      <c r="BE277" s="78" t="str">
        <f t="shared" si="106"/>
        <v>Tipo 1 (≤0,25) uT</v>
      </c>
      <c r="BF277" s="78" t="str">
        <f t="shared" si="107"/>
        <v>Tipo 1 (≤0,25) uT</v>
      </c>
      <c r="BG277" s="78" t="str">
        <f t="shared" si="108"/>
        <v>Tipo 1 (≤0,25) uT</v>
      </c>
      <c r="BH277" s="78" t="str">
        <f t="shared" si="109"/>
        <v>Tipo 1 (≤0,25) uT</v>
      </c>
    </row>
    <row r="278" spans="1:60" x14ac:dyDescent="0.2">
      <c r="A278" s="31">
        <v>46289</v>
      </c>
      <c r="B278" s="80">
        <v>0.47916666666666669</v>
      </c>
      <c r="C278" s="57">
        <v>358</v>
      </c>
      <c r="D278" s="57">
        <v>1651</v>
      </c>
      <c r="E278" s="57">
        <v>200</v>
      </c>
      <c r="F278" s="57">
        <v>2298</v>
      </c>
      <c r="G278" s="85" t="s">
        <v>78</v>
      </c>
      <c r="H278" s="63">
        <v>9.1999999999999993</v>
      </c>
      <c r="I278" s="57">
        <v>-37</v>
      </c>
      <c r="J278" s="57">
        <v>90</v>
      </c>
      <c r="K278" s="57">
        <v>90</v>
      </c>
      <c r="L278" s="57">
        <v>90</v>
      </c>
      <c r="M278" s="57">
        <v>26.3</v>
      </c>
      <c r="N278" s="63">
        <v>6.4</v>
      </c>
      <c r="O278" s="36">
        <v>1.39</v>
      </c>
      <c r="P278" s="57">
        <v>11</v>
      </c>
      <c r="Q278" s="63">
        <v>7.3</v>
      </c>
      <c r="R278" s="36">
        <v>0.1</v>
      </c>
      <c r="S278" s="36">
        <v>22.36</v>
      </c>
      <c r="T278" s="36">
        <v>0.88</v>
      </c>
      <c r="U278" s="36">
        <v>0.7</v>
      </c>
      <c r="V278" s="42">
        <f t="shared" si="110"/>
        <v>1766.5874999999999</v>
      </c>
      <c r="W278" s="42">
        <f t="shared" si="111"/>
        <v>1598.1850248000001</v>
      </c>
      <c r="X278" s="42">
        <f t="shared" si="112"/>
        <v>0.90467357252329716</v>
      </c>
      <c r="Y278" s="57">
        <v>3</v>
      </c>
      <c r="Z278" s="57">
        <v>4</v>
      </c>
      <c r="AA278" s="63">
        <v>6.2</v>
      </c>
      <c r="AB278" s="57">
        <v>21</v>
      </c>
      <c r="AC278" s="63">
        <v>6.1</v>
      </c>
      <c r="AD278" s="63">
        <v>4.8</v>
      </c>
      <c r="AE278" s="36">
        <v>0.14000000000000001</v>
      </c>
      <c r="AF278" s="36">
        <v>0.14000000000000001</v>
      </c>
      <c r="AG278" s="42">
        <f t="shared" si="92"/>
        <v>1766.5874999999999</v>
      </c>
      <c r="AH278" s="42">
        <f t="shared" si="113"/>
        <v>1785.9247275999996</v>
      </c>
      <c r="AI278" s="42">
        <f t="shared" si="114"/>
        <v>1.0109460910370982</v>
      </c>
      <c r="AJ278" s="57">
        <v>3</v>
      </c>
      <c r="AK278" s="57">
        <v>4</v>
      </c>
      <c r="AL278" s="63">
        <v>6.3</v>
      </c>
      <c r="AM278" s="57">
        <v>23</v>
      </c>
      <c r="AN278" s="63">
        <v>6.1</v>
      </c>
      <c r="AO278" s="63">
        <v>5.0999999999999996</v>
      </c>
      <c r="AP278" s="36">
        <v>0.24</v>
      </c>
      <c r="AQ278" s="36">
        <v>0.21</v>
      </c>
      <c r="AR278" s="73">
        <f t="shared" si="93"/>
        <v>2209</v>
      </c>
      <c r="AS278" s="75">
        <f t="shared" si="94"/>
        <v>0.16206428248076052</v>
      </c>
      <c r="AT278" s="75">
        <f t="shared" si="95"/>
        <v>0.74739701222272525</v>
      </c>
      <c r="AU278" s="75">
        <f t="shared" si="96"/>
        <v>9.0538705296514255E-2</v>
      </c>
      <c r="AV278" s="26">
        <f t="shared" si="97"/>
        <v>7.3107049608355096E-2</v>
      </c>
      <c r="AW278" s="26">
        <f t="shared" si="98"/>
        <v>8.0069625761531774E-2</v>
      </c>
      <c r="AX278" s="24">
        <f t="shared" si="99"/>
        <v>0.84892086330935257</v>
      </c>
      <c r="AY278" s="24">
        <f t="shared" si="100"/>
        <v>0.89928057553956831</v>
      </c>
      <c r="AZ278" s="77" t="str">
        <f t="shared" si="101"/>
        <v>5,0 ≤ Alc. Bruta &lt; 7,5 mg/L</v>
      </c>
      <c r="BA278" s="77" t="str">
        <f t="shared" si="102"/>
        <v>10 ≤ Cor &lt;15 uC</v>
      </c>
      <c r="BB278" s="78" t="str">
        <f t="shared" si="103"/>
        <v>Turbidez &lt; 2,5 uT</v>
      </c>
      <c r="BC278" s="79" t="str">
        <f t="shared" si="104"/>
        <v>SM &gt; TOR &gt; BNN</v>
      </c>
      <c r="BD278" s="78" t="str">
        <f t="shared" si="105"/>
        <v>Tipo 1 (≤0,25) uT</v>
      </c>
      <c r="BE278" s="78" t="str">
        <f t="shared" si="106"/>
        <v>Tipo 1 (≤0,25) uT</v>
      </c>
      <c r="BF278" s="78" t="str">
        <f t="shared" si="107"/>
        <v>Tipo 1 (≤0,25) uT</v>
      </c>
      <c r="BG278" s="78" t="str">
        <f t="shared" si="108"/>
        <v>Tipo 1 (≤0,25) uT</v>
      </c>
      <c r="BH278" s="78" t="str">
        <f t="shared" si="109"/>
        <v>Tipo 1 (≤0,25) uT</v>
      </c>
    </row>
    <row r="279" spans="1:60" x14ac:dyDescent="0.2">
      <c r="A279" s="31">
        <v>46289</v>
      </c>
      <c r="B279" s="80">
        <v>0.64583333333333337</v>
      </c>
      <c r="C279" s="57">
        <v>288</v>
      </c>
      <c r="D279" s="57">
        <v>1876</v>
      </c>
      <c r="E279" s="57">
        <v>200</v>
      </c>
      <c r="F279" s="57">
        <v>2240</v>
      </c>
      <c r="G279" s="85" t="s">
        <v>78</v>
      </c>
      <c r="H279" s="63">
        <v>9.1999999999999993</v>
      </c>
      <c r="I279" s="57">
        <v>-42</v>
      </c>
      <c r="J279" s="57">
        <v>90</v>
      </c>
      <c r="K279" s="57">
        <v>90</v>
      </c>
      <c r="L279" s="57">
        <v>90</v>
      </c>
      <c r="M279" s="57">
        <v>27.2</v>
      </c>
      <c r="N279" s="63">
        <v>6.4</v>
      </c>
      <c r="O279" s="36">
        <v>1.29</v>
      </c>
      <c r="P279" s="57">
        <v>10</v>
      </c>
      <c r="Q279" s="63">
        <v>7.5</v>
      </c>
      <c r="R279" s="36">
        <v>0.10299999999999999</v>
      </c>
      <c r="S279" s="36">
        <v>22.36</v>
      </c>
      <c r="T279" s="36">
        <v>0.88</v>
      </c>
      <c r="U279" s="36">
        <v>0.7</v>
      </c>
      <c r="V279" s="42">
        <f t="shared" si="110"/>
        <v>1694</v>
      </c>
      <c r="W279" s="42">
        <f t="shared" si="111"/>
        <v>1491.1839279999999</v>
      </c>
      <c r="X279" s="42">
        <f t="shared" si="112"/>
        <v>0.88027386540731989</v>
      </c>
      <c r="Y279" s="57"/>
      <c r="Z279" s="57">
        <v>4</v>
      </c>
      <c r="AA279" s="63">
        <v>6.1</v>
      </c>
      <c r="AB279" s="57">
        <v>20</v>
      </c>
      <c r="AC279" s="63">
        <v>6.1</v>
      </c>
      <c r="AD279" s="63">
        <v>4.8</v>
      </c>
      <c r="AE279" s="36">
        <v>0.11</v>
      </c>
      <c r="AF279" s="36">
        <v>0.06</v>
      </c>
      <c r="AG279" s="42">
        <f t="shared" si="92"/>
        <v>1694</v>
      </c>
      <c r="AH279" s="42">
        <f t="shared" si="113"/>
        <v>1821.4563327999999</v>
      </c>
      <c r="AI279" s="42">
        <f t="shared" si="114"/>
        <v>1.075239865879575</v>
      </c>
      <c r="AJ279" s="57">
        <v>3</v>
      </c>
      <c r="AK279" s="57">
        <v>4</v>
      </c>
      <c r="AL279" s="63">
        <v>6.4</v>
      </c>
      <c r="AM279" s="57">
        <v>23</v>
      </c>
      <c r="AN279" s="63">
        <v>6.1</v>
      </c>
      <c r="AO279" s="63">
        <v>4.8</v>
      </c>
      <c r="AP279" s="36">
        <v>0.12</v>
      </c>
      <c r="AQ279" s="36">
        <v>0.26</v>
      </c>
      <c r="AR279" s="73">
        <f t="shared" si="93"/>
        <v>2364</v>
      </c>
      <c r="AS279" s="75">
        <f t="shared" si="94"/>
        <v>0.12182741116751269</v>
      </c>
      <c r="AT279" s="75">
        <f t="shared" si="95"/>
        <v>0.79357021996615906</v>
      </c>
      <c r="AU279" s="75">
        <f t="shared" si="96"/>
        <v>8.4602368866328256E-2</v>
      </c>
      <c r="AV279" s="26">
        <f t="shared" si="97"/>
        <v>7.1428571428571425E-2</v>
      </c>
      <c r="AW279" s="26">
        <f t="shared" si="98"/>
        <v>8.2142857142857142E-2</v>
      </c>
      <c r="AX279" s="24">
        <f t="shared" si="99"/>
        <v>0.79844961240310075</v>
      </c>
      <c r="AY279" s="24">
        <f t="shared" si="100"/>
        <v>0.95348837209302328</v>
      </c>
      <c r="AZ279" s="77" t="str">
        <f t="shared" si="101"/>
        <v>7,5 ≤ Alc. Bruta &lt; 10,0 mg/L</v>
      </c>
      <c r="BA279" s="77" t="str">
        <f t="shared" si="102"/>
        <v>10 ≤ Cor &lt;15 uC</v>
      </c>
      <c r="BB279" s="78" t="str">
        <f t="shared" si="103"/>
        <v>Turbidez &lt; 2,5 uT</v>
      </c>
      <c r="BC279" s="79" t="str">
        <f t="shared" si="104"/>
        <v>SM &gt; TOR &gt; BNN</v>
      </c>
      <c r="BD279" s="78" t="str">
        <f t="shared" si="105"/>
        <v>Tipo 1 (≤0,25) uT</v>
      </c>
      <c r="BE279" s="78" t="str">
        <f t="shared" si="106"/>
        <v>Tipo 1 (≤0,25) uT</v>
      </c>
      <c r="BF279" s="78" t="str">
        <f t="shared" si="107"/>
        <v>Tipo 1 (≤0,25) uT</v>
      </c>
      <c r="BG279" s="78" t="str">
        <f t="shared" si="108"/>
        <v>Tipo 2 (0,25-0,50) uT</v>
      </c>
      <c r="BH279" s="78" t="str">
        <f t="shared" si="109"/>
        <v>Tipo 1 (≤0,25) uT</v>
      </c>
    </row>
    <row r="280" spans="1:60" x14ac:dyDescent="0.2">
      <c r="A280" s="31">
        <v>46289</v>
      </c>
      <c r="B280" s="80">
        <v>0.72916666666666663</v>
      </c>
      <c r="C280" s="57">
        <v>292</v>
      </c>
      <c r="D280" s="57">
        <v>1816</v>
      </c>
      <c r="E280" s="57">
        <v>199</v>
      </c>
      <c r="F280" s="57">
        <v>2277</v>
      </c>
      <c r="G280" s="85" t="s">
        <v>78</v>
      </c>
      <c r="H280" s="63">
        <v>9.1999999999999993</v>
      </c>
      <c r="I280" s="57">
        <v>-31</v>
      </c>
      <c r="J280" s="57">
        <v>90</v>
      </c>
      <c r="K280" s="57">
        <v>90</v>
      </c>
      <c r="L280" s="57">
        <v>90</v>
      </c>
      <c r="M280" s="57">
        <v>26.8</v>
      </c>
      <c r="N280" s="63">
        <v>6.4</v>
      </c>
      <c r="O280" s="36">
        <v>1.35</v>
      </c>
      <c r="P280" s="57">
        <v>10</v>
      </c>
      <c r="Q280" s="63">
        <v>7.5</v>
      </c>
      <c r="R280" s="36">
        <v>0.1</v>
      </c>
      <c r="S280" s="36">
        <v>22.36</v>
      </c>
      <c r="T280" s="36">
        <v>0.88</v>
      </c>
      <c r="U280" s="36">
        <v>0.7</v>
      </c>
      <c r="V280" s="42">
        <f t="shared" si="110"/>
        <v>1739.0587499999999</v>
      </c>
      <c r="W280" s="42">
        <f t="shared" si="111"/>
        <v>1491.1839279999999</v>
      </c>
      <c r="X280" s="42">
        <f t="shared" si="112"/>
        <v>0.85746610228090336</v>
      </c>
      <c r="Y280" s="57">
        <v>3</v>
      </c>
      <c r="Z280" s="57">
        <v>4</v>
      </c>
      <c r="AA280" s="63">
        <v>6.1</v>
      </c>
      <c r="AB280" s="57">
        <v>20</v>
      </c>
      <c r="AC280" s="63">
        <v>6.1</v>
      </c>
      <c r="AD280" s="63">
        <v>4.7</v>
      </c>
      <c r="AE280" s="36">
        <v>0.12</v>
      </c>
      <c r="AF280" s="36">
        <v>0.17</v>
      </c>
      <c r="AG280" s="42">
        <f t="shared" si="92"/>
        <v>1739.0587499999999</v>
      </c>
      <c r="AH280" s="42">
        <f t="shared" si="113"/>
        <v>1785.9247275999996</v>
      </c>
      <c r="AI280" s="42">
        <f t="shared" si="114"/>
        <v>1.026949047926069</v>
      </c>
      <c r="AJ280" s="57">
        <v>3</v>
      </c>
      <c r="AK280" s="57">
        <v>4</v>
      </c>
      <c r="AL280" s="63">
        <v>6.3</v>
      </c>
      <c r="AM280" s="57">
        <v>23</v>
      </c>
      <c r="AN280" s="63">
        <v>6.1</v>
      </c>
      <c r="AO280" s="63">
        <v>4.9000000000000004</v>
      </c>
      <c r="AP280" s="36">
        <v>0.11</v>
      </c>
      <c r="AQ280" s="36">
        <v>0.21</v>
      </c>
      <c r="AR280" s="73">
        <f t="shared" si="93"/>
        <v>2307</v>
      </c>
      <c r="AS280" s="75">
        <f t="shared" si="94"/>
        <v>0.12657130472475075</v>
      </c>
      <c r="AT280" s="75">
        <f t="shared" si="95"/>
        <v>0.7871694841785869</v>
      </c>
      <c r="AU280" s="75">
        <f t="shared" si="96"/>
        <v>8.6259211096662333E-2</v>
      </c>
      <c r="AV280" s="26">
        <f t="shared" si="97"/>
        <v>7.026789635485288E-2</v>
      </c>
      <c r="AW280" s="26">
        <f t="shared" si="98"/>
        <v>8.0808080808080815E-2</v>
      </c>
      <c r="AX280" s="24">
        <f t="shared" si="99"/>
        <v>0.84444444444444444</v>
      </c>
      <c r="AY280" s="24">
        <f t="shared" si="100"/>
        <v>0.87407407407407411</v>
      </c>
      <c r="AZ280" s="77" t="str">
        <f t="shared" si="101"/>
        <v>7,5 ≤ Alc. Bruta &lt; 10,0 mg/L</v>
      </c>
      <c r="BA280" s="77" t="str">
        <f t="shared" si="102"/>
        <v>10 ≤ Cor &lt;15 uC</v>
      </c>
      <c r="BB280" s="78" t="str">
        <f t="shared" si="103"/>
        <v>Turbidez &lt; 2,5 uT</v>
      </c>
      <c r="BC280" s="79" t="str">
        <f t="shared" si="104"/>
        <v>SM &gt; TOR &gt; BNN</v>
      </c>
      <c r="BD280" s="78" t="str">
        <f t="shared" si="105"/>
        <v>Tipo 1 (≤0,25) uT</v>
      </c>
      <c r="BE280" s="78" t="str">
        <f t="shared" si="106"/>
        <v>Tipo 1 (≤0,25) uT</v>
      </c>
      <c r="BF280" s="78" t="str">
        <f t="shared" si="107"/>
        <v>Tipo 1 (≤0,25) uT</v>
      </c>
      <c r="BG280" s="78" t="str">
        <f t="shared" si="108"/>
        <v>Tipo 1 (≤0,25) uT</v>
      </c>
      <c r="BH280" s="78" t="str">
        <f t="shared" si="109"/>
        <v>Tipo 1 (≤0,25) uT</v>
      </c>
    </row>
    <row r="281" spans="1:60" x14ac:dyDescent="0.2">
      <c r="A281" s="31">
        <v>46289</v>
      </c>
      <c r="B281" s="80">
        <v>0.8125</v>
      </c>
      <c r="C281" s="57">
        <v>293</v>
      </c>
      <c r="D281" s="57">
        <v>1735</v>
      </c>
      <c r="E281" s="57">
        <v>199</v>
      </c>
      <c r="F281" s="57">
        <v>2276</v>
      </c>
      <c r="G281" s="85" t="s">
        <v>78</v>
      </c>
      <c r="H281" s="63">
        <v>9.1999999999999993</v>
      </c>
      <c r="I281" s="57">
        <v>-22</v>
      </c>
      <c r="J281" s="57">
        <v>90</v>
      </c>
      <c r="K281" s="57">
        <v>90</v>
      </c>
      <c r="L281" s="57">
        <v>90</v>
      </c>
      <c r="M281" s="57">
        <v>26</v>
      </c>
      <c r="N281" s="63">
        <v>6.3</v>
      </c>
      <c r="O281" s="36">
        <v>1.37</v>
      </c>
      <c r="P281" s="57">
        <v>11</v>
      </c>
      <c r="Q281" s="63">
        <v>5.8</v>
      </c>
      <c r="R281" s="36">
        <v>0.11</v>
      </c>
      <c r="S281" s="36">
        <v>22.36</v>
      </c>
      <c r="T281" s="36">
        <v>0.88</v>
      </c>
      <c r="U281" s="36">
        <v>0.7</v>
      </c>
      <c r="V281" s="42">
        <f t="shared" si="110"/>
        <v>1743.9849999999999</v>
      </c>
      <c r="W281" s="42">
        <f t="shared" si="111"/>
        <v>1565.7431243999997</v>
      </c>
      <c r="X281" s="42">
        <f t="shared" si="112"/>
        <v>0.89779621063254544</v>
      </c>
      <c r="Y281" s="57">
        <v>3</v>
      </c>
      <c r="Z281" s="57">
        <v>4</v>
      </c>
      <c r="AA281" s="63">
        <v>6.1</v>
      </c>
      <c r="AB281" s="57">
        <v>21</v>
      </c>
      <c r="AC281" s="63">
        <v>6</v>
      </c>
      <c r="AD281" s="63">
        <v>4.7</v>
      </c>
      <c r="AE281" s="36">
        <v>0.21</v>
      </c>
      <c r="AF281" s="36">
        <v>0.18</v>
      </c>
      <c r="AG281" s="42">
        <f t="shared" si="92"/>
        <v>1743.9849999999999</v>
      </c>
      <c r="AH281" s="42">
        <f t="shared" si="113"/>
        <v>1821.4563327999999</v>
      </c>
      <c r="AI281" s="42">
        <f t="shared" si="114"/>
        <v>1.0444220178499242</v>
      </c>
      <c r="AJ281" s="57">
        <v>3</v>
      </c>
      <c r="AK281" s="57">
        <v>4</v>
      </c>
      <c r="AL281" s="63">
        <v>6.4</v>
      </c>
      <c r="AM281" s="57">
        <v>23</v>
      </c>
      <c r="AN281" s="63">
        <v>6.1</v>
      </c>
      <c r="AO281" s="63">
        <v>5</v>
      </c>
      <c r="AP281" s="36">
        <v>0.16</v>
      </c>
      <c r="AQ281" s="36">
        <v>0.21</v>
      </c>
      <c r="AR281" s="73">
        <f t="shared" si="93"/>
        <v>2227</v>
      </c>
      <c r="AS281" s="75">
        <f t="shared" si="94"/>
        <v>0.1315671306690615</v>
      </c>
      <c r="AT281" s="75">
        <f t="shared" si="95"/>
        <v>0.77907498877413561</v>
      </c>
      <c r="AU281" s="75">
        <f t="shared" si="96"/>
        <v>8.9357880556802868E-2</v>
      </c>
      <c r="AV281" s="26">
        <f t="shared" si="97"/>
        <v>7.3813708260105443E-2</v>
      </c>
      <c r="AW281" s="26">
        <f t="shared" si="98"/>
        <v>8.0843585237258347E-2</v>
      </c>
      <c r="AX281" s="24">
        <f t="shared" si="99"/>
        <v>0.84671532846715336</v>
      </c>
      <c r="AY281" s="24">
        <f t="shared" si="100"/>
        <v>0.86861313868613144</v>
      </c>
      <c r="AZ281" s="77" t="str">
        <f t="shared" si="101"/>
        <v>5,0 ≤ Alc. Bruta &lt; 7,5 mg/L</v>
      </c>
      <c r="BA281" s="77" t="str">
        <f t="shared" si="102"/>
        <v>10 ≤ Cor &lt;15 uC</v>
      </c>
      <c r="BB281" s="78" t="str">
        <f t="shared" si="103"/>
        <v>Turbidez &lt; 2,5 uT</v>
      </c>
      <c r="BC281" s="79" t="str">
        <f t="shared" si="104"/>
        <v>SM &gt; TOR &gt; BNN</v>
      </c>
      <c r="BD281" s="78" t="str">
        <f t="shared" si="105"/>
        <v>Tipo 1 (≤0,25) uT</v>
      </c>
      <c r="BE281" s="78" t="str">
        <f t="shared" si="106"/>
        <v>Tipo 1 (≤0,25) uT</v>
      </c>
      <c r="BF281" s="78" t="str">
        <f t="shared" si="107"/>
        <v>Tipo 1 (≤0,25) uT</v>
      </c>
      <c r="BG281" s="78" t="str">
        <f t="shared" si="108"/>
        <v>Tipo 1 (≤0,25) uT</v>
      </c>
      <c r="BH281" s="78" t="str">
        <f t="shared" si="109"/>
        <v>Tipo 1 (≤0,25) uT</v>
      </c>
    </row>
    <row r="282" spans="1:60" x14ac:dyDescent="0.2">
      <c r="A282" s="31">
        <v>46289</v>
      </c>
      <c r="B282" s="80">
        <v>0.89583333333333337</v>
      </c>
      <c r="C282" s="57">
        <v>287</v>
      </c>
      <c r="D282" s="57">
        <v>1724</v>
      </c>
      <c r="E282" s="57">
        <v>200</v>
      </c>
      <c r="F282" s="57">
        <v>2282</v>
      </c>
      <c r="G282" s="85" t="s">
        <v>78</v>
      </c>
      <c r="H282" s="63">
        <v>9.1999999999999993</v>
      </c>
      <c r="I282" s="57">
        <v>-27</v>
      </c>
      <c r="J282" s="57">
        <v>90</v>
      </c>
      <c r="K282" s="57">
        <v>90</v>
      </c>
      <c r="L282" s="57">
        <v>90</v>
      </c>
      <c r="M282" s="57">
        <v>25.7</v>
      </c>
      <c r="N282" s="63">
        <v>6.6</v>
      </c>
      <c r="O282" s="36">
        <v>1.39</v>
      </c>
      <c r="P282" s="57">
        <v>11</v>
      </c>
      <c r="Q282" s="63">
        <v>5.9</v>
      </c>
      <c r="R282" s="36">
        <v>0.12</v>
      </c>
      <c r="S282" s="36">
        <v>22.36</v>
      </c>
      <c r="T282" s="36">
        <v>0.88</v>
      </c>
      <c r="U282" s="36">
        <v>0.7</v>
      </c>
      <c r="V282" s="42">
        <f t="shared" si="110"/>
        <v>1754.2874999999999</v>
      </c>
      <c r="W282" s="42">
        <f t="shared" si="111"/>
        <v>1460.2868799999999</v>
      </c>
      <c r="X282" s="42">
        <f t="shared" si="112"/>
        <v>0.83241024062475499</v>
      </c>
      <c r="Y282" s="57">
        <v>3</v>
      </c>
      <c r="Z282" s="57">
        <v>4</v>
      </c>
      <c r="AA282" s="63">
        <v>6</v>
      </c>
      <c r="AB282" s="57">
        <v>20</v>
      </c>
      <c r="AC282" s="63">
        <v>6.1</v>
      </c>
      <c r="AD282" s="63">
        <v>4.2</v>
      </c>
      <c r="AE282" s="36">
        <v>0.17</v>
      </c>
      <c r="AF282" s="36">
        <v>0.19</v>
      </c>
      <c r="AG282" s="42">
        <f t="shared" si="92"/>
        <v>1754.2874999999999</v>
      </c>
      <c r="AH282" s="42">
        <f t="shared" si="113"/>
        <v>1821.4563327999999</v>
      </c>
      <c r="AI282" s="42">
        <f t="shared" si="114"/>
        <v>1.0382883836315313</v>
      </c>
      <c r="AJ282" s="57">
        <v>3</v>
      </c>
      <c r="AK282" s="57">
        <v>4</v>
      </c>
      <c r="AL282" s="63">
        <v>6.4</v>
      </c>
      <c r="AM282" s="57">
        <v>23</v>
      </c>
      <c r="AN282" s="63">
        <v>6</v>
      </c>
      <c r="AO282" s="63">
        <v>5.5</v>
      </c>
      <c r="AP282" s="36">
        <v>0.11</v>
      </c>
      <c r="AQ282" s="36">
        <v>0.19</v>
      </c>
      <c r="AR282" s="73">
        <f t="shared" si="93"/>
        <v>2211</v>
      </c>
      <c r="AS282" s="75">
        <f t="shared" si="94"/>
        <v>0.12980551786521935</v>
      </c>
      <c r="AT282" s="75">
        <f t="shared" si="95"/>
        <v>0.77973767526006332</v>
      </c>
      <c r="AU282" s="75">
        <f t="shared" si="96"/>
        <v>9.0456806874717327E-2</v>
      </c>
      <c r="AV282" s="26">
        <f t="shared" si="97"/>
        <v>7.0113935144609993E-2</v>
      </c>
      <c r="AW282" s="26">
        <f t="shared" si="98"/>
        <v>8.0631025416301488E-2</v>
      </c>
      <c r="AX282" s="24">
        <f t="shared" si="99"/>
        <v>0.86330935251798557</v>
      </c>
      <c r="AY282" s="24">
        <f t="shared" si="100"/>
        <v>0.86330935251798557</v>
      </c>
      <c r="AZ282" s="77" t="str">
        <f t="shared" si="101"/>
        <v>5,0 ≤ Alc. Bruta &lt; 7,5 mg/L</v>
      </c>
      <c r="BA282" s="77" t="str">
        <f t="shared" si="102"/>
        <v>10 ≤ Cor &lt;15 uC</v>
      </c>
      <c r="BB282" s="78" t="str">
        <f t="shared" si="103"/>
        <v>Turbidez &lt; 2,5 uT</v>
      </c>
      <c r="BC282" s="79" t="str">
        <f t="shared" si="104"/>
        <v>SM &gt; TOR &gt; BNN</v>
      </c>
      <c r="BD282" s="78" t="str">
        <f t="shared" si="105"/>
        <v>Tipo 1 (≤0,25) uT</v>
      </c>
      <c r="BE282" s="78" t="str">
        <f t="shared" si="106"/>
        <v>Tipo 1 (≤0,25) uT</v>
      </c>
      <c r="BF282" s="78" t="str">
        <f t="shared" si="107"/>
        <v>Tipo 1 (≤0,25) uT</v>
      </c>
      <c r="BG282" s="78" t="str">
        <f t="shared" si="108"/>
        <v>Tipo 1 (≤0,25) uT</v>
      </c>
      <c r="BH282" s="78" t="str">
        <f t="shared" si="109"/>
        <v>Tipo 1 (≤0,25) uT</v>
      </c>
    </row>
    <row r="283" spans="1:60" x14ac:dyDescent="0.2">
      <c r="A283" s="31">
        <v>46290</v>
      </c>
      <c r="B283" s="80">
        <v>6.25E-2</v>
      </c>
      <c r="C283" s="57">
        <v>360</v>
      </c>
      <c r="D283" s="57">
        <v>1497</v>
      </c>
      <c r="E283" s="57">
        <v>275</v>
      </c>
      <c r="F283" s="57">
        <v>2178</v>
      </c>
      <c r="G283" s="85" t="s">
        <v>78</v>
      </c>
      <c r="H283" s="63">
        <v>9.1999999999999993</v>
      </c>
      <c r="I283" s="57">
        <v>-50</v>
      </c>
      <c r="J283" s="57">
        <v>90</v>
      </c>
      <c r="K283" s="57">
        <v>90</v>
      </c>
      <c r="L283" s="57">
        <v>90</v>
      </c>
      <c r="M283" s="57">
        <v>25</v>
      </c>
      <c r="N283" s="63">
        <v>6.5</v>
      </c>
      <c r="O283" s="36">
        <v>4.29</v>
      </c>
      <c r="P283" s="57">
        <v>13</v>
      </c>
      <c r="Q283" s="63">
        <v>6.9</v>
      </c>
      <c r="R283" s="36">
        <v>0.11</v>
      </c>
      <c r="S283" s="36">
        <v>22.36</v>
      </c>
      <c r="T283" s="36">
        <v>0.88</v>
      </c>
      <c r="U283" s="36">
        <v>0.7</v>
      </c>
      <c r="V283" s="42">
        <f t="shared" si="110"/>
        <v>2463.8625000000002</v>
      </c>
      <c r="W283" s="42">
        <f t="shared" si="111"/>
        <v>1533.3012239999998</v>
      </c>
      <c r="X283" s="42">
        <f t="shared" si="112"/>
        <v>0.62231606836826314</v>
      </c>
      <c r="Y283" s="57">
        <v>3</v>
      </c>
      <c r="Z283" s="57">
        <v>4</v>
      </c>
      <c r="AA283" s="63">
        <v>6</v>
      </c>
      <c r="AB283" s="57">
        <v>21</v>
      </c>
      <c r="AC283" s="63">
        <v>6.4</v>
      </c>
      <c r="AD283" s="63">
        <v>6.1</v>
      </c>
      <c r="AE283" s="36"/>
      <c r="AF283" s="36">
        <v>0.22</v>
      </c>
      <c r="AG283" s="42">
        <f t="shared" si="92"/>
        <v>2463.8625000000002</v>
      </c>
      <c r="AH283" s="42">
        <f t="shared" si="113"/>
        <v>1821.4563327999999</v>
      </c>
      <c r="AI283" s="42">
        <f t="shared" si="114"/>
        <v>0.73926866162377158</v>
      </c>
      <c r="AJ283" s="57">
        <v>3</v>
      </c>
      <c r="AK283" s="57">
        <v>4</v>
      </c>
      <c r="AL283" s="63">
        <v>6.4</v>
      </c>
      <c r="AM283" s="57">
        <v>23</v>
      </c>
      <c r="AN283" s="63">
        <v>6.3</v>
      </c>
      <c r="AO283" s="63">
        <v>5.8</v>
      </c>
      <c r="AP283" s="36"/>
      <c r="AQ283" s="36">
        <v>0.25</v>
      </c>
      <c r="AR283" s="73">
        <f t="shared" si="93"/>
        <v>2132</v>
      </c>
      <c r="AS283" s="75">
        <f t="shared" si="94"/>
        <v>0.16885553470919323</v>
      </c>
      <c r="AT283" s="75">
        <f t="shared" si="95"/>
        <v>0.7021575984990619</v>
      </c>
      <c r="AU283" s="75">
        <f t="shared" si="96"/>
        <v>0.12898686679174484</v>
      </c>
      <c r="AV283" s="26">
        <f t="shared" si="97"/>
        <v>7.7134986225895319E-2</v>
      </c>
      <c r="AW283" s="26">
        <f t="shared" si="98"/>
        <v>8.4481175390266297E-2</v>
      </c>
      <c r="AX283" s="24">
        <f t="shared" si="99"/>
        <v>0.9417249417249417</v>
      </c>
      <c r="AY283" s="24">
        <f t="shared" si="100"/>
        <v>0.94871794871794868</v>
      </c>
      <c r="AZ283" s="77" t="str">
        <f t="shared" si="101"/>
        <v>5,0 ≤ Alc. Bruta &lt; 7,5 mg/L</v>
      </c>
      <c r="BA283" s="77" t="str">
        <f t="shared" si="102"/>
        <v>10 ≤ Cor &lt;15 uC</v>
      </c>
      <c r="BB283" s="78" t="str">
        <f t="shared" si="103"/>
        <v>2,5 ≤ Turb &lt; 5,0 uT</v>
      </c>
      <c r="BC283" s="79" t="str">
        <f t="shared" si="104"/>
        <v>SM &gt; TOR &gt; BNN</v>
      </c>
      <c r="BD283" s="78" t="str">
        <f t="shared" si="105"/>
        <v/>
      </c>
      <c r="BE283" s="78" t="str">
        <f t="shared" si="106"/>
        <v/>
      </c>
      <c r="BF283" s="78" t="str">
        <f t="shared" si="107"/>
        <v>Tipo 1 (≤0,25) uT</v>
      </c>
      <c r="BG283" s="78" t="str">
        <f t="shared" si="108"/>
        <v>Tipo 1 (≤0,25) uT</v>
      </c>
      <c r="BH283" s="78" t="str">
        <f t="shared" si="109"/>
        <v>Tipo 1 (≤0,25) uT</v>
      </c>
    </row>
    <row r="284" spans="1:60" x14ac:dyDescent="0.2">
      <c r="A284" s="31">
        <v>46290</v>
      </c>
      <c r="B284" s="80">
        <v>0.14583333333333334</v>
      </c>
      <c r="C284" s="57">
        <v>364</v>
      </c>
      <c r="D284" s="57">
        <v>1542</v>
      </c>
      <c r="E284" s="57">
        <v>276</v>
      </c>
      <c r="F284" s="57">
        <v>2187</v>
      </c>
      <c r="G284" s="85" t="s">
        <v>78</v>
      </c>
      <c r="H284" s="63">
        <v>9.5</v>
      </c>
      <c r="I284" s="57">
        <v>-51</v>
      </c>
      <c r="J284" s="57">
        <v>90</v>
      </c>
      <c r="K284" s="57">
        <v>90</v>
      </c>
      <c r="L284" s="57">
        <v>90</v>
      </c>
      <c r="M284" s="57">
        <v>25</v>
      </c>
      <c r="N284" s="63">
        <v>6.6</v>
      </c>
      <c r="O284" s="36">
        <v>1.36</v>
      </c>
      <c r="P284" s="57">
        <v>11</v>
      </c>
      <c r="Q284" s="63">
        <v>6.1</v>
      </c>
      <c r="R284" s="36">
        <v>0.08</v>
      </c>
      <c r="S284" s="36">
        <v>22.36</v>
      </c>
      <c r="T284" s="36">
        <v>0.88</v>
      </c>
      <c r="U284" s="36">
        <v>0.7</v>
      </c>
      <c r="V284" s="42">
        <f t="shared" si="110"/>
        <v>1697.6587500000001</v>
      </c>
      <c r="W284" s="42">
        <f t="shared" si="111"/>
        <v>1533.3012239999998</v>
      </c>
      <c r="X284" s="42">
        <f t="shared" si="112"/>
        <v>0.90318576922482197</v>
      </c>
      <c r="Y284" s="57">
        <v>3</v>
      </c>
      <c r="Z284" s="57">
        <v>4</v>
      </c>
      <c r="AA284" s="63">
        <v>6</v>
      </c>
      <c r="AB284" s="57">
        <v>21</v>
      </c>
      <c r="AC284" s="63">
        <v>6.1</v>
      </c>
      <c r="AD284" s="63">
        <v>5.5</v>
      </c>
      <c r="AE284" s="36"/>
      <c r="AF284" s="36">
        <v>0.16</v>
      </c>
      <c r="AG284" s="42">
        <f t="shared" si="92"/>
        <v>1697.6587500000001</v>
      </c>
      <c r="AH284" s="42">
        <f t="shared" si="113"/>
        <v>1742.2625791999999</v>
      </c>
      <c r="AI284" s="42">
        <f t="shared" si="114"/>
        <v>1.0262737309250165</v>
      </c>
      <c r="AJ284" s="57">
        <v>3</v>
      </c>
      <c r="AK284" s="57">
        <v>4</v>
      </c>
      <c r="AL284" s="63">
        <v>6.4</v>
      </c>
      <c r="AM284" s="57">
        <v>22</v>
      </c>
      <c r="AN284" s="63">
        <v>6.1</v>
      </c>
      <c r="AO284" s="63">
        <v>5.3</v>
      </c>
      <c r="AP284" s="36"/>
      <c r="AQ284" s="36">
        <v>0.19</v>
      </c>
      <c r="AR284" s="73">
        <f t="shared" si="93"/>
        <v>2182</v>
      </c>
      <c r="AS284" s="75">
        <f t="shared" si="94"/>
        <v>0.16681943171402383</v>
      </c>
      <c r="AT284" s="75">
        <f t="shared" si="95"/>
        <v>0.70669110907424382</v>
      </c>
      <c r="AU284" s="75">
        <f t="shared" si="96"/>
        <v>0.12648945921173235</v>
      </c>
      <c r="AV284" s="26">
        <f t="shared" si="97"/>
        <v>7.6817558299039787E-2</v>
      </c>
      <c r="AW284" s="26">
        <f t="shared" si="98"/>
        <v>8.0475537265660729E-2</v>
      </c>
      <c r="AX284" s="24">
        <f t="shared" si="99"/>
        <v>0.86029411764705888</v>
      </c>
      <c r="AY284" s="24">
        <f t="shared" si="100"/>
        <v>0.88235294117647056</v>
      </c>
      <c r="AZ284" s="77" t="str">
        <f t="shared" si="101"/>
        <v>5,0 ≤ Alc. Bruta &lt; 7,5 mg/L</v>
      </c>
      <c r="BA284" s="77" t="str">
        <f t="shared" si="102"/>
        <v>10 ≤ Cor &lt;15 uC</v>
      </c>
      <c r="BB284" s="78" t="str">
        <f t="shared" si="103"/>
        <v>Turbidez &lt; 2,5 uT</v>
      </c>
      <c r="BC284" s="79" t="str">
        <f t="shared" si="104"/>
        <v>SM &gt; TOR &gt; BNN</v>
      </c>
      <c r="BD284" s="78" t="str">
        <f t="shared" si="105"/>
        <v/>
      </c>
      <c r="BE284" s="78" t="str">
        <f t="shared" si="106"/>
        <v/>
      </c>
      <c r="BF284" s="78" t="str">
        <f t="shared" si="107"/>
        <v>Tipo 1 (≤0,25) uT</v>
      </c>
      <c r="BG284" s="78" t="str">
        <f t="shared" si="108"/>
        <v>Tipo 1 (≤0,25) uT</v>
      </c>
      <c r="BH284" s="78" t="str">
        <f t="shared" si="109"/>
        <v>Tipo 1 (≤0,25) uT</v>
      </c>
    </row>
    <row r="285" spans="1:60" ht="15.75" thickBot="1" x14ac:dyDescent="0.25">
      <c r="A285" s="32">
        <v>46290</v>
      </c>
      <c r="B285" s="81">
        <v>0.22916666666666666</v>
      </c>
      <c r="C285" s="58">
        <v>358</v>
      </c>
      <c r="D285" s="58">
        <v>1575</v>
      </c>
      <c r="E285" s="58">
        <v>277</v>
      </c>
      <c r="F285" s="58">
        <v>2188</v>
      </c>
      <c r="G285" s="86" t="s">
        <v>78</v>
      </c>
      <c r="H285" s="64">
        <v>9.5</v>
      </c>
      <c r="I285" s="58">
        <v>-52</v>
      </c>
      <c r="J285" s="58">
        <v>90</v>
      </c>
      <c r="K285" s="58">
        <v>90</v>
      </c>
      <c r="L285" s="58">
        <v>90</v>
      </c>
      <c r="M285" s="58">
        <v>24.9</v>
      </c>
      <c r="N285" s="64">
        <v>6.4</v>
      </c>
      <c r="O285" s="37">
        <v>1.3</v>
      </c>
      <c r="P285" s="58">
        <v>10</v>
      </c>
      <c r="Q285" s="64">
        <v>6.4</v>
      </c>
      <c r="R285" s="37">
        <v>0.08</v>
      </c>
      <c r="S285" s="36">
        <v>22.36</v>
      </c>
      <c r="T285" s="36">
        <v>0.88</v>
      </c>
      <c r="U285" s="36">
        <v>0.7</v>
      </c>
      <c r="V285" s="42">
        <f t="shared" si="110"/>
        <v>1682.0250000000001</v>
      </c>
      <c r="W285" s="42">
        <f t="shared" si="111"/>
        <v>1533.3012239999998</v>
      </c>
      <c r="X285" s="42">
        <f t="shared" si="112"/>
        <v>0.9115805199090381</v>
      </c>
      <c r="Y285" s="58">
        <v>3</v>
      </c>
      <c r="Z285" s="58">
        <v>4</v>
      </c>
      <c r="AA285" s="64">
        <v>6</v>
      </c>
      <c r="AB285" s="58">
        <v>21</v>
      </c>
      <c r="AC285" s="64">
        <v>6.2</v>
      </c>
      <c r="AD285" s="64">
        <v>4.5999999999999996</v>
      </c>
      <c r="AE285" s="37"/>
      <c r="AF285" s="37">
        <v>0.15</v>
      </c>
      <c r="AG285" s="42">
        <f t="shared" si="92"/>
        <v>1682.0250000000001</v>
      </c>
      <c r="AH285" s="42">
        <f t="shared" si="113"/>
        <v>1742.2625791999999</v>
      </c>
      <c r="AI285" s="42">
        <f t="shared" si="114"/>
        <v>1.0358125350098839</v>
      </c>
      <c r="AJ285" s="58">
        <v>3</v>
      </c>
      <c r="AK285" s="58">
        <v>4</v>
      </c>
      <c r="AL285" s="64">
        <v>6.4</v>
      </c>
      <c r="AM285" s="58">
        <v>22</v>
      </c>
      <c r="AN285" s="64">
        <v>6</v>
      </c>
      <c r="AO285" s="64">
        <v>5.9</v>
      </c>
      <c r="AP285" s="37"/>
      <c r="AQ285" s="37">
        <v>0.2</v>
      </c>
      <c r="AR285" s="73">
        <f t="shared" si="93"/>
        <v>2210</v>
      </c>
      <c r="AS285" s="75">
        <f t="shared" si="94"/>
        <v>0.16199095022624435</v>
      </c>
      <c r="AT285" s="75">
        <f t="shared" si="95"/>
        <v>0.71266968325791857</v>
      </c>
      <c r="AU285" s="75">
        <f t="shared" si="96"/>
        <v>0.1253393665158371</v>
      </c>
      <c r="AV285" s="26">
        <f t="shared" si="97"/>
        <v>7.6782449725776969E-2</v>
      </c>
      <c r="AW285" s="26">
        <f t="shared" si="98"/>
        <v>8.0438756855575874E-2</v>
      </c>
      <c r="AX285" s="24">
        <f t="shared" si="99"/>
        <v>0.84615384615384615</v>
      </c>
      <c r="AY285" s="24">
        <f t="shared" si="100"/>
        <v>0.88461538461538458</v>
      </c>
      <c r="AZ285" s="77" t="str">
        <f t="shared" si="101"/>
        <v>5,0 ≤ Alc. Bruta &lt; 7,5 mg/L</v>
      </c>
      <c r="BA285" s="77" t="str">
        <f t="shared" si="102"/>
        <v>10 ≤ Cor &lt;15 uC</v>
      </c>
      <c r="BB285" s="78" t="str">
        <f t="shared" si="103"/>
        <v>Turbidez &lt; 2,5 uT</v>
      </c>
      <c r="BC285" s="79" t="str">
        <f t="shared" si="104"/>
        <v>SM &gt; TOR &gt; BNN</v>
      </c>
      <c r="BD285" s="78" t="str">
        <f t="shared" si="105"/>
        <v/>
      </c>
      <c r="BE285" s="78" t="str">
        <f t="shared" si="106"/>
        <v/>
      </c>
      <c r="BF285" s="78" t="str">
        <f t="shared" si="107"/>
        <v>Tipo 1 (≤0,25) uT</v>
      </c>
      <c r="BG285" s="78" t="str">
        <f t="shared" si="108"/>
        <v>Tipo 1 (≤0,25) uT</v>
      </c>
      <c r="BH285" s="78" t="str">
        <f t="shared" si="109"/>
        <v>Tipo 1 (≤0,25) uT</v>
      </c>
    </row>
    <row r="286" spans="1:60" x14ac:dyDescent="0.2">
      <c r="A286" s="30">
        <v>46290</v>
      </c>
      <c r="B286" s="82">
        <v>0.3125</v>
      </c>
      <c r="C286" s="59">
        <v>352</v>
      </c>
      <c r="D286" s="59">
        <v>1570</v>
      </c>
      <c r="E286" s="59">
        <v>275</v>
      </c>
      <c r="F286" s="59">
        <v>2171</v>
      </c>
      <c r="G286" s="87" t="s">
        <v>78</v>
      </c>
      <c r="H286" s="65">
        <v>9.5</v>
      </c>
      <c r="I286" s="59">
        <v>-47</v>
      </c>
      <c r="J286" s="59">
        <v>90</v>
      </c>
      <c r="K286" s="59">
        <v>90</v>
      </c>
      <c r="L286" s="59">
        <v>90</v>
      </c>
      <c r="M286" s="59">
        <v>24.3</v>
      </c>
      <c r="N286" s="65">
        <v>6.6</v>
      </c>
      <c r="O286" s="38">
        <v>1.53</v>
      </c>
      <c r="P286" s="59">
        <v>14</v>
      </c>
      <c r="Q286" s="65">
        <v>7.1</v>
      </c>
      <c r="R286" s="36">
        <v>0.12</v>
      </c>
      <c r="S286" s="36">
        <v>22.36</v>
      </c>
      <c r="T286" s="36">
        <v>0.88</v>
      </c>
      <c r="U286" s="36">
        <v>0.7</v>
      </c>
      <c r="V286" s="42">
        <f t="shared" si="110"/>
        <v>1731.3724999999999</v>
      </c>
      <c r="W286" s="42">
        <f t="shared" si="111"/>
        <v>1525.6609443711998</v>
      </c>
      <c r="X286" s="42">
        <f t="shared" si="112"/>
        <v>0.88118584785838971</v>
      </c>
      <c r="Y286" s="59">
        <v>3</v>
      </c>
      <c r="Z286" s="59">
        <v>4</v>
      </c>
      <c r="AA286" s="65">
        <v>6.04</v>
      </c>
      <c r="AB286" s="59">
        <v>20.72</v>
      </c>
      <c r="AC286" s="65">
        <v>6.2</v>
      </c>
      <c r="AD286" s="65">
        <v>6.6</v>
      </c>
      <c r="AE286" s="38"/>
      <c r="AF286" s="38">
        <v>0.17</v>
      </c>
      <c r="AG286" s="42">
        <f t="shared" si="92"/>
        <v>1731.3724999999999</v>
      </c>
      <c r="AH286" s="42">
        <f t="shared" si="113"/>
        <v>1790.6845768239996</v>
      </c>
      <c r="AI286" s="42">
        <f t="shared" si="114"/>
        <v>1.0342572593846786</v>
      </c>
      <c r="AJ286" s="59">
        <v>3</v>
      </c>
      <c r="AK286" s="59">
        <v>4</v>
      </c>
      <c r="AL286" s="65">
        <v>6.38</v>
      </c>
      <c r="AM286" s="59">
        <v>22.7</v>
      </c>
      <c r="AN286" s="65">
        <v>6.3</v>
      </c>
      <c r="AO286" s="65">
        <v>5</v>
      </c>
      <c r="AP286" s="38"/>
      <c r="AQ286" s="38">
        <v>0.21</v>
      </c>
      <c r="AR286" s="73">
        <f t="shared" si="93"/>
        <v>2197</v>
      </c>
      <c r="AS286" s="75">
        <f t="shared" si="94"/>
        <v>0.16021847974510697</v>
      </c>
      <c r="AT286" s="75">
        <f t="shared" si="95"/>
        <v>0.71461083295402827</v>
      </c>
      <c r="AU286" s="75">
        <f t="shared" si="96"/>
        <v>0.12517068730086481</v>
      </c>
      <c r="AV286" s="26">
        <f t="shared" si="97"/>
        <v>7.6351911561492389E-2</v>
      </c>
      <c r="AW286" s="26">
        <f t="shared" si="98"/>
        <v>8.3648088438507601E-2</v>
      </c>
      <c r="AX286" s="24">
        <f t="shared" si="99"/>
        <v>0.86274509803921573</v>
      </c>
      <c r="AY286" s="24">
        <f t="shared" si="100"/>
        <v>0.88888888888888884</v>
      </c>
      <c r="AZ286" s="77" t="str">
        <f t="shared" si="101"/>
        <v>5,0 ≤ Alc. Bruta &lt; 7,5 mg/L</v>
      </c>
      <c r="BA286" s="77" t="str">
        <f t="shared" si="102"/>
        <v>10 ≤ Cor &lt;15 uC</v>
      </c>
      <c r="BB286" s="78" t="str">
        <f t="shared" si="103"/>
        <v>Turbidez &lt; 2,5 uT</v>
      </c>
      <c r="BC286" s="79" t="str">
        <f t="shared" si="104"/>
        <v>SM &gt; TOR &gt; BNN</v>
      </c>
      <c r="BD286" s="78" t="str">
        <f t="shared" si="105"/>
        <v/>
      </c>
      <c r="BE286" s="78" t="str">
        <f t="shared" si="106"/>
        <v/>
      </c>
      <c r="BF286" s="78" t="str">
        <f t="shared" si="107"/>
        <v>Tipo 1 (≤0,25) uT</v>
      </c>
      <c r="BG286" s="78" t="str">
        <f t="shared" si="108"/>
        <v>Tipo 1 (≤0,25) uT</v>
      </c>
      <c r="BH286" s="78" t="str">
        <f t="shared" si="109"/>
        <v>Tipo 1 (≤0,25) uT</v>
      </c>
    </row>
    <row r="287" spans="1:60" x14ac:dyDescent="0.2">
      <c r="A287" s="31">
        <v>46290</v>
      </c>
      <c r="B287" s="80">
        <v>0.47916666666666669</v>
      </c>
      <c r="C287" s="57">
        <v>366</v>
      </c>
      <c r="D287" s="57">
        <v>1548</v>
      </c>
      <c r="E287" s="57">
        <v>276</v>
      </c>
      <c r="F287" s="57">
        <v>2204</v>
      </c>
      <c r="G287" s="85" t="s">
        <v>78</v>
      </c>
      <c r="H287" s="63">
        <v>9.5</v>
      </c>
      <c r="I287" s="57">
        <v>-56</v>
      </c>
      <c r="J287" s="57">
        <v>90</v>
      </c>
      <c r="K287" s="57">
        <v>90</v>
      </c>
      <c r="L287" s="57">
        <v>90</v>
      </c>
      <c r="M287" s="57">
        <v>26.2</v>
      </c>
      <c r="N287" s="63">
        <v>6.6</v>
      </c>
      <c r="O287" s="36">
        <v>1.29</v>
      </c>
      <c r="P287" s="57">
        <v>12</v>
      </c>
      <c r="Q287" s="63">
        <v>6.8</v>
      </c>
      <c r="R287" s="36">
        <v>0.12</v>
      </c>
      <c r="S287" s="36">
        <v>22.36</v>
      </c>
      <c r="T287" s="36">
        <v>0.88</v>
      </c>
      <c r="U287" s="36">
        <v>0.7</v>
      </c>
      <c r="V287" s="42">
        <f t="shared" si="110"/>
        <v>1691.5700000000002</v>
      </c>
      <c r="W287" s="42">
        <f t="shared" si="111"/>
        <v>1523.9295661927999</v>
      </c>
      <c r="X287" s="42">
        <f t="shared" si="112"/>
        <v>0.90089654356177973</v>
      </c>
      <c r="Y287" s="57">
        <v>3</v>
      </c>
      <c r="Z287" s="57">
        <v>4</v>
      </c>
      <c r="AA287" s="63">
        <v>6.03</v>
      </c>
      <c r="AB287" s="57">
        <v>20.74</v>
      </c>
      <c r="AC287" s="63">
        <v>6.3</v>
      </c>
      <c r="AD287" s="63">
        <v>5.3</v>
      </c>
      <c r="AE287" s="36"/>
      <c r="AF287" s="36">
        <v>0.14000000000000001</v>
      </c>
      <c r="AG287" s="42">
        <f t="shared" si="92"/>
        <v>1691.5700000000002</v>
      </c>
      <c r="AH287" s="42">
        <f t="shared" si="113"/>
        <v>1780.9617377760001</v>
      </c>
      <c r="AI287" s="42">
        <f t="shared" si="114"/>
        <v>1.0528454263057396</v>
      </c>
      <c r="AJ287" s="57">
        <v>3</v>
      </c>
      <c r="AK287" s="57">
        <v>4</v>
      </c>
      <c r="AL287" s="63">
        <v>6.33</v>
      </c>
      <c r="AM287" s="57">
        <v>22.8</v>
      </c>
      <c r="AN287" s="63">
        <v>6.4</v>
      </c>
      <c r="AO287" s="63">
        <v>5.2</v>
      </c>
      <c r="AP287" s="36"/>
      <c r="AQ287" s="36">
        <v>0.2</v>
      </c>
      <c r="AR287" s="73">
        <f t="shared" si="93"/>
        <v>2190</v>
      </c>
      <c r="AS287" s="75">
        <f t="shared" si="94"/>
        <v>0.16712328767123288</v>
      </c>
      <c r="AT287" s="75">
        <f t="shared" si="95"/>
        <v>0.70684931506849313</v>
      </c>
      <c r="AU287" s="75">
        <f t="shared" si="96"/>
        <v>0.12602739726027398</v>
      </c>
      <c r="AV287" s="26">
        <f t="shared" si="97"/>
        <v>7.5281306715063515E-2</v>
      </c>
      <c r="AW287" s="26">
        <f t="shared" si="98"/>
        <v>8.2758620689655171E-2</v>
      </c>
      <c r="AX287" s="24">
        <f t="shared" si="99"/>
        <v>0.84496124031007747</v>
      </c>
      <c r="AY287" s="24">
        <f t="shared" si="100"/>
        <v>0.89147286821705429</v>
      </c>
      <c r="AZ287" s="77" t="str">
        <f t="shared" si="101"/>
        <v>5,0 ≤ Alc. Bruta &lt; 7,5 mg/L</v>
      </c>
      <c r="BA287" s="77" t="str">
        <f t="shared" si="102"/>
        <v>10 ≤ Cor &lt;15 uC</v>
      </c>
      <c r="BB287" s="78" t="str">
        <f t="shared" si="103"/>
        <v>Turbidez &lt; 2,5 uT</v>
      </c>
      <c r="BC287" s="79" t="str">
        <f t="shared" si="104"/>
        <v>SM &gt; TOR &gt; BNN</v>
      </c>
      <c r="BD287" s="78" t="str">
        <f t="shared" si="105"/>
        <v/>
      </c>
      <c r="BE287" s="78" t="str">
        <f t="shared" si="106"/>
        <v/>
      </c>
      <c r="BF287" s="78" t="str">
        <f t="shared" si="107"/>
        <v>Tipo 1 (≤0,25) uT</v>
      </c>
      <c r="BG287" s="78" t="str">
        <f t="shared" si="108"/>
        <v>Tipo 1 (≤0,25) uT</v>
      </c>
      <c r="BH287" s="78" t="str">
        <f t="shared" si="109"/>
        <v>Tipo 1 (≤0,25) uT</v>
      </c>
    </row>
    <row r="288" spans="1:60" x14ac:dyDescent="0.2">
      <c r="A288" s="31">
        <v>46290</v>
      </c>
      <c r="B288" s="80">
        <v>0.72916666666666663</v>
      </c>
      <c r="C288" s="57">
        <v>362</v>
      </c>
      <c r="D288" s="57">
        <v>1550</v>
      </c>
      <c r="E288" s="57">
        <v>275</v>
      </c>
      <c r="F288" s="57">
        <v>2206</v>
      </c>
      <c r="G288" s="85" t="s">
        <v>78</v>
      </c>
      <c r="H288" s="63">
        <v>9.5</v>
      </c>
      <c r="I288" s="57">
        <v>-48</v>
      </c>
      <c r="J288" s="57">
        <v>90</v>
      </c>
      <c r="K288" s="57">
        <v>90</v>
      </c>
      <c r="L288" s="57">
        <v>90</v>
      </c>
      <c r="M288" s="57">
        <v>26.9</v>
      </c>
      <c r="N288" s="63">
        <v>5.8</v>
      </c>
      <c r="O288" s="36">
        <v>1.23</v>
      </c>
      <c r="P288" s="57">
        <v>10</v>
      </c>
      <c r="Q288" s="63">
        <v>6.9</v>
      </c>
      <c r="R288" s="36">
        <v>0.12</v>
      </c>
      <c r="S288" s="36">
        <v>22.36</v>
      </c>
      <c r="T288" s="36">
        <v>0.88</v>
      </c>
      <c r="U288" s="36">
        <v>0.7</v>
      </c>
      <c r="V288" s="42">
        <f t="shared" si="110"/>
        <v>1676.56</v>
      </c>
      <c r="W288" s="42">
        <f t="shared" si="111"/>
        <v>1530.5839876079997</v>
      </c>
      <c r="X288" s="42">
        <f t="shared" si="112"/>
        <v>0.91293123276709442</v>
      </c>
      <c r="Y288" s="57">
        <v>3</v>
      </c>
      <c r="Z288" s="57">
        <v>4</v>
      </c>
      <c r="AA288" s="63">
        <v>6.06</v>
      </c>
      <c r="AB288" s="57">
        <v>20.7</v>
      </c>
      <c r="AC288" s="63">
        <v>6.3</v>
      </c>
      <c r="AD288" s="63">
        <v>5.0999999999999996</v>
      </c>
      <c r="AE288" s="36">
        <v>0.21</v>
      </c>
      <c r="AF288" s="36">
        <v>0.14000000000000001</v>
      </c>
      <c r="AG288" s="42">
        <f t="shared" si="92"/>
        <v>1676.56</v>
      </c>
      <c r="AH288" s="42">
        <f t="shared" si="113"/>
        <v>1770.4232658527997</v>
      </c>
      <c r="AI288" s="42">
        <f t="shared" si="114"/>
        <v>1.0559856288190101</v>
      </c>
      <c r="AJ288" s="57">
        <v>3</v>
      </c>
      <c r="AK288" s="57">
        <v>4</v>
      </c>
      <c r="AL288" s="63">
        <v>6.32</v>
      </c>
      <c r="AM288" s="57">
        <v>22.71</v>
      </c>
      <c r="AN288" s="63">
        <v>6.3</v>
      </c>
      <c r="AO288" s="63">
        <v>5.4</v>
      </c>
      <c r="AP288" s="36">
        <v>0.24</v>
      </c>
      <c r="AQ288" s="36">
        <v>0.19</v>
      </c>
      <c r="AR288" s="73">
        <f t="shared" si="93"/>
        <v>2187</v>
      </c>
      <c r="AS288" s="75">
        <f t="shared" si="94"/>
        <v>0.16552354823959761</v>
      </c>
      <c r="AT288" s="75">
        <f t="shared" si="95"/>
        <v>0.70873342478280754</v>
      </c>
      <c r="AU288" s="75">
        <f t="shared" si="96"/>
        <v>0.12574302697759487</v>
      </c>
      <c r="AV288" s="26">
        <f t="shared" si="97"/>
        <v>7.5067996373526749E-2</v>
      </c>
      <c r="AW288" s="26">
        <f t="shared" si="98"/>
        <v>8.2357207615593842E-2</v>
      </c>
      <c r="AX288" s="24">
        <f t="shared" si="99"/>
        <v>0.84552845528455278</v>
      </c>
      <c r="AY288" s="24">
        <f t="shared" si="100"/>
        <v>0.88617886178861793</v>
      </c>
      <c r="AZ288" s="77" t="str">
        <f t="shared" si="101"/>
        <v>5,0 ≤ Alc. Bruta &lt; 7,5 mg/L</v>
      </c>
      <c r="BA288" s="77" t="str">
        <f t="shared" si="102"/>
        <v>10 ≤ Cor &lt;15 uC</v>
      </c>
      <c r="BB288" s="78" t="str">
        <f t="shared" si="103"/>
        <v>Turbidez &lt; 2,5 uT</v>
      </c>
      <c r="BC288" s="79" t="str">
        <f t="shared" si="104"/>
        <v>SM &gt; TOR &gt; BNN</v>
      </c>
      <c r="BD288" s="78" t="str">
        <f t="shared" si="105"/>
        <v>Tipo 1 (≤0,25) uT</v>
      </c>
      <c r="BE288" s="78" t="str">
        <f t="shared" si="106"/>
        <v>Tipo 1 (≤0,25) uT</v>
      </c>
      <c r="BF288" s="78" t="str">
        <f t="shared" si="107"/>
        <v>Tipo 1 (≤0,25) uT</v>
      </c>
      <c r="BG288" s="78" t="str">
        <f t="shared" si="108"/>
        <v>Tipo 1 (≤0,25) uT</v>
      </c>
      <c r="BH288" s="78" t="str">
        <f t="shared" si="109"/>
        <v>Tipo 1 (≤0,25) uT</v>
      </c>
    </row>
    <row r="289" spans="1:60" x14ac:dyDescent="0.2">
      <c r="A289" s="31">
        <v>46290</v>
      </c>
      <c r="B289" s="80">
        <v>0.8125</v>
      </c>
      <c r="C289" s="57">
        <v>367</v>
      </c>
      <c r="D289" s="57">
        <v>1510</v>
      </c>
      <c r="E289" s="57">
        <v>197</v>
      </c>
      <c r="F289" s="57">
        <v>2260</v>
      </c>
      <c r="G289" s="85" t="s">
        <v>78</v>
      </c>
      <c r="H289" s="63">
        <v>9.5</v>
      </c>
      <c r="I289" s="57">
        <v>-86</v>
      </c>
      <c r="J289" s="57">
        <v>90</v>
      </c>
      <c r="K289" s="57">
        <v>90</v>
      </c>
      <c r="L289" s="57">
        <v>90</v>
      </c>
      <c r="M289" s="57">
        <v>26.5</v>
      </c>
      <c r="N289" s="63">
        <v>6.5</v>
      </c>
      <c r="O289" s="36">
        <v>1.24</v>
      </c>
      <c r="P289" s="57">
        <v>11</v>
      </c>
      <c r="Q289" s="63">
        <v>6.3</v>
      </c>
      <c r="R289" s="36">
        <v>0.08</v>
      </c>
      <c r="S289" s="36">
        <v>22.36</v>
      </c>
      <c r="T289" s="36">
        <v>0.88</v>
      </c>
      <c r="U289" s="36">
        <v>0.7</v>
      </c>
      <c r="V289" s="42">
        <f t="shared" si="110"/>
        <v>1720.425</v>
      </c>
      <c r="W289" s="42">
        <f t="shared" si="111"/>
        <v>1565.7431243999997</v>
      </c>
      <c r="X289" s="42">
        <f t="shared" si="112"/>
        <v>0.91009089288983813</v>
      </c>
      <c r="Y289" s="57">
        <v>3</v>
      </c>
      <c r="Z289" s="57">
        <v>4</v>
      </c>
      <c r="AA289" s="63">
        <v>6.1</v>
      </c>
      <c r="AB289" s="57">
        <v>21</v>
      </c>
      <c r="AC289" s="63">
        <v>6.2</v>
      </c>
      <c r="AD289" s="63">
        <v>4.9000000000000004</v>
      </c>
      <c r="AE289" s="36">
        <v>0.28000000000000003</v>
      </c>
      <c r="AF289" s="36">
        <v>0.14000000000000001</v>
      </c>
      <c r="AG289" s="42">
        <f t="shared" si="92"/>
        <v>1720.425</v>
      </c>
      <c r="AH289" s="42">
        <f t="shared" si="113"/>
        <v>1821.4563327999999</v>
      </c>
      <c r="AI289" s="42">
        <f t="shared" si="114"/>
        <v>1.0587246365287646</v>
      </c>
      <c r="AJ289" s="57">
        <v>3</v>
      </c>
      <c r="AK289" s="57">
        <v>4</v>
      </c>
      <c r="AL289" s="63">
        <v>6.4</v>
      </c>
      <c r="AM289" s="57">
        <v>23</v>
      </c>
      <c r="AN289" s="63">
        <v>6.2</v>
      </c>
      <c r="AO289" s="63">
        <v>4.7</v>
      </c>
      <c r="AP289" s="36">
        <v>0.24</v>
      </c>
      <c r="AQ289" s="36">
        <v>0.19</v>
      </c>
      <c r="AR289" s="73">
        <f t="shared" si="93"/>
        <v>2074</v>
      </c>
      <c r="AS289" s="75">
        <f t="shared" si="94"/>
        <v>0.17695274831243973</v>
      </c>
      <c r="AT289" s="75">
        <f t="shared" si="95"/>
        <v>0.72806171648987461</v>
      </c>
      <c r="AU289" s="75">
        <f t="shared" si="96"/>
        <v>9.4985535197685628E-2</v>
      </c>
      <c r="AV289" s="26">
        <f t="shared" si="97"/>
        <v>7.4336283185840707E-2</v>
      </c>
      <c r="AW289" s="26">
        <f t="shared" si="98"/>
        <v>8.1415929203539822E-2</v>
      </c>
      <c r="AX289" s="24">
        <f t="shared" si="99"/>
        <v>0.84677419354838712</v>
      </c>
      <c r="AY289" s="24">
        <f t="shared" si="100"/>
        <v>0.88709677419354838</v>
      </c>
      <c r="AZ289" s="77" t="str">
        <f t="shared" si="101"/>
        <v>5,0 ≤ Alc. Bruta &lt; 7,5 mg/L</v>
      </c>
      <c r="BA289" s="77" t="str">
        <f t="shared" si="102"/>
        <v>10 ≤ Cor &lt;15 uC</v>
      </c>
      <c r="BB289" s="78" t="str">
        <f t="shared" si="103"/>
        <v>Turbidez &lt; 2,5 uT</v>
      </c>
      <c r="BC289" s="79" t="str">
        <f t="shared" si="104"/>
        <v>SM &gt; TOR &gt; BNN</v>
      </c>
      <c r="BD289" s="78" t="str">
        <f t="shared" si="105"/>
        <v>Tipo 2 (0,25-0,50) uT</v>
      </c>
      <c r="BE289" s="78" t="str">
        <f t="shared" si="106"/>
        <v>Tipo 1 (≤0,25) uT</v>
      </c>
      <c r="BF289" s="78" t="str">
        <f t="shared" si="107"/>
        <v>Tipo 1 (≤0,25) uT</v>
      </c>
      <c r="BG289" s="78" t="str">
        <f t="shared" si="108"/>
        <v>Tipo 1 (≤0,25) uT</v>
      </c>
      <c r="BH289" s="78" t="str">
        <f t="shared" si="109"/>
        <v>Tipo 1 (≤0,25) uT</v>
      </c>
    </row>
    <row r="290" spans="1:60" x14ac:dyDescent="0.2">
      <c r="A290" s="31">
        <v>46290</v>
      </c>
      <c r="B290" s="80">
        <v>0.89583333333333337</v>
      </c>
      <c r="C290" s="57">
        <v>356</v>
      </c>
      <c r="D290" s="57">
        <v>1539</v>
      </c>
      <c r="E290" s="57">
        <v>274</v>
      </c>
      <c r="F290" s="57">
        <v>2271</v>
      </c>
      <c r="G290" s="85" t="s">
        <v>78</v>
      </c>
      <c r="H290" s="63">
        <v>9.5</v>
      </c>
      <c r="I290" s="57">
        <v>-91</v>
      </c>
      <c r="J290" s="57">
        <v>90</v>
      </c>
      <c r="K290" s="57">
        <v>90</v>
      </c>
      <c r="L290" s="57">
        <v>90</v>
      </c>
      <c r="M290" s="57">
        <v>25.9</v>
      </c>
      <c r="N290" s="63">
        <v>6.4</v>
      </c>
      <c r="O290" s="36">
        <v>1.29</v>
      </c>
      <c r="P290" s="57">
        <v>12</v>
      </c>
      <c r="Q290" s="63">
        <v>6.6</v>
      </c>
      <c r="R290" s="36">
        <v>0.11</v>
      </c>
      <c r="S290" s="36">
        <v>22.36</v>
      </c>
      <c r="T290" s="36">
        <v>0.88</v>
      </c>
      <c r="U290" s="36">
        <v>0.7</v>
      </c>
      <c r="V290" s="42">
        <f t="shared" si="110"/>
        <v>1742.9925000000001</v>
      </c>
      <c r="W290" s="42">
        <f t="shared" si="111"/>
        <v>1565.7431243999997</v>
      </c>
      <c r="X290" s="42">
        <f t="shared" si="112"/>
        <v>0.89830743643475208</v>
      </c>
      <c r="Y290" s="57">
        <v>3</v>
      </c>
      <c r="Z290" s="57">
        <v>4</v>
      </c>
      <c r="AA290" s="63">
        <v>6.1</v>
      </c>
      <c r="AB290" s="57">
        <v>21</v>
      </c>
      <c r="AC290" s="63">
        <v>6.1</v>
      </c>
      <c r="AD290" s="63">
        <v>5.8</v>
      </c>
      <c r="AE290" s="36">
        <v>0.23</v>
      </c>
      <c r="AF290" s="36">
        <v>0.15</v>
      </c>
      <c r="AG290" s="42">
        <f t="shared" si="92"/>
        <v>1742.9925000000001</v>
      </c>
      <c r="AH290" s="42">
        <f t="shared" si="113"/>
        <v>1821.4563327999999</v>
      </c>
      <c r="AI290" s="42">
        <f t="shared" si="114"/>
        <v>1.0450167357576121</v>
      </c>
      <c r="AJ290" s="57">
        <v>3</v>
      </c>
      <c r="AK290" s="57">
        <v>4</v>
      </c>
      <c r="AL290" s="63">
        <v>6.4</v>
      </c>
      <c r="AM290" s="57">
        <v>23</v>
      </c>
      <c r="AN290" s="63">
        <v>6.2</v>
      </c>
      <c r="AO290" s="63">
        <v>5.2</v>
      </c>
      <c r="AP290" s="36">
        <v>0.24</v>
      </c>
      <c r="AQ290" s="36">
        <v>0.2</v>
      </c>
      <c r="AR290" s="73">
        <f t="shared" si="93"/>
        <v>2169</v>
      </c>
      <c r="AS290" s="75">
        <f t="shared" si="94"/>
        <v>0.16413093591516828</v>
      </c>
      <c r="AT290" s="75">
        <f t="shared" si="95"/>
        <v>0.70954356846473032</v>
      </c>
      <c r="AU290" s="75">
        <f t="shared" si="96"/>
        <v>0.12632549562010142</v>
      </c>
      <c r="AV290" s="26">
        <f t="shared" si="97"/>
        <v>7.3976221928665792E-2</v>
      </c>
      <c r="AW290" s="26">
        <f t="shared" si="98"/>
        <v>8.1021576398062525E-2</v>
      </c>
      <c r="AX290" s="24">
        <f t="shared" si="99"/>
        <v>0.84496124031007747</v>
      </c>
      <c r="AY290" s="24">
        <f t="shared" si="100"/>
        <v>0.88372093023255816</v>
      </c>
      <c r="AZ290" s="77" t="str">
        <f t="shared" si="101"/>
        <v>5,0 ≤ Alc. Bruta &lt; 7,5 mg/L</v>
      </c>
      <c r="BA290" s="77" t="str">
        <f t="shared" si="102"/>
        <v>10 ≤ Cor &lt;15 uC</v>
      </c>
      <c r="BB290" s="78" t="str">
        <f t="shared" si="103"/>
        <v>Turbidez &lt; 2,5 uT</v>
      </c>
      <c r="BC290" s="79" t="str">
        <f t="shared" si="104"/>
        <v>SM &gt; TOR &gt; BNN</v>
      </c>
      <c r="BD290" s="78" t="str">
        <f t="shared" si="105"/>
        <v>Tipo 1 (≤0,25) uT</v>
      </c>
      <c r="BE290" s="78" t="str">
        <f t="shared" si="106"/>
        <v>Tipo 1 (≤0,25) uT</v>
      </c>
      <c r="BF290" s="78" t="str">
        <f t="shared" si="107"/>
        <v>Tipo 1 (≤0,25) uT</v>
      </c>
      <c r="BG290" s="78" t="str">
        <f t="shared" si="108"/>
        <v>Tipo 1 (≤0,25) uT</v>
      </c>
      <c r="BH290" s="78" t="str">
        <f t="shared" si="109"/>
        <v>Tipo 1 (≤0,25) uT</v>
      </c>
    </row>
    <row r="291" spans="1:60" x14ac:dyDescent="0.2">
      <c r="A291" s="31">
        <v>46291</v>
      </c>
      <c r="B291" s="80">
        <v>6.25E-2</v>
      </c>
      <c r="C291" s="57">
        <v>367</v>
      </c>
      <c r="D291" s="57">
        <v>1543</v>
      </c>
      <c r="E291" s="57">
        <v>277</v>
      </c>
      <c r="F291" s="57">
        <v>2245</v>
      </c>
      <c r="G291" s="85" t="s">
        <v>78</v>
      </c>
      <c r="H291" s="63">
        <v>9.5</v>
      </c>
      <c r="I291" s="57">
        <v>-92</v>
      </c>
      <c r="J291" s="57">
        <v>90</v>
      </c>
      <c r="K291" s="57">
        <v>90</v>
      </c>
      <c r="L291" s="57">
        <v>90</v>
      </c>
      <c r="M291" s="57">
        <v>25.8</v>
      </c>
      <c r="N291" s="63">
        <v>6.5</v>
      </c>
      <c r="O291" s="36">
        <v>1.25</v>
      </c>
      <c r="P291" s="57">
        <v>8</v>
      </c>
      <c r="Q291" s="63">
        <v>6.4</v>
      </c>
      <c r="R291" s="36">
        <v>0.09</v>
      </c>
      <c r="S291" s="36">
        <v>22.36</v>
      </c>
      <c r="T291" s="36">
        <v>0.88</v>
      </c>
      <c r="U291" s="36">
        <v>0.7</v>
      </c>
      <c r="V291" s="42">
        <f t="shared" si="110"/>
        <v>1711.8125</v>
      </c>
      <c r="W291" s="42">
        <f t="shared" si="111"/>
        <v>1565.7431243999997</v>
      </c>
      <c r="X291" s="42">
        <f t="shared" si="112"/>
        <v>0.9146697575815107</v>
      </c>
      <c r="Y291" s="57">
        <v>3</v>
      </c>
      <c r="Z291" s="57">
        <v>4</v>
      </c>
      <c r="AA291" s="63">
        <v>6.1</v>
      </c>
      <c r="AB291" s="57">
        <v>21</v>
      </c>
      <c r="AC291" s="63">
        <v>6.1</v>
      </c>
      <c r="AD291" s="63">
        <v>5.9</v>
      </c>
      <c r="AE291" s="36">
        <v>0.21</v>
      </c>
      <c r="AF291" s="36">
        <v>0.14000000000000001</v>
      </c>
      <c r="AG291" s="42">
        <f t="shared" si="92"/>
        <v>1711.8125</v>
      </c>
      <c r="AH291" s="42">
        <f t="shared" si="113"/>
        <v>1821.4563327999999</v>
      </c>
      <c r="AI291" s="42">
        <f t="shared" si="114"/>
        <v>1.0640513098251123</v>
      </c>
      <c r="AJ291" s="57">
        <v>3</v>
      </c>
      <c r="AK291" s="57">
        <v>4</v>
      </c>
      <c r="AL291" s="63">
        <v>6.4</v>
      </c>
      <c r="AM291" s="57">
        <v>23</v>
      </c>
      <c r="AN291" s="63">
        <v>6.2</v>
      </c>
      <c r="AO291" s="63">
        <v>5.7</v>
      </c>
      <c r="AP291" s="36">
        <v>0.19</v>
      </c>
      <c r="AQ291" s="36">
        <v>0.2</v>
      </c>
      <c r="AR291" s="73">
        <f t="shared" si="93"/>
        <v>2187</v>
      </c>
      <c r="AS291" s="75">
        <f t="shared" si="94"/>
        <v>0.1678097850937357</v>
      </c>
      <c r="AT291" s="75">
        <f t="shared" si="95"/>
        <v>0.70553269318701417</v>
      </c>
      <c r="AU291" s="75">
        <f t="shared" si="96"/>
        <v>0.12665752171925013</v>
      </c>
      <c r="AV291" s="26">
        <f t="shared" si="97"/>
        <v>7.483296213808463E-2</v>
      </c>
      <c r="AW291" s="26">
        <f t="shared" si="98"/>
        <v>8.195991091314031E-2</v>
      </c>
      <c r="AX291" s="24">
        <f t="shared" si="99"/>
        <v>0.84</v>
      </c>
      <c r="AY291" s="24">
        <f t="shared" si="100"/>
        <v>0.88800000000000001</v>
      </c>
      <c r="AZ291" s="77" t="str">
        <f t="shared" si="101"/>
        <v>5,0 ≤ Alc. Bruta &lt; 7,5 mg/L</v>
      </c>
      <c r="BA291" s="77" t="str">
        <f t="shared" si="102"/>
        <v>5 ≤ Cor &lt; 10 uC</v>
      </c>
      <c r="BB291" s="78" t="str">
        <f t="shared" si="103"/>
        <v>Turbidez &lt; 2,5 uT</v>
      </c>
      <c r="BC291" s="79" t="str">
        <f t="shared" si="104"/>
        <v>SM &gt; TOR &gt; BNN</v>
      </c>
      <c r="BD291" s="78" t="str">
        <f t="shared" si="105"/>
        <v>Tipo 1 (≤0,25) uT</v>
      </c>
      <c r="BE291" s="78" t="str">
        <f t="shared" si="106"/>
        <v>Tipo 1 (≤0,25) uT</v>
      </c>
      <c r="BF291" s="78" t="str">
        <f t="shared" si="107"/>
        <v>Tipo 1 (≤0,25) uT</v>
      </c>
      <c r="BG291" s="78" t="str">
        <f t="shared" si="108"/>
        <v>Tipo 1 (≤0,25) uT</v>
      </c>
      <c r="BH291" s="78" t="str">
        <f t="shared" si="109"/>
        <v>Tipo 1 (≤0,25) uT</v>
      </c>
    </row>
    <row r="292" spans="1:60" x14ac:dyDescent="0.2">
      <c r="A292" s="31">
        <v>46291</v>
      </c>
      <c r="B292" s="80">
        <v>0.14583333333333334</v>
      </c>
      <c r="C292" s="57">
        <v>370</v>
      </c>
      <c r="D292" s="57">
        <v>1561</v>
      </c>
      <c r="E292" s="57">
        <v>277</v>
      </c>
      <c r="F292" s="57">
        <v>2316</v>
      </c>
      <c r="G292" s="85" t="s">
        <v>78</v>
      </c>
      <c r="H292" s="63">
        <v>9.5</v>
      </c>
      <c r="I292" s="57">
        <v>-93</v>
      </c>
      <c r="J292" s="57">
        <v>90</v>
      </c>
      <c r="K292" s="57">
        <v>90</v>
      </c>
      <c r="L292" s="57">
        <v>90</v>
      </c>
      <c r="M292" s="57">
        <v>25.5</v>
      </c>
      <c r="N292" s="63">
        <v>6.4</v>
      </c>
      <c r="O292" s="36">
        <v>1.21</v>
      </c>
      <c r="P292" s="57">
        <v>10</v>
      </c>
      <c r="Q292" s="63">
        <v>6.5</v>
      </c>
      <c r="R292" s="36">
        <v>0.08</v>
      </c>
      <c r="S292" s="36">
        <v>22.36</v>
      </c>
      <c r="T292" s="36">
        <v>0.88</v>
      </c>
      <c r="U292" s="36">
        <v>0.7</v>
      </c>
      <c r="V292" s="42">
        <f t="shared" si="110"/>
        <v>1754.3700000000001</v>
      </c>
      <c r="W292" s="42">
        <f t="shared" si="111"/>
        <v>1565.7431243999997</v>
      </c>
      <c r="X292" s="42">
        <f t="shared" si="112"/>
        <v>0.8924817024914925</v>
      </c>
      <c r="Y292" s="57">
        <v>3</v>
      </c>
      <c r="Z292" s="57">
        <v>4</v>
      </c>
      <c r="AA292" s="63">
        <v>6.1</v>
      </c>
      <c r="AB292" s="57">
        <v>21</v>
      </c>
      <c r="AC292" s="63">
        <v>6.4</v>
      </c>
      <c r="AD292" s="63">
        <v>5.7</v>
      </c>
      <c r="AE292" s="36">
        <v>0.24</v>
      </c>
      <c r="AF292" s="36">
        <v>0.14000000000000001</v>
      </c>
      <c r="AG292" s="42">
        <f t="shared" si="92"/>
        <v>1754.3700000000001</v>
      </c>
      <c r="AH292" s="42">
        <f t="shared" si="113"/>
        <v>1821.4563327999999</v>
      </c>
      <c r="AI292" s="42">
        <f t="shared" si="114"/>
        <v>1.0382395576759746</v>
      </c>
      <c r="AJ292" s="57">
        <v>3</v>
      </c>
      <c r="AK292" s="57">
        <v>4</v>
      </c>
      <c r="AL292" s="63">
        <v>6.4</v>
      </c>
      <c r="AM292" s="57">
        <v>23</v>
      </c>
      <c r="AN292" s="63">
        <v>6.1</v>
      </c>
      <c r="AO292" s="63">
        <v>5.5</v>
      </c>
      <c r="AP292" s="36">
        <v>0.3</v>
      </c>
      <c r="AQ292" s="36">
        <v>0.19</v>
      </c>
      <c r="AR292" s="73">
        <f t="shared" si="93"/>
        <v>2208</v>
      </c>
      <c r="AS292" s="75">
        <f t="shared" si="94"/>
        <v>0.16757246376811594</v>
      </c>
      <c r="AT292" s="75">
        <f t="shared" si="95"/>
        <v>0.70697463768115942</v>
      </c>
      <c r="AU292" s="75">
        <f t="shared" si="96"/>
        <v>0.12545289855072464</v>
      </c>
      <c r="AV292" s="26">
        <f t="shared" si="97"/>
        <v>7.2538860103626937E-2</v>
      </c>
      <c r="AW292" s="26">
        <f t="shared" si="98"/>
        <v>7.9447322970639028E-2</v>
      </c>
      <c r="AX292" s="24">
        <f t="shared" si="99"/>
        <v>0.84297520661157022</v>
      </c>
      <c r="AY292" s="24">
        <f t="shared" si="100"/>
        <v>0.88429752066115697</v>
      </c>
      <c r="AZ292" s="77" t="str">
        <f t="shared" si="101"/>
        <v>5,0 ≤ Alc. Bruta &lt; 7,5 mg/L</v>
      </c>
      <c r="BA292" s="77" t="str">
        <f t="shared" si="102"/>
        <v>10 ≤ Cor &lt;15 uC</v>
      </c>
      <c r="BB292" s="78" t="str">
        <f t="shared" si="103"/>
        <v>Turbidez &lt; 2,5 uT</v>
      </c>
      <c r="BC292" s="79" t="str">
        <f t="shared" si="104"/>
        <v>SM &gt; TOR &gt; BNN</v>
      </c>
      <c r="BD292" s="78" t="str">
        <f t="shared" si="105"/>
        <v>Tipo 1 (≤0,25) uT</v>
      </c>
      <c r="BE292" s="78" t="str">
        <f t="shared" si="106"/>
        <v>Tipo 2 (0,25-0,50) uT</v>
      </c>
      <c r="BF292" s="78" t="str">
        <f t="shared" si="107"/>
        <v>Tipo 1 (≤0,25) uT</v>
      </c>
      <c r="BG292" s="78" t="str">
        <f t="shared" si="108"/>
        <v>Tipo 1 (≤0,25) uT</v>
      </c>
      <c r="BH292" s="78" t="str">
        <f t="shared" si="109"/>
        <v>Tipo 1 (≤0,25) uT</v>
      </c>
    </row>
    <row r="293" spans="1:60" ht="15.75" thickBot="1" x14ac:dyDescent="0.25">
      <c r="A293" s="32">
        <v>46291</v>
      </c>
      <c r="B293" s="81">
        <v>0.22916666666666666</v>
      </c>
      <c r="C293" s="58">
        <v>373</v>
      </c>
      <c r="D293" s="58">
        <v>1525</v>
      </c>
      <c r="E293" s="58">
        <v>276</v>
      </c>
      <c r="F293" s="58">
        <v>2245</v>
      </c>
      <c r="G293" s="86" t="s">
        <v>78</v>
      </c>
      <c r="H293" s="64">
        <v>9.5</v>
      </c>
      <c r="I293" s="58">
        <v>-92</v>
      </c>
      <c r="J293" s="58">
        <v>90</v>
      </c>
      <c r="K293" s="58">
        <v>90</v>
      </c>
      <c r="L293" s="58">
        <v>90</v>
      </c>
      <c r="M293" s="58">
        <v>25.1</v>
      </c>
      <c r="N293" s="64">
        <v>6.4</v>
      </c>
      <c r="O293" s="37">
        <v>1.27</v>
      </c>
      <c r="P293" s="58">
        <v>11</v>
      </c>
      <c r="Q293" s="64">
        <v>6.9</v>
      </c>
      <c r="R293" s="37">
        <v>0.08</v>
      </c>
      <c r="S293" s="36">
        <v>22.36</v>
      </c>
      <c r="T293" s="36">
        <v>0.88</v>
      </c>
      <c r="U293" s="36">
        <v>0.7</v>
      </c>
      <c r="V293" s="42">
        <f t="shared" si="110"/>
        <v>1717.425</v>
      </c>
      <c r="W293" s="42">
        <f t="shared" si="111"/>
        <v>1565.7431243999997</v>
      </c>
      <c r="X293" s="42">
        <f t="shared" si="112"/>
        <v>0.9116806407266691</v>
      </c>
      <c r="Y293" s="58">
        <v>2</v>
      </c>
      <c r="Z293" s="58">
        <v>4</v>
      </c>
      <c r="AA293" s="64">
        <v>6.1</v>
      </c>
      <c r="AB293" s="58">
        <v>21</v>
      </c>
      <c r="AC293" s="64">
        <v>6.1</v>
      </c>
      <c r="AD293" s="64">
        <v>5.5</v>
      </c>
      <c r="AE293" s="37">
        <v>0.19</v>
      </c>
      <c r="AF293" s="37">
        <v>0.14000000000000001</v>
      </c>
      <c r="AG293" s="42">
        <f t="shared" si="92"/>
        <v>1717.425</v>
      </c>
      <c r="AH293" s="42">
        <f t="shared" si="113"/>
        <v>1821.4563327999999</v>
      </c>
      <c r="AI293" s="42">
        <f t="shared" si="114"/>
        <v>1.0605740179629386</v>
      </c>
      <c r="AJ293" s="58">
        <v>3</v>
      </c>
      <c r="AK293" s="58">
        <v>4</v>
      </c>
      <c r="AL293" s="64">
        <v>6.4</v>
      </c>
      <c r="AM293" s="58">
        <v>23</v>
      </c>
      <c r="AN293" s="64">
        <v>6.1</v>
      </c>
      <c r="AO293" s="64">
        <v>5.2</v>
      </c>
      <c r="AP293" s="37">
        <v>0.24</v>
      </c>
      <c r="AQ293" s="37">
        <v>0.19</v>
      </c>
      <c r="AR293" s="73">
        <f t="shared" si="93"/>
        <v>2174</v>
      </c>
      <c r="AS293" s="75">
        <f t="shared" si="94"/>
        <v>0.17157313707451702</v>
      </c>
      <c r="AT293" s="75">
        <f t="shared" si="95"/>
        <v>0.70147194112235511</v>
      </c>
      <c r="AU293" s="75">
        <f t="shared" si="96"/>
        <v>0.12695492180312787</v>
      </c>
      <c r="AV293" s="26">
        <f t="shared" si="97"/>
        <v>7.483296213808463E-2</v>
      </c>
      <c r="AW293" s="26">
        <f t="shared" si="98"/>
        <v>8.195991091314031E-2</v>
      </c>
      <c r="AX293" s="24">
        <f t="shared" si="99"/>
        <v>0.85039370078740162</v>
      </c>
      <c r="AY293" s="24">
        <f t="shared" si="100"/>
        <v>0.88976377952755903</v>
      </c>
      <c r="AZ293" s="77" t="str">
        <f t="shared" si="101"/>
        <v>5,0 ≤ Alc. Bruta &lt; 7,5 mg/L</v>
      </c>
      <c r="BA293" s="77" t="str">
        <f t="shared" si="102"/>
        <v>10 ≤ Cor &lt;15 uC</v>
      </c>
      <c r="BB293" s="78" t="str">
        <f t="shared" si="103"/>
        <v>Turbidez &lt; 2,5 uT</v>
      </c>
      <c r="BC293" s="79" t="str">
        <f t="shared" si="104"/>
        <v>SM &gt; TOR &gt; BNN</v>
      </c>
      <c r="BD293" s="78" t="str">
        <f t="shared" si="105"/>
        <v>Tipo 1 (≤0,25) uT</v>
      </c>
      <c r="BE293" s="78" t="str">
        <f t="shared" si="106"/>
        <v>Tipo 1 (≤0,25) uT</v>
      </c>
      <c r="BF293" s="78" t="str">
        <f t="shared" si="107"/>
        <v>Tipo 1 (≤0,25) uT</v>
      </c>
      <c r="BG293" s="78" t="str">
        <f t="shared" si="108"/>
        <v>Tipo 1 (≤0,25) uT</v>
      </c>
      <c r="BH293" s="78" t="str">
        <f t="shared" si="109"/>
        <v>Tipo 1 (≤0,25) uT</v>
      </c>
    </row>
    <row r="294" spans="1:60" x14ac:dyDescent="0.2">
      <c r="A294" s="30">
        <v>46291</v>
      </c>
      <c r="B294" s="82">
        <v>0.3125</v>
      </c>
      <c r="C294" s="59">
        <v>309</v>
      </c>
      <c r="D294" s="59">
        <v>1621</v>
      </c>
      <c r="E294" s="59">
        <v>276</v>
      </c>
      <c r="F294" s="59">
        <v>2180</v>
      </c>
      <c r="G294" s="87" t="s">
        <v>78</v>
      </c>
      <c r="H294" s="65">
        <v>9.5</v>
      </c>
      <c r="I294" s="59">
        <v>-95</v>
      </c>
      <c r="J294" s="59">
        <v>90</v>
      </c>
      <c r="K294" s="59">
        <v>90</v>
      </c>
      <c r="L294" s="59">
        <v>90</v>
      </c>
      <c r="M294" s="59">
        <v>24.9</v>
      </c>
      <c r="N294" s="65">
        <v>6.5</v>
      </c>
      <c r="O294" s="38">
        <v>1.1499999999999999</v>
      </c>
      <c r="P294" s="59">
        <v>10</v>
      </c>
      <c r="Q294" s="65">
        <v>7.5</v>
      </c>
      <c r="R294" s="38">
        <v>0.08</v>
      </c>
      <c r="S294" s="36">
        <v>22.36</v>
      </c>
      <c r="T294" s="36">
        <v>0.88</v>
      </c>
      <c r="U294" s="36">
        <v>0.7</v>
      </c>
      <c r="V294" s="42">
        <f t="shared" si="110"/>
        <v>1635</v>
      </c>
      <c r="W294" s="42">
        <f t="shared" si="111"/>
        <v>1630.6269251999997</v>
      </c>
      <c r="X294" s="42">
        <f t="shared" si="112"/>
        <v>0.99732533651376132</v>
      </c>
      <c r="Y294" s="59">
        <v>3</v>
      </c>
      <c r="Z294" s="59">
        <v>4</v>
      </c>
      <c r="AA294" s="65">
        <v>6.3</v>
      </c>
      <c r="AB294" s="59">
        <v>21</v>
      </c>
      <c r="AC294" s="65">
        <v>6.2</v>
      </c>
      <c r="AD294" s="65">
        <v>5.3</v>
      </c>
      <c r="AE294" s="38">
        <v>0.13</v>
      </c>
      <c r="AF294" s="38">
        <v>0.14000000000000001</v>
      </c>
      <c r="AG294" s="42">
        <f t="shared" si="92"/>
        <v>1635</v>
      </c>
      <c r="AH294" s="42">
        <f t="shared" si="113"/>
        <v>1785.9247275999996</v>
      </c>
      <c r="AI294" s="42">
        <f t="shared" si="114"/>
        <v>1.0923087018960242</v>
      </c>
      <c r="AJ294" s="59">
        <v>3</v>
      </c>
      <c r="AK294" s="59">
        <v>4</v>
      </c>
      <c r="AL294" s="65">
        <v>6.3</v>
      </c>
      <c r="AM294" s="59">
        <v>23</v>
      </c>
      <c r="AN294" s="65">
        <v>6.1</v>
      </c>
      <c r="AO294" s="65">
        <v>5.7</v>
      </c>
      <c r="AP294" s="38">
        <v>0.15</v>
      </c>
      <c r="AQ294" s="38">
        <v>0.2</v>
      </c>
      <c r="AR294" s="73">
        <f t="shared" si="93"/>
        <v>2206</v>
      </c>
      <c r="AS294" s="75">
        <f t="shared" si="94"/>
        <v>0.14007252946509519</v>
      </c>
      <c r="AT294" s="75">
        <f t="shared" si="95"/>
        <v>0.73481414324569361</v>
      </c>
      <c r="AU294" s="75">
        <f t="shared" si="96"/>
        <v>0.12511332728921123</v>
      </c>
      <c r="AV294" s="26">
        <f t="shared" si="97"/>
        <v>7.7064220183486243E-2</v>
      </c>
      <c r="AW294" s="26">
        <f t="shared" si="98"/>
        <v>8.4403669724770647E-2</v>
      </c>
      <c r="AX294" s="24">
        <f t="shared" si="99"/>
        <v>0.82608695652173914</v>
      </c>
      <c r="AY294" s="24">
        <f t="shared" si="100"/>
        <v>0.87826086956521743</v>
      </c>
      <c r="AZ294" s="77" t="str">
        <f t="shared" si="101"/>
        <v>7,5 ≤ Alc. Bruta &lt; 10,0 mg/L</v>
      </c>
      <c r="BA294" s="77" t="str">
        <f t="shared" si="102"/>
        <v>10 ≤ Cor &lt;15 uC</v>
      </c>
      <c r="BB294" s="78" t="str">
        <f t="shared" si="103"/>
        <v>Turbidez &lt; 2,5 uT</v>
      </c>
      <c r="BC294" s="79" t="str">
        <f t="shared" si="104"/>
        <v>SM &gt; TOR &gt; BNN</v>
      </c>
      <c r="BD294" s="78" t="str">
        <f t="shared" si="105"/>
        <v>Tipo 1 (≤0,25) uT</v>
      </c>
      <c r="BE294" s="78" t="str">
        <f t="shared" si="106"/>
        <v>Tipo 1 (≤0,25) uT</v>
      </c>
      <c r="BF294" s="78" t="str">
        <f t="shared" si="107"/>
        <v>Tipo 1 (≤0,25) uT</v>
      </c>
      <c r="BG294" s="78" t="str">
        <f t="shared" si="108"/>
        <v>Tipo 1 (≤0,25) uT</v>
      </c>
      <c r="BH294" s="78" t="str">
        <f t="shared" si="109"/>
        <v>Tipo 1 (≤0,25) uT</v>
      </c>
    </row>
    <row r="295" spans="1:60" x14ac:dyDescent="0.2">
      <c r="A295" s="31">
        <v>46291</v>
      </c>
      <c r="B295" s="80">
        <v>0.39583333333333331</v>
      </c>
      <c r="C295" s="57">
        <v>240</v>
      </c>
      <c r="D295" s="57">
        <v>1660</v>
      </c>
      <c r="E295" s="57">
        <v>277</v>
      </c>
      <c r="F295" s="57">
        <v>2174</v>
      </c>
      <c r="G295" s="85" t="s">
        <v>78</v>
      </c>
      <c r="H295" s="63">
        <v>9.5</v>
      </c>
      <c r="I295" s="57">
        <v>-90</v>
      </c>
      <c r="J295" s="57">
        <v>90</v>
      </c>
      <c r="K295" s="57">
        <v>90</v>
      </c>
      <c r="L295" s="57">
        <v>90</v>
      </c>
      <c r="M295" s="57">
        <v>25.5</v>
      </c>
      <c r="N295" s="63">
        <v>6.5</v>
      </c>
      <c r="O295" s="36">
        <v>1.2</v>
      </c>
      <c r="P295" s="57">
        <v>11</v>
      </c>
      <c r="Q295" s="63">
        <v>7.6</v>
      </c>
      <c r="R295" s="36">
        <v>0.1</v>
      </c>
      <c r="S295" s="36">
        <v>22.36</v>
      </c>
      <c r="T295" s="36">
        <v>0.88</v>
      </c>
      <c r="U295" s="36">
        <v>0.7</v>
      </c>
      <c r="V295" s="42">
        <f t="shared" si="110"/>
        <v>1644.0874999999999</v>
      </c>
      <c r="W295" s="42">
        <f t="shared" si="111"/>
        <v>1598.1850248000001</v>
      </c>
      <c r="X295" s="42">
        <f t="shared" si="112"/>
        <v>0.97208027236993177</v>
      </c>
      <c r="Y295" s="57">
        <v>3</v>
      </c>
      <c r="Z295" s="57">
        <v>4</v>
      </c>
      <c r="AA295" s="63">
        <v>6.2</v>
      </c>
      <c r="AB295" s="57">
        <v>21</v>
      </c>
      <c r="AC295" s="63">
        <v>6.2</v>
      </c>
      <c r="AD295" s="63">
        <v>5.4</v>
      </c>
      <c r="AE295" s="36">
        <v>0.18</v>
      </c>
      <c r="AF295" s="36">
        <v>0.14000000000000001</v>
      </c>
      <c r="AG295" s="42">
        <f t="shared" si="92"/>
        <v>1644.0874999999999</v>
      </c>
      <c r="AH295" s="42">
        <f t="shared" si="113"/>
        <v>1708.2758263999997</v>
      </c>
      <c r="AI295" s="42">
        <f t="shared" si="114"/>
        <v>1.0390419161997155</v>
      </c>
      <c r="AJ295" s="57">
        <v>3</v>
      </c>
      <c r="AK295" s="57">
        <v>4</v>
      </c>
      <c r="AL295" s="63">
        <v>6.3</v>
      </c>
      <c r="AM295" s="57">
        <v>22</v>
      </c>
      <c r="AN295" s="63">
        <v>6.2</v>
      </c>
      <c r="AO295" s="63">
        <v>5.5</v>
      </c>
      <c r="AP295" s="36">
        <v>0.19</v>
      </c>
      <c r="AQ295" s="36">
        <v>0.21</v>
      </c>
      <c r="AR295" s="73">
        <f t="shared" si="93"/>
        <v>2177</v>
      </c>
      <c r="AS295" s="75">
        <f t="shared" si="94"/>
        <v>0.11024345429490125</v>
      </c>
      <c r="AT295" s="75">
        <f t="shared" si="95"/>
        <v>0.76251722553973356</v>
      </c>
      <c r="AU295" s="75">
        <f t="shared" si="96"/>
        <v>0.12723932016536518</v>
      </c>
      <c r="AV295" s="26">
        <f t="shared" si="97"/>
        <v>7.7276908923643056E-2</v>
      </c>
      <c r="AW295" s="26">
        <f t="shared" si="98"/>
        <v>8.0956761729530813E-2</v>
      </c>
      <c r="AX295" s="24">
        <f t="shared" si="99"/>
        <v>0.82499999999999996</v>
      </c>
      <c r="AY295" s="24">
        <f t="shared" si="100"/>
        <v>0.8833333333333333</v>
      </c>
      <c r="AZ295" s="77" t="str">
        <f t="shared" si="101"/>
        <v>7,5 ≤ Alc. Bruta &lt; 10,0 mg/L</v>
      </c>
      <c r="BA295" s="77" t="str">
        <f t="shared" si="102"/>
        <v>10 ≤ Cor &lt;15 uC</v>
      </c>
      <c r="BB295" s="78" t="str">
        <f t="shared" si="103"/>
        <v>Turbidez &lt; 2,5 uT</v>
      </c>
      <c r="BC295" s="79" t="str">
        <f t="shared" si="104"/>
        <v>SM &gt; BNN &gt; TOR</v>
      </c>
      <c r="BD295" s="78" t="str">
        <f t="shared" si="105"/>
        <v>Tipo 1 (≤0,25) uT</v>
      </c>
      <c r="BE295" s="78" t="str">
        <f t="shared" si="106"/>
        <v>Tipo 1 (≤0,25) uT</v>
      </c>
      <c r="BF295" s="78" t="str">
        <f t="shared" si="107"/>
        <v>Tipo 1 (≤0,25) uT</v>
      </c>
      <c r="BG295" s="78" t="str">
        <f t="shared" si="108"/>
        <v>Tipo 1 (≤0,25) uT</v>
      </c>
      <c r="BH295" s="78" t="str">
        <f t="shared" si="109"/>
        <v>Tipo 1 (≤0,25) uT</v>
      </c>
    </row>
    <row r="296" spans="1:60" x14ac:dyDescent="0.2">
      <c r="A296" s="31">
        <v>46291</v>
      </c>
      <c r="B296" s="80">
        <v>0.47916666666666669</v>
      </c>
      <c r="C296" s="57">
        <v>238</v>
      </c>
      <c r="D296" s="57">
        <v>1630</v>
      </c>
      <c r="E296" s="57">
        <v>277</v>
      </c>
      <c r="F296" s="57">
        <v>2276</v>
      </c>
      <c r="G296" s="85" t="s">
        <v>78</v>
      </c>
      <c r="H296" s="63">
        <v>9.5</v>
      </c>
      <c r="I296" s="57">
        <v>-94</v>
      </c>
      <c r="J296" s="57">
        <v>90</v>
      </c>
      <c r="K296" s="57">
        <v>90</v>
      </c>
      <c r="L296" s="57">
        <v>90</v>
      </c>
      <c r="M296" s="57">
        <v>26.3</v>
      </c>
      <c r="N296" s="63">
        <v>6.5</v>
      </c>
      <c r="O296" s="36">
        <v>1.1399999999999999</v>
      </c>
      <c r="P296" s="57">
        <v>10</v>
      </c>
      <c r="Q296" s="63">
        <v>7.8</v>
      </c>
      <c r="R296" s="36">
        <v>0.11</v>
      </c>
      <c r="S296" s="36">
        <v>22.36</v>
      </c>
      <c r="T296" s="36">
        <v>0.88</v>
      </c>
      <c r="U296" s="36">
        <v>0.7</v>
      </c>
      <c r="V296" s="42">
        <f t="shared" si="110"/>
        <v>1704.155</v>
      </c>
      <c r="W296" s="42">
        <f t="shared" si="111"/>
        <v>1522.080976</v>
      </c>
      <c r="X296" s="42">
        <f t="shared" si="112"/>
        <v>0.89315876548788109</v>
      </c>
      <c r="Y296" s="57">
        <v>3</v>
      </c>
      <c r="Z296" s="57">
        <v>4</v>
      </c>
      <c r="AA296" s="63">
        <v>6.2</v>
      </c>
      <c r="AB296" s="57">
        <v>20</v>
      </c>
      <c r="AC296" s="63">
        <v>6.2</v>
      </c>
      <c r="AD296" s="63">
        <v>5.5</v>
      </c>
      <c r="AE296" s="36">
        <v>0.22</v>
      </c>
      <c r="AF296" s="36">
        <v>0.15</v>
      </c>
      <c r="AG296" s="42">
        <f t="shared" si="92"/>
        <v>1704.155</v>
      </c>
      <c r="AH296" s="42">
        <f t="shared" si="113"/>
        <v>1708.2758263999997</v>
      </c>
      <c r="AI296" s="42">
        <f t="shared" si="114"/>
        <v>1.0024181053953425</v>
      </c>
      <c r="AJ296" s="57">
        <v>3</v>
      </c>
      <c r="AK296" s="57">
        <v>4</v>
      </c>
      <c r="AL296" s="63">
        <v>6.3</v>
      </c>
      <c r="AM296" s="57">
        <v>22</v>
      </c>
      <c r="AN296" s="63">
        <v>6.2</v>
      </c>
      <c r="AO296" s="63">
        <v>5.4</v>
      </c>
      <c r="AP296" s="36">
        <v>0.25</v>
      </c>
      <c r="AQ296" s="36">
        <v>0.24</v>
      </c>
      <c r="AR296" s="73">
        <f t="shared" si="93"/>
        <v>2145</v>
      </c>
      <c r="AS296" s="75">
        <f t="shared" si="94"/>
        <v>0.11095571095571095</v>
      </c>
      <c r="AT296" s="75">
        <f t="shared" si="95"/>
        <v>0.75990675990675993</v>
      </c>
      <c r="AU296" s="75">
        <f t="shared" si="96"/>
        <v>0.12913752913752913</v>
      </c>
      <c r="AV296" s="26">
        <f t="shared" si="97"/>
        <v>7.0298769771529004E-2</v>
      </c>
      <c r="AW296" s="26">
        <f t="shared" si="98"/>
        <v>7.7328646748681895E-2</v>
      </c>
      <c r="AX296" s="24">
        <f t="shared" si="99"/>
        <v>0.78947368421052633</v>
      </c>
      <c r="AY296" s="24">
        <f t="shared" si="100"/>
        <v>0.86842105263157898</v>
      </c>
      <c r="AZ296" s="77" t="str">
        <f t="shared" si="101"/>
        <v>7,5 ≤ Alc. Bruta &lt; 10,0 mg/L</v>
      </c>
      <c r="BA296" s="77" t="str">
        <f t="shared" si="102"/>
        <v>10 ≤ Cor &lt;15 uC</v>
      </c>
      <c r="BB296" s="78" t="str">
        <f t="shared" si="103"/>
        <v>Turbidez &lt; 2,5 uT</v>
      </c>
      <c r="BC296" s="79" t="str">
        <f t="shared" si="104"/>
        <v>SM &gt; BNN &gt; TOR</v>
      </c>
      <c r="BD296" s="78" t="str">
        <f t="shared" si="105"/>
        <v>Tipo 1 (≤0,25) uT</v>
      </c>
      <c r="BE296" s="78" t="str">
        <f t="shared" si="106"/>
        <v>Tipo 1 (≤0,25) uT</v>
      </c>
      <c r="BF296" s="78" t="str">
        <f t="shared" si="107"/>
        <v>Tipo 1 (≤0,25) uT</v>
      </c>
      <c r="BG296" s="78" t="str">
        <f t="shared" si="108"/>
        <v>Tipo 1 (≤0,25) uT</v>
      </c>
      <c r="BH296" s="78" t="str">
        <f t="shared" si="109"/>
        <v>Tipo 1 (≤0,25) uT</v>
      </c>
    </row>
    <row r="297" spans="1:60" x14ac:dyDescent="0.2">
      <c r="A297" s="31">
        <v>46291</v>
      </c>
      <c r="B297" s="80">
        <v>0.64583333333333337</v>
      </c>
      <c r="C297" s="57">
        <v>247</v>
      </c>
      <c r="D297" s="57">
        <v>1686</v>
      </c>
      <c r="E297" s="57">
        <v>276</v>
      </c>
      <c r="F297" s="57">
        <v>2188</v>
      </c>
      <c r="G297" s="85" t="s">
        <v>78</v>
      </c>
      <c r="H297" s="63">
        <v>9.1999999999999993</v>
      </c>
      <c r="I297" s="57">
        <v>-83</v>
      </c>
      <c r="J297" s="57">
        <v>90</v>
      </c>
      <c r="K297" s="57">
        <v>90</v>
      </c>
      <c r="L297" s="57">
        <v>90</v>
      </c>
      <c r="M297" s="57">
        <v>27</v>
      </c>
      <c r="N297" s="63">
        <v>6.4</v>
      </c>
      <c r="O297" s="36">
        <v>1.1200000000000001</v>
      </c>
      <c r="P297" s="57">
        <v>10</v>
      </c>
      <c r="Q297" s="63">
        <v>7.9</v>
      </c>
      <c r="R297" s="36">
        <v>0.11</v>
      </c>
      <c r="S297" s="36">
        <v>22.36</v>
      </c>
      <c r="T297" s="36">
        <v>0.88</v>
      </c>
      <c r="U297" s="36">
        <v>0.7</v>
      </c>
      <c r="V297" s="42">
        <f t="shared" si="110"/>
        <v>1608.18</v>
      </c>
      <c r="W297" s="42">
        <f t="shared" si="111"/>
        <v>1598.1850248000001</v>
      </c>
      <c r="X297" s="42">
        <f t="shared" si="112"/>
        <v>0.99378491512144163</v>
      </c>
      <c r="Y297" s="57">
        <v>3</v>
      </c>
      <c r="Z297" s="57">
        <v>4</v>
      </c>
      <c r="AA297" s="63">
        <v>6.2</v>
      </c>
      <c r="AB297" s="57">
        <v>21</v>
      </c>
      <c r="AC297" s="63">
        <v>6.2</v>
      </c>
      <c r="AD297" s="63">
        <v>5.2</v>
      </c>
      <c r="AE297" s="36">
        <v>0.15</v>
      </c>
      <c r="AF297" s="36">
        <v>0.15</v>
      </c>
      <c r="AG297" s="42">
        <f t="shared" si="92"/>
        <v>1608.18</v>
      </c>
      <c r="AH297" s="42">
        <f t="shared" si="113"/>
        <v>1674.2890735999999</v>
      </c>
      <c r="AI297" s="42">
        <f t="shared" si="114"/>
        <v>1.0411080063177007</v>
      </c>
      <c r="AJ297" s="57">
        <v>3</v>
      </c>
      <c r="AK297" s="57">
        <v>4</v>
      </c>
      <c r="AL297" s="63">
        <v>6.2</v>
      </c>
      <c r="AM297" s="57">
        <v>22</v>
      </c>
      <c r="AN297" s="63">
        <v>6.2</v>
      </c>
      <c r="AO297" s="63">
        <v>5.6</v>
      </c>
      <c r="AP297" s="36">
        <v>0.19</v>
      </c>
      <c r="AQ297" s="36">
        <v>0.21</v>
      </c>
      <c r="AR297" s="73">
        <f t="shared" si="93"/>
        <v>2209</v>
      </c>
      <c r="AS297" s="75">
        <f t="shared" si="94"/>
        <v>0.11181530104119511</v>
      </c>
      <c r="AT297" s="75">
        <f t="shared" si="95"/>
        <v>0.76324128564961524</v>
      </c>
      <c r="AU297" s="75">
        <f t="shared" si="96"/>
        <v>0.12494341330918968</v>
      </c>
      <c r="AV297" s="26">
        <f t="shared" si="97"/>
        <v>7.6782449725776969E-2</v>
      </c>
      <c r="AW297" s="26">
        <f t="shared" si="98"/>
        <v>8.0438756855575874E-2</v>
      </c>
      <c r="AX297" s="24">
        <f t="shared" si="99"/>
        <v>0.8125</v>
      </c>
      <c r="AY297" s="24">
        <f t="shared" si="100"/>
        <v>0.8660714285714286</v>
      </c>
      <c r="AZ297" s="77" t="str">
        <f t="shared" si="101"/>
        <v>7,5 ≤ Alc. Bruta &lt; 10,0 mg/L</v>
      </c>
      <c r="BA297" s="77" t="str">
        <f t="shared" si="102"/>
        <v>10 ≤ Cor &lt;15 uC</v>
      </c>
      <c r="BB297" s="78" t="str">
        <f t="shared" si="103"/>
        <v>Turbidez &lt; 2,5 uT</v>
      </c>
      <c r="BC297" s="79" t="str">
        <f t="shared" si="104"/>
        <v>SM &gt; BNN &gt; TOR</v>
      </c>
      <c r="BD297" s="78" t="str">
        <f t="shared" si="105"/>
        <v>Tipo 1 (≤0,25) uT</v>
      </c>
      <c r="BE297" s="78" t="str">
        <f t="shared" si="106"/>
        <v>Tipo 1 (≤0,25) uT</v>
      </c>
      <c r="BF297" s="78" t="str">
        <f t="shared" si="107"/>
        <v>Tipo 1 (≤0,25) uT</v>
      </c>
      <c r="BG297" s="78" t="str">
        <f t="shared" si="108"/>
        <v>Tipo 1 (≤0,25) uT</v>
      </c>
      <c r="BH297" s="78" t="str">
        <f t="shared" si="109"/>
        <v>Tipo 1 (≤0,25) uT</v>
      </c>
    </row>
    <row r="298" spans="1:60" x14ac:dyDescent="0.2">
      <c r="A298" s="31">
        <v>46291</v>
      </c>
      <c r="B298" s="80">
        <v>0.72916666666666663</v>
      </c>
      <c r="C298" s="57">
        <v>308</v>
      </c>
      <c r="D298" s="57">
        <v>1592</v>
      </c>
      <c r="E298" s="57">
        <v>276</v>
      </c>
      <c r="F298" s="57">
        <v>2192</v>
      </c>
      <c r="G298" s="85" t="s">
        <v>78</v>
      </c>
      <c r="H298" s="63">
        <v>8</v>
      </c>
      <c r="I298" s="57">
        <v>-80</v>
      </c>
      <c r="J298" s="57">
        <v>90</v>
      </c>
      <c r="K298" s="57">
        <v>90</v>
      </c>
      <c r="L298" s="57">
        <v>90</v>
      </c>
      <c r="M298" s="57">
        <v>27.1</v>
      </c>
      <c r="N298" s="63">
        <v>6.4</v>
      </c>
      <c r="O298" s="36">
        <v>1.1499999999999999</v>
      </c>
      <c r="P298" s="57">
        <v>10</v>
      </c>
      <c r="Q298" s="63">
        <v>7.8</v>
      </c>
      <c r="R298" s="36">
        <v>0.08</v>
      </c>
      <c r="S298" s="36">
        <v>22.36</v>
      </c>
      <c r="T298" s="36">
        <v>0.88</v>
      </c>
      <c r="U298" s="36">
        <v>0.7</v>
      </c>
      <c r="V298" s="42">
        <f t="shared" si="110"/>
        <v>1520.7</v>
      </c>
      <c r="W298" s="42">
        <f t="shared" si="111"/>
        <v>1522.080976</v>
      </c>
      <c r="X298" s="42">
        <f t="shared" si="112"/>
        <v>1.0009081186295785</v>
      </c>
      <c r="Y298" s="57">
        <v>3</v>
      </c>
      <c r="Z298" s="57">
        <v>4</v>
      </c>
      <c r="AA298" s="63">
        <v>6.2</v>
      </c>
      <c r="AB298" s="57">
        <v>20</v>
      </c>
      <c r="AC298" s="63">
        <v>6.2</v>
      </c>
      <c r="AD298" s="63">
        <v>5.4</v>
      </c>
      <c r="AE298" s="36">
        <v>0.14000000000000001</v>
      </c>
      <c r="AF298" s="36">
        <v>0.16</v>
      </c>
      <c r="AG298" s="42">
        <f t="shared" si="92"/>
        <v>1520.7</v>
      </c>
      <c r="AH298" s="42">
        <f t="shared" si="113"/>
        <v>1785.9247275999996</v>
      </c>
      <c r="AI298" s="42">
        <f t="shared" si="114"/>
        <v>1.1744096321430917</v>
      </c>
      <c r="AJ298" s="57">
        <v>3</v>
      </c>
      <c r="AK298" s="57">
        <v>4</v>
      </c>
      <c r="AL298" s="63">
        <v>6.3</v>
      </c>
      <c r="AM298" s="57">
        <v>23</v>
      </c>
      <c r="AN298" s="63">
        <v>6.2</v>
      </c>
      <c r="AO298" s="63">
        <v>5.5</v>
      </c>
      <c r="AP298" s="36">
        <v>0.2</v>
      </c>
      <c r="AQ298" s="36">
        <v>0.24</v>
      </c>
      <c r="AR298" s="73">
        <f t="shared" si="93"/>
        <v>2176</v>
      </c>
      <c r="AS298" s="75">
        <f t="shared" si="94"/>
        <v>0.14154411764705882</v>
      </c>
      <c r="AT298" s="75">
        <f t="shared" si="95"/>
        <v>0.73161764705882348</v>
      </c>
      <c r="AU298" s="75">
        <f t="shared" si="96"/>
        <v>0.12683823529411764</v>
      </c>
      <c r="AV298" s="26">
        <f t="shared" si="97"/>
        <v>7.2992700729927001E-2</v>
      </c>
      <c r="AW298" s="26">
        <f t="shared" si="98"/>
        <v>8.3941605839416053E-2</v>
      </c>
      <c r="AX298" s="24">
        <f t="shared" si="99"/>
        <v>0.79130434782608694</v>
      </c>
      <c r="AY298" s="24">
        <f t="shared" si="100"/>
        <v>0.86086956521739133</v>
      </c>
      <c r="AZ298" s="77" t="str">
        <f t="shared" si="101"/>
        <v>7,5 ≤ Alc. Bruta &lt; 10,0 mg/L</v>
      </c>
      <c r="BA298" s="77" t="str">
        <f t="shared" si="102"/>
        <v>10 ≤ Cor &lt;15 uC</v>
      </c>
      <c r="BB298" s="78" t="str">
        <f t="shared" si="103"/>
        <v>Turbidez &lt; 2,5 uT</v>
      </c>
      <c r="BC298" s="79" t="str">
        <f t="shared" si="104"/>
        <v>SM &gt; TOR &gt; BNN</v>
      </c>
      <c r="BD298" s="78" t="str">
        <f t="shared" si="105"/>
        <v>Tipo 1 (≤0,25) uT</v>
      </c>
      <c r="BE298" s="78" t="str">
        <f t="shared" si="106"/>
        <v>Tipo 1 (≤0,25) uT</v>
      </c>
      <c r="BF298" s="78" t="str">
        <f t="shared" si="107"/>
        <v>Tipo 1 (≤0,25) uT</v>
      </c>
      <c r="BG298" s="78" t="str">
        <f t="shared" si="108"/>
        <v>Tipo 1 (≤0,25) uT</v>
      </c>
      <c r="BH298" s="78" t="str">
        <f t="shared" si="109"/>
        <v>Tipo 1 (≤0,25) uT</v>
      </c>
    </row>
    <row r="299" spans="1:60" x14ac:dyDescent="0.2">
      <c r="A299" s="31">
        <v>46291</v>
      </c>
      <c r="B299" s="80">
        <v>0.8125</v>
      </c>
      <c r="C299" s="57">
        <v>303</v>
      </c>
      <c r="D299" s="57">
        <v>1587</v>
      </c>
      <c r="E299" s="57">
        <v>275</v>
      </c>
      <c r="F299" s="57">
        <v>2175</v>
      </c>
      <c r="G299" s="85" t="s">
        <v>78</v>
      </c>
      <c r="H299" s="63">
        <v>9.1999999999999993</v>
      </c>
      <c r="I299" s="57">
        <v>-75</v>
      </c>
      <c r="J299" s="57">
        <v>90</v>
      </c>
      <c r="K299" s="57">
        <v>90</v>
      </c>
      <c r="L299" s="57">
        <v>90</v>
      </c>
      <c r="M299" s="57">
        <v>25.8</v>
      </c>
      <c r="N299" s="63">
        <v>6.4</v>
      </c>
      <c r="O299" s="36">
        <v>1.1200000000000001</v>
      </c>
      <c r="P299" s="57">
        <v>11</v>
      </c>
      <c r="Q299" s="63">
        <v>8.1999999999999993</v>
      </c>
      <c r="R299" s="36">
        <v>0.15</v>
      </c>
      <c r="S299" s="36">
        <v>22.36</v>
      </c>
      <c r="T299" s="36">
        <v>0.88</v>
      </c>
      <c r="U299" s="36">
        <v>0.7</v>
      </c>
      <c r="V299" s="42">
        <f t="shared" si="110"/>
        <v>1598.625</v>
      </c>
      <c r="W299" s="42">
        <f t="shared" si="111"/>
        <v>1533.3012239999998</v>
      </c>
      <c r="X299" s="42">
        <f t="shared" si="112"/>
        <v>0.95913752380952366</v>
      </c>
      <c r="Y299" s="57">
        <v>3</v>
      </c>
      <c r="Z299" s="57">
        <v>4</v>
      </c>
      <c r="AA299" s="63">
        <v>6</v>
      </c>
      <c r="AB299" s="57">
        <v>21</v>
      </c>
      <c r="AC299" s="63">
        <v>6.3</v>
      </c>
      <c r="AD299" s="63">
        <v>5.7</v>
      </c>
      <c r="AE299" s="36">
        <v>0.1</v>
      </c>
      <c r="AF299" s="36">
        <v>0.15</v>
      </c>
      <c r="AG299" s="42">
        <f t="shared" si="92"/>
        <v>1598.625</v>
      </c>
      <c r="AH299" s="42">
        <f t="shared" si="113"/>
        <v>1785.9247275999996</v>
      </c>
      <c r="AI299" s="42">
        <f t="shared" si="114"/>
        <v>1.1171630167174913</v>
      </c>
      <c r="AJ299" s="57">
        <v>3</v>
      </c>
      <c r="AK299" s="57">
        <v>4</v>
      </c>
      <c r="AL299" s="63">
        <v>6.3</v>
      </c>
      <c r="AM299" s="57">
        <v>23</v>
      </c>
      <c r="AN299" s="63">
        <v>6.3</v>
      </c>
      <c r="AO299" s="63">
        <v>5.8</v>
      </c>
      <c r="AP299" s="36">
        <v>0.13</v>
      </c>
      <c r="AQ299" s="36">
        <v>0.17</v>
      </c>
      <c r="AR299" s="73">
        <f t="shared" si="93"/>
        <v>2165</v>
      </c>
      <c r="AS299" s="75">
        <f t="shared" si="94"/>
        <v>0.13995381062355658</v>
      </c>
      <c r="AT299" s="75">
        <f t="shared" si="95"/>
        <v>0.73302540415704387</v>
      </c>
      <c r="AU299" s="75">
        <f t="shared" si="96"/>
        <v>0.12702078521939955</v>
      </c>
      <c r="AV299" s="26">
        <f t="shared" si="97"/>
        <v>7.7241379310344832E-2</v>
      </c>
      <c r="AW299" s="26">
        <f t="shared" si="98"/>
        <v>8.4597701149425289E-2</v>
      </c>
      <c r="AX299" s="24">
        <f t="shared" si="99"/>
        <v>0.8482142857142857</v>
      </c>
      <c r="AY299" s="24">
        <f t="shared" si="100"/>
        <v>0.8660714285714286</v>
      </c>
      <c r="AZ299" s="77" t="str">
        <f t="shared" si="101"/>
        <v>7,5 ≤ Alc. Bruta &lt; 10,0 mg/L</v>
      </c>
      <c r="BA299" s="77" t="str">
        <f t="shared" si="102"/>
        <v>10 ≤ Cor &lt;15 uC</v>
      </c>
      <c r="BB299" s="78" t="str">
        <f t="shared" si="103"/>
        <v>Turbidez &lt; 2,5 uT</v>
      </c>
      <c r="BC299" s="79" t="str">
        <f t="shared" si="104"/>
        <v>SM &gt; TOR &gt; BNN</v>
      </c>
      <c r="BD299" s="78" t="str">
        <f t="shared" si="105"/>
        <v>Tipo 1 (≤0,25) uT</v>
      </c>
      <c r="BE299" s="78" t="str">
        <f t="shared" si="106"/>
        <v>Tipo 1 (≤0,25) uT</v>
      </c>
      <c r="BF299" s="78" t="str">
        <f t="shared" si="107"/>
        <v>Tipo 1 (≤0,25) uT</v>
      </c>
      <c r="BG299" s="78" t="str">
        <f t="shared" si="108"/>
        <v>Tipo 1 (≤0,25) uT</v>
      </c>
      <c r="BH299" s="78" t="str">
        <f t="shared" si="109"/>
        <v>Tipo 1 (≤0,25) uT</v>
      </c>
    </row>
    <row r="300" spans="1:60" x14ac:dyDescent="0.2">
      <c r="A300" s="31">
        <v>46291</v>
      </c>
      <c r="B300" s="80">
        <v>0.89583333333333337</v>
      </c>
      <c r="C300" s="57">
        <v>299</v>
      </c>
      <c r="D300" s="57">
        <v>1592</v>
      </c>
      <c r="E300" s="57">
        <v>276</v>
      </c>
      <c r="F300" s="57">
        <v>2167</v>
      </c>
      <c r="G300" s="85" t="s">
        <v>78</v>
      </c>
      <c r="H300" s="63">
        <v>9.1999999999999993</v>
      </c>
      <c r="I300" s="57">
        <v>-68</v>
      </c>
      <c r="J300" s="57">
        <v>90</v>
      </c>
      <c r="K300" s="57">
        <v>90</v>
      </c>
      <c r="L300" s="57">
        <v>90</v>
      </c>
      <c r="M300" s="57">
        <v>26.4</v>
      </c>
      <c r="N300" s="63">
        <v>6.4</v>
      </c>
      <c r="O300" s="36">
        <v>1.1599999999999999</v>
      </c>
      <c r="P300" s="57">
        <v>10</v>
      </c>
      <c r="Q300" s="63">
        <v>7.1</v>
      </c>
      <c r="R300" s="36">
        <v>0.08</v>
      </c>
      <c r="S300" s="36">
        <v>22.36</v>
      </c>
      <c r="T300" s="36">
        <v>0.88</v>
      </c>
      <c r="U300" s="36">
        <v>0.7</v>
      </c>
      <c r="V300" s="42">
        <f t="shared" si="110"/>
        <v>1603.58</v>
      </c>
      <c r="W300" s="42">
        <f t="shared" si="111"/>
        <v>1533.3012239999998</v>
      </c>
      <c r="X300" s="42">
        <f t="shared" si="112"/>
        <v>0.95617382606418133</v>
      </c>
      <c r="Y300" s="57">
        <v>3</v>
      </c>
      <c r="Z300" s="57">
        <v>4</v>
      </c>
      <c r="AA300" s="63">
        <v>6</v>
      </c>
      <c r="AB300" s="57">
        <v>21</v>
      </c>
      <c r="AC300" s="63">
        <v>6</v>
      </c>
      <c r="AD300" s="63">
        <v>5.5</v>
      </c>
      <c r="AE300" s="36">
        <v>0.13</v>
      </c>
      <c r="AF300" s="36">
        <v>0.13</v>
      </c>
      <c r="AG300" s="42">
        <f t="shared" si="92"/>
        <v>1603.58</v>
      </c>
      <c r="AH300" s="42">
        <f t="shared" si="113"/>
        <v>1821.4563327999999</v>
      </c>
      <c r="AI300" s="42">
        <f t="shared" si="114"/>
        <v>1.1358687017797677</v>
      </c>
      <c r="AJ300" s="57">
        <v>3</v>
      </c>
      <c r="AK300" s="57">
        <v>4</v>
      </c>
      <c r="AL300" s="63">
        <v>6.4</v>
      </c>
      <c r="AM300" s="57">
        <v>23</v>
      </c>
      <c r="AN300" s="63">
        <v>6.1</v>
      </c>
      <c r="AO300" s="63">
        <v>5.5</v>
      </c>
      <c r="AP300" s="36">
        <v>0.1</v>
      </c>
      <c r="AQ300" s="36">
        <v>0.19</v>
      </c>
      <c r="AR300" s="73">
        <f t="shared" si="93"/>
        <v>2167</v>
      </c>
      <c r="AS300" s="75">
        <f t="shared" si="94"/>
        <v>0.137978772496539</v>
      </c>
      <c r="AT300" s="75">
        <f t="shared" si="95"/>
        <v>0.73465620673742504</v>
      </c>
      <c r="AU300" s="75">
        <f t="shared" si="96"/>
        <v>0.12736502076603601</v>
      </c>
      <c r="AV300" s="26">
        <f t="shared" si="97"/>
        <v>7.7526534379326259E-2</v>
      </c>
      <c r="AW300" s="26">
        <f t="shared" si="98"/>
        <v>8.4910013844023996E-2</v>
      </c>
      <c r="AX300" s="24">
        <f t="shared" si="99"/>
        <v>0.83620689655172409</v>
      </c>
      <c r="AY300" s="24">
        <f t="shared" si="100"/>
        <v>0.88793103448275856</v>
      </c>
      <c r="AZ300" s="77" t="str">
        <f t="shared" si="101"/>
        <v>5,0 ≤ Alc. Bruta &lt; 7,5 mg/L</v>
      </c>
      <c r="BA300" s="77" t="str">
        <f t="shared" si="102"/>
        <v>10 ≤ Cor &lt;15 uC</v>
      </c>
      <c r="BB300" s="78" t="str">
        <f t="shared" si="103"/>
        <v>Turbidez &lt; 2,5 uT</v>
      </c>
      <c r="BC300" s="79" t="str">
        <f t="shared" si="104"/>
        <v>SM &gt; TOR &gt; BNN</v>
      </c>
      <c r="BD300" s="78" t="str">
        <f t="shared" si="105"/>
        <v>Tipo 1 (≤0,25) uT</v>
      </c>
      <c r="BE300" s="78" t="str">
        <f t="shared" si="106"/>
        <v>Tipo 1 (≤0,25) uT</v>
      </c>
      <c r="BF300" s="78" t="str">
        <f t="shared" si="107"/>
        <v>Tipo 1 (≤0,25) uT</v>
      </c>
      <c r="BG300" s="78" t="str">
        <f t="shared" si="108"/>
        <v>Tipo 1 (≤0,25) uT</v>
      </c>
      <c r="BH300" s="78" t="str">
        <f t="shared" si="109"/>
        <v>Tipo 1 (≤0,25) uT</v>
      </c>
    </row>
    <row r="301" spans="1:60" x14ac:dyDescent="0.2">
      <c r="A301" s="31">
        <v>46292</v>
      </c>
      <c r="B301" s="80">
        <v>6.25E-2</v>
      </c>
      <c r="C301" s="57">
        <v>311</v>
      </c>
      <c r="D301" s="57">
        <v>1600</v>
      </c>
      <c r="E301" s="57">
        <v>276</v>
      </c>
      <c r="F301" s="57">
        <v>2180</v>
      </c>
      <c r="G301" s="85" t="s">
        <v>78</v>
      </c>
      <c r="H301" s="63">
        <v>9.1999999999999993</v>
      </c>
      <c r="I301" s="57">
        <v>-56</v>
      </c>
      <c r="J301" s="57">
        <v>90</v>
      </c>
      <c r="K301" s="57">
        <v>90</v>
      </c>
      <c r="L301" s="57">
        <v>90</v>
      </c>
      <c r="M301" s="57">
        <v>25.8</v>
      </c>
      <c r="N301" s="63">
        <v>6.3</v>
      </c>
      <c r="O301" s="36">
        <v>1.28</v>
      </c>
      <c r="P301" s="57">
        <v>11</v>
      </c>
      <c r="Q301" s="63">
        <v>8.4</v>
      </c>
      <c r="R301" s="36">
        <v>0.08</v>
      </c>
      <c r="S301" s="36">
        <v>22.36</v>
      </c>
      <c r="T301" s="36">
        <v>0.88</v>
      </c>
      <c r="U301" s="36">
        <v>0.7</v>
      </c>
      <c r="V301" s="42">
        <f t="shared" si="110"/>
        <v>1645.9</v>
      </c>
      <c r="W301" s="42">
        <f t="shared" si="111"/>
        <v>1533.3012239999998</v>
      </c>
      <c r="X301" s="42">
        <f t="shared" si="112"/>
        <v>0.93158832492861032</v>
      </c>
      <c r="Y301" s="57">
        <v>3</v>
      </c>
      <c r="Z301" s="57">
        <v>4</v>
      </c>
      <c r="AA301" s="63">
        <v>6</v>
      </c>
      <c r="AB301" s="57">
        <v>21</v>
      </c>
      <c r="AC301" s="63">
        <v>6.2</v>
      </c>
      <c r="AD301" s="63">
        <v>5.9</v>
      </c>
      <c r="AE301" s="36">
        <v>0.12</v>
      </c>
      <c r="AF301" s="36">
        <v>0.14000000000000001</v>
      </c>
      <c r="AG301" s="42">
        <f t="shared" si="92"/>
        <v>1645.9</v>
      </c>
      <c r="AH301" s="42">
        <f t="shared" si="113"/>
        <v>1821.4563327999999</v>
      </c>
      <c r="AI301" s="42">
        <f t="shared" si="114"/>
        <v>1.1066628183972294</v>
      </c>
      <c r="AJ301" s="57">
        <v>3</v>
      </c>
      <c r="AK301" s="57">
        <v>4</v>
      </c>
      <c r="AL301" s="63">
        <v>6.4</v>
      </c>
      <c r="AM301" s="57">
        <v>23</v>
      </c>
      <c r="AN301" s="63">
        <v>6.1</v>
      </c>
      <c r="AO301" s="63">
        <v>5.4</v>
      </c>
      <c r="AP301" s="36">
        <v>0.14000000000000001</v>
      </c>
      <c r="AQ301" s="36">
        <v>0.22</v>
      </c>
      <c r="AR301" s="73">
        <f t="shared" si="93"/>
        <v>2187</v>
      </c>
      <c r="AS301" s="75">
        <f t="shared" si="94"/>
        <v>0.14220393232738912</v>
      </c>
      <c r="AT301" s="75">
        <f t="shared" si="95"/>
        <v>0.73159579332418834</v>
      </c>
      <c r="AU301" s="75">
        <f t="shared" si="96"/>
        <v>0.12620027434842249</v>
      </c>
      <c r="AV301" s="26">
        <f t="shared" si="97"/>
        <v>7.7064220183486243E-2</v>
      </c>
      <c r="AW301" s="26">
        <f t="shared" si="98"/>
        <v>8.4403669724770647E-2</v>
      </c>
      <c r="AX301" s="24">
        <f t="shared" si="99"/>
        <v>0.828125</v>
      </c>
      <c r="AY301" s="24">
        <f t="shared" si="100"/>
        <v>0.890625</v>
      </c>
      <c r="AZ301" s="77" t="str">
        <f t="shared" si="101"/>
        <v>7,5 ≤ Alc. Bruta &lt; 10,0 mg/L</v>
      </c>
      <c r="BA301" s="77" t="str">
        <f t="shared" si="102"/>
        <v>10 ≤ Cor &lt;15 uC</v>
      </c>
      <c r="BB301" s="78" t="str">
        <f t="shared" si="103"/>
        <v>Turbidez &lt; 2,5 uT</v>
      </c>
      <c r="BC301" s="79" t="str">
        <f t="shared" si="104"/>
        <v>SM &gt; TOR &gt; BNN</v>
      </c>
      <c r="BD301" s="78" t="str">
        <f t="shared" si="105"/>
        <v>Tipo 1 (≤0,25) uT</v>
      </c>
      <c r="BE301" s="78" t="str">
        <f t="shared" si="106"/>
        <v>Tipo 1 (≤0,25) uT</v>
      </c>
      <c r="BF301" s="78" t="str">
        <f t="shared" si="107"/>
        <v>Tipo 1 (≤0,25) uT</v>
      </c>
      <c r="BG301" s="78" t="str">
        <f t="shared" si="108"/>
        <v>Tipo 1 (≤0,25) uT</v>
      </c>
      <c r="BH301" s="78" t="str">
        <f t="shared" si="109"/>
        <v>Tipo 1 (≤0,25) uT</v>
      </c>
    </row>
    <row r="302" spans="1:60" x14ac:dyDescent="0.2">
      <c r="A302" s="31">
        <v>46292</v>
      </c>
      <c r="B302" s="80">
        <v>0.14583333333333334</v>
      </c>
      <c r="C302" s="57">
        <v>340</v>
      </c>
      <c r="D302" s="57">
        <v>1041</v>
      </c>
      <c r="E302" s="57">
        <v>301</v>
      </c>
      <c r="F302" s="57">
        <v>1708</v>
      </c>
      <c r="G302" s="85" t="s">
        <v>78</v>
      </c>
      <c r="H302" s="63">
        <v>9.1999999999999993</v>
      </c>
      <c r="I302" s="57">
        <v>-50</v>
      </c>
      <c r="J302" s="57">
        <v>90</v>
      </c>
      <c r="K302" s="57">
        <v>90</v>
      </c>
      <c r="L302" s="57">
        <v>90</v>
      </c>
      <c r="M302" s="57">
        <v>25.5</v>
      </c>
      <c r="N302" s="63">
        <v>6.3</v>
      </c>
      <c r="O302" s="36">
        <v>1.26</v>
      </c>
      <c r="P302" s="57">
        <v>10</v>
      </c>
      <c r="Q302" s="63">
        <v>7.3</v>
      </c>
      <c r="R302" s="36">
        <v>0.08</v>
      </c>
      <c r="S302" s="36">
        <v>22.36</v>
      </c>
      <c r="T302" s="36">
        <v>0.88</v>
      </c>
      <c r="U302" s="36">
        <v>0.7</v>
      </c>
      <c r="V302" s="42">
        <f t="shared" si="110"/>
        <v>1285.27</v>
      </c>
      <c r="W302" s="42">
        <f t="shared" si="111"/>
        <v>1533.3012239999998</v>
      </c>
      <c r="X302" s="42">
        <f t="shared" si="112"/>
        <v>1.1929798594847774</v>
      </c>
      <c r="Y302" s="57">
        <v>3</v>
      </c>
      <c r="Z302" s="57">
        <v>4</v>
      </c>
      <c r="AA302" s="63">
        <v>6</v>
      </c>
      <c r="AB302" s="57">
        <v>21</v>
      </c>
      <c r="AC302" s="63">
        <v>6.1</v>
      </c>
      <c r="AD302" s="63">
        <v>5.7</v>
      </c>
      <c r="AE302" s="36">
        <v>0.12</v>
      </c>
      <c r="AF302" s="36">
        <v>0.13</v>
      </c>
      <c r="AG302" s="42">
        <f t="shared" si="92"/>
        <v>1285.27</v>
      </c>
      <c r="AH302" s="42">
        <f t="shared" si="113"/>
        <v>1785.9247275999996</v>
      </c>
      <c r="AI302" s="42">
        <f t="shared" si="114"/>
        <v>1.3895327266644359</v>
      </c>
      <c r="AJ302" s="57">
        <v>3</v>
      </c>
      <c r="AK302" s="57">
        <v>4</v>
      </c>
      <c r="AL302" s="63">
        <v>6.3</v>
      </c>
      <c r="AM302" s="57">
        <v>23</v>
      </c>
      <c r="AN302" s="63">
        <v>6.1</v>
      </c>
      <c r="AO302" s="63">
        <v>5.6</v>
      </c>
      <c r="AP302" s="36">
        <v>0.12</v>
      </c>
      <c r="AQ302" s="36">
        <v>0.23</v>
      </c>
      <c r="AR302" s="73">
        <f t="shared" si="93"/>
        <v>1682</v>
      </c>
      <c r="AS302" s="75">
        <f t="shared" si="94"/>
        <v>0.20214030915576695</v>
      </c>
      <c r="AT302" s="75">
        <f t="shared" si="95"/>
        <v>0.61890606420927463</v>
      </c>
      <c r="AU302" s="75">
        <f t="shared" si="96"/>
        <v>0.1789536266349584</v>
      </c>
      <c r="AV302" s="26">
        <f t="shared" si="97"/>
        <v>9.8360655737704916E-2</v>
      </c>
      <c r="AW302" s="26">
        <f t="shared" si="98"/>
        <v>0.10772833723653395</v>
      </c>
      <c r="AX302" s="24">
        <f t="shared" si="99"/>
        <v>0.81746031746031744</v>
      </c>
      <c r="AY302" s="24">
        <f t="shared" si="100"/>
        <v>0.89682539682539686</v>
      </c>
      <c r="AZ302" s="77" t="str">
        <f t="shared" si="101"/>
        <v>5,0 ≤ Alc. Bruta &lt; 7,5 mg/L</v>
      </c>
      <c r="BA302" s="77" t="str">
        <f t="shared" si="102"/>
        <v>10 ≤ Cor &lt;15 uC</v>
      </c>
      <c r="BB302" s="78" t="str">
        <f t="shared" si="103"/>
        <v>Turbidez &lt; 2,5 uT</v>
      </c>
      <c r="BC302" s="79" t="str">
        <f t="shared" si="104"/>
        <v>SM &gt; TOR &gt; BNN</v>
      </c>
      <c r="BD302" s="78" t="str">
        <f t="shared" si="105"/>
        <v>Tipo 1 (≤0,25) uT</v>
      </c>
      <c r="BE302" s="78" t="str">
        <f t="shared" si="106"/>
        <v>Tipo 1 (≤0,25) uT</v>
      </c>
      <c r="BF302" s="78" t="str">
        <f t="shared" si="107"/>
        <v>Tipo 1 (≤0,25) uT</v>
      </c>
      <c r="BG302" s="78" t="str">
        <f t="shared" si="108"/>
        <v>Tipo 1 (≤0,25) uT</v>
      </c>
      <c r="BH302" s="78" t="str">
        <f t="shared" si="109"/>
        <v>Tipo 1 (≤0,25) uT</v>
      </c>
    </row>
    <row r="303" spans="1:60" ht="15.75" thickBot="1" x14ac:dyDescent="0.25">
      <c r="A303" s="32">
        <v>46292</v>
      </c>
      <c r="B303" s="81">
        <v>0.22916666666666666</v>
      </c>
      <c r="C303" s="58">
        <v>317</v>
      </c>
      <c r="D303" s="58">
        <v>1047</v>
      </c>
      <c r="E303" s="58">
        <v>301</v>
      </c>
      <c r="F303" s="58">
        <v>1698</v>
      </c>
      <c r="G303" s="86" t="s">
        <v>78</v>
      </c>
      <c r="H303" s="64">
        <v>9.1999999999999993</v>
      </c>
      <c r="I303" s="58">
        <v>-47</v>
      </c>
      <c r="J303" s="58">
        <v>90</v>
      </c>
      <c r="K303" s="58">
        <v>90</v>
      </c>
      <c r="L303" s="58">
        <v>90</v>
      </c>
      <c r="M303" s="58">
        <v>25</v>
      </c>
      <c r="N303" s="64">
        <v>6.4</v>
      </c>
      <c r="O303" s="37">
        <v>1.31</v>
      </c>
      <c r="P303" s="58">
        <v>11</v>
      </c>
      <c r="Q303" s="64">
        <v>8.6999999999999993</v>
      </c>
      <c r="R303" s="37">
        <v>0.08</v>
      </c>
      <c r="S303" s="36">
        <v>22.36</v>
      </c>
      <c r="T303" s="36">
        <v>0.88</v>
      </c>
      <c r="U303" s="36">
        <v>0.7</v>
      </c>
      <c r="V303" s="42">
        <f t="shared" si="110"/>
        <v>1288.3575000000001</v>
      </c>
      <c r="W303" s="42">
        <f t="shared" si="111"/>
        <v>1533.3012239999998</v>
      </c>
      <c r="X303" s="42">
        <f t="shared" si="112"/>
        <v>1.1901209283913818</v>
      </c>
      <c r="Y303" s="58">
        <v>3</v>
      </c>
      <c r="Z303" s="58">
        <v>4</v>
      </c>
      <c r="AA303" s="64">
        <v>6</v>
      </c>
      <c r="AB303" s="58">
        <v>21</v>
      </c>
      <c r="AC303" s="64">
        <v>6.2</v>
      </c>
      <c r="AD303" s="64">
        <v>6.6</v>
      </c>
      <c r="AE303" s="37">
        <v>0.13</v>
      </c>
      <c r="AF303" s="37">
        <v>0.17</v>
      </c>
      <c r="AG303" s="42">
        <f t="shared" si="92"/>
        <v>1288.3575000000001</v>
      </c>
      <c r="AH303" s="42">
        <f t="shared" si="113"/>
        <v>1821.4563327999999</v>
      </c>
      <c r="AI303" s="42">
        <f t="shared" si="114"/>
        <v>1.4137817591778679</v>
      </c>
      <c r="AJ303" s="58">
        <v>3</v>
      </c>
      <c r="AK303" s="58">
        <v>4</v>
      </c>
      <c r="AL303" s="64">
        <v>6.4</v>
      </c>
      <c r="AM303" s="58">
        <v>23</v>
      </c>
      <c r="AN303" s="64">
        <v>6.2</v>
      </c>
      <c r="AO303" s="64">
        <v>6.5</v>
      </c>
      <c r="AP303" s="37">
        <v>0.15</v>
      </c>
      <c r="AQ303" s="37">
        <v>0.22</v>
      </c>
      <c r="AR303" s="73">
        <f t="shared" si="93"/>
        <v>1665</v>
      </c>
      <c r="AS303" s="75">
        <f t="shared" si="94"/>
        <v>0.19039039039039038</v>
      </c>
      <c r="AT303" s="75">
        <f t="shared" si="95"/>
        <v>0.62882882882882885</v>
      </c>
      <c r="AU303" s="75">
        <f t="shared" si="96"/>
        <v>0.18078078078078078</v>
      </c>
      <c r="AV303" s="26">
        <f t="shared" si="97"/>
        <v>9.8939929328621903E-2</v>
      </c>
      <c r="AW303" s="26">
        <f t="shared" si="98"/>
        <v>0.10836277974087162</v>
      </c>
      <c r="AX303" s="24">
        <f t="shared" si="99"/>
        <v>0.83206106870229002</v>
      </c>
      <c r="AY303" s="24">
        <f t="shared" si="100"/>
        <v>0.87022900763358779</v>
      </c>
      <c r="AZ303" s="77" t="str">
        <f t="shared" si="101"/>
        <v>7,5 ≤ Alc. Bruta &lt; 10,0 mg/L</v>
      </c>
      <c r="BA303" s="77" t="str">
        <f t="shared" si="102"/>
        <v>10 ≤ Cor &lt;15 uC</v>
      </c>
      <c r="BB303" s="78" t="str">
        <f t="shared" si="103"/>
        <v>Turbidez &lt; 2,5 uT</v>
      </c>
      <c r="BC303" s="79" t="str">
        <f t="shared" si="104"/>
        <v>SM &gt; TOR &gt; BNN</v>
      </c>
      <c r="BD303" s="78" t="str">
        <f t="shared" si="105"/>
        <v>Tipo 1 (≤0,25) uT</v>
      </c>
      <c r="BE303" s="78" t="str">
        <f t="shared" si="106"/>
        <v>Tipo 1 (≤0,25) uT</v>
      </c>
      <c r="BF303" s="78" t="str">
        <f t="shared" si="107"/>
        <v>Tipo 1 (≤0,25) uT</v>
      </c>
      <c r="BG303" s="78" t="str">
        <f t="shared" si="108"/>
        <v>Tipo 1 (≤0,25) uT</v>
      </c>
      <c r="BH303" s="78" t="str">
        <f t="shared" si="109"/>
        <v>Tipo 1 (≤0,25) uT</v>
      </c>
    </row>
    <row r="304" spans="1:60" x14ac:dyDescent="0.2">
      <c r="A304" s="30">
        <v>46292</v>
      </c>
      <c r="B304" s="82">
        <v>0.3125</v>
      </c>
      <c r="C304" s="59">
        <v>290</v>
      </c>
      <c r="D304" s="59">
        <v>380</v>
      </c>
      <c r="E304" s="59">
        <v>500</v>
      </c>
      <c r="F304" s="59">
        <v>1000</v>
      </c>
      <c r="G304" s="87" t="s">
        <v>78</v>
      </c>
      <c r="H304" s="65">
        <v>9.1999999999999993</v>
      </c>
      <c r="I304" s="59">
        <v>-47</v>
      </c>
      <c r="J304" s="59">
        <v>90</v>
      </c>
      <c r="K304" s="59">
        <v>90</v>
      </c>
      <c r="L304" s="59">
        <v>90</v>
      </c>
      <c r="M304" s="59">
        <v>25.5</v>
      </c>
      <c r="N304" s="65">
        <v>6.5</v>
      </c>
      <c r="O304" s="38">
        <v>1.28</v>
      </c>
      <c r="P304" s="59">
        <v>10</v>
      </c>
      <c r="Q304" s="65">
        <v>7.3</v>
      </c>
      <c r="R304" s="38">
        <v>0.08</v>
      </c>
      <c r="S304" s="36">
        <v>22.36</v>
      </c>
      <c r="T304" s="36">
        <v>0.88</v>
      </c>
      <c r="U304" s="36">
        <v>0.7</v>
      </c>
      <c r="V304" s="42">
        <f t="shared" si="110"/>
        <v>1510</v>
      </c>
      <c r="W304" s="42">
        <f t="shared" si="111"/>
        <v>1453.2949080000001</v>
      </c>
      <c r="X304" s="42">
        <f t="shared" si="112"/>
        <v>0.96244695894039745</v>
      </c>
      <c r="Y304" s="59">
        <v>2</v>
      </c>
      <c r="Z304" s="59">
        <v>2</v>
      </c>
      <c r="AA304" s="65">
        <v>6.5</v>
      </c>
      <c r="AB304" s="59">
        <v>18</v>
      </c>
      <c r="AC304" s="65">
        <v>6.2</v>
      </c>
      <c r="AD304" s="65">
        <v>5</v>
      </c>
      <c r="AE304" s="38">
        <v>0.13</v>
      </c>
      <c r="AF304" s="38">
        <v>0.14000000000000001</v>
      </c>
      <c r="AG304" s="42">
        <f t="shared" si="92"/>
        <v>1510</v>
      </c>
      <c r="AH304" s="42">
        <f t="shared" si="113"/>
        <v>1941.2225299999996</v>
      </c>
      <c r="AI304" s="42">
        <f t="shared" si="114"/>
        <v>1.2855778344370858</v>
      </c>
      <c r="AJ304" s="59">
        <v>2</v>
      </c>
      <c r="AK304" s="59">
        <v>2</v>
      </c>
      <c r="AL304" s="65">
        <v>6.3</v>
      </c>
      <c r="AM304" s="59">
        <v>25</v>
      </c>
      <c r="AN304" s="65">
        <v>6.2</v>
      </c>
      <c r="AO304" s="65">
        <v>5.4</v>
      </c>
      <c r="AP304" s="38">
        <v>0.11</v>
      </c>
      <c r="AQ304" s="38">
        <v>0.24</v>
      </c>
      <c r="AR304" s="73">
        <f t="shared" si="93"/>
        <v>1170</v>
      </c>
      <c r="AS304" s="75">
        <f t="shared" si="94"/>
        <v>0.24786324786324787</v>
      </c>
      <c r="AT304" s="75">
        <f t="shared" si="95"/>
        <v>0.3247863247863248</v>
      </c>
      <c r="AU304" s="75">
        <f t="shared" si="96"/>
        <v>0.42735042735042733</v>
      </c>
      <c r="AV304" s="26">
        <f t="shared" si="97"/>
        <v>7.1999999999999995E-2</v>
      </c>
      <c r="AW304" s="26">
        <f t="shared" si="98"/>
        <v>0.1</v>
      </c>
      <c r="AX304" s="24">
        <f t="shared" si="99"/>
        <v>0.8125</v>
      </c>
      <c r="AY304" s="24">
        <f t="shared" si="100"/>
        <v>0.890625</v>
      </c>
      <c r="AZ304" s="77" t="str">
        <f t="shared" si="101"/>
        <v>5,0 ≤ Alc. Bruta &lt; 7,5 mg/L</v>
      </c>
      <c r="BA304" s="77" t="str">
        <f t="shared" si="102"/>
        <v>10 ≤ Cor &lt;15 uC</v>
      </c>
      <c r="BB304" s="78" t="str">
        <f t="shared" si="103"/>
        <v>Turbidez &lt; 2,5 uT</v>
      </c>
      <c r="BC304" s="79" t="str">
        <f t="shared" si="104"/>
        <v>Comb. diferentes</v>
      </c>
      <c r="BD304" s="78" t="str">
        <f t="shared" si="105"/>
        <v>Tipo 1 (≤0,25) uT</v>
      </c>
      <c r="BE304" s="78" t="str">
        <f t="shared" si="106"/>
        <v>Tipo 1 (≤0,25) uT</v>
      </c>
      <c r="BF304" s="78" t="str">
        <f t="shared" si="107"/>
        <v>Tipo 1 (≤0,25) uT</v>
      </c>
      <c r="BG304" s="78" t="str">
        <f t="shared" si="108"/>
        <v>Tipo 1 (≤0,25) uT</v>
      </c>
      <c r="BH304" s="78" t="str">
        <f t="shared" si="109"/>
        <v>Tipo 1 (≤0,25) uT</v>
      </c>
    </row>
    <row r="305" spans="1:60" x14ac:dyDescent="0.2">
      <c r="A305" s="31">
        <v>46292</v>
      </c>
      <c r="B305" s="80">
        <v>0.39583333333333331</v>
      </c>
      <c r="C305" s="57">
        <v>292</v>
      </c>
      <c r="D305" s="57">
        <v>400</v>
      </c>
      <c r="E305" s="57">
        <v>300</v>
      </c>
      <c r="F305" s="57">
        <v>980</v>
      </c>
      <c r="G305" s="85" t="s">
        <v>78</v>
      </c>
      <c r="H305" s="63">
        <v>9.1999999999999993</v>
      </c>
      <c r="I305" s="57">
        <v>-39</v>
      </c>
      <c r="J305" s="57">
        <v>90</v>
      </c>
      <c r="K305" s="57">
        <v>90</v>
      </c>
      <c r="L305" s="57">
        <v>90</v>
      </c>
      <c r="M305" s="57">
        <v>25.8</v>
      </c>
      <c r="N305" s="63">
        <v>6.4</v>
      </c>
      <c r="O305" s="36">
        <v>1.34</v>
      </c>
      <c r="P305" s="57">
        <v>10</v>
      </c>
      <c r="Q305" s="63">
        <v>8.8000000000000007</v>
      </c>
      <c r="R305" s="36">
        <v>0.08</v>
      </c>
      <c r="S305" s="36">
        <v>22.36</v>
      </c>
      <c r="T305" s="36">
        <v>0.88</v>
      </c>
      <c r="U305" s="36">
        <v>0.7</v>
      </c>
      <c r="V305" s="42">
        <f t="shared" si="110"/>
        <v>1494.5</v>
      </c>
      <c r="W305" s="42">
        <f t="shared" si="111"/>
        <v>1453.2949080000001</v>
      </c>
      <c r="X305" s="42">
        <f t="shared" si="112"/>
        <v>0.97242884442957511</v>
      </c>
      <c r="Y305" s="57">
        <v>2</v>
      </c>
      <c r="Z305" s="57">
        <v>2</v>
      </c>
      <c r="AA305" s="63">
        <v>6.5</v>
      </c>
      <c r="AB305" s="57">
        <v>18</v>
      </c>
      <c r="AC305" s="63">
        <v>6.2</v>
      </c>
      <c r="AD305" s="63">
        <v>7.5</v>
      </c>
      <c r="AE305" s="36">
        <v>0.15</v>
      </c>
      <c r="AF305" s="36">
        <v>0.14000000000000001</v>
      </c>
      <c r="AG305" s="42">
        <f t="shared" si="92"/>
        <v>1494.5</v>
      </c>
      <c r="AH305" s="42">
        <f t="shared" si="113"/>
        <v>1941.2225299999996</v>
      </c>
      <c r="AI305" s="42">
        <f t="shared" si="114"/>
        <v>1.298911027099364</v>
      </c>
      <c r="AJ305" s="57">
        <v>2</v>
      </c>
      <c r="AK305" s="57">
        <v>2</v>
      </c>
      <c r="AL305" s="63">
        <v>6.3</v>
      </c>
      <c r="AM305" s="57">
        <v>25</v>
      </c>
      <c r="AN305" s="63">
        <v>6.2</v>
      </c>
      <c r="AO305" s="63">
        <v>8.1</v>
      </c>
      <c r="AP305" s="36">
        <v>7.0000000000000007E-2</v>
      </c>
      <c r="AQ305" s="36">
        <v>0.17</v>
      </c>
      <c r="AR305" s="73">
        <f t="shared" si="93"/>
        <v>992</v>
      </c>
      <c r="AS305" s="75">
        <f t="shared" si="94"/>
        <v>0.29435483870967744</v>
      </c>
      <c r="AT305" s="75">
        <f t="shared" si="95"/>
        <v>0.40322580645161288</v>
      </c>
      <c r="AU305" s="75">
        <f t="shared" si="96"/>
        <v>0.30241935483870969</v>
      </c>
      <c r="AV305" s="26">
        <f t="shared" si="97"/>
        <v>7.3469387755102047E-2</v>
      </c>
      <c r="AW305" s="26">
        <f t="shared" si="98"/>
        <v>0.10204081632653061</v>
      </c>
      <c r="AX305" s="24">
        <f t="shared" si="99"/>
        <v>0.87313432835820892</v>
      </c>
      <c r="AY305" s="24">
        <f t="shared" si="100"/>
        <v>0.89552238805970152</v>
      </c>
      <c r="AZ305" s="77" t="str">
        <f t="shared" si="101"/>
        <v>7,5 ≤ Alc. Bruta &lt; 10,0 mg/L</v>
      </c>
      <c r="BA305" s="77" t="str">
        <f t="shared" si="102"/>
        <v>10 ≤ Cor &lt;15 uC</v>
      </c>
      <c r="BB305" s="78" t="str">
        <f t="shared" si="103"/>
        <v>Turbidez &lt; 2,5 uT</v>
      </c>
      <c r="BC305" s="79" t="str">
        <f t="shared" si="104"/>
        <v>SM &gt; BNN &gt; TOR</v>
      </c>
      <c r="BD305" s="78" t="str">
        <f t="shared" si="105"/>
        <v>Tipo 1 (≤0,25) uT</v>
      </c>
      <c r="BE305" s="78" t="str">
        <f t="shared" si="106"/>
        <v>Tipo 1 (≤0,25) uT</v>
      </c>
      <c r="BF305" s="78" t="str">
        <f t="shared" si="107"/>
        <v>Tipo 1 (≤0,25) uT</v>
      </c>
      <c r="BG305" s="78" t="str">
        <f t="shared" si="108"/>
        <v>Tipo 1 (≤0,25) uT</v>
      </c>
      <c r="BH305" s="78" t="str">
        <f t="shared" si="109"/>
        <v>Tipo 1 (≤0,25) uT</v>
      </c>
    </row>
    <row r="306" spans="1:60" x14ac:dyDescent="0.2">
      <c r="A306" s="31">
        <v>46292</v>
      </c>
      <c r="B306" s="80">
        <v>0.47916666666666669</v>
      </c>
      <c r="C306" s="57">
        <v>350</v>
      </c>
      <c r="D306" s="57">
        <v>280</v>
      </c>
      <c r="E306" s="57">
        <v>300</v>
      </c>
      <c r="F306" s="57">
        <v>950</v>
      </c>
      <c r="G306" s="85" t="s">
        <v>78</v>
      </c>
      <c r="H306" s="63">
        <v>9.1999999999999993</v>
      </c>
      <c r="I306" s="57">
        <v>-28</v>
      </c>
      <c r="J306" s="57">
        <v>90</v>
      </c>
      <c r="K306" s="57">
        <v>90</v>
      </c>
      <c r="L306" s="57">
        <v>90</v>
      </c>
      <c r="M306" s="57">
        <v>26.8</v>
      </c>
      <c r="N306" s="63">
        <v>6.5</v>
      </c>
      <c r="O306" s="36">
        <v>1.25</v>
      </c>
      <c r="P306" s="57">
        <v>10</v>
      </c>
      <c r="Q306" s="63">
        <v>9.5</v>
      </c>
      <c r="R306" s="36">
        <v>0.08</v>
      </c>
      <c r="S306" s="36">
        <v>22.36</v>
      </c>
      <c r="T306" s="36">
        <v>0.88</v>
      </c>
      <c r="U306" s="36">
        <v>0.7</v>
      </c>
      <c r="V306" s="42">
        <f t="shared" si="110"/>
        <v>1427.375</v>
      </c>
      <c r="W306" s="42">
        <f t="shared" si="111"/>
        <v>1453.2949080000001</v>
      </c>
      <c r="X306" s="42">
        <f t="shared" si="112"/>
        <v>1.018159143883002</v>
      </c>
      <c r="Y306" s="57">
        <v>2</v>
      </c>
      <c r="Z306" s="57">
        <v>2</v>
      </c>
      <c r="AA306" s="63">
        <v>6.5</v>
      </c>
      <c r="AB306" s="57">
        <v>18</v>
      </c>
      <c r="AC306" s="63">
        <v>6.4</v>
      </c>
      <c r="AD306" s="63">
        <v>7.1</v>
      </c>
      <c r="AE306" s="36">
        <v>0.12</v>
      </c>
      <c r="AF306" s="36">
        <v>0.13</v>
      </c>
      <c r="AG306" s="42">
        <f t="shared" si="92"/>
        <v>1427.375</v>
      </c>
      <c r="AH306" s="42">
        <f t="shared" si="113"/>
        <v>1941.2225299999996</v>
      </c>
      <c r="AI306" s="42">
        <f t="shared" si="114"/>
        <v>1.3599947666170416</v>
      </c>
      <c r="AJ306" s="57">
        <v>2</v>
      </c>
      <c r="AK306" s="57">
        <v>2</v>
      </c>
      <c r="AL306" s="63">
        <v>6.3</v>
      </c>
      <c r="AM306" s="57">
        <v>25</v>
      </c>
      <c r="AN306" s="63">
        <v>6.4</v>
      </c>
      <c r="AO306" s="63">
        <v>7.1</v>
      </c>
      <c r="AP306" s="36">
        <v>0.09</v>
      </c>
      <c r="AQ306" s="36">
        <v>0.12</v>
      </c>
      <c r="AR306" s="73">
        <f t="shared" si="93"/>
        <v>930</v>
      </c>
      <c r="AS306" s="75">
        <f t="shared" si="94"/>
        <v>0.37634408602150538</v>
      </c>
      <c r="AT306" s="75">
        <f t="shared" si="95"/>
        <v>0.30107526881720431</v>
      </c>
      <c r="AU306" s="75">
        <f t="shared" si="96"/>
        <v>0.32258064516129031</v>
      </c>
      <c r="AV306" s="26">
        <f t="shared" si="97"/>
        <v>7.5789473684210532E-2</v>
      </c>
      <c r="AW306" s="26">
        <f t="shared" si="98"/>
        <v>0.10526315789473684</v>
      </c>
      <c r="AX306" s="24">
        <f t="shared" si="99"/>
        <v>0.90400000000000003</v>
      </c>
      <c r="AY306" s="24">
        <f t="shared" si="100"/>
        <v>0.89600000000000002</v>
      </c>
      <c r="AZ306" s="77" t="str">
        <f t="shared" si="101"/>
        <v>7,5 ≤ Alc. Bruta &lt; 10,0 mg/L</v>
      </c>
      <c r="BA306" s="77" t="str">
        <f t="shared" si="102"/>
        <v>10 ≤ Cor &lt;15 uC</v>
      </c>
      <c r="BB306" s="78" t="str">
        <f t="shared" si="103"/>
        <v>Turbidez &lt; 2,5 uT</v>
      </c>
      <c r="BC306" s="79" t="str">
        <f t="shared" si="104"/>
        <v>TOR &gt; BNN &gt; SM</v>
      </c>
      <c r="BD306" s="78" t="str">
        <f t="shared" si="105"/>
        <v>Tipo 1 (≤0,25) uT</v>
      </c>
      <c r="BE306" s="78" t="str">
        <f t="shared" si="106"/>
        <v>Tipo 1 (≤0,25) uT</v>
      </c>
      <c r="BF306" s="78" t="str">
        <f t="shared" si="107"/>
        <v>Tipo 1 (≤0,25) uT</v>
      </c>
      <c r="BG306" s="78" t="str">
        <f t="shared" si="108"/>
        <v>Tipo 1 (≤0,25) uT</v>
      </c>
      <c r="BH306" s="78" t="str">
        <f t="shared" si="109"/>
        <v>Tipo 1 (≤0,25) uT</v>
      </c>
    </row>
    <row r="307" spans="1:60" x14ac:dyDescent="0.2">
      <c r="A307" s="31">
        <v>46292</v>
      </c>
      <c r="B307" s="80">
        <v>0.64583333333333337</v>
      </c>
      <c r="C307" s="57">
        <v>330</v>
      </c>
      <c r="D307" s="57">
        <v>1180</v>
      </c>
      <c r="E307" s="57">
        <v>300</v>
      </c>
      <c r="F307" s="57">
        <v>1780</v>
      </c>
      <c r="G307" s="85" t="s">
        <v>78</v>
      </c>
      <c r="H307" s="63">
        <v>9.1999999999999993</v>
      </c>
      <c r="I307" s="57">
        <v>-15</v>
      </c>
      <c r="J307" s="57">
        <v>90</v>
      </c>
      <c r="K307" s="57">
        <v>90</v>
      </c>
      <c r="L307" s="57">
        <v>90</v>
      </c>
      <c r="M307" s="57">
        <v>28.3</v>
      </c>
      <c r="N307" s="63">
        <v>6.4</v>
      </c>
      <c r="O307" s="36">
        <v>1.24</v>
      </c>
      <c r="P307" s="57">
        <v>9</v>
      </c>
      <c r="Q307" s="63">
        <v>7.2</v>
      </c>
      <c r="R307" s="36">
        <v>0.06</v>
      </c>
      <c r="S307" s="36">
        <v>22.36</v>
      </c>
      <c r="T307" s="36">
        <v>0.88</v>
      </c>
      <c r="U307" s="36">
        <v>0.7</v>
      </c>
      <c r="V307" s="42">
        <f t="shared" si="110"/>
        <v>1335</v>
      </c>
      <c r="W307" s="42">
        <f t="shared" si="111"/>
        <v>1565.7431243999997</v>
      </c>
      <c r="X307" s="42">
        <f t="shared" si="112"/>
        <v>1.172841291685393</v>
      </c>
      <c r="Y307" s="57">
        <v>2</v>
      </c>
      <c r="Z307" s="57">
        <v>4</v>
      </c>
      <c r="AA307" s="63">
        <v>6.1</v>
      </c>
      <c r="AB307" s="57">
        <v>21</v>
      </c>
      <c r="AC307" s="63">
        <v>6.1</v>
      </c>
      <c r="AD307" s="63">
        <v>5.0999999999999996</v>
      </c>
      <c r="AE307" s="36">
        <v>0.1</v>
      </c>
      <c r="AF307" s="36">
        <v>0.17</v>
      </c>
      <c r="AG307" s="42">
        <f t="shared" si="92"/>
        <v>1780</v>
      </c>
      <c r="AH307" s="42">
        <f t="shared" si="113"/>
        <v>1742.2625791999999</v>
      </c>
      <c r="AI307" s="42">
        <f t="shared" si="114"/>
        <v>0.9787992017977527</v>
      </c>
      <c r="AJ307" s="57">
        <v>2</v>
      </c>
      <c r="AK307" s="57">
        <v>3</v>
      </c>
      <c r="AL307" s="63">
        <v>6.4</v>
      </c>
      <c r="AM307" s="57">
        <v>22</v>
      </c>
      <c r="AN307" s="63">
        <v>6.1</v>
      </c>
      <c r="AO307" s="63">
        <v>5.5</v>
      </c>
      <c r="AP307" s="36">
        <v>0.13</v>
      </c>
      <c r="AQ307" s="36">
        <v>0.18</v>
      </c>
      <c r="AR307" s="73">
        <f t="shared" si="93"/>
        <v>1810</v>
      </c>
      <c r="AS307" s="75">
        <f t="shared" si="94"/>
        <v>0.18232044198895028</v>
      </c>
      <c r="AT307" s="75">
        <f t="shared" si="95"/>
        <v>0.65193370165745856</v>
      </c>
      <c r="AU307" s="75">
        <f t="shared" si="96"/>
        <v>0.16574585635359115</v>
      </c>
      <c r="AV307" s="26">
        <f t="shared" si="97"/>
        <v>9.4382022471910118E-2</v>
      </c>
      <c r="AW307" s="26">
        <f t="shared" si="98"/>
        <v>7.4157303370786506E-2</v>
      </c>
      <c r="AX307" s="24">
        <f t="shared" si="99"/>
        <v>0.85483870967741937</v>
      </c>
      <c r="AY307" s="24">
        <f t="shared" si="100"/>
        <v>0.86290322580645162</v>
      </c>
      <c r="AZ307" s="77" t="str">
        <f t="shared" si="101"/>
        <v>5,0 ≤ Alc. Bruta &lt; 7,5 mg/L</v>
      </c>
      <c r="BA307" s="77" t="str">
        <f t="shared" si="102"/>
        <v>5 ≤ Cor &lt; 10 uC</v>
      </c>
      <c r="BB307" s="78" t="str">
        <f t="shared" si="103"/>
        <v>Turbidez &lt; 2,5 uT</v>
      </c>
      <c r="BC307" s="79" t="str">
        <f t="shared" si="104"/>
        <v>SM &gt; TOR &gt; BNN</v>
      </c>
      <c r="BD307" s="78" t="str">
        <f t="shared" si="105"/>
        <v>Tipo 1 (≤0,25) uT</v>
      </c>
      <c r="BE307" s="78" t="str">
        <f t="shared" si="106"/>
        <v>Tipo 1 (≤0,25) uT</v>
      </c>
      <c r="BF307" s="78" t="str">
        <f t="shared" si="107"/>
        <v>Tipo 1 (≤0,25) uT</v>
      </c>
      <c r="BG307" s="78" t="str">
        <f t="shared" si="108"/>
        <v>Tipo 1 (≤0,25) uT</v>
      </c>
      <c r="BH307" s="78" t="str">
        <f t="shared" si="109"/>
        <v>Tipo 1 (≤0,25) uT</v>
      </c>
    </row>
    <row r="308" spans="1:60" x14ac:dyDescent="0.2">
      <c r="A308" s="31">
        <v>46292</v>
      </c>
      <c r="B308" s="80">
        <v>0.72916666666666663</v>
      </c>
      <c r="C308" s="57">
        <v>314</v>
      </c>
      <c r="D308" s="57">
        <v>1172</v>
      </c>
      <c r="E308" s="57">
        <v>292</v>
      </c>
      <c r="F308" s="57">
        <v>1770</v>
      </c>
      <c r="G308" s="85" t="s">
        <v>78</v>
      </c>
      <c r="H308" s="63">
        <v>9.1999999999999993</v>
      </c>
      <c r="I308" s="57">
        <v>-5</v>
      </c>
      <c r="J308" s="57">
        <v>90</v>
      </c>
      <c r="K308" s="57">
        <v>90</v>
      </c>
      <c r="L308" s="57">
        <v>90</v>
      </c>
      <c r="M308" s="57">
        <v>27.7</v>
      </c>
      <c r="N308" s="63">
        <v>6.4</v>
      </c>
      <c r="O308" s="36">
        <v>1.48</v>
      </c>
      <c r="P308" s="57">
        <v>10</v>
      </c>
      <c r="Q308" s="63">
        <v>6.8</v>
      </c>
      <c r="R308" s="36">
        <v>0.08</v>
      </c>
      <c r="S308" s="36">
        <v>22.36</v>
      </c>
      <c r="T308" s="36">
        <v>0.88</v>
      </c>
      <c r="U308" s="36">
        <v>0.7</v>
      </c>
      <c r="V308" s="42">
        <f t="shared" si="110"/>
        <v>1380.6000000000001</v>
      </c>
      <c r="W308" s="42">
        <f t="shared" si="111"/>
        <v>1565.7431243999997</v>
      </c>
      <c r="X308" s="42">
        <f t="shared" si="112"/>
        <v>1.1341033785310732</v>
      </c>
      <c r="Y308" s="57">
        <v>2</v>
      </c>
      <c r="Z308" s="57">
        <v>4</v>
      </c>
      <c r="AA308" s="63">
        <v>6.1</v>
      </c>
      <c r="AB308" s="57">
        <v>21</v>
      </c>
      <c r="AC308" s="63">
        <v>6.2</v>
      </c>
      <c r="AD308" s="63">
        <v>5.5</v>
      </c>
      <c r="AE308" s="36">
        <v>0.11</v>
      </c>
      <c r="AF308" s="36">
        <v>0.15</v>
      </c>
      <c r="AG308" s="42">
        <f t="shared" si="92"/>
        <v>1840.8</v>
      </c>
      <c r="AH308" s="42">
        <f t="shared" si="113"/>
        <v>1742.2625791999999</v>
      </c>
      <c r="AI308" s="42">
        <f t="shared" si="114"/>
        <v>0.94647032768361583</v>
      </c>
      <c r="AJ308" s="57">
        <v>2</v>
      </c>
      <c r="AK308" s="57">
        <v>3</v>
      </c>
      <c r="AL308" s="63">
        <v>6.4</v>
      </c>
      <c r="AM308" s="57">
        <v>22</v>
      </c>
      <c r="AN308" s="63">
        <v>6.2</v>
      </c>
      <c r="AO308" s="63">
        <v>5.7</v>
      </c>
      <c r="AP308" s="36">
        <v>0.09</v>
      </c>
      <c r="AQ308" s="36">
        <v>0.19</v>
      </c>
      <c r="AR308" s="73">
        <f t="shared" si="93"/>
        <v>1778</v>
      </c>
      <c r="AS308" s="75">
        <f t="shared" si="94"/>
        <v>0.1766029246344207</v>
      </c>
      <c r="AT308" s="75">
        <f t="shared" si="95"/>
        <v>0.65916760404949382</v>
      </c>
      <c r="AU308" s="75">
        <f t="shared" si="96"/>
        <v>0.16422947131608548</v>
      </c>
      <c r="AV308" s="26">
        <f t="shared" si="97"/>
        <v>9.4915254237288138E-2</v>
      </c>
      <c r="AW308" s="26">
        <f t="shared" si="98"/>
        <v>7.4576271186440682E-2</v>
      </c>
      <c r="AX308" s="24">
        <f t="shared" si="99"/>
        <v>0.8716216216216216</v>
      </c>
      <c r="AY308" s="24">
        <f t="shared" si="100"/>
        <v>0.89864864864864868</v>
      </c>
      <c r="AZ308" s="77" t="str">
        <f t="shared" si="101"/>
        <v>5,0 ≤ Alc. Bruta &lt; 7,5 mg/L</v>
      </c>
      <c r="BA308" s="77" t="str">
        <f t="shared" si="102"/>
        <v>10 ≤ Cor &lt;15 uC</v>
      </c>
      <c r="BB308" s="78" t="str">
        <f t="shared" si="103"/>
        <v>Turbidez &lt; 2,5 uT</v>
      </c>
      <c r="BC308" s="79" t="str">
        <f t="shared" si="104"/>
        <v>SM &gt; TOR &gt; BNN</v>
      </c>
      <c r="BD308" s="78" t="str">
        <f t="shared" si="105"/>
        <v>Tipo 1 (≤0,25) uT</v>
      </c>
      <c r="BE308" s="78" t="str">
        <f t="shared" si="106"/>
        <v>Tipo 1 (≤0,25) uT</v>
      </c>
      <c r="BF308" s="78" t="str">
        <f t="shared" si="107"/>
        <v>Tipo 1 (≤0,25) uT</v>
      </c>
      <c r="BG308" s="78" t="str">
        <f t="shared" si="108"/>
        <v>Tipo 1 (≤0,25) uT</v>
      </c>
      <c r="BH308" s="78" t="str">
        <f t="shared" si="109"/>
        <v>Tipo 1 (≤0,25) uT</v>
      </c>
    </row>
    <row r="309" spans="1:60" x14ac:dyDescent="0.2">
      <c r="A309" s="31">
        <v>46292</v>
      </c>
      <c r="B309" s="80">
        <v>0.8125</v>
      </c>
      <c r="C309" s="57">
        <v>321</v>
      </c>
      <c r="D309" s="57">
        <v>1206</v>
      </c>
      <c r="E309" s="57">
        <v>290</v>
      </c>
      <c r="F309" s="57">
        <v>1800</v>
      </c>
      <c r="G309" s="85" t="s">
        <v>78</v>
      </c>
      <c r="H309" s="63">
        <v>9.1999999999999993</v>
      </c>
      <c r="I309" s="57">
        <v>0.87</v>
      </c>
      <c r="J309" s="57">
        <v>90</v>
      </c>
      <c r="K309" s="57">
        <v>90</v>
      </c>
      <c r="L309" s="57">
        <v>90</v>
      </c>
      <c r="M309" s="57">
        <v>27</v>
      </c>
      <c r="N309" s="63">
        <v>6.4</v>
      </c>
      <c r="O309" s="36">
        <v>1.17</v>
      </c>
      <c r="P309" s="57">
        <v>10</v>
      </c>
      <c r="Q309" s="63">
        <v>7.2</v>
      </c>
      <c r="R309" s="36">
        <v>0.08</v>
      </c>
      <c r="S309" s="36">
        <v>22.36</v>
      </c>
      <c r="T309" s="36">
        <v>0.88</v>
      </c>
      <c r="U309" s="36">
        <v>0.7</v>
      </c>
      <c r="V309" s="42">
        <f t="shared" si="110"/>
        <v>1334.25</v>
      </c>
      <c r="W309" s="42">
        <f t="shared" si="111"/>
        <v>1565.7431243999997</v>
      </c>
      <c r="X309" s="42">
        <f t="shared" si="112"/>
        <v>1.1735005616638559</v>
      </c>
      <c r="Y309" s="57">
        <v>2</v>
      </c>
      <c r="Z309" s="57">
        <v>4</v>
      </c>
      <c r="AA309" s="63">
        <v>6.1</v>
      </c>
      <c r="AB309" s="57">
        <v>21</v>
      </c>
      <c r="AC309" s="63">
        <v>6.1</v>
      </c>
      <c r="AD309" s="63">
        <v>5.6</v>
      </c>
      <c r="AE309" s="36">
        <v>0.1</v>
      </c>
      <c r="AF309" s="36">
        <v>0.14000000000000001</v>
      </c>
      <c r="AG309" s="42">
        <f t="shared" si="92"/>
        <v>1779</v>
      </c>
      <c r="AH309" s="42">
        <f t="shared" si="113"/>
        <v>1742.2625791999999</v>
      </c>
      <c r="AI309" s="42">
        <f t="shared" si="114"/>
        <v>0.97934939808881383</v>
      </c>
      <c r="AJ309" s="57">
        <v>2</v>
      </c>
      <c r="AK309" s="57">
        <v>3</v>
      </c>
      <c r="AL309" s="63">
        <v>6.4</v>
      </c>
      <c r="AM309" s="57">
        <v>22</v>
      </c>
      <c r="AN309" s="63">
        <v>6.2</v>
      </c>
      <c r="AO309" s="63">
        <v>5.9</v>
      </c>
      <c r="AP309" s="36">
        <v>0.1</v>
      </c>
      <c r="AQ309" s="36">
        <v>0.17</v>
      </c>
      <c r="AR309" s="73">
        <f t="shared" si="93"/>
        <v>1817</v>
      </c>
      <c r="AS309" s="75">
        <f t="shared" si="94"/>
        <v>0.17666483214089157</v>
      </c>
      <c r="AT309" s="75">
        <f t="shared" si="95"/>
        <v>0.66373142542652719</v>
      </c>
      <c r="AU309" s="75">
        <f t="shared" si="96"/>
        <v>0.15960374243258119</v>
      </c>
      <c r="AV309" s="26">
        <f t="shared" si="97"/>
        <v>9.3333333333333338E-2</v>
      </c>
      <c r="AW309" s="26">
        <f t="shared" si="98"/>
        <v>7.3333333333333334E-2</v>
      </c>
      <c r="AX309" s="24">
        <f t="shared" si="99"/>
        <v>0.85470085470085466</v>
      </c>
      <c r="AY309" s="24">
        <f t="shared" si="100"/>
        <v>0.88034188034188032</v>
      </c>
      <c r="AZ309" s="77" t="str">
        <f t="shared" si="101"/>
        <v>5,0 ≤ Alc. Bruta &lt; 7,5 mg/L</v>
      </c>
      <c r="BA309" s="77" t="str">
        <f t="shared" si="102"/>
        <v>10 ≤ Cor &lt;15 uC</v>
      </c>
      <c r="BB309" s="78" t="str">
        <f t="shared" si="103"/>
        <v>Turbidez &lt; 2,5 uT</v>
      </c>
      <c r="BC309" s="79" t="str">
        <f t="shared" si="104"/>
        <v>SM &gt; TOR &gt; BNN</v>
      </c>
      <c r="BD309" s="78" t="str">
        <f t="shared" si="105"/>
        <v>Tipo 1 (≤0,25) uT</v>
      </c>
      <c r="BE309" s="78" t="str">
        <f t="shared" si="106"/>
        <v>Tipo 1 (≤0,25) uT</v>
      </c>
      <c r="BF309" s="78" t="str">
        <f t="shared" si="107"/>
        <v>Tipo 1 (≤0,25) uT</v>
      </c>
      <c r="BG309" s="78" t="str">
        <f t="shared" si="108"/>
        <v>Tipo 1 (≤0,25) uT</v>
      </c>
      <c r="BH309" s="78" t="str">
        <f t="shared" si="109"/>
        <v>Tipo 1 (≤0,25) uT</v>
      </c>
    </row>
    <row r="310" spans="1:60" x14ac:dyDescent="0.2">
      <c r="A310" s="31">
        <v>46292</v>
      </c>
      <c r="B310" s="80">
        <v>0.89583333333333337</v>
      </c>
      <c r="C310" s="57">
        <v>317</v>
      </c>
      <c r="D310" s="57">
        <v>1246</v>
      </c>
      <c r="E310" s="57">
        <v>292</v>
      </c>
      <c r="F310" s="57">
        <v>1810</v>
      </c>
      <c r="G310" s="85" t="s">
        <v>78</v>
      </c>
      <c r="H310" s="63">
        <v>9.1999999999999993</v>
      </c>
      <c r="I310" s="57">
        <v>10.99</v>
      </c>
      <c r="J310" s="57">
        <v>90</v>
      </c>
      <c r="K310" s="57">
        <v>90</v>
      </c>
      <c r="L310" s="57">
        <v>90</v>
      </c>
      <c r="M310" s="57">
        <v>26.8</v>
      </c>
      <c r="N310" s="63">
        <v>6.4</v>
      </c>
      <c r="O310" s="36">
        <v>1.21</v>
      </c>
      <c r="P310" s="57">
        <v>10</v>
      </c>
      <c r="Q310" s="63">
        <v>6.9</v>
      </c>
      <c r="R310" s="36">
        <v>0.08</v>
      </c>
      <c r="S310" s="36">
        <v>22.36</v>
      </c>
      <c r="T310" s="36">
        <v>0.88</v>
      </c>
      <c r="U310" s="36">
        <v>0.7</v>
      </c>
      <c r="V310" s="42">
        <f t="shared" si="110"/>
        <v>1350.7124999999999</v>
      </c>
      <c r="W310" s="42">
        <f t="shared" si="111"/>
        <v>1565.7431243999997</v>
      </c>
      <c r="X310" s="42">
        <f t="shared" si="112"/>
        <v>1.1591979228740386</v>
      </c>
      <c r="Y310" s="57">
        <v>2</v>
      </c>
      <c r="Z310" s="57">
        <v>4</v>
      </c>
      <c r="AA310" s="63">
        <v>6.1</v>
      </c>
      <c r="AB310" s="57">
        <v>21</v>
      </c>
      <c r="AC310" s="63">
        <v>6.2</v>
      </c>
      <c r="AD310" s="63">
        <v>5.6</v>
      </c>
      <c r="AE310" s="36">
        <v>0.12</v>
      </c>
      <c r="AF310" s="36">
        <v>0.16</v>
      </c>
      <c r="AG310" s="42">
        <f t="shared" si="92"/>
        <v>1800.95</v>
      </c>
      <c r="AH310" s="42">
        <f t="shared" si="113"/>
        <v>1742.2625791999999</v>
      </c>
      <c r="AI310" s="42">
        <f t="shared" si="114"/>
        <v>0.96741307598767312</v>
      </c>
      <c r="AJ310" s="57">
        <v>2</v>
      </c>
      <c r="AK310" s="57">
        <v>3</v>
      </c>
      <c r="AL310" s="63">
        <v>6.4</v>
      </c>
      <c r="AM310" s="57">
        <v>22</v>
      </c>
      <c r="AN310" s="63">
        <v>6.3</v>
      </c>
      <c r="AO310" s="63">
        <v>6</v>
      </c>
      <c r="AP310" s="36">
        <v>0.12</v>
      </c>
      <c r="AQ310" s="36">
        <v>0.2</v>
      </c>
      <c r="AR310" s="73">
        <f t="shared" si="93"/>
        <v>1855</v>
      </c>
      <c r="AS310" s="75">
        <f t="shared" si="94"/>
        <v>0.17088948787061994</v>
      </c>
      <c r="AT310" s="75">
        <f t="shared" si="95"/>
        <v>0.67169811320754713</v>
      </c>
      <c r="AU310" s="75">
        <f t="shared" si="96"/>
        <v>0.1574123989218329</v>
      </c>
      <c r="AV310" s="26">
        <f t="shared" si="97"/>
        <v>9.2817679558011054E-2</v>
      </c>
      <c r="AW310" s="26">
        <f t="shared" si="98"/>
        <v>7.2928176795580099E-2</v>
      </c>
      <c r="AX310" s="24">
        <f t="shared" si="99"/>
        <v>0.83471074380165289</v>
      </c>
      <c r="AY310" s="24">
        <f t="shared" si="100"/>
        <v>0.86776859504132231</v>
      </c>
      <c r="AZ310" s="77" t="str">
        <f t="shared" si="101"/>
        <v>5,0 ≤ Alc. Bruta &lt; 7,5 mg/L</v>
      </c>
      <c r="BA310" s="77" t="str">
        <f t="shared" si="102"/>
        <v>10 ≤ Cor &lt;15 uC</v>
      </c>
      <c r="BB310" s="78" t="str">
        <f t="shared" si="103"/>
        <v>Turbidez &lt; 2,5 uT</v>
      </c>
      <c r="BC310" s="79" t="str">
        <f t="shared" si="104"/>
        <v>SM &gt; TOR &gt; BNN</v>
      </c>
      <c r="BD310" s="78" t="str">
        <f t="shared" si="105"/>
        <v>Tipo 1 (≤0,25) uT</v>
      </c>
      <c r="BE310" s="78" t="str">
        <f t="shared" si="106"/>
        <v>Tipo 1 (≤0,25) uT</v>
      </c>
      <c r="BF310" s="78" t="str">
        <f t="shared" si="107"/>
        <v>Tipo 1 (≤0,25) uT</v>
      </c>
      <c r="BG310" s="78" t="str">
        <f t="shared" si="108"/>
        <v>Tipo 1 (≤0,25) uT</v>
      </c>
      <c r="BH310" s="78" t="str">
        <f t="shared" si="109"/>
        <v>Tipo 1 (≤0,25) uT</v>
      </c>
    </row>
    <row r="311" spans="1:60" x14ac:dyDescent="0.2">
      <c r="A311" s="31">
        <v>46292</v>
      </c>
      <c r="B311" s="80">
        <v>0.97916666666666663</v>
      </c>
      <c r="C311" s="57">
        <v>190</v>
      </c>
      <c r="D311" s="57">
        <v>1692</v>
      </c>
      <c r="E311" s="57">
        <v>250</v>
      </c>
      <c r="F311" s="57">
        <v>2410</v>
      </c>
      <c r="G311" s="85" t="s">
        <v>78</v>
      </c>
      <c r="H311" s="63">
        <v>9.1999999999999993</v>
      </c>
      <c r="I311" s="57">
        <v>17.100000000000001</v>
      </c>
      <c r="J311" s="57">
        <v>90</v>
      </c>
      <c r="K311" s="57">
        <v>90</v>
      </c>
      <c r="L311" s="57">
        <v>90</v>
      </c>
      <c r="M311" s="57">
        <v>26.6</v>
      </c>
      <c r="N311" s="63">
        <v>6.4</v>
      </c>
      <c r="O311" s="36">
        <v>1.19</v>
      </c>
      <c r="P311" s="57">
        <v>10</v>
      </c>
      <c r="Q311" s="63">
        <v>7</v>
      </c>
      <c r="R311" s="36">
        <v>0.08</v>
      </c>
      <c r="S311" s="36">
        <v>22.36</v>
      </c>
      <c r="T311" s="36">
        <v>0.88</v>
      </c>
      <c r="U311" s="36">
        <v>0.7</v>
      </c>
      <c r="V311" s="42">
        <f t="shared" si="110"/>
        <v>1792.4374999999998</v>
      </c>
      <c r="W311" s="42">
        <f t="shared" si="111"/>
        <v>1565.7431243999997</v>
      </c>
      <c r="X311" s="42">
        <f t="shared" si="112"/>
        <v>0.87352731930680982</v>
      </c>
      <c r="Y311" s="57">
        <v>3</v>
      </c>
      <c r="Z311" s="57">
        <v>4</v>
      </c>
      <c r="AA311" s="63">
        <v>6.1</v>
      </c>
      <c r="AB311" s="57">
        <v>21</v>
      </c>
      <c r="AC311" s="63">
        <v>6.2</v>
      </c>
      <c r="AD311" s="63">
        <v>5.5</v>
      </c>
      <c r="AE311" s="36">
        <v>0.19</v>
      </c>
      <c r="AF311" s="36">
        <v>0.09</v>
      </c>
      <c r="AG311" s="42">
        <f t="shared" si="92"/>
        <v>1792.4374999999998</v>
      </c>
      <c r="AH311" s="42">
        <f t="shared" si="113"/>
        <v>1663.0688255999999</v>
      </c>
      <c r="AI311" s="42">
        <f t="shared" si="114"/>
        <v>0.92782528015621191</v>
      </c>
      <c r="AJ311" s="57">
        <v>3</v>
      </c>
      <c r="AK311" s="57">
        <v>4</v>
      </c>
      <c r="AL311" s="63">
        <v>6.4</v>
      </c>
      <c r="AM311" s="57">
        <v>21</v>
      </c>
      <c r="AN311" s="63">
        <v>6.2</v>
      </c>
      <c r="AO311" s="63">
        <v>6.1</v>
      </c>
      <c r="AP311" s="36">
        <v>0.18</v>
      </c>
      <c r="AQ311" s="36">
        <v>0.19</v>
      </c>
      <c r="AR311" s="73">
        <f t="shared" si="93"/>
        <v>2132</v>
      </c>
      <c r="AS311" s="75">
        <f t="shared" si="94"/>
        <v>8.9118198874296436E-2</v>
      </c>
      <c r="AT311" s="75">
        <f t="shared" si="95"/>
        <v>0.79362101313320821</v>
      </c>
      <c r="AU311" s="75">
        <f t="shared" si="96"/>
        <v>0.11726078799249531</v>
      </c>
      <c r="AV311" s="26">
        <f t="shared" si="97"/>
        <v>6.9709543568464732E-2</v>
      </c>
      <c r="AW311" s="26">
        <f t="shared" si="98"/>
        <v>6.9709543568464732E-2</v>
      </c>
      <c r="AX311" s="24">
        <f t="shared" si="99"/>
        <v>0.84033613445378152</v>
      </c>
      <c r="AY311" s="24">
        <f t="shared" si="100"/>
        <v>0.92436974789915971</v>
      </c>
      <c r="AZ311" s="77" t="str">
        <f t="shared" si="101"/>
        <v>5,0 ≤ Alc. Bruta &lt; 7,5 mg/L</v>
      </c>
      <c r="BA311" s="77" t="str">
        <f t="shared" si="102"/>
        <v>10 ≤ Cor &lt;15 uC</v>
      </c>
      <c r="BB311" s="78" t="str">
        <f t="shared" si="103"/>
        <v>Turbidez &lt; 2,5 uT</v>
      </c>
      <c r="BC311" s="79" t="str">
        <f t="shared" si="104"/>
        <v>SM &gt; BNN &gt; TOR</v>
      </c>
      <c r="BD311" s="78" t="str">
        <f t="shared" si="105"/>
        <v>Tipo 1 (≤0,25) uT</v>
      </c>
      <c r="BE311" s="78" t="str">
        <f t="shared" si="106"/>
        <v>Tipo 1 (≤0,25) uT</v>
      </c>
      <c r="BF311" s="78" t="str">
        <f t="shared" si="107"/>
        <v>Tipo 1 (≤0,25) uT</v>
      </c>
      <c r="BG311" s="78" t="str">
        <f t="shared" si="108"/>
        <v>Tipo 1 (≤0,25) uT</v>
      </c>
      <c r="BH311" s="78" t="str">
        <f t="shared" si="109"/>
        <v>Tipo 1 (≤0,25) uT</v>
      </c>
    </row>
    <row r="312" spans="1:60" x14ac:dyDescent="0.2">
      <c r="A312" s="31">
        <v>46293</v>
      </c>
      <c r="B312" s="80">
        <v>0.14583333333333334</v>
      </c>
      <c r="C312" s="57">
        <v>198</v>
      </c>
      <c r="D312" s="57">
        <v>1677</v>
      </c>
      <c r="E312" s="57">
        <v>250</v>
      </c>
      <c r="F312" s="57">
        <v>2147</v>
      </c>
      <c r="G312" s="85" t="s">
        <v>78</v>
      </c>
      <c r="H312" s="63">
        <v>9.1999999999999993</v>
      </c>
      <c r="I312" s="57">
        <v>26.6</v>
      </c>
      <c r="J312" s="57">
        <v>90</v>
      </c>
      <c r="K312" s="57">
        <v>90</v>
      </c>
      <c r="L312" s="57">
        <v>90</v>
      </c>
      <c r="M312" s="57">
        <v>26.7</v>
      </c>
      <c r="N312" s="63">
        <v>6.3</v>
      </c>
      <c r="O312" s="36">
        <v>1.22</v>
      </c>
      <c r="P312" s="57">
        <v>10</v>
      </c>
      <c r="Q312" s="63">
        <v>6.9</v>
      </c>
      <c r="R312" s="36">
        <v>0.1</v>
      </c>
      <c r="S312" s="36">
        <v>22.36</v>
      </c>
      <c r="T312" s="36">
        <v>0.88</v>
      </c>
      <c r="U312" s="36">
        <v>0.7</v>
      </c>
      <c r="V312" s="42">
        <f t="shared" si="110"/>
        <v>1604.8824999999999</v>
      </c>
      <c r="W312" s="42">
        <f t="shared" si="111"/>
        <v>1565.7431243999997</v>
      </c>
      <c r="X312" s="42">
        <f t="shared" si="112"/>
        <v>0.97561231080780042</v>
      </c>
      <c r="Y312" s="57">
        <v>3</v>
      </c>
      <c r="Z312" s="57">
        <v>4</v>
      </c>
      <c r="AA312" s="63">
        <v>6.1</v>
      </c>
      <c r="AB312" s="57">
        <v>21</v>
      </c>
      <c r="AC312" s="63">
        <v>6.2</v>
      </c>
      <c r="AD312" s="63">
        <v>5.4</v>
      </c>
      <c r="AE312" s="36">
        <v>0.18</v>
      </c>
      <c r="AF312" s="36">
        <v>0.15</v>
      </c>
      <c r="AG312" s="42">
        <f t="shared" si="92"/>
        <v>1604.8824999999999</v>
      </c>
      <c r="AH312" s="42">
        <f t="shared" si="113"/>
        <v>1716.0407165199997</v>
      </c>
      <c r="AI312" s="42">
        <f t="shared" si="114"/>
        <v>1.0692625263967921</v>
      </c>
      <c r="AJ312" s="57">
        <v>3</v>
      </c>
      <c r="AK312" s="57">
        <v>4</v>
      </c>
      <c r="AL312" s="63">
        <v>6.3</v>
      </c>
      <c r="AM312" s="57">
        <v>22.1</v>
      </c>
      <c r="AN312" s="63">
        <v>6.3</v>
      </c>
      <c r="AO312" s="63">
        <v>6</v>
      </c>
      <c r="AP312" s="36">
        <v>0.19</v>
      </c>
      <c r="AQ312" s="36">
        <v>0.2</v>
      </c>
      <c r="AR312" s="73">
        <f t="shared" si="93"/>
        <v>2125</v>
      </c>
      <c r="AS312" s="75">
        <f t="shared" si="94"/>
        <v>9.3176470588235291E-2</v>
      </c>
      <c r="AT312" s="75">
        <f t="shared" si="95"/>
        <v>0.78917647058823526</v>
      </c>
      <c r="AU312" s="75">
        <f t="shared" si="96"/>
        <v>0.11764705882352941</v>
      </c>
      <c r="AV312" s="26">
        <f t="shared" si="97"/>
        <v>7.8248719142990225E-2</v>
      </c>
      <c r="AW312" s="26">
        <f t="shared" si="98"/>
        <v>8.234746157428971E-2</v>
      </c>
      <c r="AX312" s="24">
        <f t="shared" si="99"/>
        <v>0.83606557377049184</v>
      </c>
      <c r="AY312" s="24">
        <f t="shared" si="100"/>
        <v>0.87704918032786883</v>
      </c>
      <c r="AZ312" s="77" t="str">
        <f t="shared" si="101"/>
        <v>5,0 ≤ Alc. Bruta &lt; 7,5 mg/L</v>
      </c>
      <c r="BA312" s="77" t="str">
        <f t="shared" si="102"/>
        <v>10 ≤ Cor &lt;15 uC</v>
      </c>
      <c r="BB312" s="78" t="str">
        <f t="shared" si="103"/>
        <v>Turbidez &lt; 2,5 uT</v>
      </c>
      <c r="BC312" s="79" t="str">
        <f t="shared" si="104"/>
        <v>SM &gt; BNN &gt; TOR</v>
      </c>
      <c r="BD312" s="78" t="str">
        <f t="shared" si="105"/>
        <v>Tipo 1 (≤0,25) uT</v>
      </c>
      <c r="BE312" s="78" t="str">
        <f t="shared" si="106"/>
        <v>Tipo 1 (≤0,25) uT</v>
      </c>
      <c r="BF312" s="78" t="str">
        <f t="shared" si="107"/>
        <v>Tipo 1 (≤0,25) uT</v>
      </c>
      <c r="BG312" s="78" t="str">
        <f t="shared" si="108"/>
        <v>Tipo 1 (≤0,25) uT</v>
      </c>
      <c r="BH312" s="78" t="str">
        <f t="shared" si="109"/>
        <v>Tipo 1 (≤0,25) uT</v>
      </c>
    </row>
    <row r="313" spans="1:60" ht="15.75" thickBot="1" x14ac:dyDescent="0.25">
      <c r="A313" s="32">
        <v>46293</v>
      </c>
      <c r="B313" s="81">
        <v>0.22916666666666666</v>
      </c>
      <c r="C313" s="58">
        <v>238</v>
      </c>
      <c r="D313" s="58">
        <v>1617</v>
      </c>
      <c r="E313" s="58">
        <v>250</v>
      </c>
      <c r="F313" s="58">
        <v>2156</v>
      </c>
      <c r="G313" s="86" t="s">
        <v>78</v>
      </c>
      <c r="H313" s="64">
        <v>9.1999999999999993</v>
      </c>
      <c r="I313" s="58">
        <v>30</v>
      </c>
      <c r="J313" s="58">
        <v>90</v>
      </c>
      <c r="K313" s="58">
        <v>90</v>
      </c>
      <c r="L313" s="58">
        <v>90</v>
      </c>
      <c r="M313" s="58">
        <v>25.9</v>
      </c>
      <c r="N313" s="64">
        <v>6.5</v>
      </c>
      <c r="O313" s="37">
        <v>2.12</v>
      </c>
      <c r="P313" s="58">
        <v>8</v>
      </c>
      <c r="Q313" s="64">
        <v>7.1</v>
      </c>
      <c r="R313" s="37">
        <v>0.12</v>
      </c>
      <c r="S313" s="36">
        <v>22.36</v>
      </c>
      <c r="T313" s="36">
        <v>0.88</v>
      </c>
      <c r="U313" s="36">
        <v>0.7</v>
      </c>
      <c r="V313" s="42">
        <f t="shared" si="110"/>
        <v>1854.16</v>
      </c>
      <c r="W313" s="42">
        <f t="shared" si="111"/>
        <v>1557.5416127959998</v>
      </c>
      <c r="X313" s="42">
        <f t="shared" si="112"/>
        <v>0.84002546317254156</v>
      </c>
      <c r="Y313" s="58">
        <v>3</v>
      </c>
      <c r="Z313" s="58">
        <v>4</v>
      </c>
      <c r="AA313" s="64">
        <v>6.1</v>
      </c>
      <c r="AB313" s="58">
        <v>20.89</v>
      </c>
      <c r="AC313" s="64">
        <v>6.3</v>
      </c>
      <c r="AD313" s="64">
        <v>5.5</v>
      </c>
      <c r="AE313" s="37">
        <v>0.2</v>
      </c>
      <c r="AF313" s="37">
        <v>0.16</v>
      </c>
      <c r="AG313" s="42">
        <f t="shared" si="92"/>
        <v>1854.16</v>
      </c>
      <c r="AH313" s="42">
        <f t="shared" si="113"/>
        <v>1747.1002769999996</v>
      </c>
      <c r="AI313" s="42">
        <f t="shared" si="114"/>
        <v>0.94225971706864531</v>
      </c>
      <c r="AJ313" s="58">
        <v>3</v>
      </c>
      <c r="AK313" s="58">
        <v>4</v>
      </c>
      <c r="AL313" s="64">
        <v>6.3</v>
      </c>
      <c r="AM313" s="58">
        <v>22.5</v>
      </c>
      <c r="AN313" s="64">
        <v>6.3</v>
      </c>
      <c r="AO313" s="64">
        <v>5.2</v>
      </c>
      <c r="AP313" s="37">
        <v>0.26</v>
      </c>
      <c r="AQ313" s="37">
        <v>0.19</v>
      </c>
      <c r="AR313" s="73">
        <f t="shared" si="93"/>
        <v>2105</v>
      </c>
      <c r="AS313" s="75">
        <f t="shared" si="94"/>
        <v>0.11306413301662707</v>
      </c>
      <c r="AT313" s="75">
        <f t="shared" si="95"/>
        <v>0.76817102137767224</v>
      </c>
      <c r="AU313" s="75">
        <f t="shared" si="96"/>
        <v>0.11876484560570071</v>
      </c>
      <c r="AV313" s="26">
        <f t="shared" si="97"/>
        <v>7.7513914656771807E-2</v>
      </c>
      <c r="AW313" s="26">
        <f t="shared" si="98"/>
        <v>8.3487940630797772E-2</v>
      </c>
      <c r="AX313" s="24">
        <f t="shared" si="99"/>
        <v>0.910377358490566</v>
      </c>
      <c r="AY313" s="24">
        <f t="shared" si="100"/>
        <v>0.92452830188679247</v>
      </c>
      <c r="AZ313" s="77" t="str">
        <f t="shared" si="101"/>
        <v>5,0 ≤ Alc. Bruta &lt; 7,5 mg/L</v>
      </c>
      <c r="BA313" s="77" t="str">
        <f t="shared" si="102"/>
        <v>5 ≤ Cor &lt; 10 uC</v>
      </c>
      <c r="BB313" s="78" t="str">
        <f t="shared" si="103"/>
        <v>Turbidez &lt; 2,5 uT</v>
      </c>
      <c r="BC313" s="79" t="str">
        <f t="shared" si="104"/>
        <v>SM &gt; BNN &gt; TOR</v>
      </c>
      <c r="BD313" s="78" t="str">
        <f t="shared" si="105"/>
        <v>Tipo 1 (≤0,25) uT</v>
      </c>
      <c r="BE313" s="78" t="str">
        <f t="shared" si="106"/>
        <v>Tipo 2 (0,25-0,50) uT</v>
      </c>
      <c r="BF313" s="78" t="str">
        <f t="shared" si="107"/>
        <v>Tipo 1 (≤0,25) uT</v>
      </c>
      <c r="BG313" s="78" t="str">
        <f t="shared" si="108"/>
        <v>Tipo 1 (≤0,25) uT</v>
      </c>
      <c r="BH313" s="78" t="str">
        <f t="shared" si="109"/>
        <v>Tipo 1 (≤0,25) uT</v>
      </c>
    </row>
    <row r="314" spans="1:60" x14ac:dyDescent="0.2">
      <c r="A314" s="31">
        <v>46293</v>
      </c>
      <c r="B314" s="80">
        <v>0.39583333333333331</v>
      </c>
      <c r="C314" s="57">
        <v>236</v>
      </c>
      <c r="D314" s="57">
        <v>1688</v>
      </c>
      <c r="E314" s="57">
        <v>251</v>
      </c>
      <c r="F314" s="57">
        <v>2176</v>
      </c>
      <c r="G314" s="85" t="s">
        <v>78</v>
      </c>
      <c r="H314" s="63">
        <v>9.1999999999999993</v>
      </c>
      <c r="I314" s="57">
        <v>38</v>
      </c>
      <c r="J314" s="57">
        <v>90</v>
      </c>
      <c r="K314" s="57">
        <v>90</v>
      </c>
      <c r="L314" s="57">
        <v>90</v>
      </c>
      <c r="M314" s="57">
        <v>25.2</v>
      </c>
      <c r="N314" s="63">
        <v>6.6</v>
      </c>
      <c r="O314" s="36">
        <v>1.21</v>
      </c>
      <c r="P314" s="57">
        <v>9</v>
      </c>
      <c r="Q314" s="63">
        <v>7.3</v>
      </c>
      <c r="R314" s="36">
        <v>0.08</v>
      </c>
      <c r="S314" s="36">
        <v>22.36</v>
      </c>
      <c r="T314" s="36">
        <v>0.88</v>
      </c>
      <c r="U314" s="36">
        <v>0.7</v>
      </c>
      <c r="V314" s="42">
        <f t="shared" si="110"/>
        <v>1623.84</v>
      </c>
      <c r="W314" s="42">
        <f t="shared" si="111"/>
        <v>1565.7431243999997</v>
      </c>
      <c r="X314" s="42">
        <f t="shared" si="112"/>
        <v>0.96422253694945304</v>
      </c>
      <c r="Y314" s="57">
        <v>3</v>
      </c>
      <c r="Z314" s="57">
        <v>4</v>
      </c>
      <c r="AA314" s="63">
        <v>6.1</v>
      </c>
      <c r="AB314" s="57">
        <v>21</v>
      </c>
      <c r="AC314" s="63">
        <v>6.2</v>
      </c>
      <c r="AD314" s="63">
        <v>4.9000000000000004</v>
      </c>
      <c r="AE314" s="36">
        <v>0.57999999999999996</v>
      </c>
      <c r="AF314" s="36">
        <v>0.17</v>
      </c>
      <c r="AG314" s="42">
        <f t="shared" si="92"/>
        <v>1623.84</v>
      </c>
      <c r="AH314" s="42">
        <f t="shared" si="113"/>
        <v>1785.9247275999996</v>
      </c>
      <c r="AI314" s="42">
        <f t="shared" si="114"/>
        <v>1.0998157008079612</v>
      </c>
      <c r="AJ314" s="57">
        <v>3</v>
      </c>
      <c r="AK314" s="57">
        <v>4</v>
      </c>
      <c r="AL314" s="63">
        <v>6.3</v>
      </c>
      <c r="AM314" s="57">
        <v>23</v>
      </c>
      <c r="AN314" s="63">
        <v>6.3</v>
      </c>
      <c r="AO314" s="63">
        <v>5.8</v>
      </c>
      <c r="AP314" s="36">
        <v>0.35</v>
      </c>
      <c r="AQ314" s="36">
        <v>0.22</v>
      </c>
      <c r="AR314" s="73">
        <f t="shared" si="93"/>
        <v>2175</v>
      </c>
      <c r="AS314" s="75">
        <f t="shared" si="94"/>
        <v>0.10850574712643678</v>
      </c>
      <c r="AT314" s="75">
        <f t="shared" si="95"/>
        <v>0.77609195402298847</v>
      </c>
      <c r="AU314" s="75">
        <f t="shared" si="96"/>
        <v>0.11540229885057471</v>
      </c>
      <c r="AV314" s="26">
        <f t="shared" si="97"/>
        <v>7.720588235294118E-2</v>
      </c>
      <c r="AW314" s="26">
        <f t="shared" si="98"/>
        <v>8.455882352941177E-2</v>
      </c>
      <c r="AX314" s="24">
        <f t="shared" si="99"/>
        <v>0.81818181818181812</v>
      </c>
      <c r="AY314" s="24">
        <f t="shared" si="100"/>
        <v>0.85950413223140498</v>
      </c>
      <c r="AZ314" s="77" t="str">
        <f t="shared" si="101"/>
        <v>5,0 ≤ Alc. Bruta &lt; 7,5 mg/L</v>
      </c>
      <c r="BA314" s="77" t="str">
        <f t="shared" si="102"/>
        <v>5 ≤ Cor &lt; 10 uC</v>
      </c>
      <c r="BB314" s="78" t="str">
        <f t="shared" si="103"/>
        <v>Turbidez &lt; 2,5 uT</v>
      </c>
      <c r="BC314" s="79" t="str">
        <f t="shared" si="104"/>
        <v>SM &gt; BNN &gt; TOR</v>
      </c>
      <c r="BD314" s="78" t="str">
        <f t="shared" si="105"/>
        <v>Tipo 3 (0,50-0,75) uT</v>
      </c>
      <c r="BE314" s="78" t="str">
        <f t="shared" si="106"/>
        <v>Tipo 2 (0,25-0,50) uT</v>
      </c>
      <c r="BF314" s="78" t="str">
        <f t="shared" si="107"/>
        <v>Tipo 1 (≤0,25) uT</v>
      </c>
      <c r="BG314" s="78" t="str">
        <f t="shared" si="108"/>
        <v>Tipo 1 (≤0,25) uT</v>
      </c>
      <c r="BH314" s="78" t="str">
        <f t="shared" si="109"/>
        <v>Tipo 1 (≤0,25) uT</v>
      </c>
    </row>
    <row r="315" spans="1:60" x14ac:dyDescent="0.2">
      <c r="A315" s="31">
        <v>46293</v>
      </c>
      <c r="B315" s="80">
        <v>0.47916666666666669</v>
      </c>
      <c r="C315" s="57">
        <v>240</v>
      </c>
      <c r="D315" s="57">
        <v>1552</v>
      </c>
      <c r="E315" s="57">
        <v>249</v>
      </c>
      <c r="F315" s="57">
        <v>2118</v>
      </c>
      <c r="G315" s="85" t="s">
        <v>78</v>
      </c>
      <c r="H315" s="63">
        <v>9.1999999999999993</v>
      </c>
      <c r="I315" s="57">
        <v>42</v>
      </c>
      <c r="J315" s="57">
        <v>90</v>
      </c>
      <c r="K315" s="57">
        <v>90</v>
      </c>
      <c r="L315" s="57">
        <v>90</v>
      </c>
      <c r="M315" s="57">
        <v>24.9</v>
      </c>
      <c r="N315" s="63">
        <v>6.4</v>
      </c>
      <c r="O315" s="36">
        <v>4.3099999999999996</v>
      </c>
      <c r="P315" s="57">
        <v>9</v>
      </c>
      <c r="Q315" s="63">
        <v>6.8</v>
      </c>
      <c r="R315" s="36">
        <v>0.08</v>
      </c>
      <c r="S315" s="36">
        <v>22.36</v>
      </c>
      <c r="T315" s="36">
        <v>0.88</v>
      </c>
      <c r="U315" s="36">
        <v>0.7</v>
      </c>
      <c r="V315" s="42">
        <f t="shared" si="110"/>
        <v>2401.2825000000003</v>
      </c>
      <c r="W315" s="42">
        <f t="shared" si="111"/>
        <v>1565.7431243999997</v>
      </c>
      <c r="X315" s="42">
        <f t="shared" si="112"/>
        <v>0.65204453220310377</v>
      </c>
      <c r="Y315" s="57">
        <v>3</v>
      </c>
      <c r="Z315" s="57">
        <v>4</v>
      </c>
      <c r="AA315" s="63">
        <v>6.1</v>
      </c>
      <c r="AB315" s="57">
        <v>21</v>
      </c>
      <c r="AC315" s="63">
        <v>6.3</v>
      </c>
      <c r="AD315" s="63">
        <v>5.3</v>
      </c>
      <c r="AE315" s="36">
        <v>0.27</v>
      </c>
      <c r="AF315" s="36">
        <v>0.18</v>
      </c>
      <c r="AG315" s="42">
        <f t="shared" si="92"/>
        <v>2401.2825000000003</v>
      </c>
      <c r="AH315" s="42">
        <f t="shared" si="113"/>
        <v>1708.2758263999997</v>
      </c>
      <c r="AI315" s="42">
        <f t="shared" si="114"/>
        <v>0.71140143918926635</v>
      </c>
      <c r="AJ315" s="57">
        <v>3</v>
      </c>
      <c r="AK315" s="57">
        <v>4</v>
      </c>
      <c r="AL315" s="63">
        <v>6.3</v>
      </c>
      <c r="AM315" s="57">
        <v>22</v>
      </c>
      <c r="AN315" s="63">
        <v>6.3</v>
      </c>
      <c r="AO315" s="63">
        <v>4.9000000000000004</v>
      </c>
      <c r="AP315" s="36">
        <v>0.21</v>
      </c>
      <c r="AQ315" s="36">
        <v>0.23</v>
      </c>
      <c r="AR315" s="73">
        <f t="shared" si="93"/>
        <v>2041</v>
      </c>
      <c r="AS315" s="75">
        <f t="shared" si="94"/>
        <v>0.11758941695247428</v>
      </c>
      <c r="AT315" s="75">
        <f t="shared" si="95"/>
        <v>0.76041156295933365</v>
      </c>
      <c r="AU315" s="75">
        <f t="shared" si="96"/>
        <v>0.12199902008819206</v>
      </c>
      <c r="AV315" s="26">
        <f t="shared" si="97"/>
        <v>7.9320113314447591E-2</v>
      </c>
      <c r="AW315" s="26">
        <f t="shared" si="98"/>
        <v>8.3097261567516525E-2</v>
      </c>
      <c r="AX315" s="24">
        <f t="shared" si="99"/>
        <v>0.94663573085846864</v>
      </c>
      <c r="AY315" s="24">
        <f t="shared" si="100"/>
        <v>0.95823665893271459</v>
      </c>
      <c r="AZ315" s="77" t="str">
        <f t="shared" si="101"/>
        <v>5,0 ≤ Alc. Bruta &lt; 7,5 mg/L</v>
      </c>
      <c r="BA315" s="77" t="str">
        <f t="shared" si="102"/>
        <v>5 ≤ Cor &lt; 10 uC</v>
      </c>
      <c r="BB315" s="78" t="str">
        <f t="shared" si="103"/>
        <v>2,5 ≤ Turb &lt; 5,0 uT</v>
      </c>
      <c r="BC315" s="79" t="str">
        <f t="shared" si="104"/>
        <v>SM &gt; BNN &gt; TOR</v>
      </c>
      <c r="BD315" s="78" t="str">
        <f t="shared" si="105"/>
        <v>Tipo 2 (0,25-0,50) uT</v>
      </c>
      <c r="BE315" s="78" t="str">
        <f t="shared" si="106"/>
        <v>Tipo 1 (≤0,25) uT</v>
      </c>
      <c r="BF315" s="78" t="str">
        <f t="shared" si="107"/>
        <v>Tipo 1 (≤0,25) uT</v>
      </c>
      <c r="BG315" s="78" t="str">
        <f t="shared" si="108"/>
        <v>Tipo 1 (≤0,25) uT</v>
      </c>
      <c r="BH315" s="78" t="str">
        <f t="shared" si="109"/>
        <v>Tipo 1 (≤0,25) uT</v>
      </c>
    </row>
    <row r="316" spans="1:60" x14ac:dyDescent="0.2">
      <c r="A316" s="31">
        <v>46293</v>
      </c>
      <c r="B316" s="80">
        <v>0.64583333333333337</v>
      </c>
      <c r="C316" s="57">
        <v>287</v>
      </c>
      <c r="D316" s="57">
        <v>1555</v>
      </c>
      <c r="E316" s="57">
        <v>249</v>
      </c>
      <c r="F316" s="57">
        <v>2082</v>
      </c>
      <c r="G316" s="85" t="s">
        <v>78</v>
      </c>
      <c r="H316" s="63">
        <v>9.1999999999999993</v>
      </c>
      <c r="I316" s="57">
        <v>34</v>
      </c>
      <c r="J316" s="57">
        <v>90</v>
      </c>
      <c r="K316" s="57">
        <v>90</v>
      </c>
      <c r="L316" s="57">
        <v>90</v>
      </c>
      <c r="M316" s="57">
        <v>25.8</v>
      </c>
      <c r="N316" s="63">
        <v>6.5</v>
      </c>
      <c r="O316" s="36">
        <v>1.85</v>
      </c>
      <c r="P316" s="57">
        <v>14</v>
      </c>
      <c r="Q316" s="63">
        <v>7.7</v>
      </c>
      <c r="R316" s="36">
        <v>0.08</v>
      </c>
      <c r="S316" s="36">
        <v>22.36</v>
      </c>
      <c r="T316" s="36">
        <v>0.88</v>
      </c>
      <c r="U316" s="36">
        <v>0.7</v>
      </c>
      <c r="V316" s="42">
        <f t="shared" si="110"/>
        <v>1720.2524999999998</v>
      </c>
      <c r="W316" s="42">
        <f t="shared" si="111"/>
        <v>1533.3012239999998</v>
      </c>
      <c r="X316" s="42">
        <f t="shared" si="112"/>
        <v>0.89132335165913146</v>
      </c>
      <c r="Y316" s="57">
        <v>3</v>
      </c>
      <c r="Z316" s="57">
        <v>4</v>
      </c>
      <c r="AA316" s="63">
        <v>6</v>
      </c>
      <c r="AB316" s="57">
        <v>21</v>
      </c>
      <c r="AC316" s="63">
        <v>6.1</v>
      </c>
      <c r="AD316" s="63">
        <v>5.3</v>
      </c>
      <c r="AE316" s="36">
        <v>0.11</v>
      </c>
      <c r="AF316" s="36">
        <v>0.16</v>
      </c>
      <c r="AG316" s="42">
        <f t="shared" si="92"/>
        <v>1720.2524999999998</v>
      </c>
      <c r="AH316" s="42">
        <f t="shared" si="113"/>
        <v>1742.2625791999999</v>
      </c>
      <c r="AI316" s="42">
        <f t="shared" si="114"/>
        <v>1.0127946793857296</v>
      </c>
      <c r="AJ316" s="57">
        <v>3</v>
      </c>
      <c r="AK316" s="57">
        <v>4</v>
      </c>
      <c r="AL316" s="63">
        <v>6.4</v>
      </c>
      <c r="AM316" s="57">
        <v>22</v>
      </c>
      <c r="AN316" s="63">
        <v>6.5</v>
      </c>
      <c r="AO316" s="63">
        <v>5</v>
      </c>
      <c r="AP316" s="36">
        <v>0.12</v>
      </c>
      <c r="AQ316" s="36">
        <v>0.21</v>
      </c>
      <c r="AR316" s="73">
        <f t="shared" si="93"/>
        <v>2091</v>
      </c>
      <c r="AS316" s="75">
        <f t="shared" si="94"/>
        <v>0.13725490196078433</v>
      </c>
      <c r="AT316" s="75">
        <f t="shared" si="95"/>
        <v>0.74366331898613103</v>
      </c>
      <c r="AU316" s="75">
        <f t="shared" si="96"/>
        <v>0.11908177905308465</v>
      </c>
      <c r="AV316" s="26">
        <f t="shared" si="97"/>
        <v>8.069164265129683E-2</v>
      </c>
      <c r="AW316" s="26">
        <f t="shared" si="98"/>
        <v>8.4534101825168101E-2</v>
      </c>
      <c r="AX316" s="24">
        <f t="shared" si="99"/>
        <v>0.88648648648648654</v>
      </c>
      <c r="AY316" s="24">
        <f t="shared" si="100"/>
        <v>0.91351351351351351</v>
      </c>
      <c r="AZ316" s="77" t="str">
        <f t="shared" si="101"/>
        <v>7,5 ≤ Alc. Bruta &lt; 10,0 mg/L</v>
      </c>
      <c r="BA316" s="77" t="str">
        <f t="shared" si="102"/>
        <v>10 ≤ Cor &lt;15 uC</v>
      </c>
      <c r="BB316" s="78" t="str">
        <f t="shared" si="103"/>
        <v>Turbidez &lt; 2,5 uT</v>
      </c>
      <c r="BC316" s="79" t="str">
        <f t="shared" si="104"/>
        <v>SM &gt; TOR &gt; BNN</v>
      </c>
      <c r="BD316" s="78" t="str">
        <f t="shared" si="105"/>
        <v>Tipo 1 (≤0,25) uT</v>
      </c>
      <c r="BE316" s="78" t="str">
        <f t="shared" si="106"/>
        <v>Tipo 1 (≤0,25) uT</v>
      </c>
      <c r="BF316" s="78" t="str">
        <f t="shared" si="107"/>
        <v>Tipo 1 (≤0,25) uT</v>
      </c>
      <c r="BG316" s="78" t="str">
        <f t="shared" si="108"/>
        <v>Tipo 1 (≤0,25) uT</v>
      </c>
      <c r="BH316" s="78" t="str">
        <f t="shared" si="109"/>
        <v>Tipo 1 (≤0,25) uT</v>
      </c>
    </row>
    <row r="317" spans="1:60" x14ac:dyDescent="0.2">
      <c r="A317" s="31">
        <v>46293</v>
      </c>
      <c r="B317" s="80">
        <v>0.72916666666666663</v>
      </c>
      <c r="C317" s="57">
        <v>269</v>
      </c>
      <c r="D317" s="57">
        <v>1597</v>
      </c>
      <c r="E317" s="57">
        <v>250</v>
      </c>
      <c r="F317" s="57">
        <v>2079</v>
      </c>
      <c r="G317" s="85" t="s">
        <v>78</v>
      </c>
      <c r="H317" s="63">
        <v>9.1999999999999993</v>
      </c>
      <c r="I317" s="57">
        <v>34</v>
      </c>
      <c r="J317" s="57">
        <v>90</v>
      </c>
      <c r="K317" s="57">
        <v>90</v>
      </c>
      <c r="L317" s="57">
        <v>90</v>
      </c>
      <c r="M317" s="57">
        <v>26.2</v>
      </c>
      <c r="N317" s="63">
        <v>6.5</v>
      </c>
      <c r="O317" s="36">
        <v>1</v>
      </c>
      <c r="P317" s="57">
        <v>14</v>
      </c>
      <c r="Q317" s="63">
        <v>9.1</v>
      </c>
      <c r="R317" s="36">
        <v>0.08</v>
      </c>
      <c r="S317" s="36">
        <v>22.36</v>
      </c>
      <c r="T317" s="36">
        <v>0.88</v>
      </c>
      <c r="U317" s="36">
        <v>0.7</v>
      </c>
      <c r="V317" s="42">
        <f t="shared" si="110"/>
        <v>1496.8799999999999</v>
      </c>
      <c r="W317" s="42">
        <f t="shared" si="111"/>
        <v>1565.7431243999997</v>
      </c>
      <c r="X317" s="42">
        <f t="shared" si="112"/>
        <v>1.0460044388327721</v>
      </c>
      <c r="Y317" s="57">
        <v>3</v>
      </c>
      <c r="Z317" s="57">
        <v>4</v>
      </c>
      <c r="AA317" s="63">
        <v>6.1</v>
      </c>
      <c r="AB317" s="57">
        <v>21</v>
      </c>
      <c r="AC317" s="63">
        <v>6.1</v>
      </c>
      <c r="AD317" s="63">
        <v>5.5</v>
      </c>
      <c r="AE317" s="36">
        <v>0.12</v>
      </c>
      <c r="AF317" s="36">
        <v>0.16</v>
      </c>
      <c r="AG317" s="42">
        <f t="shared" si="92"/>
        <v>1496.8799999999999</v>
      </c>
      <c r="AH317" s="42">
        <f t="shared" si="113"/>
        <v>1742.2625791999999</v>
      </c>
      <c r="AI317" s="42">
        <f t="shared" si="114"/>
        <v>1.1639293592004702</v>
      </c>
      <c r="AJ317" s="57">
        <v>3</v>
      </c>
      <c r="AK317" s="57">
        <v>4</v>
      </c>
      <c r="AL317" s="63">
        <v>6.4</v>
      </c>
      <c r="AM317" s="57">
        <v>22</v>
      </c>
      <c r="AN317" s="63">
        <v>6.3</v>
      </c>
      <c r="AO317" s="63">
        <v>5.3</v>
      </c>
      <c r="AP317" s="36">
        <v>0.12</v>
      </c>
      <c r="AQ317" s="36">
        <v>0.2</v>
      </c>
      <c r="AR317" s="73">
        <f t="shared" si="93"/>
        <v>2116</v>
      </c>
      <c r="AS317" s="75">
        <f t="shared" si="94"/>
        <v>0.1271266540642722</v>
      </c>
      <c r="AT317" s="75">
        <f t="shared" si="95"/>
        <v>0.75472589792060496</v>
      </c>
      <c r="AU317" s="75">
        <f t="shared" si="96"/>
        <v>0.11814744801512288</v>
      </c>
      <c r="AV317" s="26">
        <f t="shared" si="97"/>
        <v>8.0808080808080815E-2</v>
      </c>
      <c r="AW317" s="26">
        <f t="shared" si="98"/>
        <v>8.4656084656084651E-2</v>
      </c>
      <c r="AX317" s="24">
        <f t="shared" si="99"/>
        <v>0.8</v>
      </c>
      <c r="AY317" s="24">
        <f t="shared" si="100"/>
        <v>0.84</v>
      </c>
      <c r="AZ317" s="77" t="str">
        <f t="shared" si="101"/>
        <v>7,5 ≤ Alc. Bruta &lt; 10,0 mg/L</v>
      </c>
      <c r="BA317" s="77" t="str">
        <f t="shared" si="102"/>
        <v>10 ≤ Cor &lt;15 uC</v>
      </c>
      <c r="BB317" s="78" t="str">
        <f t="shared" si="103"/>
        <v>Turbidez &lt; 2,5 uT</v>
      </c>
      <c r="BC317" s="79" t="str">
        <f t="shared" si="104"/>
        <v>SM &gt; TOR &gt; BNN</v>
      </c>
      <c r="BD317" s="78" t="str">
        <f t="shared" si="105"/>
        <v>Tipo 1 (≤0,25) uT</v>
      </c>
      <c r="BE317" s="78" t="str">
        <f t="shared" si="106"/>
        <v>Tipo 1 (≤0,25) uT</v>
      </c>
      <c r="BF317" s="78" t="str">
        <f t="shared" si="107"/>
        <v>Tipo 1 (≤0,25) uT</v>
      </c>
      <c r="BG317" s="78" t="str">
        <f t="shared" si="108"/>
        <v>Tipo 1 (≤0,25) uT</v>
      </c>
      <c r="BH317" s="78" t="str">
        <f t="shared" si="109"/>
        <v>Tipo 1 (≤0,25) uT</v>
      </c>
    </row>
    <row r="318" spans="1:60" x14ac:dyDescent="0.2">
      <c r="A318" s="31">
        <v>46293</v>
      </c>
      <c r="B318" s="80">
        <v>0.8125</v>
      </c>
      <c r="C318" s="57">
        <v>290</v>
      </c>
      <c r="D318" s="57">
        <v>1649</v>
      </c>
      <c r="E318" s="57">
        <v>250</v>
      </c>
      <c r="F318" s="57">
        <v>2207</v>
      </c>
      <c r="G318" s="85" t="s">
        <v>78</v>
      </c>
      <c r="H318" s="63">
        <v>9.1999999999999993</v>
      </c>
      <c r="I318" s="57">
        <v>33</v>
      </c>
      <c r="J318" s="57">
        <v>90</v>
      </c>
      <c r="K318" s="57">
        <v>90</v>
      </c>
      <c r="L318" s="57">
        <v>90</v>
      </c>
      <c r="M318" s="57">
        <v>24.3</v>
      </c>
      <c r="N318" s="63">
        <v>6.4</v>
      </c>
      <c r="O318" s="36">
        <v>4.6100000000000003</v>
      </c>
      <c r="P318" s="57">
        <v>14</v>
      </c>
      <c r="Q318" s="63">
        <v>8.6</v>
      </c>
      <c r="R318" s="36">
        <v>0.09</v>
      </c>
      <c r="S318" s="36">
        <v>22.36</v>
      </c>
      <c r="T318" s="36">
        <v>0.88</v>
      </c>
      <c r="U318" s="36">
        <v>0.7</v>
      </c>
      <c r="V318" s="42">
        <f t="shared" si="110"/>
        <v>2584.9487500000005</v>
      </c>
      <c r="W318" s="42">
        <f t="shared" si="111"/>
        <v>1565.7431243999997</v>
      </c>
      <c r="X318" s="42">
        <f t="shared" si="112"/>
        <v>0.60571534518817804</v>
      </c>
      <c r="Y318" s="57">
        <v>3</v>
      </c>
      <c r="Z318" s="57">
        <v>4</v>
      </c>
      <c r="AA318" s="63">
        <v>6.1</v>
      </c>
      <c r="AB318" s="57">
        <v>21</v>
      </c>
      <c r="AC318" s="63">
        <v>6.1</v>
      </c>
      <c r="AD318" s="63">
        <v>4.7</v>
      </c>
      <c r="AE318" s="36">
        <v>0.19</v>
      </c>
      <c r="AF318" s="36">
        <v>0.14000000000000001</v>
      </c>
      <c r="AG318" s="42">
        <f t="shared" si="92"/>
        <v>2584.9487500000005</v>
      </c>
      <c r="AH318" s="42">
        <f t="shared" si="113"/>
        <v>1742.2625791999999</v>
      </c>
      <c r="AI318" s="42">
        <f t="shared" si="114"/>
        <v>0.67400275506429275</v>
      </c>
      <c r="AJ318" s="57">
        <v>3</v>
      </c>
      <c r="AK318" s="57">
        <v>4</v>
      </c>
      <c r="AL318" s="63">
        <v>6.4</v>
      </c>
      <c r="AM318" s="57">
        <v>22</v>
      </c>
      <c r="AN318" s="63">
        <v>6.2</v>
      </c>
      <c r="AO318" s="63">
        <v>6</v>
      </c>
      <c r="AP318" s="36">
        <v>0.24</v>
      </c>
      <c r="AQ318" s="36">
        <v>0.2</v>
      </c>
      <c r="AR318" s="73">
        <f t="shared" si="93"/>
        <v>2189</v>
      </c>
      <c r="AS318" s="75">
        <f t="shared" si="94"/>
        <v>0.13248058474189128</v>
      </c>
      <c r="AT318" s="75">
        <f t="shared" si="95"/>
        <v>0.75331201461854724</v>
      </c>
      <c r="AU318" s="75">
        <f t="shared" si="96"/>
        <v>0.11420740063956145</v>
      </c>
      <c r="AV318" s="26">
        <f t="shared" si="97"/>
        <v>7.6121431807883999E-2</v>
      </c>
      <c r="AW318" s="26">
        <f t="shared" si="98"/>
        <v>7.9746261893973713E-2</v>
      </c>
      <c r="AX318" s="24">
        <f t="shared" si="99"/>
        <v>0.95661605206073752</v>
      </c>
      <c r="AY318" s="24">
        <f t="shared" si="100"/>
        <v>0.96963123644251625</v>
      </c>
      <c r="AZ318" s="77" t="str">
        <f t="shared" si="101"/>
        <v>7,5 ≤ Alc. Bruta &lt; 10,0 mg/L</v>
      </c>
      <c r="BA318" s="77" t="str">
        <f t="shared" si="102"/>
        <v>10 ≤ Cor &lt;15 uC</v>
      </c>
      <c r="BB318" s="78" t="str">
        <f t="shared" si="103"/>
        <v>2,5 ≤ Turb &lt; 5,0 uT</v>
      </c>
      <c r="BC318" s="79" t="str">
        <f t="shared" si="104"/>
        <v>SM &gt; TOR &gt; BNN</v>
      </c>
      <c r="BD318" s="78" t="str">
        <f t="shared" si="105"/>
        <v>Tipo 1 (≤0,25) uT</v>
      </c>
      <c r="BE318" s="78" t="str">
        <f t="shared" si="106"/>
        <v>Tipo 1 (≤0,25) uT</v>
      </c>
      <c r="BF318" s="78" t="str">
        <f t="shared" si="107"/>
        <v>Tipo 1 (≤0,25) uT</v>
      </c>
      <c r="BG318" s="78" t="str">
        <f t="shared" si="108"/>
        <v>Tipo 1 (≤0,25) uT</v>
      </c>
      <c r="BH318" s="78" t="str">
        <f t="shared" si="109"/>
        <v>Tipo 1 (≤0,25) uT</v>
      </c>
    </row>
    <row r="319" spans="1:60" x14ac:dyDescent="0.2">
      <c r="A319" s="31">
        <v>46293</v>
      </c>
      <c r="B319" s="80">
        <v>0.89583333333333337</v>
      </c>
      <c r="C319" s="57">
        <v>284</v>
      </c>
      <c r="D319" s="57">
        <v>1710</v>
      </c>
      <c r="E319" s="57">
        <v>250</v>
      </c>
      <c r="F319" s="57">
        <v>2228</v>
      </c>
      <c r="G319" s="85" t="s">
        <v>78</v>
      </c>
      <c r="H319" s="63">
        <v>9.1999999999999993</v>
      </c>
      <c r="I319" s="57">
        <v>33</v>
      </c>
      <c r="J319" s="57">
        <v>90</v>
      </c>
      <c r="K319" s="57">
        <v>90</v>
      </c>
      <c r="L319" s="57">
        <v>90</v>
      </c>
      <c r="M319" s="57">
        <v>25.9</v>
      </c>
      <c r="N319" s="63">
        <v>6.4</v>
      </c>
      <c r="O319" s="36">
        <v>1.47</v>
      </c>
      <c r="P319" s="57">
        <v>12</v>
      </c>
      <c r="Q319" s="63">
        <v>7.4</v>
      </c>
      <c r="R319" s="36">
        <v>0.08</v>
      </c>
      <c r="S319" s="36">
        <v>22.36</v>
      </c>
      <c r="T319" s="36">
        <v>0.88</v>
      </c>
      <c r="U319" s="36">
        <v>0.7</v>
      </c>
      <c r="V319" s="42">
        <f t="shared" si="110"/>
        <v>1735.0549999999998</v>
      </c>
      <c r="W319" s="42">
        <f t="shared" si="111"/>
        <v>1565.7431243999997</v>
      </c>
      <c r="X319" s="42">
        <f t="shared" si="112"/>
        <v>0.90241699796260055</v>
      </c>
      <c r="Y319" s="57">
        <v>3</v>
      </c>
      <c r="Z319" s="57">
        <v>4</v>
      </c>
      <c r="AA319" s="63">
        <v>6.1</v>
      </c>
      <c r="AB319" s="57">
        <v>21</v>
      </c>
      <c r="AC319" s="63">
        <v>6.2</v>
      </c>
      <c r="AD319" s="63">
        <v>5.4</v>
      </c>
      <c r="AE319" s="36">
        <v>0.21</v>
      </c>
      <c r="AF319" s="36">
        <v>0.14000000000000001</v>
      </c>
      <c r="AG319" s="42">
        <f t="shared" si="92"/>
        <v>1735.0549999999998</v>
      </c>
      <c r="AH319" s="42">
        <f t="shared" si="113"/>
        <v>1708.2758263999997</v>
      </c>
      <c r="AI319" s="42">
        <f t="shared" si="114"/>
        <v>0.98456580707816166</v>
      </c>
      <c r="AJ319" s="57">
        <v>3</v>
      </c>
      <c r="AK319" s="57">
        <v>4</v>
      </c>
      <c r="AL319" s="63">
        <v>6.3</v>
      </c>
      <c r="AM319" s="57">
        <v>22</v>
      </c>
      <c r="AN319" s="63">
        <v>6.2</v>
      </c>
      <c r="AO319" s="63">
        <v>5.6</v>
      </c>
      <c r="AP319" s="36">
        <v>0.2</v>
      </c>
      <c r="AQ319" s="36">
        <v>0.21</v>
      </c>
      <c r="AR319" s="73">
        <f t="shared" si="93"/>
        <v>2244</v>
      </c>
      <c r="AS319" s="75">
        <f t="shared" si="94"/>
        <v>0.12655971479500891</v>
      </c>
      <c r="AT319" s="75">
        <f t="shared" si="95"/>
        <v>0.76203208556149737</v>
      </c>
      <c r="AU319" s="75">
        <f t="shared" si="96"/>
        <v>0.11140819964349376</v>
      </c>
      <c r="AV319" s="26">
        <f t="shared" si="97"/>
        <v>7.5403949730700179E-2</v>
      </c>
      <c r="AW319" s="26">
        <f t="shared" si="98"/>
        <v>7.899461400359066E-2</v>
      </c>
      <c r="AX319" s="24">
        <f t="shared" si="99"/>
        <v>0.85714285714285721</v>
      </c>
      <c r="AY319" s="24">
        <f t="shared" si="100"/>
        <v>0.90476190476190477</v>
      </c>
      <c r="AZ319" s="77" t="str">
        <f t="shared" si="101"/>
        <v>5,0 ≤ Alc. Bruta &lt; 7,5 mg/L</v>
      </c>
      <c r="BA319" s="77" t="str">
        <f t="shared" si="102"/>
        <v>10 ≤ Cor &lt;15 uC</v>
      </c>
      <c r="BB319" s="78" t="str">
        <f t="shared" si="103"/>
        <v>Turbidez &lt; 2,5 uT</v>
      </c>
      <c r="BC319" s="79" t="str">
        <f t="shared" si="104"/>
        <v>SM &gt; TOR &gt; BNN</v>
      </c>
      <c r="BD319" s="78" t="str">
        <f t="shared" si="105"/>
        <v>Tipo 1 (≤0,25) uT</v>
      </c>
      <c r="BE319" s="78" t="str">
        <f t="shared" si="106"/>
        <v>Tipo 1 (≤0,25) uT</v>
      </c>
      <c r="BF319" s="78" t="str">
        <f t="shared" si="107"/>
        <v>Tipo 1 (≤0,25) uT</v>
      </c>
      <c r="BG319" s="78" t="str">
        <f t="shared" si="108"/>
        <v>Tipo 1 (≤0,25) uT</v>
      </c>
      <c r="BH319" s="78" t="str">
        <f t="shared" si="109"/>
        <v>Tipo 1 (≤0,25) uT</v>
      </c>
    </row>
    <row r="320" spans="1:60" x14ac:dyDescent="0.2">
      <c r="A320" s="31">
        <v>46293</v>
      </c>
      <c r="B320" s="80">
        <v>0.97916666666666663</v>
      </c>
      <c r="C320" s="57">
        <v>281</v>
      </c>
      <c r="D320" s="57">
        <v>1681</v>
      </c>
      <c r="E320" s="57">
        <v>248</v>
      </c>
      <c r="F320" s="57">
        <v>2215</v>
      </c>
      <c r="G320" s="85" t="s">
        <v>78</v>
      </c>
      <c r="H320" s="63">
        <v>9.1999999999999993</v>
      </c>
      <c r="I320" s="57">
        <v>33</v>
      </c>
      <c r="J320" s="57">
        <v>90</v>
      </c>
      <c r="K320" s="57">
        <v>90</v>
      </c>
      <c r="L320" s="57">
        <v>90</v>
      </c>
      <c r="M320" s="57">
        <v>25.8</v>
      </c>
      <c r="N320" s="63">
        <v>6.5</v>
      </c>
      <c r="O320" s="36">
        <v>4.5</v>
      </c>
      <c r="P320" s="57">
        <v>12</v>
      </c>
      <c r="Q320" s="63">
        <v>7.5</v>
      </c>
      <c r="R320" s="36">
        <v>0.08</v>
      </c>
      <c r="S320" s="36">
        <v>22.36</v>
      </c>
      <c r="T320" s="36">
        <v>0.88</v>
      </c>
      <c r="U320" s="36">
        <v>0.7</v>
      </c>
      <c r="V320" s="42">
        <f t="shared" si="110"/>
        <v>2563.8624999999997</v>
      </c>
      <c r="W320" s="42">
        <f t="shared" si="111"/>
        <v>1565.7431243999997</v>
      </c>
      <c r="X320" s="42">
        <f t="shared" si="112"/>
        <v>0.61069699502215891</v>
      </c>
      <c r="Y320" s="57">
        <v>3</v>
      </c>
      <c r="Z320" s="57">
        <v>4</v>
      </c>
      <c r="AA320" s="63">
        <v>6.1</v>
      </c>
      <c r="AB320" s="57">
        <v>21</v>
      </c>
      <c r="AC320" s="63">
        <v>6.1</v>
      </c>
      <c r="AD320" s="63">
        <v>5.7</v>
      </c>
      <c r="AE320" s="36">
        <v>0.2</v>
      </c>
      <c r="AF320" s="36">
        <v>0.14000000000000001</v>
      </c>
      <c r="AG320" s="42">
        <f t="shared" si="92"/>
        <v>2563.8624999999997</v>
      </c>
      <c r="AH320" s="42">
        <f t="shared" si="113"/>
        <v>1708.2758263999997</v>
      </c>
      <c r="AI320" s="42">
        <f t="shared" si="114"/>
        <v>0.66628995369291444</v>
      </c>
      <c r="AJ320" s="57">
        <v>3</v>
      </c>
      <c r="AK320" s="57">
        <v>4</v>
      </c>
      <c r="AL320" s="63">
        <v>6.3</v>
      </c>
      <c r="AM320" s="57">
        <v>22</v>
      </c>
      <c r="AN320" s="63">
        <v>6.1</v>
      </c>
      <c r="AO320" s="63">
        <v>5.7</v>
      </c>
      <c r="AP320" s="36">
        <v>0.16</v>
      </c>
      <c r="AQ320" s="36">
        <v>0.21</v>
      </c>
      <c r="AR320" s="73">
        <f t="shared" si="93"/>
        <v>2210</v>
      </c>
      <c r="AS320" s="75">
        <f t="shared" si="94"/>
        <v>0.12714932126696832</v>
      </c>
      <c r="AT320" s="75">
        <f t="shared" si="95"/>
        <v>0.76063348416289589</v>
      </c>
      <c r="AU320" s="75">
        <f t="shared" si="96"/>
        <v>0.11221719457013575</v>
      </c>
      <c r="AV320" s="26">
        <f t="shared" si="97"/>
        <v>7.584650112866817E-2</v>
      </c>
      <c r="AW320" s="26">
        <f t="shared" si="98"/>
        <v>7.9458239277652373E-2</v>
      </c>
      <c r="AX320" s="24">
        <f t="shared" si="99"/>
        <v>0.95333333333333337</v>
      </c>
      <c r="AY320" s="24">
        <f t="shared" si="100"/>
        <v>0.96888888888888891</v>
      </c>
      <c r="AZ320" s="77" t="str">
        <f t="shared" si="101"/>
        <v>7,5 ≤ Alc. Bruta &lt; 10,0 mg/L</v>
      </c>
      <c r="BA320" s="77" t="str">
        <f t="shared" si="102"/>
        <v>10 ≤ Cor &lt;15 uC</v>
      </c>
      <c r="BB320" s="78" t="str">
        <f t="shared" si="103"/>
        <v>2,5 ≤ Turb &lt; 5,0 uT</v>
      </c>
      <c r="BC320" s="79" t="str">
        <f t="shared" si="104"/>
        <v>SM &gt; TOR &gt; BNN</v>
      </c>
      <c r="BD320" s="78" t="str">
        <f t="shared" si="105"/>
        <v>Tipo 1 (≤0,25) uT</v>
      </c>
      <c r="BE320" s="78" t="str">
        <f t="shared" si="106"/>
        <v>Tipo 1 (≤0,25) uT</v>
      </c>
      <c r="BF320" s="78" t="str">
        <f t="shared" si="107"/>
        <v>Tipo 1 (≤0,25) uT</v>
      </c>
      <c r="BG320" s="78" t="str">
        <f t="shared" si="108"/>
        <v>Tipo 1 (≤0,25) uT</v>
      </c>
      <c r="BH320" s="78" t="str">
        <f t="shared" si="109"/>
        <v>Tipo 1 (≤0,25) uT</v>
      </c>
    </row>
    <row r="321" spans="1:60" x14ac:dyDescent="0.2">
      <c r="A321" s="31">
        <v>46294</v>
      </c>
      <c r="B321" s="80">
        <v>6.25E-2</v>
      </c>
      <c r="C321" s="57">
        <v>285</v>
      </c>
      <c r="D321" s="57">
        <v>1673</v>
      </c>
      <c r="E321" s="57">
        <v>250</v>
      </c>
      <c r="F321" s="57">
        <v>2175</v>
      </c>
      <c r="G321" s="85" t="s">
        <v>78</v>
      </c>
      <c r="H321" s="63">
        <v>9.1999999999999993</v>
      </c>
      <c r="I321" s="57">
        <v>33</v>
      </c>
      <c r="J321" s="57">
        <v>70</v>
      </c>
      <c r="K321" s="57">
        <v>70</v>
      </c>
      <c r="L321" s="57">
        <v>90</v>
      </c>
      <c r="M321" s="57">
        <v>25.3</v>
      </c>
      <c r="N321" s="63">
        <v>6.4</v>
      </c>
      <c r="O321" s="36">
        <v>1.55</v>
      </c>
      <c r="P321" s="57">
        <v>13</v>
      </c>
      <c r="Q321" s="63">
        <v>7.6</v>
      </c>
      <c r="R321" s="36">
        <v>0.08</v>
      </c>
      <c r="S321" s="36">
        <v>22.36</v>
      </c>
      <c r="T321" s="36">
        <v>0.88</v>
      </c>
      <c r="U321" s="36">
        <v>0.7</v>
      </c>
      <c r="V321" s="42">
        <f t="shared" si="110"/>
        <v>1715.53125</v>
      </c>
      <c r="W321" s="42">
        <f t="shared" si="111"/>
        <v>1565.7431243999997</v>
      </c>
      <c r="X321" s="42">
        <f t="shared" si="112"/>
        <v>0.91268703172850962</v>
      </c>
      <c r="Y321" s="57">
        <v>3</v>
      </c>
      <c r="Z321" s="57">
        <v>4</v>
      </c>
      <c r="AA321" s="63">
        <v>6.1</v>
      </c>
      <c r="AB321" s="57">
        <v>21</v>
      </c>
      <c r="AC321" s="63">
        <v>6.1</v>
      </c>
      <c r="AD321" s="63">
        <v>5.5</v>
      </c>
      <c r="AE321" s="36">
        <v>0.19</v>
      </c>
      <c r="AF321" s="36">
        <v>0.13</v>
      </c>
      <c r="AG321" s="42">
        <f t="shared" si="92"/>
        <v>1715.53125</v>
      </c>
      <c r="AH321" s="42">
        <f t="shared" si="113"/>
        <v>1742.2625791999999</v>
      </c>
      <c r="AI321" s="42">
        <f t="shared" si="114"/>
        <v>1.0155819541031386</v>
      </c>
      <c r="AJ321" s="57">
        <v>3</v>
      </c>
      <c r="AK321" s="57">
        <v>4</v>
      </c>
      <c r="AL321" s="63">
        <v>6.4</v>
      </c>
      <c r="AM321" s="57">
        <v>22</v>
      </c>
      <c r="AN321" s="63">
        <v>6.1</v>
      </c>
      <c r="AO321" s="63">
        <v>5.8</v>
      </c>
      <c r="AP321" s="36">
        <v>0.18</v>
      </c>
      <c r="AQ321" s="36">
        <v>0.21</v>
      </c>
      <c r="AR321" s="73">
        <f t="shared" si="93"/>
        <v>2208</v>
      </c>
      <c r="AS321" s="75">
        <f t="shared" si="94"/>
        <v>0.12907608695652173</v>
      </c>
      <c r="AT321" s="75">
        <f t="shared" si="95"/>
        <v>0.75769927536231885</v>
      </c>
      <c r="AU321" s="75">
        <f t="shared" si="96"/>
        <v>0.11322463768115942</v>
      </c>
      <c r="AV321" s="26">
        <f t="shared" si="97"/>
        <v>7.7241379310344832E-2</v>
      </c>
      <c r="AW321" s="26">
        <f t="shared" si="98"/>
        <v>8.0919540229885054E-2</v>
      </c>
      <c r="AX321" s="24">
        <f t="shared" si="99"/>
        <v>0.86451612903225805</v>
      </c>
      <c r="AY321" s="24">
        <f t="shared" si="100"/>
        <v>0.91612903225806452</v>
      </c>
      <c r="AZ321" s="77" t="str">
        <f t="shared" si="101"/>
        <v>7,5 ≤ Alc. Bruta &lt; 10,0 mg/L</v>
      </c>
      <c r="BA321" s="77" t="str">
        <f t="shared" si="102"/>
        <v>10 ≤ Cor &lt;15 uC</v>
      </c>
      <c r="BB321" s="78" t="str">
        <f t="shared" si="103"/>
        <v>Turbidez &lt; 2,5 uT</v>
      </c>
      <c r="BC321" s="79" t="str">
        <f t="shared" si="104"/>
        <v>SM &gt; TOR &gt; BNN</v>
      </c>
      <c r="BD321" s="78" t="str">
        <f t="shared" si="105"/>
        <v>Tipo 1 (≤0,25) uT</v>
      </c>
      <c r="BE321" s="78" t="str">
        <f t="shared" si="106"/>
        <v>Tipo 1 (≤0,25) uT</v>
      </c>
      <c r="BF321" s="78" t="str">
        <f t="shared" si="107"/>
        <v>Tipo 1 (≤0,25) uT</v>
      </c>
      <c r="BG321" s="78" t="str">
        <f t="shared" si="108"/>
        <v>Tipo 1 (≤0,25) uT</v>
      </c>
      <c r="BH321" s="78" t="str">
        <f t="shared" si="109"/>
        <v>Tipo 1 (≤0,25) uT</v>
      </c>
    </row>
    <row r="322" spans="1:60" ht="15.75" thickBot="1" x14ac:dyDescent="0.25">
      <c r="A322" s="32">
        <v>46294</v>
      </c>
      <c r="B322" s="81">
        <v>0.22916666666666666</v>
      </c>
      <c r="C322" s="58">
        <v>294</v>
      </c>
      <c r="D322" s="58">
        <v>1607</v>
      </c>
      <c r="E322" s="58">
        <v>250</v>
      </c>
      <c r="F322" s="58">
        <v>2170</v>
      </c>
      <c r="G322" s="86" t="s">
        <v>78</v>
      </c>
      <c r="H322" s="64">
        <v>9.1999999999999993</v>
      </c>
      <c r="I322" s="58">
        <v>33</v>
      </c>
      <c r="J322" s="58">
        <v>90</v>
      </c>
      <c r="K322" s="58">
        <v>90</v>
      </c>
      <c r="L322" s="58">
        <v>90</v>
      </c>
      <c r="M322" s="58">
        <v>24.3</v>
      </c>
      <c r="N322" s="64">
        <v>6.4</v>
      </c>
      <c r="O322" s="37">
        <v>1.48</v>
      </c>
      <c r="P322" s="58">
        <v>13</v>
      </c>
      <c r="Q322" s="64">
        <v>6.8</v>
      </c>
      <c r="R322" s="37">
        <v>0.08</v>
      </c>
      <c r="S322" s="36">
        <v>22.36</v>
      </c>
      <c r="T322" s="36">
        <v>0.88</v>
      </c>
      <c r="U322" s="36">
        <v>0.7</v>
      </c>
      <c r="V322" s="42">
        <f t="shared" si="110"/>
        <v>1692.6000000000001</v>
      </c>
      <c r="W322" s="42">
        <f t="shared" si="111"/>
        <v>1565.7431243999997</v>
      </c>
      <c r="X322" s="42">
        <f t="shared" si="112"/>
        <v>0.92505206451612876</v>
      </c>
      <c r="Y322" s="58">
        <v>3</v>
      </c>
      <c r="Z322" s="58">
        <v>4</v>
      </c>
      <c r="AA322" s="64">
        <v>6.1</v>
      </c>
      <c r="AB322" s="57">
        <v>21</v>
      </c>
      <c r="AC322" s="64">
        <v>6.2</v>
      </c>
      <c r="AD322" s="64">
        <v>5.3</v>
      </c>
      <c r="AE322" s="37">
        <v>0.15</v>
      </c>
      <c r="AF322" s="37">
        <v>0.13</v>
      </c>
      <c r="AG322" s="42">
        <f t="shared" ref="AG322:AG385" si="115">(O322+0.3*H322+2)*(F322/2/AK322)</f>
        <v>1692.6000000000001</v>
      </c>
      <c r="AH322" s="42">
        <f t="shared" si="113"/>
        <v>1708.2758263999997</v>
      </c>
      <c r="AI322" s="42">
        <f t="shared" si="114"/>
        <v>1.0092613886328723</v>
      </c>
      <c r="AJ322" s="58">
        <v>3</v>
      </c>
      <c r="AK322" s="58">
        <v>4</v>
      </c>
      <c r="AL322" s="64">
        <v>6.3</v>
      </c>
      <c r="AM322" s="58">
        <v>22</v>
      </c>
      <c r="AN322" s="64">
        <v>6.2</v>
      </c>
      <c r="AO322" s="64">
        <v>4.5999999999999996</v>
      </c>
      <c r="AP322" s="37">
        <v>0.17</v>
      </c>
      <c r="AQ322" s="37">
        <v>0.2</v>
      </c>
      <c r="AR322" s="73">
        <f t="shared" ref="AR322:AR385" si="116">SUM(C322:E322)</f>
        <v>2151</v>
      </c>
      <c r="AS322" s="75">
        <f t="shared" ref="AS322:AS385" si="117">C322/AR322</f>
        <v>0.13668061366806136</v>
      </c>
      <c r="AT322" s="75">
        <f t="shared" ref="AT322:AT385" si="118">D322/AR322</f>
        <v>0.74709437470943751</v>
      </c>
      <c r="AU322" s="75">
        <f t="shared" ref="AU322:AU385" si="119">E322/AR322</f>
        <v>0.11622501162250116</v>
      </c>
      <c r="AV322" s="26">
        <f t="shared" ref="AV322:AV385" si="120">IF(AND(F322&lt;&gt;"",Z322&lt;&gt;""),AB322/(F322/2/Z322),"")</f>
        <v>7.7419354838709681E-2</v>
      </c>
      <c r="AW322" s="26">
        <f t="shared" ref="AW322:AW385" si="121">IF(AND(F322&lt;&gt;"",AK322&lt;&gt;""),AM322/(F322/2/AK322),"")</f>
        <v>8.1105990783410145E-2</v>
      </c>
      <c r="AX322" s="24">
        <f t="shared" ref="AX322:AX351" si="122">IF(AND(AQ322&lt;&gt;"",1-(AQ322/O322)&gt;0),1-(AQ322/O322),"")</f>
        <v>0.86486486486486491</v>
      </c>
      <c r="AY322" s="24">
        <f t="shared" ref="AY322:AY351" si="123">IF(AND(AF322&lt;&gt;"",1-(AF322/O322)&gt;0),1-(AF322/O322),"")</f>
        <v>0.91216216216216217</v>
      </c>
      <c r="AZ322" s="77" t="str">
        <f t="shared" ref="AZ322:AZ385" si="124">IF(Q322="","",IF(Q322&lt;2.5,"Alc. Bruta &lt; 2,5 mg/L",IF(Q322&lt;5,"2,5 ≤ Alc. Bruta &lt; 5,0 mg/L",IF(Q322&lt;7.5,"5,0 ≤ Alc. Bruta &lt; 7,5 mg/L",IF(Q322&lt;10,"7,5 ≤ Alc. Bruta &lt; 10,0 mg/L",IF(Q322&lt;15,"10,0 ≤ Alca. Bruta &lt; 15,0 mg/L","Alc. Bruta &gt; 15 mg/L"))))))</f>
        <v>5,0 ≤ Alc. Bruta &lt; 7,5 mg/L</v>
      </c>
      <c r="BA322" s="77" t="str">
        <f t="shared" ref="BA322:BA385" si="125">IF(P322="","",IF(P322&lt;5,"Cor &lt;5 uC",IF(P322&lt;10,"5 ≤ Cor &lt; 10 uC",IF(P322&lt;15,"10 ≤ Cor &lt;15 uC",IF(P322&lt;30,"15 ≤ Cor &lt; 30 uC",IF(P322&lt;50,"30 ≤ Cor &lt; 50 uC","Cor &gt; 50 uC"))))))</f>
        <v>10 ≤ Cor &lt;15 uC</v>
      </c>
      <c r="BB322" s="78" t="str">
        <f t="shared" ref="BB322:BB385" si="126">IF(O322="","",IF(O322&lt;2.5,"Turbidez &lt; 2,5 uT",IF(O322&lt;5,"2,5 ≤ Turb &lt; 5,0 uT",IF(O322&lt;7.5,"5,0 ≤ Turb &lt; 7,5 uT",IF(O322&lt;10,"7,5 ≤ Turb &lt; 10,0 uT",IF(O322&lt;15,"10,0 ≤ Turb &lt; 15,0 uT","Turb &gt; 15 uT"))))))</f>
        <v>Turbidez &lt; 2,5 uT</v>
      </c>
      <c r="BC322" s="79" t="str">
        <f t="shared" ref="BC322:BC385" si="127">IF(AND(C322&gt;D322,D322&gt;E322),"TOR &gt; SM &gt; BNN",IF(AND(C322&gt;E322,E322&gt;D322),"TOR &gt; BNN &gt; SM",IF(AND(D322&gt;C322,C322&gt;E322),"SM &gt; TOR &gt; BNN",IF(AND(D322&gt;E322,E322&gt;C322),"SM &gt; BNN &gt; TOR",IF(AND(C322=D322,D322=E322),"TOR = SM = BNN","Comb. diferentes")))))</f>
        <v>SM &gt; TOR &gt; BNN</v>
      </c>
      <c r="BD322" s="78" t="str">
        <f t="shared" ref="BD322:BD385" si="128">IF(OR(AE322="",AQ322="-"),"",IF(AE322&lt;=0.25,"Tipo 1 (≤0,25) uT",IF(AE322&lt;=0.5,"Tipo 2 (0,25-0,50) uT",IF(AE322&lt;=0.75,"Tipo 3 (0,50-0,75) uT","Tipo 4 (&gt;0,75) uT"))))</f>
        <v>Tipo 1 (≤0,25) uT</v>
      </c>
      <c r="BE322" s="78" t="str">
        <f t="shared" ref="BE322:BE385" si="129">IF(OR(AP322="",AZ322="-"),"",IF(AP322&lt;=0.25,"Tipo 1 (≤0,25) uT",IF(AP322&lt;=0.5,"Tipo 2 (0,25-0,50) uT",IF(AP322&lt;=0.75,"Tipo 3 (0,50-0,75) uT","Tipo 4 (&gt;0,75) uT"))))</f>
        <v>Tipo 1 (≤0,25) uT</v>
      </c>
      <c r="BF322" s="78" t="str">
        <f t="shared" ref="BF322:BF385" si="130">IF(OR(AF322="",AQ322="-"),"",IF(AF322&lt;=0.25,"Tipo 1 (≤0,25) uT",IF(AF322&lt;=0.5,"Tipo 2 (0,25-0,50) uT",IF(AF322&lt;=0.75,"Tipo 3 (0,50-0,75) uT","Tipo 4 (&gt;0,75) uT"))))</f>
        <v>Tipo 1 (≤0,25) uT</v>
      </c>
      <c r="BG322" s="78" t="str">
        <f t="shared" ref="BG322:BG385" si="131">IF(OR(AQ322="",AQ322="-"),"",IF(AQ322&lt;=0.25,"Tipo 1 (≤0,25) uT",IF(AQ322&lt;=0.5,"Tipo 2 (0,25-0,50) uT",IF(AQ322&lt;=0.75,"Tipo 3 (0,50-0,75) uT","Tipo 4 (&gt;0,75) uT"))))</f>
        <v>Tipo 1 (≤0,25) uT</v>
      </c>
      <c r="BH322" s="78" t="str">
        <f t="shared" ref="BH322:BH385" si="132">IF(OR(R322="",R322="-"),"",IF(R322&lt;=0.25,"Tipo 1 (≤0,25) uT",IF(R322&lt;=0.5,"Tipo 2 (0,25-0,50) uT",IF(R322&lt;=0.75,"Tipo 3 (0,50-0,75) uT","Tipo 4 (&gt;0,75) uT"))))</f>
        <v>Tipo 1 (≤0,25) uT</v>
      </c>
    </row>
    <row r="323" spans="1:60" x14ac:dyDescent="0.2">
      <c r="A323" s="30">
        <v>46294</v>
      </c>
      <c r="B323" s="82">
        <v>0.3125</v>
      </c>
      <c r="C323" s="59">
        <v>331</v>
      </c>
      <c r="D323" s="59">
        <v>1674</v>
      </c>
      <c r="E323" s="59">
        <v>250</v>
      </c>
      <c r="F323" s="59">
        <v>2200</v>
      </c>
      <c r="G323" s="87" t="s">
        <v>78</v>
      </c>
      <c r="H323" s="65">
        <v>9.1999999999999993</v>
      </c>
      <c r="I323" s="59">
        <v>34</v>
      </c>
      <c r="J323" s="59">
        <v>90</v>
      </c>
      <c r="K323" s="59">
        <v>90</v>
      </c>
      <c r="L323" s="59">
        <v>90</v>
      </c>
      <c r="M323" s="59">
        <v>25</v>
      </c>
      <c r="N323" s="65">
        <v>6.5</v>
      </c>
      <c r="O323" s="38">
        <v>1.44</v>
      </c>
      <c r="P323" s="59">
        <v>10</v>
      </c>
      <c r="Q323" s="65">
        <v>9.4</v>
      </c>
      <c r="R323" s="38">
        <v>0.1</v>
      </c>
      <c r="S323" s="36">
        <v>22.36</v>
      </c>
      <c r="T323" s="36">
        <v>0.88</v>
      </c>
      <c r="U323" s="36">
        <v>0.7</v>
      </c>
      <c r="V323" s="42">
        <f t="shared" ref="V323:V386" si="133">(O323+0.3*H323+2)*(F323/2/Z323)</f>
        <v>1704.9999999999998</v>
      </c>
      <c r="W323" s="42">
        <f t="shared" ref="W323:W386" si="134">S323*(U323*AA323*0.987-T323)*AB323</f>
        <v>1491.1839279999999</v>
      </c>
      <c r="X323" s="42">
        <f t="shared" ref="X323:X386" si="135">W323/V323</f>
        <v>0.87459467917888567</v>
      </c>
      <c r="Y323" s="59">
        <v>3</v>
      </c>
      <c r="Z323" s="59">
        <v>4</v>
      </c>
      <c r="AA323" s="65">
        <v>6.1</v>
      </c>
      <c r="AB323" s="59">
        <v>20</v>
      </c>
      <c r="AC323" s="65">
        <v>6.2</v>
      </c>
      <c r="AD323" s="65">
        <v>5.6</v>
      </c>
      <c r="AE323" s="38">
        <v>0.11</v>
      </c>
      <c r="AF323" s="38">
        <v>0.15</v>
      </c>
      <c r="AG323" s="42">
        <f t="shared" si="115"/>
        <v>2273.333333333333</v>
      </c>
      <c r="AH323" s="42">
        <f t="shared" ref="AH323:AH386" si="136">S323*(U323*AL323*0.987-T323)*AM323</f>
        <v>1863.5736287999996</v>
      </c>
      <c r="AI323" s="42">
        <f t="shared" ref="AI323:AI386" si="137">AH323/AG323</f>
        <v>0.81975379565982398</v>
      </c>
      <c r="AJ323" s="59">
        <v>2</v>
      </c>
      <c r="AK323" s="59">
        <v>3</v>
      </c>
      <c r="AL323" s="65">
        <v>6.3</v>
      </c>
      <c r="AM323" s="59">
        <v>24</v>
      </c>
      <c r="AN323" s="65">
        <v>6.2</v>
      </c>
      <c r="AO323" s="65">
        <v>5.7</v>
      </c>
      <c r="AP323" s="38">
        <v>0.12</v>
      </c>
      <c r="AQ323" s="38">
        <v>0.23</v>
      </c>
      <c r="AR323" s="73">
        <f t="shared" si="116"/>
        <v>2255</v>
      </c>
      <c r="AS323" s="75">
        <f t="shared" si="117"/>
        <v>0.1467849223946785</v>
      </c>
      <c r="AT323" s="75">
        <f t="shared" si="118"/>
        <v>0.742350332594235</v>
      </c>
      <c r="AU323" s="75">
        <f t="shared" si="119"/>
        <v>0.11086474501108648</v>
      </c>
      <c r="AV323" s="26">
        <f t="shared" si="120"/>
        <v>7.2727272727272724E-2</v>
      </c>
      <c r="AW323" s="26">
        <f t="shared" si="121"/>
        <v>6.5454545454545446E-2</v>
      </c>
      <c r="AX323" s="24">
        <f t="shared" si="122"/>
        <v>0.84027777777777779</v>
      </c>
      <c r="AY323" s="24">
        <f t="shared" si="123"/>
        <v>0.89583333333333337</v>
      </c>
      <c r="AZ323" s="77" t="str">
        <f t="shared" si="124"/>
        <v>7,5 ≤ Alc. Bruta &lt; 10,0 mg/L</v>
      </c>
      <c r="BA323" s="77" t="str">
        <f t="shared" si="125"/>
        <v>10 ≤ Cor &lt;15 uC</v>
      </c>
      <c r="BB323" s="78" t="str">
        <f t="shared" si="126"/>
        <v>Turbidez &lt; 2,5 uT</v>
      </c>
      <c r="BC323" s="79" t="str">
        <f t="shared" si="127"/>
        <v>SM &gt; TOR &gt; BNN</v>
      </c>
      <c r="BD323" s="78" t="str">
        <f t="shared" si="128"/>
        <v>Tipo 1 (≤0,25) uT</v>
      </c>
      <c r="BE323" s="78" t="str">
        <f t="shared" si="129"/>
        <v>Tipo 1 (≤0,25) uT</v>
      </c>
      <c r="BF323" s="78" t="str">
        <f t="shared" si="130"/>
        <v>Tipo 1 (≤0,25) uT</v>
      </c>
      <c r="BG323" s="78" t="str">
        <f t="shared" si="131"/>
        <v>Tipo 1 (≤0,25) uT</v>
      </c>
      <c r="BH323" s="78" t="str">
        <f t="shared" si="132"/>
        <v>Tipo 1 (≤0,25) uT</v>
      </c>
    </row>
    <row r="324" spans="1:60" x14ac:dyDescent="0.2">
      <c r="A324" s="31">
        <v>46294</v>
      </c>
      <c r="B324" s="80">
        <v>0.39583333333333331</v>
      </c>
      <c r="C324" s="57">
        <v>332</v>
      </c>
      <c r="D324" s="57">
        <v>1589</v>
      </c>
      <c r="E324" s="57">
        <v>249</v>
      </c>
      <c r="F324" s="57">
        <v>2220</v>
      </c>
      <c r="G324" s="85" t="s">
        <v>78</v>
      </c>
      <c r="H324" s="63">
        <v>9.1999999999999993</v>
      </c>
      <c r="I324" s="57">
        <v>33</v>
      </c>
      <c r="J324" s="57">
        <v>90</v>
      </c>
      <c r="K324" s="57">
        <v>90</v>
      </c>
      <c r="L324" s="57">
        <v>90</v>
      </c>
      <c r="M324" s="57">
        <v>25.2</v>
      </c>
      <c r="N324" s="63">
        <v>6.5</v>
      </c>
      <c r="O324" s="36">
        <v>1.49</v>
      </c>
      <c r="P324" s="57">
        <v>10</v>
      </c>
      <c r="Q324" s="63">
        <v>9.5</v>
      </c>
      <c r="R324" s="36">
        <v>0.1</v>
      </c>
      <c r="S324" s="36">
        <v>22.36</v>
      </c>
      <c r="T324" s="36">
        <v>0.88</v>
      </c>
      <c r="U324" s="36">
        <v>0.7</v>
      </c>
      <c r="V324" s="42">
        <f t="shared" si="133"/>
        <v>1734.375</v>
      </c>
      <c r="W324" s="42">
        <f t="shared" si="134"/>
        <v>1491.1839279999999</v>
      </c>
      <c r="X324" s="42">
        <f t="shared" si="135"/>
        <v>0.85978172425225219</v>
      </c>
      <c r="Y324" s="57">
        <v>3</v>
      </c>
      <c r="Z324" s="57">
        <v>4</v>
      </c>
      <c r="AA324" s="63">
        <v>6.1</v>
      </c>
      <c r="AB324" s="57">
        <v>20</v>
      </c>
      <c r="AC324" s="63">
        <v>6.2</v>
      </c>
      <c r="AD324" s="63">
        <v>5.5</v>
      </c>
      <c r="AE324" s="36">
        <v>0.12</v>
      </c>
      <c r="AF324" s="36">
        <v>0.15</v>
      </c>
      <c r="AG324" s="42">
        <f t="shared" si="115"/>
        <v>2312.5</v>
      </c>
      <c r="AH324" s="42">
        <f t="shared" si="136"/>
        <v>1863.5736287999996</v>
      </c>
      <c r="AI324" s="42">
        <f t="shared" si="137"/>
        <v>0.80586967731891879</v>
      </c>
      <c r="AJ324" s="57">
        <v>2</v>
      </c>
      <c r="AK324" s="57">
        <v>3</v>
      </c>
      <c r="AL324" s="63">
        <v>6.3</v>
      </c>
      <c r="AM324" s="57">
        <v>24</v>
      </c>
      <c r="AN324" s="63">
        <v>6.2</v>
      </c>
      <c r="AO324" s="63">
        <v>5.8</v>
      </c>
      <c r="AP324" s="36">
        <v>0.15</v>
      </c>
      <c r="AQ324" s="36">
        <v>0.25</v>
      </c>
      <c r="AR324" s="73">
        <f t="shared" si="116"/>
        <v>2170</v>
      </c>
      <c r="AS324" s="75">
        <f t="shared" si="117"/>
        <v>0.15299539170506912</v>
      </c>
      <c r="AT324" s="75">
        <f t="shared" si="118"/>
        <v>0.73225806451612907</v>
      </c>
      <c r="AU324" s="75">
        <f t="shared" si="119"/>
        <v>0.11474654377880185</v>
      </c>
      <c r="AV324" s="26">
        <f t="shared" si="120"/>
        <v>7.2072072072072071E-2</v>
      </c>
      <c r="AW324" s="26">
        <f t="shared" si="121"/>
        <v>6.4864864864864868E-2</v>
      </c>
      <c r="AX324" s="24">
        <f t="shared" si="122"/>
        <v>0.83221476510067116</v>
      </c>
      <c r="AY324" s="24">
        <f t="shared" si="123"/>
        <v>0.89932885906040272</v>
      </c>
      <c r="AZ324" s="77" t="str">
        <f t="shared" si="124"/>
        <v>7,5 ≤ Alc. Bruta &lt; 10,0 mg/L</v>
      </c>
      <c r="BA324" s="77" t="str">
        <f t="shared" si="125"/>
        <v>10 ≤ Cor &lt;15 uC</v>
      </c>
      <c r="BB324" s="78" t="str">
        <f t="shared" si="126"/>
        <v>Turbidez &lt; 2,5 uT</v>
      </c>
      <c r="BC324" s="79" t="str">
        <f t="shared" si="127"/>
        <v>SM &gt; TOR &gt; BNN</v>
      </c>
      <c r="BD324" s="78" t="str">
        <f t="shared" si="128"/>
        <v>Tipo 1 (≤0,25) uT</v>
      </c>
      <c r="BE324" s="78" t="str">
        <f t="shared" si="129"/>
        <v>Tipo 1 (≤0,25) uT</v>
      </c>
      <c r="BF324" s="78" t="str">
        <f t="shared" si="130"/>
        <v>Tipo 1 (≤0,25) uT</v>
      </c>
      <c r="BG324" s="78" t="str">
        <f t="shared" si="131"/>
        <v>Tipo 1 (≤0,25) uT</v>
      </c>
      <c r="BH324" s="78" t="str">
        <f t="shared" si="132"/>
        <v>Tipo 1 (≤0,25) uT</v>
      </c>
    </row>
    <row r="325" spans="1:60" x14ac:dyDescent="0.2">
      <c r="A325" s="31">
        <v>46294</v>
      </c>
      <c r="B325" s="80">
        <v>0.47916666666666669</v>
      </c>
      <c r="C325" s="57">
        <v>337</v>
      </c>
      <c r="D325" s="57">
        <v>1597</v>
      </c>
      <c r="E325" s="57">
        <v>250</v>
      </c>
      <c r="F325" s="57">
        <v>2190</v>
      </c>
      <c r="G325" s="85" t="s">
        <v>78</v>
      </c>
      <c r="H325" s="63">
        <v>9.1999999999999993</v>
      </c>
      <c r="I325" s="57">
        <v>33</v>
      </c>
      <c r="J325" s="57">
        <v>90</v>
      </c>
      <c r="K325" s="57">
        <v>90</v>
      </c>
      <c r="L325" s="57">
        <v>90</v>
      </c>
      <c r="M325" s="57">
        <v>25.8</v>
      </c>
      <c r="N325" s="63">
        <v>6.5</v>
      </c>
      <c r="O325" s="36">
        <v>1.48</v>
      </c>
      <c r="P325" s="57">
        <v>10</v>
      </c>
      <c r="Q325" s="63">
        <v>7.6</v>
      </c>
      <c r="R325" s="36">
        <v>0.1</v>
      </c>
      <c r="S325" s="36">
        <v>22.36</v>
      </c>
      <c r="T325" s="36">
        <v>0.88</v>
      </c>
      <c r="U325" s="36">
        <v>0.7</v>
      </c>
      <c r="V325" s="42">
        <f t="shared" si="133"/>
        <v>1708.2</v>
      </c>
      <c r="W325" s="42">
        <f t="shared" si="134"/>
        <v>1598.1850248000001</v>
      </c>
      <c r="X325" s="42">
        <f t="shared" si="135"/>
        <v>0.9355959634703197</v>
      </c>
      <c r="Y325" s="57">
        <v>3</v>
      </c>
      <c r="Z325" s="57">
        <v>4</v>
      </c>
      <c r="AA325" s="63">
        <v>6.2</v>
      </c>
      <c r="AB325" s="57">
        <v>21</v>
      </c>
      <c r="AC325" s="63">
        <v>6.2</v>
      </c>
      <c r="AD325" s="63">
        <v>5.9</v>
      </c>
      <c r="AE325" s="36">
        <v>0.14000000000000001</v>
      </c>
      <c r="AF325" s="36">
        <v>0.2</v>
      </c>
      <c r="AG325" s="42">
        <f t="shared" si="115"/>
        <v>2277.6</v>
      </c>
      <c r="AH325" s="42">
        <f t="shared" si="136"/>
        <v>1863.5736287999996</v>
      </c>
      <c r="AI325" s="42">
        <f t="shared" si="137"/>
        <v>0.81821813698630119</v>
      </c>
      <c r="AJ325" s="57">
        <v>2</v>
      </c>
      <c r="AK325" s="57">
        <v>3</v>
      </c>
      <c r="AL325" s="63">
        <v>6.3</v>
      </c>
      <c r="AM325" s="57">
        <v>24</v>
      </c>
      <c r="AN325" s="63">
        <v>6.3</v>
      </c>
      <c r="AO325" s="63">
        <v>5.7</v>
      </c>
      <c r="AP325" s="36">
        <v>0.19</v>
      </c>
      <c r="AQ325" s="36">
        <v>0.22</v>
      </c>
      <c r="AR325" s="73">
        <f t="shared" si="116"/>
        <v>2184</v>
      </c>
      <c r="AS325" s="75">
        <f t="shared" si="117"/>
        <v>0.15430402930402931</v>
      </c>
      <c r="AT325" s="75">
        <f t="shared" si="118"/>
        <v>0.73122710622710618</v>
      </c>
      <c r="AU325" s="75">
        <f t="shared" si="119"/>
        <v>0.11446886446886446</v>
      </c>
      <c r="AV325" s="26">
        <f t="shared" si="120"/>
        <v>7.6712328767123292E-2</v>
      </c>
      <c r="AW325" s="26">
        <f t="shared" si="121"/>
        <v>6.575342465753424E-2</v>
      </c>
      <c r="AX325" s="24">
        <f t="shared" si="122"/>
        <v>0.85135135135135132</v>
      </c>
      <c r="AY325" s="24">
        <f t="shared" si="123"/>
        <v>0.86486486486486491</v>
      </c>
      <c r="AZ325" s="77" t="str">
        <f t="shared" si="124"/>
        <v>7,5 ≤ Alc. Bruta &lt; 10,0 mg/L</v>
      </c>
      <c r="BA325" s="77" t="str">
        <f t="shared" si="125"/>
        <v>10 ≤ Cor &lt;15 uC</v>
      </c>
      <c r="BB325" s="78" t="str">
        <f t="shared" si="126"/>
        <v>Turbidez &lt; 2,5 uT</v>
      </c>
      <c r="BC325" s="79" t="str">
        <f t="shared" si="127"/>
        <v>SM &gt; TOR &gt; BNN</v>
      </c>
      <c r="BD325" s="78" t="str">
        <f t="shared" si="128"/>
        <v>Tipo 1 (≤0,25) uT</v>
      </c>
      <c r="BE325" s="78" t="str">
        <f t="shared" si="129"/>
        <v>Tipo 1 (≤0,25) uT</v>
      </c>
      <c r="BF325" s="78" t="str">
        <f t="shared" si="130"/>
        <v>Tipo 1 (≤0,25) uT</v>
      </c>
      <c r="BG325" s="78" t="str">
        <f t="shared" si="131"/>
        <v>Tipo 1 (≤0,25) uT</v>
      </c>
      <c r="BH325" s="78" t="str">
        <f t="shared" si="132"/>
        <v>Tipo 1 (≤0,25) uT</v>
      </c>
    </row>
    <row r="326" spans="1:60" x14ac:dyDescent="0.2">
      <c r="A326" s="31">
        <v>46294</v>
      </c>
      <c r="B326" s="80">
        <v>0.64583333333333337</v>
      </c>
      <c r="C326" s="57">
        <v>338</v>
      </c>
      <c r="D326" s="57">
        <v>1578</v>
      </c>
      <c r="E326" s="57">
        <v>249</v>
      </c>
      <c r="F326" s="57">
        <v>2188</v>
      </c>
      <c r="G326" s="85" t="s">
        <v>78</v>
      </c>
      <c r="H326" s="63">
        <v>9.1999999999999993</v>
      </c>
      <c r="I326" s="57">
        <v>34</v>
      </c>
      <c r="J326" s="57">
        <v>90</v>
      </c>
      <c r="K326" s="57">
        <v>90</v>
      </c>
      <c r="L326" s="57">
        <v>90</v>
      </c>
      <c r="M326" s="57">
        <v>26.5</v>
      </c>
      <c r="N326" s="63">
        <v>6.4</v>
      </c>
      <c r="O326" s="36">
        <v>1.5</v>
      </c>
      <c r="P326" s="57">
        <v>10</v>
      </c>
      <c r="Q326" s="63">
        <v>7.6</v>
      </c>
      <c r="R326" s="36">
        <v>0.1</v>
      </c>
      <c r="S326" s="36">
        <v>22.36</v>
      </c>
      <c r="T326" s="36">
        <v>0.88</v>
      </c>
      <c r="U326" s="36">
        <v>0.7</v>
      </c>
      <c r="V326" s="42">
        <f t="shared" si="133"/>
        <v>1712.11</v>
      </c>
      <c r="W326" s="42">
        <f t="shared" si="134"/>
        <v>1460.2868799999999</v>
      </c>
      <c r="X326" s="42">
        <f t="shared" si="135"/>
        <v>0.85291650653287465</v>
      </c>
      <c r="Y326" s="57">
        <v>3</v>
      </c>
      <c r="Z326" s="57">
        <v>4</v>
      </c>
      <c r="AA326" s="63">
        <v>6</v>
      </c>
      <c r="AB326" s="57">
        <v>20</v>
      </c>
      <c r="AC326" s="63">
        <v>6.2</v>
      </c>
      <c r="AD326" s="63">
        <v>6.2</v>
      </c>
      <c r="AE326" s="36">
        <v>0.16</v>
      </c>
      <c r="AF326" s="36">
        <v>0.13</v>
      </c>
      <c r="AG326" s="42">
        <f t="shared" si="115"/>
        <v>2282.8133333333335</v>
      </c>
      <c r="AH326" s="42">
        <f t="shared" si="136"/>
        <v>1979.8438399999998</v>
      </c>
      <c r="AI326" s="42">
        <f t="shared" si="137"/>
        <v>0.86728240592018024</v>
      </c>
      <c r="AJ326" s="57">
        <v>2</v>
      </c>
      <c r="AK326" s="57">
        <v>3</v>
      </c>
      <c r="AL326" s="63">
        <v>6.4</v>
      </c>
      <c r="AM326" s="57">
        <v>25</v>
      </c>
      <c r="AN326" s="63">
        <v>6.3</v>
      </c>
      <c r="AO326" s="63">
        <v>5.6</v>
      </c>
      <c r="AP326" s="36">
        <v>0.13</v>
      </c>
      <c r="AQ326" s="36">
        <v>0.22</v>
      </c>
      <c r="AR326" s="73">
        <f t="shared" si="116"/>
        <v>2165</v>
      </c>
      <c r="AS326" s="75">
        <f t="shared" si="117"/>
        <v>0.15612009237875288</v>
      </c>
      <c r="AT326" s="75">
        <f t="shared" si="118"/>
        <v>0.72886836027713631</v>
      </c>
      <c r="AU326" s="75">
        <f t="shared" si="119"/>
        <v>0.11501154734411086</v>
      </c>
      <c r="AV326" s="26">
        <f t="shared" si="120"/>
        <v>7.3126142595978064E-2</v>
      </c>
      <c r="AW326" s="26">
        <f t="shared" si="121"/>
        <v>6.8555758683729429E-2</v>
      </c>
      <c r="AX326" s="24">
        <f t="shared" si="122"/>
        <v>0.85333333333333328</v>
      </c>
      <c r="AY326" s="24">
        <f t="shared" si="123"/>
        <v>0.91333333333333333</v>
      </c>
      <c r="AZ326" s="77" t="str">
        <f t="shared" si="124"/>
        <v>7,5 ≤ Alc. Bruta &lt; 10,0 mg/L</v>
      </c>
      <c r="BA326" s="77" t="str">
        <f t="shared" si="125"/>
        <v>10 ≤ Cor &lt;15 uC</v>
      </c>
      <c r="BB326" s="78" t="str">
        <f t="shared" si="126"/>
        <v>Turbidez &lt; 2,5 uT</v>
      </c>
      <c r="BC326" s="79" t="str">
        <f t="shared" si="127"/>
        <v>SM &gt; TOR &gt; BNN</v>
      </c>
      <c r="BD326" s="78" t="str">
        <f t="shared" si="128"/>
        <v>Tipo 1 (≤0,25) uT</v>
      </c>
      <c r="BE326" s="78" t="str">
        <f t="shared" si="129"/>
        <v>Tipo 1 (≤0,25) uT</v>
      </c>
      <c r="BF326" s="78" t="str">
        <f t="shared" si="130"/>
        <v>Tipo 1 (≤0,25) uT</v>
      </c>
      <c r="BG326" s="78" t="str">
        <f t="shared" si="131"/>
        <v>Tipo 1 (≤0,25) uT</v>
      </c>
      <c r="BH326" s="78" t="str">
        <f t="shared" si="132"/>
        <v>Tipo 1 (≤0,25) uT</v>
      </c>
    </row>
    <row r="327" spans="1:60" x14ac:dyDescent="0.2">
      <c r="A327" s="31">
        <v>46294</v>
      </c>
      <c r="B327" s="80">
        <v>0.72916666666666663</v>
      </c>
      <c r="C327" s="57">
        <v>343</v>
      </c>
      <c r="D327" s="57">
        <v>1700</v>
      </c>
      <c r="E327" s="57">
        <v>249</v>
      </c>
      <c r="F327" s="57">
        <v>2200</v>
      </c>
      <c r="G327" s="85" t="s">
        <v>78</v>
      </c>
      <c r="H327" s="63">
        <v>9.1999999999999993</v>
      </c>
      <c r="I327" s="57">
        <v>34</v>
      </c>
      <c r="J327" s="57">
        <v>90</v>
      </c>
      <c r="K327" s="57">
        <v>90</v>
      </c>
      <c r="L327" s="57">
        <v>90</v>
      </c>
      <c r="M327" s="57">
        <v>26.6</v>
      </c>
      <c r="N327" s="63">
        <v>6.4</v>
      </c>
      <c r="O327" s="36">
        <v>1.43</v>
      </c>
      <c r="P327" s="57">
        <v>10</v>
      </c>
      <c r="Q327" s="63">
        <v>7.5</v>
      </c>
      <c r="R327" s="36">
        <v>0.1</v>
      </c>
      <c r="S327" s="36">
        <v>22.36</v>
      </c>
      <c r="T327" s="36">
        <v>0.88</v>
      </c>
      <c r="U327" s="36">
        <v>0.7</v>
      </c>
      <c r="V327" s="42">
        <f t="shared" si="133"/>
        <v>1702.2499999999998</v>
      </c>
      <c r="W327" s="42">
        <f t="shared" si="134"/>
        <v>1491.1839279999999</v>
      </c>
      <c r="X327" s="42">
        <f t="shared" si="135"/>
        <v>0.87600759465413436</v>
      </c>
      <c r="Y327" s="57">
        <v>3</v>
      </c>
      <c r="Z327" s="57">
        <v>4</v>
      </c>
      <c r="AA327" s="63">
        <v>6.1</v>
      </c>
      <c r="AB327" s="57">
        <v>20</v>
      </c>
      <c r="AC327" s="63">
        <v>6.2</v>
      </c>
      <c r="AD327" s="63">
        <v>6</v>
      </c>
      <c r="AE327" s="36">
        <v>0.15</v>
      </c>
      <c r="AF327" s="36">
        <v>0.14000000000000001</v>
      </c>
      <c r="AG327" s="42">
        <f t="shared" si="115"/>
        <v>2269.6666666666665</v>
      </c>
      <c r="AH327" s="42">
        <f t="shared" si="136"/>
        <v>1863.5736287999996</v>
      </c>
      <c r="AI327" s="42">
        <f t="shared" si="137"/>
        <v>0.8210781152004698</v>
      </c>
      <c r="AJ327" s="57">
        <v>2</v>
      </c>
      <c r="AK327" s="57">
        <v>3</v>
      </c>
      <c r="AL327" s="63">
        <v>6.3</v>
      </c>
      <c r="AM327" s="57">
        <v>24</v>
      </c>
      <c r="AN327" s="63">
        <v>6.2</v>
      </c>
      <c r="AO327" s="63">
        <v>5.8</v>
      </c>
      <c r="AP327" s="36">
        <v>0.15</v>
      </c>
      <c r="AQ327" s="36">
        <v>0.19</v>
      </c>
      <c r="AR327" s="73">
        <f t="shared" si="116"/>
        <v>2292</v>
      </c>
      <c r="AS327" s="75">
        <f t="shared" si="117"/>
        <v>0.14965095986038393</v>
      </c>
      <c r="AT327" s="75">
        <f t="shared" si="118"/>
        <v>0.7417102966841187</v>
      </c>
      <c r="AU327" s="75">
        <f t="shared" si="119"/>
        <v>0.10863874345549739</v>
      </c>
      <c r="AV327" s="26">
        <f t="shared" si="120"/>
        <v>7.2727272727272724E-2</v>
      </c>
      <c r="AW327" s="26">
        <f t="shared" si="121"/>
        <v>6.5454545454545446E-2</v>
      </c>
      <c r="AX327" s="24">
        <f t="shared" si="122"/>
        <v>0.86713286713286708</v>
      </c>
      <c r="AY327" s="24">
        <f t="shared" si="123"/>
        <v>0.90209790209790208</v>
      </c>
      <c r="AZ327" s="77" t="str">
        <f t="shared" si="124"/>
        <v>7,5 ≤ Alc. Bruta &lt; 10,0 mg/L</v>
      </c>
      <c r="BA327" s="77" t="str">
        <f t="shared" si="125"/>
        <v>10 ≤ Cor &lt;15 uC</v>
      </c>
      <c r="BB327" s="78" t="str">
        <f t="shared" si="126"/>
        <v>Turbidez &lt; 2,5 uT</v>
      </c>
      <c r="BC327" s="79" t="str">
        <f t="shared" si="127"/>
        <v>SM &gt; TOR &gt; BNN</v>
      </c>
      <c r="BD327" s="78" t="str">
        <f t="shared" si="128"/>
        <v>Tipo 1 (≤0,25) uT</v>
      </c>
      <c r="BE327" s="78" t="str">
        <f t="shared" si="129"/>
        <v>Tipo 1 (≤0,25) uT</v>
      </c>
      <c r="BF327" s="78" t="str">
        <f t="shared" si="130"/>
        <v>Tipo 1 (≤0,25) uT</v>
      </c>
      <c r="BG327" s="78" t="str">
        <f t="shared" si="131"/>
        <v>Tipo 1 (≤0,25) uT</v>
      </c>
      <c r="BH327" s="78" t="str">
        <f t="shared" si="132"/>
        <v>Tipo 1 (≤0,25) uT</v>
      </c>
    </row>
    <row r="328" spans="1:60" x14ac:dyDescent="0.2">
      <c r="A328" s="31">
        <v>46294</v>
      </c>
      <c r="B328" s="80">
        <v>0.8125</v>
      </c>
      <c r="C328" s="57">
        <v>349</v>
      </c>
      <c r="D328" s="57">
        <v>1692</v>
      </c>
      <c r="E328" s="57">
        <v>250</v>
      </c>
      <c r="F328" s="57">
        <v>2291</v>
      </c>
      <c r="G328" s="85" t="s">
        <v>78</v>
      </c>
      <c r="H328" s="63">
        <v>9.1999999999999993</v>
      </c>
      <c r="I328" s="57">
        <v>34</v>
      </c>
      <c r="J328" s="57">
        <v>90</v>
      </c>
      <c r="K328" s="57">
        <v>90</v>
      </c>
      <c r="L328" s="57">
        <v>90</v>
      </c>
      <c r="M328" s="57">
        <v>25.5</v>
      </c>
      <c r="N328" s="63">
        <v>6.4</v>
      </c>
      <c r="O328" s="36">
        <v>1.71</v>
      </c>
      <c r="P328" s="57">
        <v>13</v>
      </c>
      <c r="Q328" s="63">
        <v>6.8</v>
      </c>
      <c r="R328" s="36">
        <v>0.08</v>
      </c>
      <c r="S328" s="36">
        <v>22.36</v>
      </c>
      <c r="T328" s="36">
        <v>0.88</v>
      </c>
      <c r="U328" s="36">
        <v>0.7</v>
      </c>
      <c r="V328" s="42">
        <f t="shared" si="133"/>
        <v>1852.8462499999998</v>
      </c>
      <c r="W328" s="42">
        <f t="shared" si="134"/>
        <v>1460.2868799999999</v>
      </c>
      <c r="X328" s="42">
        <f t="shared" si="135"/>
        <v>0.7881317081760022</v>
      </c>
      <c r="Y328" s="57">
        <v>3</v>
      </c>
      <c r="Z328" s="57">
        <v>4</v>
      </c>
      <c r="AA328" s="63">
        <v>6</v>
      </c>
      <c r="AB328" s="57">
        <v>20</v>
      </c>
      <c r="AC328" s="63">
        <v>6.1</v>
      </c>
      <c r="AD328" s="63">
        <v>4.9000000000000004</v>
      </c>
      <c r="AE328" s="36">
        <v>0.1</v>
      </c>
      <c r="AF328" s="36">
        <v>0.16</v>
      </c>
      <c r="AG328" s="42">
        <f t="shared" si="115"/>
        <v>2470.4616666666666</v>
      </c>
      <c r="AH328" s="42">
        <f t="shared" si="136"/>
        <v>1863.5736287999996</v>
      </c>
      <c r="AI328" s="42">
        <f t="shared" si="137"/>
        <v>0.75434225673069188</v>
      </c>
      <c r="AJ328" s="57">
        <v>2</v>
      </c>
      <c r="AK328" s="57">
        <v>3</v>
      </c>
      <c r="AL328" s="63">
        <v>6.3</v>
      </c>
      <c r="AM328" s="57">
        <v>24</v>
      </c>
      <c r="AN328" s="63">
        <v>6.1</v>
      </c>
      <c r="AO328" s="63">
        <v>4.8</v>
      </c>
      <c r="AP328" s="36">
        <v>0.09</v>
      </c>
      <c r="AQ328" s="36">
        <v>0.19</v>
      </c>
      <c r="AR328" s="73">
        <f t="shared" si="116"/>
        <v>2291</v>
      </c>
      <c r="AS328" s="75">
        <f t="shared" si="117"/>
        <v>0.15233522479266695</v>
      </c>
      <c r="AT328" s="75">
        <f t="shared" si="118"/>
        <v>0.73854212134439112</v>
      </c>
      <c r="AU328" s="75">
        <f t="shared" si="119"/>
        <v>0.10912265386294194</v>
      </c>
      <c r="AV328" s="26">
        <f t="shared" si="120"/>
        <v>6.9838498472282851E-2</v>
      </c>
      <c r="AW328" s="26">
        <f t="shared" si="121"/>
        <v>6.2854648625054563E-2</v>
      </c>
      <c r="AX328" s="24">
        <f t="shared" si="122"/>
        <v>0.88888888888888884</v>
      </c>
      <c r="AY328" s="24">
        <f t="shared" si="123"/>
        <v>0.9064327485380117</v>
      </c>
      <c r="AZ328" s="77" t="str">
        <f t="shared" si="124"/>
        <v>5,0 ≤ Alc. Bruta &lt; 7,5 mg/L</v>
      </c>
      <c r="BA328" s="77" t="str">
        <f t="shared" si="125"/>
        <v>10 ≤ Cor &lt;15 uC</v>
      </c>
      <c r="BB328" s="78" t="str">
        <f t="shared" si="126"/>
        <v>Turbidez &lt; 2,5 uT</v>
      </c>
      <c r="BC328" s="79" t="str">
        <f t="shared" si="127"/>
        <v>SM &gt; TOR &gt; BNN</v>
      </c>
      <c r="BD328" s="78" t="str">
        <f t="shared" si="128"/>
        <v>Tipo 1 (≤0,25) uT</v>
      </c>
      <c r="BE328" s="78" t="str">
        <f t="shared" si="129"/>
        <v>Tipo 1 (≤0,25) uT</v>
      </c>
      <c r="BF328" s="78" t="str">
        <f t="shared" si="130"/>
        <v>Tipo 1 (≤0,25) uT</v>
      </c>
      <c r="BG328" s="78" t="str">
        <f t="shared" si="131"/>
        <v>Tipo 1 (≤0,25) uT</v>
      </c>
      <c r="BH328" s="78" t="str">
        <f t="shared" si="132"/>
        <v>Tipo 1 (≤0,25) uT</v>
      </c>
    </row>
    <row r="329" spans="1:60" x14ac:dyDescent="0.2">
      <c r="A329" s="31">
        <v>46294</v>
      </c>
      <c r="B329" s="80">
        <v>0.89583333333333337</v>
      </c>
      <c r="C329" s="57">
        <v>304</v>
      </c>
      <c r="D329" s="57">
        <v>1474</v>
      </c>
      <c r="E329" s="57">
        <v>437</v>
      </c>
      <c r="F329" s="57">
        <v>2408</v>
      </c>
      <c r="G329" s="85" t="s">
        <v>78</v>
      </c>
      <c r="H329" s="63">
        <v>9.1999999999999993</v>
      </c>
      <c r="I329" s="57">
        <v>34</v>
      </c>
      <c r="J329" s="57">
        <v>90</v>
      </c>
      <c r="K329" s="57">
        <v>90</v>
      </c>
      <c r="L329" s="57">
        <v>90</v>
      </c>
      <c r="M329" s="57">
        <v>23.6</v>
      </c>
      <c r="N329" s="63">
        <v>6.4</v>
      </c>
      <c r="O329" s="36">
        <v>1.46</v>
      </c>
      <c r="P329" s="57">
        <v>11</v>
      </c>
      <c r="Q329" s="63">
        <v>6.9</v>
      </c>
      <c r="R329" s="36">
        <v>0.08</v>
      </c>
      <c r="S329" s="36">
        <v>22.36</v>
      </c>
      <c r="T329" s="36">
        <v>0.88</v>
      </c>
      <c r="U329" s="36">
        <v>0.7</v>
      </c>
      <c r="V329" s="42">
        <f t="shared" si="133"/>
        <v>1872.22</v>
      </c>
      <c r="W329" s="42">
        <f t="shared" si="134"/>
        <v>1533.3012239999998</v>
      </c>
      <c r="X329" s="42">
        <f t="shared" si="135"/>
        <v>0.81897491961414781</v>
      </c>
      <c r="Y329" s="57">
        <v>3</v>
      </c>
      <c r="Z329" s="57">
        <v>4</v>
      </c>
      <c r="AA329" s="63">
        <v>6</v>
      </c>
      <c r="AB329" s="57">
        <v>21</v>
      </c>
      <c r="AC329" s="63">
        <v>6.3</v>
      </c>
      <c r="AD329" s="63">
        <v>4.5</v>
      </c>
      <c r="AE329" s="36">
        <v>0.21</v>
      </c>
      <c r="AF329" s="36">
        <v>0.13</v>
      </c>
      <c r="AG329" s="42">
        <f t="shared" si="115"/>
        <v>2496.2933333333331</v>
      </c>
      <c r="AH329" s="42">
        <f t="shared" si="136"/>
        <v>1863.5736287999996</v>
      </c>
      <c r="AI329" s="42">
        <f t="shared" si="137"/>
        <v>0.7465363160312356</v>
      </c>
      <c r="AJ329" s="57">
        <v>2</v>
      </c>
      <c r="AK329" s="57">
        <v>3</v>
      </c>
      <c r="AL329" s="63">
        <v>6.3</v>
      </c>
      <c r="AM329" s="57">
        <v>24</v>
      </c>
      <c r="AN329" s="63">
        <v>6.1</v>
      </c>
      <c r="AO329" s="63">
        <v>4.8</v>
      </c>
      <c r="AP329" s="36">
        <v>0.18</v>
      </c>
      <c r="AQ329" s="36">
        <v>0.21</v>
      </c>
      <c r="AR329" s="73">
        <f t="shared" si="116"/>
        <v>2215</v>
      </c>
      <c r="AS329" s="75">
        <f t="shared" si="117"/>
        <v>0.13724604966139956</v>
      </c>
      <c r="AT329" s="75">
        <f t="shared" si="118"/>
        <v>0.6654627539503386</v>
      </c>
      <c r="AU329" s="75">
        <f t="shared" si="119"/>
        <v>0.19729119638826184</v>
      </c>
      <c r="AV329" s="26">
        <f t="shared" si="120"/>
        <v>6.9767441860465115E-2</v>
      </c>
      <c r="AW329" s="26">
        <f t="shared" si="121"/>
        <v>5.9800664451827246E-2</v>
      </c>
      <c r="AX329" s="24">
        <f t="shared" si="122"/>
        <v>0.85616438356164382</v>
      </c>
      <c r="AY329" s="24">
        <f t="shared" si="123"/>
        <v>0.91095890410958902</v>
      </c>
      <c r="AZ329" s="77" t="str">
        <f t="shared" si="124"/>
        <v>5,0 ≤ Alc. Bruta &lt; 7,5 mg/L</v>
      </c>
      <c r="BA329" s="77" t="str">
        <f t="shared" si="125"/>
        <v>10 ≤ Cor &lt;15 uC</v>
      </c>
      <c r="BB329" s="78" t="str">
        <f t="shared" si="126"/>
        <v>Turbidez &lt; 2,5 uT</v>
      </c>
      <c r="BC329" s="79" t="str">
        <f t="shared" si="127"/>
        <v>SM &gt; BNN &gt; TOR</v>
      </c>
      <c r="BD329" s="78" t="str">
        <f t="shared" si="128"/>
        <v>Tipo 1 (≤0,25) uT</v>
      </c>
      <c r="BE329" s="78" t="str">
        <f t="shared" si="129"/>
        <v>Tipo 1 (≤0,25) uT</v>
      </c>
      <c r="BF329" s="78" t="str">
        <f t="shared" si="130"/>
        <v>Tipo 1 (≤0,25) uT</v>
      </c>
      <c r="BG329" s="78" t="str">
        <f t="shared" si="131"/>
        <v>Tipo 1 (≤0,25) uT</v>
      </c>
      <c r="BH329" s="78" t="str">
        <f t="shared" si="132"/>
        <v>Tipo 1 (≤0,25) uT</v>
      </c>
    </row>
    <row r="330" spans="1:60" x14ac:dyDescent="0.2">
      <c r="A330" s="31">
        <v>46294</v>
      </c>
      <c r="B330" s="80">
        <v>0.97916666666666663</v>
      </c>
      <c r="C330" s="57">
        <v>308</v>
      </c>
      <c r="D330" s="57">
        <v>1539</v>
      </c>
      <c r="E330" s="57">
        <v>432</v>
      </c>
      <c r="F330" s="57">
        <v>2410</v>
      </c>
      <c r="G330" s="85" t="s">
        <v>78</v>
      </c>
      <c r="H330" s="63">
        <v>9.1999999999999993</v>
      </c>
      <c r="I330" s="57">
        <v>34</v>
      </c>
      <c r="J330" s="57">
        <v>90</v>
      </c>
      <c r="K330" s="57">
        <v>90</v>
      </c>
      <c r="L330" s="57">
        <v>90</v>
      </c>
      <c r="M330" s="57">
        <v>25.4</v>
      </c>
      <c r="N330" s="63">
        <v>6.4</v>
      </c>
      <c r="O330" s="36">
        <v>1.54</v>
      </c>
      <c r="P330" s="57">
        <v>11</v>
      </c>
      <c r="Q330" s="63">
        <v>6.5</v>
      </c>
      <c r="R330" s="36">
        <v>0.08</v>
      </c>
      <c r="S330" s="36">
        <v>22.36</v>
      </c>
      <c r="T330" s="36">
        <v>0.88</v>
      </c>
      <c r="U330" s="36">
        <v>0.7</v>
      </c>
      <c r="V330" s="42">
        <f t="shared" si="133"/>
        <v>1897.875</v>
      </c>
      <c r="W330" s="42">
        <f t="shared" si="134"/>
        <v>1533.3012239999998</v>
      </c>
      <c r="X330" s="42">
        <f t="shared" si="135"/>
        <v>0.80790422130013817</v>
      </c>
      <c r="Y330" s="57">
        <v>3</v>
      </c>
      <c r="Z330" s="57">
        <v>4</v>
      </c>
      <c r="AA330" s="63">
        <v>6</v>
      </c>
      <c r="AB330" s="57">
        <v>21</v>
      </c>
      <c r="AC330" s="63">
        <v>6.2</v>
      </c>
      <c r="AD330" s="63">
        <v>4.7</v>
      </c>
      <c r="AE330" s="36">
        <v>0.18</v>
      </c>
      <c r="AF330" s="36">
        <v>0.15</v>
      </c>
      <c r="AG330" s="42">
        <f t="shared" si="115"/>
        <v>2530.5</v>
      </c>
      <c r="AH330" s="42">
        <f t="shared" si="136"/>
        <v>1863.5736287999996</v>
      </c>
      <c r="AI330" s="42">
        <f t="shared" si="137"/>
        <v>0.73644482465915806</v>
      </c>
      <c r="AJ330" s="57">
        <v>2</v>
      </c>
      <c r="AK330" s="57">
        <v>3</v>
      </c>
      <c r="AL330" s="63">
        <v>6.3</v>
      </c>
      <c r="AM330" s="57">
        <v>24</v>
      </c>
      <c r="AN330" s="63">
        <v>6</v>
      </c>
      <c r="AO330" s="63">
        <v>5.2</v>
      </c>
      <c r="AP330" s="36">
        <v>0.16</v>
      </c>
      <c r="AQ330" s="36">
        <v>0.2</v>
      </c>
      <c r="AR330" s="73">
        <f t="shared" si="116"/>
        <v>2279</v>
      </c>
      <c r="AS330" s="75">
        <f t="shared" si="117"/>
        <v>0.13514699429574376</v>
      </c>
      <c r="AT330" s="75">
        <f t="shared" si="118"/>
        <v>0.67529618253620005</v>
      </c>
      <c r="AU330" s="75">
        <f t="shared" si="119"/>
        <v>0.18955682316805617</v>
      </c>
      <c r="AV330" s="26">
        <f t="shared" si="120"/>
        <v>6.9709543568464732E-2</v>
      </c>
      <c r="AW330" s="26">
        <f t="shared" si="121"/>
        <v>5.9751037344398336E-2</v>
      </c>
      <c r="AX330" s="24">
        <f t="shared" si="122"/>
        <v>0.87012987012987009</v>
      </c>
      <c r="AY330" s="24">
        <f t="shared" si="123"/>
        <v>0.90259740259740262</v>
      </c>
      <c r="AZ330" s="77" t="str">
        <f t="shared" si="124"/>
        <v>5,0 ≤ Alc. Bruta &lt; 7,5 mg/L</v>
      </c>
      <c r="BA330" s="77" t="str">
        <f t="shared" si="125"/>
        <v>10 ≤ Cor &lt;15 uC</v>
      </c>
      <c r="BB330" s="78" t="str">
        <f t="shared" si="126"/>
        <v>Turbidez &lt; 2,5 uT</v>
      </c>
      <c r="BC330" s="79" t="str">
        <f t="shared" si="127"/>
        <v>SM &gt; BNN &gt; TOR</v>
      </c>
      <c r="BD330" s="78" t="str">
        <f t="shared" si="128"/>
        <v>Tipo 1 (≤0,25) uT</v>
      </c>
      <c r="BE330" s="78" t="str">
        <f t="shared" si="129"/>
        <v>Tipo 1 (≤0,25) uT</v>
      </c>
      <c r="BF330" s="78" t="str">
        <f t="shared" si="130"/>
        <v>Tipo 1 (≤0,25) uT</v>
      </c>
      <c r="BG330" s="78" t="str">
        <f t="shared" si="131"/>
        <v>Tipo 1 (≤0,25) uT</v>
      </c>
      <c r="BH330" s="78" t="str">
        <f t="shared" si="132"/>
        <v>Tipo 1 (≤0,25) uT</v>
      </c>
    </row>
    <row r="331" spans="1:60" x14ac:dyDescent="0.2">
      <c r="A331" s="31">
        <v>46295</v>
      </c>
      <c r="B331" s="80">
        <v>0.14583333333333334</v>
      </c>
      <c r="C331" s="57">
        <v>327</v>
      </c>
      <c r="D331" s="57">
        <v>1554</v>
      </c>
      <c r="E331" s="57">
        <v>402</v>
      </c>
      <c r="F331" s="57">
        <v>2482</v>
      </c>
      <c r="G331" s="85" t="s">
        <v>78</v>
      </c>
      <c r="H331" s="63">
        <v>9.1999999999999993</v>
      </c>
      <c r="I331" s="57">
        <v>33</v>
      </c>
      <c r="J331" s="57">
        <v>90</v>
      </c>
      <c r="K331" s="57">
        <v>90</v>
      </c>
      <c r="L331" s="57">
        <v>90</v>
      </c>
      <c r="M331" s="57">
        <v>25.5</v>
      </c>
      <c r="N331" s="63">
        <v>6.4</v>
      </c>
      <c r="O331" s="36">
        <v>1.5</v>
      </c>
      <c r="P331" s="57">
        <v>14</v>
      </c>
      <c r="Q331" s="63">
        <v>6.9</v>
      </c>
      <c r="R331" s="36">
        <v>0.08</v>
      </c>
      <c r="S331" s="36">
        <v>22.36</v>
      </c>
      <c r="T331" s="36">
        <v>0.88</v>
      </c>
      <c r="U331" s="36">
        <v>0.7</v>
      </c>
      <c r="V331" s="42">
        <f t="shared" si="133"/>
        <v>1942.165</v>
      </c>
      <c r="W331" s="42">
        <f t="shared" si="134"/>
        <v>1533.3012239999998</v>
      </c>
      <c r="X331" s="42">
        <f t="shared" si="135"/>
        <v>0.78948041180847139</v>
      </c>
      <c r="Y331" s="57">
        <v>3</v>
      </c>
      <c r="Z331" s="57">
        <v>4</v>
      </c>
      <c r="AA331" s="63">
        <v>6</v>
      </c>
      <c r="AB331" s="57">
        <v>21</v>
      </c>
      <c r="AC331" s="63">
        <v>6.2</v>
      </c>
      <c r="AD331" s="63">
        <v>5.7</v>
      </c>
      <c r="AE331" s="36">
        <v>0.36</v>
      </c>
      <c r="AF331" s="36">
        <v>0.15</v>
      </c>
      <c r="AG331" s="42">
        <f t="shared" si="115"/>
        <v>2589.5533333333333</v>
      </c>
      <c r="AH331" s="42">
        <f t="shared" si="136"/>
        <v>1863.5736287999996</v>
      </c>
      <c r="AI331" s="42">
        <f t="shared" si="137"/>
        <v>0.71965060723470953</v>
      </c>
      <c r="AJ331" s="57">
        <v>2</v>
      </c>
      <c r="AK331" s="57">
        <v>3</v>
      </c>
      <c r="AL331" s="63">
        <v>6.3</v>
      </c>
      <c r="AM331" s="57">
        <v>24</v>
      </c>
      <c r="AN331" s="63">
        <v>6.2</v>
      </c>
      <c r="AO331" s="63">
        <v>5.4</v>
      </c>
      <c r="AP331" s="36">
        <v>0.23</v>
      </c>
      <c r="AQ331" s="36">
        <v>0.23</v>
      </c>
      <c r="AR331" s="73">
        <f t="shared" si="116"/>
        <v>2283</v>
      </c>
      <c r="AS331" s="75">
        <f t="shared" si="117"/>
        <v>0.14323258869908015</v>
      </c>
      <c r="AT331" s="75">
        <f t="shared" si="118"/>
        <v>0.68068331143232585</v>
      </c>
      <c r="AU331" s="75">
        <f t="shared" si="119"/>
        <v>0.17608409986859397</v>
      </c>
      <c r="AV331" s="26">
        <f t="shared" si="120"/>
        <v>6.7687348912167614E-2</v>
      </c>
      <c r="AW331" s="26">
        <f t="shared" si="121"/>
        <v>5.8017727639000802E-2</v>
      </c>
      <c r="AX331" s="24">
        <f t="shared" si="122"/>
        <v>0.84666666666666668</v>
      </c>
      <c r="AY331" s="24">
        <f t="shared" si="123"/>
        <v>0.9</v>
      </c>
      <c r="AZ331" s="77" t="str">
        <f t="shared" si="124"/>
        <v>5,0 ≤ Alc. Bruta &lt; 7,5 mg/L</v>
      </c>
      <c r="BA331" s="77" t="str">
        <f t="shared" si="125"/>
        <v>10 ≤ Cor &lt;15 uC</v>
      </c>
      <c r="BB331" s="78" t="str">
        <f t="shared" si="126"/>
        <v>Turbidez &lt; 2,5 uT</v>
      </c>
      <c r="BC331" s="79" t="str">
        <f t="shared" si="127"/>
        <v>SM &gt; BNN &gt; TOR</v>
      </c>
      <c r="BD331" s="78" t="str">
        <f t="shared" si="128"/>
        <v>Tipo 2 (0,25-0,50) uT</v>
      </c>
      <c r="BE331" s="78" t="str">
        <f t="shared" si="129"/>
        <v>Tipo 1 (≤0,25) uT</v>
      </c>
      <c r="BF331" s="78" t="str">
        <f t="shared" si="130"/>
        <v>Tipo 1 (≤0,25) uT</v>
      </c>
      <c r="BG331" s="78" t="str">
        <f t="shared" si="131"/>
        <v>Tipo 1 (≤0,25) uT</v>
      </c>
      <c r="BH331" s="78" t="str">
        <f t="shared" si="132"/>
        <v>Tipo 1 (≤0,25) uT</v>
      </c>
    </row>
    <row r="332" spans="1:60" ht="15.75" thickBot="1" x14ac:dyDescent="0.25">
      <c r="A332" s="32">
        <v>46295</v>
      </c>
      <c r="B332" s="81">
        <v>0.22916666666666666</v>
      </c>
      <c r="C332" s="58">
        <v>315</v>
      </c>
      <c r="D332" s="58">
        <v>1496</v>
      </c>
      <c r="E332" s="58">
        <v>401</v>
      </c>
      <c r="F332" s="58">
        <v>2388</v>
      </c>
      <c r="G332" s="86" t="s">
        <v>78</v>
      </c>
      <c r="H332" s="64">
        <v>9.1999999999999993</v>
      </c>
      <c r="I332" s="58">
        <v>33</v>
      </c>
      <c r="J332" s="58">
        <v>90</v>
      </c>
      <c r="K332" s="58">
        <v>90</v>
      </c>
      <c r="L332" s="58">
        <v>90</v>
      </c>
      <c r="M332" s="58">
        <v>24.4</v>
      </c>
      <c r="N332" s="64">
        <v>6.4</v>
      </c>
      <c r="O332" s="37">
        <v>1.57</v>
      </c>
      <c r="P332" s="58">
        <v>13</v>
      </c>
      <c r="Q332" s="64">
        <v>6.9</v>
      </c>
      <c r="R332" s="37">
        <v>0.08</v>
      </c>
      <c r="S332" s="36">
        <v>22.36</v>
      </c>
      <c r="T332" s="36">
        <v>0.88</v>
      </c>
      <c r="U332" s="36">
        <v>0.7</v>
      </c>
      <c r="V332" s="42">
        <f t="shared" si="133"/>
        <v>1889.5050000000001</v>
      </c>
      <c r="W332" s="42">
        <f t="shared" si="134"/>
        <v>1533.3012239999998</v>
      </c>
      <c r="X332" s="42">
        <f t="shared" si="135"/>
        <v>0.81148302015607243</v>
      </c>
      <c r="Y332" s="58">
        <v>3</v>
      </c>
      <c r="Z332" s="58">
        <v>4</v>
      </c>
      <c r="AA332" s="64">
        <v>6</v>
      </c>
      <c r="AB332" s="58">
        <v>21</v>
      </c>
      <c r="AC332" s="64">
        <v>6.1</v>
      </c>
      <c r="AD332" s="64">
        <v>5.0999999999999996</v>
      </c>
      <c r="AE332" s="37">
        <v>0.28999999999999998</v>
      </c>
      <c r="AF332" s="37">
        <v>0.15</v>
      </c>
      <c r="AG332" s="42">
        <f t="shared" si="115"/>
        <v>2519.34</v>
      </c>
      <c r="AH332" s="42">
        <f t="shared" si="136"/>
        <v>1900.6500864</v>
      </c>
      <c r="AI332" s="42">
        <f t="shared" si="137"/>
        <v>0.75442381195074892</v>
      </c>
      <c r="AJ332" s="58">
        <v>2</v>
      </c>
      <c r="AK332" s="58">
        <v>3</v>
      </c>
      <c r="AL332" s="64">
        <v>6.4</v>
      </c>
      <c r="AM332" s="58">
        <v>24</v>
      </c>
      <c r="AN332" s="64">
        <v>6.2</v>
      </c>
      <c r="AO332" s="64">
        <v>5.6</v>
      </c>
      <c r="AP332" s="37">
        <v>0.12</v>
      </c>
      <c r="AQ332" s="37">
        <v>0.21</v>
      </c>
      <c r="AR332" s="73">
        <f t="shared" si="116"/>
        <v>2212</v>
      </c>
      <c r="AS332" s="75">
        <f t="shared" si="117"/>
        <v>0.14240506329113925</v>
      </c>
      <c r="AT332" s="75">
        <f t="shared" si="118"/>
        <v>0.67631103074141052</v>
      </c>
      <c r="AU332" s="75">
        <f t="shared" si="119"/>
        <v>0.18128390596745028</v>
      </c>
      <c r="AV332" s="26">
        <f t="shared" si="120"/>
        <v>7.0351758793969849E-2</v>
      </c>
      <c r="AW332" s="26">
        <f t="shared" si="121"/>
        <v>6.030150753768844E-2</v>
      </c>
      <c r="AX332" s="24">
        <f t="shared" si="122"/>
        <v>0.86624203821656054</v>
      </c>
      <c r="AY332" s="24">
        <f t="shared" si="123"/>
        <v>0.90445859872611467</v>
      </c>
      <c r="AZ332" s="77" t="str">
        <f t="shared" si="124"/>
        <v>5,0 ≤ Alc. Bruta &lt; 7,5 mg/L</v>
      </c>
      <c r="BA332" s="77" t="str">
        <f t="shared" si="125"/>
        <v>10 ≤ Cor &lt;15 uC</v>
      </c>
      <c r="BB332" s="78" t="str">
        <f t="shared" si="126"/>
        <v>Turbidez &lt; 2,5 uT</v>
      </c>
      <c r="BC332" s="79" t="str">
        <f t="shared" si="127"/>
        <v>SM &gt; BNN &gt; TOR</v>
      </c>
      <c r="BD332" s="78" t="str">
        <f t="shared" si="128"/>
        <v>Tipo 2 (0,25-0,50) uT</v>
      </c>
      <c r="BE332" s="78" t="str">
        <f t="shared" si="129"/>
        <v>Tipo 1 (≤0,25) uT</v>
      </c>
      <c r="BF332" s="78" t="str">
        <f t="shared" si="130"/>
        <v>Tipo 1 (≤0,25) uT</v>
      </c>
      <c r="BG332" s="78" t="str">
        <f t="shared" si="131"/>
        <v>Tipo 1 (≤0,25) uT</v>
      </c>
      <c r="BH332" s="78" t="str">
        <f t="shared" si="132"/>
        <v>Tipo 1 (≤0,25) uT</v>
      </c>
    </row>
    <row r="333" spans="1:60" x14ac:dyDescent="0.2">
      <c r="A333" s="30">
        <v>46295</v>
      </c>
      <c r="B333" s="82">
        <v>0.3125</v>
      </c>
      <c r="C333" s="59">
        <v>371</v>
      </c>
      <c r="D333" s="59">
        <v>1309</v>
      </c>
      <c r="E333" s="59">
        <v>501</v>
      </c>
      <c r="F333" s="59">
        <v>2300</v>
      </c>
      <c r="G333" s="87" t="s">
        <v>78</v>
      </c>
      <c r="H333" s="65">
        <v>9.1999999999999993</v>
      </c>
      <c r="I333" s="59">
        <v>34.42</v>
      </c>
      <c r="J333" s="59">
        <v>90</v>
      </c>
      <c r="K333" s="59">
        <v>90</v>
      </c>
      <c r="L333" s="59">
        <v>90</v>
      </c>
      <c r="M333" s="59">
        <v>25.1</v>
      </c>
      <c r="N333" s="65">
        <v>6.4</v>
      </c>
      <c r="O333" s="38">
        <v>1.4</v>
      </c>
      <c r="P333" s="59">
        <v>10</v>
      </c>
      <c r="Q333" s="65">
        <v>7.2</v>
      </c>
      <c r="R333" s="38">
        <v>0.12</v>
      </c>
      <c r="S333" s="36">
        <v>22.36</v>
      </c>
      <c r="T333" s="36">
        <v>0.88</v>
      </c>
      <c r="U333" s="36">
        <v>0.7</v>
      </c>
      <c r="V333" s="42">
        <f t="shared" si="133"/>
        <v>1771</v>
      </c>
      <c r="W333" s="42">
        <f t="shared" si="134"/>
        <v>1550.8312851199998</v>
      </c>
      <c r="X333" s="42">
        <f t="shared" si="135"/>
        <v>0.87568113219649901</v>
      </c>
      <c r="Y333" s="59">
        <v>3</v>
      </c>
      <c r="Z333" s="59">
        <v>4</v>
      </c>
      <c r="AA333" s="65">
        <v>6.1</v>
      </c>
      <c r="AB333" s="59">
        <v>20.8</v>
      </c>
      <c r="AC333" s="65">
        <v>6.3</v>
      </c>
      <c r="AD333" s="65">
        <v>5.5</v>
      </c>
      <c r="AE333" s="38">
        <v>0.13</v>
      </c>
      <c r="AF333" s="38">
        <v>0.14000000000000001</v>
      </c>
      <c r="AG333" s="42">
        <f t="shared" si="115"/>
        <v>2361.3333333333335</v>
      </c>
      <c r="AH333" s="42">
        <f t="shared" si="136"/>
        <v>1840.2789584399995</v>
      </c>
      <c r="AI333" s="42">
        <f t="shared" si="137"/>
        <v>0.77933891520609799</v>
      </c>
      <c r="AJ333" s="59">
        <v>2</v>
      </c>
      <c r="AK333" s="59">
        <v>3</v>
      </c>
      <c r="AL333" s="65">
        <v>6.3</v>
      </c>
      <c r="AM333" s="59">
        <v>23.7</v>
      </c>
      <c r="AN333" s="65">
        <v>6.2</v>
      </c>
      <c r="AO333" s="65">
        <v>5.7</v>
      </c>
      <c r="AP333" s="38">
        <v>0.17</v>
      </c>
      <c r="AQ333" s="38">
        <v>0.2</v>
      </c>
      <c r="AR333" s="73">
        <f t="shared" si="116"/>
        <v>2181</v>
      </c>
      <c r="AS333" s="75">
        <f t="shared" si="117"/>
        <v>0.17010545621274645</v>
      </c>
      <c r="AT333" s="75">
        <f t="shared" si="118"/>
        <v>0.60018340210912424</v>
      </c>
      <c r="AU333" s="75">
        <f t="shared" si="119"/>
        <v>0.22971114167812931</v>
      </c>
      <c r="AV333" s="26">
        <f t="shared" si="120"/>
        <v>7.2347826086956529E-2</v>
      </c>
      <c r="AW333" s="26">
        <f t="shared" si="121"/>
        <v>6.1826086956521739E-2</v>
      </c>
      <c r="AX333" s="24">
        <f t="shared" si="122"/>
        <v>0.8571428571428571</v>
      </c>
      <c r="AY333" s="24">
        <f t="shared" si="123"/>
        <v>0.9</v>
      </c>
      <c r="AZ333" s="77" t="str">
        <f t="shared" si="124"/>
        <v>5,0 ≤ Alc. Bruta &lt; 7,5 mg/L</v>
      </c>
      <c r="BA333" s="77" t="str">
        <f t="shared" si="125"/>
        <v>10 ≤ Cor &lt;15 uC</v>
      </c>
      <c r="BB333" s="78" t="str">
        <f t="shared" si="126"/>
        <v>Turbidez &lt; 2,5 uT</v>
      </c>
      <c r="BC333" s="79" t="str">
        <f t="shared" si="127"/>
        <v>SM &gt; BNN &gt; TOR</v>
      </c>
      <c r="BD333" s="78" t="str">
        <f t="shared" si="128"/>
        <v>Tipo 1 (≤0,25) uT</v>
      </c>
      <c r="BE333" s="78" t="str">
        <f t="shared" si="129"/>
        <v>Tipo 1 (≤0,25) uT</v>
      </c>
      <c r="BF333" s="78" t="str">
        <f t="shared" si="130"/>
        <v>Tipo 1 (≤0,25) uT</v>
      </c>
      <c r="BG333" s="78" t="str">
        <f t="shared" si="131"/>
        <v>Tipo 1 (≤0,25) uT</v>
      </c>
      <c r="BH333" s="78" t="str">
        <f t="shared" si="132"/>
        <v>Tipo 1 (≤0,25) uT</v>
      </c>
    </row>
    <row r="334" spans="1:60" x14ac:dyDescent="0.2">
      <c r="A334" s="31">
        <v>46295</v>
      </c>
      <c r="B334" s="80">
        <v>0.47916666666666669</v>
      </c>
      <c r="C334" s="57">
        <v>365</v>
      </c>
      <c r="D334" s="57">
        <v>1410</v>
      </c>
      <c r="E334" s="57">
        <v>401</v>
      </c>
      <c r="F334" s="57">
        <v>2091</v>
      </c>
      <c r="G334" s="85" t="s">
        <v>78</v>
      </c>
      <c r="H334" s="63">
        <v>9.1999999999999993</v>
      </c>
      <c r="I334" s="57">
        <v>34.479999999999997</v>
      </c>
      <c r="J334" s="57">
        <v>90</v>
      </c>
      <c r="K334" s="57">
        <v>90</v>
      </c>
      <c r="L334" s="57">
        <v>90</v>
      </c>
      <c r="M334" s="57">
        <v>26</v>
      </c>
      <c r="N334" s="63">
        <v>6.5</v>
      </c>
      <c r="O334" s="36">
        <v>1.48</v>
      </c>
      <c r="P334" s="57">
        <v>10</v>
      </c>
      <c r="Q334" s="63">
        <v>7</v>
      </c>
      <c r="R334" s="36">
        <v>0.13</v>
      </c>
      <c r="S334" s="36">
        <v>22.36</v>
      </c>
      <c r="T334" s="36">
        <v>0.88</v>
      </c>
      <c r="U334" s="36">
        <v>0.7</v>
      </c>
      <c r="V334" s="42">
        <f t="shared" si="133"/>
        <v>1630.98</v>
      </c>
      <c r="W334" s="42">
        <f t="shared" si="134"/>
        <v>1550.8312851199998</v>
      </c>
      <c r="X334" s="42">
        <f t="shared" si="135"/>
        <v>0.95085855443966194</v>
      </c>
      <c r="Y334" s="57">
        <v>3</v>
      </c>
      <c r="Z334" s="57">
        <v>4</v>
      </c>
      <c r="AA334" s="63">
        <v>6.1</v>
      </c>
      <c r="AB334" s="57">
        <v>20.8</v>
      </c>
      <c r="AC334" s="63">
        <v>6.3</v>
      </c>
      <c r="AD334" s="63">
        <v>5.8</v>
      </c>
      <c r="AE334" s="36">
        <v>0.12</v>
      </c>
      <c r="AF334" s="36">
        <v>0.13</v>
      </c>
      <c r="AG334" s="42">
        <f t="shared" si="115"/>
        <v>1630.98</v>
      </c>
      <c r="AH334" s="42">
        <f t="shared" si="136"/>
        <v>1863.5736287999996</v>
      </c>
      <c r="AI334" s="42">
        <f t="shared" si="137"/>
        <v>1.1426097369679578</v>
      </c>
      <c r="AJ334" s="57">
        <v>3</v>
      </c>
      <c r="AK334" s="57">
        <v>4</v>
      </c>
      <c r="AL334" s="63">
        <v>6.3</v>
      </c>
      <c r="AM334" s="57">
        <v>24</v>
      </c>
      <c r="AN334" s="63">
        <v>6.3</v>
      </c>
      <c r="AO334" s="63">
        <v>5.8</v>
      </c>
      <c r="AP334" s="36">
        <v>0.18</v>
      </c>
      <c r="AQ334" s="36">
        <v>0.23</v>
      </c>
      <c r="AR334" s="73">
        <f t="shared" si="116"/>
        <v>2176</v>
      </c>
      <c r="AS334" s="75">
        <f t="shared" si="117"/>
        <v>0.16773897058823528</v>
      </c>
      <c r="AT334" s="75">
        <f t="shared" si="118"/>
        <v>0.64797794117647056</v>
      </c>
      <c r="AU334" s="75">
        <f t="shared" si="119"/>
        <v>0.18428308823529413</v>
      </c>
      <c r="AV334" s="26">
        <f t="shared" si="120"/>
        <v>7.9579148732663793E-2</v>
      </c>
      <c r="AW334" s="26">
        <f t="shared" si="121"/>
        <v>9.1822094691535155E-2</v>
      </c>
      <c r="AX334" s="24">
        <f t="shared" si="122"/>
        <v>0.84459459459459463</v>
      </c>
      <c r="AY334" s="24">
        <f t="shared" si="123"/>
        <v>0.91216216216216217</v>
      </c>
      <c r="AZ334" s="77" t="str">
        <f t="shared" si="124"/>
        <v>5,0 ≤ Alc. Bruta &lt; 7,5 mg/L</v>
      </c>
      <c r="BA334" s="77" t="str">
        <f t="shared" si="125"/>
        <v>10 ≤ Cor &lt;15 uC</v>
      </c>
      <c r="BB334" s="78" t="str">
        <f t="shared" si="126"/>
        <v>Turbidez &lt; 2,5 uT</v>
      </c>
      <c r="BC334" s="79" t="str">
        <f t="shared" si="127"/>
        <v>SM &gt; BNN &gt; TOR</v>
      </c>
      <c r="BD334" s="78" t="str">
        <f t="shared" si="128"/>
        <v>Tipo 1 (≤0,25) uT</v>
      </c>
      <c r="BE334" s="78" t="str">
        <f t="shared" si="129"/>
        <v>Tipo 1 (≤0,25) uT</v>
      </c>
      <c r="BF334" s="78" t="str">
        <f t="shared" si="130"/>
        <v>Tipo 1 (≤0,25) uT</v>
      </c>
      <c r="BG334" s="78" t="str">
        <f t="shared" si="131"/>
        <v>Tipo 1 (≤0,25) uT</v>
      </c>
      <c r="BH334" s="78" t="str">
        <f t="shared" si="132"/>
        <v>Tipo 1 (≤0,25) uT</v>
      </c>
    </row>
    <row r="335" spans="1:60" x14ac:dyDescent="0.2">
      <c r="A335" s="31">
        <v>46295</v>
      </c>
      <c r="B335" s="80">
        <v>0.72916666666666663</v>
      </c>
      <c r="C335" s="57">
        <v>270</v>
      </c>
      <c r="D335" s="57">
        <v>1600</v>
      </c>
      <c r="E335" s="57">
        <v>400</v>
      </c>
      <c r="F335" s="57">
        <v>2278</v>
      </c>
      <c r="G335" s="85" t="s">
        <v>78</v>
      </c>
      <c r="H335" s="63">
        <v>9.1999999999999993</v>
      </c>
      <c r="I335" s="57">
        <v>34.58</v>
      </c>
      <c r="J335" s="57">
        <v>90</v>
      </c>
      <c r="K335" s="57">
        <v>90</v>
      </c>
      <c r="L335" s="57">
        <v>90</v>
      </c>
      <c r="M335" s="57">
        <v>26.6</v>
      </c>
      <c r="N335" s="63">
        <v>6.4</v>
      </c>
      <c r="O335" s="36">
        <v>1.47</v>
      </c>
      <c r="P335" s="57">
        <v>9</v>
      </c>
      <c r="Q335" s="63">
        <v>7.1</v>
      </c>
      <c r="R335" s="36">
        <v>0.12</v>
      </c>
      <c r="S335" s="36">
        <v>22.36</v>
      </c>
      <c r="T335" s="36">
        <v>0.88</v>
      </c>
      <c r="U335" s="36">
        <v>0.7</v>
      </c>
      <c r="V335" s="42">
        <f t="shared" si="133"/>
        <v>1773.9924999999998</v>
      </c>
      <c r="W335" s="42">
        <f t="shared" si="134"/>
        <v>1550.8312851199998</v>
      </c>
      <c r="X335" s="42">
        <f t="shared" si="135"/>
        <v>0.87420396936289191</v>
      </c>
      <c r="Y335" s="57">
        <v>3</v>
      </c>
      <c r="Z335" s="57">
        <v>4</v>
      </c>
      <c r="AA335" s="63">
        <v>6.1</v>
      </c>
      <c r="AB335" s="57">
        <v>20.8</v>
      </c>
      <c r="AC335" s="63">
        <v>6.4</v>
      </c>
      <c r="AD335" s="63">
        <v>6</v>
      </c>
      <c r="AE335" s="36">
        <v>0.13</v>
      </c>
      <c r="AF335" s="36">
        <v>0.15</v>
      </c>
      <c r="AG335" s="42">
        <f t="shared" si="115"/>
        <v>1773.9924999999998</v>
      </c>
      <c r="AH335" s="42">
        <f t="shared" si="136"/>
        <v>1863.5736287999996</v>
      </c>
      <c r="AI335" s="42">
        <f t="shared" si="137"/>
        <v>1.0504969039046106</v>
      </c>
      <c r="AJ335" s="57">
        <v>3</v>
      </c>
      <c r="AK335" s="57">
        <v>4</v>
      </c>
      <c r="AL335" s="63">
        <v>6.3</v>
      </c>
      <c r="AM335" s="57">
        <v>24</v>
      </c>
      <c r="AN335" s="63">
        <v>6.4</v>
      </c>
      <c r="AO335" s="63">
        <v>5.9</v>
      </c>
      <c r="AP335" s="36">
        <v>0.19</v>
      </c>
      <c r="AQ335" s="36">
        <v>0.22</v>
      </c>
      <c r="AR335" s="73">
        <f t="shared" si="116"/>
        <v>2270</v>
      </c>
      <c r="AS335" s="75">
        <f t="shared" si="117"/>
        <v>0.11894273127753303</v>
      </c>
      <c r="AT335" s="75">
        <f t="shared" si="118"/>
        <v>0.70484581497797361</v>
      </c>
      <c r="AU335" s="75">
        <f t="shared" si="119"/>
        <v>0.1762114537444934</v>
      </c>
      <c r="AV335" s="26">
        <f t="shared" si="120"/>
        <v>7.3046532045654089E-2</v>
      </c>
      <c r="AW335" s="26">
        <f t="shared" si="121"/>
        <v>8.4284460052677784E-2</v>
      </c>
      <c r="AX335" s="24">
        <f t="shared" si="122"/>
        <v>0.85034013605442182</v>
      </c>
      <c r="AY335" s="24">
        <f t="shared" si="123"/>
        <v>0.89795918367346939</v>
      </c>
      <c r="AZ335" s="77" t="str">
        <f t="shared" si="124"/>
        <v>5,0 ≤ Alc. Bruta &lt; 7,5 mg/L</v>
      </c>
      <c r="BA335" s="77" t="str">
        <f t="shared" si="125"/>
        <v>5 ≤ Cor &lt; 10 uC</v>
      </c>
      <c r="BB335" s="78" t="str">
        <f t="shared" si="126"/>
        <v>Turbidez &lt; 2,5 uT</v>
      </c>
      <c r="BC335" s="79" t="str">
        <f t="shared" si="127"/>
        <v>SM &gt; BNN &gt; TOR</v>
      </c>
      <c r="BD335" s="78" t="str">
        <f t="shared" si="128"/>
        <v>Tipo 1 (≤0,25) uT</v>
      </c>
      <c r="BE335" s="78" t="str">
        <f t="shared" si="129"/>
        <v>Tipo 1 (≤0,25) uT</v>
      </c>
      <c r="BF335" s="78" t="str">
        <f t="shared" si="130"/>
        <v>Tipo 1 (≤0,25) uT</v>
      </c>
      <c r="BG335" s="78" t="str">
        <f t="shared" si="131"/>
        <v>Tipo 1 (≤0,25) uT</v>
      </c>
      <c r="BH335" s="78" t="str">
        <f t="shared" si="132"/>
        <v>Tipo 1 (≤0,25) uT</v>
      </c>
    </row>
    <row r="336" spans="1:60" x14ac:dyDescent="0.2">
      <c r="A336" s="31">
        <v>46295</v>
      </c>
      <c r="B336" s="80">
        <v>0.8125</v>
      </c>
      <c r="C336" s="57">
        <v>257</v>
      </c>
      <c r="D336" s="57">
        <v>1638</v>
      </c>
      <c r="E336" s="57">
        <v>400</v>
      </c>
      <c r="F336" s="57">
        <v>2298</v>
      </c>
      <c r="G336" s="85" t="s">
        <v>78</v>
      </c>
      <c r="H336" s="63">
        <v>9.1999999999999993</v>
      </c>
      <c r="I336" s="57">
        <v>34</v>
      </c>
      <c r="J336" s="57">
        <v>90</v>
      </c>
      <c r="K336" s="57">
        <v>90</v>
      </c>
      <c r="L336" s="57">
        <v>90</v>
      </c>
      <c r="M336" s="57">
        <v>26.4</v>
      </c>
      <c r="N336" s="63">
        <v>6.5</v>
      </c>
      <c r="O336" s="36">
        <v>1.32</v>
      </c>
      <c r="P336" s="57">
        <v>10</v>
      </c>
      <c r="Q336" s="63">
        <v>9.5</v>
      </c>
      <c r="R336" s="36">
        <v>0.11</v>
      </c>
      <c r="S336" s="36">
        <v>22.36</v>
      </c>
      <c r="T336" s="36">
        <v>0.88</v>
      </c>
      <c r="U336" s="36">
        <v>0.7</v>
      </c>
      <c r="V336" s="42">
        <f t="shared" si="133"/>
        <v>1746.48</v>
      </c>
      <c r="W336" s="42">
        <f t="shared" si="134"/>
        <v>1565.7431243999997</v>
      </c>
      <c r="X336" s="42">
        <f t="shared" si="135"/>
        <v>0.89651362992991601</v>
      </c>
      <c r="Y336" s="57">
        <v>3</v>
      </c>
      <c r="Z336" s="57">
        <v>4</v>
      </c>
      <c r="AA336" s="63">
        <v>6.1</v>
      </c>
      <c r="AB336" s="57">
        <v>21</v>
      </c>
      <c r="AC336" s="63">
        <v>6.2</v>
      </c>
      <c r="AD336" s="63">
        <v>7.2</v>
      </c>
      <c r="AE336" s="36">
        <v>0.11</v>
      </c>
      <c r="AF336" s="36">
        <v>0.11</v>
      </c>
      <c r="AG336" s="42">
        <f t="shared" si="115"/>
        <v>1746.48</v>
      </c>
      <c r="AH336" s="42">
        <f t="shared" si="136"/>
        <v>1785.9247275999996</v>
      </c>
      <c r="AI336" s="42">
        <f t="shared" si="137"/>
        <v>1.0225852730062752</v>
      </c>
      <c r="AJ336" s="57">
        <v>3</v>
      </c>
      <c r="AK336" s="57">
        <v>4</v>
      </c>
      <c r="AL336" s="63">
        <v>6.3</v>
      </c>
      <c r="AM336" s="57">
        <v>23</v>
      </c>
      <c r="AN336" s="63">
        <v>6.2</v>
      </c>
      <c r="AO336" s="63">
        <v>6.8</v>
      </c>
      <c r="AP336" s="36">
        <v>0.1</v>
      </c>
      <c r="AQ336" s="36">
        <v>0.23</v>
      </c>
      <c r="AR336" s="73">
        <f t="shared" si="116"/>
        <v>2295</v>
      </c>
      <c r="AS336" s="75">
        <f t="shared" si="117"/>
        <v>0.11198257080610022</v>
      </c>
      <c r="AT336" s="75">
        <f t="shared" si="118"/>
        <v>0.71372549019607845</v>
      </c>
      <c r="AU336" s="75">
        <f t="shared" si="119"/>
        <v>0.17429193899782136</v>
      </c>
      <c r="AV336" s="26">
        <f t="shared" si="120"/>
        <v>7.3107049608355096E-2</v>
      </c>
      <c r="AW336" s="26">
        <f t="shared" si="121"/>
        <v>8.0069625761531774E-2</v>
      </c>
      <c r="AX336" s="24">
        <f t="shared" si="122"/>
        <v>0.82575757575757569</v>
      </c>
      <c r="AY336" s="24">
        <f t="shared" si="123"/>
        <v>0.91666666666666663</v>
      </c>
      <c r="AZ336" s="77" t="str">
        <f t="shared" si="124"/>
        <v>7,5 ≤ Alc. Bruta &lt; 10,0 mg/L</v>
      </c>
      <c r="BA336" s="77" t="str">
        <f t="shared" si="125"/>
        <v>10 ≤ Cor &lt;15 uC</v>
      </c>
      <c r="BB336" s="78" t="str">
        <f t="shared" si="126"/>
        <v>Turbidez &lt; 2,5 uT</v>
      </c>
      <c r="BC336" s="79" t="str">
        <f t="shared" si="127"/>
        <v>SM &gt; BNN &gt; TOR</v>
      </c>
      <c r="BD336" s="78" t="str">
        <f t="shared" si="128"/>
        <v>Tipo 1 (≤0,25) uT</v>
      </c>
      <c r="BE336" s="78" t="str">
        <f t="shared" si="129"/>
        <v>Tipo 1 (≤0,25) uT</v>
      </c>
      <c r="BF336" s="78" t="str">
        <f t="shared" si="130"/>
        <v>Tipo 1 (≤0,25) uT</v>
      </c>
      <c r="BG336" s="78" t="str">
        <f t="shared" si="131"/>
        <v>Tipo 1 (≤0,25) uT</v>
      </c>
      <c r="BH336" s="78" t="str">
        <f t="shared" si="132"/>
        <v>Tipo 1 (≤0,25) uT</v>
      </c>
    </row>
    <row r="337" spans="1:60" x14ac:dyDescent="0.2">
      <c r="A337" s="31">
        <v>46295</v>
      </c>
      <c r="B337" s="80">
        <v>0.89583333333333337</v>
      </c>
      <c r="C337" s="57">
        <v>258</v>
      </c>
      <c r="D337" s="57">
        <v>1551</v>
      </c>
      <c r="E337" s="57">
        <v>399</v>
      </c>
      <c r="F337" s="57">
        <v>2244</v>
      </c>
      <c r="G337" s="85" t="s">
        <v>78</v>
      </c>
      <c r="H337" s="63">
        <v>9.1999999999999993</v>
      </c>
      <c r="I337" s="57">
        <v>34</v>
      </c>
      <c r="J337" s="57">
        <v>30</v>
      </c>
      <c r="K337" s="57">
        <v>30</v>
      </c>
      <c r="L337" s="57">
        <v>90</v>
      </c>
      <c r="M337" s="57">
        <v>25.2</v>
      </c>
      <c r="N337" s="63">
        <v>6.6</v>
      </c>
      <c r="O337" s="36">
        <v>1.34</v>
      </c>
      <c r="P337" s="57">
        <v>10</v>
      </c>
      <c r="Q337" s="63">
        <v>7</v>
      </c>
      <c r="R337" s="36">
        <v>0.09</v>
      </c>
      <c r="S337" s="36">
        <v>22.36</v>
      </c>
      <c r="T337" s="36">
        <v>0.88</v>
      </c>
      <c r="U337" s="36">
        <v>0.7</v>
      </c>
      <c r="V337" s="42">
        <f t="shared" si="133"/>
        <v>1711.05</v>
      </c>
      <c r="W337" s="42">
        <f t="shared" si="134"/>
        <v>1565.7431243999997</v>
      </c>
      <c r="X337" s="42">
        <f t="shared" si="135"/>
        <v>0.9150773644253527</v>
      </c>
      <c r="Y337" s="57">
        <v>3</v>
      </c>
      <c r="Z337" s="57">
        <v>4</v>
      </c>
      <c r="AA337" s="63">
        <v>6.1</v>
      </c>
      <c r="AB337" s="57">
        <v>21</v>
      </c>
      <c r="AC337" s="63">
        <v>6.2</v>
      </c>
      <c r="AD337" s="63">
        <v>6</v>
      </c>
      <c r="AE337" s="36">
        <v>0.12</v>
      </c>
      <c r="AF337" s="36">
        <v>0.15</v>
      </c>
      <c r="AG337" s="42">
        <f t="shared" si="115"/>
        <v>1711.05</v>
      </c>
      <c r="AH337" s="42">
        <f t="shared" si="136"/>
        <v>1785.9247275999996</v>
      </c>
      <c r="AI337" s="42">
        <f t="shared" si="137"/>
        <v>1.0437595205283303</v>
      </c>
      <c r="AJ337" s="57">
        <v>3</v>
      </c>
      <c r="AK337" s="57">
        <v>4</v>
      </c>
      <c r="AL337" s="63">
        <v>6.3</v>
      </c>
      <c r="AM337" s="57">
        <v>23</v>
      </c>
      <c r="AN337" s="63">
        <v>6.2</v>
      </c>
      <c r="AO337" s="63">
        <v>6</v>
      </c>
      <c r="AP337" s="36">
        <v>0.14000000000000001</v>
      </c>
      <c r="AQ337" s="36">
        <v>0.25</v>
      </c>
      <c r="AR337" s="73">
        <f t="shared" si="116"/>
        <v>2208</v>
      </c>
      <c r="AS337" s="75">
        <f t="shared" si="117"/>
        <v>0.11684782608695653</v>
      </c>
      <c r="AT337" s="75">
        <f t="shared" si="118"/>
        <v>0.70244565217391308</v>
      </c>
      <c r="AU337" s="75">
        <f t="shared" si="119"/>
        <v>0.18070652173913043</v>
      </c>
      <c r="AV337" s="26">
        <f t="shared" si="120"/>
        <v>7.4866310160427801E-2</v>
      </c>
      <c r="AW337" s="26">
        <f t="shared" si="121"/>
        <v>8.1996434937611412E-2</v>
      </c>
      <c r="AX337" s="24">
        <f t="shared" si="122"/>
        <v>0.81343283582089554</v>
      </c>
      <c r="AY337" s="24">
        <f t="shared" si="123"/>
        <v>0.88805970149253732</v>
      </c>
      <c r="AZ337" s="77" t="str">
        <f t="shared" si="124"/>
        <v>5,0 ≤ Alc. Bruta &lt; 7,5 mg/L</v>
      </c>
      <c r="BA337" s="77" t="str">
        <f t="shared" si="125"/>
        <v>10 ≤ Cor &lt;15 uC</v>
      </c>
      <c r="BB337" s="78" t="str">
        <f t="shared" si="126"/>
        <v>Turbidez &lt; 2,5 uT</v>
      </c>
      <c r="BC337" s="79" t="str">
        <f t="shared" si="127"/>
        <v>SM &gt; BNN &gt; TOR</v>
      </c>
      <c r="BD337" s="78" t="str">
        <f t="shared" si="128"/>
        <v>Tipo 1 (≤0,25) uT</v>
      </c>
      <c r="BE337" s="78" t="str">
        <f t="shared" si="129"/>
        <v>Tipo 1 (≤0,25) uT</v>
      </c>
      <c r="BF337" s="78" t="str">
        <f t="shared" si="130"/>
        <v>Tipo 1 (≤0,25) uT</v>
      </c>
      <c r="BG337" s="78" t="str">
        <f t="shared" si="131"/>
        <v>Tipo 1 (≤0,25) uT</v>
      </c>
      <c r="BH337" s="78" t="str">
        <f t="shared" si="132"/>
        <v>Tipo 1 (≤0,25) uT</v>
      </c>
    </row>
    <row r="338" spans="1:60" x14ac:dyDescent="0.2">
      <c r="A338" s="31">
        <v>46295</v>
      </c>
      <c r="B338" s="80">
        <v>0.97916666666666663</v>
      </c>
      <c r="C338" s="57">
        <v>263</v>
      </c>
      <c r="D338" s="57">
        <v>1610</v>
      </c>
      <c r="E338" s="57">
        <v>400</v>
      </c>
      <c r="F338" s="57">
        <v>2310</v>
      </c>
      <c r="G338" s="85" t="s">
        <v>78</v>
      </c>
      <c r="H338" s="63">
        <v>9.1999999999999993</v>
      </c>
      <c r="I338" s="57">
        <v>34</v>
      </c>
      <c r="J338" s="57">
        <v>30</v>
      </c>
      <c r="K338" s="57">
        <v>30</v>
      </c>
      <c r="L338" s="57">
        <v>30</v>
      </c>
      <c r="M338" s="57">
        <v>25.1</v>
      </c>
      <c r="N338" s="63">
        <v>6.6</v>
      </c>
      <c r="O338" s="36">
        <v>1.29</v>
      </c>
      <c r="P338" s="57">
        <v>9</v>
      </c>
      <c r="Q338" s="63">
        <v>7.2</v>
      </c>
      <c r="R338" s="36">
        <v>0.09</v>
      </c>
      <c r="S338" s="36">
        <v>22.36</v>
      </c>
      <c r="T338" s="36">
        <v>0.88</v>
      </c>
      <c r="U338" s="36">
        <v>0.7</v>
      </c>
      <c r="V338" s="42">
        <f t="shared" si="133"/>
        <v>1746.9375</v>
      </c>
      <c r="W338" s="42">
        <f t="shared" si="134"/>
        <v>1565.7431243999997</v>
      </c>
      <c r="X338" s="42">
        <f t="shared" si="135"/>
        <v>0.89627884477836195</v>
      </c>
      <c r="Y338" s="57">
        <v>3</v>
      </c>
      <c r="Z338" s="57">
        <v>4</v>
      </c>
      <c r="AA338" s="63">
        <v>6.1</v>
      </c>
      <c r="AB338" s="57">
        <v>21</v>
      </c>
      <c r="AC338" s="63">
        <v>6.2</v>
      </c>
      <c r="AD338" s="63">
        <v>5.5</v>
      </c>
      <c r="AE338" s="36">
        <v>0.11</v>
      </c>
      <c r="AF338" s="36">
        <v>0.14000000000000001</v>
      </c>
      <c r="AG338" s="42">
        <f t="shared" si="115"/>
        <v>1746.9375</v>
      </c>
      <c r="AH338" s="42">
        <f t="shared" si="136"/>
        <v>1785.9247275999996</v>
      </c>
      <c r="AI338" s="42">
        <f t="shared" si="137"/>
        <v>1.0223174713462844</v>
      </c>
      <c r="AJ338" s="57">
        <v>3</v>
      </c>
      <c r="AK338" s="57">
        <v>4</v>
      </c>
      <c r="AL338" s="63">
        <v>6.3</v>
      </c>
      <c r="AM338" s="57">
        <v>23</v>
      </c>
      <c r="AN338" s="63">
        <v>6.2</v>
      </c>
      <c r="AO338" s="63">
        <v>6</v>
      </c>
      <c r="AP338" s="36">
        <v>0.1</v>
      </c>
      <c r="AQ338" s="36">
        <v>0.26</v>
      </c>
      <c r="AR338" s="73">
        <f t="shared" si="116"/>
        <v>2273</v>
      </c>
      <c r="AS338" s="75">
        <f t="shared" si="117"/>
        <v>0.11570611526616806</v>
      </c>
      <c r="AT338" s="75">
        <f t="shared" si="118"/>
        <v>0.70831500219973598</v>
      </c>
      <c r="AU338" s="75">
        <f t="shared" si="119"/>
        <v>0.17597888253409591</v>
      </c>
      <c r="AV338" s="26">
        <f t="shared" si="120"/>
        <v>7.2727272727272724E-2</v>
      </c>
      <c r="AW338" s="26">
        <f t="shared" si="121"/>
        <v>7.9653679653679657E-2</v>
      </c>
      <c r="AX338" s="24">
        <f t="shared" si="122"/>
        <v>0.79844961240310075</v>
      </c>
      <c r="AY338" s="24">
        <f t="shared" si="123"/>
        <v>0.89147286821705429</v>
      </c>
      <c r="AZ338" s="77" t="str">
        <f t="shared" si="124"/>
        <v>5,0 ≤ Alc. Bruta &lt; 7,5 mg/L</v>
      </c>
      <c r="BA338" s="77" t="str">
        <f t="shared" si="125"/>
        <v>5 ≤ Cor &lt; 10 uC</v>
      </c>
      <c r="BB338" s="78" t="str">
        <f t="shared" si="126"/>
        <v>Turbidez &lt; 2,5 uT</v>
      </c>
      <c r="BC338" s="79" t="str">
        <f t="shared" si="127"/>
        <v>SM &gt; BNN &gt; TOR</v>
      </c>
      <c r="BD338" s="78" t="str">
        <f t="shared" si="128"/>
        <v>Tipo 1 (≤0,25) uT</v>
      </c>
      <c r="BE338" s="78" t="str">
        <f t="shared" si="129"/>
        <v>Tipo 1 (≤0,25) uT</v>
      </c>
      <c r="BF338" s="78" t="str">
        <f t="shared" si="130"/>
        <v>Tipo 1 (≤0,25) uT</v>
      </c>
      <c r="BG338" s="78" t="str">
        <f t="shared" si="131"/>
        <v>Tipo 2 (0,25-0,50) uT</v>
      </c>
      <c r="BH338" s="78" t="str">
        <f t="shared" si="132"/>
        <v>Tipo 1 (≤0,25) uT</v>
      </c>
    </row>
    <row r="339" spans="1:60" x14ac:dyDescent="0.2">
      <c r="A339" s="31">
        <v>46296</v>
      </c>
      <c r="B339" s="80">
        <v>0.14583333333333334</v>
      </c>
      <c r="C339" s="57">
        <v>265</v>
      </c>
      <c r="D339" s="57">
        <v>1620</v>
      </c>
      <c r="E339" s="57">
        <v>400</v>
      </c>
      <c r="F339" s="57">
        <v>2317</v>
      </c>
      <c r="G339" s="85" t="s">
        <v>78</v>
      </c>
      <c r="H339" s="63">
        <v>9.1999999999999993</v>
      </c>
      <c r="I339" s="57">
        <v>35</v>
      </c>
      <c r="J339" s="57">
        <v>90</v>
      </c>
      <c r="K339" s="57">
        <v>90</v>
      </c>
      <c r="L339" s="57">
        <v>90</v>
      </c>
      <c r="M339" s="57">
        <v>25</v>
      </c>
      <c r="N339" s="63">
        <v>6.5</v>
      </c>
      <c r="O339" s="36">
        <v>1.42</v>
      </c>
      <c r="P339" s="57">
        <v>11</v>
      </c>
      <c r="Q339" s="63">
        <v>9.1999999999999993</v>
      </c>
      <c r="R339" s="36">
        <v>0.08</v>
      </c>
      <c r="S339" s="36">
        <v>22.36</v>
      </c>
      <c r="T339" s="36">
        <v>0.88</v>
      </c>
      <c r="U339" s="36">
        <v>0.7</v>
      </c>
      <c r="V339" s="42">
        <f t="shared" si="133"/>
        <v>1789.8824999999999</v>
      </c>
      <c r="W339" s="42">
        <f t="shared" si="134"/>
        <v>1640.3023207999997</v>
      </c>
      <c r="X339" s="42">
        <f t="shared" si="135"/>
        <v>0.91643016834903956</v>
      </c>
      <c r="Y339" s="57">
        <v>3</v>
      </c>
      <c r="Z339" s="57">
        <v>4</v>
      </c>
      <c r="AA339" s="63">
        <v>6.1</v>
      </c>
      <c r="AB339" s="57">
        <v>22</v>
      </c>
      <c r="AC339" s="63">
        <v>6.3</v>
      </c>
      <c r="AD339" s="63">
        <v>7.2</v>
      </c>
      <c r="AE339" s="36">
        <v>0.12</v>
      </c>
      <c r="AF339" s="36">
        <v>0.12</v>
      </c>
      <c r="AG339" s="42">
        <f t="shared" si="115"/>
        <v>1789.8824999999999</v>
      </c>
      <c r="AH339" s="42">
        <f t="shared" si="136"/>
        <v>1979.8438399999998</v>
      </c>
      <c r="AI339" s="42">
        <f t="shared" si="137"/>
        <v>1.1061306203060814</v>
      </c>
      <c r="AJ339" s="57">
        <v>3</v>
      </c>
      <c r="AK339" s="57">
        <v>4</v>
      </c>
      <c r="AL339" s="63">
        <v>6.4</v>
      </c>
      <c r="AM339" s="57">
        <v>25</v>
      </c>
      <c r="AN339" s="63">
        <v>6.3</v>
      </c>
      <c r="AO339" s="63">
        <v>7</v>
      </c>
      <c r="AP339" s="36">
        <v>0.13</v>
      </c>
      <c r="AQ339" s="36">
        <v>0.24</v>
      </c>
      <c r="AR339" s="73">
        <f t="shared" si="116"/>
        <v>2285</v>
      </c>
      <c r="AS339" s="75">
        <f t="shared" si="117"/>
        <v>0.11597374179431072</v>
      </c>
      <c r="AT339" s="75">
        <f t="shared" si="118"/>
        <v>0.70897155361050324</v>
      </c>
      <c r="AU339" s="75">
        <f t="shared" si="119"/>
        <v>0.17505470459518599</v>
      </c>
      <c r="AV339" s="26">
        <f t="shared" si="120"/>
        <v>7.5960293482952093E-2</v>
      </c>
      <c r="AW339" s="26">
        <f t="shared" si="121"/>
        <v>8.6318515321536476E-2</v>
      </c>
      <c r="AX339" s="24">
        <f t="shared" si="122"/>
        <v>0.83098591549295775</v>
      </c>
      <c r="AY339" s="24">
        <f t="shared" si="123"/>
        <v>0.91549295774647887</v>
      </c>
      <c r="AZ339" s="77" t="str">
        <f t="shared" si="124"/>
        <v>7,5 ≤ Alc. Bruta &lt; 10,0 mg/L</v>
      </c>
      <c r="BA339" s="77" t="str">
        <f t="shared" si="125"/>
        <v>10 ≤ Cor &lt;15 uC</v>
      </c>
      <c r="BB339" s="78" t="str">
        <f t="shared" si="126"/>
        <v>Turbidez &lt; 2,5 uT</v>
      </c>
      <c r="BC339" s="79" t="str">
        <f t="shared" si="127"/>
        <v>SM &gt; BNN &gt; TOR</v>
      </c>
      <c r="BD339" s="78" t="str">
        <f t="shared" si="128"/>
        <v>Tipo 1 (≤0,25) uT</v>
      </c>
      <c r="BE339" s="78" t="str">
        <f t="shared" si="129"/>
        <v>Tipo 1 (≤0,25) uT</v>
      </c>
      <c r="BF339" s="78" t="str">
        <f t="shared" si="130"/>
        <v>Tipo 1 (≤0,25) uT</v>
      </c>
      <c r="BG339" s="78" t="str">
        <f t="shared" si="131"/>
        <v>Tipo 1 (≤0,25) uT</v>
      </c>
      <c r="BH339" s="78" t="str">
        <f t="shared" si="132"/>
        <v>Tipo 1 (≤0,25) uT</v>
      </c>
    </row>
    <row r="340" spans="1:60" ht="15.75" thickBot="1" x14ac:dyDescent="0.25">
      <c r="A340" s="32">
        <v>46296</v>
      </c>
      <c r="B340" s="81">
        <v>0.22916666666666666</v>
      </c>
      <c r="C340" s="58">
        <v>261</v>
      </c>
      <c r="D340" s="58">
        <v>1590</v>
      </c>
      <c r="E340" s="58">
        <v>400</v>
      </c>
      <c r="F340" s="58">
        <v>2261</v>
      </c>
      <c r="G340" s="86" t="s">
        <v>78</v>
      </c>
      <c r="H340" s="64">
        <v>9.1999999999999993</v>
      </c>
      <c r="I340" s="58">
        <v>33</v>
      </c>
      <c r="J340" s="58">
        <v>90</v>
      </c>
      <c r="K340" s="58">
        <v>90</v>
      </c>
      <c r="L340" s="58">
        <v>90</v>
      </c>
      <c r="M340" s="58">
        <v>24.7</v>
      </c>
      <c r="N340" s="64">
        <v>6.6</v>
      </c>
      <c r="O340" s="37">
        <v>1.33</v>
      </c>
      <c r="P340" s="58">
        <v>10</v>
      </c>
      <c r="Q340" s="64">
        <v>9.1999999999999993</v>
      </c>
      <c r="R340" s="37">
        <v>0.08</v>
      </c>
      <c r="S340" s="36">
        <v>22.36</v>
      </c>
      <c r="T340" s="36">
        <v>0.88</v>
      </c>
      <c r="U340" s="36">
        <v>0.7</v>
      </c>
      <c r="V340" s="42">
        <f t="shared" si="133"/>
        <v>1721.18625</v>
      </c>
      <c r="W340" s="42">
        <f t="shared" si="134"/>
        <v>1640.3023207999997</v>
      </c>
      <c r="X340" s="42">
        <f t="shared" si="135"/>
        <v>0.95300687000026862</v>
      </c>
      <c r="Y340" s="58">
        <v>3</v>
      </c>
      <c r="Z340" s="58">
        <v>4</v>
      </c>
      <c r="AA340" s="64">
        <v>6.1</v>
      </c>
      <c r="AB340" s="58">
        <v>22</v>
      </c>
      <c r="AC340" s="64">
        <v>6.2</v>
      </c>
      <c r="AD340" s="64">
        <v>6.4</v>
      </c>
      <c r="AE340" s="37">
        <v>0.14000000000000001</v>
      </c>
      <c r="AF340" s="37">
        <v>0.11</v>
      </c>
      <c r="AG340" s="42">
        <f t="shared" si="115"/>
        <v>1721.18625</v>
      </c>
      <c r="AH340" s="42">
        <f t="shared" si="136"/>
        <v>1863.5736287999996</v>
      </c>
      <c r="AI340" s="42">
        <f t="shared" si="137"/>
        <v>1.0827263050701221</v>
      </c>
      <c r="AJ340" s="58">
        <v>3</v>
      </c>
      <c r="AK340" s="58">
        <v>4</v>
      </c>
      <c r="AL340" s="64">
        <v>6.3</v>
      </c>
      <c r="AM340" s="58">
        <v>24</v>
      </c>
      <c r="AN340" s="64">
        <v>6.3</v>
      </c>
      <c r="AO340" s="64">
        <v>6.4</v>
      </c>
      <c r="AP340" s="37">
        <v>0.11</v>
      </c>
      <c r="AQ340" s="37">
        <v>0.27</v>
      </c>
      <c r="AR340" s="73">
        <f t="shared" si="116"/>
        <v>2251</v>
      </c>
      <c r="AS340" s="75">
        <f t="shared" si="117"/>
        <v>0.1159484673478454</v>
      </c>
      <c r="AT340" s="75">
        <f t="shared" si="118"/>
        <v>0.70635273211905825</v>
      </c>
      <c r="AU340" s="75">
        <f t="shared" si="119"/>
        <v>0.17769880053309639</v>
      </c>
      <c r="AV340" s="26">
        <f t="shared" si="120"/>
        <v>7.7841662980981871E-2</v>
      </c>
      <c r="AW340" s="26">
        <f t="shared" si="121"/>
        <v>8.4918177797434768E-2</v>
      </c>
      <c r="AX340" s="24">
        <f t="shared" si="122"/>
        <v>0.79699248120300759</v>
      </c>
      <c r="AY340" s="24">
        <f t="shared" si="123"/>
        <v>0.91729323308270683</v>
      </c>
      <c r="AZ340" s="77" t="str">
        <f t="shared" si="124"/>
        <v>7,5 ≤ Alc. Bruta &lt; 10,0 mg/L</v>
      </c>
      <c r="BA340" s="77" t="str">
        <f t="shared" si="125"/>
        <v>10 ≤ Cor &lt;15 uC</v>
      </c>
      <c r="BB340" s="78" t="str">
        <f t="shared" si="126"/>
        <v>Turbidez &lt; 2,5 uT</v>
      </c>
      <c r="BC340" s="79" t="str">
        <f t="shared" si="127"/>
        <v>SM &gt; BNN &gt; TOR</v>
      </c>
      <c r="BD340" s="78" t="str">
        <f t="shared" si="128"/>
        <v>Tipo 1 (≤0,25) uT</v>
      </c>
      <c r="BE340" s="78" t="str">
        <f t="shared" si="129"/>
        <v>Tipo 1 (≤0,25) uT</v>
      </c>
      <c r="BF340" s="78" t="str">
        <f t="shared" si="130"/>
        <v>Tipo 1 (≤0,25) uT</v>
      </c>
      <c r="BG340" s="78" t="str">
        <f t="shared" si="131"/>
        <v>Tipo 2 (0,25-0,50) uT</v>
      </c>
      <c r="BH340" s="78" t="str">
        <f t="shared" si="132"/>
        <v>Tipo 1 (≤0,25) uT</v>
      </c>
    </row>
    <row r="341" spans="1:60" x14ac:dyDescent="0.2">
      <c r="A341" s="31">
        <v>46296</v>
      </c>
      <c r="B341" s="80">
        <v>0.39583333333333331</v>
      </c>
      <c r="C341" s="57">
        <v>437</v>
      </c>
      <c r="D341" s="57">
        <v>1537</v>
      </c>
      <c r="E341" s="57">
        <v>250</v>
      </c>
      <c r="F341" s="57">
        <v>2304</v>
      </c>
      <c r="G341" s="85" t="s">
        <v>78</v>
      </c>
      <c r="H341" s="63">
        <v>9.1999999999999993</v>
      </c>
      <c r="I341" s="57">
        <v>34</v>
      </c>
      <c r="J341" s="57">
        <v>90</v>
      </c>
      <c r="K341" s="57">
        <v>90</v>
      </c>
      <c r="L341" s="57">
        <v>90</v>
      </c>
      <c r="M341" s="57">
        <v>25.8</v>
      </c>
      <c r="N341" s="63">
        <v>6.4</v>
      </c>
      <c r="O341" s="36">
        <v>1.5</v>
      </c>
      <c r="P341" s="57">
        <v>12</v>
      </c>
      <c r="Q341" s="63">
        <v>7</v>
      </c>
      <c r="R341" s="36">
        <v>0.1</v>
      </c>
      <c r="S341" s="36">
        <v>22.36</v>
      </c>
      <c r="T341" s="36">
        <v>0.88</v>
      </c>
      <c r="U341" s="36">
        <v>0.7</v>
      </c>
      <c r="V341" s="42">
        <f t="shared" si="133"/>
        <v>1802.8799999999999</v>
      </c>
      <c r="W341" s="42">
        <f t="shared" si="134"/>
        <v>1533.3012239999998</v>
      </c>
      <c r="X341" s="42">
        <f t="shared" si="135"/>
        <v>0.85047325612353564</v>
      </c>
      <c r="Y341" s="57">
        <v>3</v>
      </c>
      <c r="Z341" s="57">
        <v>4</v>
      </c>
      <c r="AA341" s="63">
        <v>6</v>
      </c>
      <c r="AB341" s="57">
        <v>21</v>
      </c>
      <c r="AC341" s="63">
        <v>6.1</v>
      </c>
      <c r="AD341" s="63">
        <v>5.3</v>
      </c>
      <c r="AE341" s="36">
        <v>0.18</v>
      </c>
      <c r="AF341" s="36">
        <v>0.14000000000000001</v>
      </c>
      <c r="AG341" s="42">
        <f t="shared" si="115"/>
        <v>1802.8799999999999</v>
      </c>
      <c r="AH341" s="42">
        <f t="shared" si="136"/>
        <v>1863.5736287999996</v>
      </c>
      <c r="AI341" s="42">
        <f t="shared" si="137"/>
        <v>1.0336648189563364</v>
      </c>
      <c r="AJ341" s="57">
        <v>3</v>
      </c>
      <c r="AK341" s="57">
        <v>4</v>
      </c>
      <c r="AL341" s="63">
        <v>6.3</v>
      </c>
      <c r="AM341" s="57">
        <v>24</v>
      </c>
      <c r="AN341" s="63">
        <v>6.3</v>
      </c>
      <c r="AO341" s="63">
        <v>5.0999999999999996</v>
      </c>
      <c r="AP341" s="36">
        <v>0.22</v>
      </c>
      <c r="AQ341" s="36">
        <v>0.25</v>
      </c>
      <c r="AR341" s="73">
        <f t="shared" si="116"/>
        <v>2224</v>
      </c>
      <c r="AS341" s="75">
        <f t="shared" si="117"/>
        <v>0.19649280575539568</v>
      </c>
      <c r="AT341" s="75">
        <f t="shared" si="118"/>
        <v>0.69109712230215825</v>
      </c>
      <c r="AU341" s="75">
        <f t="shared" si="119"/>
        <v>0.11241007194244604</v>
      </c>
      <c r="AV341" s="26">
        <f t="shared" si="120"/>
        <v>7.2916666666666671E-2</v>
      </c>
      <c r="AW341" s="26">
        <f t="shared" si="121"/>
        <v>8.3333333333333329E-2</v>
      </c>
      <c r="AX341" s="24">
        <f t="shared" si="122"/>
        <v>0.83333333333333337</v>
      </c>
      <c r="AY341" s="24">
        <f t="shared" si="123"/>
        <v>0.90666666666666662</v>
      </c>
      <c r="AZ341" s="77" t="str">
        <f t="shared" si="124"/>
        <v>5,0 ≤ Alc. Bruta &lt; 7,5 mg/L</v>
      </c>
      <c r="BA341" s="77" t="str">
        <f t="shared" si="125"/>
        <v>10 ≤ Cor &lt;15 uC</v>
      </c>
      <c r="BB341" s="78" t="str">
        <f t="shared" si="126"/>
        <v>Turbidez &lt; 2,5 uT</v>
      </c>
      <c r="BC341" s="79" t="str">
        <f t="shared" si="127"/>
        <v>SM &gt; TOR &gt; BNN</v>
      </c>
      <c r="BD341" s="78" t="str">
        <f t="shared" si="128"/>
        <v>Tipo 1 (≤0,25) uT</v>
      </c>
      <c r="BE341" s="78" t="str">
        <f t="shared" si="129"/>
        <v>Tipo 1 (≤0,25) uT</v>
      </c>
      <c r="BF341" s="78" t="str">
        <f t="shared" si="130"/>
        <v>Tipo 1 (≤0,25) uT</v>
      </c>
      <c r="BG341" s="78" t="str">
        <f t="shared" si="131"/>
        <v>Tipo 1 (≤0,25) uT</v>
      </c>
      <c r="BH341" s="78" t="str">
        <f t="shared" si="132"/>
        <v>Tipo 1 (≤0,25) uT</v>
      </c>
    </row>
    <row r="342" spans="1:60" x14ac:dyDescent="0.2">
      <c r="A342" s="31">
        <v>46296</v>
      </c>
      <c r="B342" s="80">
        <v>0.47916666666666669</v>
      </c>
      <c r="C342" s="57">
        <v>430</v>
      </c>
      <c r="D342" s="57">
        <v>1530</v>
      </c>
      <c r="E342" s="57">
        <v>200</v>
      </c>
      <c r="F342" s="57">
        <v>2260</v>
      </c>
      <c r="G342" s="85" t="s">
        <v>78</v>
      </c>
      <c r="H342" s="63">
        <v>9.1999999999999993</v>
      </c>
      <c r="I342" s="57">
        <v>34</v>
      </c>
      <c r="J342" s="57">
        <v>90</v>
      </c>
      <c r="K342" s="57">
        <v>90</v>
      </c>
      <c r="L342" s="57">
        <v>90</v>
      </c>
      <c r="M342" s="57">
        <v>26</v>
      </c>
      <c r="N342" s="63">
        <v>6.6</v>
      </c>
      <c r="O342" s="36">
        <v>1.41</v>
      </c>
      <c r="P342" s="57">
        <v>10</v>
      </c>
      <c r="Q342" s="63">
        <v>6.3</v>
      </c>
      <c r="R342" s="36">
        <v>0.11</v>
      </c>
      <c r="S342" s="36">
        <v>22.36</v>
      </c>
      <c r="T342" s="36">
        <v>0.88</v>
      </c>
      <c r="U342" s="36">
        <v>0.7</v>
      </c>
      <c r="V342" s="42">
        <f t="shared" si="133"/>
        <v>1743.0250000000001</v>
      </c>
      <c r="W342" s="42">
        <f t="shared" si="134"/>
        <v>1533.3012239999998</v>
      </c>
      <c r="X342" s="42">
        <f t="shared" si="135"/>
        <v>0.87967827426456868</v>
      </c>
      <c r="Y342" s="57">
        <v>3</v>
      </c>
      <c r="Z342" s="57">
        <v>4</v>
      </c>
      <c r="AA342" s="63">
        <v>6</v>
      </c>
      <c r="AB342" s="57">
        <v>21</v>
      </c>
      <c r="AC342" s="63">
        <v>6.3</v>
      </c>
      <c r="AD342" s="63">
        <v>5.3</v>
      </c>
      <c r="AE342" s="36">
        <v>0.18</v>
      </c>
      <c r="AF342" s="36">
        <v>0.12</v>
      </c>
      <c r="AG342" s="42">
        <f t="shared" si="115"/>
        <v>1743.0250000000001</v>
      </c>
      <c r="AH342" s="42">
        <f t="shared" si="136"/>
        <v>1900.6500864</v>
      </c>
      <c r="AI342" s="42">
        <f t="shared" si="137"/>
        <v>1.0904319137132283</v>
      </c>
      <c r="AJ342" s="57">
        <v>3</v>
      </c>
      <c r="AK342" s="57">
        <v>4</v>
      </c>
      <c r="AL342" s="63">
        <v>6.4</v>
      </c>
      <c r="AM342" s="57">
        <v>24</v>
      </c>
      <c r="AN342" s="63">
        <v>6.3</v>
      </c>
      <c r="AO342" s="63">
        <v>5.5</v>
      </c>
      <c r="AP342" s="36">
        <v>0.17</v>
      </c>
      <c r="AQ342" s="36">
        <v>0.21</v>
      </c>
      <c r="AR342" s="73">
        <f t="shared" si="116"/>
        <v>2160</v>
      </c>
      <c r="AS342" s="75">
        <f t="shared" si="117"/>
        <v>0.19907407407407407</v>
      </c>
      <c r="AT342" s="75">
        <f t="shared" si="118"/>
        <v>0.70833333333333337</v>
      </c>
      <c r="AU342" s="75">
        <f t="shared" si="119"/>
        <v>9.2592592592592587E-2</v>
      </c>
      <c r="AV342" s="26">
        <f t="shared" si="120"/>
        <v>7.4336283185840707E-2</v>
      </c>
      <c r="AW342" s="26">
        <f t="shared" si="121"/>
        <v>8.4955752212389379E-2</v>
      </c>
      <c r="AX342" s="24">
        <f t="shared" si="122"/>
        <v>0.85106382978723405</v>
      </c>
      <c r="AY342" s="24">
        <f t="shared" si="123"/>
        <v>0.91489361702127658</v>
      </c>
      <c r="AZ342" s="77" t="str">
        <f t="shared" si="124"/>
        <v>5,0 ≤ Alc. Bruta &lt; 7,5 mg/L</v>
      </c>
      <c r="BA342" s="77" t="str">
        <f t="shared" si="125"/>
        <v>10 ≤ Cor &lt;15 uC</v>
      </c>
      <c r="BB342" s="78" t="str">
        <f t="shared" si="126"/>
        <v>Turbidez &lt; 2,5 uT</v>
      </c>
      <c r="BC342" s="79" t="str">
        <f t="shared" si="127"/>
        <v>SM &gt; TOR &gt; BNN</v>
      </c>
      <c r="BD342" s="78" t="str">
        <f t="shared" si="128"/>
        <v>Tipo 1 (≤0,25) uT</v>
      </c>
      <c r="BE342" s="78" t="str">
        <f t="shared" si="129"/>
        <v>Tipo 1 (≤0,25) uT</v>
      </c>
      <c r="BF342" s="78" t="str">
        <f t="shared" si="130"/>
        <v>Tipo 1 (≤0,25) uT</v>
      </c>
      <c r="BG342" s="78" t="str">
        <f t="shared" si="131"/>
        <v>Tipo 1 (≤0,25) uT</v>
      </c>
      <c r="BH342" s="78" t="str">
        <f t="shared" si="132"/>
        <v>Tipo 1 (≤0,25) uT</v>
      </c>
    </row>
    <row r="343" spans="1:60" x14ac:dyDescent="0.2">
      <c r="A343" s="31">
        <v>46296</v>
      </c>
      <c r="B343" s="80">
        <v>0.64583333333333337</v>
      </c>
      <c r="C343" s="57">
        <v>340</v>
      </c>
      <c r="D343" s="57">
        <v>1638</v>
      </c>
      <c r="E343" s="57">
        <v>200</v>
      </c>
      <c r="F343" s="57">
        <v>2239</v>
      </c>
      <c r="G343" s="85" t="s">
        <v>78</v>
      </c>
      <c r="H343" s="63">
        <v>9.1999999999999993</v>
      </c>
      <c r="I343" s="57">
        <v>48</v>
      </c>
      <c r="J343" s="57">
        <v>90</v>
      </c>
      <c r="K343" s="57">
        <v>90</v>
      </c>
      <c r="L343" s="57">
        <v>90</v>
      </c>
      <c r="M343" s="57">
        <v>26.1</v>
      </c>
      <c r="N343" s="63">
        <v>6.5</v>
      </c>
      <c r="O343" s="36">
        <v>2.4</v>
      </c>
      <c r="P343" s="57">
        <v>10</v>
      </c>
      <c r="Q343" s="63">
        <v>6.5</v>
      </c>
      <c r="R343" s="36">
        <v>0.12</v>
      </c>
      <c r="S343" s="36">
        <v>22.36</v>
      </c>
      <c r="T343" s="36">
        <v>0.88</v>
      </c>
      <c r="U343" s="36">
        <v>0.7</v>
      </c>
      <c r="V343" s="42">
        <f t="shared" si="133"/>
        <v>2003.905</v>
      </c>
      <c r="W343" s="42">
        <f t="shared" si="134"/>
        <v>1565.7431243999997</v>
      </c>
      <c r="X343" s="42">
        <f t="shared" si="135"/>
        <v>0.78134598416591594</v>
      </c>
      <c r="Y343" s="57">
        <v>3</v>
      </c>
      <c r="Z343" s="57">
        <v>4</v>
      </c>
      <c r="AA343" s="63">
        <v>6.1</v>
      </c>
      <c r="AB343" s="57">
        <v>21</v>
      </c>
      <c r="AC343" s="63">
        <v>6.3</v>
      </c>
      <c r="AD343" s="63">
        <v>5.5</v>
      </c>
      <c r="AE343" s="36">
        <v>0.17</v>
      </c>
      <c r="AF343" s="36">
        <v>0.12</v>
      </c>
      <c r="AG343" s="42">
        <f t="shared" si="115"/>
        <v>2003.905</v>
      </c>
      <c r="AH343" s="42">
        <f t="shared" si="136"/>
        <v>1900.6500864</v>
      </c>
      <c r="AI343" s="42">
        <f t="shared" si="137"/>
        <v>0.9484731493758437</v>
      </c>
      <c r="AJ343" s="57">
        <v>3</v>
      </c>
      <c r="AK343" s="57">
        <v>4</v>
      </c>
      <c r="AL343" s="63">
        <v>6.4</v>
      </c>
      <c r="AM343" s="57">
        <v>24</v>
      </c>
      <c r="AN343" s="63">
        <v>6.3</v>
      </c>
      <c r="AO343" s="63">
        <v>5.6</v>
      </c>
      <c r="AP343" s="36">
        <v>0.18</v>
      </c>
      <c r="AQ343" s="36">
        <v>0.23</v>
      </c>
      <c r="AR343" s="73">
        <f t="shared" si="116"/>
        <v>2178</v>
      </c>
      <c r="AS343" s="75">
        <f t="shared" si="117"/>
        <v>0.15610651974288339</v>
      </c>
      <c r="AT343" s="75">
        <f t="shared" si="118"/>
        <v>0.75206611570247939</v>
      </c>
      <c r="AU343" s="75">
        <f t="shared" si="119"/>
        <v>9.1827364554637275E-2</v>
      </c>
      <c r="AV343" s="26">
        <f t="shared" si="120"/>
        <v>7.503349709691827E-2</v>
      </c>
      <c r="AW343" s="26">
        <f t="shared" si="121"/>
        <v>8.5752568110763733E-2</v>
      </c>
      <c r="AX343" s="24">
        <f t="shared" si="122"/>
        <v>0.90416666666666667</v>
      </c>
      <c r="AY343" s="24">
        <f t="shared" si="123"/>
        <v>0.95</v>
      </c>
      <c r="AZ343" s="77" t="str">
        <f t="shared" si="124"/>
        <v>5,0 ≤ Alc. Bruta &lt; 7,5 mg/L</v>
      </c>
      <c r="BA343" s="77" t="str">
        <f t="shared" si="125"/>
        <v>10 ≤ Cor &lt;15 uC</v>
      </c>
      <c r="BB343" s="78" t="str">
        <f t="shared" si="126"/>
        <v>Turbidez &lt; 2,5 uT</v>
      </c>
      <c r="BC343" s="79" t="str">
        <f t="shared" si="127"/>
        <v>SM &gt; TOR &gt; BNN</v>
      </c>
      <c r="BD343" s="78" t="str">
        <f t="shared" si="128"/>
        <v>Tipo 1 (≤0,25) uT</v>
      </c>
      <c r="BE343" s="78" t="str">
        <f t="shared" si="129"/>
        <v>Tipo 1 (≤0,25) uT</v>
      </c>
      <c r="BF343" s="78" t="str">
        <f t="shared" si="130"/>
        <v>Tipo 1 (≤0,25) uT</v>
      </c>
      <c r="BG343" s="78" t="str">
        <f t="shared" si="131"/>
        <v>Tipo 1 (≤0,25) uT</v>
      </c>
      <c r="BH343" s="78" t="str">
        <f t="shared" si="132"/>
        <v>Tipo 1 (≤0,25) uT</v>
      </c>
    </row>
    <row r="344" spans="1:60" x14ac:dyDescent="0.2">
      <c r="A344" s="31">
        <v>46296</v>
      </c>
      <c r="B344" s="80">
        <v>0.72916666666666663</v>
      </c>
      <c r="C344" s="57">
        <v>335</v>
      </c>
      <c r="D344" s="57">
        <v>1627</v>
      </c>
      <c r="E344" s="57">
        <v>200</v>
      </c>
      <c r="F344" s="57">
        <v>2200</v>
      </c>
      <c r="G344" s="85" t="s">
        <v>78</v>
      </c>
      <c r="H344" s="63">
        <v>9.1999999999999993</v>
      </c>
      <c r="I344" s="57">
        <v>47</v>
      </c>
      <c r="J344" s="57">
        <v>90</v>
      </c>
      <c r="K344" s="57">
        <v>90</v>
      </c>
      <c r="L344" s="57">
        <v>90</v>
      </c>
      <c r="M344" s="57">
        <v>26</v>
      </c>
      <c r="N344" s="63">
        <v>6.5</v>
      </c>
      <c r="O344" s="36">
        <v>1.37</v>
      </c>
      <c r="P344" s="57">
        <v>11</v>
      </c>
      <c r="Q344" s="63">
        <v>6.6</v>
      </c>
      <c r="R344" s="36">
        <v>0.13</v>
      </c>
      <c r="S344" s="36">
        <v>22.36</v>
      </c>
      <c r="T344" s="36">
        <v>0.88</v>
      </c>
      <c r="U344" s="36">
        <v>0.7</v>
      </c>
      <c r="V344" s="42">
        <f t="shared" si="133"/>
        <v>1685.75</v>
      </c>
      <c r="W344" s="42">
        <f t="shared" si="134"/>
        <v>1565.7431243999997</v>
      </c>
      <c r="X344" s="42">
        <f t="shared" si="135"/>
        <v>0.92881098881803337</v>
      </c>
      <c r="Y344" s="57">
        <v>3</v>
      </c>
      <c r="Z344" s="57">
        <v>4</v>
      </c>
      <c r="AA344" s="63">
        <v>6.1</v>
      </c>
      <c r="AB344" s="57">
        <v>21</v>
      </c>
      <c r="AC344" s="63">
        <v>6.3</v>
      </c>
      <c r="AD344" s="63">
        <v>6</v>
      </c>
      <c r="AE344" s="36">
        <v>0.16</v>
      </c>
      <c r="AF344" s="36">
        <v>0.14000000000000001</v>
      </c>
      <c r="AG344" s="42">
        <f t="shared" si="115"/>
        <v>1685.75</v>
      </c>
      <c r="AH344" s="42">
        <f t="shared" si="136"/>
        <v>1900.6500864</v>
      </c>
      <c r="AI344" s="42">
        <f t="shared" si="137"/>
        <v>1.1274804012457362</v>
      </c>
      <c r="AJ344" s="57">
        <v>3</v>
      </c>
      <c r="AK344" s="57">
        <v>4</v>
      </c>
      <c r="AL344" s="63">
        <v>6.4</v>
      </c>
      <c r="AM344" s="57">
        <v>24</v>
      </c>
      <c r="AN344" s="63">
        <v>6.3</v>
      </c>
      <c r="AO344" s="63">
        <v>5.9</v>
      </c>
      <c r="AP344" s="36">
        <v>0.17</v>
      </c>
      <c r="AQ344" s="36">
        <v>0.23</v>
      </c>
      <c r="AR344" s="73">
        <f t="shared" si="116"/>
        <v>2162</v>
      </c>
      <c r="AS344" s="75">
        <f t="shared" si="117"/>
        <v>0.15494912118408879</v>
      </c>
      <c r="AT344" s="75">
        <f t="shared" si="118"/>
        <v>0.75254394079555964</v>
      </c>
      <c r="AU344" s="75">
        <f t="shared" si="119"/>
        <v>9.2506938020351523E-2</v>
      </c>
      <c r="AV344" s="26">
        <f t="shared" si="120"/>
        <v>7.636363636363637E-2</v>
      </c>
      <c r="AW344" s="26">
        <f t="shared" si="121"/>
        <v>8.727272727272728E-2</v>
      </c>
      <c r="AX344" s="24">
        <f t="shared" si="122"/>
        <v>0.83211678832116787</v>
      </c>
      <c r="AY344" s="24">
        <f t="shared" si="123"/>
        <v>0.8978102189781022</v>
      </c>
      <c r="AZ344" s="77" t="str">
        <f t="shared" si="124"/>
        <v>5,0 ≤ Alc. Bruta &lt; 7,5 mg/L</v>
      </c>
      <c r="BA344" s="77" t="str">
        <f t="shared" si="125"/>
        <v>10 ≤ Cor &lt;15 uC</v>
      </c>
      <c r="BB344" s="78" t="str">
        <f t="shared" si="126"/>
        <v>Turbidez &lt; 2,5 uT</v>
      </c>
      <c r="BC344" s="79" t="str">
        <f t="shared" si="127"/>
        <v>SM &gt; TOR &gt; BNN</v>
      </c>
      <c r="BD344" s="78" t="str">
        <f t="shared" si="128"/>
        <v>Tipo 1 (≤0,25) uT</v>
      </c>
      <c r="BE344" s="78" t="str">
        <f t="shared" si="129"/>
        <v>Tipo 1 (≤0,25) uT</v>
      </c>
      <c r="BF344" s="78" t="str">
        <f t="shared" si="130"/>
        <v>Tipo 1 (≤0,25) uT</v>
      </c>
      <c r="BG344" s="78" t="str">
        <f t="shared" si="131"/>
        <v>Tipo 1 (≤0,25) uT</v>
      </c>
      <c r="BH344" s="78" t="str">
        <f t="shared" si="132"/>
        <v>Tipo 1 (≤0,25) uT</v>
      </c>
    </row>
    <row r="345" spans="1:60" x14ac:dyDescent="0.2">
      <c r="A345" s="31">
        <v>46296</v>
      </c>
      <c r="B345" s="80">
        <v>0.8125</v>
      </c>
      <c r="C345" s="57">
        <v>340</v>
      </c>
      <c r="D345" s="57">
        <v>1640</v>
      </c>
      <c r="E345" s="57">
        <v>200</v>
      </c>
      <c r="F345" s="57">
        <v>2276</v>
      </c>
      <c r="G345" s="85" t="s">
        <v>78</v>
      </c>
      <c r="H345" s="63">
        <v>9.1999999999999993</v>
      </c>
      <c r="I345" s="57">
        <v>49</v>
      </c>
      <c r="J345" s="57">
        <v>90</v>
      </c>
      <c r="K345" s="57">
        <v>90</v>
      </c>
      <c r="L345" s="57">
        <v>90</v>
      </c>
      <c r="M345" s="57">
        <v>25.6</v>
      </c>
      <c r="N345" s="63">
        <v>6.4</v>
      </c>
      <c r="O345" s="36">
        <v>1.38</v>
      </c>
      <c r="P345" s="57">
        <v>12</v>
      </c>
      <c r="Q345" s="63">
        <v>7.5</v>
      </c>
      <c r="R345" s="36">
        <v>0.09</v>
      </c>
      <c r="S345" s="36">
        <v>22.36</v>
      </c>
      <c r="T345" s="36">
        <v>0.88</v>
      </c>
      <c r="U345" s="36">
        <v>0.7</v>
      </c>
      <c r="V345" s="42">
        <f t="shared" si="133"/>
        <v>1746.83</v>
      </c>
      <c r="W345" s="42">
        <f t="shared" si="134"/>
        <v>1565.7431243999997</v>
      </c>
      <c r="X345" s="42">
        <f t="shared" si="135"/>
        <v>0.89633400182044032</v>
      </c>
      <c r="Y345" s="57">
        <v>3</v>
      </c>
      <c r="Z345" s="57">
        <v>4</v>
      </c>
      <c r="AA345" s="63">
        <v>6.1</v>
      </c>
      <c r="AB345" s="57">
        <v>21</v>
      </c>
      <c r="AC345" s="63">
        <v>6.3</v>
      </c>
      <c r="AD345" s="63">
        <v>5.3</v>
      </c>
      <c r="AE345" s="36">
        <v>0.12</v>
      </c>
      <c r="AF345" s="36">
        <v>0.12</v>
      </c>
      <c r="AG345" s="42">
        <f t="shared" si="115"/>
        <v>1746.83</v>
      </c>
      <c r="AH345" s="42">
        <f t="shared" si="136"/>
        <v>1900.6500864</v>
      </c>
      <c r="AI345" s="42">
        <f t="shared" si="137"/>
        <v>1.0880567006520383</v>
      </c>
      <c r="AJ345" s="57">
        <v>3</v>
      </c>
      <c r="AK345" s="57">
        <v>4</v>
      </c>
      <c r="AL345" s="63">
        <v>6.4</v>
      </c>
      <c r="AM345" s="57">
        <v>24</v>
      </c>
      <c r="AN345" s="63">
        <v>6.2</v>
      </c>
      <c r="AO345" s="63">
        <v>5.8</v>
      </c>
      <c r="AP345" s="36">
        <v>0.12</v>
      </c>
      <c r="AQ345" s="36">
        <v>0.24</v>
      </c>
      <c r="AR345" s="73">
        <f t="shared" si="116"/>
        <v>2180</v>
      </c>
      <c r="AS345" s="75">
        <f t="shared" si="117"/>
        <v>0.15596330275229359</v>
      </c>
      <c r="AT345" s="75">
        <f t="shared" si="118"/>
        <v>0.75229357798165142</v>
      </c>
      <c r="AU345" s="75">
        <f t="shared" si="119"/>
        <v>9.1743119266055051E-2</v>
      </c>
      <c r="AV345" s="26">
        <f t="shared" si="120"/>
        <v>7.3813708260105443E-2</v>
      </c>
      <c r="AW345" s="26">
        <f t="shared" si="121"/>
        <v>8.43585237258348E-2</v>
      </c>
      <c r="AX345" s="24">
        <f t="shared" si="122"/>
        <v>0.82608695652173914</v>
      </c>
      <c r="AY345" s="24">
        <f t="shared" si="123"/>
        <v>0.91304347826086962</v>
      </c>
      <c r="AZ345" s="77" t="str">
        <f t="shared" si="124"/>
        <v>7,5 ≤ Alc. Bruta &lt; 10,0 mg/L</v>
      </c>
      <c r="BA345" s="77" t="str">
        <f t="shared" si="125"/>
        <v>10 ≤ Cor &lt;15 uC</v>
      </c>
      <c r="BB345" s="78" t="str">
        <f t="shared" si="126"/>
        <v>Turbidez &lt; 2,5 uT</v>
      </c>
      <c r="BC345" s="79" t="str">
        <f t="shared" si="127"/>
        <v>SM &gt; TOR &gt; BNN</v>
      </c>
      <c r="BD345" s="78" t="str">
        <f t="shared" si="128"/>
        <v>Tipo 1 (≤0,25) uT</v>
      </c>
      <c r="BE345" s="78" t="str">
        <f t="shared" si="129"/>
        <v>Tipo 1 (≤0,25) uT</v>
      </c>
      <c r="BF345" s="78" t="str">
        <f t="shared" si="130"/>
        <v>Tipo 1 (≤0,25) uT</v>
      </c>
      <c r="BG345" s="78" t="str">
        <f t="shared" si="131"/>
        <v>Tipo 1 (≤0,25) uT</v>
      </c>
      <c r="BH345" s="78" t="str">
        <f t="shared" si="132"/>
        <v>Tipo 1 (≤0,25) uT</v>
      </c>
    </row>
    <row r="346" spans="1:60" x14ac:dyDescent="0.2">
      <c r="A346" s="31">
        <v>46296</v>
      </c>
      <c r="B346" s="80">
        <v>0.89583333333333337</v>
      </c>
      <c r="C346" s="57">
        <v>347</v>
      </c>
      <c r="D346" s="57">
        <v>1680</v>
      </c>
      <c r="E346" s="57">
        <v>200</v>
      </c>
      <c r="F346" s="57">
        <v>2273</v>
      </c>
      <c r="G346" s="85" t="s">
        <v>78</v>
      </c>
      <c r="H346" s="63">
        <v>9.1999999999999993</v>
      </c>
      <c r="I346" s="57">
        <v>50</v>
      </c>
      <c r="J346" s="57">
        <v>90</v>
      </c>
      <c r="K346" s="57">
        <v>90</v>
      </c>
      <c r="L346" s="57">
        <v>90</v>
      </c>
      <c r="M346" s="57">
        <v>25</v>
      </c>
      <c r="N346" s="63">
        <v>6.5</v>
      </c>
      <c r="O346" s="36">
        <v>1.23</v>
      </c>
      <c r="P346" s="57">
        <v>14</v>
      </c>
      <c r="Q346" s="63">
        <v>6.9</v>
      </c>
      <c r="R346" s="36">
        <v>0.08</v>
      </c>
      <c r="S346" s="36">
        <v>22.36</v>
      </c>
      <c r="T346" s="36">
        <v>0.88</v>
      </c>
      <c r="U346" s="36">
        <v>0.7</v>
      </c>
      <c r="V346" s="42">
        <f t="shared" si="133"/>
        <v>1701.9087500000001</v>
      </c>
      <c r="W346" s="42">
        <f t="shared" si="134"/>
        <v>1598.1850248000001</v>
      </c>
      <c r="X346" s="42">
        <f t="shared" si="135"/>
        <v>0.93905447327889935</v>
      </c>
      <c r="Y346" s="57">
        <v>3</v>
      </c>
      <c r="Z346" s="57">
        <v>4</v>
      </c>
      <c r="AA346" s="63">
        <v>6.2</v>
      </c>
      <c r="AB346" s="57">
        <v>21</v>
      </c>
      <c r="AC346" s="63">
        <v>6.2</v>
      </c>
      <c r="AD346" s="63">
        <v>5.7</v>
      </c>
      <c r="AE346" s="36">
        <v>0.36</v>
      </c>
      <c r="AF346" s="36">
        <v>0.13</v>
      </c>
      <c r="AG346" s="42">
        <f t="shared" si="115"/>
        <v>1701.9087500000001</v>
      </c>
      <c r="AH346" s="42">
        <f t="shared" si="136"/>
        <v>1863.5736287999996</v>
      </c>
      <c r="AI346" s="42">
        <f t="shared" si="137"/>
        <v>1.0949903329423505</v>
      </c>
      <c r="AJ346" s="57">
        <v>3</v>
      </c>
      <c r="AK346" s="57">
        <v>4</v>
      </c>
      <c r="AL346" s="63">
        <v>6.3</v>
      </c>
      <c r="AM346" s="57">
        <v>24</v>
      </c>
      <c r="AN346" s="63">
        <v>6.1</v>
      </c>
      <c r="AO346" s="63">
        <v>5.4</v>
      </c>
      <c r="AP346" s="36">
        <v>0.1</v>
      </c>
      <c r="AQ346" s="36">
        <v>0.23</v>
      </c>
      <c r="AR346" s="73">
        <f t="shared" si="116"/>
        <v>2227</v>
      </c>
      <c r="AS346" s="75">
        <f t="shared" si="117"/>
        <v>0.15581499775482713</v>
      </c>
      <c r="AT346" s="75">
        <f t="shared" si="118"/>
        <v>0.75437808711270771</v>
      </c>
      <c r="AU346" s="75">
        <f t="shared" si="119"/>
        <v>8.9806915132465207E-2</v>
      </c>
      <c r="AV346" s="26">
        <f t="shared" si="120"/>
        <v>7.3911130664320285E-2</v>
      </c>
      <c r="AW346" s="26">
        <f t="shared" si="121"/>
        <v>8.4469863616366034E-2</v>
      </c>
      <c r="AX346" s="24">
        <f t="shared" si="122"/>
        <v>0.81300813008130079</v>
      </c>
      <c r="AY346" s="24">
        <f t="shared" si="123"/>
        <v>0.89430894308943087</v>
      </c>
      <c r="AZ346" s="77" t="str">
        <f t="shared" si="124"/>
        <v>5,0 ≤ Alc. Bruta &lt; 7,5 mg/L</v>
      </c>
      <c r="BA346" s="77" t="str">
        <f t="shared" si="125"/>
        <v>10 ≤ Cor &lt;15 uC</v>
      </c>
      <c r="BB346" s="78" t="str">
        <f t="shared" si="126"/>
        <v>Turbidez &lt; 2,5 uT</v>
      </c>
      <c r="BC346" s="79" t="str">
        <f t="shared" si="127"/>
        <v>SM &gt; TOR &gt; BNN</v>
      </c>
      <c r="BD346" s="78" t="str">
        <f t="shared" si="128"/>
        <v>Tipo 2 (0,25-0,50) uT</v>
      </c>
      <c r="BE346" s="78" t="str">
        <f t="shared" si="129"/>
        <v>Tipo 1 (≤0,25) uT</v>
      </c>
      <c r="BF346" s="78" t="str">
        <f t="shared" si="130"/>
        <v>Tipo 1 (≤0,25) uT</v>
      </c>
      <c r="BG346" s="78" t="str">
        <f t="shared" si="131"/>
        <v>Tipo 1 (≤0,25) uT</v>
      </c>
      <c r="BH346" s="78" t="str">
        <f t="shared" si="132"/>
        <v>Tipo 1 (≤0,25) uT</v>
      </c>
    </row>
    <row r="347" spans="1:60" x14ac:dyDescent="0.2">
      <c r="A347" s="31">
        <v>46297</v>
      </c>
      <c r="B347" s="80">
        <v>6.25E-2</v>
      </c>
      <c r="C347" s="57">
        <v>342</v>
      </c>
      <c r="D347" s="57">
        <v>1629</v>
      </c>
      <c r="E347" s="57">
        <v>200</v>
      </c>
      <c r="F347" s="57">
        <v>2224</v>
      </c>
      <c r="G347" s="85" t="s">
        <v>78</v>
      </c>
      <c r="H347" s="63">
        <v>9.1999999999999993</v>
      </c>
      <c r="I347" s="57">
        <v>44</v>
      </c>
      <c r="J347" s="57">
        <v>90</v>
      </c>
      <c r="K347" s="57">
        <v>90</v>
      </c>
      <c r="L347" s="57">
        <v>90</v>
      </c>
      <c r="M347" s="57">
        <v>25.3</v>
      </c>
      <c r="N347" s="63">
        <v>6.4</v>
      </c>
      <c r="O347" s="36">
        <v>1.43</v>
      </c>
      <c r="P347" s="57">
        <v>11</v>
      </c>
      <c r="Q347" s="63">
        <v>7</v>
      </c>
      <c r="R347" s="36">
        <v>0.08</v>
      </c>
      <c r="S347" s="36">
        <v>22.36</v>
      </c>
      <c r="T347" s="36">
        <v>0.88</v>
      </c>
      <c r="U347" s="36">
        <v>0.7</v>
      </c>
      <c r="V347" s="42">
        <f t="shared" si="133"/>
        <v>1720.82</v>
      </c>
      <c r="W347" s="42">
        <f t="shared" si="134"/>
        <v>1598.1850248000001</v>
      </c>
      <c r="X347" s="42">
        <f t="shared" si="135"/>
        <v>0.92873457119280345</v>
      </c>
      <c r="Y347" s="57">
        <v>3</v>
      </c>
      <c r="Z347" s="57">
        <v>4</v>
      </c>
      <c r="AA347" s="63">
        <v>6.2</v>
      </c>
      <c r="AB347" s="57">
        <v>21</v>
      </c>
      <c r="AC347" s="63">
        <v>6.1</v>
      </c>
      <c r="AD347" s="63">
        <v>5.6</v>
      </c>
      <c r="AE347" s="36">
        <v>0.13</v>
      </c>
      <c r="AF347" s="36">
        <v>0.11</v>
      </c>
      <c r="AG347" s="42">
        <f t="shared" si="115"/>
        <v>1720.82</v>
      </c>
      <c r="AH347" s="42">
        <f t="shared" si="136"/>
        <v>1863.5736287999996</v>
      </c>
      <c r="AI347" s="42">
        <f t="shared" si="137"/>
        <v>1.0829567466672863</v>
      </c>
      <c r="AJ347" s="57">
        <v>3</v>
      </c>
      <c r="AK347" s="57">
        <v>4</v>
      </c>
      <c r="AL347" s="63">
        <v>6.3</v>
      </c>
      <c r="AM347" s="57">
        <v>24</v>
      </c>
      <c r="AN347" s="63">
        <v>6.4</v>
      </c>
      <c r="AO347" s="63">
        <v>5.6</v>
      </c>
      <c r="AP347" s="36">
        <v>7.0000000000000007E-2</v>
      </c>
      <c r="AQ347" s="36">
        <v>0.23</v>
      </c>
      <c r="AR347" s="73">
        <f t="shared" si="116"/>
        <v>2171</v>
      </c>
      <c r="AS347" s="75">
        <f t="shared" si="117"/>
        <v>0.15753109166282819</v>
      </c>
      <c r="AT347" s="75">
        <f t="shared" si="118"/>
        <v>0.75034546292031323</v>
      </c>
      <c r="AU347" s="75">
        <f t="shared" si="119"/>
        <v>9.2123445416858588E-2</v>
      </c>
      <c r="AV347" s="26">
        <f t="shared" si="120"/>
        <v>7.5539568345323743E-2</v>
      </c>
      <c r="AW347" s="26">
        <f t="shared" si="121"/>
        <v>8.6330935251798566E-2</v>
      </c>
      <c r="AX347" s="24">
        <f t="shared" si="122"/>
        <v>0.83916083916083917</v>
      </c>
      <c r="AY347" s="24">
        <f t="shared" si="123"/>
        <v>0.92307692307692313</v>
      </c>
      <c r="AZ347" s="77" t="str">
        <f t="shared" si="124"/>
        <v>5,0 ≤ Alc. Bruta &lt; 7,5 mg/L</v>
      </c>
      <c r="BA347" s="77" t="str">
        <f t="shared" si="125"/>
        <v>10 ≤ Cor &lt;15 uC</v>
      </c>
      <c r="BB347" s="78" t="str">
        <f t="shared" si="126"/>
        <v>Turbidez &lt; 2,5 uT</v>
      </c>
      <c r="BC347" s="79" t="str">
        <f t="shared" si="127"/>
        <v>SM &gt; TOR &gt; BNN</v>
      </c>
      <c r="BD347" s="78" t="str">
        <f t="shared" si="128"/>
        <v>Tipo 1 (≤0,25) uT</v>
      </c>
      <c r="BE347" s="78" t="str">
        <f t="shared" si="129"/>
        <v>Tipo 1 (≤0,25) uT</v>
      </c>
      <c r="BF347" s="78" t="str">
        <f t="shared" si="130"/>
        <v>Tipo 1 (≤0,25) uT</v>
      </c>
      <c r="BG347" s="78" t="str">
        <f t="shared" si="131"/>
        <v>Tipo 1 (≤0,25) uT</v>
      </c>
      <c r="BH347" s="78" t="str">
        <f t="shared" si="132"/>
        <v>Tipo 1 (≤0,25) uT</v>
      </c>
    </row>
    <row r="348" spans="1:60" x14ac:dyDescent="0.2">
      <c r="A348" s="31">
        <v>46297</v>
      </c>
      <c r="B348" s="80">
        <v>0.14583333333333334</v>
      </c>
      <c r="C348" s="57">
        <v>348</v>
      </c>
      <c r="D348" s="57">
        <v>1612</v>
      </c>
      <c r="E348" s="57">
        <v>200</v>
      </c>
      <c r="F348" s="57">
        <v>2215</v>
      </c>
      <c r="G348" s="85" t="s">
        <v>78</v>
      </c>
      <c r="H348" s="63">
        <v>9.1999999999999993</v>
      </c>
      <c r="I348" s="57">
        <v>39</v>
      </c>
      <c r="J348" s="57">
        <v>30</v>
      </c>
      <c r="K348" s="57">
        <v>90</v>
      </c>
      <c r="L348" s="57">
        <v>90</v>
      </c>
      <c r="M348" s="57">
        <v>25.5</v>
      </c>
      <c r="N348" s="63">
        <v>6.5</v>
      </c>
      <c r="O348" s="36">
        <v>1.18</v>
      </c>
      <c r="P348" s="57">
        <v>3</v>
      </c>
      <c r="Q348" s="63">
        <v>6.6</v>
      </c>
      <c r="R348" s="36">
        <v>0.08</v>
      </c>
      <c r="S348" s="36">
        <v>22.36</v>
      </c>
      <c r="T348" s="36">
        <v>0.88</v>
      </c>
      <c r="U348" s="36">
        <v>0.7</v>
      </c>
      <c r="V348" s="42">
        <f t="shared" si="133"/>
        <v>1644.6374999999998</v>
      </c>
      <c r="W348" s="42">
        <f t="shared" si="134"/>
        <v>1598.1850248000001</v>
      </c>
      <c r="X348" s="42">
        <f t="shared" si="135"/>
        <v>0.97175518909182135</v>
      </c>
      <c r="Y348" s="57">
        <v>3</v>
      </c>
      <c r="Z348" s="57">
        <v>4</v>
      </c>
      <c r="AA348" s="63">
        <v>6.2</v>
      </c>
      <c r="AB348" s="57">
        <v>21</v>
      </c>
      <c r="AC348" s="63">
        <v>6.2</v>
      </c>
      <c r="AD348" s="63">
        <v>5.3</v>
      </c>
      <c r="AE348" s="36">
        <v>0.14000000000000001</v>
      </c>
      <c r="AF348" s="36">
        <v>0.11</v>
      </c>
      <c r="AG348" s="42">
        <f t="shared" si="115"/>
        <v>1644.6374999999998</v>
      </c>
      <c r="AH348" s="42">
        <f t="shared" si="136"/>
        <v>1863.5736287999996</v>
      </c>
      <c r="AI348" s="42">
        <f t="shared" si="137"/>
        <v>1.1331212068312926</v>
      </c>
      <c r="AJ348" s="57">
        <v>3</v>
      </c>
      <c r="AK348" s="57">
        <v>4</v>
      </c>
      <c r="AL348" s="63">
        <v>6.3</v>
      </c>
      <c r="AM348" s="57">
        <v>24</v>
      </c>
      <c r="AN348" s="63">
        <v>6</v>
      </c>
      <c r="AO348" s="63">
        <v>5.0999999999999996</v>
      </c>
      <c r="AP348" s="36">
        <v>0.09</v>
      </c>
      <c r="AQ348" s="36">
        <v>0.23</v>
      </c>
      <c r="AR348" s="73">
        <f t="shared" si="116"/>
        <v>2160</v>
      </c>
      <c r="AS348" s="75">
        <f t="shared" si="117"/>
        <v>0.16111111111111112</v>
      </c>
      <c r="AT348" s="75">
        <f t="shared" si="118"/>
        <v>0.74629629629629635</v>
      </c>
      <c r="AU348" s="75">
        <f t="shared" si="119"/>
        <v>9.2592592592592587E-2</v>
      </c>
      <c r="AV348" s="26">
        <f t="shared" si="120"/>
        <v>7.584650112866817E-2</v>
      </c>
      <c r="AW348" s="26">
        <f t="shared" si="121"/>
        <v>8.6681715575620766E-2</v>
      </c>
      <c r="AX348" s="24">
        <f t="shared" si="122"/>
        <v>0.80508474576271183</v>
      </c>
      <c r="AY348" s="24">
        <f t="shared" si="123"/>
        <v>0.90677966101694918</v>
      </c>
      <c r="AZ348" s="77" t="str">
        <f t="shared" si="124"/>
        <v>5,0 ≤ Alc. Bruta &lt; 7,5 mg/L</v>
      </c>
      <c r="BA348" s="77" t="str">
        <f t="shared" si="125"/>
        <v>Cor &lt;5 uC</v>
      </c>
      <c r="BB348" s="78" t="str">
        <f t="shared" si="126"/>
        <v>Turbidez &lt; 2,5 uT</v>
      </c>
      <c r="BC348" s="79" t="str">
        <f t="shared" si="127"/>
        <v>SM &gt; TOR &gt; BNN</v>
      </c>
      <c r="BD348" s="78" t="str">
        <f t="shared" si="128"/>
        <v>Tipo 1 (≤0,25) uT</v>
      </c>
      <c r="BE348" s="78" t="str">
        <f t="shared" si="129"/>
        <v>Tipo 1 (≤0,25) uT</v>
      </c>
      <c r="BF348" s="78" t="str">
        <f t="shared" si="130"/>
        <v>Tipo 1 (≤0,25) uT</v>
      </c>
      <c r="BG348" s="78" t="str">
        <f t="shared" si="131"/>
        <v>Tipo 1 (≤0,25) uT</v>
      </c>
      <c r="BH348" s="78" t="str">
        <f t="shared" si="132"/>
        <v>Tipo 1 (≤0,25) uT</v>
      </c>
    </row>
    <row r="349" spans="1:60" ht="15.75" thickBot="1" x14ac:dyDescent="0.25">
      <c r="A349" s="32">
        <v>46297</v>
      </c>
      <c r="B349" s="81">
        <v>0.22916666666666666</v>
      </c>
      <c r="C349" s="58">
        <v>354</v>
      </c>
      <c r="D349" s="58">
        <v>1631</v>
      </c>
      <c r="E349" s="58">
        <v>200</v>
      </c>
      <c r="F349" s="58">
        <v>2285</v>
      </c>
      <c r="G349" s="86" t="s">
        <v>78</v>
      </c>
      <c r="H349" s="64">
        <v>9.1999999999999993</v>
      </c>
      <c r="I349" s="58">
        <v>37</v>
      </c>
      <c r="J349" s="58">
        <v>90</v>
      </c>
      <c r="K349" s="58">
        <v>90</v>
      </c>
      <c r="L349" s="58">
        <v>30</v>
      </c>
      <c r="M349" s="58">
        <v>25.2</v>
      </c>
      <c r="N349" s="64">
        <v>6.4</v>
      </c>
      <c r="O349" s="37">
        <v>1.21</v>
      </c>
      <c r="P349" s="58">
        <v>4</v>
      </c>
      <c r="Q349" s="64">
        <v>7.1</v>
      </c>
      <c r="R349" s="37">
        <v>0.08</v>
      </c>
      <c r="S349" s="36">
        <v>22.36</v>
      </c>
      <c r="T349" s="36">
        <v>0.88</v>
      </c>
      <c r="U349" s="36">
        <v>0.7</v>
      </c>
      <c r="V349" s="42">
        <f t="shared" si="133"/>
        <v>1705.1812499999999</v>
      </c>
      <c r="W349" s="42">
        <f t="shared" si="134"/>
        <v>1460.2868799999999</v>
      </c>
      <c r="X349" s="42">
        <f t="shared" si="135"/>
        <v>0.85638220570393908</v>
      </c>
      <c r="Y349" s="58">
        <v>3</v>
      </c>
      <c r="Z349" s="58">
        <v>4</v>
      </c>
      <c r="AA349" s="64">
        <v>6</v>
      </c>
      <c r="AB349" s="58">
        <v>20</v>
      </c>
      <c r="AC349" s="64">
        <v>6.1</v>
      </c>
      <c r="AD349" s="64">
        <v>5.2</v>
      </c>
      <c r="AE349" s="37">
        <v>0.14000000000000001</v>
      </c>
      <c r="AF349" s="37">
        <v>0.14000000000000001</v>
      </c>
      <c r="AG349" s="42">
        <f t="shared" si="115"/>
        <v>1705.1812499999999</v>
      </c>
      <c r="AH349" s="42">
        <f t="shared" si="136"/>
        <v>1979.8438399999998</v>
      </c>
      <c r="AI349" s="42">
        <f t="shared" si="137"/>
        <v>1.1610753050445517</v>
      </c>
      <c r="AJ349" s="58">
        <v>3</v>
      </c>
      <c r="AK349" s="58">
        <v>4</v>
      </c>
      <c r="AL349" s="64">
        <v>6.4</v>
      </c>
      <c r="AM349" s="58">
        <v>25</v>
      </c>
      <c r="AN349" s="64">
        <v>6.2</v>
      </c>
      <c r="AO349" s="64">
        <v>5.7</v>
      </c>
      <c r="AP349" s="37">
        <v>0.1</v>
      </c>
      <c r="AQ349" s="37">
        <v>0.27</v>
      </c>
      <c r="AR349" s="73">
        <f t="shared" si="116"/>
        <v>2185</v>
      </c>
      <c r="AS349" s="75">
        <f t="shared" si="117"/>
        <v>0.16201372997711672</v>
      </c>
      <c r="AT349" s="75">
        <f t="shared" si="118"/>
        <v>0.74645308924485121</v>
      </c>
      <c r="AU349" s="75">
        <f t="shared" si="119"/>
        <v>9.1533180778032033E-2</v>
      </c>
      <c r="AV349" s="26">
        <f t="shared" si="120"/>
        <v>7.0021881838074396E-2</v>
      </c>
      <c r="AW349" s="26">
        <f t="shared" si="121"/>
        <v>8.7527352297592995E-2</v>
      </c>
      <c r="AX349" s="26">
        <f t="shared" si="122"/>
        <v>0.77685950413223137</v>
      </c>
      <c r="AY349" s="24">
        <f t="shared" si="123"/>
        <v>0.88429752066115697</v>
      </c>
      <c r="AZ349" s="77" t="str">
        <f t="shared" si="124"/>
        <v>5,0 ≤ Alc. Bruta &lt; 7,5 mg/L</v>
      </c>
      <c r="BA349" s="77" t="str">
        <f t="shared" si="125"/>
        <v>Cor &lt;5 uC</v>
      </c>
      <c r="BB349" s="78" t="str">
        <f t="shared" si="126"/>
        <v>Turbidez &lt; 2,5 uT</v>
      </c>
      <c r="BC349" s="79" t="str">
        <f t="shared" si="127"/>
        <v>SM &gt; TOR &gt; BNN</v>
      </c>
      <c r="BD349" s="78" t="str">
        <f t="shared" si="128"/>
        <v>Tipo 1 (≤0,25) uT</v>
      </c>
      <c r="BE349" s="78" t="str">
        <f t="shared" si="129"/>
        <v>Tipo 1 (≤0,25) uT</v>
      </c>
      <c r="BF349" s="78" t="str">
        <f t="shared" si="130"/>
        <v>Tipo 1 (≤0,25) uT</v>
      </c>
      <c r="BG349" s="78" t="str">
        <f t="shared" si="131"/>
        <v>Tipo 2 (0,25-0,50) uT</v>
      </c>
      <c r="BH349" s="78" t="str">
        <f t="shared" si="132"/>
        <v>Tipo 1 (≤0,25) uT</v>
      </c>
    </row>
    <row r="350" spans="1:60" x14ac:dyDescent="0.2">
      <c r="A350" s="30">
        <v>46297</v>
      </c>
      <c r="B350" s="82">
        <v>0.3125</v>
      </c>
      <c r="C350" s="59">
        <v>351</v>
      </c>
      <c r="D350" s="59">
        <v>1680</v>
      </c>
      <c r="E350" s="59">
        <v>200</v>
      </c>
      <c r="F350" s="59">
        <v>2273</v>
      </c>
      <c r="G350" s="87" t="s">
        <v>78</v>
      </c>
      <c r="H350" s="65">
        <v>9.1999999999999993</v>
      </c>
      <c r="I350" s="59">
        <v>35</v>
      </c>
      <c r="J350" s="59">
        <v>90</v>
      </c>
      <c r="K350" s="59">
        <v>90</v>
      </c>
      <c r="L350" s="59">
        <v>90</v>
      </c>
      <c r="M350" s="59">
        <v>24.9</v>
      </c>
      <c r="N350" s="65">
        <v>6.5</v>
      </c>
      <c r="O350" s="38">
        <v>1.3</v>
      </c>
      <c r="P350" s="59">
        <v>6</v>
      </c>
      <c r="Q350" s="65">
        <v>6.8</v>
      </c>
      <c r="R350" s="38">
        <v>0.08</v>
      </c>
      <c r="S350" s="36">
        <v>22.36</v>
      </c>
      <c r="T350" s="36">
        <v>0.88</v>
      </c>
      <c r="U350" s="36">
        <v>0.7</v>
      </c>
      <c r="V350" s="42">
        <f t="shared" si="133"/>
        <v>1721.7974999999999</v>
      </c>
      <c r="W350" s="42">
        <f t="shared" si="134"/>
        <v>1565.7431243999997</v>
      </c>
      <c r="X350" s="42">
        <f t="shared" si="135"/>
        <v>0.90936543025529992</v>
      </c>
      <c r="Y350" s="59">
        <v>3</v>
      </c>
      <c r="Z350" s="59">
        <v>4</v>
      </c>
      <c r="AA350" s="65">
        <v>6.1</v>
      </c>
      <c r="AB350" s="59">
        <v>21</v>
      </c>
      <c r="AC350" s="65">
        <v>6.2</v>
      </c>
      <c r="AD350" s="65">
        <v>5.2</v>
      </c>
      <c r="AE350" s="38">
        <v>0.15</v>
      </c>
      <c r="AF350" s="38">
        <v>0.15</v>
      </c>
      <c r="AG350" s="42">
        <f t="shared" si="115"/>
        <v>1721.7974999999999</v>
      </c>
      <c r="AH350" s="42">
        <f t="shared" si="136"/>
        <v>1863.5736287999996</v>
      </c>
      <c r="AI350" s="42">
        <f t="shared" si="137"/>
        <v>1.0823419297565477</v>
      </c>
      <c r="AJ350" s="59">
        <v>3</v>
      </c>
      <c r="AK350" s="59">
        <v>4</v>
      </c>
      <c r="AL350" s="65">
        <v>6.3</v>
      </c>
      <c r="AM350" s="59">
        <v>24</v>
      </c>
      <c r="AN350" s="65">
        <v>6.2</v>
      </c>
      <c r="AO350" s="65">
        <v>5.4</v>
      </c>
      <c r="AP350" s="38">
        <v>0.11</v>
      </c>
      <c r="AQ350" s="38">
        <v>0.23</v>
      </c>
      <c r="AR350" s="73">
        <f t="shared" si="116"/>
        <v>2231</v>
      </c>
      <c r="AS350" s="75">
        <f t="shared" si="117"/>
        <v>0.15732855221873598</v>
      </c>
      <c r="AT350" s="75">
        <f t="shared" si="118"/>
        <v>0.75302554908112951</v>
      </c>
      <c r="AU350" s="75">
        <f t="shared" si="119"/>
        <v>8.9645898700134466E-2</v>
      </c>
      <c r="AV350" s="26">
        <f t="shared" si="120"/>
        <v>7.3911130664320285E-2</v>
      </c>
      <c r="AW350" s="26">
        <f t="shared" si="121"/>
        <v>8.4469863616366034E-2</v>
      </c>
      <c r="AX350" s="26">
        <f t="shared" si="122"/>
        <v>0.82307692307692304</v>
      </c>
      <c r="AY350" s="24">
        <f t="shared" si="123"/>
        <v>0.88461538461538458</v>
      </c>
      <c r="AZ350" s="77" t="str">
        <f t="shared" si="124"/>
        <v>5,0 ≤ Alc. Bruta &lt; 7,5 mg/L</v>
      </c>
      <c r="BA350" s="77" t="str">
        <f t="shared" si="125"/>
        <v>5 ≤ Cor &lt; 10 uC</v>
      </c>
      <c r="BB350" s="78" t="str">
        <f t="shared" si="126"/>
        <v>Turbidez &lt; 2,5 uT</v>
      </c>
      <c r="BC350" s="79" t="str">
        <f t="shared" si="127"/>
        <v>SM &gt; TOR &gt; BNN</v>
      </c>
      <c r="BD350" s="78" t="str">
        <f t="shared" si="128"/>
        <v>Tipo 1 (≤0,25) uT</v>
      </c>
      <c r="BE350" s="78" t="str">
        <f t="shared" si="129"/>
        <v>Tipo 1 (≤0,25) uT</v>
      </c>
      <c r="BF350" s="78" t="str">
        <f t="shared" si="130"/>
        <v>Tipo 1 (≤0,25) uT</v>
      </c>
      <c r="BG350" s="78" t="str">
        <f t="shared" si="131"/>
        <v>Tipo 1 (≤0,25) uT</v>
      </c>
      <c r="BH350" s="78" t="str">
        <f t="shared" si="132"/>
        <v>Tipo 1 (≤0,25) uT</v>
      </c>
    </row>
    <row r="351" spans="1:60" x14ac:dyDescent="0.2">
      <c r="A351" s="31">
        <v>46297</v>
      </c>
      <c r="B351" s="80">
        <v>0.39583333333333331</v>
      </c>
      <c r="C351" s="57">
        <v>304</v>
      </c>
      <c r="D351" s="57">
        <v>1716</v>
      </c>
      <c r="E351" s="57">
        <v>350</v>
      </c>
      <c r="F351" s="57">
        <v>2294</v>
      </c>
      <c r="G351" s="85" t="s">
        <v>78</v>
      </c>
      <c r="H351" s="63">
        <v>9.1999999999999993</v>
      </c>
      <c r="I351" s="57">
        <v>40</v>
      </c>
      <c r="J351" s="57">
        <v>90</v>
      </c>
      <c r="K351" s="57">
        <v>90</v>
      </c>
      <c r="L351" s="57">
        <v>90</v>
      </c>
      <c r="M351" s="57">
        <v>25</v>
      </c>
      <c r="N351" s="63">
        <v>6.4</v>
      </c>
      <c r="O351" s="36">
        <v>1.34</v>
      </c>
      <c r="P351" s="57">
        <v>11</v>
      </c>
      <c r="Q351" s="63">
        <v>5.9</v>
      </c>
      <c r="R351" s="36">
        <v>0.08</v>
      </c>
      <c r="S351" s="36">
        <v>22.36</v>
      </c>
      <c r="T351" s="36">
        <v>0.88</v>
      </c>
      <c r="U351" s="36">
        <v>0.7</v>
      </c>
      <c r="V351" s="42">
        <f t="shared" si="133"/>
        <v>1749.175</v>
      </c>
      <c r="W351" s="42">
        <f t="shared" si="134"/>
        <v>1460.2868799999999</v>
      </c>
      <c r="X351" s="42">
        <f t="shared" si="135"/>
        <v>0.83484321465833888</v>
      </c>
      <c r="Y351" s="57">
        <v>3</v>
      </c>
      <c r="Z351" s="57">
        <v>4</v>
      </c>
      <c r="AA351" s="63">
        <v>6</v>
      </c>
      <c r="AB351" s="57">
        <v>20</v>
      </c>
      <c r="AC351" s="63">
        <v>6.3</v>
      </c>
      <c r="AD351" s="63">
        <v>4.4000000000000004</v>
      </c>
      <c r="AE351" s="36">
        <v>0.11</v>
      </c>
      <c r="AF351" s="36">
        <v>0.16</v>
      </c>
      <c r="AG351" s="42">
        <f t="shared" si="115"/>
        <v>1749.175</v>
      </c>
      <c r="AH351" s="42">
        <f t="shared" si="136"/>
        <v>1941.2225299999996</v>
      </c>
      <c r="AI351" s="42">
        <f t="shared" si="137"/>
        <v>1.1097932053682449</v>
      </c>
      <c r="AJ351" s="57">
        <v>3</v>
      </c>
      <c r="AK351" s="57">
        <v>4</v>
      </c>
      <c r="AL351" s="63">
        <v>6.3</v>
      </c>
      <c r="AM351" s="57">
        <v>25</v>
      </c>
      <c r="AN351" s="63">
        <v>6.2</v>
      </c>
      <c r="AO351" s="63">
        <v>4.5</v>
      </c>
      <c r="AP351" s="36">
        <v>0.1</v>
      </c>
      <c r="AQ351" s="36">
        <v>0.26</v>
      </c>
      <c r="AR351" s="73">
        <f t="shared" si="116"/>
        <v>2370</v>
      </c>
      <c r="AS351" s="75">
        <f t="shared" si="117"/>
        <v>0.12827004219409283</v>
      </c>
      <c r="AT351" s="75">
        <f t="shared" si="118"/>
        <v>0.72405063291139238</v>
      </c>
      <c r="AU351" s="75">
        <f t="shared" si="119"/>
        <v>0.14767932489451477</v>
      </c>
      <c r="AV351" s="26">
        <f t="shared" si="120"/>
        <v>6.9747166521360066E-2</v>
      </c>
      <c r="AW351" s="26">
        <f t="shared" si="121"/>
        <v>8.7183958151700089E-2</v>
      </c>
      <c r="AX351" s="26">
        <f t="shared" si="122"/>
        <v>0.80597014925373134</v>
      </c>
      <c r="AY351" s="24">
        <f t="shared" si="123"/>
        <v>0.88059701492537312</v>
      </c>
      <c r="AZ351" s="77" t="str">
        <f t="shared" si="124"/>
        <v>5,0 ≤ Alc. Bruta &lt; 7,5 mg/L</v>
      </c>
      <c r="BA351" s="77" t="str">
        <f t="shared" si="125"/>
        <v>10 ≤ Cor &lt;15 uC</v>
      </c>
      <c r="BB351" s="78" t="str">
        <f t="shared" si="126"/>
        <v>Turbidez &lt; 2,5 uT</v>
      </c>
      <c r="BC351" s="79" t="str">
        <f t="shared" si="127"/>
        <v>SM &gt; BNN &gt; TOR</v>
      </c>
      <c r="BD351" s="78" t="str">
        <f t="shared" si="128"/>
        <v>Tipo 1 (≤0,25) uT</v>
      </c>
      <c r="BE351" s="78" t="str">
        <f t="shared" si="129"/>
        <v>Tipo 1 (≤0,25) uT</v>
      </c>
      <c r="BF351" s="78" t="str">
        <f t="shared" si="130"/>
        <v>Tipo 1 (≤0,25) uT</v>
      </c>
      <c r="BG351" s="78" t="str">
        <f t="shared" si="131"/>
        <v>Tipo 2 (0,25-0,50) uT</v>
      </c>
      <c r="BH351" s="78" t="str">
        <f t="shared" si="132"/>
        <v>Tipo 1 (≤0,25) uT</v>
      </c>
    </row>
    <row r="352" spans="1:60" x14ac:dyDescent="0.2">
      <c r="A352" s="31">
        <v>46297</v>
      </c>
      <c r="B352" s="80">
        <v>0.64583333333333337</v>
      </c>
      <c r="C352" s="57">
        <v>282</v>
      </c>
      <c r="D352" s="57">
        <v>1659</v>
      </c>
      <c r="E352" s="57">
        <v>349</v>
      </c>
      <c r="F352" s="57">
        <v>2382</v>
      </c>
      <c r="G352" s="85" t="s">
        <v>78</v>
      </c>
      <c r="H352" s="63">
        <v>9.1999999999999993</v>
      </c>
      <c r="I352" s="57">
        <v>43</v>
      </c>
      <c r="J352" s="57">
        <v>90</v>
      </c>
      <c r="K352" s="57">
        <v>90</v>
      </c>
      <c r="L352" s="57">
        <v>90</v>
      </c>
      <c r="M352" s="57">
        <v>26.7</v>
      </c>
      <c r="N352" s="63">
        <v>6.5</v>
      </c>
      <c r="O352" s="36">
        <v>1.24</v>
      </c>
      <c r="P352" s="57">
        <v>10</v>
      </c>
      <c r="Q352" s="63">
        <v>6.2</v>
      </c>
      <c r="R352" s="36">
        <v>0.14000000000000001</v>
      </c>
      <c r="S352" s="36">
        <v>22.36</v>
      </c>
      <c r="T352" s="36">
        <v>0.88</v>
      </c>
      <c r="U352" s="36">
        <v>0.7</v>
      </c>
      <c r="V352" s="42">
        <f t="shared" si="133"/>
        <v>1786.5</v>
      </c>
      <c r="W352" s="42">
        <f t="shared" si="134"/>
        <v>1460.2868799999999</v>
      </c>
      <c r="X352" s="42">
        <f t="shared" si="135"/>
        <v>0.8174009963616008</v>
      </c>
      <c r="Y352" s="57">
        <v>3</v>
      </c>
      <c r="Z352" s="57">
        <v>4</v>
      </c>
      <c r="AA352" s="63">
        <v>6</v>
      </c>
      <c r="AB352" s="57">
        <v>20</v>
      </c>
      <c r="AC352" s="63">
        <v>6</v>
      </c>
      <c r="AD352" s="63">
        <v>5.2</v>
      </c>
      <c r="AE352" s="36">
        <v>0.09</v>
      </c>
      <c r="AF352" s="36">
        <v>0.15</v>
      </c>
      <c r="AG352" s="42">
        <f t="shared" si="115"/>
        <v>1786.5</v>
      </c>
      <c r="AH352" s="42">
        <f t="shared" si="136"/>
        <v>1941.2225299999996</v>
      </c>
      <c r="AI352" s="42">
        <f t="shared" si="137"/>
        <v>1.0866065099356281</v>
      </c>
      <c r="AJ352" s="57">
        <v>3</v>
      </c>
      <c r="AK352" s="57">
        <v>4</v>
      </c>
      <c r="AL352" s="63">
        <v>6.3</v>
      </c>
      <c r="AM352" s="57">
        <v>25</v>
      </c>
      <c r="AN352" s="63">
        <v>6.3</v>
      </c>
      <c r="AO352" s="63">
        <v>5.6</v>
      </c>
      <c r="AP352" s="36">
        <v>0.15</v>
      </c>
      <c r="AQ352" s="36">
        <v>0.31</v>
      </c>
      <c r="AR352" s="73">
        <f t="shared" si="116"/>
        <v>2290</v>
      </c>
      <c r="AS352" s="75">
        <f t="shared" si="117"/>
        <v>0.12314410480349346</v>
      </c>
      <c r="AT352" s="75">
        <f t="shared" si="118"/>
        <v>0.72445414847161571</v>
      </c>
      <c r="AU352" s="75">
        <f t="shared" si="119"/>
        <v>0.15240174672489082</v>
      </c>
      <c r="AV352" s="26">
        <f t="shared" si="120"/>
        <v>6.7170445004198151E-2</v>
      </c>
      <c r="AW352" s="26">
        <f t="shared" si="121"/>
        <v>8.3963056255247692E-2</v>
      </c>
      <c r="AX352" s="26"/>
      <c r="AY352" s="24"/>
      <c r="AZ352" s="77" t="str">
        <f t="shared" si="124"/>
        <v>5,0 ≤ Alc. Bruta &lt; 7,5 mg/L</v>
      </c>
      <c r="BA352" s="77" t="str">
        <f t="shared" si="125"/>
        <v>10 ≤ Cor &lt;15 uC</v>
      </c>
      <c r="BB352" s="78" t="str">
        <f t="shared" si="126"/>
        <v>Turbidez &lt; 2,5 uT</v>
      </c>
      <c r="BC352" s="79" t="str">
        <f t="shared" si="127"/>
        <v>SM &gt; BNN &gt; TOR</v>
      </c>
      <c r="BD352" s="78" t="str">
        <f t="shared" si="128"/>
        <v>Tipo 1 (≤0,25) uT</v>
      </c>
      <c r="BE352" s="78" t="str">
        <f t="shared" si="129"/>
        <v>Tipo 1 (≤0,25) uT</v>
      </c>
      <c r="BF352" s="78" t="str">
        <f t="shared" si="130"/>
        <v>Tipo 1 (≤0,25) uT</v>
      </c>
      <c r="BG352" s="78" t="str">
        <f t="shared" si="131"/>
        <v>Tipo 2 (0,25-0,50) uT</v>
      </c>
      <c r="BH352" s="78" t="str">
        <f t="shared" si="132"/>
        <v>Tipo 1 (≤0,25) uT</v>
      </c>
    </row>
    <row r="353" spans="1:60" x14ac:dyDescent="0.2">
      <c r="A353" s="31">
        <v>46297</v>
      </c>
      <c r="B353" s="80">
        <v>0.72916666666666663</v>
      </c>
      <c r="C353" s="57">
        <v>279</v>
      </c>
      <c r="D353" s="57">
        <v>1664</v>
      </c>
      <c r="E353" s="57">
        <v>349</v>
      </c>
      <c r="F353" s="57">
        <v>2312</v>
      </c>
      <c r="G353" s="85" t="s">
        <v>78</v>
      </c>
      <c r="H353" s="63">
        <v>9.1999999999999993</v>
      </c>
      <c r="I353" s="57">
        <v>43</v>
      </c>
      <c r="J353" s="57">
        <v>90</v>
      </c>
      <c r="K353" s="57">
        <v>90</v>
      </c>
      <c r="L353" s="57">
        <v>90</v>
      </c>
      <c r="M353" s="57">
        <v>26.5</v>
      </c>
      <c r="N353" s="63">
        <v>6.5</v>
      </c>
      <c r="O353" s="36">
        <v>1.31</v>
      </c>
      <c r="P353" s="57">
        <v>9</v>
      </c>
      <c r="Q353" s="63">
        <v>6</v>
      </c>
      <c r="R353" s="36">
        <v>0.15</v>
      </c>
      <c r="S353" s="36">
        <v>22.36</v>
      </c>
      <c r="T353" s="36">
        <v>0.88</v>
      </c>
      <c r="U353" s="36">
        <v>0.7</v>
      </c>
      <c r="V353" s="42">
        <f t="shared" si="133"/>
        <v>1754.23</v>
      </c>
      <c r="W353" s="42">
        <f t="shared" si="134"/>
        <v>1491.1839279999999</v>
      </c>
      <c r="X353" s="42">
        <f t="shared" si="135"/>
        <v>0.85005040844131041</v>
      </c>
      <c r="Y353" s="57">
        <v>3</v>
      </c>
      <c r="Z353" s="57">
        <v>4</v>
      </c>
      <c r="AA353" s="63">
        <v>6.1</v>
      </c>
      <c r="AB353" s="57">
        <v>20</v>
      </c>
      <c r="AC353" s="63">
        <v>6.2</v>
      </c>
      <c r="AD353" s="63">
        <v>5.6</v>
      </c>
      <c r="AE353" s="36">
        <v>0.11</v>
      </c>
      <c r="AF353" s="36">
        <v>0.15</v>
      </c>
      <c r="AG353" s="42">
        <f t="shared" si="115"/>
        <v>1754.23</v>
      </c>
      <c r="AH353" s="42">
        <f t="shared" si="136"/>
        <v>1863.5736287999996</v>
      </c>
      <c r="AI353" s="42">
        <f t="shared" si="137"/>
        <v>1.0623314096783201</v>
      </c>
      <c r="AJ353" s="57">
        <v>3</v>
      </c>
      <c r="AK353" s="57">
        <v>4</v>
      </c>
      <c r="AL353" s="63">
        <v>6.3</v>
      </c>
      <c r="AM353" s="57">
        <v>24</v>
      </c>
      <c r="AN353" s="63">
        <v>6.3</v>
      </c>
      <c r="AO353" s="63">
        <v>5.4</v>
      </c>
      <c r="AP353" s="36">
        <v>0.14000000000000001</v>
      </c>
      <c r="AQ353" s="36">
        <v>0.3</v>
      </c>
      <c r="AR353" s="73">
        <f t="shared" si="116"/>
        <v>2292</v>
      </c>
      <c r="AS353" s="75">
        <f t="shared" si="117"/>
        <v>0.12172774869109948</v>
      </c>
      <c r="AT353" s="75">
        <f t="shared" si="118"/>
        <v>0.72600349040139611</v>
      </c>
      <c r="AU353" s="75">
        <f t="shared" si="119"/>
        <v>0.15226876090750435</v>
      </c>
      <c r="AV353" s="26">
        <f t="shared" si="120"/>
        <v>6.9204152249134954E-2</v>
      </c>
      <c r="AW353" s="26">
        <f t="shared" si="121"/>
        <v>8.3044982698961933E-2</v>
      </c>
      <c r="AX353" s="26"/>
      <c r="AY353" s="24"/>
      <c r="AZ353" s="77" t="str">
        <f t="shared" si="124"/>
        <v>5,0 ≤ Alc. Bruta &lt; 7,5 mg/L</v>
      </c>
      <c r="BA353" s="77" t="str">
        <f t="shared" si="125"/>
        <v>5 ≤ Cor &lt; 10 uC</v>
      </c>
      <c r="BB353" s="78" t="str">
        <f t="shared" si="126"/>
        <v>Turbidez &lt; 2,5 uT</v>
      </c>
      <c r="BC353" s="79" t="str">
        <f t="shared" si="127"/>
        <v>SM &gt; BNN &gt; TOR</v>
      </c>
      <c r="BD353" s="78" t="str">
        <f t="shared" si="128"/>
        <v>Tipo 1 (≤0,25) uT</v>
      </c>
      <c r="BE353" s="78" t="str">
        <f t="shared" si="129"/>
        <v>Tipo 1 (≤0,25) uT</v>
      </c>
      <c r="BF353" s="78" t="str">
        <f t="shared" si="130"/>
        <v>Tipo 1 (≤0,25) uT</v>
      </c>
      <c r="BG353" s="78" t="str">
        <f t="shared" si="131"/>
        <v>Tipo 2 (0,25-0,50) uT</v>
      </c>
      <c r="BH353" s="78" t="str">
        <f t="shared" si="132"/>
        <v>Tipo 1 (≤0,25) uT</v>
      </c>
    </row>
    <row r="354" spans="1:60" x14ac:dyDescent="0.2">
      <c r="A354" s="31">
        <v>46297</v>
      </c>
      <c r="B354" s="80">
        <v>0.8125</v>
      </c>
      <c r="C354" s="57">
        <v>300</v>
      </c>
      <c r="D354" s="57">
        <v>1630</v>
      </c>
      <c r="E354" s="57">
        <v>350</v>
      </c>
      <c r="F354" s="57">
        <v>2323</v>
      </c>
      <c r="G354" s="85" t="s">
        <v>78</v>
      </c>
      <c r="H354" s="63">
        <v>9.1999999999999993</v>
      </c>
      <c r="I354" s="57">
        <v>40</v>
      </c>
      <c r="J354" s="57">
        <v>90</v>
      </c>
      <c r="K354" s="57">
        <v>90</v>
      </c>
      <c r="L354" s="57">
        <v>90</v>
      </c>
      <c r="M354" s="57">
        <v>26.2</v>
      </c>
      <c r="N354" s="63">
        <v>6.4</v>
      </c>
      <c r="O354" s="36">
        <v>1.21</v>
      </c>
      <c r="P354" s="57">
        <v>10</v>
      </c>
      <c r="Q354" s="63">
        <v>6.7</v>
      </c>
      <c r="R354" s="36">
        <v>7.0000000000000007E-2</v>
      </c>
      <c r="S354" s="36">
        <v>22.36</v>
      </c>
      <c r="T354" s="36">
        <v>0.88</v>
      </c>
      <c r="U354" s="36">
        <v>0.7</v>
      </c>
      <c r="V354" s="42">
        <f t="shared" si="133"/>
        <v>1733.5387499999999</v>
      </c>
      <c r="W354" s="42">
        <f t="shared" si="134"/>
        <v>1491.1839279999999</v>
      </c>
      <c r="X354" s="42">
        <f t="shared" si="135"/>
        <v>0.86019647844618408</v>
      </c>
      <c r="Y354" s="57">
        <v>3</v>
      </c>
      <c r="Z354" s="57">
        <v>4</v>
      </c>
      <c r="AA354" s="63">
        <v>6.1</v>
      </c>
      <c r="AB354" s="57">
        <v>20</v>
      </c>
      <c r="AC354" s="63">
        <v>6.2</v>
      </c>
      <c r="AD354" s="63">
        <v>5.5</v>
      </c>
      <c r="AE354" s="36">
        <v>0.17</v>
      </c>
      <c r="AF354" s="36">
        <v>0.09</v>
      </c>
      <c r="AG354" s="42">
        <f t="shared" si="115"/>
        <v>1733.5387499999999</v>
      </c>
      <c r="AH354" s="42">
        <f t="shared" si="136"/>
        <v>1863.5736287999996</v>
      </c>
      <c r="AI354" s="42">
        <f t="shared" si="137"/>
        <v>1.0750112328322627</v>
      </c>
      <c r="AJ354" s="57">
        <v>3</v>
      </c>
      <c r="AK354" s="57">
        <v>4</v>
      </c>
      <c r="AL354" s="63">
        <v>6.3</v>
      </c>
      <c r="AM354" s="57">
        <v>24</v>
      </c>
      <c r="AN354" s="63">
        <v>6.2</v>
      </c>
      <c r="AO354" s="63">
        <v>5.0999999999999996</v>
      </c>
      <c r="AP354" s="36">
        <v>0.15</v>
      </c>
      <c r="AQ354" s="36">
        <v>0.23</v>
      </c>
      <c r="AR354" s="73">
        <f t="shared" si="116"/>
        <v>2280</v>
      </c>
      <c r="AS354" s="75">
        <f t="shared" si="117"/>
        <v>0.13157894736842105</v>
      </c>
      <c r="AT354" s="75">
        <f t="shared" si="118"/>
        <v>0.71491228070175439</v>
      </c>
      <c r="AU354" s="75">
        <f t="shared" si="119"/>
        <v>0.15350877192982457</v>
      </c>
      <c r="AV354" s="26">
        <f t="shared" si="120"/>
        <v>6.8876452862677573E-2</v>
      </c>
      <c r="AW354" s="26">
        <f t="shared" si="121"/>
        <v>8.2651743435213088E-2</v>
      </c>
      <c r="AX354" s="26"/>
      <c r="AY354" s="24"/>
      <c r="AZ354" s="77" t="str">
        <f t="shared" si="124"/>
        <v>5,0 ≤ Alc. Bruta &lt; 7,5 mg/L</v>
      </c>
      <c r="BA354" s="77" t="str">
        <f t="shared" si="125"/>
        <v>10 ≤ Cor &lt;15 uC</v>
      </c>
      <c r="BB354" s="78" t="str">
        <f t="shared" si="126"/>
        <v>Turbidez &lt; 2,5 uT</v>
      </c>
      <c r="BC354" s="79" t="str">
        <f t="shared" si="127"/>
        <v>SM &gt; BNN &gt; TOR</v>
      </c>
      <c r="BD354" s="78" t="str">
        <f t="shared" si="128"/>
        <v>Tipo 1 (≤0,25) uT</v>
      </c>
      <c r="BE354" s="78" t="str">
        <f t="shared" si="129"/>
        <v>Tipo 1 (≤0,25) uT</v>
      </c>
      <c r="BF354" s="78" t="str">
        <f t="shared" si="130"/>
        <v>Tipo 1 (≤0,25) uT</v>
      </c>
      <c r="BG354" s="78" t="str">
        <f t="shared" si="131"/>
        <v>Tipo 1 (≤0,25) uT</v>
      </c>
      <c r="BH354" s="78" t="str">
        <f t="shared" si="132"/>
        <v>Tipo 1 (≤0,25) uT</v>
      </c>
    </row>
    <row r="355" spans="1:60" x14ac:dyDescent="0.2">
      <c r="A355" s="31">
        <v>46297</v>
      </c>
      <c r="B355" s="80">
        <v>0.89583333333333337</v>
      </c>
      <c r="C355" s="57">
        <v>266</v>
      </c>
      <c r="D355" s="57">
        <v>1662</v>
      </c>
      <c r="E355" s="57">
        <v>349</v>
      </c>
      <c r="F355" s="57">
        <v>2366</v>
      </c>
      <c r="G355" s="85" t="s">
        <v>78</v>
      </c>
      <c r="H355" s="63">
        <v>9.1999999999999993</v>
      </c>
      <c r="I355" s="57">
        <v>38</v>
      </c>
      <c r="J355" s="57">
        <v>90</v>
      </c>
      <c r="K355" s="57">
        <v>90</v>
      </c>
      <c r="L355" s="57">
        <v>90</v>
      </c>
      <c r="M355" s="57">
        <v>25.6</v>
      </c>
      <c r="N355" s="63">
        <v>6.4</v>
      </c>
      <c r="O355" s="36">
        <v>1.18</v>
      </c>
      <c r="P355" s="57">
        <v>11</v>
      </c>
      <c r="Q355" s="63">
        <v>7</v>
      </c>
      <c r="R355" s="36">
        <v>7.0000000000000007E-2</v>
      </c>
      <c r="S355" s="36">
        <v>22.36</v>
      </c>
      <c r="T355" s="36">
        <v>0.88</v>
      </c>
      <c r="U355" s="36">
        <v>0.7</v>
      </c>
      <c r="V355" s="42">
        <f t="shared" si="133"/>
        <v>1756.7549999999999</v>
      </c>
      <c r="W355" s="42">
        <f t="shared" si="134"/>
        <v>1491.1839279999999</v>
      </c>
      <c r="X355" s="42">
        <f t="shared" si="135"/>
        <v>0.84882862322862329</v>
      </c>
      <c r="Y355" s="57">
        <v>3</v>
      </c>
      <c r="Z355" s="57">
        <v>4</v>
      </c>
      <c r="AA355" s="63">
        <v>6.1</v>
      </c>
      <c r="AB355" s="57">
        <v>20</v>
      </c>
      <c r="AC355" s="63">
        <v>6.2</v>
      </c>
      <c r="AD355" s="63">
        <v>5.7</v>
      </c>
      <c r="AE355" s="36">
        <v>0.15</v>
      </c>
      <c r="AF355" s="36">
        <v>0.18</v>
      </c>
      <c r="AG355" s="42">
        <f t="shared" si="115"/>
        <v>1756.7549999999999</v>
      </c>
      <c r="AH355" s="42">
        <f t="shared" si="136"/>
        <v>1863.5736287999996</v>
      </c>
      <c r="AI355" s="42">
        <f t="shared" si="137"/>
        <v>1.0608045110445108</v>
      </c>
      <c r="AJ355" s="57">
        <v>3</v>
      </c>
      <c r="AK355" s="57">
        <v>4</v>
      </c>
      <c r="AL355" s="63">
        <v>6.3</v>
      </c>
      <c r="AM355" s="57">
        <v>24</v>
      </c>
      <c r="AN355" s="63">
        <v>6.2</v>
      </c>
      <c r="AO355" s="63">
        <v>5.4</v>
      </c>
      <c r="AP355" s="36">
        <v>0.19</v>
      </c>
      <c r="AQ355" s="36">
        <v>0.24</v>
      </c>
      <c r="AR355" s="73">
        <f t="shared" si="116"/>
        <v>2277</v>
      </c>
      <c r="AS355" s="75">
        <f t="shared" si="117"/>
        <v>0.11682037768994291</v>
      </c>
      <c r="AT355" s="75">
        <f t="shared" si="118"/>
        <v>0.7299077733860343</v>
      </c>
      <c r="AU355" s="75">
        <f t="shared" si="119"/>
        <v>0.15327184892402285</v>
      </c>
      <c r="AV355" s="26">
        <f t="shared" si="120"/>
        <v>6.76246830092984E-2</v>
      </c>
      <c r="AW355" s="26">
        <f t="shared" si="121"/>
        <v>8.1149619611158075E-2</v>
      </c>
      <c r="AX355" s="26">
        <f t="shared" ref="AX355:AX386" si="138">IF(AND(AQ355&lt;&gt;"",1-(AQ355/O355)&gt;0),1-(AQ355/O355),"")</f>
        <v>0.79661016949152541</v>
      </c>
      <c r="AY355" s="24">
        <f t="shared" ref="AY355:AY386" si="139">IF(AND(AF355&lt;&gt;"",1-(AF355/O355)&gt;0),1-(AF355/O355),"")</f>
        <v>0.84745762711864403</v>
      </c>
      <c r="AZ355" s="77" t="str">
        <f t="shared" si="124"/>
        <v>5,0 ≤ Alc. Bruta &lt; 7,5 mg/L</v>
      </c>
      <c r="BA355" s="77" t="str">
        <f t="shared" si="125"/>
        <v>10 ≤ Cor &lt;15 uC</v>
      </c>
      <c r="BB355" s="78" t="str">
        <f t="shared" si="126"/>
        <v>Turbidez &lt; 2,5 uT</v>
      </c>
      <c r="BC355" s="79" t="str">
        <f t="shared" si="127"/>
        <v>SM &gt; BNN &gt; TOR</v>
      </c>
      <c r="BD355" s="78" t="str">
        <f t="shared" si="128"/>
        <v>Tipo 1 (≤0,25) uT</v>
      </c>
      <c r="BE355" s="78" t="str">
        <f t="shared" si="129"/>
        <v>Tipo 1 (≤0,25) uT</v>
      </c>
      <c r="BF355" s="78" t="str">
        <f t="shared" si="130"/>
        <v>Tipo 1 (≤0,25) uT</v>
      </c>
      <c r="BG355" s="78" t="str">
        <f t="shared" si="131"/>
        <v>Tipo 1 (≤0,25) uT</v>
      </c>
      <c r="BH355" s="78" t="str">
        <f t="shared" si="132"/>
        <v>Tipo 1 (≤0,25) uT</v>
      </c>
    </row>
    <row r="356" spans="1:60" x14ac:dyDescent="0.2">
      <c r="A356" s="31">
        <v>46298</v>
      </c>
      <c r="B356" s="80">
        <v>6.25E-2</v>
      </c>
      <c r="C356" s="57">
        <v>270</v>
      </c>
      <c r="D356" s="57">
        <v>1640</v>
      </c>
      <c r="E356" s="57">
        <v>350</v>
      </c>
      <c r="F356" s="57">
        <v>2380</v>
      </c>
      <c r="G356" s="85" t="s">
        <v>78</v>
      </c>
      <c r="H356" s="63">
        <v>9.1999999999999993</v>
      </c>
      <c r="I356" s="57">
        <v>36</v>
      </c>
      <c r="J356" s="57">
        <v>90</v>
      </c>
      <c r="K356" s="57">
        <v>90</v>
      </c>
      <c r="L356" s="57">
        <v>90</v>
      </c>
      <c r="M356" s="57">
        <v>25.1</v>
      </c>
      <c r="N356" s="63">
        <v>6.4</v>
      </c>
      <c r="O356" s="36">
        <v>1.24</v>
      </c>
      <c r="P356" s="57">
        <v>9</v>
      </c>
      <c r="Q356" s="63">
        <v>6.6</v>
      </c>
      <c r="R356" s="36">
        <v>0.06</v>
      </c>
      <c r="S356" s="36">
        <v>22.36</v>
      </c>
      <c r="T356" s="36">
        <v>0.88</v>
      </c>
      <c r="U356" s="36">
        <v>0.7</v>
      </c>
      <c r="V356" s="42">
        <f t="shared" si="133"/>
        <v>1785</v>
      </c>
      <c r="W356" s="42">
        <f t="shared" si="134"/>
        <v>1491.1839279999999</v>
      </c>
      <c r="X356" s="42">
        <f t="shared" si="135"/>
        <v>0.83539715854341734</v>
      </c>
      <c r="Y356" s="57">
        <v>3</v>
      </c>
      <c r="Z356" s="57">
        <v>4</v>
      </c>
      <c r="AA356" s="63">
        <v>6.1</v>
      </c>
      <c r="AB356" s="57">
        <v>20</v>
      </c>
      <c r="AC356" s="63">
        <v>6.3</v>
      </c>
      <c r="AD356" s="63">
        <v>5.3</v>
      </c>
      <c r="AE356" s="36">
        <v>0.19</v>
      </c>
      <c r="AF356" s="36">
        <v>0.19</v>
      </c>
      <c r="AG356" s="42">
        <f t="shared" si="115"/>
        <v>1785</v>
      </c>
      <c r="AH356" s="42">
        <f t="shared" si="136"/>
        <v>1863.5736287999996</v>
      </c>
      <c r="AI356" s="42">
        <f t="shared" si="137"/>
        <v>1.0440188396638652</v>
      </c>
      <c r="AJ356" s="57">
        <v>3</v>
      </c>
      <c r="AK356" s="57">
        <v>4</v>
      </c>
      <c r="AL356" s="63">
        <v>6.3</v>
      </c>
      <c r="AM356" s="57">
        <v>24</v>
      </c>
      <c r="AN356" s="63">
        <v>6.2</v>
      </c>
      <c r="AO356" s="63">
        <v>4.9000000000000004</v>
      </c>
      <c r="AP356" s="36">
        <v>0.12</v>
      </c>
      <c r="AQ356" s="36">
        <v>0.26</v>
      </c>
      <c r="AR356" s="73">
        <f t="shared" si="116"/>
        <v>2260</v>
      </c>
      <c r="AS356" s="75">
        <f t="shared" si="117"/>
        <v>0.11946902654867257</v>
      </c>
      <c r="AT356" s="75">
        <f t="shared" si="118"/>
        <v>0.72566371681415931</v>
      </c>
      <c r="AU356" s="75">
        <f t="shared" si="119"/>
        <v>0.15486725663716813</v>
      </c>
      <c r="AV356" s="26">
        <f t="shared" si="120"/>
        <v>6.7226890756302518E-2</v>
      </c>
      <c r="AW356" s="26">
        <f t="shared" si="121"/>
        <v>8.067226890756303E-2</v>
      </c>
      <c r="AX356" s="26">
        <f t="shared" si="138"/>
        <v>0.79032258064516125</v>
      </c>
      <c r="AY356" s="24">
        <f t="shared" si="139"/>
        <v>0.84677419354838712</v>
      </c>
      <c r="AZ356" s="77" t="str">
        <f t="shared" si="124"/>
        <v>5,0 ≤ Alc. Bruta &lt; 7,5 mg/L</v>
      </c>
      <c r="BA356" s="77" t="str">
        <f t="shared" si="125"/>
        <v>5 ≤ Cor &lt; 10 uC</v>
      </c>
      <c r="BB356" s="78" t="str">
        <f t="shared" si="126"/>
        <v>Turbidez &lt; 2,5 uT</v>
      </c>
      <c r="BC356" s="79" t="str">
        <f t="shared" si="127"/>
        <v>SM &gt; BNN &gt; TOR</v>
      </c>
      <c r="BD356" s="78" t="str">
        <f t="shared" si="128"/>
        <v>Tipo 1 (≤0,25) uT</v>
      </c>
      <c r="BE356" s="78" t="str">
        <f t="shared" si="129"/>
        <v>Tipo 1 (≤0,25) uT</v>
      </c>
      <c r="BF356" s="78" t="str">
        <f t="shared" si="130"/>
        <v>Tipo 1 (≤0,25) uT</v>
      </c>
      <c r="BG356" s="78" t="str">
        <f t="shared" si="131"/>
        <v>Tipo 2 (0,25-0,50) uT</v>
      </c>
      <c r="BH356" s="78" t="str">
        <f t="shared" si="132"/>
        <v>Tipo 1 (≤0,25) uT</v>
      </c>
    </row>
    <row r="357" spans="1:60" x14ac:dyDescent="0.2">
      <c r="A357" s="31">
        <v>46298</v>
      </c>
      <c r="B357" s="80">
        <v>0.14583333333333334</v>
      </c>
      <c r="C357" s="57">
        <v>273</v>
      </c>
      <c r="D357" s="57">
        <v>1691</v>
      </c>
      <c r="E357" s="57">
        <v>350</v>
      </c>
      <c r="F357" s="57">
        <v>2627</v>
      </c>
      <c r="G357" s="85" t="s">
        <v>78</v>
      </c>
      <c r="H357" s="63">
        <v>9.1999999999999993</v>
      </c>
      <c r="I357" s="57">
        <v>35</v>
      </c>
      <c r="J357" s="57">
        <v>90</v>
      </c>
      <c r="K357" s="57">
        <v>90</v>
      </c>
      <c r="L357" s="57">
        <v>90</v>
      </c>
      <c r="M357" s="57">
        <v>24.9</v>
      </c>
      <c r="N357" s="63">
        <v>6.4</v>
      </c>
      <c r="O357" s="36">
        <v>1.21</v>
      </c>
      <c r="P357" s="57">
        <v>10</v>
      </c>
      <c r="Q357" s="63">
        <v>6.8</v>
      </c>
      <c r="R357" s="36">
        <v>7.0000000000000007E-2</v>
      </c>
      <c r="S357" s="36">
        <v>22.36</v>
      </c>
      <c r="T357" s="36">
        <v>0.88</v>
      </c>
      <c r="U357" s="36">
        <v>0.7</v>
      </c>
      <c r="V357" s="42">
        <f t="shared" si="133"/>
        <v>1960.3987499999998</v>
      </c>
      <c r="W357" s="42">
        <f t="shared" si="134"/>
        <v>1491.1839279999999</v>
      </c>
      <c r="X357" s="42">
        <f t="shared" si="135"/>
        <v>0.76065337625827401</v>
      </c>
      <c r="Y357" s="57">
        <v>3</v>
      </c>
      <c r="Z357" s="57">
        <v>4</v>
      </c>
      <c r="AA357" s="63">
        <v>6.1</v>
      </c>
      <c r="AB357" s="57">
        <v>20</v>
      </c>
      <c r="AC357" s="63">
        <v>6.2</v>
      </c>
      <c r="AD357" s="63">
        <v>5.2</v>
      </c>
      <c r="AE357" s="36">
        <v>0.17</v>
      </c>
      <c r="AF357" s="36">
        <v>0.15</v>
      </c>
      <c r="AG357" s="42">
        <f t="shared" si="115"/>
        <v>1960.3987499999998</v>
      </c>
      <c r="AH357" s="42">
        <f t="shared" si="136"/>
        <v>1863.5736287999996</v>
      </c>
      <c r="AI357" s="42">
        <f t="shared" si="137"/>
        <v>0.95060947615886804</v>
      </c>
      <c r="AJ357" s="57">
        <v>3</v>
      </c>
      <c r="AK357" s="57">
        <v>4</v>
      </c>
      <c r="AL357" s="63">
        <v>6.3</v>
      </c>
      <c r="AM357" s="57">
        <v>24</v>
      </c>
      <c r="AN357" s="63">
        <v>6.2</v>
      </c>
      <c r="AO357" s="63">
        <v>5.0999999999999996</v>
      </c>
      <c r="AP357" s="36">
        <v>0.13</v>
      </c>
      <c r="AQ357" s="36">
        <v>0.25</v>
      </c>
      <c r="AR357" s="73">
        <f t="shared" si="116"/>
        <v>2314</v>
      </c>
      <c r="AS357" s="75">
        <f t="shared" si="117"/>
        <v>0.11797752808988764</v>
      </c>
      <c r="AT357" s="75">
        <f t="shared" si="118"/>
        <v>0.73076923076923073</v>
      </c>
      <c r="AU357" s="75">
        <f t="shared" si="119"/>
        <v>0.15125324114088159</v>
      </c>
      <c r="AV357" s="26">
        <f t="shared" si="120"/>
        <v>6.0905976398934143E-2</v>
      </c>
      <c r="AW357" s="26">
        <f t="shared" si="121"/>
        <v>7.3087171678720975E-2</v>
      </c>
      <c r="AX357" s="26">
        <f t="shared" si="138"/>
        <v>0.79338842975206614</v>
      </c>
      <c r="AY357" s="24">
        <f t="shared" si="139"/>
        <v>0.87603305785123964</v>
      </c>
      <c r="AZ357" s="77" t="str">
        <f t="shared" si="124"/>
        <v>5,0 ≤ Alc. Bruta &lt; 7,5 mg/L</v>
      </c>
      <c r="BA357" s="77" t="str">
        <f t="shared" si="125"/>
        <v>10 ≤ Cor &lt;15 uC</v>
      </c>
      <c r="BB357" s="78" t="str">
        <f t="shared" si="126"/>
        <v>Turbidez &lt; 2,5 uT</v>
      </c>
      <c r="BC357" s="79" t="str">
        <f t="shared" si="127"/>
        <v>SM &gt; BNN &gt; TOR</v>
      </c>
      <c r="BD357" s="78" t="str">
        <f t="shared" si="128"/>
        <v>Tipo 1 (≤0,25) uT</v>
      </c>
      <c r="BE357" s="78" t="str">
        <f t="shared" si="129"/>
        <v>Tipo 1 (≤0,25) uT</v>
      </c>
      <c r="BF357" s="78" t="str">
        <f t="shared" si="130"/>
        <v>Tipo 1 (≤0,25) uT</v>
      </c>
      <c r="BG357" s="78" t="str">
        <f t="shared" si="131"/>
        <v>Tipo 1 (≤0,25) uT</v>
      </c>
      <c r="BH357" s="78" t="str">
        <f t="shared" si="132"/>
        <v>Tipo 1 (≤0,25) uT</v>
      </c>
    </row>
    <row r="358" spans="1:60" ht="15.75" thickBot="1" x14ac:dyDescent="0.25">
      <c r="A358" s="32">
        <v>46298</v>
      </c>
      <c r="B358" s="81">
        <v>0.22916666666666666</v>
      </c>
      <c r="C358" s="58">
        <v>274</v>
      </c>
      <c r="D358" s="58">
        <v>1708</v>
      </c>
      <c r="E358" s="58">
        <v>349</v>
      </c>
      <c r="F358" s="58">
        <v>2331</v>
      </c>
      <c r="G358" s="86" t="s">
        <v>78</v>
      </c>
      <c r="H358" s="64">
        <v>9.1999999999999993</v>
      </c>
      <c r="I358" s="58">
        <v>34</v>
      </c>
      <c r="J358" s="58">
        <v>90</v>
      </c>
      <c r="K358" s="58">
        <v>90</v>
      </c>
      <c r="L358" s="58">
        <v>90</v>
      </c>
      <c r="M358" s="58">
        <v>24.9</v>
      </c>
      <c r="N358" s="64">
        <v>6.4</v>
      </c>
      <c r="O358" s="37">
        <v>1.1599999999999999</v>
      </c>
      <c r="P358" s="58">
        <v>10</v>
      </c>
      <c r="Q358" s="64">
        <v>6.7</v>
      </c>
      <c r="R358" s="37">
        <v>0.06</v>
      </c>
      <c r="S358" s="36">
        <v>22.36</v>
      </c>
      <c r="T358" s="36">
        <v>0.88</v>
      </c>
      <c r="U358" s="36">
        <v>0.7</v>
      </c>
      <c r="V358" s="42">
        <f t="shared" si="133"/>
        <v>1724.94</v>
      </c>
      <c r="W358" s="42">
        <f t="shared" si="134"/>
        <v>1491.1839279999999</v>
      </c>
      <c r="X358" s="42">
        <f t="shared" si="135"/>
        <v>0.86448452004127674</v>
      </c>
      <c r="Y358" s="58">
        <v>3</v>
      </c>
      <c r="Z358" s="58">
        <v>4</v>
      </c>
      <c r="AA358" s="64">
        <v>6.1</v>
      </c>
      <c r="AB358" s="58">
        <v>20</v>
      </c>
      <c r="AC358" s="64">
        <v>6.2</v>
      </c>
      <c r="AD358" s="64">
        <v>5.4</v>
      </c>
      <c r="AE358" s="37">
        <v>0.19</v>
      </c>
      <c r="AF358" s="37">
        <v>0.14000000000000001</v>
      </c>
      <c r="AG358" s="42">
        <f t="shared" si="115"/>
        <v>1724.94</v>
      </c>
      <c r="AH358" s="42">
        <f t="shared" si="136"/>
        <v>1863.5736287999996</v>
      </c>
      <c r="AI358" s="42">
        <f t="shared" si="137"/>
        <v>1.080370116525792</v>
      </c>
      <c r="AJ358" s="58">
        <v>3</v>
      </c>
      <c r="AK358" s="58">
        <v>4</v>
      </c>
      <c r="AL358" s="64">
        <v>6.3</v>
      </c>
      <c r="AM358" s="58">
        <v>24</v>
      </c>
      <c r="AN358" s="64">
        <v>6.2</v>
      </c>
      <c r="AO358" s="64">
        <v>5.3</v>
      </c>
      <c r="AP358" s="37">
        <v>0.16</v>
      </c>
      <c r="AQ358" s="37">
        <v>0.21</v>
      </c>
      <c r="AR358" s="73">
        <f t="shared" si="116"/>
        <v>2331</v>
      </c>
      <c r="AS358" s="75">
        <f t="shared" si="117"/>
        <v>0.11754611754611755</v>
      </c>
      <c r="AT358" s="75">
        <f t="shared" si="118"/>
        <v>0.73273273273273276</v>
      </c>
      <c r="AU358" s="75">
        <f t="shared" si="119"/>
        <v>0.14972114972114972</v>
      </c>
      <c r="AV358" s="26">
        <f t="shared" si="120"/>
        <v>6.8640068640068636E-2</v>
      </c>
      <c r="AW358" s="26">
        <f t="shared" si="121"/>
        <v>8.2368082368082365E-2</v>
      </c>
      <c r="AX358" s="26">
        <f t="shared" si="138"/>
        <v>0.81896551724137934</v>
      </c>
      <c r="AY358" s="24">
        <f t="shared" si="139"/>
        <v>0.87931034482758619</v>
      </c>
      <c r="AZ358" s="77" t="str">
        <f t="shared" si="124"/>
        <v>5,0 ≤ Alc. Bruta &lt; 7,5 mg/L</v>
      </c>
      <c r="BA358" s="77" t="str">
        <f t="shared" si="125"/>
        <v>10 ≤ Cor &lt;15 uC</v>
      </c>
      <c r="BB358" s="78" t="str">
        <f t="shared" si="126"/>
        <v>Turbidez &lt; 2,5 uT</v>
      </c>
      <c r="BC358" s="79" t="str">
        <f t="shared" si="127"/>
        <v>SM &gt; BNN &gt; TOR</v>
      </c>
      <c r="BD358" s="78" t="str">
        <f t="shared" si="128"/>
        <v>Tipo 1 (≤0,25) uT</v>
      </c>
      <c r="BE358" s="78" t="str">
        <f t="shared" si="129"/>
        <v>Tipo 1 (≤0,25) uT</v>
      </c>
      <c r="BF358" s="78" t="str">
        <f t="shared" si="130"/>
        <v>Tipo 1 (≤0,25) uT</v>
      </c>
      <c r="BG358" s="78" t="str">
        <f t="shared" si="131"/>
        <v>Tipo 1 (≤0,25) uT</v>
      </c>
      <c r="BH358" s="78" t="str">
        <f t="shared" si="132"/>
        <v>Tipo 1 (≤0,25) uT</v>
      </c>
    </row>
    <row r="359" spans="1:60" x14ac:dyDescent="0.2">
      <c r="A359" s="30">
        <v>46298</v>
      </c>
      <c r="B359" s="82">
        <v>0.3125</v>
      </c>
      <c r="C359" s="59">
        <v>286</v>
      </c>
      <c r="D359" s="59">
        <v>1705</v>
      </c>
      <c r="E359" s="59">
        <v>348</v>
      </c>
      <c r="F359" s="59">
        <v>2324</v>
      </c>
      <c r="G359" s="87" t="s">
        <v>78</v>
      </c>
      <c r="H359" s="65">
        <v>9.1999999999999993</v>
      </c>
      <c r="I359" s="59">
        <v>34</v>
      </c>
      <c r="J359" s="59">
        <v>90</v>
      </c>
      <c r="K359" s="59">
        <v>90</v>
      </c>
      <c r="L359" s="59">
        <v>90</v>
      </c>
      <c r="M359" s="59">
        <v>24.4</v>
      </c>
      <c r="N359" s="65">
        <v>6.4</v>
      </c>
      <c r="O359" s="38">
        <v>1.22</v>
      </c>
      <c r="P359" s="59">
        <v>10</v>
      </c>
      <c r="Q359" s="65">
        <v>7.6</v>
      </c>
      <c r="R359" s="38">
        <v>0.06</v>
      </c>
      <c r="S359" s="36">
        <v>22.36</v>
      </c>
      <c r="T359" s="36">
        <v>0.88</v>
      </c>
      <c r="U359" s="36">
        <v>0.7</v>
      </c>
      <c r="V359" s="42">
        <f t="shared" si="133"/>
        <v>1737.1899999999998</v>
      </c>
      <c r="W359" s="42">
        <f t="shared" si="134"/>
        <v>1565.7431243999997</v>
      </c>
      <c r="X359" s="42">
        <f t="shared" si="135"/>
        <v>0.90130793085385008</v>
      </c>
      <c r="Y359" s="59">
        <v>3</v>
      </c>
      <c r="Z359" s="59">
        <v>4</v>
      </c>
      <c r="AA359" s="65">
        <v>6.1</v>
      </c>
      <c r="AB359" s="59">
        <v>21</v>
      </c>
      <c r="AC359" s="65">
        <v>6</v>
      </c>
      <c r="AD359" s="65">
        <v>4.9000000000000004</v>
      </c>
      <c r="AE359" s="38">
        <v>0.12</v>
      </c>
      <c r="AF359" s="38">
        <v>0.16</v>
      </c>
      <c r="AG359" s="42">
        <f t="shared" si="115"/>
        <v>1737.1899999999998</v>
      </c>
      <c r="AH359" s="42">
        <f t="shared" si="136"/>
        <v>1979.8438399999998</v>
      </c>
      <c r="AI359" s="42">
        <f t="shared" si="137"/>
        <v>1.1396818079772506</v>
      </c>
      <c r="AJ359" s="59">
        <v>3</v>
      </c>
      <c r="AK359" s="59">
        <v>4</v>
      </c>
      <c r="AL359" s="65">
        <v>6.4</v>
      </c>
      <c r="AM359" s="59">
        <v>25</v>
      </c>
      <c r="AN359" s="65">
        <v>4.8</v>
      </c>
      <c r="AO359" s="65">
        <v>6.2</v>
      </c>
      <c r="AP359" s="38">
        <v>0.17</v>
      </c>
      <c r="AQ359" s="38">
        <v>0.28000000000000003</v>
      </c>
      <c r="AR359" s="73">
        <f t="shared" si="116"/>
        <v>2339</v>
      </c>
      <c r="AS359" s="75">
        <f t="shared" si="117"/>
        <v>0.12227447627191107</v>
      </c>
      <c r="AT359" s="75">
        <f t="shared" si="118"/>
        <v>0.72894399315946989</v>
      </c>
      <c r="AU359" s="75">
        <f t="shared" si="119"/>
        <v>0.14878153056861906</v>
      </c>
      <c r="AV359" s="26">
        <f t="shared" si="120"/>
        <v>7.2289156626506021E-2</v>
      </c>
      <c r="AW359" s="26">
        <f t="shared" si="121"/>
        <v>8.6058519793459548E-2</v>
      </c>
      <c r="AX359" s="26">
        <f t="shared" si="138"/>
        <v>0.77049180327868849</v>
      </c>
      <c r="AY359" s="24">
        <f t="shared" si="139"/>
        <v>0.86885245901639341</v>
      </c>
      <c r="AZ359" s="77" t="str">
        <f t="shared" si="124"/>
        <v>7,5 ≤ Alc. Bruta &lt; 10,0 mg/L</v>
      </c>
      <c r="BA359" s="77" t="str">
        <f t="shared" si="125"/>
        <v>10 ≤ Cor &lt;15 uC</v>
      </c>
      <c r="BB359" s="78" t="str">
        <f t="shared" si="126"/>
        <v>Turbidez &lt; 2,5 uT</v>
      </c>
      <c r="BC359" s="79" t="str">
        <f t="shared" si="127"/>
        <v>SM &gt; BNN &gt; TOR</v>
      </c>
      <c r="BD359" s="78" t="str">
        <f t="shared" si="128"/>
        <v>Tipo 1 (≤0,25) uT</v>
      </c>
      <c r="BE359" s="78" t="str">
        <f t="shared" si="129"/>
        <v>Tipo 1 (≤0,25) uT</v>
      </c>
      <c r="BF359" s="78" t="str">
        <f t="shared" si="130"/>
        <v>Tipo 1 (≤0,25) uT</v>
      </c>
      <c r="BG359" s="78" t="str">
        <f t="shared" si="131"/>
        <v>Tipo 2 (0,25-0,50) uT</v>
      </c>
      <c r="BH359" s="78" t="str">
        <f t="shared" si="132"/>
        <v>Tipo 1 (≤0,25) uT</v>
      </c>
    </row>
    <row r="360" spans="1:60" x14ac:dyDescent="0.2">
      <c r="A360" s="31">
        <v>46298</v>
      </c>
      <c r="B360" s="80">
        <v>0.47916666666666669</v>
      </c>
      <c r="C360" s="57">
        <v>283</v>
      </c>
      <c r="D360" s="57">
        <v>1677</v>
      </c>
      <c r="E360" s="57">
        <v>349</v>
      </c>
      <c r="F360" s="57">
        <v>2317</v>
      </c>
      <c r="G360" s="85" t="s">
        <v>78</v>
      </c>
      <c r="H360" s="63">
        <v>9.1999999999999993</v>
      </c>
      <c r="I360" s="57">
        <v>35</v>
      </c>
      <c r="J360" s="57">
        <v>90</v>
      </c>
      <c r="K360" s="57">
        <v>90</v>
      </c>
      <c r="L360" s="57">
        <v>90</v>
      </c>
      <c r="M360" s="57">
        <v>24.3</v>
      </c>
      <c r="N360" s="63">
        <v>6.4</v>
      </c>
      <c r="O360" s="36">
        <v>1.23</v>
      </c>
      <c r="P360" s="57">
        <v>10</v>
      </c>
      <c r="Q360" s="63">
        <v>6.4</v>
      </c>
      <c r="R360" s="36">
        <v>0.06</v>
      </c>
      <c r="S360" s="36">
        <v>22.36</v>
      </c>
      <c r="T360" s="36">
        <v>0.88</v>
      </c>
      <c r="U360" s="36">
        <v>0.7</v>
      </c>
      <c r="V360" s="42">
        <f t="shared" si="133"/>
        <v>1734.85375</v>
      </c>
      <c r="W360" s="42">
        <f t="shared" si="134"/>
        <v>1565.7431243999997</v>
      </c>
      <c r="X360" s="42">
        <f t="shared" si="135"/>
        <v>0.90252168195734062</v>
      </c>
      <c r="Y360" s="57">
        <v>3</v>
      </c>
      <c r="Z360" s="57">
        <v>4</v>
      </c>
      <c r="AA360" s="63">
        <v>6.1</v>
      </c>
      <c r="AB360" s="57">
        <v>21</v>
      </c>
      <c r="AC360" s="63">
        <v>6.1</v>
      </c>
      <c r="AD360" s="63">
        <v>3.4</v>
      </c>
      <c r="AE360" s="36">
        <v>0.12</v>
      </c>
      <c r="AF360" s="36">
        <v>0.16</v>
      </c>
      <c r="AG360" s="42">
        <f t="shared" si="115"/>
        <v>1734.85375</v>
      </c>
      <c r="AH360" s="42">
        <f t="shared" si="136"/>
        <v>1979.8438399999998</v>
      </c>
      <c r="AI360" s="42">
        <f t="shared" si="137"/>
        <v>1.1412165665261407</v>
      </c>
      <c r="AJ360" s="57">
        <v>3</v>
      </c>
      <c r="AK360" s="57">
        <v>4</v>
      </c>
      <c r="AL360" s="63">
        <v>6.4</v>
      </c>
      <c r="AM360" s="57">
        <v>25</v>
      </c>
      <c r="AN360" s="63">
        <v>6</v>
      </c>
      <c r="AO360" s="63">
        <v>4.7</v>
      </c>
      <c r="AP360" s="36">
        <v>0.09</v>
      </c>
      <c r="AQ360" s="36">
        <v>0.09</v>
      </c>
      <c r="AR360" s="73">
        <f t="shared" si="116"/>
        <v>2309</v>
      </c>
      <c r="AS360" s="75">
        <f t="shared" si="117"/>
        <v>0.12256388046773495</v>
      </c>
      <c r="AT360" s="75">
        <f t="shared" si="118"/>
        <v>0.72628843655262021</v>
      </c>
      <c r="AU360" s="75">
        <f t="shared" si="119"/>
        <v>0.15114768297964487</v>
      </c>
      <c r="AV360" s="26">
        <f t="shared" si="120"/>
        <v>7.2507552870090641E-2</v>
      </c>
      <c r="AW360" s="26">
        <f t="shared" si="121"/>
        <v>8.6318515321536476E-2</v>
      </c>
      <c r="AX360" s="26">
        <f t="shared" si="138"/>
        <v>0.92682926829268297</v>
      </c>
      <c r="AY360" s="24">
        <f t="shared" si="139"/>
        <v>0.86991869918699183</v>
      </c>
      <c r="AZ360" s="77" t="str">
        <f t="shared" si="124"/>
        <v>5,0 ≤ Alc. Bruta &lt; 7,5 mg/L</v>
      </c>
      <c r="BA360" s="77" t="str">
        <f t="shared" si="125"/>
        <v>10 ≤ Cor &lt;15 uC</v>
      </c>
      <c r="BB360" s="78" t="str">
        <f t="shared" si="126"/>
        <v>Turbidez &lt; 2,5 uT</v>
      </c>
      <c r="BC360" s="79" t="str">
        <f t="shared" si="127"/>
        <v>SM &gt; BNN &gt; TOR</v>
      </c>
      <c r="BD360" s="78" t="str">
        <f t="shared" si="128"/>
        <v>Tipo 1 (≤0,25) uT</v>
      </c>
      <c r="BE360" s="78" t="str">
        <f t="shared" si="129"/>
        <v>Tipo 1 (≤0,25) uT</v>
      </c>
      <c r="BF360" s="78" t="str">
        <f t="shared" si="130"/>
        <v>Tipo 1 (≤0,25) uT</v>
      </c>
      <c r="BG360" s="78" t="str">
        <f t="shared" si="131"/>
        <v>Tipo 1 (≤0,25) uT</v>
      </c>
      <c r="BH360" s="78" t="str">
        <f t="shared" si="132"/>
        <v>Tipo 1 (≤0,25) uT</v>
      </c>
    </row>
    <row r="361" spans="1:60" x14ac:dyDescent="0.2">
      <c r="A361" s="31">
        <v>46298</v>
      </c>
      <c r="B361" s="80">
        <v>0.64583333333333337</v>
      </c>
      <c r="C361" s="57">
        <v>279</v>
      </c>
      <c r="D361" s="57">
        <v>1648</v>
      </c>
      <c r="E361" s="57">
        <v>351</v>
      </c>
      <c r="F361" s="57">
        <v>2363</v>
      </c>
      <c r="G361" s="85" t="s">
        <v>78</v>
      </c>
      <c r="H361" s="63">
        <v>9.1999999999999993</v>
      </c>
      <c r="I361" s="57">
        <v>36</v>
      </c>
      <c r="J361" s="57">
        <v>90</v>
      </c>
      <c r="K361" s="57">
        <v>90</v>
      </c>
      <c r="L361" s="57">
        <v>90</v>
      </c>
      <c r="M361" s="57">
        <v>25</v>
      </c>
      <c r="N361" s="63">
        <v>6.3</v>
      </c>
      <c r="O361" s="36">
        <v>1.0900000000000001</v>
      </c>
      <c r="P361" s="57">
        <v>9</v>
      </c>
      <c r="Q361" s="63">
        <v>6.5</v>
      </c>
      <c r="R361" s="36">
        <v>7.0000000000000007E-2</v>
      </c>
      <c r="S361" s="36">
        <v>22.36</v>
      </c>
      <c r="T361" s="36">
        <v>0.88</v>
      </c>
      <c r="U361" s="36">
        <v>0.7</v>
      </c>
      <c r="V361" s="42">
        <f t="shared" si="133"/>
        <v>1727.9437499999999</v>
      </c>
      <c r="W361" s="42">
        <f t="shared" si="134"/>
        <v>1533.3012239999998</v>
      </c>
      <c r="X361" s="42">
        <f t="shared" si="135"/>
        <v>0.8873559825081111</v>
      </c>
      <c r="Y361" s="57">
        <v>3</v>
      </c>
      <c r="Z361" s="57">
        <v>4</v>
      </c>
      <c r="AA361" s="63">
        <v>6</v>
      </c>
      <c r="AB361" s="57">
        <v>21</v>
      </c>
      <c r="AC361" s="63">
        <v>6.2</v>
      </c>
      <c r="AD361" s="63">
        <v>4.5999999999999996</v>
      </c>
      <c r="AE361" s="36">
        <v>0.06</v>
      </c>
      <c r="AF361" s="36">
        <v>0.15</v>
      </c>
      <c r="AG361" s="42">
        <f t="shared" si="115"/>
        <v>1727.9437499999999</v>
      </c>
      <c r="AH361" s="42">
        <f t="shared" si="136"/>
        <v>1979.8438399999998</v>
      </c>
      <c r="AI361" s="42">
        <f t="shared" si="137"/>
        <v>1.1457802604974843</v>
      </c>
      <c r="AJ361" s="57">
        <v>3</v>
      </c>
      <c r="AK361" s="57">
        <v>4</v>
      </c>
      <c r="AL361" s="63">
        <v>6.4</v>
      </c>
      <c r="AM361" s="57">
        <v>25</v>
      </c>
      <c r="AN361" s="63">
        <v>6.2</v>
      </c>
      <c r="AO361" s="63">
        <v>4.4000000000000004</v>
      </c>
      <c r="AP361" s="36">
        <v>0.18</v>
      </c>
      <c r="AQ361" s="36">
        <v>0.31</v>
      </c>
      <c r="AR361" s="73">
        <f t="shared" si="116"/>
        <v>2278</v>
      </c>
      <c r="AS361" s="75">
        <f t="shared" si="117"/>
        <v>0.12247585601404741</v>
      </c>
      <c r="AT361" s="75">
        <f t="shared" si="118"/>
        <v>0.72344161545215102</v>
      </c>
      <c r="AU361" s="75">
        <f t="shared" si="119"/>
        <v>0.15408252853380158</v>
      </c>
      <c r="AV361" s="26">
        <f t="shared" si="120"/>
        <v>7.1096064325010574E-2</v>
      </c>
      <c r="AW361" s="26">
        <f t="shared" si="121"/>
        <v>8.4638171815488786E-2</v>
      </c>
      <c r="AX361" s="26">
        <f t="shared" si="138"/>
        <v>0.7155963302752294</v>
      </c>
      <c r="AY361" s="24">
        <f t="shared" si="139"/>
        <v>0.86238532110091748</v>
      </c>
      <c r="AZ361" s="77" t="str">
        <f t="shared" si="124"/>
        <v>5,0 ≤ Alc. Bruta &lt; 7,5 mg/L</v>
      </c>
      <c r="BA361" s="77" t="str">
        <f t="shared" si="125"/>
        <v>5 ≤ Cor &lt; 10 uC</v>
      </c>
      <c r="BB361" s="78" t="str">
        <f t="shared" si="126"/>
        <v>Turbidez &lt; 2,5 uT</v>
      </c>
      <c r="BC361" s="79" t="str">
        <f t="shared" si="127"/>
        <v>SM &gt; BNN &gt; TOR</v>
      </c>
      <c r="BD361" s="78" t="str">
        <f t="shared" si="128"/>
        <v>Tipo 1 (≤0,25) uT</v>
      </c>
      <c r="BE361" s="78" t="str">
        <f t="shared" si="129"/>
        <v>Tipo 1 (≤0,25) uT</v>
      </c>
      <c r="BF361" s="78" t="str">
        <f t="shared" si="130"/>
        <v>Tipo 1 (≤0,25) uT</v>
      </c>
      <c r="BG361" s="78" t="str">
        <f t="shared" si="131"/>
        <v>Tipo 2 (0,25-0,50) uT</v>
      </c>
      <c r="BH361" s="78" t="str">
        <f t="shared" si="132"/>
        <v>Tipo 1 (≤0,25) uT</v>
      </c>
    </row>
    <row r="362" spans="1:60" x14ac:dyDescent="0.2">
      <c r="A362" s="31">
        <v>46298</v>
      </c>
      <c r="B362" s="80">
        <v>0.72916666666666663</v>
      </c>
      <c r="C362" s="57">
        <v>275</v>
      </c>
      <c r="D362" s="57">
        <v>1683</v>
      </c>
      <c r="E362" s="57">
        <v>350</v>
      </c>
      <c r="F362" s="57">
        <v>2388</v>
      </c>
      <c r="G362" s="85" t="s">
        <v>78</v>
      </c>
      <c r="H362" s="63">
        <v>9.1999999999999993</v>
      </c>
      <c r="I362" s="57">
        <v>37</v>
      </c>
      <c r="J362" s="57">
        <v>90</v>
      </c>
      <c r="K362" s="57">
        <v>90</v>
      </c>
      <c r="L362" s="57">
        <v>90</v>
      </c>
      <c r="M362" s="57">
        <v>24.9</v>
      </c>
      <c r="N362" s="63">
        <v>6.2</v>
      </c>
      <c r="O362" s="36">
        <v>1.1399999999999999</v>
      </c>
      <c r="P362" s="57">
        <v>9</v>
      </c>
      <c r="Q362" s="63">
        <v>6.7</v>
      </c>
      <c r="R362" s="36">
        <v>7.0000000000000007E-2</v>
      </c>
      <c r="S362" s="36">
        <v>22.36</v>
      </c>
      <c r="T362" s="36">
        <v>0.88</v>
      </c>
      <c r="U362" s="36">
        <v>0.7</v>
      </c>
      <c r="V362" s="42">
        <f t="shared" si="133"/>
        <v>1761.1499999999999</v>
      </c>
      <c r="W362" s="42">
        <f t="shared" si="134"/>
        <v>1533.3012239999998</v>
      </c>
      <c r="X362" s="42">
        <f t="shared" si="135"/>
        <v>0.87062500298100665</v>
      </c>
      <c r="Y362" s="57">
        <v>3</v>
      </c>
      <c r="Z362" s="57">
        <v>4</v>
      </c>
      <c r="AA362" s="63">
        <v>6</v>
      </c>
      <c r="AB362" s="57">
        <v>21</v>
      </c>
      <c r="AC362" s="63">
        <v>6.1</v>
      </c>
      <c r="AD362" s="63">
        <v>4.2</v>
      </c>
      <c r="AE362" s="36">
        <v>0.13</v>
      </c>
      <c r="AF362" s="36">
        <v>0.16</v>
      </c>
      <c r="AG362" s="42">
        <f t="shared" si="115"/>
        <v>1761.1499999999999</v>
      </c>
      <c r="AH362" s="42">
        <f t="shared" si="136"/>
        <v>1979.8438399999998</v>
      </c>
      <c r="AI362" s="42">
        <f t="shared" si="137"/>
        <v>1.124176725435085</v>
      </c>
      <c r="AJ362" s="57">
        <v>3</v>
      </c>
      <c r="AK362" s="57">
        <v>4</v>
      </c>
      <c r="AL362" s="63">
        <v>6.4</v>
      </c>
      <c r="AM362" s="57">
        <v>25</v>
      </c>
      <c r="AN362" s="63">
        <v>6.2</v>
      </c>
      <c r="AO362" s="63">
        <v>4.7</v>
      </c>
      <c r="AP362" s="36">
        <v>0.09</v>
      </c>
      <c r="AQ362" s="36">
        <v>0.35</v>
      </c>
      <c r="AR362" s="73">
        <f t="shared" si="116"/>
        <v>2308</v>
      </c>
      <c r="AS362" s="75">
        <f t="shared" si="117"/>
        <v>0.11915077989601386</v>
      </c>
      <c r="AT362" s="75">
        <f t="shared" si="118"/>
        <v>0.72920277296360481</v>
      </c>
      <c r="AU362" s="75">
        <f t="shared" si="119"/>
        <v>0.15164644714038128</v>
      </c>
      <c r="AV362" s="26">
        <f t="shared" si="120"/>
        <v>7.0351758793969849E-2</v>
      </c>
      <c r="AW362" s="26">
        <f t="shared" si="121"/>
        <v>8.3752093802345065E-2</v>
      </c>
      <c r="AX362" s="26">
        <f t="shared" si="138"/>
        <v>0.69298245614035081</v>
      </c>
      <c r="AY362" s="24">
        <f t="shared" si="139"/>
        <v>0.85964912280701755</v>
      </c>
      <c r="AZ362" s="77" t="str">
        <f t="shared" si="124"/>
        <v>5,0 ≤ Alc. Bruta &lt; 7,5 mg/L</v>
      </c>
      <c r="BA362" s="77" t="str">
        <f t="shared" si="125"/>
        <v>5 ≤ Cor &lt; 10 uC</v>
      </c>
      <c r="BB362" s="78" t="str">
        <f t="shared" si="126"/>
        <v>Turbidez &lt; 2,5 uT</v>
      </c>
      <c r="BC362" s="79" t="str">
        <f t="shared" si="127"/>
        <v>SM &gt; BNN &gt; TOR</v>
      </c>
      <c r="BD362" s="78" t="str">
        <f t="shared" si="128"/>
        <v>Tipo 1 (≤0,25) uT</v>
      </c>
      <c r="BE362" s="78" t="str">
        <f t="shared" si="129"/>
        <v>Tipo 1 (≤0,25) uT</v>
      </c>
      <c r="BF362" s="78" t="str">
        <f t="shared" si="130"/>
        <v>Tipo 1 (≤0,25) uT</v>
      </c>
      <c r="BG362" s="78" t="str">
        <f t="shared" si="131"/>
        <v>Tipo 2 (0,25-0,50) uT</v>
      </c>
      <c r="BH362" s="78" t="str">
        <f t="shared" si="132"/>
        <v>Tipo 1 (≤0,25) uT</v>
      </c>
    </row>
    <row r="363" spans="1:60" x14ac:dyDescent="0.2">
      <c r="A363" s="31">
        <v>46298</v>
      </c>
      <c r="B363" s="80">
        <v>0.8125</v>
      </c>
      <c r="C363" s="57">
        <v>483</v>
      </c>
      <c r="D363" s="57">
        <v>1030</v>
      </c>
      <c r="E363" s="57">
        <v>400</v>
      </c>
      <c r="F363" s="57">
        <v>1967</v>
      </c>
      <c r="G363" s="85" t="s">
        <v>78</v>
      </c>
      <c r="H363" s="63">
        <v>9.5</v>
      </c>
      <c r="I363" s="57">
        <v>36</v>
      </c>
      <c r="J363" s="57">
        <v>90</v>
      </c>
      <c r="K363" s="57">
        <v>90</v>
      </c>
      <c r="L363" s="57">
        <v>90</v>
      </c>
      <c r="M363" s="57">
        <v>24.7</v>
      </c>
      <c r="N363" s="63">
        <v>6.5</v>
      </c>
      <c r="O363" s="36">
        <v>1.08</v>
      </c>
      <c r="P363" s="57">
        <v>14</v>
      </c>
      <c r="Q363" s="63">
        <v>7.1</v>
      </c>
      <c r="R363" s="36">
        <v>7.0000000000000007E-2</v>
      </c>
      <c r="S363" s="36">
        <v>22.36</v>
      </c>
      <c r="T363" s="36">
        <v>0.88</v>
      </c>
      <c r="U363" s="36">
        <v>0.7</v>
      </c>
      <c r="V363" s="42">
        <f t="shared" si="133"/>
        <v>1458.0387499999999</v>
      </c>
      <c r="W363" s="42">
        <f t="shared" si="134"/>
        <v>1598.1850248000001</v>
      </c>
      <c r="X363" s="42">
        <f t="shared" si="135"/>
        <v>1.0961197189032186</v>
      </c>
      <c r="Y363" s="57">
        <v>2</v>
      </c>
      <c r="Z363" s="57">
        <v>4</v>
      </c>
      <c r="AA363" s="63">
        <v>6.2</v>
      </c>
      <c r="AB363" s="57">
        <v>21</v>
      </c>
      <c r="AC363" s="63">
        <v>6</v>
      </c>
      <c r="AD363" s="63">
        <v>4.2</v>
      </c>
      <c r="AE363" s="36">
        <v>0.1</v>
      </c>
      <c r="AF363" s="36">
        <v>0.15</v>
      </c>
      <c r="AG363" s="42">
        <f t="shared" si="115"/>
        <v>1944.0516666666665</v>
      </c>
      <c r="AH363" s="42">
        <f t="shared" si="136"/>
        <v>1900.6500864</v>
      </c>
      <c r="AI363" s="42">
        <f t="shared" si="137"/>
        <v>0.977674677576299</v>
      </c>
      <c r="AJ363" s="57">
        <v>2</v>
      </c>
      <c r="AK363" s="57">
        <v>3</v>
      </c>
      <c r="AL363" s="63">
        <v>6.4</v>
      </c>
      <c r="AM363" s="57">
        <v>24</v>
      </c>
      <c r="AN363" s="63">
        <v>5.9</v>
      </c>
      <c r="AO363" s="63">
        <v>3.9</v>
      </c>
      <c r="AP363" s="36">
        <v>0.13</v>
      </c>
      <c r="AQ363" s="36">
        <v>0.21</v>
      </c>
      <c r="AR363" s="73">
        <f t="shared" si="116"/>
        <v>1913</v>
      </c>
      <c r="AS363" s="75">
        <f t="shared" si="117"/>
        <v>0.25248301097752224</v>
      </c>
      <c r="AT363" s="75">
        <f t="shared" si="118"/>
        <v>0.538421327757449</v>
      </c>
      <c r="AU363" s="75">
        <f t="shared" si="119"/>
        <v>0.20909566126502874</v>
      </c>
      <c r="AV363" s="26">
        <f t="shared" si="120"/>
        <v>8.5409252669039148E-2</v>
      </c>
      <c r="AW363" s="26">
        <f t="shared" si="121"/>
        <v>7.3207930859176415E-2</v>
      </c>
      <c r="AX363" s="26">
        <f t="shared" si="138"/>
        <v>0.80555555555555558</v>
      </c>
      <c r="AY363" s="24">
        <f t="shared" si="139"/>
        <v>0.86111111111111116</v>
      </c>
      <c r="AZ363" s="77" t="str">
        <f t="shared" si="124"/>
        <v>5,0 ≤ Alc. Bruta &lt; 7,5 mg/L</v>
      </c>
      <c r="BA363" s="77" t="str">
        <f t="shared" si="125"/>
        <v>10 ≤ Cor &lt;15 uC</v>
      </c>
      <c r="BB363" s="78" t="str">
        <f t="shared" si="126"/>
        <v>Turbidez &lt; 2,5 uT</v>
      </c>
      <c r="BC363" s="79" t="str">
        <f t="shared" si="127"/>
        <v>SM &gt; TOR &gt; BNN</v>
      </c>
      <c r="BD363" s="78" t="str">
        <f t="shared" si="128"/>
        <v>Tipo 1 (≤0,25) uT</v>
      </c>
      <c r="BE363" s="78" t="str">
        <f t="shared" si="129"/>
        <v>Tipo 1 (≤0,25) uT</v>
      </c>
      <c r="BF363" s="78" t="str">
        <f t="shared" si="130"/>
        <v>Tipo 1 (≤0,25) uT</v>
      </c>
      <c r="BG363" s="78" t="str">
        <f t="shared" si="131"/>
        <v>Tipo 1 (≤0,25) uT</v>
      </c>
      <c r="BH363" s="78" t="str">
        <f t="shared" si="132"/>
        <v>Tipo 1 (≤0,25) uT</v>
      </c>
    </row>
    <row r="364" spans="1:60" x14ac:dyDescent="0.2">
      <c r="A364" s="31">
        <v>46298</v>
      </c>
      <c r="B364" s="80">
        <v>0.89583333333333337</v>
      </c>
      <c r="C364" s="57">
        <v>460</v>
      </c>
      <c r="D364" s="57">
        <v>1021</v>
      </c>
      <c r="E364" s="57">
        <v>408</v>
      </c>
      <c r="F364" s="57">
        <v>1973</v>
      </c>
      <c r="G364" s="85" t="s">
        <v>78</v>
      </c>
      <c r="H364" s="63">
        <v>9.5</v>
      </c>
      <c r="I364" s="57">
        <v>35</v>
      </c>
      <c r="J364" s="57">
        <v>90</v>
      </c>
      <c r="K364" s="57">
        <v>90</v>
      </c>
      <c r="L364" s="57">
        <v>90</v>
      </c>
      <c r="M364" s="57">
        <v>24.4</v>
      </c>
      <c r="N364" s="63">
        <v>6.6</v>
      </c>
      <c r="O364" s="36">
        <v>1.19</v>
      </c>
      <c r="P364" s="57">
        <v>14</v>
      </c>
      <c r="Q364" s="63">
        <v>7.9</v>
      </c>
      <c r="R364" s="36">
        <v>0.06</v>
      </c>
      <c r="S364" s="36">
        <v>22.36</v>
      </c>
      <c r="T364" s="36">
        <v>0.88</v>
      </c>
      <c r="U364" s="36">
        <v>0.7</v>
      </c>
      <c r="V364" s="42">
        <f t="shared" si="133"/>
        <v>1489.615</v>
      </c>
      <c r="W364" s="42">
        <f t="shared" si="134"/>
        <v>1598.1850248000001</v>
      </c>
      <c r="X364" s="42">
        <f t="shared" si="135"/>
        <v>1.072884621059804</v>
      </c>
      <c r="Y364" s="57">
        <v>2</v>
      </c>
      <c r="Z364" s="57">
        <v>4</v>
      </c>
      <c r="AA364" s="63">
        <v>6.2</v>
      </c>
      <c r="AB364" s="57">
        <v>21</v>
      </c>
      <c r="AC364" s="63">
        <v>6.2</v>
      </c>
      <c r="AD364" s="63">
        <v>4.5999999999999996</v>
      </c>
      <c r="AE364" s="36">
        <v>0.16</v>
      </c>
      <c r="AF364" s="36">
        <v>1.6E-2</v>
      </c>
      <c r="AG364" s="42">
        <f t="shared" si="115"/>
        <v>2979.23</v>
      </c>
      <c r="AH364" s="42">
        <f t="shared" si="136"/>
        <v>1863.5736287999996</v>
      </c>
      <c r="AI364" s="42">
        <f t="shared" si="137"/>
        <v>0.62552190626437021</v>
      </c>
      <c r="AJ364" s="57">
        <v>1</v>
      </c>
      <c r="AK364" s="57">
        <v>2</v>
      </c>
      <c r="AL364" s="63">
        <v>6.3</v>
      </c>
      <c r="AM364" s="57">
        <v>24</v>
      </c>
      <c r="AN364" s="63">
        <v>6.2</v>
      </c>
      <c r="AO364" s="63">
        <v>4.8</v>
      </c>
      <c r="AP364" s="36">
        <v>0.19</v>
      </c>
      <c r="AQ364" s="36">
        <v>0.2</v>
      </c>
      <c r="AR364" s="73">
        <f t="shared" si="116"/>
        <v>1889</v>
      </c>
      <c r="AS364" s="75">
        <f t="shared" si="117"/>
        <v>0.24351508734780308</v>
      </c>
      <c r="AT364" s="75">
        <f t="shared" si="118"/>
        <v>0.54049761778718897</v>
      </c>
      <c r="AU364" s="75">
        <f t="shared" si="119"/>
        <v>0.21598729486500795</v>
      </c>
      <c r="AV364" s="26">
        <f t="shared" si="120"/>
        <v>8.5149518499746585E-2</v>
      </c>
      <c r="AW364" s="26">
        <f t="shared" si="121"/>
        <v>4.8656867714140906E-2</v>
      </c>
      <c r="AX364" s="26">
        <f t="shared" si="138"/>
        <v>0.83193277310924363</v>
      </c>
      <c r="AY364" s="24">
        <f t="shared" si="139"/>
        <v>0.98655462184873954</v>
      </c>
      <c r="AZ364" s="77" t="str">
        <f t="shared" si="124"/>
        <v>7,5 ≤ Alc. Bruta &lt; 10,0 mg/L</v>
      </c>
      <c r="BA364" s="77" t="str">
        <f t="shared" si="125"/>
        <v>10 ≤ Cor &lt;15 uC</v>
      </c>
      <c r="BB364" s="78" t="str">
        <f t="shared" si="126"/>
        <v>Turbidez &lt; 2,5 uT</v>
      </c>
      <c r="BC364" s="79" t="str">
        <f t="shared" si="127"/>
        <v>SM &gt; TOR &gt; BNN</v>
      </c>
      <c r="BD364" s="78" t="str">
        <f t="shared" si="128"/>
        <v>Tipo 1 (≤0,25) uT</v>
      </c>
      <c r="BE364" s="78" t="str">
        <f t="shared" si="129"/>
        <v>Tipo 1 (≤0,25) uT</v>
      </c>
      <c r="BF364" s="78" t="str">
        <f t="shared" si="130"/>
        <v>Tipo 1 (≤0,25) uT</v>
      </c>
      <c r="BG364" s="78" t="str">
        <f t="shared" si="131"/>
        <v>Tipo 1 (≤0,25) uT</v>
      </c>
      <c r="BH364" s="78" t="str">
        <f t="shared" si="132"/>
        <v>Tipo 1 (≤0,25) uT</v>
      </c>
    </row>
    <row r="365" spans="1:60" x14ac:dyDescent="0.2">
      <c r="A365" s="31">
        <v>46299</v>
      </c>
      <c r="B365" s="80">
        <v>6.25E-2</v>
      </c>
      <c r="C365" s="57">
        <v>0</v>
      </c>
      <c r="D365" s="57">
        <v>1011</v>
      </c>
      <c r="E365" s="57">
        <v>257</v>
      </c>
      <c r="F365" s="57">
        <v>1259</v>
      </c>
      <c r="G365" s="85" t="s">
        <v>78</v>
      </c>
      <c r="H365" s="63">
        <v>9.4</v>
      </c>
      <c r="I365" s="57">
        <v>35</v>
      </c>
      <c r="J365" s="57">
        <v>90</v>
      </c>
      <c r="K365" s="57">
        <v>90</v>
      </c>
      <c r="L365" s="57">
        <v>90</v>
      </c>
      <c r="M365" s="57">
        <v>24.5</v>
      </c>
      <c r="N365" s="63">
        <v>6.5</v>
      </c>
      <c r="O365" s="36">
        <v>1.31</v>
      </c>
      <c r="P365" s="57">
        <v>8</v>
      </c>
      <c r="Q365" s="63">
        <v>6.7</v>
      </c>
      <c r="R365" s="36">
        <v>7.0000000000000007E-2</v>
      </c>
      <c r="S365" s="36">
        <v>22.36</v>
      </c>
      <c r="T365" s="36">
        <v>0.88</v>
      </c>
      <c r="U365" s="36">
        <v>0.7</v>
      </c>
      <c r="V365" s="42">
        <f t="shared" si="133"/>
        <v>1929.4175</v>
      </c>
      <c r="W365" s="42">
        <f t="shared" si="134"/>
        <v>1533.3012239999998</v>
      </c>
      <c r="X365" s="42">
        <f t="shared" si="135"/>
        <v>0.79469644283831764</v>
      </c>
      <c r="Y365" s="57">
        <v>1</v>
      </c>
      <c r="Z365" s="57">
        <v>2</v>
      </c>
      <c r="AA365" s="63">
        <v>6</v>
      </c>
      <c r="AB365" s="57">
        <v>21</v>
      </c>
      <c r="AC365" s="63">
        <v>6.2</v>
      </c>
      <c r="AD365" s="63">
        <v>6.6</v>
      </c>
      <c r="AE365" s="36">
        <v>0.11</v>
      </c>
      <c r="AF365" s="36">
        <v>0.23</v>
      </c>
      <c r="AG365" s="42">
        <f t="shared" si="115"/>
        <v>1286.2783333333334</v>
      </c>
      <c r="AH365" s="42">
        <f t="shared" si="136"/>
        <v>1902.60122</v>
      </c>
      <c r="AI365" s="42">
        <f t="shared" si="137"/>
        <v>1.4791520394108584</v>
      </c>
      <c r="AJ365" s="57">
        <v>1</v>
      </c>
      <c r="AK365" s="57">
        <v>3</v>
      </c>
      <c r="AL365" s="63">
        <v>6.2</v>
      </c>
      <c r="AM365" s="57">
        <v>25</v>
      </c>
      <c r="AN365" s="63">
        <v>6.2</v>
      </c>
      <c r="AO365" s="63">
        <v>4.7</v>
      </c>
      <c r="AP365" s="36">
        <v>0.17</v>
      </c>
      <c r="AQ365" s="36">
        <v>0.34</v>
      </c>
      <c r="AR365" s="73">
        <f t="shared" si="116"/>
        <v>1268</v>
      </c>
      <c r="AS365" s="75">
        <f t="shared" si="117"/>
        <v>0</v>
      </c>
      <c r="AT365" s="75">
        <f t="shared" si="118"/>
        <v>0.79731861198738174</v>
      </c>
      <c r="AU365" s="75">
        <f t="shared" si="119"/>
        <v>0.20268138801261829</v>
      </c>
      <c r="AV365" s="26">
        <f t="shared" si="120"/>
        <v>6.6719618745035736E-2</v>
      </c>
      <c r="AW365" s="26">
        <f t="shared" si="121"/>
        <v>0.11914217633042096</v>
      </c>
      <c r="AX365" s="26">
        <f t="shared" si="138"/>
        <v>0.74045801526717558</v>
      </c>
      <c r="AY365" s="24">
        <f t="shared" si="139"/>
        <v>0.82442748091603058</v>
      </c>
      <c r="AZ365" s="77" t="str">
        <f t="shared" si="124"/>
        <v>5,0 ≤ Alc. Bruta &lt; 7,5 mg/L</v>
      </c>
      <c r="BA365" s="77" t="str">
        <f t="shared" si="125"/>
        <v>5 ≤ Cor &lt; 10 uC</v>
      </c>
      <c r="BB365" s="78" t="str">
        <f t="shared" si="126"/>
        <v>Turbidez &lt; 2,5 uT</v>
      </c>
      <c r="BC365" s="79" t="str">
        <f t="shared" si="127"/>
        <v>SM &gt; BNN &gt; TOR</v>
      </c>
      <c r="BD365" s="78" t="str">
        <f t="shared" si="128"/>
        <v>Tipo 1 (≤0,25) uT</v>
      </c>
      <c r="BE365" s="78" t="str">
        <f t="shared" si="129"/>
        <v>Tipo 1 (≤0,25) uT</v>
      </c>
      <c r="BF365" s="78" t="str">
        <f t="shared" si="130"/>
        <v>Tipo 1 (≤0,25) uT</v>
      </c>
      <c r="BG365" s="78" t="str">
        <f t="shared" si="131"/>
        <v>Tipo 2 (0,25-0,50) uT</v>
      </c>
      <c r="BH365" s="78" t="str">
        <f t="shared" si="132"/>
        <v>Tipo 1 (≤0,25) uT</v>
      </c>
    </row>
    <row r="366" spans="1:60" x14ac:dyDescent="0.2">
      <c r="A366" s="31">
        <v>46299</v>
      </c>
      <c r="B366" s="80">
        <v>0.14583333333333334</v>
      </c>
      <c r="C366" s="57">
        <v>0</v>
      </c>
      <c r="D366" s="57">
        <v>996</v>
      </c>
      <c r="E366" s="57">
        <v>256</v>
      </c>
      <c r="F366" s="57">
        <v>1302</v>
      </c>
      <c r="G366" s="85" t="s">
        <v>78</v>
      </c>
      <c r="H366" s="63">
        <v>9.4</v>
      </c>
      <c r="I366" s="57">
        <v>35</v>
      </c>
      <c r="J366" s="57">
        <v>90</v>
      </c>
      <c r="K366" s="57">
        <v>90</v>
      </c>
      <c r="L366" s="57">
        <v>90</v>
      </c>
      <c r="M366" s="57">
        <v>24.3</v>
      </c>
      <c r="N366" s="63">
        <v>6.5</v>
      </c>
      <c r="O366" s="36">
        <v>1.28</v>
      </c>
      <c r="P366" s="57">
        <v>8</v>
      </c>
      <c r="Q366" s="63">
        <v>6.6</v>
      </c>
      <c r="R366" s="36">
        <v>0.09</v>
      </c>
      <c r="S366" s="36">
        <v>22.36</v>
      </c>
      <c r="T366" s="36">
        <v>0.88</v>
      </c>
      <c r="U366" s="36">
        <v>0.7</v>
      </c>
      <c r="V366" s="42">
        <f t="shared" si="133"/>
        <v>1985.55</v>
      </c>
      <c r="W366" s="42">
        <f t="shared" si="134"/>
        <v>1533.3012239999998</v>
      </c>
      <c r="X366" s="42">
        <f t="shared" si="135"/>
        <v>0.77222997355896339</v>
      </c>
      <c r="Y366" s="57">
        <v>1</v>
      </c>
      <c r="Z366" s="57">
        <v>2</v>
      </c>
      <c r="AA366" s="63">
        <v>6</v>
      </c>
      <c r="AB366" s="57">
        <v>21</v>
      </c>
      <c r="AC366" s="63">
        <v>6.1</v>
      </c>
      <c r="AD366" s="63">
        <v>6.5</v>
      </c>
      <c r="AE366" s="36">
        <v>0.1</v>
      </c>
      <c r="AF366" s="36">
        <v>0.35</v>
      </c>
      <c r="AG366" s="42">
        <f t="shared" si="115"/>
        <v>1323.6999999999998</v>
      </c>
      <c r="AH366" s="42">
        <f t="shared" si="136"/>
        <v>1902.60122</v>
      </c>
      <c r="AI366" s="42">
        <f t="shared" si="137"/>
        <v>1.4373356651809324</v>
      </c>
      <c r="AJ366" s="57">
        <v>1</v>
      </c>
      <c r="AK366" s="57">
        <v>3</v>
      </c>
      <c r="AL366" s="63">
        <v>6.2</v>
      </c>
      <c r="AM366" s="57">
        <v>25</v>
      </c>
      <c r="AN366" s="63">
        <v>6.2</v>
      </c>
      <c r="AO366" s="63">
        <v>4.5999999999999996</v>
      </c>
      <c r="AP366" s="36">
        <v>0.14000000000000001</v>
      </c>
      <c r="AQ366" s="36">
        <v>0.4</v>
      </c>
      <c r="AR366" s="73">
        <f t="shared" si="116"/>
        <v>1252</v>
      </c>
      <c r="AS366" s="75">
        <f t="shared" si="117"/>
        <v>0</v>
      </c>
      <c r="AT366" s="75">
        <f t="shared" si="118"/>
        <v>0.79552715654952078</v>
      </c>
      <c r="AU366" s="75">
        <f t="shared" si="119"/>
        <v>0.20447284345047922</v>
      </c>
      <c r="AV366" s="26">
        <f t="shared" si="120"/>
        <v>6.4516129032258063E-2</v>
      </c>
      <c r="AW366" s="26">
        <f t="shared" si="121"/>
        <v>0.1152073732718894</v>
      </c>
      <c r="AX366" s="26">
        <f t="shared" si="138"/>
        <v>0.6875</v>
      </c>
      <c r="AY366" s="24">
        <f t="shared" si="139"/>
        <v>0.7265625</v>
      </c>
      <c r="AZ366" s="77" t="str">
        <f t="shared" si="124"/>
        <v>5,0 ≤ Alc. Bruta &lt; 7,5 mg/L</v>
      </c>
      <c r="BA366" s="77" t="str">
        <f t="shared" si="125"/>
        <v>5 ≤ Cor &lt; 10 uC</v>
      </c>
      <c r="BB366" s="78" t="str">
        <f t="shared" si="126"/>
        <v>Turbidez &lt; 2,5 uT</v>
      </c>
      <c r="BC366" s="79" t="str">
        <f t="shared" si="127"/>
        <v>SM &gt; BNN &gt; TOR</v>
      </c>
      <c r="BD366" s="78" t="str">
        <f t="shared" si="128"/>
        <v>Tipo 1 (≤0,25) uT</v>
      </c>
      <c r="BE366" s="78" t="str">
        <f t="shared" si="129"/>
        <v>Tipo 1 (≤0,25) uT</v>
      </c>
      <c r="BF366" s="78" t="str">
        <f t="shared" si="130"/>
        <v>Tipo 2 (0,25-0,50) uT</v>
      </c>
      <c r="BG366" s="78" t="str">
        <f t="shared" si="131"/>
        <v>Tipo 2 (0,25-0,50) uT</v>
      </c>
      <c r="BH366" s="78" t="str">
        <f t="shared" si="132"/>
        <v>Tipo 1 (≤0,25) uT</v>
      </c>
    </row>
    <row r="367" spans="1:60" ht="15.75" thickBot="1" x14ac:dyDescent="0.25">
      <c r="A367" s="32">
        <v>46299</v>
      </c>
      <c r="B367" s="81">
        <v>0.22916666666666666</v>
      </c>
      <c r="C367" s="58">
        <v>0</v>
      </c>
      <c r="D367" s="58">
        <v>996</v>
      </c>
      <c r="E367" s="58">
        <v>256</v>
      </c>
      <c r="F367" s="58">
        <v>1300</v>
      </c>
      <c r="G367" s="86" t="s">
        <v>78</v>
      </c>
      <c r="H367" s="64">
        <v>9.4</v>
      </c>
      <c r="I367" s="58">
        <v>35</v>
      </c>
      <c r="J367" s="58">
        <v>90</v>
      </c>
      <c r="K367" s="58">
        <v>90</v>
      </c>
      <c r="L367" s="58">
        <v>90</v>
      </c>
      <c r="M367" s="58">
        <v>24.7</v>
      </c>
      <c r="N367" s="64">
        <v>6.4</v>
      </c>
      <c r="O367" s="37">
        <v>1.1499999999999999</v>
      </c>
      <c r="P367" s="58">
        <v>8</v>
      </c>
      <c r="Q367" s="64">
        <v>6.5</v>
      </c>
      <c r="R367" s="37">
        <v>7.0000000000000007E-2</v>
      </c>
      <c r="S367" s="36">
        <v>22.36</v>
      </c>
      <c r="T367" s="36">
        <v>0.88</v>
      </c>
      <c r="U367" s="36">
        <v>0.7</v>
      </c>
      <c r="V367" s="42">
        <f t="shared" si="133"/>
        <v>1940.25</v>
      </c>
      <c r="W367" s="42">
        <f t="shared" si="134"/>
        <v>1533.3012239999998</v>
      </c>
      <c r="X367" s="42">
        <f t="shared" si="135"/>
        <v>0.7902596180904522</v>
      </c>
      <c r="Y367" s="58">
        <v>1</v>
      </c>
      <c r="Z367" s="58">
        <v>2</v>
      </c>
      <c r="AA367" s="64">
        <v>6</v>
      </c>
      <c r="AB367" s="58">
        <v>21</v>
      </c>
      <c r="AC367" s="64">
        <v>6.1</v>
      </c>
      <c r="AD367" s="64">
        <v>6.4</v>
      </c>
      <c r="AE367" s="37">
        <v>0.14000000000000001</v>
      </c>
      <c r="AF367" s="37">
        <v>0.2</v>
      </c>
      <c r="AG367" s="42">
        <f t="shared" si="115"/>
        <v>1293.5</v>
      </c>
      <c r="AH367" s="42">
        <f t="shared" si="136"/>
        <v>1902.60122</v>
      </c>
      <c r="AI367" s="42">
        <f t="shared" si="137"/>
        <v>1.4708938693467337</v>
      </c>
      <c r="AJ367" s="58">
        <v>1</v>
      </c>
      <c r="AK367" s="58">
        <v>3</v>
      </c>
      <c r="AL367" s="64">
        <v>6.2</v>
      </c>
      <c r="AM367" s="58">
        <v>25</v>
      </c>
      <c r="AN367" s="64">
        <v>6.1</v>
      </c>
      <c r="AO367" s="64">
        <v>4.8</v>
      </c>
      <c r="AP367" s="37">
        <v>0.1</v>
      </c>
      <c r="AQ367" s="37">
        <v>0.15</v>
      </c>
      <c r="AR367" s="73">
        <f t="shared" si="116"/>
        <v>1252</v>
      </c>
      <c r="AS367" s="75">
        <f t="shared" si="117"/>
        <v>0</v>
      </c>
      <c r="AT367" s="75">
        <f t="shared" si="118"/>
        <v>0.79552715654952078</v>
      </c>
      <c r="AU367" s="75">
        <f t="shared" si="119"/>
        <v>0.20447284345047922</v>
      </c>
      <c r="AV367" s="26">
        <f t="shared" si="120"/>
        <v>6.4615384615384616E-2</v>
      </c>
      <c r="AW367" s="26">
        <f t="shared" si="121"/>
        <v>0.11538461538461539</v>
      </c>
      <c r="AX367" s="26">
        <f t="shared" si="138"/>
        <v>0.86956521739130432</v>
      </c>
      <c r="AY367" s="24">
        <f t="shared" si="139"/>
        <v>0.82608695652173914</v>
      </c>
      <c r="AZ367" s="77" t="str">
        <f t="shared" si="124"/>
        <v>5,0 ≤ Alc. Bruta &lt; 7,5 mg/L</v>
      </c>
      <c r="BA367" s="77" t="str">
        <f t="shared" si="125"/>
        <v>5 ≤ Cor &lt; 10 uC</v>
      </c>
      <c r="BB367" s="78" t="str">
        <f t="shared" si="126"/>
        <v>Turbidez &lt; 2,5 uT</v>
      </c>
      <c r="BC367" s="79" t="str">
        <f t="shared" si="127"/>
        <v>SM &gt; BNN &gt; TOR</v>
      </c>
      <c r="BD367" s="78" t="str">
        <f t="shared" si="128"/>
        <v>Tipo 1 (≤0,25) uT</v>
      </c>
      <c r="BE367" s="78" t="str">
        <f t="shared" si="129"/>
        <v>Tipo 1 (≤0,25) uT</v>
      </c>
      <c r="BF367" s="78" t="str">
        <f t="shared" si="130"/>
        <v>Tipo 1 (≤0,25) uT</v>
      </c>
      <c r="BG367" s="78" t="str">
        <f t="shared" si="131"/>
        <v>Tipo 1 (≤0,25) uT</v>
      </c>
      <c r="BH367" s="78" t="str">
        <f t="shared" si="132"/>
        <v>Tipo 1 (≤0,25) uT</v>
      </c>
    </row>
    <row r="368" spans="1:60" x14ac:dyDescent="0.2">
      <c r="A368" s="30">
        <v>46299</v>
      </c>
      <c r="B368" s="82">
        <v>0.3125</v>
      </c>
      <c r="C368" s="59">
        <v>0</v>
      </c>
      <c r="D368" s="59">
        <v>1002</v>
      </c>
      <c r="E368" s="59">
        <v>258</v>
      </c>
      <c r="F368" s="59">
        <v>1295</v>
      </c>
      <c r="G368" s="87" t="s">
        <v>78</v>
      </c>
      <c r="H368" s="65">
        <v>9.4</v>
      </c>
      <c r="I368" s="59">
        <v>34</v>
      </c>
      <c r="J368" s="59">
        <v>90</v>
      </c>
      <c r="K368" s="59">
        <v>90</v>
      </c>
      <c r="L368" s="59">
        <v>90</v>
      </c>
      <c r="M368" s="59">
        <v>24.6</v>
      </c>
      <c r="N368" s="65">
        <v>6.5</v>
      </c>
      <c r="O368" s="38">
        <v>1.04</v>
      </c>
      <c r="P368" s="59">
        <v>6</v>
      </c>
      <c r="Q368" s="65">
        <v>6.4</v>
      </c>
      <c r="R368" s="38">
        <v>7.0000000000000007E-2</v>
      </c>
      <c r="S368" s="36">
        <v>22.36</v>
      </c>
      <c r="T368" s="36">
        <v>0.88</v>
      </c>
      <c r="U368" s="36">
        <v>0.7</v>
      </c>
      <c r="V368" s="42">
        <f t="shared" si="133"/>
        <v>1897.1749999999997</v>
      </c>
      <c r="W368" s="42">
        <f t="shared" si="134"/>
        <v>1533.3012239999998</v>
      </c>
      <c r="X368" s="42">
        <f t="shared" si="135"/>
        <v>0.8082023134397196</v>
      </c>
      <c r="Y368" s="59">
        <v>1</v>
      </c>
      <c r="Z368" s="59">
        <v>2</v>
      </c>
      <c r="AA368" s="65">
        <v>6</v>
      </c>
      <c r="AB368" s="59">
        <v>21</v>
      </c>
      <c r="AC368" s="65">
        <v>6.4</v>
      </c>
      <c r="AD368" s="65">
        <v>6.3</v>
      </c>
      <c r="AE368" s="38">
        <v>0.12</v>
      </c>
      <c r="AF368" s="38">
        <v>0.19</v>
      </c>
      <c r="AG368" s="42">
        <f t="shared" si="115"/>
        <v>1264.7833333333333</v>
      </c>
      <c r="AH368" s="42">
        <f t="shared" si="136"/>
        <v>1902.60122</v>
      </c>
      <c r="AI368" s="42">
        <f t="shared" si="137"/>
        <v>1.504290236799452</v>
      </c>
      <c r="AJ368" s="59">
        <v>1</v>
      </c>
      <c r="AK368" s="59">
        <v>3</v>
      </c>
      <c r="AL368" s="65">
        <v>6.2</v>
      </c>
      <c r="AM368" s="59">
        <v>25</v>
      </c>
      <c r="AN368" s="65">
        <v>6.2</v>
      </c>
      <c r="AO368" s="65">
        <v>6.4</v>
      </c>
      <c r="AP368" s="38">
        <v>0.1</v>
      </c>
      <c r="AQ368" s="90">
        <v>0.14000000000000001</v>
      </c>
      <c r="AR368" s="73">
        <f t="shared" si="116"/>
        <v>1260</v>
      </c>
      <c r="AS368" s="75">
        <f t="shared" si="117"/>
        <v>0</v>
      </c>
      <c r="AT368" s="75">
        <f t="shared" si="118"/>
        <v>0.79523809523809519</v>
      </c>
      <c r="AU368" s="75">
        <f t="shared" si="119"/>
        <v>0.20476190476190476</v>
      </c>
      <c r="AV368" s="26">
        <f t="shared" si="120"/>
        <v>6.4864864864864868E-2</v>
      </c>
      <c r="AW368" s="26">
        <f t="shared" si="121"/>
        <v>0.11583011583011582</v>
      </c>
      <c r="AX368" s="26">
        <f t="shared" si="138"/>
        <v>0.86538461538461542</v>
      </c>
      <c r="AY368" s="24">
        <f t="shared" si="139"/>
        <v>0.81730769230769229</v>
      </c>
      <c r="AZ368" s="77" t="str">
        <f t="shared" si="124"/>
        <v>5,0 ≤ Alc. Bruta &lt; 7,5 mg/L</v>
      </c>
      <c r="BA368" s="77" t="str">
        <f t="shared" si="125"/>
        <v>5 ≤ Cor &lt; 10 uC</v>
      </c>
      <c r="BB368" s="78" t="str">
        <f t="shared" si="126"/>
        <v>Turbidez &lt; 2,5 uT</v>
      </c>
      <c r="BC368" s="79" t="str">
        <f t="shared" si="127"/>
        <v>SM &gt; BNN &gt; TOR</v>
      </c>
      <c r="BD368" s="78" t="str">
        <f t="shared" si="128"/>
        <v>Tipo 1 (≤0,25) uT</v>
      </c>
      <c r="BE368" s="78" t="str">
        <f t="shared" si="129"/>
        <v>Tipo 1 (≤0,25) uT</v>
      </c>
      <c r="BF368" s="78" t="str">
        <f t="shared" si="130"/>
        <v>Tipo 1 (≤0,25) uT</v>
      </c>
      <c r="BG368" s="78" t="str">
        <f t="shared" si="131"/>
        <v>Tipo 1 (≤0,25) uT</v>
      </c>
      <c r="BH368" s="78" t="str">
        <f t="shared" si="132"/>
        <v>Tipo 1 (≤0,25) uT</v>
      </c>
    </row>
    <row r="369" spans="1:60" x14ac:dyDescent="0.2">
      <c r="A369" s="31">
        <v>46299</v>
      </c>
      <c r="B369" s="80">
        <v>0.39583333333333331</v>
      </c>
      <c r="C369" s="57">
        <v>601</v>
      </c>
      <c r="D369" s="57">
        <v>959</v>
      </c>
      <c r="E369" s="57">
        <v>250</v>
      </c>
      <c r="F369" s="57">
        <v>1808</v>
      </c>
      <c r="G369" s="85" t="s">
        <v>78</v>
      </c>
      <c r="H369" s="63">
        <v>9.4</v>
      </c>
      <c r="I369" s="57">
        <v>37</v>
      </c>
      <c r="J369" s="57">
        <v>90</v>
      </c>
      <c r="K369" s="57">
        <v>90</v>
      </c>
      <c r="L369" s="57">
        <v>90</v>
      </c>
      <c r="M369" s="57">
        <v>25.1</v>
      </c>
      <c r="N369" s="63">
        <v>6.6</v>
      </c>
      <c r="O369" s="36">
        <v>1.0900000000000001</v>
      </c>
      <c r="P369" s="57">
        <v>6</v>
      </c>
      <c r="Q369" s="63">
        <v>8.6999999999999993</v>
      </c>
      <c r="R369" s="36">
        <v>7.0000000000000007E-2</v>
      </c>
      <c r="S369" s="36">
        <v>22.36</v>
      </c>
      <c r="T369" s="36">
        <v>0.88</v>
      </c>
      <c r="U369" s="36">
        <v>0.7</v>
      </c>
      <c r="V369" s="42">
        <f t="shared" si="133"/>
        <v>1335.66</v>
      </c>
      <c r="W369" s="42">
        <f t="shared" si="134"/>
        <v>1273.7660208</v>
      </c>
      <c r="X369" s="42">
        <f t="shared" si="135"/>
        <v>0.95366037823997118</v>
      </c>
      <c r="Y369" s="57">
        <v>2</v>
      </c>
      <c r="Z369" s="57">
        <v>4</v>
      </c>
      <c r="AA369" s="63">
        <v>5.2</v>
      </c>
      <c r="AB369" s="57">
        <v>21</v>
      </c>
      <c r="AC369" s="63">
        <v>6.2</v>
      </c>
      <c r="AD369" s="63">
        <v>7.5</v>
      </c>
      <c r="AE369" s="36">
        <v>0.1</v>
      </c>
      <c r="AF369" s="36">
        <v>0.14000000000000001</v>
      </c>
      <c r="AG369" s="42">
        <f t="shared" si="115"/>
        <v>1335.66</v>
      </c>
      <c r="AH369" s="42">
        <f t="shared" si="136"/>
        <v>1900.6500864</v>
      </c>
      <c r="AI369" s="42">
        <f t="shared" si="137"/>
        <v>1.4230044220834643</v>
      </c>
      <c r="AJ369" s="57">
        <v>2</v>
      </c>
      <c r="AK369" s="57">
        <v>4</v>
      </c>
      <c r="AL369" s="63">
        <v>6.4</v>
      </c>
      <c r="AM369" s="57">
        <v>24</v>
      </c>
      <c r="AN369" s="63">
        <v>6.2</v>
      </c>
      <c r="AO369" s="63">
        <v>7.1</v>
      </c>
      <c r="AP369" s="36">
        <v>0.13</v>
      </c>
      <c r="AQ369" s="90">
        <v>0.17</v>
      </c>
      <c r="AR369" s="73">
        <f t="shared" si="116"/>
        <v>1810</v>
      </c>
      <c r="AS369" s="75">
        <f t="shared" si="117"/>
        <v>0.33204419889502762</v>
      </c>
      <c r="AT369" s="75">
        <f t="shared" si="118"/>
        <v>0.52983425414364638</v>
      </c>
      <c r="AU369" s="75">
        <f t="shared" si="119"/>
        <v>0.13812154696132597</v>
      </c>
      <c r="AV369" s="26">
        <f t="shared" si="120"/>
        <v>9.2920353982300891E-2</v>
      </c>
      <c r="AW369" s="26">
        <f t="shared" si="121"/>
        <v>0.10619469026548672</v>
      </c>
      <c r="AX369" s="26">
        <f t="shared" si="138"/>
        <v>0.84403669724770647</v>
      </c>
      <c r="AY369" s="24">
        <f t="shared" si="139"/>
        <v>0.87155963302752293</v>
      </c>
      <c r="AZ369" s="77" t="str">
        <f t="shared" si="124"/>
        <v>7,5 ≤ Alc. Bruta &lt; 10,0 mg/L</v>
      </c>
      <c r="BA369" s="77" t="str">
        <f t="shared" si="125"/>
        <v>5 ≤ Cor &lt; 10 uC</v>
      </c>
      <c r="BB369" s="78" t="str">
        <f t="shared" si="126"/>
        <v>Turbidez &lt; 2,5 uT</v>
      </c>
      <c r="BC369" s="79" t="str">
        <f t="shared" si="127"/>
        <v>SM &gt; TOR &gt; BNN</v>
      </c>
      <c r="BD369" s="78" t="str">
        <f t="shared" si="128"/>
        <v>Tipo 1 (≤0,25) uT</v>
      </c>
      <c r="BE369" s="78" t="str">
        <f t="shared" si="129"/>
        <v>Tipo 1 (≤0,25) uT</v>
      </c>
      <c r="BF369" s="78" t="str">
        <f t="shared" si="130"/>
        <v>Tipo 1 (≤0,25) uT</v>
      </c>
      <c r="BG369" s="78" t="str">
        <f t="shared" si="131"/>
        <v>Tipo 1 (≤0,25) uT</v>
      </c>
      <c r="BH369" s="78" t="str">
        <f t="shared" si="132"/>
        <v>Tipo 1 (≤0,25) uT</v>
      </c>
    </row>
    <row r="370" spans="1:60" x14ac:dyDescent="0.2">
      <c r="A370" s="31">
        <v>46299</v>
      </c>
      <c r="B370" s="80">
        <v>0.5625</v>
      </c>
      <c r="C370" s="57">
        <v>600</v>
      </c>
      <c r="D370" s="57">
        <v>963</v>
      </c>
      <c r="E370" s="57">
        <v>250</v>
      </c>
      <c r="F370" s="57">
        <v>1736</v>
      </c>
      <c r="G370" s="85" t="s">
        <v>78</v>
      </c>
      <c r="H370" s="63">
        <v>9.4</v>
      </c>
      <c r="I370" s="57">
        <v>39</v>
      </c>
      <c r="J370" s="57">
        <v>90</v>
      </c>
      <c r="K370" s="57">
        <v>90</v>
      </c>
      <c r="L370" s="57">
        <v>90</v>
      </c>
      <c r="M370" s="57">
        <v>25.6</v>
      </c>
      <c r="N370" s="63">
        <v>6.5</v>
      </c>
      <c r="O370" s="36">
        <v>2.14</v>
      </c>
      <c r="P370" s="57">
        <v>13</v>
      </c>
      <c r="Q370" s="63">
        <v>8.9</v>
      </c>
      <c r="R370" s="36">
        <v>0.1</v>
      </c>
      <c r="S370" s="36">
        <v>22.36</v>
      </c>
      <c r="T370" s="36">
        <v>0.88</v>
      </c>
      <c r="U370" s="36">
        <v>0.7</v>
      </c>
      <c r="V370" s="42">
        <f t="shared" si="133"/>
        <v>1510.32</v>
      </c>
      <c r="W370" s="42">
        <f t="shared" si="134"/>
        <v>1273.7660208</v>
      </c>
      <c r="X370" s="42">
        <f t="shared" si="135"/>
        <v>0.8433749276974416</v>
      </c>
      <c r="Y370" s="57">
        <v>2</v>
      </c>
      <c r="Z370" s="57">
        <v>4</v>
      </c>
      <c r="AA370" s="63">
        <v>5.2</v>
      </c>
      <c r="AB370" s="57">
        <v>21</v>
      </c>
      <c r="AC370" s="63">
        <v>6.1</v>
      </c>
      <c r="AD370" s="63">
        <v>5.7</v>
      </c>
      <c r="AE370" s="36">
        <v>0.11</v>
      </c>
      <c r="AF370" s="36">
        <v>0.18</v>
      </c>
      <c r="AG370" s="42">
        <f t="shared" si="115"/>
        <v>1510.32</v>
      </c>
      <c r="AH370" s="42">
        <f t="shared" si="136"/>
        <v>1900.6500864</v>
      </c>
      <c r="AI370" s="42">
        <f t="shared" si="137"/>
        <v>1.2584419767996187</v>
      </c>
      <c r="AJ370" s="57">
        <v>2</v>
      </c>
      <c r="AK370" s="57">
        <v>4</v>
      </c>
      <c r="AL370" s="63">
        <v>6.4</v>
      </c>
      <c r="AM370" s="57">
        <v>24</v>
      </c>
      <c r="AN370" s="63">
        <v>6</v>
      </c>
      <c r="AO370" s="63">
        <v>5.8</v>
      </c>
      <c r="AP370" s="36">
        <v>0.22</v>
      </c>
      <c r="AQ370" s="90">
        <v>0.3</v>
      </c>
      <c r="AR370" s="73">
        <f t="shared" si="116"/>
        <v>1813</v>
      </c>
      <c r="AS370" s="75">
        <f t="shared" si="117"/>
        <v>0.33094318808604523</v>
      </c>
      <c r="AT370" s="75">
        <f t="shared" si="118"/>
        <v>0.53116381687810255</v>
      </c>
      <c r="AU370" s="75">
        <f t="shared" si="119"/>
        <v>0.13789299503585217</v>
      </c>
      <c r="AV370" s="26">
        <f t="shared" si="120"/>
        <v>9.6774193548387094E-2</v>
      </c>
      <c r="AW370" s="26">
        <f t="shared" si="121"/>
        <v>0.11059907834101383</v>
      </c>
      <c r="AX370" s="26">
        <f t="shared" si="138"/>
        <v>0.85981308411214952</v>
      </c>
      <c r="AY370" s="24">
        <f t="shared" si="139"/>
        <v>0.91588785046728971</v>
      </c>
      <c r="AZ370" s="77" t="str">
        <f t="shared" si="124"/>
        <v>7,5 ≤ Alc. Bruta &lt; 10,0 mg/L</v>
      </c>
      <c r="BA370" s="77" t="str">
        <f t="shared" si="125"/>
        <v>10 ≤ Cor &lt;15 uC</v>
      </c>
      <c r="BB370" s="78" t="str">
        <f t="shared" si="126"/>
        <v>Turbidez &lt; 2,5 uT</v>
      </c>
      <c r="BC370" s="79" t="str">
        <f t="shared" si="127"/>
        <v>SM &gt; TOR &gt; BNN</v>
      </c>
      <c r="BD370" s="78" t="str">
        <f t="shared" si="128"/>
        <v>Tipo 1 (≤0,25) uT</v>
      </c>
      <c r="BE370" s="78" t="str">
        <f t="shared" si="129"/>
        <v>Tipo 1 (≤0,25) uT</v>
      </c>
      <c r="BF370" s="78" t="str">
        <f t="shared" si="130"/>
        <v>Tipo 1 (≤0,25) uT</v>
      </c>
      <c r="BG370" s="78" t="str">
        <f t="shared" si="131"/>
        <v>Tipo 2 (0,25-0,50) uT</v>
      </c>
      <c r="BH370" s="78" t="str">
        <f t="shared" si="132"/>
        <v>Tipo 1 (≤0,25) uT</v>
      </c>
    </row>
    <row r="371" spans="1:60" x14ac:dyDescent="0.2">
      <c r="A371" s="31">
        <v>46299</v>
      </c>
      <c r="B371" s="80">
        <v>0.64583333333333337</v>
      </c>
      <c r="C371" s="57">
        <v>600</v>
      </c>
      <c r="D371" s="57">
        <v>961</v>
      </c>
      <c r="E371" s="57">
        <v>250</v>
      </c>
      <c r="F371" s="57">
        <v>1791</v>
      </c>
      <c r="G371" s="85" t="s">
        <v>78</v>
      </c>
      <c r="H371" s="63">
        <v>9</v>
      </c>
      <c r="I371" s="57">
        <v>41</v>
      </c>
      <c r="J371" s="57">
        <v>90</v>
      </c>
      <c r="K371" s="57">
        <v>90</v>
      </c>
      <c r="L371" s="57">
        <v>90</v>
      </c>
      <c r="M371" s="57">
        <v>25.6</v>
      </c>
      <c r="N371" s="63">
        <v>6.4</v>
      </c>
      <c r="O371" s="36">
        <v>1.7</v>
      </c>
      <c r="P371" s="57">
        <v>14</v>
      </c>
      <c r="Q371" s="63">
        <v>8.1</v>
      </c>
      <c r="R371" s="36">
        <v>0.11</v>
      </c>
      <c r="S371" s="36">
        <v>22.36</v>
      </c>
      <c r="T371" s="36">
        <v>0.88</v>
      </c>
      <c r="U371" s="36">
        <v>0.7</v>
      </c>
      <c r="V371" s="42">
        <f t="shared" si="133"/>
        <v>1432.8</v>
      </c>
      <c r="W371" s="42">
        <f t="shared" si="134"/>
        <v>1273.7660208</v>
      </c>
      <c r="X371" s="42">
        <f t="shared" si="135"/>
        <v>0.88900476046901178</v>
      </c>
      <c r="Y371" s="57">
        <v>2</v>
      </c>
      <c r="Z371" s="57">
        <v>4</v>
      </c>
      <c r="AA371" s="63">
        <v>5.2</v>
      </c>
      <c r="AB371" s="57">
        <v>21</v>
      </c>
      <c r="AC371" s="63">
        <v>6.1</v>
      </c>
      <c r="AD371" s="63">
        <v>5.4</v>
      </c>
      <c r="AE371" s="36">
        <v>0.12</v>
      </c>
      <c r="AF371" s="36">
        <v>0.19</v>
      </c>
      <c r="AG371" s="42">
        <f t="shared" si="115"/>
        <v>1432.8</v>
      </c>
      <c r="AH371" s="42">
        <f t="shared" si="136"/>
        <v>1900.6500864</v>
      </c>
      <c r="AI371" s="42">
        <f t="shared" si="137"/>
        <v>1.3265285360134003</v>
      </c>
      <c r="AJ371" s="57">
        <v>2</v>
      </c>
      <c r="AK371" s="57">
        <v>4</v>
      </c>
      <c r="AL371" s="63">
        <v>6.4</v>
      </c>
      <c r="AM371" s="57">
        <v>24</v>
      </c>
      <c r="AN371" s="63">
        <v>6.1</v>
      </c>
      <c r="AO371" s="63">
        <v>5.3</v>
      </c>
      <c r="AP371" s="36">
        <v>0.16</v>
      </c>
      <c r="AQ371" s="90">
        <v>0.33</v>
      </c>
      <c r="AR371" s="73">
        <f t="shared" si="116"/>
        <v>1811</v>
      </c>
      <c r="AS371" s="75">
        <f t="shared" si="117"/>
        <v>0.33130866924351188</v>
      </c>
      <c r="AT371" s="75">
        <f t="shared" si="118"/>
        <v>0.5306460519050249</v>
      </c>
      <c r="AU371" s="75">
        <f t="shared" si="119"/>
        <v>0.13804527885146328</v>
      </c>
      <c r="AV371" s="26">
        <f t="shared" si="120"/>
        <v>9.380234505862646E-2</v>
      </c>
      <c r="AW371" s="26">
        <f t="shared" si="121"/>
        <v>0.10720268006700168</v>
      </c>
      <c r="AX371" s="26">
        <f t="shared" si="138"/>
        <v>0.80588235294117649</v>
      </c>
      <c r="AY371" s="24">
        <f t="shared" si="139"/>
        <v>0.88823529411764701</v>
      </c>
      <c r="AZ371" s="77" t="str">
        <f t="shared" si="124"/>
        <v>7,5 ≤ Alc. Bruta &lt; 10,0 mg/L</v>
      </c>
      <c r="BA371" s="77" t="str">
        <f t="shared" si="125"/>
        <v>10 ≤ Cor &lt;15 uC</v>
      </c>
      <c r="BB371" s="78" t="str">
        <f t="shared" si="126"/>
        <v>Turbidez &lt; 2,5 uT</v>
      </c>
      <c r="BC371" s="79" t="str">
        <f t="shared" si="127"/>
        <v>SM &gt; TOR &gt; BNN</v>
      </c>
      <c r="BD371" s="78" t="str">
        <f t="shared" si="128"/>
        <v>Tipo 1 (≤0,25) uT</v>
      </c>
      <c r="BE371" s="78" t="str">
        <f t="shared" si="129"/>
        <v>Tipo 1 (≤0,25) uT</v>
      </c>
      <c r="BF371" s="78" t="str">
        <f t="shared" si="130"/>
        <v>Tipo 1 (≤0,25) uT</v>
      </c>
      <c r="BG371" s="78" t="str">
        <f t="shared" si="131"/>
        <v>Tipo 2 (0,25-0,50) uT</v>
      </c>
      <c r="BH371" s="78" t="str">
        <f t="shared" si="132"/>
        <v>Tipo 1 (≤0,25) uT</v>
      </c>
    </row>
    <row r="372" spans="1:60" x14ac:dyDescent="0.2">
      <c r="A372" s="31">
        <v>46299</v>
      </c>
      <c r="B372" s="80">
        <v>0.72916666666666663</v>
      </c>
      <c r="C372" s="57">
        <v>600</v>
      </c>
      <c r="D372" s="57">
        <v>987</v>
      </c>
      <c r="E372" s="57">
        <v>200</v>
      </c>
      <c r="F372" s="57">
        <v>1807</v>
      </c>
      <c r="G372" s="85" t="s">
        <v>78</v>
      </c>
      <c r="H372" s="63">
        <v>9</v>
      </c>
      <c r="I372" s="57">
        <v>37</v>
      </c>
      <c r="J372" s="57">
        <v>90</v>
      </c>
      <c r="K372" s="57">
        <v>90</v>
      </c>
      <c r="L372" s="57">
        <v>90</v>
      </c>
      <c r="M372" s="57">
        <v>25.8</v>
      </c>
      <c r="N372" s="63">
        <v>6.5</v>
      </c>
      <c r="O372" s="36">
        <v>1.64</v>
      </c>
      <c r="P372" s="57">
        <v>14</v>
      </c>
      <c r="Q372" s="63">
        <v>7.6</v>
      </c>
      <c r="R372" s="36">
        <v>0.08</v>
      </c>
      <c r="S372" s="36">
        <v>22.36</v>
      </c>
      <c r="T372" s="36">
        <v>0.88</v>
      </c>
      <c r="U372" s="36">
        <v>0.7</v>
      </c>
      <c r="V372" s="42">
        <f t="shared" si="133"/>
        <v>1432.0474999999999</v>
      </c>
      <c r="W372" s="42">
        <f t="shared" si="134"/>
        <v>1273.7660208</v>
      </c>
      <c r="X372" s="42">
        <f t="shared" si="135"/>
        <v>0.88947190704218959</v>
      </c>
      <c r="Y372" s="57">
        <v>2</v>
      </c>
      <c r="Z372" s="57">
        <v>4</v>
      </c>
      <c r="AA372" s="63">
        <v>5.2</v>
      </c>
      <c r="AB372" s="57">
        <v>21</v>
      </c>
      <c r="AC372" s="63">
        <v>6.1</v>
      </c>
      <c r="AD372" s="63">
        <v>5.3</v>
      </c>
      <c r="AE372" s="36">
        <v>0.11</v>
      </c>
      <c r="AF372" s="36">
        <v>0.31</v>
      </c>
      <c r="AG372" s="42">
        <f t="shared" si="115"/>
        <v>1432.0474999999999</v>
      </c>
      <c r="AH372" s="42">
        <f t="shared" si="136"/>
        <v>1900.6500864</v>
      </c>
      <c r="AI372" s="42">
        <f t="shared" si="137"/>
        <v>1.3272255888160136</v>
      </c>
      <c r="AJ372" s="57">
        <v>2</v>
      </c>
      <c r="AK372" s="57">
        <v>4</v>
      </c>
      <c r="AL372" s="63">
        <v>6.4</v>
      </c>
      <c r="AM372" s="57">
        <v>24</v>
      </c>
      <c r="AN372" s="63">
        <v>6.1</v>
      </c>
      <c r="AO372" s="63">
        <v>5</v>
      </c>
      <c r="AP372" s="36">
        <v>0.15</v>
      </c>
      <c r="AQ372" s="90">
        <v>0.33</v>
      </c>
      <c r="AR372" s="73">
        <f t="shared" si="116"/>
        <v>1787</v>
      </c>
      <c r="AS372" s="75">
        <f t="shared" si="117"/>
        <v>0.33575825405707893</v>
      </c>
      <c r="AT372" s="75">
        <f t="shared" si="118"/>
        <v>0.5523223279238948</v>
      </c>
      <c r="AU372" s="75">
        <f t="shared" si="119"/>
        <v>0.1119194180190263</v>
      </c>
      <c r="AV372" s="26">
        <f t="shared" si="120"/>
        <v>9.2971776425013836E-2</v>
      </c>
      <c r="AW372" s="26">
        <f t="shared" si="121"/>
        <v>0.10625345877144439</v>
      </c>
      <c r="AX372" s="26">
        <f t="shared" si="138"/>
        <v>0.79878048780487809</v>
      </c>
      <c r="AY372" s="24">
        <f t="shared" si="139"/>
        <v>0.81097560975609762</v>
      </c>
      <c r="AZ372" s="77" t="str">
        <f t="shared" si="124"/>
        <v>7,5 ≤ Alc. Bruta &lt; 10,0 mg/L</v>
      </c>
      <c r="BA372" s="77" t="str">
        <f t="shared" si="125"/>
        <v>10 ≤ Cor &lt;15 uC</v>
      </c>
      <c r="BB372" s="78" t="str">
        <f t="shared" si="126"/>
        <v>Turbidez &lt; 2,5 uT</v>
      </c>
      <c r="BC372" s="79" t="str">
        <f t="shared" si="127"/>
        <v>SM &gt; TOR &gt; BNN</v>
      </c>
      <c r="BD372" s="78" t="str">
        <f t="shared" si="128"/>
        <v>Tipo 1 (≤0,25) uT</v>
      </c>
      <c r="BE372" s="78" t="str">
        <f t="shared" si="129"/>
        <v>Tipo 1 (≤0,25) uT</v>
      </c>
      <c r="BF372" s="78" t="str">
        <f t="shared" si="130"/>
        <v>Tipo 2 (0,25-0,50) uT</v>
      </c>
      <c r="BG372" s="78" t="str">
        <f t="shared" si="131"/>
        <v>Tipo 2 (0,25-0,50) uT</v>
      </c>
      <c r="BH372" s="78" t="str">
        <f t="shared" si="132"/>
        <v>Tipo 1 (≤0,25) uT</v>
      </c>
    </row>
    <row r="373" spans="1:60" x14ac:dyDescent="0.2">
      <c r="A373" s="31">
        <v>46299</v>
      </c>
      <c r="B373" s="80">
        <v>0.8125</v>
      </c>
      <c r="C373" s="57">
        <v>600</v>
      </c>
      <c r="D373" s="57">
        <v>914</v>
      </c>
      <c r="E373" s="57">
        <v>250</v>
      </c>
      <c r="F373" s="57">
        <v>1780</v>
      </c>
      <c r="G373" s="85" t="s">
        <v>78</v>
      </c>
      <c r="H373" s="63">
        <v>9</v>
      </c>
      <c r="I373" s="57">
        <v>36</v>
      </c>
      <c r="J373" s="57">
        <v>90</v>
      </c>
      <c r="K373" s="57">
        <v>90</v>
      </c>
      <c r="L373" s="57">
        <v>90</v>
      </c>
      <c r="M373" s="57">
        <v>24.4</v>
      </c>
      <c r="N373" s="63">
        <v>6.6</v>
      </c>
      <c r="O373" s="36">
        <v>1.86</v>
      </c>
      <c r="P373" s="57">
        <v>13</v>
      </c>
      <c r="Q373" s="63">
        <v>6.1</v>
      </c>
      <c r="R373" s="36">
        <v>0.08</v>
      </c>
      <c r="S373" s="36">
        <v>22.36</v>
      </c>
      <c r="T373" s="36">
        <v>0.88</v>
      </c>
      <c r="U373" s="36">
        <v>0.7</v>
      </c>
      <c r="V373" s="42">
        <f t="shared" si="133"/>
        <v>1946.1333333333334</v>
      </c>
      <c r="W373" s="42">
        <f t="shared" si="134"/>
        <v>1534.0335140000002</v>
      </c>
      <c r="X373" s="42">
        <f t="shared" si="135"/>
        <v>0.78824687277336258</v>
      </c>
      <c r="Y373" s="57">
        <v>2</v>
      </c>
      <c r="Z373" s="57">
        <v>3</v>
      </c>
      <c r="AA373" s="63">
        <v>6.5</v>
      </c>
      <c r="AB373" s="57">
        <v>19</v>
      </c>
      <c r="AC373" s="63">
        <v>6.2</v>
      </c>
      <c r="AD373" s="63">
        <v>4.7</v>
      </c>
      <c r="AE373" s="36">
        <v>0.25</v>
      </c>
      <c r="AF373" s="36">
        <v>0.34</v>
      </c>
      <c r="AG373" s="42">
        <f t="shared" si="115"/>
        <v>1459.6</v>
      </c>
      <c r="AH373" s="42">
        <f t="shared" si="136"/>
        <v>1979.8438399999998</v>
      </c>
      <c r="AI373" s="42">
        <f t="shared" si="137"/>
        <v>1.3564290490545354</v>
      </c>
      <c r="AJ373" s="57">
        <v>2</v>
      </c>
      <c r="AK373" s="57">
        <v>4</v>
      </c>
      <c r="AL373" s="63">
        <v>6.4</v>
      </c>
      <c r="AM373" s="57">
        <v>25</v>
      </c>
      <c r="AN373" s="63">
        <v>6.1</v>
      </c>
      <c r="AO373" s="63">
        <v>4.5999999999999996</v>
      </c>
      <c r="AP373" s="36">
        <v>0.2</v>
      </c>
      <c r="AQ373" s="90">
        <v>0.35</v>
      </c>
      <c r="AR373" s="73">
        <f t="shared" si="116"/>
        <v>1764</v>
      </c>
      <c r="AS373" s="75">
        <f t="shared" si="117"/>
        <v>0.3401360544217687</v>
      </c>
      <c r="AT373" s="75">
        <f t="shared" si="118"/>
        <v>0.51814058956916098</v>
      </c>
      <c r="AU373" s="75">
        <f t="shared" si="119"/>
        <v>0.14172335600907029</v>
      </c>
      <c r="AV373" s="26">
        <f t="shared" si="120"/>
        <v>6.4044943820224715E-2</v>
      </c>
      <c r="AW373" s="26">
        <f t="shared" si="121"/>
        <v>0.11235955056179775</v>
      </c>
      <c r="AX373" s="26">
        <f t="shared" si="138"/>
        <v>0.81182795698924737</v>
      </c>
      <c r="AY373" s="24">
        <f t="shared" si="139"/>
        <v>0.81720430107526876</v>
      </c>
      <c r="AZ373" s="77" t="str">
        <f t="shared" si="124"/>
        <v>5,0 ≤ Alc. Bruta &lt; 7,5 mg/L</v>
      </c>
      <c r="BA373" s="77" t="str">
        <f t="shared" si="125"/>
        <v>10 ≤ Cor &lt;15 uC</v>
      </c>
      <c r="BB373" s="78" t="str">
        <f t="shared" si="126"/>
        <v>Turbidez &lt; 2,5 uT</v>
      </c>
      <c r="BC373" s="79" t="str">
        <f t="shared" si="127"/>
        <v>SM &gt; TOR &gt; BNN</v>
      </c>
      <c r="BD373" s="78" t="str">
        <f t="shared" si="128"/>
        <v>Tipo 1 (≤0,25) uT</v>
      </c>
      <c r="BE373" s="78" t="str">
        <f t="shared" si="129"/>
        <v>Tipo 1 (≤0,25) uT</v>
      </c>
      <c r="BF373" s="78" t="str">
        <f t="shared" si="130"/>
        <v>Tipo 2 (0,25-0,50) uT</v>
      </c>
      <c r="BG373" s="78" t="str">
        <f t="shared" si="131"/>
        <v>Tipo 2 (0,25-0,50) uT</v>
      </c>
      <c r="BH373" s="78" t="str">
        <f t="shared" si="132"/>
        <v>Tipo 1 (≤0,25) uT</v>
      </c>
    </row>
    <row r="374" spans="1:60" x14ac:dyDescent="0.2">
      <c r="A374" s="31">
        <v>46299</v>
      </c>
      <c r="B374" s="80">
        <v>0.89583333333333337</v>
      </c>
      <c r="C374" s="57">
        <v>602</v>
      </c>
      <c r="D374" s="57">
        <v>914</v>
      </c>
      <c r="E374" s="57">
        <v>249</v>
      </c>
      <c r="F374" s="57">
        <v>1775</v>
      </c>
      <c r="G374" s="85" t="s">
        <v>78</v>
      </c>
      <c r="H374" s="63">
        <v>9</v>
      </c>
      <c r="I374" s="57">
        <v>35</v>
      </c>
      <c r="J374" s="57">
        <v>90</v>
      </c>
      <c r="K374" s="57">
        <v>90</v>
      </c>
      <c r="L374" s="57">
        <v>90</v>
      </c>
      <c r="M374" s="57">
        <v>25.1</v>
      </c>
      <c r="N374" s="63">
        <v>6.4</v>
      </c>
      <c r="O374" s="36">
        <v>1.76</v>
      </c>
      <c r="P374" s="57">
        <v>12</v>
      </c>
      <c r="Q374" s="63">
        <v>6.3</v>
      </c>
      <c r="R374" s="36">
        <v>7.0000000000000007E-2</v>
      </c>
      <c r="S374" s="36">
        <v>22.36</v>
      </c>
      <c r="T374" s="36">
        <v>0.88</v>
      </c>
      <c r="U374" s="36">
        <v>0.7</v>
      </c>
      <c r="V374" s="42">
        <f t="shared" si="133"/>
        <v>1911.0833333333333</v>
      </c>
      <c r="W374" s="42">
        <f t="shared" si="134"/>
        <v>1534.0335140000002</v>
      </c>
      <c r="X374" s="42">
        <f t="shared" si="135"/>
        <v>0.8027036222038112</v>
      </c>
      <c r="Y374" s="57">
        <v>2</v>
      </c>
      <c r="Z374" s="57">
        <v>3</v>
      </c>
      <c r="AA374" s="63">
        <v>6.5</v>
      </c>
      <c r="AB374" s="57">
        <v>19</v>
      </c>
      <c r="AC374" s="63">
        <v>6.2</v>
      </c>
      <c r="AD374" s="63">
        <v>4.5999999999999996</v>
      </c>
      <c r="AE374" s="36">
        <v>0.17</v>
      </c>
      <c r="AF374" s="36">
        <v>0.35</v>
      </c>
      <c r="AG374" s="42">
        <f t="shared" si="115"/>
        <v>1433.3125</v>
      </c>
      <c r="AH374" s="42">
        <f t="shared" si="136"/>
        <v>1979.8438399999998</v>
      </c>
      <c r="AI374" s="42">
        <f t="shared" si="137"/>
        <v>1.381306477129028</v>
      </c>
      <c r="AJ374" s="57">
        <v>2</v>
      </c>
      <c r="AK374" s="57">
        <v>4</v>
      </c>
      <c r="AL374" s="63">
        <v>6.4</v>
      </c>
      <c r="AM374" s="57">
        <v>25</v>
      </c>
      <c r="AN374" s="63">
        <v>6.3</v>
      </c>
      <c r="AO374" s="63">
        <v>4.4000000000000004</v>
      </c>
      <c r="AP374" s="36">
        <v>0.18</v>
      </c>
      <c r="AQ374" s="90">
        <v>0.42</v>
      </c>
      <c r="AR374" s="73">
        <f t="shared" si="116"/>
        <v>1765</v>
      </c>
      <c r="AS374" s="75">
        <f t="shared" si="117"/>
        <v>0.34107648725212464</v>
      </c>
      <c r="AT374" s="75">
        <f t="shared" si="118"/>
        <v>0.51784702549575068</v>
      </c>
      <c r="AU374" s="75">
        <f t="shared" si="119"/>
        <v>0.14107648725212465</v>
      </c>
      <c r="AV374" s="26">
        <f t="shared" si="120"/>
        <v>6.4225352112676062E-2</v>
      </c>
      <c r="AW374" s="26">
        <f t="shared" si="121"/>
        <v>0.11267605633802817</v>
      </c>
      <c r="AX374" s="26">
        <f t="shared" si="138"/>
        <v>0.76136363636363635</v>
      </c>
      <c r="AY374" s="24">
        <f t="shared" si="139"/>
        <v>0.80113636363636365</v>
      </c>
      <c r="AZ374" s="77" t="str">
        <f t="shared" si="124"/>
        <v>5,0 ≤ Alc. Bruta &lt; 7,5 mg/L</v>
      </c>
      <c r="BA374" s="77" t="str">
        <f t="shared" si="125"/>
        <v>10 ≤ Cor &lt;15 uC</v>
      </c>
      <c r="BB374" s="78" t="str">
        <f t="shared" si="126"/>
        <v>Turbidez &lt; 2,5 uT</v>
      </c>
      <c r="BC374" s="79" t="str">
        <f t="shared" si="127"/>
        <v>SM &gt; TOR &gt; BNN</v>
      </c>
      <c r="BD374" s="78" t="str">
        <f t="shared" si="128"/>
        <v>Tipo 1 (≤0,25) uT</v>
      </c>
      <c r="BE374" s="78" t="str">
        <f t="shared" si="129"/>
        <v>Tipo 1 (≤0,25) uT</v>
      </c>
      <c r="BF374" s="78" t="str">
        <f t="shared" si="130"/>
        <v>Tipo 2 (0,25-0,50) uT</v>
      </c>
      <c r="BG374" s="78" t="str">
        <f t="shared" si="131"/>
        <v>Tipo 2 (0,25-0,50) uT</v>
      </c>
      <c r="BH374" s="78" t="str">
        <f t="shared" si="132"/>
        <v>Tipo 1 (≤0,25) uT</v>
      </c>
    </row>
    <row r="375" spans="1:60" x14ac:dyDescent="0.2">
      <c r="A375" s="31">
        <v>46300</v>
      </c>
      <c r="B375" s="80">
        <v>6.25E-2</v>
      </c>
      <c r="C375" s="57">
        <v>607</v>
      </c>
      <c r="D375" s="57">
        <v>916</v>
      </c>
      <c r="E375" s="57">
        <v>250</v>
      </c>
      <c r="F375" s="57">
        <v>1830</v>
      </c>
      <c r="G375" s="85" t="s">
        <v>78</v>
      </c>
      <c r="H375" s="63">
        <v>9</v>
      </c>
      <c r="I375" s="57">
        <v>35</v>
      </c>
      <c r="J375" s="57">
        <v>90</v>
      </c>
      <c r="K375" s="57">
        <v>90</v>
      </c>
      <c r="L375" s="57">
        <v>90</v>
      </c>
      <c r="M375" s="57">
        <v>24.8</v>
      </c>
      <c r="N375" s="63">
        <v>6.5</v>
      </c>
      <c r="O375" s="36">
        <v>1.87</v>
      </c>
      <c r="P375" s="57">
        <v>10</v>
      </c>
      <c r="Q375" s="63">
        <v>7</v>
      </c>
      <c r="R375" s="36">
        <v>0.1</v>
      </c>
      <c r="S375" s="36">
        <v>22.36</v>
      </c>
      <c r="T375" s="36">
        <v>0.88</v>
      </c>
      <c r="U375" s="36">
        <v>0.7</v>
      </c>
      <c r="V375" s="42">
        <f t="shared" si="133"/>
        <v>2003.8500000000001</v>
      </c>
      <c r="W375" s="42">
        <f t="shared" si="134"/>
        <v>1453.2949080000001</v>
      </c>
      <c r="X375" s="42">
        <f t="shared" si="135"/>
        <v>0.72525134516056589</v>
      </c>
      <c r="Y375" s="57">
        <v>2</v>
      </c>
      <c r="Z375" s="57">
        <v>3</v>
      </c>
      <c r="AA375" s="63">
        <v>6.5</v>
      </c>
      <c r="AB375" s="57">
        <v>18</v>
      </c>
      <c r="AC375" s="63">
        <v>6.1</v>
      </c>
      <c r="AD375" s="63">
        <v>3.6</v>
      </c>
      <c r="AE375" s="36">
        <v>0.28000000000000003</v>
      </c>
      <c r="AF375" s="36">
        <v>0.41</v>
      </c>
      <c r="AG375" s="42">
        <f t="shared" si="115"/>
        <v>1502.8875</v>
      </c>
      <c r="AH375" s="42">
        <f t="shared" si="136"/>
        <v>1979.8438399999998</v>
      </c>
      <c r="AI375" s="42">
        <f t="shared" si="137"/>
        <v>1.3173599753807252</v>
      </c>
      <c r="AJ375" s="57">
        <v>2</v>
      </c>
      <c r="AK375" s="57">
        <v>4</v>
      </c>
      <c r="AL375" s="63">
        <v>6.4</v>
      </c>
      <c r="AM375" s="57">
        <v>25</v>
      </c>
      <c r="AN375" s="63">
        <v>6.2</v>
      </c>
      <c r="AO375" s="63">
        <v>3.8</v>
      </c>
      <c r="AP375" s="36">
        <v>0.27</v>
      </c>
      <c r="AQ375" s="90">
        <v>0.39</v>
      </c>
      <c r="AR375" s="73">
        <f t="shared" si="116"/>
        <v>1773</v>
      </c>
      <c r="AS375" s="75">
        <f t="shared" si="117"/>
        <v>0.34235758601240834</v>
      </c>
      <c r="AT375" s="75">
        <f t="shared" si="118"/>
        <v>0.51663846587704454</v>
      </c>
      <c r="AU375" s="75">
        <f t="shared" si="119"/>
        <v>0.14100394811054709</v>
      </c>
      <c r="AV375" s="26">
        <f t="shared" si="120"/>
        <v>5.9016393442622953E-2</v>
      </c>
      <c r="AW375" s="26">
        <f t="shared" si="121"/>
        <v>0.10928961748633879</v>
      </c>
      <c r="AX375" s="26">
        <f t="shared" si="138"/>
        <v>0.79144385026737973</v>
      </c>
      <c r="AY375" s="24">
        <f t="shared" si="139"/>
        <v>0.78074866310160429</v>
      </c>
      <c r="AZ375" s="77" t="str">
        <f t="shared" si="124"/>
        <v>5,0 ≤ Alc. Bruta &lt; 7,5 mg/L</v>
      </c>
      <c r="BA375" s="77" t="str">
        <f t="shared" si="125"/>
        <v>10 ≤ Cor &lt;15 uC</v>
      </c>
      <c r="BB375" s="78" t="str">
        <f t="shared" si="126"/>
        <v>Turbidez &lt; 2,5 uT</v>
      </c>
      <c r="BC375" s="79" t="str">
        <f t="shared" si="127"/>
        <v>SM &gt; TOR &gt; BNN</v>
      </c>
      <c r="BD375" s="78" t="str">
        <f t="shared" si="128"/>
        <v>Tipo 2 (0,25-0,50) uT</v>
      </c>
      <c r="BE375" s="78" t="str">
        <f t="shared" si="129"/>
        <v>Tipo 2 (0,25-0,50) uT</v>
      </c>
      <c r="BF375" s="78" t="str">
        <f t="shared" si="130"/>
        <v>Tipo 2 (0,25-0,50) uT</v>
      </c>
      <c r="BG375" s="78" t="str">
        <f t="shared" si="131"/>
        <v>Tipo 2 (0,25-0,50) uT</v>
      </c>
      <c r="BH375" s="78" t="str">
        <f t="shared" si="132"/>
        <v>Tipo 1 (≤0,25) uT</v>
      </c>
    </row>
    <row r="376" spans="1:60" x14ac:dyDescent="0.2">
      <c r="A376" s="31">
        <v>46300</v>
      </c>
      <c r="B376" s="80">
        <v>0.14583333333333334</v>
      </c>
      <c r="C376" s="57">
        <v>905</v>
      </c>
      <c r="D376" s="57">
        <v>306</v>
      </c>
      <c r="E376" s="57">
        <v>250</v>
      </c>
      <c r="F376" s="57">
        <v>1573</v>
      </c>
      <c r="G376" s="85" t="s">
        <v>78</v>
      </c>
      <c r="H376" s="63">
        <v>8.5</v>
      </c>
      <c r="I376" s="57">
        <v>34</v>
      </c>
      <c r="J376" s="57">
        <v>90</v>
      </c>
      <c r="K376" s="57">
        <v>90</v>
      </c>
      <c r="L376" s="57">
        <v>90</v>
      </c>
      <c r="M376" s="57">
        <v>24.7</v>
      </c>
      <c r="N376" s="63">
        <v>6.5</v>
      </c>
      <c r="O376" s="36">
        <v>2.02</v>
      </c>
      <c r="P376" s="57">
        <v>13</v>
      </c>
      <c r="Q376" s="63">
        <v>6.6</v>
      </c>
      <c r="R376" s="36">
        <v>0.1</v>
      </c>
      <c r="S376" s="36">
        <v>22.36</v>
      </c>
      <c r="T376" s="36">
        <v>0.88</v>
      </c>
      <c r="U376" s="36">
        <v>0.7</v>
      </c>
      <c r="V376" s="42">
        <f t="shared" si="133"/>
        <v>1722.4350000000002</v>
      </c>
      <c r="W376" s="42">
        <f t="shared" si="134"/>
        <v>1425.4875648</v>
      </c>
      <c r="X376" s="42">
        <f t="shared" si="135"/>
        <v>0.82760020830974745</v>
      </c>
      <c r="Y376" s="57">
        <v>2</v>
      </c>
      <c r="Z376" s="57">
        <v>3</v>
      </c>
      <c r="AA376" s="63">
        <v>6.4</v>
      </c>
      <c r="AB376" s="57">
        <v>18</v>
      </c>
      <c r="AC376" s="63">
        <v>6</v>
      </c>
      <c r="AD376" s="63">
        <v>4.0999999999999996</v>
      </c>
      <c r="AE376" s="36">
        <v>0.3</v>
      </c>
      <c r="AF376" s="36">
        <v>0.36</v>
      </c>
      <c r="AG376" s="42">
        <f t="shared" si="115"/>
        <v>1722.4350000000002</v>
      </c>
      <c r="AH376" s="42">
        <f t="shared" si="136"/>
        <v>1863.5736287999996</v>
      </c>
      <c r="AI376" s="42">
        <f t="shared" si="137"/>
        <v>1.081941338163704</v>
      </c>
      <c r="AJ376" s="57">
        <v>2</v>
      </c>
      <c r="AK376" s="57">
        <v>3</v>
      </c>
      <c r="AL376" s="63">
        <v>6.3</v>
      </c>
      <c r="AM376" s="57">
        <v>24</v>
      </c>
      <c r="AN376" s="63">
        <v>6.1</v>
      </c>
      <c r="AO376" s="63">
        <v>4</v>
      </c>
      <c r="AP376" s="36">
        <v>0.31</v>
      </c>
      <c r="AQ376" s="90">
        <v>0.4</v>
      </c>
      <c r="AR376" s="73">
        <f t="shared" si="116"/>
        <v>1461</v>
      </c>
      <c r="AS376" s="75">
        <f t="shared" si="117"/>
        <v>0.6194387405886379</v>
      </c>
      <c r="AT376" s="75">
        <f t="shared" si="118"/>
        <v>0.20944558521560575</v>
      </c>
      <c r="AU376" s="75">
        <f t="shared" si="119"/>
        <v>0.17111567419575632</v>
      </c>
      <c r="AV376" s="26">
        <f t="shared" si="120"/>
        <v>6.8658614113159558E-2</v>
      </c>
      <c r="AW376" s="26">
        <f t="shared" si="121"/>
        <v>9.1544818817546086E-2</v>
      </c>
      <c r="AX376" s="26">
        <f t="shared" si="138"/>
        <v>0.80198019801980203</v>
      </c>
      <c r="AY376" s="24">
        <f t="shared" si="139"/>
        <v>0.82178217821782185</v>
      </c>
      <c r="AZ376" s="77" t="str">
        <f t="shared" si="124"/>
        <v>5,0 ≤ Alc. Bruta &lt; 7,5 mg/L</v>
      </c>
      <c r="BA376" s="77" t="str">
        <f t="shared" si="125"/>
        <v>10 ≤ Cor &lt;15 uC</v>
      </c>
      <c r="BB376" s="78" t="str">
        <f t="shared" si="126"/>
        <v>Turbidez &lt; 2,5 uT</v>
      </c>
      <c r="BC376" s="79" t="str">
        <f t="shared" si="127"/>
        <v>TOR &gt; SM &gt; BNN</v>
      </c>
      <c r="BD376" s="78" t="str">
        <f t="shared" si="128"/>
        <v>Tipo 2 (0,25-0,50) uT</v>
      </c>
      <c r="BE376" s="78" t="str">
        <f t="shared" si="129"/>
        <v>Tipo 2 (0,25-0,50) uT</v>
      </c>
      <c r="BF376" s="78" t="str">
        <f t="shared" si="130"/>
        <v>Tipo 2 (0,25-0,50) uT</v>
      </c>
      <c r="BG376" s="78" t="str">
        <f t="shared" si="131"/>
        <v>Tipo 2 (0,25-0,50) uT</v>
      </c>
      <c r="BH376" s="78" t="str">
        <f t="shared" si="132"/>
        <v>Tipo 1 (≤0,25) uT</v>
      </c>
    </row>
    <row r="377" spans="1:60" ht="15.75" thickBot="1" x14ac:dyDescent="0.25">
      <c r="A377" s="32">
        <v>46300</v>
      </c>
      <c r="B377" s="81">
        <v>0.22916666666666666</v>
      </c>
      <c r="C377" s="58">
        <v>900</v>
      </c>
      <c r="D377" s="58">
        <v>344</v>
      </c>
      <c r="E377" s="58">
        <v>250</v>
      </c>
      <c r="F377" s="58">
        <v>1504</v>
      </c>
      <c r="G377" s="86" t="s">
        <v>78</v>
      </c>
      <c r="H377" s="64">
        <v>8.5</v>
      </c>
      <c r="I377" s="58">
        <v>34</v>
      </c>
      <c r="J377" s="58">
        <v>90</v>
      </c>
      <c r="K377" s="58">
        <v>90</v>
      </c>
      <c r="L377" s="58">
        <v>90</v>
      </c>
      <c r="M377" s="58">
        <v>24.5</v>
      </c>
      <c r="N377" s="64">
        <v>6.4</v>
      </c>
      <c r="O377" s="37">
        <v>2.1800000000000002</v>
      </c>
      <c r="P377" s="58">
        <v>14</v>
      </c>
      <c r="Q377" s="64">
        <v>7.5</v>
      </c>
      <c r="R377" s="37">
        <v>0.1</v>
      </c>
      <c r="S377" s="36">
        <v>22.36</v>
      </c>
      <c r="T377" s="36">
        <v>0.88</v>
      </c>
      <c r="U377" s="36">
        <v>0.7</v>
      </c>
      <c r="V377" s="42">
        <f t="shared" si="133"/>
        <v>1686.9866666666667</v>
      </c>
      <c r="W377" s="42">
        <f t="shared" si="134"/>
        <v>1453.2949080000001</v>
      </c>
      <c r="X377" s="42">
        <f t="shared" si="135"/>
        <v>0.86147385555309663</v>
      </c>
      <c r="Y377" s="58">
        <v>2</v>
      </c>
      <c r="Z377" s="58">
        <v>3</v>
      </c>
      <c r="AA377" s="64">
        <v>6.5</v>
      </c>
      <c r="AB377" s="58">
        <v>18</v>
      </c>
      <c r="AC377" s="64">
        <v>6.4</v>
      </c>
      <c r="AD377" s="64">
        <v>4</v>
      </c>
      <c r="AE377" s="37">
        <v>0.47</v>
      </c>
      <c r="AF377" s="37">
        <v>0.36</v>
      </c>
      <c r="AG377" s="42">
        <f t="shared" si="115"/>
        <v>1686.9866666666667</v>
      </c>
      <c r="AH377" s="42">
        <f t="shared" si="136"/>
        <v>1863.5736287999996</v>
      </c>
      <c r="AI377" s="42">
        <f t="shared" si="137"/>
        <v>1.1046759678796114</v>
      </c>
      <c r="AJ377" s="58">
        <v>2</v>
      </c>
      <c r="AK377" s="58">
        <v>3</v>
      </c>
      <c r="AL377" s="64">
        <v>6.3</v>
      </c>
      <c r="AM377" s="58">
        <v>24</v>
      </c>
      <c r="AN377" s="64">
        <v>6.1</v>
      </c>
      <c r="AO377" s="64">
        <v>4.5</v>
      </c>
      <c r="AP377" s="37">
        <v>0.36</v>
      </c>
      <c r="AQ377" s="90">
        <v>0.36</v>
      </c>
      <c r="AR377" s="73">
        <f t="shared" si="116"/>
        <v>1494</v>
      </c>
      <c r="AS377" s="75">
        <f t="shared" si="117"/>
        <v>0.60240963855421692</v>
      </c>
      <c r="AT377" s="75">
        <f t="shared" si="118"/>
        <v>0.23025435073627845</v>
      </c>
      <c r="AU377" s="75">
        <f t="shared" si="119"/>
        <v>0.16733601070950468</v>
      </c>
      <c r="AV377" s="26">
        <f t="shared" si="120"/>
        <v>7.1808510638297879E-2</v>
      </c>
      <c r="AW377" s="26">
        <f t="shared" si="121"/>
        <v>9.5744680851063829E-2</v>
      </c>
      <c r="AX377" s="26">
        <f t="shared" si="138"/>
        <v>0.83486238532110091</v>
      </c>
      <c r="AY377" s="24">
        <f t="shared" si="139"/>
        <v>0.83486238532110091</v>
      </c>
      <c r="AZ377" s="77" t="str">
        <f t="shared" si="124"/>
        <v>7,5 ≤ Alc. Bruta &lt; 10,0 mg/L</v>
      </c>
      <c r="BA377" s="77" t="str">
        <f t="shared" si="125"/>
        <v>10 ≤ Cor &lt;15 uC</v>
      </c>
      <c r="BB377" s="78" t="str">
        <f t="shared" si="126"/>
        <v>Turbidez &lt; 2,5 uT</v>
      </c>
      <c r="BC377" s="79" t="str">
        <f t="shared" si="127"/>
        <v>TOR &gt; SM &gt; BNN</v>
      </c>
      <c r="BD377" s="78" t="str">
        <f t="shared" si="128"/>
        <v>Tipo 2 (0,25-0,50) uT</v>
      </c>
      <c r="BE377" s="78" t="str">
        <f t="shared" si="129"/>
        <v>Tipo 2 (0,25-0,50) uT</v>
      </c>
      <c r="BF377" s="78" t="str">
        <f t="shared" si="130"/>
        <v>Tipo 2 (0,25-0,50) uT</v>
      </c>
      <c r="BG377" s="78" t="str">
        <f t="shared" si="131"/>
        <v>Tipo 2 (0,25-0,50) uT</v>
      </c>
      <c r="BH377" s="78" t="str">
        <f t="shared" si="132"/>
        <v>Tipo 1 (≤0,25) uT</v>
      </c>
    </row>
    <row r="378" spans="1:60" ht="15.75" thickBot="1" x14ac:dyDescent="0.25">
      <c r="A378" s="31">
        <v>46300</v>
      </c>
      <c r="B378" s="80">
        <v>0.64583333333333337</v>
      </c>
      <c r="C378" s="59">
        <v>0</v>
      </c>
      <c r="D378" s="57">
        <v>2248</v>
      </c>
      <c r="E378" s="57">
        <v>0</v>
      </c>
      <c r="F378" s="57">
        <v>2218</v>
      </c>
      <c r="G378" s="85" t="s">
        <v>34</v>
      </c>
      <c r="H378" s="63">
        <v>10.5</v>
      </c>
      <c r="I378" s="57">
        <v>34</v>
      </c>
      <c r="J378" s="57">
        <v>90</v>
      </c>
      <c r="K378" s="57">
        <v>90</v>
      </c>
      <c r="L378" s="57">
        <v>90</v>
      </c>
      <c r="M378" s="57">
        <v>24.4</v>
      </c>
      <c r="N378" s="63">
        <v>6.7</v>
      </c>
      <c r="O378" s="36">
        <v>0.98</v>
      </c>
      <c r="P378" s="57">
        <v>7</v>
      </c>
      <c r="Q378" s="63">
        <v>7.7</v>
      </c>
      <c r="R378" s="36">
        <v>0.25</v>
      </c>
      <c r="S378" s="36">
        <v>22.36</v>
      </c>
      <c r="T378" s="36">
        <v>0.88</v>
      </c>
      <c r="U378" s="36">
        <v>0.7</v>
      </c>
      <c r="V378" s="42">
        <f t="shared" si="133"/>
        <v>2266.0566666666668</v>
      </c>
      <c r="W378" s="42">
        <f t="shared" si="134"/>
        <v>1534.0335140000002</v>
      </c>
      <c r="X378" s="42">
        <f t="shared" si="135"/>
        <v>0.67696167380339123</v>
      </c>
      <c r="Y378" s="57">
        <v>3</v>
      </c>
      <c r="Z378" s="57">
        <v>3</v>
      </c>
      <c r="AA378" s="63">
        <v>6.5</v>
      </c>
      <c r="AB378" s="57">
        <v>19</v>
      </c>
      <c r="AC378" s="63">
        <v>6.5</v>
      </c>
      <c r="AD378" s="63">
        <v>6</v>
      </c>
      <c r="AE378" s="36">
        <v>0.24</v>
      </c>
      <c r="AF378" s="36">
        <v>0.28999999999999998</v>
      </c>
      <c r="AG378" s="42">
        <f t="shared" si="115"/>
        <v>1699.5425</v>
      </c>
      <c r="AH378" s="42">
        <f t="shared" si="136"/>
        <v>1979.8438399999998</v>
      </c>
      <c r="AI378" s="42">
        <f t="shared" si="137"/>
        <v>1.1649275260842256</v>
      </c>
      <c r="AJ378" s="57">
        <v>3</v>
      </c>
      <c r="AK378" s="57">
        <v>4</v>
      </c>
      <c r="AL378" s="63">
        <v>6.4</v>
      </c>
      <c r="AM378" s="57">
        <v>25</v>
      </c>
      <c r="AN378" s="63">
        <v>6.5</v>
      </c>
      <c r="AO378" s="63">
        <v>6</v>
      </c>
      <c r="AP378" s="36">
        <v>0.2</v>
      </c>
      <c r="AQ378" s="36">
        <v>0.28999999999999998</v>
      </c>
      <c r="AR378" s="73">
        <f t="shared" si="116"/>
        <v>2248</v>
      </c>
      <c r="AS378" s="75">
        <f t="shared" si="117"/>
        <v>0</v>
      </c>
      <c r="AT378" s="75">
        <f t="shared" si="118"/>
        <v>1</v>
      </c>
      <c r="AU378" s="75">
        <f t="shared" si="119"/>
        <v>0</v>
      </c>
      <c r="AV378" s="26">
        <f t="shared" si="120"/>
        <v>5.1397655545536519E-2</v>
      </c>
      <c r="AW378" s="26">
        <f t="shared" si="121"/>
        <v>9.0171325518485126E-2</v>
      </c>
      <c r="AX378" s="26">
        <f t="shared" si="138"/>
        <v>0.70408163265306123</v>
      </c>
      <c r="AY378" s="24">
        <f t="shared" si="139"/>
        <v>0.70408163265306123</v>
      </c>
      <c r="AZ378" s="77" t="str">
        <f t="shared" si="124"/>
        <v>7,5 ≤ Alc. Bruta &lt; 10,0 mg/L</v>
      </c>
      <c r="BA378" s="77" t="str">
        <f t="shared" si="125"/>
        <v>5 ≤ Cor &lt; 10 uC</v>
      </c>
      <c r="BB378" s="78" t="str">
        <f t="shared" si="126"/>
        <v>Turbidez &lt; 2,5 uT</v>
      </c>
      <c r="BC378" s="79" t="str">
        <f t="shared" si="127"/>
        <v>Comb. diferentes</v>
      </c>
      <c r="BD378" s="78" t="str">
        <f t="shared" si="128"/>
        <v>Tipo 1 (≤0,25) uT</v>
      </c>
      <c r="BE378" s="78" t="str">
        <f t="shared" si="129"/>
        <v>Tipo 1 (≤0,25) uT</v>
      </c>
      <c r="BF378" s="78" t="str">
        <f t="shared" si="130"/>
        <v>Tipo 2 (0,25-0,50) uT</v>
      </c>
      <c r="BG378" s="78" t="str">
        <f t="shared" si="131"/>
        <v>Tipo 2 (0,25-0,50) uT</v>
      </c>
      <c r="BH378" s="78" t="str">
        <f t="shared" si="132"/>
        <v>Tipo 1 (≤0,25) uT</v>
      </c>
    </row>
    <row r="379" spans="1:60" ht="15.75" thickBot="1" x14ac:dyDescent="0.25">
      <c r="A379" s="31">
        <v>46300</v>
      </c>
      <c r="B379" s="80">
        <v>0.72916666666666663</v>
      </c>
      <c r="C379" s="59">
        <v>0</v>
      </c>
      <c r="D379" s="57">
        <v>2232</v>
      </c>
      <c r="E379" s="57">
        <v>0</v>
      </c>
      <c r="F379" s="57">
        <v>2232</v>
      </c>
      <c r="G379" s="85" t="s">
        <v>34</v>
      </c>
      <c r="H379" s="63">
        <v>10.5</v>
      </c>
      <c r="I379" s="57">
        <v>34</v>
      </c>
      <c r="J379" s="57">
        <v>90</v>
      </c>
      <c r="K379" s="57">
        <v>90</v>
      </c>
      <c r="L379" s="57">
        <v>90</v>
      </c>
      <c r="M379" s="57">
        <v>24.4</v>
      </c>
      <c r="N379" s="63">
        <v>6.7</v>
      </c>
      <c r="O379" s="36">
        <v>0.94</v>
      </c>
      <c r="P379" s="57">
        <v>7</v>
      </c>
      <c r="Q379" s="63">
        <v>7.3</v>
      </c>
      <c r="R379" s="36">
        <v>0.21</v>
      </c>
      <c r="S379" s="36">
        <v>22.36</v>
      </c>
      <c r="T379" s="36">
        <v>0.88</v>
      </c>
      <c r="U379" s="36">
        <v>0.7</v>
      </c>
      <c r="V379" s="42">
        <f t="shared" si="133"/>
        <v>2265.48</v>
      </c>
      <c r="W379" s="42">
        <f t="shared" si="134"/>
        <v>1504.6813183999998</v>
      </c>
      <c r="X379" s="42">
        <f t="shared" si="135"/>
        <v>0.66417770997757641</v>
      </c>
      <c r="Y379" s="57">
        <v>3</v>
      </c>
      <c r="Z379" s="57">
        <v>3</v>
      </c>
      <c r="AA379" s="63">
        <v>6.4</v>
      </c>
      <c r="AB379" s="57">
        <v>19</v>
      </c>
      <c r="AC379" s="63">
        <v>6.5</v>
      </c>
      <c r="AD379" s="63">
        <v>5.7</v>
      </c>
      <c r="AE379" s="36">
        <v>0.16</v>
      </c>
      <c r="AF379" s="36">
        <v>0.31</v>
      </c>
      <c r="AG379" s="42">
        <f t="shared" si="115"/>
        <v>1699.11</v>
      </c>
      <c r="AH379" s="42">
        <f t="shared" si="136"/>
        <v>1979.8438399999998</v>
      </c>
      <c r="AI379" s="42">
        <f t="shared" si="137"/>
        <v>1.1652240525922395</v>
      </c>
      <c r="AJ379" s="57">
        <v>3</v>
      </c>
      <c r="AK379" s="57">
        <v>4</v>
      </c>
      <c r="AL379" s="63">
        <v>6.4</v>
      </c>
      <c r="AM379" s="57">
        <v>25</v>
      </c>
      <c r="AN379" s="63">
        <v>6.4</v>
      </c>
      <c r="AO379" s="63">
        <v>5</v>
      </c>
      <c r="AP379" s="36">
        <v>0.16</v>
      </c>
      <c r="AQ379" s="36">
        <v>0.22</v>
      </c>
      <c r="AR379" s="73">
        <f t="shared" si="116"/>
        <v>2232</v>
      </c>
      <c r="AS379" s="75">
        <f t="shared" si="117"/>
        <v>0</v>
      </c>
      <c r="AT379" s="75">
        <f t="shared" si="118"/>
        <v>1</v>
      </c>
      <c r="AU379" s="75">
        <f t="shared" si="119"/>
        <v>0</v>
      </c>
      <c r="AV379" s="26">
        <f t="shared" si="120"/>
        <v>5.1075268817204304E-2</v>
      </c>
      <c r="AW379" s="26">
        <f t="shared" si="121"/>
        <v>8.9605734767025089E-2</v>
      </c>
      <c r="AX379" s="26">
        <f t="shared" si="138"/>
        <v>0.76595744680851063</v>
      </c>
      <c r="AY379" s="24">
        <f t="shared" si="139"/>
        <v>0.67021276595744683</v>
      </c>
      <c r="AZ379" s="77" t="str">
        <f t="shared" si="124"/>
        <v>5,0 ≤ Alc. Bruta &lt; 7,5 mg/L</v>
      </c>
      <c r="BA379" s="77" t="str">
        <f t="shared" si="125"/>
        <v>5 ≤ Cor &lt; 10 uC</v>
      </c>
      <c r="BB379" s="78" t="str">
        <f t="shared" si="126"/>
        <v>Turbidez &lt; 2,5 uT</v>
      </c>
      <c r="BC379" s="79" t="str">
        <f t="shared" si="127"/>
        <v>Comb. diferentes</v>
      </c>
      <c r="BD379" s="78" t="str">
        <f t="shared" si="128"/>
        <v>Tipo 1 (≤0,25) uT</v>
      </c>
      <c r="BE379" s="78" t="str">
        <f t="shared" si="129"/>
        <v>Tipo 1 (≤0,25) uT</v>
      </c>
      <c r="BF379" s="78" t="str">
        <f t="shared" si="130"/>
        <v>Tipo 2 (0,25-0,50) uT</v>
      </c>
      <c r="BG379" s="78" t="str">
        <f t="shared" si="131"/>
        <v>Tipo 1 (≤0,25) uT</v>
      </c>
      <c r="BH379" s="78" t="str">
        <f t="shared" si="132"/>
        <v>Tipo 1 (≤0,25) uT</v>
      </c>
    </row>
    <row r="380" spans="1:60" ht="15.75" thickBot="1" x14ac:dyDescent="0.25">
      <c r="A380" s="31">
        <v>46300</v>
      </c>
      <c r="B380" s="80">
        <v>0.8125</v>
      </c>
      <c r="C380" s="59">
        <v>0</v>
      </c>
      <c r="D380" s="57">
        <v>2216</v>
      </c>
      <c r="E380" s="57">
        <v>0</v>
      </c>
      <c r="F380" s="57">
        <v>2214</v>
      </c>
      <c r="G380" s="85" t="s">
        <v>34</v>
      </c>
      <c r="H380" s="63">
        <v>10.5</v>
      </c>
      <c r="I380" s="57">
        <v>34</v>
      </c>
      <c r="J380" s="57">
        <v>90</v>
      </c>
      <c r="K380" s="57">
        <v>90</v>
      </c>
      <c r="L380" s="57">
        <v>90</v>
      </c>
      <c r="M380" s="57">
        <v>24.5</v>
      </c>
      <c r="N380" s="63">
        <v>6.5</v>
      </c>
      <c r="O380" s="36">
        <v>0.96</v>
      </c>
      <c r="P380" s="57">
        <v>9</v>
      </c>
      <c r="Q380" s="63">
        <v>6.9</v>
      </c>
      <c r="R380" s="36">
        <v>0.1</v>
      </c>
      <c r="S380" s="36">
        <v>22.36</v>
      </c>
      <c r="T380" s="36">
        <v>0.88</v>
      </c>
      <c r="U380" s="36">
        <v>0.7</v>
      </c>
      <c r="V380" s="42">
        <f t="shared" si="133"/>
        <v>1690.9424999999999</v>
      </c>
      <c r="W380" s="42">
        <f t="shared" si="134"/>
        <v>1583.8750719999998</v>
      </c>
      <c r="X380" s="42">
        <f t="shared" si="135"/>
        <v>0.93668180437832738</v>
      </c>
      <c r="Y380" s="57">
        <v>3</v>
      </c>
      <c r="Z380" s="57">
        <v>4</v>
      </c>
      <c r="AA380" s="63">
        <v>6.4</v>
      </c>
      <c r="AB380" s="57">
        <v>20</v>
      </c>
      <c r="AC380" s="63">
        <v>6.2</v>
      </c>
      <c r="AD380" s="63">
        <v>5.8</v>
      </c>
      <c r="AE380" s="36">
        <v>0.1</v>
      </c>
      <c r="AF380" s="36">
        <v>0.26</v>
      </c>
      <c r="AG380" s="42">
        <f t="shared" si="115"/>
        <v>1690.9424999999999</v>
      </c>
      <c r="AH380" s="42">
        <f t="shared" si="136"/>
        <v>1863.5736287999996</v>
      </c>
      <c r="AI380" s="42">
        <f t="shared" si="137"/>
        <v>1.1020916611889522</v>
      </c>
      <c r="AJ380" s="57">
        <v>3</v>
      </c>
      <c r="AK380" s="57">
        <v>4</v>
      </c>
      <c r="AL380" s="63">
        <v>6.3</v>
      </c>
      <c r="AM380" s="57">
        <v>24</v>
      </c>
      <c r="AN380" s="63">
        <v>6.2</v>
      </c>
      <c r="AO380" s="63">
        <v>5.4</v>
      </c>
      <c r="AP380" s="36">
        <v>0.13</v>
      </c>
      <c r="AQ380" s="36">
        <v>0.28999999999999998</v>
      </c>
      <c r="AR380" s="73">
        <f t="shared" si="116"/>
        <v>2216</v>
      </c>
      <c r="AS380" s="75">
        <f t="shared" si="117"/>
        <v>0</v>
      </c>
      <c r="AT380" s="75">
        <f t="shared" si="118"/>
        <v>1</v>
      </c>
      <c r="AU380" s="75">
        <f t="shared" si="119"/>
        <v>0</v>
      </c>
      <c r="AV380" s="26">
        <f t="shared" si="120"/>
        <v>7.2267389340560068E-2</v>
      </c>
      <c r="AW380" s="26">
        <f t="shared" si="121"/>
        <v>8.6720867208672087E-2</v>
      </c>
      <c r="AX380" s="26">
        <f t="shared" si="138"/>
        <v>0.69791666666666674</v>
      </c>
      <c r="AY380" s="24">
        <f t="shared" si="139"/>
        <v>0.72916666666666663</v>
      </c>
      <c r="AZ380" s="77" t="str">
        <f t="shared" si="124"/>
        <v>5,0 ≤ Alc. Bruta &lt; 7,5 mg/L</v>
      </c>
      <c r="BA380" s="77" t="str">
        <f t="shared" si="125"/>
        <v>5 ≤ Cor &lt; 10 uC</v>
      </c>
      <c r="BB380" s="78" t="str">
        <f t="shared" si="126"/>
        <v>Turbidez &lt; 2,5 uT</v>
      </c>
      <c r="BC380" s="79" t="str">
        <f t="shared" si="127"/>
        <v>Comb. diferentes</v>
      </c>
      <c r="BD380" s="78" t="str">
        <f t="shared" si="128"/>
        <v>Tipo 1 (≤0,25) uT</v>
      </c>
      <c r="BE380" s="78" t="str">
        <f t="shared" si="129"/>
        <v>Tipo 1 (≤0,25) uT</v>
      </c>
      <c r="BF380" s="78" t="str">
        <f t="shared" si="130"/>
        <v>Tipo 2 (0,25-0,50) uT</v>
      </c>
      <c r="BG380" s="78" t="str">
        <f t="shared" si="131"/>
        <v>Tipo 2 (0,25-0,50) uT</v>
      </c>
      <c r="BH380" s="78" t="str">
        <f t="shared" si="132"/>
        <v>Tipo 1 (≤0,25) uT</v>
      </c>
    </row>
    <row r="381" spans="1:60" ht="15.75" thickBot="1" x14ac:dyDescent="0.25">
      <c r="A381" s="31">
        <v>46300</v>
      </c>
      <c r="B381" s="80">
        <v>0.89583333333333337</v>
      </c>
      <c r="C381" s="59">
        <v>0</v>
      </c>
      <c r="D381" s="57">
        <v>2110</v>
      </c>
      <c r="E381" s="57">
        <v>0</v>
      </c>
      <c r="F381" s="57">
        <v>2105</v>
      </c>
      <c r="G381" s="85" t="s">
        <v>34</v>
      </c>
      <c r="H381" s="63">
        <v>10.5</v>
      </c>
      <c r="I381" s="57">
        <v>34</v>
      </c>
      <c r="J381" s="57">
        <v>90</v>
      </c>
      <c r="K381" s="57">
        <v>90</v>
      </c>
      <c r="L381" s="57">
        <v>90</v>
      </c>
      <c r="M381" s="57">
        <v>24.3</v>
      </c>
      <c r="N381" s="63">
        <v>6.6</v>
      </c>
      <c r="O381" s="36">
        <v>1.05</v>
      </c>
      <c r="P381" s="57">
        <v>10</v>
      </c>
      <c r="Q381" s="63">
        <v>7</v>
      </c>
      <c r="R381" s="36">
        <v>0.19</v>
      </c>
      <c r="S381" s="36">
        <v>22.36</v>
      </c>
      <c r="T381" s="36">
        <v>0.88</v>
      </c>
      <c r="U381" s="36">
        <v>0.7</v>
      </c>
      <c r="V381" s="42">
        <f t="shared" si="133"/>
        <v>1631.375</v>
      </c>
      <c r="W381" s="42">
        <f t="shared" si="134"/>
        <v>1522.080976</v>
      </c>
      <c r="X381" s="42">
        <f t="shared" si="135"/>
        <v>0.933004965749751</v>
      </c>
      <c r="Y381" s="57">
        <v>3</v>
      </c>
      <c r="Z381" s="57">
        <v>4</v>
      </c>
      <c r="AA381" s="63">
        <v>6.2</v>
      </c>
      <c r="AB381" s="57">
        <v>20</v>
      </c>
      <c r="AC381" s="63">
        <v>6.3</v>
      </c>
      <c r="AD381" s="63">
        <v>5.8</v>
      </c>
      <c r="AE381" s="36">
        <v>0.23</v>
      </c>
      <c r="AF381" s="36">
        <v>0.21</v>
      </c>
      <c r="AG381" s="42">
        <f t="shared" si="115"/>
        <v>1631.375</v>
      </c>
      <c r="AH381" s="42">
        <f t="shared" si="136"/>
        <v>1941.2225299999996</v>
      </c>
      <c r="AI381" s="42">
        <f t="shared" si="137"/>
        <v>1.1899302919316526</v>
      </c>
      <c r="AJ381" s="57">
        <v>3</v>
      </c>
      <c r="AK381" s="57">
        <v>4</v>
      </c>
      <c r="AL381" s="63">
        <v>6.3</v>
      </c>
      <c r="AM381" s="57">
        <v>25</v>
      </c>
      <c r="AN381" s="63">
        <v>6.3</v>
      </c>
      <c r="AO381" s="63">
        <v>5.6</v>
      </c>
      <c r="AP381" s="36">
        <v>0.21</v>
      </c>
      <c r="AQ381" s="36">
        <v>0.3</v>
      </c>
      <c r="AR381" s="73">
        <f t="shared" si="116"/>
        <v>2110</v>
      </c>
      <c r="AS381" s="75">
        <f t="shared" si="117"/>
        <v>0</v>
      </c>
      <c r="AT381" s="75">
        <f t="shared" si="118"/>
        <v>1</v>
      </c>
      <c r="AU381" s="75">
        <f t="shared" si="119"/>
        <v>0</v>
      </c>
      <c r="AV381" s="26">
        <f t="shared" si="120"/>
        <v>7.6009501187648459E-2</v>
      </c>
      <c r="AW381" s="26">
        <f t="shared" si="121"/>
        <v>9.5011876484560567E-2</v>
      </c>
      <c r="AX381" s="26">
        <f t="shared" si="138"/>
        <v>0.7142857142857143</v>
      </c>
      <c r="AY381" s="24">
        <f t="shared" si="139"/>
        <v>0.8</v>
      </c>
      <c r="AZ381" s="77" t="str">
        <f t="shared" si="124"/>
        <v>5,0 ≤ Alc. Bruta &lt; 7,5 mg/L</v>
      </c>
      <c r="BA381" s="77" t="str">
        <f t="shared" si="125"/>
        <v>10 ≤ Cor &lt;15 uC</v>
      </c>
      <c r="BB381" s="78" t="str">
        <f t="shared" si="126"/>
        <v>Turbidez &lt; 2,5 uT</v>
      </c>
      <c r="BC381" s="79" t="str">
        <f t="shared" si="127"/>
        <v>Comb. diferentes</v>
      </c>
      <c r="BD381" s="78" t="str">
        <f t="shared" si="128"/>
        <v>Tipo 1 (≤0,25) uT</v>
      </c>
      <c r="BE381" s="78" t="str">
        <f t="shared" si="129"/>
        <v>Tipo 1 (≤0,25) uT</v>
      </c>
      <c r="BF381" s="78" t="str">
        <f t="shared" si="130"/>
        <v>Tipo 1 (≤0,25) uT</v>
      </c>
      <c r="BG381" s="78" t="str">
        <f t="shared" si="131"/>
        <v>Tipo 2 (0,25-0,50) uT</v>
      </c>
      <c r="BH381" s="78" t="str">
        <f t="shared" si="132"/>
        <v>Tipo 1 (≤0,25) uT</v>
      </c>
    </row>
    <row r="382" spans="1:60" ht="15.75" thickBot="1" x14ac:dyDescent="0.25">
      <c r="A382" s="31">
        <v>46300</v>
      </c>
      <c r="B382" s="80">
        <v>0.97916666666666663</v>
      </c>
      <c r="C382" s="59">
        <v>0</v>
      </c>
      <c r="D382" s="57">
        <v>2100</v>
      </c>
      <c r="E382" s="57">
        <v>0</v>
      </c>
      <c r="F382" s="57">
        <v>2100</v>
      </c>
      <c r="G382" s="85" t="s">
        <v>34</v>
      </c>
      <c r="H382" s="63">
        <v>10.5</v>
      </c>
      <c r="I382" s="57">
        <v>35</v>
      </c>
      <c r="J382" s="57">
        <v>90</v>
      </c>
      <c r="K382" s="57">
        <v>90</v>
      </c>
      <c r="L382" s="57">
        <v>90</v>
      </c>
      <c r="M382" s="57">
        <v>24.1</v>
      </c>
      <c r="N382" s="63">
        <v>6.7</v>
      </c>
      <c r="O382" s="36">
        <v>1.33</v>
      </c>
      <c r="P382" s="57">
        <v>10</v>
      </c>
      <c r="Q382" s="63">
        <v>7.5</v>
      </c>
      <c r="R382" s="36">
        <v>0.2</v>
      </c>
      <c r="S382" s="36">
        <v>22.36</v>
      </c>
      <c r="T382" s="36">
        <v>0.88</v>
      </c>
      <c r="U382" s="36">
        <v>0.7</v>
      </c>
      <c r="V382" s="42">
        <f t="shared" si="133"/>
        <v>1701</v>
      </c>
      <c r="W382" s="42">
        <f t="shared" si="134"/>
        <v>1522.080976</v>
      </c>
      <c r="X382" s="42">
        <f t="shared" si="135"/>
        <v>0.89481538859494414</v>
      </c>
      <c r="Y382" s="57">
        <v>3</v>
      </c>
      <c r="Z382" s="57">
        <v>4</v>
      </c>
      <c r="AA382" s="63">
        <v>6.2</v>
      </c>
      <c r="AB382" s="57">
        <v>20</v>
      </c>
      <c r="AC382" s="63">
        <v>6.4</v>
      </c>
      <c r="AD382" s="63">
        <v>5.9</v>
      </c>
      <c r="AE382" s="36">
        <v>0.25</v>
      </c>
      <c r="AF382" s="36">
        <v>0.23</v>
      </c>
      <c r="AG382" s="42">
        <f t="shared" si="115"/>
        <v>1701</v>
      </c>
      <c r="AH382" s="42">
        <f t="shared" si="136"/>
        <v>1941.2225299999996</v>
      </c>
      <c r="AI382" s="42">
        <f t="shared" si="137"/>
        <v>1.141224297472075</v>
      </c>
      <c r="AJ382" s="57">
        <v>3</v>
      </c>
      <c r="AK382" s="57">
        <v>4</v>
      </c>
      <c r="AL382" s="63">
        <v>6.3</v>
      </c>
      <c r="AM382" s="57">
        <v>25</v>
      </c>
      <c r="AN382" s="63">
        <v>6.3</v>
      </c>
      <c r="AO382" s="63">
        <v>5.7</v>
      </c>
      <c r="AP382" s="36">
        <v>0.22</v>
      </c>
      <c r="AQ382" s="36">
        <v>0.3</v>
      </c>
      <c r="AR382" s="73">
        <f t="shared" si="116"/>
        <v>2100</v>
      </c>
      <c r="AS382" s="75">
        <f t="shared" si="117"/>
        <v>0</v>
      </c>
      <c r="AT382" s="75">
        <f t="shared" si="118"/>
        <v>1</v>
      </c>
      <c r="AU382" s="75">
        <f t="shared" si="119"/>
        <v>0</v>
      </c>
      <c r="AV382" s="26">
        <f t="shared" si="120"/>
        <v>7.6190476190476197E-2</v>
      </c>
      <c r="AW382" s="26">
        <f t="shared" si="121"/>
        <v>9.5238095238095233E-2</v>
      </c>
      <c r="AX382" s="26">
        <f t="shared" si="138"/>
        <v>0.77443609022556392</v>
      </c>
      <c r="AY382" s="24">
        <f t="shared" si="139"/>
        <v>0.8270676691729324</v>
      </c>
      <c r="AZ382" s="77" t="str">
        <f t="shared" si="124"/>
        <v>7,5 ≤ Alc. Bruta &lt; 10,0 mg/L</v>
      </c>
      <c r="BA382" s="77" t="str">
        <f t="shared" si="125"/>
        <v>10 ≤ Cor &lt;15 uC</v>
      </c>
      <c r="BB382" s="78" t="str">
        <f t="shared" si="126"/>
        <v>Turbidez &lt; 2,5 uT</v>
      </c>
      <c r="BC382" s="79" t="str">
        <f t="shared" si="127"/>
        <v>Comb. diferentes</v>
      </c>
      <c r="BD382" s="78" t="str">
        <f t="shared" si="128"/>
        <v>Tipo 1 (≤0,25) uT</v>
      </c>
      <c r="BE382" s="78" t="str">
        <f t="shared" si="129"/>
        <v>Tipo 1 (≤0,25) uT</v>
      </c>
      <c r="BF382" s="78" t="str">
        <f t="shared" si="130"/>
        <v>Tipo 1 (≤0,25) uT</v>
      </c>
      <c r="BG382" s="78" t="str">
        <f t="shared" si="131"/>
        <v>Tipo 2 (0,25-0,50) uT</v>
      </c>
      <c r="BH382" s="78" t="str">
        <f t="shared" si="132"/>
        <v>Tipo 1 (≤0,25) uT</v>
      </c>
    </row>
    <row r="383" spans="1:60" ht="15.75" thickBot="1" x14ac:dyDescent="0.25">
      <c r="A383" s="31">
        <v>46301</v>
      </c>
      <c r="B383" s="80">
        <v>0.14583333333333334</v>
      </c>
      <c r="C383" s="59">
        <v>0</v>
      </c>
      <c r="D383" s="57">
        <v>2058</v>
      </c>
      <c r="E383" s="57">
        <v>0</v>
      </c>
      <c r="F383" s="57">
        <v>2171</v>
      </c>
      <c r="G383" s="85" t="s">
        <v>34</v>
      </c>
      <c r="H383" s="63">
        <v>10.5</v>
      </c>
      <c r="I383" s="57">
        <v>36</v>
      </c>
      <c r="J383" s="57">
        <v>90</v>
      </c>
      <c r="K383" s="57">
        <v>90</v>
      </c>
      <c r="L383" s="57">
        <v>90</v>
      </c>
      <c r="M383" s="57">
        <v>24</v>
      </c>
      <c r="N383" s="63">
        <v>6.6</v>
      </c>
      <c r="O383" s="36">
        <v>1.1599999999999999</v>
      </c>
      <c r="P383" s="57">
        <v>10</v>
      </c>
      <c r="Q383" s="63">
        <v>8.4</v>
      </c>
      <c r="R383" s="36">
        <v>0.16</v>
      </c>
      <c r="S383" s="36">
        <v>22.36</v>
      </c>
      <c r="T383" s="36">
        <v>0.88</v>
      </c>
      <c r="U383" s="36">
        <v>0.7</v>
      </c>
      <c r="V383" s="42">
        <f t="shared" si="133"/>
        <v>1712.3762499999998</v>
      </c>
      <c r="W383" s="42">
        <f t="shared" si="134"/>
        <v>1522.080976</v>
      </c>
      <c r="X383" s="42">
        <f t="shared" si="135"/>
        <v>0.88887064160110851</v>
      </c>
      <c r="Y383" s="57">
        <v>3</v>
      </c>
      <c r="Z383" s="57">
        <v>4</v>
      </c>
      <c r="AA383" s="63">
        <v>6.2</v>
      </c>
      <c r="AB383" s="57">
        <v>20</v>
      </c>
      <c r="AC383" s="63">
        <v>6.4</v>
      </c>
      <c r="AD383" s="63">
        <v>6.1</v>
      </c>
      <c r="AE383" s="36">
        <v>0.2</v>
      </c>
      <c r="AF383" s="36">
        <v>0.19</v>
      </c>
      <c r="AG383" s="42">
        <f t="shared" si="115"/>
        <v>1712.3762499999998</v>
      </c>
      <c r="AH383" s="42">
        <f t="shared" si="136"/>
        <v>1941.2225299999996</v>
      </c>
      <c r="AI383" s="42">
        <f t="shared" si="137"/>
        <v>1.1336425216128756</v>
      </c>
      <c r="AJ383" s="57">
        <v>3</v>
      </c>
      <c r="AK383" s="57">
        <v>4</v>
      </c>
      <c r="AL383" s="63">
        <v>6.3</v>
      </c>
      <c r="AM383" s="57">
        <v>25</v>
      </c>
      <c r="AN383" s="63">
        <v>6.3</v>
      </c>
      <c r="AO383" s="63">
        <v>5.6</v>
      </c>
      <c r="AP383" s="36">
        <v>0.22</v>
      </c>
      <c r="AQ383" s="36">
        <v>0.2</v>
      </c>
      <c r="AR383" s="73">
        <f t="shared" si="116"/>
        <v>2058</v>
      </c>
      <c r="AS383" s="75">
        <f t="shared" si="117"/>
        <v>0</v>
      </c>
      <c r="AT383" s="75">
        <f t="shared" si="118"/>
        <v>1</v>
      </c>
      <c r="AU383" s="75">
        <f t="shared" si="119"/>
        <v>0</v>
      </c>
      <c r="AV383" s="26">
        <f t="shared" si="120"/>
        <v>7.3698756333486867E-2</v>
      </c>
      <c r="AW383" s="26">
        <f t="shared" si="121"/>
        <v>9.2123445416858588E-2</v>
      </c>
      <c r="AX383" s="26">
        <f t="shared" si="138"/>
        <v>0.82758620689655171</v>
      </c>
      <c r="AY383" s="24">
        <f t="shared" si="139"/>
        <v>0.83620689655172409</v>
      </c>
      <c r="AZ383" s="77" t="str">
        <f t="shared" si="124"/>
        <v>7,5 ≤ Alc. Bruta &lt; 10,0 mg/L</v>
      </c>
      <c r="BA383" s="77" t="str">
        <f t="shared" si="125"/>
        <v>10 ≤ Cor &lt;15 uC</v>
      </c>
      <c r="BB383" s="78" t="str">
        <f t="shared" si="126"/>
        <v>Turbidez &lt; 2,5 uT</v>
      </c>
      <c r="BC383" s="79" t="str">
        <f t="shared" si="127"/>
        <v>Comb. diferentes</v>
      </c>
      <c r="BD383" s="78" t="str">
        <f t="shared" si="128"/>
        <v>Tipo 1 (≤0,25) uT</v>
      </c>
      <c r="BE383" s="78" t="str">
        <f t="shared" si="129"/>
        <v>Tipo 1 (≤0,25) uT</v>
      </c>
      <c r="BF383" s="78" t="str">
        <f t="shared" si="130"/>
        <v>Tipo 1 (≤0,25) uT</v>
      </c>
      <c r="BG383" s="78" t="str">
        <f t="shared" si="131"/>
        <v>Tipo 1 (≤0,25) uT</v>
      </c>
      <c r="BH383" s="78" t="str">
        <f t="shared" si="132"/>
        <v>Tipo 1 (≤0,25) uT</v>
      </c>
    </row>
    <row r="384" spans="1:60" ht="15.75" thickBot="1" x14ac:dyDescent="0.25">
      <c r="A384" s="32">
        <v>46301</v>
      </c>
      <c r="B384" s="81">
        <v>0.22916666666666666</v>
      </c>
      <c r="C384" s="59">
        <v>0</v>
      </c>
      <c r="D384" s="58">
        <v>2046</v>
      </c>
      <c r="E384" s="57">
        <v>0</v>
      </c>
      <c r="F384" s="58">
        <v>2105</v>
      </c>
      <c r="G384" s="86" t="s">
        <v>34</v>
      </c>
      <c r="H384" s="64">
        <v>10.5</v>
      </c>
      <c r="I384" s="58">
        <v>35</v>
      </c>
      <c r="J384" s="58">
        <v>90</v>
      </c>
      <c r="K384" s="58">
        <v>90</v>
      </c>
      <c r="L384" s="58">
        <v>90</v>
      </c>
      <c r="M384" s="58">
        <v>24</v>
      </c>
      <c r="N384" s="64">
        <v>6.7</v>
      </c>
      <c r="O384" s="37">
        <v>1.17</v>
      </c>
      <c r="P384" s="58">
        <v>9</v>
      </c>
      <c r="Q384" s="64">
        <v>8.8000000000000007</v>
      </c>
      <c r="R384" s="37">
        <v>0.15</v>
      </c>
      <c r="S384" s="36">
        <v>22.36</v>
      </c>
      <c r="T384" s="36">
        <v>0.88</v>
      </c>
      <c r="U384" s="36">
        <v>0.7</v>
      </c>
      <c r="V384" s="42">
        <f t="shared" si="133"/>
        <v>1662.95</v>
      </c>
      <c r="W384" s="42">
        <f t="shared" si="134"/>
        <v>1583.8750719999998</v>
      </c>
      <c r="X384" s="42">
        <f t="shared" si="135"/>
        <v>0.95244900447999026</v>
      </c>
      <c r="Y384" s="58">
        <v>3</v>
      </c>
      <c r="Z384" s="58">
        <v>4</v>
      </c>
      <c r="AA384" s="64">
        <v>6.4</v>
      </c>
      <c r="AB384" s="58">
        <v>20</v>
      </c>
      <c r="AC384" s="64">
        <v>6.3</v>
      </c>
      <c r="AD384" s="64">
        <v>6.3</v>
      </c>
      <c r="AE384" s="37">
        <v>0.21</v>
      </c>
      <c r="AF384" s="37">
        <v>0.19</v>
      </c>
      <c r="AG384" s="42">
        <f t="shared" si="115"/>
        <v>1662.95</v>
      </c>
      <c r="AH384" s="42">
        <f t="shared" si="136"/>
        <v>1941.2225299999996</v>
      </c>
      <c r="AI384" s="42">
        <f t="shared" si="137"/>
        <v>1.1673366787937096</v>
      </c>
      <c r="AJ384" s="58">
        <v>3</v>
      </c>
      <c r="AK384" s="58">
        <v>4</v>
      </c>
      <c r="AL384" s="64">
        <v>6.3</v>
      </c>
      <c r="AM384" s="58">
        <v>25</v>
      </c>
      <c r="AN384" s="64">
        <v>6.3</v>
      </c>
      <c r="AO384" s="64">
        <v>5.7</v>
      </c>
      <c r="AP384" s="37">
        <v>0.2</v>
      </c>
      <c r="AQ384" s="37">
        <v>0.19</v>
      </c>
      <c r="AR384" s="73">
        <f t="shared" si="116"/>
        <v>2046</v>
      </c>
      <c r="AS384" s="75">
        <f t="shared" si="117"/>
        <v>0</v>
      </c>
      <c r="AT384" s="75">
        <f t="shared" si="118"/>
        <v>1</v>
      </c>
      <c r="AU384" s="75">
        <f t="shared" si="119"/>
        <v>0</v>
      </c>
      <c r="AV384" s="26">
        <f t="shared" si="120"/>
        <v>7.6009501187648459E-2</v>
      </c>
      <c r="AW384" s="26">
        <f t="shared" si="121"/>
        <v>9.5011876484560567E-2</v>
      </c>
      <c r="AX384" s="26">
        <f t="shared" si="138"/>
        <v>0.83760683760683763</v>
      </c>
      <c r="AY384" s="24">
        <f t="shared" si="139"/>
        <v>0.83760683760683763</v>
      </c>
      <c r="AZ384" s="77" t="str">
        <f t="shared" si="124"/>
        <v>7,5 ≤ Alc. Bruta &lt; 10,0 mg/L</v>
      </c>
      <c r="BA384" s="77" t="str">
        <f t="shared" si="125"/>
        <v>5 ≤ Cor &lt; 10 uC</v>
      </c>
      <c r="BB384" s="78" t="str">
        <f t="shared" si="126"/>
        <v>Turbidez &lt; 2,5 uT</v>
      </c>
      <c r="BC384" s="79" t="str">
        <f t="shared" si="127"/>
        <v>Comb. diferentes</v>
      </c>
      <c r="BD384" s="78" t="str">
        <f t="shared" si="128"/>
        <v>Tipo 1 (≤0,25) uT</v>
      </c>
      <c r="BE384" s="78" t="str">
        <f t="shared" si="129"/>
        <v>Tipo 1 (≤0,25) uT</v>
      </c>
      <c r="BF384" s="78" t="str">
        <f t="shared" si="130"/>
        <v>Tipo 1 (≤0,25) uT</v>
      </c>
      <c r="BG384" s="78" t="str">
        <f t="shared" si="131"/>
        <v>Tipo 1 (≤0,25) uT</v>
      </c>
      <c r="BH384" s="78" t="str">
        <f t="shared" si="132"/>
        <v>Tipo 1 (≤0,25) uT</v>
      </c>
    </row>
    <row r="385" spans="1:60" ht="15.75" thickBot="1" x14ac:dyDescent="0.25">
      <c r="A385" s="30">
        <v>46301</v>
      </c>
      <c r="B385" s="82">
        <v>0.3125</v>
      </c>
      <c r="C385" s="59">
        <v>0</v>
      </c>
      <c r="D385" s="59">
        <v>1645</v>
      </c>
      <c r="E385" s="59">
        <v>0</v>
      </c>
      <c r="F385" s="59">
        <v>1645</v>
      </c>
      <c r="G385" s="87" t="s">
        <v>34</v>
      </c>
      <c r="H385" s="65">
        <v>10.5</v>
      </c>
      <c r="I385" s="59">
        <v>338</v>
      </c>
      <c r="J385" s="59">
        <v>90</v>
      </c>
      <c r="K385" s="59">
        <v>90</v>
      </c>
      <c r="L385" s="59">
        <v>90</v>
      </c>
      <c r="M385" s="59">
        <v>24.6</v>
      </c>
      <c r="N385" s="65">
        <v>6.5</v>
      </c>
      <c r="O385" s="38">
        <v>1.28</v>
      </c>
      <c r="P385" s="59">
        <v>9</v>
      </c>
      <c r="Q385" s="65">
        <v>8.1</v>
      </c>
      <c r="R385" s="38">
        <v>0.14000000000000001</v>
      </c>
      <c r="S385" s="36">
        <v>22.36</v>
      </c>
      <c r="T385" s="36">
        <v>0.88</v>
      </c>
      <c r="U385" s="36">
        <v>0.7</v>
      </c>
      <c r="V385" s="42">
        <f t="shared" si="133"/>
        <v>1322.16875</v>
      </c>
      <c r="W385" s="42">
        <f t="shared" si="134"/>
        <v>1647.2300748799998</v>
      </c>
      <c r="X385" s="42">
        <f t="shared" si="135"/>
        <v>1.2458546421400443</v>
      </c>
      <c r="Y385" s="59">
        <v>3</v>
      </c>
      <c r="Z385" s="59">
        <v>4</v>
      </c>
      <c r="AA385" s="65">
        <v>6.4</v>
      </c>
      <c r="AB385" s="59">
        <v>20.8</v>
      </c>
      <c r="AC385" s="65">
        <v>6.3</v>
      </c>
      <c r="AD385" s="65">
        <v>6.4</v>
      </c>
      <c r="AE385" s="38">
        <v>0.2</v>
      </c>
      <c r="AF385" s="38">
        <v>0.19</v>
      </c>
      <c r="AG385" s="42">
        <f t="shared" si="115"/>
        <v>1762.8916666666667</v>
      </c>
      <c r="AH385" s="42">
        <f t="shared" si="136"/>
        <v>1917.9278596399995</v>
      </c>
      <c r="AI385" s="42">
        <f t="shared" si="137"/>
        <v>1.087944254264064</v>
      </c>
      <c r="AJ385" s="59">
        <v>3</v>
      </c>
      <c r="AK385" s="59">
        <v>3</v>
      </c>
      <c r="AL385" s="65">
        <v>6.3</v>
      </c>
      <c r="AM385" s="59">
        <v>24.7</v>
      </c>
      <c r="AN385" s="65">
        <v>6.3</v>
      </c>
      <c r="AO385" s="65">
        <v>6.8</v>
      </c>
      <c r="AP385" s="38">
        <v>0.2</v>
      </c>
      <c r="AQ385" s="38">
        <v>0.23</v>
      </c>
      <c r="AR385" s="73">
        <f t="shared" si="116"/>
        <v>1645</v>
      </c>
      <c r="AS385" s="75">
        <f t="shared" si="117"/>
        <v>0</v>
      </c>
      <c r="AT385" s="75">
        <f t="shared" si="118"/>
        <v>1</v>
      </c>
      <c r="AU385" s="75">
        <f t="shared" si="119"/>
        <v>0</v>
      </c>
      <c r="AV385" s="26">
        <f t="shared" si="120"/>
        <v>0.10115501519756839</v>
      </c>
      <c r="AW385" s="26">
        <f t="shared" si="121"/>
        <v>9.009118541033434E-2</v>
      </c>
      <c r="AX385" s="26">
        <f t="shared" si="138"/>
        <v>0.8203125</v>
      </c>
      <c r="AY385" s="24">
        <f t="shared" si="139"/>
        <v>0.8515625</v>
      </c>
      <c r="AZ385" s="77" t="str">
        <f t="shared" si="124"/>
        <v>7,5 ≤ Alc. Bruta &lt; 10,0 mg/L</v>
      </c>
      <c r="BA385" s="77" t="str">
        <f t="shared" si="125"/>
        <v>5 ≤ Cor &lt; 10 uC</v>
      </c>
      <c r="BB385" s="78" t="str">
        <f t="shared" si="126"/>
        <v>Turbidez &lt; 2,5 uT</v>
      </c>
      <c r="BC385" s="79" t="str">
        <f t="shared" si="127"/>
        <v>Comb. diferentes</v>
      </c>
      <c r="BD385" s="78" t="str">
        <f t="shared" si="128"/>
        <v>Tipo 1 (≤0,25) uT</v>
      </c>
      <c r="BE385" s="78" t="str">
        <f t="shared" si="129"/>
        <v>Tipo 1 (≤0,25) uT</v>
      </c>
      <c r="BF385" s="78" t="str">
        <f t="shared" si="130"/>
        <v>Tipo 1 (≤0,25) uT</v>
      </c>
      <c r="BG385" s="78" t="str">
        <f t="shared" si="131"/>
        <v>Tipo 1 (≤0,25) uT</v>
      </c>
      <c r="BH385" s="78" t="str">
        <f t="shared" si="132"/>
        <v>Tipo 1 (≤0,25) uT</v>
      </c>
    </row>
    <row r="386" spans="1:60" ht="15.75" thickBot="1" x14ac:dyDescent="0.25">
      <c r="A386" s="31">
        <v>46301</v>
      </c>
      <c r="B386" s="80">
        <v>0.47916666666666669</v>
      </c>
      <c r="C386" s="59">
        <v>0</v>
      </c>
      <c r="D386" s="57">
        <v>1648</v>
      </c>
      <c r="E386" s="57">
        <v>550</v>
      </c>
      <c r="F386" s="57">
        <v>2200</v>
      </c>
      <c r="G386" s="85" t="s">
        <v>34</v>
      </c>
      <c r="H386" s="63">
        <v>10.4</v>
      </c>
      <c r="I386" s="57">
        <v>34.6</v>
      </c>
      <c r="J386" s="57">
        <v>90</v>
      </c>
      <c r="K386" s="57">
        <v>90</v>
      </c>
      <c r="L386" s="57">
        <v>90</v>
      </c>
      <c r="M386" s="57">
        <v>24.7</v>
      </c>
      <c r="N386" s="63">
        <v>6.7</v>
      </c>
      <c r="O386" s="36">
        <v>1.22</v>
      </c>
      <c r="P386" s="57">
        <v>9</v>
      </c>
      <c r="Q386" s="63">
        <v>8.5</v>
      </c>
      <c r="R386" s="36">
        <v>0.13</v>
      </c>
      <c r="S386" s="36">
        <v>22.36</v>
      </c>
      <c r="T386" s="36">
        <v>0.88</v>
      </c>
      <c r="U386" s="36">
        <v>0.7</v>
      </c>
      <c r="V386" s="42">
        <f t="shared" si="133"/>
        <v>2324.6666666666665</v>
      </c>
      <c r="W386" s="42">
        <f t="shared" si="134"/>
        <v>1648.9649291440001</v>
      </c>
      <c r="X386" s="42">
        <f t="shared" si="135"/>
        <v>0.7093339242087755</v>
      </c>
      <c r="Y386" s="57">
        <v>3</v>
      </c>
      <c r="Z386" s="57">
        <v>3</v>
      </c>
      <c r="AA386" s="63">
        <v>6.17</v>
      </c>
      <c r="AB386" s="57">
        <v>21.8</v>
      </c>
      <c r="AC386" s="63">
        <v>6.7</v>
      </c>
      <c r="AD386" s="63">
        <v>6.5</v>
      </c>
      <c r="AE386" s="36">
        <v>0.17</v>
      </c>
      <c r="AF386" s="36">
        <v>0.2</v>
      </c>
      <c r="AG386" s="42">
        <f t="shared" ref="AG386:AG449" si="140">(O386+0.3*H386+2)*(F386/2/AK386)</f>
        <v>1743.5</v>
      </c>
      <c r="AH386" s="42">
        <f t="shared" si="136"/>
        <v>1925.6927497599997</v>
      </c>
      <c r="AI386" s="42">
        <f t="shared" si="137"/>
        <v>1.1044982791855462</v>
      </c>
      <c r="AJ386" s="57">
        <v>3</v>
      </c>
      <c r="AK386" s="57">
        <v>4</v>
      </c>
      <c r="AL386" s="63">
        <v>6.3</v>
      </c>
      <c r="AM386" s="57">
        <v>24.8</v>
      </c>
      <c r="AN386" s="63">
        <v>6.4</v>
      </c>
      <c r="AO386" s="63">
        <v>6.6</v>
      </c>
      <c r="AP386" s="36">
        <v>0.17</v>
      </c>
      <c r="AQ386" s="36">
        <v>0.22</v>
      </c>
      <c r="AR386" s="73">
        <f t="shared" ref="AR386:AR449" si="141">SUM(C386:E386)</f>
        <v>2198</v>
      </c>
      <c r="AS386" s="75">
        <f t="shared" ref="AS386:AS449" si="142">C386/AR386</f>
        <v>0</v>
      </c>
      <c r="AT386" s="75">
        <f t="shared" ref="AT386:AT449" si="143">D386/AR386</f>
        <v>0.74977252047315746</v>
      </c>
      <c r="AU386" s="75">
        <f t="shared" ref="AU386:AU449" si="144">E386/AR386</f>
        <v>0.2502274795268426</v>
      </c>
      <c r="AV386" s="26">
        <f t="shared" ref="AV386:AV449" si="145">IF(AND(F386&lt;&gt;"",Z386&lt;&gt;""),AB386/(F386/2/Z386),"")</f>
        <v>5.9454545454545454E-2</v>
      </c>
      <c r="AW386" s="26">
        <f t="shared" ref="AW386:AW449" si="146">IF(AND(F386&lt;&gt;"",AK386&lt;&gt;""),AM386/(F386/2/AK386),"")</f>
        <v>9.0181818181818182E-2</v>
      </c>
      <c r="AX386" s="26">
        <f t="shared" si="138"/>
        <v>0.81967213114754101</v>
      </c>
      <c r="AY386" s="24">
        <f t="shared" si="139"/>
        <v>0.83606557377049184</v>
      </c>
      <c r="AZ386" s="77" t="str">
        <f t="shared" ref="AZ386:AZ449" si="147">IF(Q386="","",IF(Q386&lt;2.5,"Alc. Bruta &lt; 2,5 mg/L",IF(Q386&lt;5,"2,5 ≤ Alc. Bruta &lt; 5,0 mg/L",IF(Q386&lt;7.5,"5,0 ≤ Alc. Bruta &lt; 7,5 mg/L",IF(Q386&lt;10,"7,5 ≤ Alc. Bruta &lt; 10,0 mg/L",IF(Q386&lt;15,"10,0 ≤ Alca. Bruta &lt; 15,0 mg/L","Alc. Bruta &gt; 15 mg/L"))))))</f>
        <v>7,5 ≤ Alc. Bruta &lt; 10,0 mg/L</v>
      </c>
      <c r="BA386" s="77" t="str">
        <f t="shared" ref="BA386:BA449" si="148">IF(P386="","",IF(P386&lt;5,"Cor &lt;5 uC",IF(P386&lt;10,"5 ≤ Cor &lt; 10 uC",IF(P386&lt;15,"10 ≤ Cor &lt;15 uC",IF(P386&lt;30,"15 ≤ Cor &lt; 30 uC",IF(P386&lt;50,"30 ≤ Cor &lt; 50 uC","Cor &gt; 50 uC"))))))</f>
        <v>5 ≤ Cor &lt; 10 uC</v>
      </c>
      <c r="BB386" s="78" t="str">
        <f t="shared" ref="BB386:BB449" si="149">IF(O386="","",IF(O386&lt;2.5,"Turbidez &lt; 2,5 uT",IF(O386&lt;5,"2,5 ≤ Turb &lt; 5,0 uT",IF(O386&lt;7.5,"5,0 ≤ Turb &lt; 7,5 uT",IF(O386&lt;10,"7,5 ≤ Turb &lt; 10,0 uT",IF(O386&lt;15,"10,0 ≤ Turb &lt; 15,0 uT","Turb &gt; 15 uT"))))))</f>
        <v>Turbidez &lt; 2,5 uT</v>
      </c>
      <c r="BC386" s="79" t="str">
        <f t="shared" ref="BC386:BC449" si="150">IF(AND(C386&gt;D386,D386&gt;E386),"TOR &gt; SM &gt; BNN",IF(AND(C386&gt;E386,E386&gt;D386),"TOR &gt; BNN &gt; SM",IF(AND(D386&gt;C386,C386&gt;E386),"SM &gt; TOR &gt; BNN",IF(AND(D386&gt;E386,E386&gt;C386),"SM &gt; BNN &gt; TOR",IF(AND(C386=D386,D386=E386),"TOR = SM = BNN","Comb. diferentes")))))</f>
        <v>SM &gt; BNN &gt; TOR</v>
      </c>
      <c r="BD386" s="78" t="str">
        <f t="shared" ref="BD386:BD449" si="151">IF(OR(AE386="",AQ386="-"),"",IF(AE386&lt;=0.25,"Tipo 1 (≤0,25) uT",IF(AE386&lt;=0.5,"Tipo 2 (0,25-0,50) uT",IF(AE386&lt;=0.75,"Tipo 3 (0,50-0,75) uT","Tipo 4 (&gt;0,75) uT"))))</f>
        <v>Tipo 1 (≤0,25) uT</v>
      </c>
      <c r="BE386" s="78" t="str">
        <f t="shared" ref="BE386:BE449" si="152">IF(OR(AP386="",AZ386="-"),"",IF(AP386&lt;=0.25,"Tipo 1 (≤0,25) uT",IF(AP386&lt;=0.5,"Tipo 2 (0,25-0,50) uT",IF(AP386&lt;=0.75,"Tipo 3 (0,50-0,75) uT","Tipo 4 (&gt;0,75) uT"))))</f>
        <v>Tipo 1 (≤0,25) uT</v>
      </c>
      <c r="BF386" s="78" t="str">
        <f t="shared" ref="BF386:BF449" si="153">IF(OR(AF386="",AQ386="-"),"",IF(AF386&lt;=0.25,"Tipo 1 (≤0,25) uT",IF(AF386&lt;=0.5,"Tipo 2 (0,25-0,50) uT",IF(AF386&lt;=0.75,"Tipo 3 (0,50-0,75) uT","Tipo 4 (&gt;0,75) uT"))))</f>
        <v>Tipo 1 (≤0,25) uT</v>
      </c>
      <c r="BG386" s="78" t="str">
        <f t="shared" ref="BG386:BG449" si="154">IF(OR(AQ386="",AQ386="-"),"",IF(AQ386&lt;=0.25,"Tipo 1 (≤0,25) uT",IF(AQ386&lt;=0.5,"Tipo 2 (0,25-0,50) uT",IF(AQ386&lt;=0.75,"Tipo 3 (0,50-0,75) uT","Tipo 4 (&gt;0,75) uT"))))</f>
        <v>Tipo 1 (≤0,25) uT</v>
      </c>
      <c r="BH386" s="78" t="str">
        <f t="shared" ref="BH386:BH449" si="155">IF(OR(R386="",R386="-"),"",IF(R386&lt;=0.25,"Tipo 1 (≤0,25) uT",IF(R386&lt;=0.5,"Tipo 2 (0,25-0,50) uT",IF(R386&lt;=0.75,"Tipo 3 (0,50-0,75) uT","Tipo 4 (&gt;0,75) uT"))))</f>
        <v>Tipo 1 (≤0,25) uT</v>
      </c>
    </row>
    <row r="387" spans="1:60" ht="15.75" thickBot="1" x14ac:dyDescent="0.25">
      <c r="A387" s="31">
        <v>46301</v>
      </c>
      <c r="B387" s="80">
        <v>0.72916666666666663</v>
      </c>
      <c r="C387" s="59">
        <v>0</v>
      </c>
      <c r="D387" s="57">
        <v>2020</v>
      </c>
      <c r="E387" s="57">
        <v>300</v>
      </c>
      <c r="F387" s="57">
        <v>2400</v>
      </c>
      <c r="G387" s="85" t="s">
        <v>78</v>
      </c>
      <c r="H387" s="63">
        <v>10.4</v>
      </c>
      <c r="I387" s="57">
        <v>34</v>
      </c>
      <c r="J387" s="57">
        <v>90</v>
      </c>
      <c r="K387" s="57">
        <v>90</v>
      </c>
      <c r="L387" s="57">
        <v>90</v>
      </c>
      <c r="M387" s="57">
        <v>24.8</v>
      </c>
      <c r="N387" s="63">
        <v>6.7</v>
      </c>
      <c r="O387" s="36">
        <v>1.25</v>
      </c>
      <c r="P387" s="57">
        <v>10</v>
      </c>
      <c r="Q387" s="63">
        <v>8.1999999999999993</v>
      </c>
      <c r="R387" s="36">
        <v>0.15</v>
      </c>
      <c r="S387" s="36">
        <v>22.36</v>
      </c>
      <c r="T387" s="36">
        <v>0.88</v>
      </c>
      <c r="U387" s="36">
        <v>0.7</v>
      </c>
      <c r="V387" s="42">
        <f t="shared" ref="V387:V450" si="156">(O387+0.3*H387+2)*(F387/2/Z387)</f>
        <v>2548</v>
      </c>
      <c r="W387" s="42">
        <f t="shared" ref="W387:W450" si="157">S387*(U387*AA387*0.987-T387)*AB387</f>
        <v>1656.528988452</v>
      </c>
      <c r="X387" s="42">
        <f t="shared" ref="X387:X450" si="158">W387/V387</f>
        <v>0.65012911634693882</v>
      </c>
      <c r="Y387" s="57">
        <v>3</v>
      </c>
      <c r="Z387" s="57">
        <v>3</v>
      </c>
      <c r="AA387" s="63">
        <v>6.17</v>
      </c>
      <c r="AB387" s="57">
        <v>21.9</v>
      </c>
      <c r="AC387" s="63">
        <v>6.7</v>
      </c>
      <c r="AD387" s="63">
        <v>6.6</v>
      </c>
      <c r="AE387" s="36">
        <v>0.18</v>
      </c>
      <c r="AF387" s="36">
        <v>0.22</v>
      </c>
      <c r="AG387" s="42">
        <f t="shared" si="140"/>
        <v>1911</v>
      </c>
      <c r="AH387" s="42">
        <f t="shared" ref="AH387:AH450" si="159">S387*(U387*AL387*0.987-T387)*AM387</f>
        <v>1964.00508928</v>
      </c>
      <c r="AI387" s="42">
        <f t="shared" ref="AI387:AI450" si="160">AH387/AG387</f>
        <v>1.0277368337414965</v>
      </c>
      <c r="AJ387" s="57">
        <v>3</v>
      </c>
      <c r="AK387" s="57">
        <v>4</v>
      </c>
      <c r="AL387" s="63">
        <v>6.4</v>
      </c>
      <c r="AM387" s="57">
        <v>24.8</v>
      </c>
      <c r="AN387" s="63">
        <v>6.5</v>
      </c>
      <c r="AO387" s="63">
        <v>6.6</v>
      </c>
      <c r="AP387" s="36">
        <v>0.19</v>
      </c>
      <c r="AQ387" s="36">
        <v>0.09</v>
      </c>
      <c r="AR387" s="73">
        <f t="shared" si="141"/>
        <v>2320</v>
      </c>
      <c r="AS387" s="75">
        <f t="shared" si="142"/>
        <v>0</v>
      </c>
      <c r="AT387" s="75">
        <f t="shared" si="143"/>
        <v>0.87068965517241381</v>
      </c>
      <c r="AU387" s="75">
        <f t="shared" si="144"/>
        <v>0.12931034482758622</v>
      </c>
      <c r="AV387" s="26">
        <f t="shared" si="145"/>
        <v>5.4749999999999993E-2</v>
      </c>
      <c r="AW387" s="26">
        <f t="shared" si="146"/>
        <v>8.2666666666666666E-2</v>
      </c>
      <c r="AX387" s="26">
        <f t="shared" ref="AX387:AX418" si="161">IF(AND(AQ387&lt;&gt;"",1-(AQ387/O387)&gt;0),1-(AQ387/O387),"")</f>
        <v>0.92800000000000005</v>
      </c>
      <c r="AY387" s="24">
        <f t="shared" ref="AY387:AY418" si="162">IF(AND(AF387&lt;&gt;"",1-(AF387/O387)&gt;0),1-(AF387/O387),"")</f>
        <v>0.82400000000000007</v>
      </c>
      <c r="AZ387" s="77" t="str">
        <f t="shared" si="147"/>
        <v>7,5 ≤ Alc. Bruta &lt; 10,0 mg/L</v>
      </c>
      <c r="BA387" s="77" t="str">
        <f t="shared" si="148"/>
        <v>10 ≤ Cor &lt;15 uC</v>
      </c>
      <c r="BB387" s="78" t="str">
        <f t="shared" si="149"/>
        <v>Turbidez &lt; 2,5 uT</v>
      </c>
      <c r="BC387" s="79" t="str">
        <f t="shared" si="150"/>
        <v>SM &gt; BNN &gt; TOR</v>
      </c>
      <c r="BD387" s="78" t="str">
        <f t="shared" si="151"/>
        <v>Tipo 1 (≤0,25) uT</v>
      </c>
      <c r="BE387" s="78" t="str">
        <f t="shared" si="152"/>
        <v>Tipo 1 (≤0,25) uT</v>
      </c>
      <c r="BF387" s="78" t="str">
        <f t="shared" si="153"/>
        <v>Tipo 1 (≤0,25) uT</v>
      </c>
      <c r="BG387" s="78" t="str">
        <f t="shared" si="154"/>
        <v>Tipo 1 (≤0,25) uT</v>
      </c>
      <c r="BH387" s="78" t="str">
        <f t="shared" si="155"/>
        <v>Tipo 1 (≤0,25) uT</v>
      </c>
    </row>
    <row r="388" spans="1:60" ht="15.75" thickBot="1" x14ac:dyDescent="0.25">
      <c r="A388" s="31">
        <v>46301</v>
      </c>
      <c r="B388" s="80">
        <v>0.8125</v>
      </c>
      <c r="C388" s="59">
        <v>0</v>
      </c>
      <c r="D388" s="57">
        <v>2019</v>
      </c>
      <c r="E388" s="57">
        <v>268</v>
      </c>
      <c r="F388" s="57">
        <v>2461</v>
      </c>
      <c r="G388" s="85" t="s">
        <v>78</v>
      </c>
      <c r="H388" s="63">
        <v>10.4</v>
      </c>
      <c r="I388" s="57">
        <v>34</v>
      </c>
      <c r="J388" s="57">
        <v>90</v>
      </c>
      <c r="K388" s="57">
        <v>90</v>
      </c>
      <c r="L388" s="57">
        <v>90</v>
      </c>
      <c r="M388" s="57">
        <v>24.5</v>
      </c>
      <c r="N388" s="63">
        <v>6.4</v>
      </c>
      <c r="O388" s="36">
        <v>3.03</v>
      </c>
      <c r="P388" s="57">
        <v>7</v>
      </c>
      <c r="Q388" s="63">
        <v>8.3000000000000007</v>
      </c>
      <c r="R388" s="36">
        <v>0.15</v>
      </c>
      <c r="S388" s="36">
        <v>22.36</v>
      </c>
      <c r="T388" s="36">
        <v>0.88</v>
      </c>
      <c r="U388" s="36">
        <v>0.7</v>
      </c>
      <c r="V388" s="42">
        <f t="shared" si="156"/>
        <v>3342.8583333333336</v>
      </c>
      <c r="W388" s="42">
        <f t="shared" si="157"/>
        <v>1636.2370492</v>
      </c>
      <c r="X388" s="42">
        <f t="shared" si="158"/>
        <v>0.48947244724200595</v>
      </c>
      <c r="Y388" s="57">
        <v>3</v>
      </c>
      <c r="Z388" s="57">
        <v>3</v>
      </c>
      <c r="AA388" s="63">
        <v>6.2</v>
      </c>
      <c r="AB388" s="57">
        <v>21.5</v>
      </c>
      <c r="AC388" s="63">
        <v>6.4</v>
      </c>
      <c r="AD388" s="63">
        <v>5.8</v>
      </c>
      <c r="AE388" s="36">
        <v>0.1</v>
      </c>
      <c r="AF388" s="36">
        <v>0.17</v>
      </c>
      <c r="AG388" s="42">
        <f t="shared" si="140"/>
        <v>2507.1437500000002</v>
      </c>
      <c r="AH388" s="42">
        <f t="shared" si="159"/>
        <v>1900.6500864</v>
      </c>
      <c r="AI388" s="42">
        <f t="shared" si="160"/>
        <v>0.75809378157913754</v>
      </c>
      <c r="AJ388" s="57">
        <v>3</v>
      </c>
      <c r="AK388" s="57">
        <v>4</v>
      </c>
      <c r="AL388" s="63">
        <v>6.4</v>
      </c>
      <c r="AM388" s="57">
        <v>24</v>
      </c>
      <c r="AN388" s="63">
        <v>6.4</v>
      </c>
      <c r="AO388" s="63">
        <v>6</v>
      </c>
      <c r="AP388" s="36">
        <v>0.1</v>
      </c>
      <c r="AQ388" s="36">
        <v>0.1</v>
      </c>
      <c r="AR388" s="73">
        <f t="shared" si="141"/>
        <v>2287</v>
      </c>
      <c r="AS388" s="75">
        <f t="shared" si="142"/>
        <v>0</v>
      </c>
      <c r="AT388" s="75">
        <f t="shared" si="143"/>
        <v>0.88281591604722343</v>
      </c>
      <c r="AU388" s="75">
        <f t="shared" si="144"/>
        <v>0.11718408395277656</v>
      </c>
      <c r="AV388" s="26">
        <f t="shared" si="145"/>
        <v>5.2417716375457127E-2</v>
      </c>
      <c r="AW388" s="26">
        <f t="shared" si="146"/>
        <v>7.8017066233238522E-2</v>
      </c>
      <c r="AX388" s="26">
        <f t="shared" si="161"/>
        <v>0.96699669966996704</v>
      </c>
      <c r="AY388" s="24">
        <f t="shared" si="162"/>
        <v>0.94389438943894388</v>
      </c>
      <c r="AZ388" s="77" t="str">
        <f t="shared" si="147"/>
        <v>7,5 ≤ Alc. Bruta &lt; 10,0 mg/L</v>
      </c>
      <c r="BA388" s="77" t="str">
        <f t="shared" si="148"/>
        <v>5 ≤ Cor &lt; 10 uC</v>
      </c>
      <c r="BB388" s="78" t="str">
        <f t="shared" si="149"/>
        <v>2,5 ≤ Turb &lt; 5,0 uT</v>
      </c>
      <c r="BC388" s="79" t="str">
        <f t="shared" si="150"/>
        <v>SM &gt; BNN &gt; TOR</v>
      </c>
      <c r="BD388" s="78" t="str">
        <f t="shared" si="151"/>
        <v>Tipo 1 (≤0,25) uT</v>
      </c>
      <c r="BE388" s="78" t="str">
        <f t="shared" si="152"/>
        <v>Tipo 1 (≤0,25) uT</v>
      </c>
      <c r="BF388" s="78" t="str">
        <f t="shared" si="153"/>
        <v>Tipo 1 (≤0,25) uT</v>
      </c>
      <c r="BG388" s="78" t="str">
        <f t="shared" si="154"/>
        <v>Tipo 1 (≤0,25) uT</v>
      </c>
      <c r="BH388" s="78" t="str">
        <f t="shared" si="155"/>
        <v>Tipo 1 (≤0,25) uT</v>
      </c>
    </row>
    <row r="389" spans="1:60" ht="15.75" thickBot="1" x14ac:dyDescent="0.25">
      <c r="A389" s="31">
        <v>46301</v>
      </c>
      <c r="B389" s="80">
        <v>0.89583333333333337</v>
      </c>
      <c r="C389" s="59">
        <v>0</v>
      </c>
      <c r="D389" s="57">
        <v>1964</v>
      </c>
      <c r="E389" s="57">
        <v>268</v>
      </c>
      <c r="F389" s="57">
        <v>2537</v>
      </c>
      <c r="G389" s="85" t="s">
        <v>78</v>
      </c>
      <c r="H389" s="63">
        <v>10.4</v>
      </c>
      <c r="I389" s="57">
        <v>34</v>
      </c>
      <c r="J389" s="57">
        <v>90</v>
      </c>
      <c r="K389" s="57">
        <v>90</v>
      </c>
      <c r="L389" s="57">
        <v>90</v>
      </c>
      <c r="M389" s="57">
        <v>25.1</v>
      </c>
      <c r="N389" s="63">
        <v>6.4</v>
      </c>
      <c r="O389" s="36">
        <v>2.58</v>
      </c>
      <c r="P389" s="57">
        <v>16</v>
      </c>
      <c r="Q389" s="63">
        <v>7.9</v>
      </c>
      <c r="R389" s="36">
        <v>0.16</v>
      </c>
      <c r="S389" s="36">
        <v>22.36</v>
      </c>
      <c r="T389" s="36">
        <v>0.88</v>
      </c>
      <c r="U389" s="36">
        <v>0.7</v>
      </c>
      <c r="V389" s="42">
        <f t="shared" si="156"/>
        <v>3255.8166666666666</v>
      </c>
      <c r="W389" s="42">
        <f t="shared" si="157"/>
        <v>1674.2890735999999</v>
      </c>
      <c r="X389" s="42">
        <f t="shared" si="158"/>
        <v>0.51424550121065371</v>
      </c>
      <c r="Y389" s="57">
        <v>2</v>
      </c>
      <c r="Z389" s="57">
        <v>3</v>
      </c>
      <c r="AA389" s="63">
        <v>6.2</v>
      </c>
      <c r="AB389" s="57">
        <v>22</v>
      </c>
      <c r="AC389" s="63">
        <v>6.1</v>
      </c>
      <c r="AD389" s="63">
        <v>5.6</v>
      </c>
      <c r="AE389" s="36">
        <v>0.16</v>
      </c>
      <c r="AF389" s="36">
        <v>0.14000000000000001</v>
      </c>
      <c r="AG389" s="42">
        <f t="shared" si="140"/>
        <v>2441.8625000000002</v>
      </c>
      <c r="AH389" s="42">
        <f t="shared" si="159"/>
        <v>1900.6500864</v>
      </c>
      <c r="AI389" s="42">
        <f t="shared" si="160"/>
        <v>0.7783608153202729</v>
      </c>
      <c r="AJ389" s="57">
        <v>2</v>
      </c>
      <c r="AK389" s="57">
        <v>4</v>
      </c>
      <c r="AL389" s="63">
        <v>6.4</v>
      </c>
      <c r="AM389" s="57">
        <v>24</v>
      </c>
      <c r="AN389" s="63">
        <v>6.1</v>
      </c>
      <c r="AO389" s="63">
        <v>6</v>
      </c>
      <c r="AP389" s="36">
        <v>0.13</v>
      </c>
      <c r="AQ389" s="36">
        <v>0.13</v>
      </c>
      <c r="AR389" s="73">
        <f t="shared" si="141"/>
        <v>2232</v>
      </c>
      <c r="AS389" s="75">
        <f t="shared" si="142"/>
        <v>0</v>
      </c>
      <c r="AT389" s="75">
        <f t="shared" si="143"/>
        <v>0.87992831541218641</v>
      </c>
      <c r="AU389" s="75">
        <f t="shared" si="144"/>
        <v>0.12007168458781362</v>
      </c>
      <c r="AV389" s="26">
        <f t="shared" si="145"/>
        <v>5.2029956641702804E-2</v>
      </c>
      <c r="AW389" s="26">
        <f t="shared" si="146"/>
        <v>7.5679936933385886E-2</v>
      </c>
      <c r="AX389" s="26">
        <f t="shared" si="161"/>
        <v>0.94961240310077522</v>
      </c>
      <c r="AY389" s="24">
        <f t="shared" si="162"/>
        <v>0.94573643410852715</v>
      </c>
      <c r="AZ389" s="77" t="str">
        <f t="shared" si="147"/>
        <v>7,5 ≤ Alc. Bruta &lt; 10,0 mg/L</v>
      </c>
      <c r="BA389" s="77" t="str">
        <f t="shared" si="148"/>
        <v>15 ≤ Cor &lt; 30 uC</v>
      </c>
      <c r="BB389" s="78" t="str">
        <f t="shared" si="149"/>
        <v>2,5 ≤ Turb &lt; 5,0 uT</v>
      </c>
      <c r="BC389" s="79" t="str">
        <f t="shared" si="150"/>
        <v>SM &gt; BNN &gt; TOR</v>
      </c>
      <c r="BD389" s="78" t="str">
        <f t="shared" si="151"/>
        <v>Tipo 1 (≤0,25) uT</v>
      </c>
      <c r="BE389" s="78" t="str">
        <f t="shared" si="152"/>
        <v>Tipo 1 (≤0,25) uT</v>
      </c>
      <c r="BF389" s="78" t="str">
        <f t="shared" si="153"/>
        <v>Tipo 1 (≤0,25) uT</v>
      </c>
      <c r="BG389" s="78" t="str">
        <f t="shared" si="154"/>
        <v>Tipo 1 (≤0,25) uT</v>
      </c>
      <c r="BH389" s="78" t="str">
        <f t="shared" si="155"/>
        <v>Tipo 1 (≤0,25) uT</v>
      </c>
    </row>
    <row r="390" spans="1:60" ht="15.75" thickBot="1" x14ac:dyDescent="0.25">
      <c r="A390" s="31">
        <v>46302</v>
      </c>
      <c r="B390" s="80">
        <v>6.25E-2</v>
      </c>
      <c r="C390" s="59">
        <v>0</v>
      </c>
      <c r="D390" s="57">
        <v>2042</v>
      </c>
      <c r="E390" s="57">
        <v>269</v>
      </c>
      <c r="F390" s="57">
        <v>2341</v>
      </c>
      <c r="G390" s="85" t="s">
        <v>78</v>
      </c>
      <c r="H390" s="63">
        <v>10.4</v>
      </c>
      <c r="I390" s="57">
        <v>34</v>
      </c>
      <c r="J390" s="57">
        <v>90</v>
      </c>
      <c r="K390" s="57">
        <v>90</v>
      </c>
      <c r="L390" s="57">
        <v>90</v>
      </c>
      <c r="M390" s="57">
        <v>24.4</v>
      </c>
      <c r="N390" s="63">
        <v>6.5</v>
      </c>
      <c r="O390" s="36">
        <v>2.31</v>
      </c>
      <c r="P390" s="57">
        <v>11</v>
      </c>
      <c r="Q390" s="63">
        <v>8</v>
      </c>
      <c r="R390" s="36">
        <v>0.16</v>
      </c>
      <c r="S390" s="36">
        <v>22.36</v>
      </c>
      <c r="T390" s="36">
        <v>0.88</v>
      </c>
      <c r="U390" s="36">
        <v>0.7</v>
      </c>
      <c r="V390" s="42">
        <f t="shared" si="156"/>
        <v>4348.4075000000003</v>
      </c>
      <c r="W390" s="42">
        <f t="shared" si="157"/>
        <v>1522.080976</v>
      </c>
      <c r="X390" s="42">
        <f t="shared" si="158"/>
        <v>0.35003181647534182</v>
      </c>
      <c r="Y390" s="57">
        <v>3</v>
      </c>
      <c r="Z390" s="57">
        <v>2</v>
      </c>
      <c r="AA390" s="63">
        <v>6.2</v>
      </c>
      <c r="AB390" s="57">
        <v>20</v>
      </c>
      <c r="AC390" s="63">
        <v>6.2</v>
      </c>
      <c r="AD390" s="63">
        <v>5.9</v>
      </c>
      <c r="AE390" s="36">
        <v>0.19</v>
      </c>
      <c r="AF390" s="36">
        <v>0.2</v>
      </c>
      <c r="AG390" s="42">
        <f t="shared" si="140"/>
        <v>2174.2037500000001</v>
      </c>
      <c r="AH390" s="42">
        <f t="shared" si="159"/>
        <v>1900.6500864</v>
      </c>
      <c r="AI390" s="42">
        <f t="shared" si="160"/>
        <v>0.87418213973736358</v>
      </c>
      <c r="AJ390" s="57">
        <v>2</v>
      </c>
      <c r="AK390" s="57">
        <v>4</v>
      </c>
      <c r="AL390" s="63">
        <v>6.4</v>
      </c>
      <c r="AM390" s="57">
        <v>24</v>
      </c>
      <c r="AN390" s="63">
        <v>6.1</v>
      </c>
      <c r="AO390" s="63">
        <v>5.8</v>
      </c>
      <c r="AP390" s="36">
        <v>0.16</v>
      </c>
      <c r="AQ390" s="36">
        <v>0.17</v>
      </c>
      <c r="AR390" s="73">
        <f t="shared" si="141"/>
        <v>2311</v>
      </c>
      <c r="AS390" s="75">
        <f t="shared" si="142"/>
        <v>0</v>
      </c>
      <c r="AT390" s="75">
        <f t="shared" si="143"/>
        <v>0.88360017308524452</v>
      </c>
      <c r="AU390" s="75">
        <f t="shared" si="144"/>
        <v>0.11639982691475552</v>
      </c>
      <c r="AV390" s="26">
        <f t="shared" si="145"/>
        <v>3.4173430158052118E-2</v>
      </c>
      <c r="AW390" s="26">
        <f t="shared" si="146"/>
        <v>8.201623237932508E-2</v>
      </c>
      <c r="AX390" s="26">
        <f t="shared" si="161"/>
        <v>0.92640692640692635</v>
      </c>
      <c r="AY390" s="24">
        <f t="shared" si="162"/>
        <v>0.91341991341991347</v>
      </c>
      <c r="AZ390" s="77" t="str">
        <f t="shared" si="147"/>
        <v>7,5 ≤ Alc. Bruta &lt; 10,0 mg/L</v>
      </c>
      <c r="BA390" s="77" t="str">
        <f t="shared" si="148"/>
        <v>10 ≤ Cor &lt;15 uC</v>
      </c>
      <c r="BB390" s="78" t="str">
        <f t="shared" si="149"/>
        <v>Turbidez &lt; 2,5 uT</v>
      </c>
      <c r="BC390" s="79" t="str">
        <f t="shared" si="150"/>
        <v>SM &gt; BNN &gt; TOR</v>
      </c>
      <c r="BD390" s="78" t="str">
        <f t="shared" si="151"/>
        <v>Tipo 1 (≤0,25) uT</v>
      </c>
      <c r="BE390" s="78" t="str">
        <f t="shared" si="152"/>
        <v>Tipo 1 (≤0,25) uT</v>
      </c>
      <c r="BF390" s="78" t="str">
        <f t="shared" si="153"/>
        <v>Tipo 1 (≤0,25) uT</v>
      </c>
      <c r="BG390" s="78" t="str">
        <f t="shared" si="154"/>
        <v>Tipo 1 (≤0,25) uT</v>
      </c>
      <c r="BH390" s="78" t="str">
        <f t="shared" si="155"/>
        <v>Tipo 1 (≤0,25) uT</v>
      </c>
    </row>
    <row r="391" spans="1:60" ht="15.75" thickBot="1" x14ac:dyDescent="0.25">
      <c r="A391" s="31">
        <v>46302</v>
      </c>
      <c r="B391" s="80">
        <v>0.14583333333333334</v>
      </c>
      <c r="C391" s="59">
        <v>0</v>
      </c>
      <c r="D391" s="57">
        <v>2019</v>
      </c>
      <c r="E391" s="57">
        <v>268</v>
      </c>
      <c r="F391" s="57">
        <v>2473</v>
      </c>
      <c r="G391" s="85" t="s">
        <v>78</v>
      </c>
      <c r="H391" s="63">
        <v>10.4</v>
      </c>
      <c r="I391" s="57">
        <v>33</v>
      </c>
      <c r="J391" s="57">
        <v>90</v>
      </c>
      <c r="K391" s="57">
        <v>90</v>
      </c>
      <c r="L391" s="57">
        <v>90</v>
      </c>
      <c r="M391" s="57">
        <v>24.1</v>
      </c>
      <c r="N391" s="63">
        <v>6.4</v>
      </c>
      <c r="O391" s="36">
        <v>1.7</v>
      </c>
      <c r="P391" s="57">
        <v>8</v>
      </c>
      <c r="Q391" s="63">
        <v>8.4</v>
      </c>
      <c r="R391" s="36">
        <v>0.16</v>
      </c>
      <c r="S391" s="36">
        <v>22.36</v>
      </c>
      <c r="T391" s="36">
        <v>0.88</v>
      </c>
      <c r="U391" s="36">
        <v>0.7</v>
      </c>
      <c r="V391" s="42">
        <f t="shared" si="156"/>
        <v>2810.9766666666669</v>
      </c>
      <c r="W391" s="42">
        <f t="shared" si="157"/>
        <v>1533.3012239999998</v>
      </c>
      <c r="X391" s="42">
        <f t="shared" si="158"/>
        <v>0.54546921081996402</v>
      </c>
      <c r="Y391" s="57">
        <v>2</v>
      </c>
      <c r="Z391" s="57">
        <v>3</v>
      </c>
      <c r="AA391" s="63">
        <v>6</v>
      </c>
      <c r="AB391" s="57">
        <v>21</v>
      </c>
      <c r="AC391" s="63">
        <v>6.1</v>
      </c>
      <c r="AD391" s="63">
        <v>5.8</v>
      </c>
      <c r="AE391" s="36">
        <v>0.15</v>
      </c>
      <c r="AF391" s="36">
        <v>0.19</v>
      </c>
      <c r="AG391" s="42">
        <f t="shared" si="140"/>
        <v>2108.2325000000001</v>
      </c>
      <c r="AH391" s="42">
        <f t="shared" si="159"/>
        <v>1789.4207135999998</v>
      </c>
      <c r="AI391" s="42">
        <f t="shared" si="160"/>
        <v>0.84877769107534373</v>
      </c>
      <c r="AJ391" s="57">
        <v>2</v>
      </c>
      <c r="AK391" s="57">
        <v>4</v>
      </c>
      <c r="AL391" s="63">
        <v>6.1</v>
      </c>
      <c r="AM391" s="57">
        <v>24</v>
      </c>
      <c r="AN391" s="63">
        <v>6.3</v>
      </c>
      <c r="AO391" s="63">
        <v>5.3</v>
      </c>
      <c r="AP391" s="36">
        <v>0.14000000000000001</v>
      </c>
      <c r="AQ391" s="36">
        <v>0.18</v>
      </c>
      <c r="AR391" s="73">
        <f t="shared" si="141"/>
        <v>2287</v>
      </c>
      <c r="AS391" s="75">
        <f t="shared" si="142"/>
        <v>0</v>
      </c>
      <c r="AT391" s="75">
        <f t="shared" si="143"/>
        <v>0.88281591604722343</v>
      </c>
      <c r="AU391" s="75">
        <f t="shared" si="144"/>
        <v>0.11718408395277656</v>
      </c>
      <c r="AV391" s="26">
        <f t="shared" si="145"/>
        <v>5.0950262838657501E-2</v>
      </c>
      <c r="AW391" s="26">
        <f t="shared" si="146"/>
        <v>7.7638495754144762E-2</v>
      </c>
      <c r="AX391" s="26">
        <f t="shared" si="161"/>
        <v>0.89411764705882357</v>
      </c>
      <c r="AY391" s="24">
        <f t="shared" si="162"/>
        <v>0.88823529411764701</v>
      </c>
      <c r="AZ391" s="77" t="str">
        <f t="shared" si="147"/>
        <v>7,5 ≤ Alc. Bruta &lt; 10,0 mg/L</v>
      </c>
      <c r="BA391" s="77" t="str">
        <f t="shared" si="148"/>
        <v>5 ≤ Cor &lt; 10 uC</v>
      </c>
      <c r="BB391" s="78" t="str">
        <f t="shared" si="149"/>
        <v>Turbidez &lt; 2,5 uT</v>
      </c>
      <c r="BC391" s="79" t="str">
        <f t="shared" si="150"/>
        <v>SM &gt; BNN &gt; TOR</v>
      </c>
      <c r="BD391" s="78" t="str">
        <f t="shared" si="151"/>
        <v>Tipo 1 (≤0,25) uT</v>
      </c>
      <c r="BE391" s="78" t="str">
        <f t="shared" si="152"/>
        <v>Tipo 1 (≤0,25) uT</v>
      </c>
      <c r="BF391" s="78" t="str">
        <f t="shared" si="153"/>
        <v>Tipo 1 (≤0,25) uT</v>
      </c>
      <c r="BG391" s="78" t="str">
        <f t="shared" si="154"/>
        <v>Tipo 1 (≤0,25) uT</v>
      </c>
      <c r="BH391" s="78" t="str">
        <f t="shared" si="155"/>
        <v>Tipo 1 (≤0,25) uT</v>
      </c>
    </row>
    <row r="392" spans="1:60" ht="15.75" thickBot="1" x14ac:dyDescent="0.25">
      <c r="A392" s="32">
        <v>46302</v>
      </c>
      <c r="B392" s="81">
        <v>0.22916666666666666</v>
      </c>
      <c r="C392" s="59">
        <v>0</v>
      </c>
      <c r="D392" s="58">
        <v>1283</v>
      </c>
      <c r="E392" s="58">
        <v>298</v>
      </c>
      <c r="F392" s="58">
        <v>1827</v>
      </c>
      <c r="G392" s="85" t="s">
        <v>78</v>
      </c>
      <c r="H392" s="64">
        <v>10.4</v>
      </c>
      <c r="I392" s="58">
        <v>33</v>
      </c>
      <c r="J392" s="58">
        <v>90</v>
      </c>
      <c r="K392" s="58">
        <v>90</v>
      </c>
      <c r="L392" s="58">
        <v>90</v>
      </c>
      <c r="M392" s="58">
        <v>24</v>
      </c>
      <c r="N392" s="64">
        <v>6.4</v>
      </c>
      <c r="O392" s="37">
        <v>1.67</v>
      </c>
      <c r="P392" s="58">
        <v>9</v>
      </c>
      <c r="Q392" s="64">
        <v>7.7</v>
      </c>
      <c r="R392" s="37">
        <v>0.16</v>
      </c>
      <c r="S392" s="36">
        <v>22.36</v>
      </c>
      <c r="T392" s="36">
        <v>0.88</v>
      </c>
      <c r="U392" s="36">
        <v>0.7</v>
      </c>
      <c r="V392" s="42">
        <f t="shared" si="156"/>
        <v>3101.3325</v>
      </c>
      <c r="W392" s="42">
        <f t="shared" si="157"/>
        <v>1565.7431243999997</v>
      </c>
      <c r="X392" s="42">
        <f t="shared" si="158"/>
        <v>0.5048614182452219</v>
      </c>
      <c r="Y392" s="58">
        <v>1</v>
      </c>
      <c r="Z392" s="58">
        <v>2</v>
      </c>
      <c r="AA392" s="64">
        <v>6.1</v>
      </c>
      <c r="AB392" s="58">
        <v>21</v>
      </c>
      <c r="AC392" s="64">
        <v>6.2</v>
      </c>
      <c r="AD392" s="64">
        <v>5.3</v>
      </c>
      <c r="AE392" s="37">
        <v>0.15</v>
      </c>
      <c r="AF392" s="37">
        <v>0.14000000000000001</v>
      </c>
      <c r="AG392" s="42">
        <f t="shared" si="140"/>
        <v>2067.5549999999998</v>
      </c>
      <c r="AH392" s="42">
        <f t="shared" si="159"/>
        <v>1925.6927497599997</v>
      </c>
      <c r="AI392" s="42">
        <f t="shared" si="160"/>
        <v>0.93138646844219375</v>
      </c>
      <c r="AJ392" s="58">
        <v>1</v>
      </c>
      <c r="AK392" s="58">
        <v>3</v>
      </c>
      <c r="AL392" s="64">
        <v>6.3</v>
      </c>
      <c r="AM392" s="58">
        <v>24.8</v>
      </c>
      <c r="AN392" s="64">
        <v>6.2</v>
      </c>
      <c r="AO392" s="64">
        <v>5.6</v>
      </c>
      <c r="AP392" s="37">
        <v>0.1</v>
      </c>
      <c r="AQ392" s="37">
        <v>0.16</v>
      </c>
      <c r="AR392" s="73">
        <f t="shared" si="141"/>
        <v>1581</v>
      </c>
      <c r="AS392" s="75">
        <f t="shared" si="142"/>
        <v>0</v>
      </c>
      <c r="AT392" s="75">
        <f t="shared" si="143"/>
        <v>0.81151170145477547</v>
      </c>
      <c r="AU392" s="75">
        <f t="shared" si="144"/>
        <v>0.18848829854522453</v>
      </c>
      <c r="AV392" s="26">
        <f t="shared" si="145"/>
        <v>4.5977011494252873E-2</v>
      </c>
      <c r="AW392" s="26">
        <f t="shared" si="146"/>
        <v>8.1444991789819385E-2</v>
      </c>
      <c r="AX392" s="26">
        <f t="shared" si="161"/>
        <v>0.90419161676646709</v>
      </c>
      <c r="AY392" s="24">
        <f t="shared" si="162"/>
        <v>0.91616766467065869</v>
      </c>
      <c r="AZ392" s="77" t="str">
        <f t="shared" si="147"/>
        <v>7,5 ≤ Alc. Bruta &lt; 10,0 mg/L</v>
      </c>
      <c r="BA392" s="77" t="str">
        <f t="shared" si="148"/>
        <v>5 ≤ Cor &lt; 10 uC</v>
      </c>
      <c r="BB392" s="78" t="str">
        <f t="shared" si="149"/>
        <v>Turbidez &lt; 2,5 uT</v>
      </c>
      <c r="BC392" s="79" t="str">
        <f t="shared" si="150"/>
        <v>SM &gt; BNN &gt; TOR</v>
      </c>
      <c r="BD392" s="78" t="str">
        <f t="shared" si="151"/>
        <v>Tipo 1 (≤0,25) uT</v>
      </c>
      <c r="BE392" s="78" t="str">
        <f t="shared" si="152"/>
        <v>Tipo 1 (≤0,25) uT</v>
      </c>
      <c r="BF392" s="78" t="str">
        <f t="shared" si="153"/>
        <v>Tipo 1 (≤0,25) uT</v>
      </c>
      <c r="BG392" s="78" t="str">
        <f t="shared" si="154"/>
        <v>Tipo 1 (≤0,25) uT</v>
      </c>
      <c r="BH392" s="78" t="str">
        <f t="shared" si="155"/>
        <v>Tipo 1 (≤0,25) uT</v>
      </c>
    </row>
    <row r="393" spans="1:60" x14ac:dyDescent="0.2">
      <c r="A393" s="30">
        <v>46302</v>
      </c>
      <c r="B393" s="82">
        <v>0.3125</v>
      </c>
      <c r="C393" s="59">
        <v>0</v>
      </c>
      <c r="D393" s="59">
        <v>2100</v>
      </c>
      <c r="E393" s="59">
        <v>300</v>
      </c>
      <c r="F393" s="59">
        <v>1696</v>
      </c>
      <c r="G393" s="87" t="s">
        <v>78</v>
      </c>
      <c r="H393" s="65">
        <v>10.4</v>
      </c>
      <c r="I393" s="59">
        <v>33</v>
      </c>
      <c r="J393" s="59">
        <v>90</v>
      </c>
      <c r="K393" s="59">
        <v>90</v>
      </c>
      <c r="L393" s="59">
        <v>90</v>
      </c>
      <c r="M393" s="59">
        <v>24</v>
      </c>
      <c r="N393" s="65">
        <v>6.5</v>
      </c>
      <c r="O393" s="38">
        <v>1.59</v>
      </c>
      <c r="P393" s="59">
        <v>10</v>
      </c>
      <c r="Q393" s="65">
        <v>7.4</v>
      </c>
      <c r="R393" s="38">
        <v>0.18</v>
      </c>
      <c r="S393" s="36">
        <v>22.36</v>
      </c>
      <c r="T393" s="36">
        <v>0.88</v>
      </c>
      <c r="U393" s="36">
        <v>0.7</v>
      </c>
      <c r="V393" s="42">
        <f t="shared" si="156"/>
        <v>1896.6933333333334</v>
      </c>
      <c r="W393" s="42">
        <f t="shared" si="157"/>
        <v>1491.1839279999999</v>
      </c>
      <c r="X393" s="42">
        <f t="shared" si="158"/>
        <v>0.78620191350560975</v>
      </c>
      <c r="Y393" s="59">
        <v>2</v>
      </c>
      <c r="Z393" s="59">
        <v>3</v>
      </c>
      <c r="AA393" s="65">
        <v>6.1</v>
      </c>
      <c r="AB393" s="59">
        <v>20</v>
      </c>
      <c r="AC393" s="65">
        <v>6.2</v>
      </c>
      <c r="AD393" s="65">
        <v>5.4</v>
      </c>
      <c r="AE393" s="38">
        <v>0.16</v>
      </c>
      <c r="AF393" s="38">
        <v>0.19</v>
      </c>
      <c r="AG393" s="42">
        <f t="shared" si="140"/>
        <v>1896.6933333333334</v>
      </c>
      <c r="AH393" s="42">
        <f t="shared" si="159"/>
        <v>1863.5736287999996</v>
      </c>
      <c r="AI393" s="42">
        <f t="shared" si="160"/>
        <v>0.9825381868796218</v>
      </c>
      <c r="AJ393" s="59">
        <v>2</v>
      </c>
      <c r="AK393" s="59">
        <v>3</v>
      </c>
      <c r="AL393" s="65">
        <v>6.3</v>
      </c>
      <c r="AM393" s="59">
        <v>24</v>
      </c>
      <c r="AN393" s="65">
        <v>6.3</v>
      </c>
      <c r="AO393" s="65">
        <v>5.4</v>
      </c>
      <c r="AP393" s="38">
        <v>0.11</v>
      </c>
      <c r="AQ393" s="38">
        <v>0.27</v>
      </c>
      <c r="AR393" s="73">
        <f t="shared" si="141"/>
        <v>2400</v>
      </c>
      <c r="AS393" s="75">
        <f t="shared" si="142"/>
        <v>0</v>
      </c>
      <c r="AT393" s="75">
        <f t="shared" si="143"/>
        <v>0.875</v>
      </c>
      <c r="AU393" s="75">
        <f t="shared" si="144"/>
        <v>0.125</v>
      </c>
      <c r="AV393" s="26">
        <f t="shared" si="145"/>
        <v>7.0754716981132074E-2</v>
      </c>
      <c r="AW393" s="26">
        <f t="shared" si="146"/>
        <v>8.4905660377358486E-2</v>
      </c>
      <c r="AX393" s="26">
        <f t="shared" si="161"/>
        <v>0.83018867924528306</v>
      </c>
      <c r="AY393" s="24">
        <f t="shared" si="162"/>
        <v>0.88050314465408808</v>
      </c>
      <c r="AZ393" s="77" t="str">
        <f t="shared" si="147"/>
        <v>5,0 ≤ Alc. Bruta &lt; 7,5 mg/L</v>
      </c>
      <c r="BA393" s="77" t="str">
        <f t="shared" si="148"/>
        <v>10 ≤ Cor &lt;15 uC</v>
      </c>
      <c r="BB393" s="78" t="str">
        <f t="shared" si="149"/>
        <v>Turbidez &lt; 2,5 uT</v>
      </c>
      <c r="BC393" s="79" t="str">
        <f t="shared" si="150"/>
        <v>SM &gt; BNN &gt; TOR</v>
      </c>
      <c r="BD393" s="78" t="str">
        <f t="shared" si="151"/>
        <v>Tipo 1 (≤0,25) uT</v>
      </c>
      <c r="BE393" s="78" t="str">
        <f t="shared" si="152"/>
        <v>Tipo 1 (≤0,25) uT</v>
      </c>
      <c r="BF393" s="78" t="str">
        <f t="shared" si="153"/>
        <v>Tipo 1 (≤0,25) uT</v>
      </c>
      <c r="BG393" s="78" t="str">
        <f t="shared" si="154"/>
        <v>Tipo 2 (0,25-0,50) uT</v>
      </c>
      <c r="BH393" s="78" t="str">
        <f t="shared" si="155"/>
        <v>Tipo 1 (≤0,25) uT</v>
      </c>
    </row>
    <row r="394" spans="1:60" x14ac:dyDescent="0.2">
      <c r="A394" s="31">
        <v>46302</v>
      </c>
      <c r="B394" s="80">
        <v>0.39583333333333331</v>
      </c>
      <c r="C394" s="57">
        <v>0</v>
      </c>
      <c r="D394" s="57">
        <v>2210</v>
      </c>
      <c r="E394" s="57">
        <v>208</v>
      </c>
      <c r="F394" s="57">
        <v>1720</v>
      </c>
      <c r="G394" s="85" t="s">
        <v>78</v>
      </c>
      <c r="H394" s="63">
        <v>10.4</v>
      </c>
      <c r="I394" s="57">
        <v>34</v>
      </c>
      <c r="J394" s="57">
        <v>90</v>
      </c>
      <c r="K394" s="57">
        <v>90</v>
      </c>
      <c r="L394" s="57">
        <v>90</v>
      </c>
      <c r="M394" s="57">
        <v>25.5</v>
      </c>
      <c r="N394" s="63">
        <v>6.4</v>
      </c>
      <c r="O394" s="36">
        <v>1.72</v>
      </c>
      <c r="P394" s="57">
        <v>12</v>
      </c>
      <c r="Q394" s="63">
        <v>6.8</v>
      </c>
      <c r="R394" s="36">
        <v>0.16</v>
      </c>
      <c r="S394" s="36">
        <v>22.36</v>
      </c>
      <c r="T394" s="36">
        <v>0.88</v>
      </c>
      <c r="U394" s="36">
        <v>0.7</v>
      </c>
      <c r="V394" s="42">
        <f t="shared" si="156"/>
        <v>1960.8000000000002</v>
      </c>
      <c r="W394" s="42">
        <f t="shared" si="157"/>
        <v>1491.1839279999999</v>
      </c>
      <c r="X394" s="42">
        <f t="shared" si="158"/>
        <v>0.7604977192982455</v>
      </c>
      <c r="Y394" s="57">
        <v>3</v>
      </c>
      <c r="Z394" s="57">
        <v>3</v>
      </c>
      <c r="AA394" s="63">
        <v>6.1</v>
      </c>
      <c r="AB394" s="57">
        <v>20</v>
      </c>
      <c r="AC394" s="63">
        <v>6.2</v>
      </c>
      <c r="AD394" s="63">
        <v>5.6</v>
      </c>
      <c r="AE394" s="36">
        <v>0.14000000000000001</v>
      </c>
      <c r="AF394" s="36">
        <v>0.21</v>
      </c>
      <c r="AG394" s="42">
        <f t="shared" si="140"/>
        <v>1470.6</v>
      </c>
      <c r="AH394" s="42">
        <f t="shared" si="159"/>
        <v>1863.5736287999996</v>
      </c>
      <c r="AI394" s="42">
        <f t="shared" si="160"/>
        <v>1.2672199298245612</v>
      </c>
      <c r="AJ394" s="57">
        <v>3</v>
      </c>
      <c r="AK394" s="57">
        <v>4</v>
      </c>
      <c r="AL394" s="63">
        <v>6.3</v>
      </c>
      <c r="AM394" s="57">
        <v>24</v>
      </c>
      <c r="AN394" s="63">
        <v>6.3</v>
      </c>
      <c r="AO394" s="63">
        <v>5.4</v>
      </c>
      <c r="AP394" s="36">
        <v>0.14000000000000001</v>
      </c>
      <c r="AQ394" s="36">
        <v>0.26</v>
      </c>
      <c r="AR394" s="73">
        <f t="shared" si="141"/>
        <v>2418</v>
      </c>
      <c r="AS394" s="75">
        <f t="shared" si="142"/>
        <v>0</v>
      </c>
      <c r="AT394" s="75">
        <f t="shared" si="143"/>
        <v>0.91397849462365588</v>
      </c>
      <c r="AU394" s="75">
        <f t="shared" si="144"/>
        <v>8.6021505376344093E-2</v>
      </c>
      <c r="AV394" s="26">
        <f t="shared" si="145"/>
        <v>6.9767441860465115E-2</v>
      </c>
      <c r="AW394" s="26">
        <f t="shared" si="146"/>
        <v>0.11162790697674418</v>
      </c>
      <c r="AX394" s="26">
        <f t="shared" si="161"/>
        <v>0.84883720930232553</v>
      </c>
      <c r="AY394" s="24">
        <f t="shared" si="162"/>
        <v>0.87790697674418605</v>
      </c>
      <c r="AZ394" s="77" t="str">
        <f t="shared" si="147"/>
        <v>5,0 ≤ Alc. Bruta &lt; 7,5 mg/L</v>
      </c>
      <c r="BA394" s="77" t="str">
        <f t="shared" si="148"/>
        <v>10 ≤ Cor &lt;15 uC</v>
      </c>
      <c r="BB394" s="78" t="str">
        <f t="shared" si="149"/>
        <v>Turbidez &lt; 2,5 uT</v>
      </c>
      <c r="BC394" s="79" t="str">
        <f t="shared" si="150"/>
        <v>SM &gt; BNN &gt; TOR</v>
      </c>
      <c r="BD394" s="78" t="str">
        <f t="shared" si="151"/>
        <v>Tipo 1 (≤0,25) uT</v>
      </c>
      <c r="BE394" s="78" t="str">
        <f t="shared" si="152"/>
        <v>Tipo 1 (≤0,25) uT</v>
      </c>
      <c r="BF394" s="78" t="str">
        <f t="shared" si="153"/>
        <v>Tipo 1 (≤0,25) uT</v>
      </c>
      <c r="BG394" s="78" t="str">
        <f t="shared" si="154"/>
        <v>Tipo 2 (0,25-0,50) uT</v>
      </c>
      <c r="BH394" s="78" t="str">
        <f t="shared" si="155"/>
        <v>Tipo 1 (≤0,25) uT</v>
      </c>
    </row>
    <row r="395" spans="1:60" x14ac:dyDescent="0.2">
      <c r="A395" s="31">
        <v>46302</v>
      </c>
      <c r="B395" s="80">
        <v>0.47916666666666669</v>
      </c>
      <c r="C395" s="57">
        <v>0</v>
      </c>
      <c r="D395" s="57">
        <v>2173</v>
      </c>
      <c r="E395" s="57">
        <v>268</v>
      </c>
      <c r="F395" s="57">
        <v>1721</v>
      </c>
      <c r="G395" s="85" t="s">
        <v>78</v>
      </c>
      <c r="H395" s="63">
        <v>10.4</v>
      </c>
      <c r="I395" s="57">
        <v>33</v>
      </c>
      <c r="J395" s="57">
        <v>90</v>
      </c>
      <c r="K395" s="57">
        <v>90</v>
      </c>
      <c r="L395" s="57">
        <v>90</v>
      </c>
      <c r="M395" s="57">
        <v>26.8</v>
      </c>
      <c r="N395" s="63">
        <v>6.5</v>
      </c>
      <c r="O395" s="36">
        <v>1.66</v>
      </c>
      <c r="P395" s="57">
        <v>12</v>
      </c>
      <c r="Q395" s="63">
        <v>6.8</v>
      </c>
      <c r="R395" s="36">
        <v>0.15</v>
      </c>
      <c r="S395" s="36">
        <v>22.36</v>
      </c>
      <c r="T395" s="36">
        <v>0.88</v>
      </c>
      <c r="U395" s="36">
        <v>0.7</v>
      </c>
      <c r="V395" s="42">
        <f t="shared" si="156"/>
        <v>1944.73</v>
      </c>
      <c r="W395" s="42">
        <f t="shared" si="157"/>
        <v>1491.1839279999999</v>
      </c>
      <c r="X395" s="42">
        <f t="shared" si="158"/>
        <v>0.76678198413147325</v>
      </c>
      <c r="Y395" s="57">
        <v>3</v>
      </c>
      <c r="Z395" s="57">
        <v>3</v>
      </c>
      <c r="AA395" s="63">
        <v>6.1</v>
      </c>
      <c r="AB395" s="57">
        <v>20</v>
      </c>
      <c r="AC395" s="63">
        <v>6.2</v>
      </c>
      <c r="AD395" s="63">
        <v>5.2</v>
      </c>
      <c r="AE395" s="36">
        <v>0.14000000000000001</v>
      </c>
      <c r="AF395" s="36">
        <v>0.15</v>
      </c>
      <c r="AG395" s="42">
        <f t="shared" si="140"/>
        <v>1458.5475000000001</v>
      </c>
      <c r="AH395" s="42">
        <f t="shared" si="159"/>
        <v>1785.9247275999996</v>
      </c>
      <c r="AI395" s="42">
        <f t="shared" si="160"/>
        <v>1.2244542790687307</v>
      </c>
      <c r="AJ395" s="57">
        <v>3</v>
      </c>
      <c r="AK395" s="57">
        <v>4</v>
      </c>
      <c r="AL395" s="63">
        <v>6.3</v>
      </c>
      <c r="AM395" s="57">
        <v>23</v>
      </c>
      <c r="AN395" s="63">
        <v>6.3</v>
      </c>
      <c r="AO395" s="63">
        <v>5.6</v>
      </c>
      <c r="AP395" s="36">
        <v>0.16</v>
      </c>
      <c r="AQ395" s="36">
        <v>0.19</v>
      </c>
      <c r="AR395" s="73">
        <f t="shared" si="141"/>
        <v>2441</v>
      </c>
      <c r="AS395" s="75">
        <f t="shared" si="142"/>
        <v>0</v>
      </c>
      <c r="AT395" s="75">
        <f t="shared" si="143"/>
        <v>0.89020893076607943</v>
      </c>
      <c r="AU395" s="75">
        <f t="shared" si="144"/>
        <v>0.10979106923392053</v>
      </c>
      <c r="AV395" s="26">
        <f t="shared" si="145"/>
        <v>6.9726902963393386E-2</v>
      </c>
      <c r="AW395" s="26">
        <f t="shared" si="146"/>
        <v>0.10691458454386985</v>
      </c>
      <c r="AX395" s="26">
        <f t="shared" si="161"/>
        <v>0.88554216867469882</v>
      </c>
      <c r="AY395" s="24">
        <f t="shared" si="162"/>
        <v>0.90963855421686746</v>
      </c>
      <c r="AZ395" s="77" t="str">
        <f t="shared" si="147"/>
        <v>5,0 ≤ Alc. Bruta &lt; 7,5 mg/L</v>
      </c>
      <c r="BA395" s="77" t="str">
        <f t="shared" si="148"/>
        <v>10 ≤ Cor &lt;15 uC</v>
      </c>
      <c r="BB395" s="78" t="str">
        <f t="shared" si="149"/>
        <v>Turbidez &lt; 2,5 uT</v>
      </c>
      <c r="BC395" s="79" t="str">
        <f t="shared" si="150"/>
        <v>SM &gt; BNN &gt; TOR</v>
      </c>
      <c r="BD395" s="78" t="str">
        <f t="shared" si="151"/>
        <v>Tipo 1 (≤0,25) uT</v>
      </c>
      <c r="BE395" s="78" t="str">
        <f t="shared" si="152"/>
        <v>Tipo 1 (≤0,25) uT</v>
      </c>
      <c r="BF395" s="78" t="str">
        <f t="shared" si="153"/>
        <v>Tipo 1 (≤0,25) uT</v>
      </c>
      <c r="BG395" s="78" t="str">
        <f t="shared" si="154"/>
        <v>Tipo 1 (≤0,25) uT</v>
      </c>
      <c r="BH395" s="78" t="str">
        <f t="shared" si="155"/>
        <v>Tipo 1 (≤0,25) uT</v>
      </c>
    </row>
    <row r="396" spans="1:60" x14ac:dyDescent="0.2">
      <c r="A396" s="31">
        <v>46302</v>
      </c>
      <c r="B396" s="80">
        <v>0.64583333333333337</v>
      </c>
      <c r="C396" s="57">
        <v>0</v>
      </c>
      <c r="D396" s="57">
        <v>1986</v>
      </c>
      <c r="E396" s="57">
        <v>267</v>
      </c>
      <c r="F396" s="57">
        <v>1820</v>
      </c>
      <c r="G396" s="85" t="s">
        <v>78</v>
      </c>
      <c r="H396" s="63">
        <v>10.4</v>
      </c>
      <c r="I396" s="57">
        <v>33</v>
      </c>
      <c r="J396" s="57">
        <v>90</v>
      </c>
      <c r="K396" s="57">
        <v>90</v>
      </c>
      <c r="L396" s="57">
        <v>90</v>
      </c>
      <c r="M396" s="57">
        <v>27.4</v>
      </c>
      <c r="N396" s="63">
        <v>6.5</v>
      </c>
      <c r="O396" s="36">
        <v>1.38</v>
      </c>
      <c r="P396" s="57">
        <v>9</v>
      </c>
      <c r="Q396" s="63">
        <v>6.6</v>
      </c>
      <c r="R396" s="36">
        <v>0.16</v>
      </c>
      <c r="S396" s="36">
        <v>22.36</v>
      </c>
      <c r="T396" s="36">
        <v>0.88</v>
      </c>
      <c r="U396" s="36">
        <v>0.7</v>
      </c>
      <c r="V396" s="42">
        <f t="shared" si="156"/>
        <v>1971.6666666666665</v>
      </c>
      <c r="W396" s="42">
        <f t="shared" si="157"/>
        <v>1598.1850248000001</v>
      </c>
      <c r="X396" s="42">
        <f t="shared" si="158"/>
        <v>0.81057566769230782</v>
      </c>
      <c r="Y396" s="57">
        <v>3</v>
      </c>
      <c r="Z396" s="57">
        <v>3</v>
      </c>
      <c r="AA396" s="63">
        <v>6.2</v>
      </c>
      <c r="AB396" s="57">
        <v>21</v>
      </c>
      <c r="AC396" s="63">
        <v>6.1</v>
      </c>
      <c r="AD396" s="63">
        <v>5.4</v>
      </c>
      <c r="AE396" s="36">
        <v>0.16</v>
      </c>
      <c r="AF396" s="36">
        <v>0.16</v>
      </c>
      <c r="AG396" s="42">
        <f t="shared" si="140"/>
        <v>1478.75</v>
      </c>
      <c r="AH396" s="42">
        <f t="shared" si="159"/>
        <v>1863.5736287999996</v>
      </c>
      <c r="AI396" s="42">
        <f t="shared" si="160"/>
        <v>1.2602357591208788</v>
      </c>
      <c r="AJ396" s="57">
        <v>3</v>
      </c>
      <c r="AK396" s="57">
        <v>4</v>
      </c>
      <c r="AL396" s="63">
        <v>6.3</v>
      </c>
      <c r="AM396" s="57">
        <v>24</v>
      </c>
      <c r="AN396" s="63">
        <v>6.2</v>
      </c>
      <c r="AO396" s="63">
        <v>4.7</v>
      </c>
      <c r="AP396" s="36">
        <v>0.12</v>
      </c>
      <c r="AQ396" s="36">
        <v>0.17</v>
      </c>
      <c r="AR396" s="73">
        <f t="shared" si="141"/>
        <v>2253</v>
      </c>
      <c r="AS396" s="75">
        <f t="shared" si="142"/>
        <v>0</v>
      </c>
      <c r="AT396" s="75">
        <f t="shared" si="143"/>
        <v>0.881491344873502</v>
      </c>
      <c r="AU396" s="75">
        <f t="shared" si="144"/>
        <v>0.118508655126498</v>
      </c>
      <c r="AV396" s="26">
        <f t="shared" si="145"/>
        <v>6.9230769230769235E-2</v>
      </c>
      <c r="AW396" s="26">
        <f t="shared" si="146"/>
        <v>0.10549450549450549</v>
      </c>
      <c r="AX396" s="26">
        <f t="shared" si="161"/>
        <v>0.87681159420289856</v>
      </c>
      <c r="AY396" s="24">
        <f t="shared" si="162"/>
        <v>0.88405797101449268</v>
      </c>
      <c r="AZ396" s="77" t="str">
        <f t="shared" si="147"/>
        <v>5,0 ≤ Alc. Bruta &lt; 7,5 mg/L</v>
      </c>
      <c r="BA396" s="77" t="str">
        <f t="shared" si="148"/>
        <v>5 ≤ Cor &lt; 10 uC</v>
      </c>
      <c r="BB396" s="78" t="str">
        <f t="shared" si="149"/>
        <v>Turbidez &lt; 2,5 uT</v>
      </c>
      <c r="BC396" s="79" t="str">
        <f t="shared" si="150"/>
        <v>SM &gt; BNN &gt; TOR</v>
      </c>
      <c r="BD396" s="78" t="str">
        <f t="shared" si="151"/>
        <v>Tipo 1 (≤0,25) uT</v>
      </c>
      <c r="BE396" s="78" t="str">
        <f t="shared" si="152"/>
        <v>Tipo 1 (≤0,25) uT</v>
      </c>
      <c r="BF396" s="78" t="str">
        <f t="shared" si="153"/>
        <v>Tipo 1 (≤0,25) uT</v>
      </c>
      <c r="BG396" s="78" t="str">
        <f t="shared" si="154"/>
        <v>Tipo 1 (≤0,25) uT</v>
      </c>
      <c r="BH396" s="78" t="str">
        <f t="shared" si="155"/>
        <v>Tipo 1 (≤0,25) uT</v>
      </c>
    </row>
    <row r="397" spans="1:60" x14ac:dyDescent="0.2">
      <c r="A397" s="31">
        <v>46302</v>
      </c>
      <c r="B397" s="80">
        <v>0.72916666666666663</v>
      </c>
      <c r="C397" s="57">
        <v>0</v>
      </c>
      <c r="D397" s="57">
        <v>1977</v>
      </c>
      <c r="E397" s="57">
        <v>268</v>
      </c>
      <c r="F397" s="57">
        <v>1884</v>
      </c>
      <c r="G397" s="85" t="s">
        <v>78</v>
      </c>
      <c r="H397" s="63">
        <v>10.4</v>
      </c>
      <c r="I397" s="57">
        <v>33</v>
      </c>
      <c r="J397" s="57">
        <v>90</v>
      </c>
      <c r="K397" s="57">
        <v>90</v>
      </c>
      <c r="L397" s="57">
        <v>90</v>
      </c>
      <c r="M397" s="57">
        <v>26.6</v>
      </c>
      <c r="N397" s="63">
        <v>6.5</v>
      </c>
      <c r="O397" s="36">
        <v>1.47</v>
      </c>
      <c r="P397" s="57">
        <v>10</v>
      </c>
      <c r="Q397" s="63">
        <v>6.2</v>
      </c>
      <c r="R397" s="36">
        <v>0.19</v>
      </c>
      <c r="S397" s="36">
        <v>22.36</v>
      </c>
      <c r="T397" s="36">
        <v>0.88</v>
      </c>
      <c r="U397" s="36">
        <v>0.7</v>
      </c>
      <c r="V397" s="42">
        <f t="shared" si="156"/>
        <v>2069.2599999999998</v>
      </c>
      <c r="W397" s="42">
        <f t="shared" si="157"/>
        <v>1598.1850248000001</v>
      </c>
      <c r="X397" s="42">
        <f t="shared" si="158"/>
        <v>0.77234616471588891</v>
      </c>
      <c r="Y397" s="57">
        <v>3</v>
      </c>
      <c r="Z397" s="57">
        <v>3</v>
      </c>
      <c r="AA397" s="63">
        <v>6.2</v>
      </c>
      <c r="AB397" s="57">
        <v>21</v>
      </c>
      <c r="AC397" s="63">
        <v>6.1</v>
      </c>
      <c r="AD397" s="63">
        <v>5.4</v>
      </c>
      <c r="AE397" s="36">
        <v>0.15</v>
      </c>
      <c r="AF397" s="36">
        <v>0.15</v>
      </c>
      <c r="AG397" s="42">
        <f t="shared" si="140"/>
        <v>1551.9449999999999</v>
      </c>
      <c r="AH397" s="42">
        <f t="shared" si="159"/>
        <v>1785.9247275999996</v>
      </c>
      <c r="AI397" s="42">
        <f t="shared" si="160"/>
        <v>1.1507654766116064</v>
      </c>
      <c r="AJ397" s="57">
        <v>3</v>
      </c>
      <c r="AK397" s="57">
        <v>4</v>
      </c>
      <c r="AL397" s="63">
        <v>6.3</v>
      </c>
      <c r="AM397" s="57">
        <v>23</v>
      </c>
      <c r="AN397" s="63">
        <v>6.2</v>
      </c>
      <c r="AO397" s="63">
        <v>5</v>
      </c>
      <c r="AP397" s="36">
        <v>0.14000000000000001</v>
      </c>
      <c r="AQ397" s="36">
        <v>0.15</v>
      </c>
      <c r="AR397" s="73">
        <f t="shared" si="141"/>
        <v>2245</v>
      </c>
      <c r="AS397" s="75">
        <f t="shared" si="142"/>
        <v>0</v>
      </c>
      <c r="AT397" s="75">
        <f t="shared" si="143"/>
        <v>0.88062360801781736</v>
      </c>
      <c r="AU397" s="75">
        <f t="shared" si="144"/>
        <v>0.11937639198218263</v>
      </c>
      <c r="AV397" s="26">
        <f t="shared" si="145"/>
        <v>6.6878980891719744E-2</v>
      </c>
      <c r="AW397" s="26">
        <f t="shared" si="146"/>
        <v>9.7664543524416142E-2</v>
      </c>
      <c r="AX397" s="26">
        <f t="shared" si="161"/>
        <v>0.89795918367346939</v>
      </c>
      <c r="AY397" s="24">
        <f t="shared" si="162"/>
        <v>0.89795918367346939</v>
      </c>
      <c r="AZ397" s="77" t="str">
        <f t="shared" si="147"/>
        <v>5,0 ≤ Alc. Bruta &lt; 7,5 mg/L</v>
      </c>
      <c r="BA397" s="77" t="str">
        <f t="shared" si="148"/>
        <v>10 ≤ Cor &lt;15 uC</v>
      </c>
      <c r="BB397" s="78" t="str">
        <f t="shared" si="149"/>
        <v>Turbidez &lt; 2,5 uT</v>
      </c>
      <c r="BC397" s="79" t="str">
        <f t="shared" si="150"/>
        <v>SM &gt; BNN &gt; TOR</v>
      </c>
      <c r="BD397" s="78" t="str">
        <f t="shared" si="151"/>
        <v>Tipo 1 (≤0,25) uT</v>
      </c>
      <c r="BE397" s="78" t="str">
        <f t="shared" si="152"/>
        <v>Tipo 1 (≤0,25) uT</v>
      </c>
      <c r="BF397" s="78" t="str">
        <f t="shared" si="153"/>
        <v>Tipo 1 (≤0,25) uT</v>
      </c>
      <c r="BG397" s="78" t="str">
        <f t="shared" si="154"/>
        <v>Tipo 1 (≤0,25) uT</v>
      </c>
      <c r="BH397" s="78" t="str">
        <f t="shared" si="155"/>
        <v>Tipo 1 (≤0,25) uT</v>
      </c>
    </row>
    <row r="398" spans="1:60" x14ac:dyDescent="0.2">
      <c r="A398" s="31">
        <v>46302</v>
      </c>
      <c r="B398" s="80">
        <v>0.8125</v>
      </c>
      <c r="C398" s="57">
        <v>0</v>
      </c>
      <c r="D398" s="57">
        <v>1980</v>
      </c>
      <c r="E398" s="57">
        <v>267</v>
      </c>
      <c r="F398" s="57">
        <v>2200</v>
      </c>
      <c r="G398" s="85" t="s">
        <v>78</v>
      </c>
      <c r="H398" s="63">
        <v>10.4</v>
      </c>
      <c r="I398" s="57">
        <v>34</v>
      </c>
      <c r="J398" s="57">
        <v>90</v>
      </c>
      <c r="K398" s="57">
        <v>90</v>
      </c>
      <c r="L398" s="57">
        <v>90</v>
      </c>
      <c r="M398" s="57">
        <v>25.8</v>
      </c>
      <c r="N398" s="63">
        <v>6.4</v>
      </c>
      <c r="O398" s="36">
        <v>1.4</v>
      </c>
      <c r="P398" s="57">
        <v>9</v>
      </c>
      <c r="Q398" s="63">
        <v>7</v>
      </c>
      <c r="R398" s="36">
        <v>0.15</v>
      </c>
      <c r="S398" s="36">
        <v>22.36</v>
      </c>
      <c r="T398" s="36">
        <v>0.88</v>
      </c>
      <c r="U398" s="36">
        <v>0.7</v>
      </c>
      <c r="V398" s="42">
        <f t="shared" si="156"/>
        <v>2390.6666666666665</v>
      </c>
      <c r="W398" s="42">
        <f t="shared" si="157"/>
        <v>1598.1850248000001</v>
      </c>
      <c r="X398" s="42">
        <f t="shared" si="158"/>
        <v>0.66851018884551039</v>
      </c>
      <c r="Y398" s="57">
        <v>3</v>
      </c>
      <c r="Z398" s="57">
        <v>3</v>
      </c>
      <c r="AA398" s="63">
        <v>6.2</v>
      </c>
      <c r="AB398" s="57">
        <v>21</v>
      </c>
      <c r="AC398" s="63">
        <v>6.7</v>
      </c>
      <c r="AD398" s="63">
        <v>5.8</v>
      </c>
      <c r="AE398" s="36">
        <v>0.13</v>
      </c>
      <c r="AF398" s="36">
        <v>0.13</v>
      </c>
      <c r="AG398" s="42">
        <f t="shared" si="140"/>
        <v>1792.9999999999998</v>
      </c>
      <c r="AH398" s="42">
        <f t="shared" si="159"/>
        <v>1855.8087386799996</v>
      </c>
      <c r="AI398" s="42">
        <f t="shared" si="160"/>
        <v>1.0350299713775795</v>
      </c>
      <c r="AJ398" s="57">
        <v>3</v>
      </c>
      <c r="AK398" s="57">
        <v>4</v>
      </c>
      <c r="AL398" s="63">
        <v>6.3</v>
      </c>
      <c r="AM398" s="57">
        <v>23.9</v>
      </c>
      <c r="AN398" s="63">
        <v>6.3</v>
      </c>
      <c r="AO398" s="63">
        <v>5.5</v>
      </c>
      <c r="AP398" s="36">
        <v>0.15</v>
      </c>
      <c r="AQ398" s="36">
        <v>0.12</v>
      </c>
      <c r="AR398" s="73">
        <f t="shared" si="141"/>
        <v>2247</v>
      </c>
      <c r="AS398" s="75">
        <f t="shared" si="142"/>
        <v>0</v>
      </c>
      <c r="AT398" s="75">
        <f t="shared" si="143"/>
        <v>0.88117489986648867</v>
      </c>
      <c r="AU398" s="75">
        <f t="shared" si="144"/>
        <v>0.11882510013351134</v>
      </c>
      <c r="AV398" s="26">
        <f t="shared" si="145"/>
        <v>5.7272727272727267E-2</v>
      </c>
      <c r="AW398" s="26">
        <f t="shared" si="146"/>
        <v>8.6909090909090908E-2</v>
      </c>
      <c r="AX398" s="26">
        <f t="shared" si="161"/>
        <v>0.91428571428571426</v>
      </c>
      <c r="AY398" s="24">
        <f t="shared" si="162"/>
        <v>0.90714285714285714</v>
      </c>
      <c r="AZ398" s="77" t="str">
        <f t="shared" si="147"/>
        <v>5,0 ≤ Alc. Bruta &lt; 7,5 mg/L</v>
      </c>
      <c r="BA398" s="77" t="str">
        <f t="shared" si="148"/>
        <v>5 ≤ Cor &lt; 10 uC</v>
      </c>
      <c r="BB398" s="78" t="str">
        <f t="shared" si="149"/>
        <v>Turbidez &lt; 2,5 uT</v>
      </c>
      <c r="BC398" s="79" t="str">
        <f t="shared" si="150"/>
        <v>SM &gt; BNN &gt; TOR</v>
      </c>
      <c r="BD398" s="78" t="str">
        <f t="shared" si="151"/>
        <v>Tipo 1 (≤0,25) uT</v>
      </c>
      <c r="BE398" s="78" t="str">
        <f t="shared" si="152"/>
        <v>Tipo 1 (≤0,25) uT</v>
      </c>
      <c r="BF398" s="78" t="str">
        <f t="shared" si="153"/>
        <v>Tipo 1 (≤0,25) uT</v>
      </c>
      <c r="BG398" s="78" t="str">
        <f t="shared" si="154"/>
        <v>Tipo 1 (≤0,25) uT</v>
      </c>
      <c r="BH398" s="78" t="str">
        <f t="shared" si="155"/>
        <v>Tipo 1 (≤0,25) uT</v>
      </c>
    </row>
    <row r="399" spans="1:60" x14ac:dyDescent="0.2">
      <c r="A399" s="31">
        <v>46302</v>
      </c>
      <c r="B399" s="80">
        <v>0.89583333333333337</v>
      </c>
      <c r="C399" s="57">
        <v>0</v>
      </c>
      <c r="D399" s="57">
        <v>1980</v>
      </c>
      <c r="E399" s="57">
        <v>268</v>
      </c>
      <c r="F399" s="57">
        <v>2200</v>
      </c>
      <c r="G399" s="85" t="s">
        <v>78</v>
      </c>
      <c r="H399" s="63">
        <v>10.4</v>
      </c>
      <c r="I399" s="57">
        <v>33</v>
      </c>
      <c r="J399" s="57">
        <v>90</v>
      </c>
      <c r="K399" s="57">
        <v>90</v>
      </c>
      <c r="L399" s="57">
        <v>90</v>
      </c>
      <c r="M399" s="57">
        <v>25</v>
      </c>
      <c r="N399" s="63">
        <v>6.4</v>
      </c>
      <c r="O399" s="36">
        <v>1.27</v>
      </c>
      <c r="P399" s="57">
        <v>9</v>
      </c>
      <c r="Q399" s="63">
        <v>7</v>
      </c>
      <c r="R399" s="36">
        <v>0.14000000000000001</v>
      </c>
      <c r="S399" s="36">
        <v>22.36</v>
      </c>
      <c r="T399" s="36">
        <v>0.88</v>
      </c>
      <c r="U399" s="36">
        <v>0.7</v>
      </c>
      <c r="V399" s="42">
        <f t="shared" si="156"/>
        <v>2343.0000000000005</v>
      </c>
      <c r="W399" s="42">
        <f t="shared" si="157"/>
        <v>1565.7431243999997</v>
      </c>
      <c r="X399" s="42">
        <f t="shared" si="158"/>
        <v>0.66826424430217646</v>
      </c>
      <c r="Y399" s="57">
        <v>3</v>
      </c>
      <c r="Z399" s="57">
        <v>3</v>
      </c>
      <c r="AA399" s="63">
        <v>6.1</v>
      </c>
      <c r="AB399" s="57">
        <v>21</v>
      </c>
      <c r="AC399" s="63">
        <v>6.1</v>
      </c>
      <c r="AD399" s="63">
        <v>5.6</v>
      </c>
      <c r="AE399" s="36">
        <v>0.11</v>
      </c>
      <c r="AF399" s="36">
        <v>0.13</v>
      </c>
      <c r="AG399" s="42">
        <f t="shared" si="140"/>
        <v>1757.2500000000002</v>
      </c>
      <c r="AH399" s="42">
        <f t="shared" si="159"/>
        <v>1863.5736287999996</v>
      </c>
      <c r="AI399" s="42">
        <f t="shared" si="160"/>
        <v>1.0605056928723855</v>
      </c>
      <c r="AJ399" s="57">
        <v>3</v>
      </c>
      <c r="AK399" s="57">
        <v>4</v>
      </c>
      <c r="AL399" s="63">
        <v>6.3</v>
      </c>
      <c r="AM399" s="57">
        <v>24</v>
      </c>
      <c r="AN399" s="63">
        <v>6.2</v>
      </c>
      <c r="AO399" s="63">
        <v>5.6</v>
      </c>
      <c r="AP399" s="36">
        <v>0.16</v>
      </c>
      <c r="AQ399" s="36">
        <v>0.12</v>
      </c>
      <c r="AR399" s="73">
        <f t="shared" si="141"/>
        <v>2248</v>
      </c>
      <c r="AS399" s="75">
        <f t="shared" si="142"/>
        <v>0</v>
      </c>
      <c r="AT399" s="75">
        <f t="shared" si="143"/>
        <v>0.88078291814946619</v>
      </c>
      <c r="AU399" s="75">
        <f t="shared" si="144"/>
        <v>0.11921708185053381</v>
      </c>
      <c r="AV399" s="26">
        <f t="shared" si="145"/>
        <v>5.7272727272727267E-2</v>
      </c>
      <c r="AW399" s="26">
        <f t="shared" si="146"/>
        <v>8.727272727272728E-2</v>
      </c>
      <c r="AX399" s="26">
        <f t="shared" si="161"/>
        <v>0.90551181102362199</v>
      </c>
      <c r="AY399" s="24">
        <f t="shared" si="162"/>
        <v>0.89763779527559051</v>
      </c>
      <c r="AZ399" s="77" t="str">
        <f t="shared" si="147"/>
        <v>5,0 ≤ Alc. Bruta &lt; 7,5 mg/L</v>
      </c>
      <c r="BA399" s="77" t="str">
        <f t="shared" si="148"/>
        <v>5 ≤ Cor &lt; 10 uC</v>
      </c>
      <c r="BB399" s="78" t="str">
        <f t="shared" si="149"/>
        <v>Turbidez &lt; 2,5 uT</v>
      </c>
      <c r="BC399" s="79" t="str">
        <f t="shared" si="150"/>
        <v>SM &gt; BNN &gt; TOR</v>
      </c>
      <c r="BD399" s="78" t="str">
        <f t="shared" si="151"/>
        <v>Tipo 1 (≤0,25) uT</v>
      </c>
      <c r="BE399" s="78" t="str">
        <f t="shared" si="152"/>
        <v>Tipo 1 (≤0,25) uT</v>
      </c>
      <c r="BF399" s="78" t="str">
        <f t="shared" si="153"/>
        <v>Tipo 1 (≤0,25) uT</v>
      </c>
      <c r="BG399" s="78" t="str">
        <f t="shared" si="154"/>
        <v>Tipo 1 (≤0,25) uT</v>
      </c>
      <c r="BH399" s="78" t="str">
        <f t="shared" si="155"/>
        <v>Tipo 1 (≤0,25) uT</v>
      </c>
    </row>
    <row r="400" spans="1:60" ht="15.75" thickBot="1" x14ac:dyDescent="0.25">
      <c r="A400" s="32">
        <v>46303</v>
      </c>
      <c r="B400" s="81">
        <v>0.22916666666666666</v>
      </c>
      <c r="C400" s="58">
        <v>0</v>
      </c>
      <c r="D400" s="58">
        <v>1566</v>
      </c>
      <c r="E400" s="58">
        <v>293</v>
      </c>
      <c r="F400" s="58">
        <v>1980</v>
      </c>
      <c r="G400" s="86" t="s">
        <v>78</v>
      </c>
      <c r="H400" s="64">
        <v>10.4</v>
      </c>
      <c r="I400" s="58">
        <v>34</v>
      </c>
      <c r="J400" s="58">
        <v>90</v>
      </c>
      <c r="K400" s="58">
        <v>90</v>
      </c>
      <c r="L400" s="58">
        <v>90</v>
      </c>
      <c r="M400" s="58">
        <v>24.7</v>
      </c>
      <c r="N400" s="64">
        <v>6.5</v>
      </c>
      <c r="O400" s="37">
        <v>1.1200000000000001</v>
      </c>
      <c r="P400" s="58">
        <v>9</v>
      </c>
      <c r="Q400" s="64">
        <v>7.1</v>
      </c>
      <c r="R400" s="37">
        <v>0.15</v>
      </c>
      <c r="S400" s="36">
        <v>22.36</v>
      </c>
      <c r="T400" s="36">
        <v>0.88</v>
      </c>
      <c r="U400" s="36">
        <v>0.7</v>
      </c>
      <c r="V400" s="42">
        <f t="shared" si="156"/>
        <v>2059.2000000000003</v>
      </c>
      <c r="W400" s="42">
        <f t="shared" si="157"/>
        <v>1565.7431243999997</v>
      </c>
      <c r="X400" s="42">
        <f t="shared" si="158"/>
        <v>0.76036476515151497</v>
      </c>
      <c r="Y400" s="58">
        <v>3</v>
      </c>
      <c r="Z400" s="58">
        <v>3</v>
      </c>
      <c r="AA400" s="64">
        <v>6.1</v>
      </c>
      <c r="AB400" s="58">
        <v>21</v>
      </c>
      <c r="AC400" s="64">
        <v>6.3</v>
      </c>
      <c r="AD400" s="64">
        <v>5.3</v>
      </c>
      <c r="AE400" s="37">
        <v>0.14000000000000001</v>
      </c>
      <c r="AF400" s="37">
        <v>0.13</v>
      </c>
      <c r="AG400" s="42">
        <f t="shared" si="140"/>
        <v>1544.4</v>
      </c>
      <c r="AH400" s="42">
        <f t="shared" si="159"/>
        <v>1863.5736287999996</v>
      </c>
      <c r="AI400" s="42">
        <f t="shared" si="160"/>
        <v>1.2066651313131309</v>
      </c>
      <c r="AJ400" s="58">
        <v>3</v>
      </c>
      <c r="AK400" s="58">
        <v>4</v>
      </c>
      <c r="AL400" s="64">
        <v>6.3</v>
      </c>
      <c r="AM400" s="58">
        <v>24</v>
      </c>
      <c r="AN400" s="64">
        <v>6.3</v>
      </c>
      <c r="AO400" s="64">
        <v>5.5</v>
      </c>
      <c r="AP400" s="37">
        <v>0.17</v>
      </c>
      <c r="AQ400" s="37">
        <v>0.14000000000000001</v>
      </c>
      <c r="AR400" s="73">
        <f t="shared" si="141"/>
        <v>1859</v>
      </c>
      <c r="AS400" s="75">
        <f t="shared" si="142"/>
        <v>0</v>
      </c>
      <c r="AT400" s="75">
        <f t="shared" si="143"/>
        <v>0.84238838084991929</v>
      </c>
      <c r="AU400" s="75">
        <f t="shared" si="144"/>
        <v>0.15761161915008068</v>
      </c>
      <c r="AV400" s="26">
        <f t="shared" si="145"/>
        <v>6.363636363636363E-2</v>
      </c>
      <c r="AW400" s="26">
        <f t="shared" si="146"/>
        <v>9.696969696969697E-2</v>
      </c>
      <c r="AX400" s="26">
        <f t="shared" si="161"/>
        <v>0.875</v>
      </c>
      <c r="AY400" s="24">
        <f t="shared" si="162"/>
        <v>0.8839285714285714</v>
      </c>
      <c r="AZ400" s="77" t="str">
        <f t="shared" si="147"/>
        <v>5,0 ≤ Alc. Bruta &lt; 7,5 mg/L</v>
      </c>
      <c r="BA400" s="77" t="str">
        <f t="shared" si="148"/>
        <v>5 ≤ Cor &lt; 10 uC</v>
      </c>
      <c r="BB400" s="78" t="str">
        <f t="shared" si="149"/>
        <v>Turbidez &lt; 2,5 uT</v>
      </c>
      <c r="BC400" s="79" t="str">
        <f t="shared" si="150"/>
        <v>SM &gt; BNN &gt; TOR</v>
      </c>
      <c r="BD400" s="78" t="str">
        <f t="shared" si="151"/>
        <v>Tipo 1 (≤0,25) uT</v>
      </c>
      <c r="BE400" s="78" t="str">
        <f t="shared" si="152"/>
        <v>Tipo 1 (≤0,25) uT</v>
      </c>
      <c r="BF400" s="78" t="str">
        <f t="shared" si="153"/>
        <v>Tipo 1 (≤0,25) uT</v>
      </c>
      <c r="BG400" s="78" t="str">
        <f t="shared" si="154"/>
        <v>Tipo 1 (≤0,25) uT</v>
      </c>
      <c r="BH400" s="78" t="str">
        <f t="shared" si="155"/>
        <v>Tipo 1 (≤0,25) uT</v>
      </c>
    </row>
    <row r="401" spans="1:60" x14ac:dyDescent="0.2">
      <c r="A401" s="31">
        <v>46303</v>
      </c>
      <c r="B401" s="80">
        <v>0.72916666666666663</v>
      </c>
      <c r="C401" s="57">
        <v>0</v>
      </c>
      <c r="D401" s="57">
        <v>1959</v>
      </c>
      <c r="E401" s="57">
        <v>254</v>
      </c>
      <c r="F401" s="57">
        <v>2428</v>
      </c>
      <c r="G401" s="85" t="s">
        <v>78</v>
      </c>
      <c r="H401" s="63">
        <v>10.4</v>
      </c>
      <c r="I401" s="57">
        <v>33</v>
      </c>
      <c r="J401" s="57">
        <v>90</v>
      </c>
      <c r="K401" s="57">
        <v>90</v>
      </c>
      <c r="L401" s="57">
        <v>90</v>
      </c>
      <c r="M401" s="57">
        <v>26.1</v>
      </c>
      <c r="N401" s="63">
        <v>6.6</v>
      </c>
      <c r="O401" s="36">
        <v>0.97</v>
      </c>
      <c r="P401" s="57">
        <v>10</v>
      </c>
      <c r="Q401" s="63">
        <v>5.9</v>
      </c>
      <c r="R401" s="36">
        <v>0.11</v>
      </c>
      <c r="S401" s="36">
        <v>22.36</v>
      </c>
      <c r="T401" s="36">
        <v>0.88</v>
      </c>
      <c r="U401" s="36">
        <v>0.7</v>
      </c>
      <c r="V401" s="42">
        <f t="shared" si="156"/>
        <v>2464.42</v>
      </c>
      <c r="W401" s="42">
        <f t="shared" si="157"/>
        <v>1717.041462916</v>
      </c>
      <c r="X401" s="42">
        <f t="shared" si="158"/>
        <v>0.69673248184806158</v>
      </c>
      <c r="Y401" s="57">
        <v>3</v>
      </c>
      <c r="Z401" s="57">
        <v>3</v>
      </c>
      <c r="AA401" s="63">
        <v>6.17</v>
      </c>
      <c r="AB401" s="57">
        <v>22.7</v>
      </c>
      <c r="AC401" s="63">
        <v>6.2</v>
      </c>
      <c r="AD401" s="63">
        <v>3.9</v>
      </c>
      <c r="AE401" s="36">
        <v>0.17</v>
      </c>
      <c r="AF401" s="36">
        <v>0.13</v>
      </c>
      <c r="AG401" s="42">
        <f t="shared" si="140"/>
        <v>1848.3150000000001</v>
      </c>
      <c r="AH401" s="42">
        <f t="shared" si="159"/>
        <v>1956.0857139199998</v>
      </c>
      <c r="AI401" s="42">
        <f t="shared" si="160"/>
        <v>1.0583075471010082</v>
      </c>
      <c r="AJ401" s="57">
        <v>3</v>
      </c>
      <c r="AK401" s="57">
        <v>4</v>
      </c>
      <c r="AL401" s="63">
        <v>6.4</v>
      </c>
      <c r="AM401" s="57">
        <v>24.7</v>
      </c>
      <c r="AN401" s="63">
        <v>6.1</v>
      </c>
      <c r="AO401" s="63">
        <v>3.9</v>
      </c>
      <c r="AP401" s="36">
        <v>0.1</v>
      </c>
      <c r="AQ401" s="36">
        <v>0.19</v>
      </c>
      <c r="AR401" s="73">
        <f t="shared" si="141"/>
        <v>2213</v>
      </c>
      <c r="AS401" s="75">
        <f t="shared" si="142"/>
        <v>0</v>
      </c>
      <c r="AT401" s="75">
        <f t="shared" si="143"/>
        <v>0.88522367826479886</v>
      </c>
      <c r="AU401" s="75">
        <f t="shared" si="144"/>
        <v>0.11477632173520108</v>
      </c>
      <c r="AV401" s="26">
        <f t="shared" si="145"/>
        <v>5.6095551894563424E-2</v>
      </c>
      <c r="AW401" s="26">
        <f t="shared" si="146"/>
        <v>8.1383855024711696E-2</v>
      </c>
      <c r="AX401" s="26">
        <f t="shared" si="161"/>
        <v>0.80412371134020622</v>
      </c>
      <c r="AY401" s="24">
        <f t="shared" si="162"/>
        <v>0.865979381443299</v>
      </c>
      <c r="AZ401" s="77" t="str">
        <f t="shared" si="147"/>
        <v>5,0 ≤ Alc. Bruta &lt; 7,5 mg/L</v>
      </c>
      <c r="BA401" s="77" t="str">
        <f t="shared" si="148"/>
        <v>10 ≤ Cor &lt;15 uC</v>
      </c>
      <c r="BB401" s="78" t="str">
        <f t="shared" si="149"/>
        <v>Turbidez &lt; 2,5 uT</v>
      </c>
      <c r="BC401" s="79" t="str">
        <f t="shared" si="150"/>
        <v>SM &gt; BNN &gt; TOR</v>
      </c>
      <c r="BD401" s="78" t="str">
        <f t="shared" si="151"/>
        <v>Tipo 1 (≤0,25) uT</v>
      </c>
      <c r="BE401" s="78" t="str">
        <f t="shared" si="152"/>
        <v>Tipo 1 (≤0,25) uT</v>
      </c>
      <c r="BF401" s="78" t="str">
        <f t="shared" si="153"/>
        <v>Tipo 1 (≤0,25) uT</v>
      </c>
      <c r="BG401" s="78" t="str">
        <f t="shared" si="154"/>
        <v>Tipo 1 (≤0,25) uT</v>
      </c>
      <c r="BH401" s="78" t="str">
        <f t="shared" si="155"/>
        <v>Tipo 1 (≤0,25) uT</v>
      </c>
    </row>
    <row r="402" spans="1:60" x14ac:dyDescent="0.2">
      <c r="A402" s="31">
        <v>46303</v>
      </c>
      <c r="B402" s="80">
        <v>0.89583333333333337</v>
      </c>
      <c r="C402" s="57">
        <v>0</v>
      </c>
      <c r="D402" s="57">
        <v>2011</v>
      </c>
      <c r="E402" s="57">
        <v>200</v>
      </c>
      <c r="F402" s="57">
        <v>2300</v>
      </c>
      <c r="G402" s="85" t="s">
        <v>78</v>
      </c>
      <c r="H402" s="63">
        <v>10.4</v>
      </c>
      <c r="I402" s="57">
        <v>34</v>
      </c>
      <c r="J402" s="57">
        <v>90</v>
      </c>
      <c r="K402" s="57">
        <v>90</v>
      </c>
      <c r="L402" s="57">
        <v>90</v>
      </c>
      <c r="M402" s="57">
        <v>25.7</v>
      </c>
      <c r="N402" s="63">
        <v>6.5</v>
      </c>
      <c r="O402" s="36">
        <v>1.0900000000000001</v>
      </c>
      <c r="P402" s="57">
        <v>10</v>
      </c>
      <c r="Q402" s="63">
        <v>6.6</v>
      </c>
      <c r="R402" s="36">
        <v>0.23</v>
      </c>
      <c r="S402" s="36">
        <v>22.36</v>
      </c>
      <c r="T402" s="36">
        <v>0.88</v>
      </c>
      <c r="U402" s="36">
        <v>0.7</v>
      </c>
      <c r="V402" s="42">
        <f t="shared" si="156"/>
        <v>1785.375</v>
      </c>
      <c r="W402" s="42">
        <f t="shared" si="157"/>
        <v>1750.3931224</v>
      </c>
      <c r="X402" s="42">
        <f t="shared" si="158"/>
        <v>0.98040642576489534</v>
      </c>
      <c r="Y402" s="57">
        <v>3</v>
      </c>
      <c r="Z402" s="57">
        <v>4</v>
      </c>
      <c r="AA402" s="63">
        <v>6.2</v>
      </c>
      <c r="AB402" s="57">
        <v>23</v>
      </c>
      <c r="AC402" s="63">
        <v>6.2</v>
      </c>
      <c r="AD402" s="63">
        <v>4.4000000000000004</v>
      </c>
      <c r="AE402" s="36">
        <v>0.15</v>
      </c>
      <c r="AF402" s="36">
        <v>0.17</v>
      </c>
      <c r="AG402" s="42">
        <f t="shared" si="140"/>
        <v>1785.375</v>
      </c>
      <c r="AH402" s="42">
        <f t="shared" si="159"/>
        <v>1863.5736287999996</v>
      </c>
      <c r="AI402" s="42">
        <f t="shared" si="160"/>
        <v>1.0437995540432681</v>
      </c>
      <c r="AJ402" s="57">
        <v>3</v>
      </c>
      <c r="AK402" s="57">
        <v>4</v>
      </c>
      <c r="AL402" s="63">
        <v>6.3</v>
      </c>
      <c r="AM402" s="57">
        <v>24</v>
      </c>
      <c r="AN402" s="63">
        <v>6.2</v>
      </c>
      <c r="AO402" s="63">
        <v>4.2</v>
      </c>
      <c r="AP402" s="36">
        <v>0.11</v>
      </c>
      <c r="AQ402" s="36">
        <v>0.19</v>
      </c>
      <c r="AR402" s="73">
        <f t="shared" si="141"/>
        <v>2211</v>
      </c>
      <c r="AS402" s="75">
        <f t="shared" si="142"/>
        <v>0</v>
      </c>
      <c r="AT402" s="75">
        <f t="shared" si="143"/>
        <v>0.90954319312528265</v>
      </c>
      <c r="AU402" s="75">
        <f t="shared" si="144"/>
        <v>9.0456806874717327E-2</v>
      </c>
      <c r="AV402" s="26">
        <f t="shared" si="145"/>
        <v>0.08</v>
      </c>
      <c r="AW402" s="26">
        <f t="shared" si="146"/>
        <v>8.3478260869565224E-2</v>
      </c>
      <c r="AX402" s="26">
        <f t="shared" si="161"/>
        <v>0.82568807339449546</v>
      </c>
      <c r="AY402" s="24">
        <f t="shared" si="162"/>
        <v>0.84403669724770647</v>
      </c>
      <c r="AZ402" s="77" t="str">
        <f t="shared" si="147"/>
        <v>5,0 ≤ Alc. Bruta &lt; 7,5 mg/L</v>
      </c>
      <c r="BA402" s="77" t="str">
        <f t="shared" si="148"/>
        <v>10 ≤ Cor &lt;15 uC</v>
      </c>
      <c r="BB402" s="78" t="str">
        <f t="shared" si="149"/>
        <v>Turbidez &lt; 2,5 uT</v>
      </c>
      <c r="BC402" s="79" t="str">
        <f t="shared" si="150"/>
        <v>SM &gt; BNN &gt; TOR</v>
      </c>
      <c r="BD402" s="78" t="str">
        <f t="shared" si="151"/>
        <v>Tipo 1 (≤0,25) uT</v>
      </c>
      <c r="BE402" s="78" t="str">
        <f t="shared" si="152"/>
        <v>Tipo 1 (≤0,25) uT</v>
      </c>
      <c r="BF402" s="78" t="str">
        <f t="shared" si="153"/>
        <v>Tipo 1 (≤0,25) uT</v>
      </c>
      <c r="BG402" s="78" t="str">
        <f t="shared" si="154"/>
        <v>Tipo 1 (≤0,25) uT</v>
      </c>
      <c r="BH402" s="78" t="str">
        <f t="shared" si="155"/>
        <v>Tipo 1 (≤0,25) uT</v>
      </c>
    </row>
    <row r="403" spans="1:60" x14ac:dyDescent="0.2">
      <c r="A403" s="31">
        <v>46303</v>
      </c>
      <c r="B403" s="80">
        <v>0.97916666666666663</v>
      </c>
      <c r="C403" s="57">
        <v>0</v>
      </c>
      <c r="D403" s="57">
        <v>1965</v>
      </c>
      <c r="E403" s="57">
        <v>250</v>
      </c>
      <c r="F403" s="57">
        <v>2355</v>
      </c>
      <c r="G403" s="85" t="s">
        <v>78</v>
      </c>
      <c r="H403" s="63">
        <v>10.4</v>
      </c>
      <c r="I403" s="57">
        <v>34</v>
      </c>
      <c r="J403" s="57">
        <v>90</v>
      </c>
      <c r="K403" s="57">
        <v>90</v>
      </c>
      <c r="L403" s="57">
        <v>90</v>
      </c>
      <c r="M403" s="57">
        <v>24.9</v>
      </c>
      <c r="N403" s="63">
        <v>6.4</v>
      </c>
      <c r="O403" s="36">
        <v>1.03</v>
      </c>
      <c r="P403" s="57">
        <v>7</v>
      </c>
      <c r="Q403" s="63">
        <v>6.1</v>
      </c>
      <c r="R403" s="36">
        <v>0.14000000000000001</v>
      </c>
      <c r="S403" s="36">
        <v>22.36</v>
      </c>
      <c r="T403" s="36">
        <v>0.88</v>
      </c>
      <c r="U403" s="36">
        <v>0.7</v>
      </c>
      <c r="V403" s="42">
        <f t="shared" si="156"/>
        <v>1810.40625</v>
      </c>
      <c r="W403" s="42">
        <f t="shared" si="157"/>
        <v>1640.3023207999997</v>
      </c>
      <c r="X403" s="42">
        <f t="shared" si="158"/>
        <v>0.90604101747881161</v>
      </c>
      <c r="Y403" s="57">
        <v>3</v>
      </c>
      <c r="Z403" s="57">
        <v>4</v>
      </c>
      <c r="AA403" s="63">
        <v>6.1</v>
      </c>
      <c r="AB403" s="57">
        <v>22</v>
      </c>
      <c r="AC403" s="63">
        <v>6</v>
      </c>
      <c r="AD403" s="63">
        <v>3.4</v>
      </c>
      <c r="AE403" s="36">
        <v>0.1</v>
      </c>
      <c r="AF403" s="36">
        <v>0.13</v>
      </c>
      <c r="AG403" s="42">
        <f t="shared" si="140"/>
        <v>1810.40625</v>
      </c>
      <c r="AH403" s="42">
        <f t="shared" si="159"/>
        <v>1900.6500864</v>
      </c>
      <c r="AI403" s="42">
        <f t="shared" si="160"/>
        <v>1.0498472850499716</v>
      </c>
      <c r="AJ403" s="57">
        <v>3</v>
      </c>
      <c r="AK403" s="57">
        <v>4</v>
      </c>
      <c r="AL403" s="63">
        <v>6.4</v>
      </c>
      <c r="AM403" s="57">
        <v>24</v>
      </c>
      <c r="AN403" s="63">
        <v>6.1</v>
      </c>
      <c r="AO403" s="63">
        <v>3.7</v>
      </c>
      <c r="AP403" s="36">
        <v>0.1</v>
      </c>
      <c r="AQ403" s="36">
        <v>0.08</v>
      </c>
      <c r="AR403" s="73">
        <f t="shared" si="141"/>
        <v>2215</v>
      </c>
      <c r="AS403" s="75">
        <f t="shared" si="142"/>
        <v>0</v>
      </c>
      <c r="AT403" s="75">
        <f t="shared" si="143"/>
        <v>0.88713318284424381</v>
      </c>
      <c r="AU403" s="75">
        <f t="shared" si="144"/>
        <v>0.11286681715575621</v>
      </c>
      <c r="AV403" s="26">
        <f t="shared" si="145"/>
        <v>7.4734607218683649E-2</v>
      </c>
      <c r="AW403" s="26">
        <f t="shared" si="146"/>
        <v>8.1528662420382161E-2</v>
      </c>
      <c r="AX403" s="26">
        <f t="shared" si="161"/>
        <v>0.92233009708737868</v>
      </c>
      <c r="AY403" s="24">
        <f t="shared" si="162"/>
        <v>0.87378640776699035</v>
      </c>
      <c r="AZ403" s="77" t="str">
        <f t="shared" si="147"/>
        <v>5,0 ≤ Alc. Bruta &lt; 7,5 mg/L</v>
      </c>
      <c r="BA403" s="77" t="str">
        <f t="shared" si="148"/>
        <v>5 ≤ Cor &lt; 10 uC</v>
      </c>
      <c r="BB403" s="78" t="str">
        <f t="shared" si="149"/>
        <v>Turbidez &lt; 2,5 uT</v>
      </c>
      <c r="BC403" s="79" t="str">
        <f t="shared" si="150"/>
        <v>SM &gt; BNN &gt; TOR</v>
      </c>
      <c r="BD403" s="78" t="str">
        <f t="shared" si="151"/>
        <v>Tipo 1 (≤0,25) uT</v>
      </c>
      <c r="BE403" s="78" t="str">
        <f t="shared" si="152"/>
        <v>Tipo 1 (≤0,25) uT</v>
      </c>
      <c r="BF403" s="78" t="str">
        <f t="shared" si="153"/>
        <v>Tipo 1 (≤0,25) uT</v>
      </c>
      <c r="BG403" s="78" t="str">
        <f t="shared" si="154"/>
        <v>Tipo 1 (≤0,25) uT</v>
      </c>
      <c r="BH403" s="78" t="str">
        <f t="shared" si="155"/>
        <v>Tipo 1 (≤0,25) uT</v>
      </c>
    </row>
    <row r="404" spans="1:60" x14ac:dyDescent="0.2">
      <c r="A404" s="31">
        <v>46304</v>
      </c>
      <c r="B404" s="80">
        <v>0.14583333333333334</v>
      </c>
      <c r="C404" s="57">
        <v>0</v>
      </c>
      <c r="D404" s="57">
        <v>2008</v>
      </c>
      <c r="E404" s="57">
        <v>255</v>
      </c>
      <c r="F404" s="57">
        <v>2548</v>
      </c>
      <c r="G404" s="85" t="s">
        <v>78</v>
      </c>
      <c r="H404" s="63">
        <v>10.4</v>
      </c>
      <c r="I404" s="57">
        <v>34</v>
      </c>
      <c r="J404" s="57">
        <v>90</v>
      </c>
      <c r="K404" s="57">
        <v>90</v>
      </c>
      <c r="L404" s="57">
        <v>90</v>
      </c>
      <c r="M404" s="57">
        <v>25.6</v>
      </c>
      <c r="N404" s="63">
        <v>6.4</v>
      </c>
      <c r="O404" s="36">
        <v>1.07</v>
      </c>
      <c r="P404" s="57">
        <v>8</v>
      </c>
      <c r="Q404" s="63">
        <v>7.1</v>
      </c>
      <c r="R404" s="36">
        <v>0.1</v>
      </c>
      <c r="S404" s="36">
        <v>22.36</v>
      </c>
      <c r="T404" s="36">
        <v>0.88</v>
      </c>
      <c r="U404" s="36">
        <v>0.7</v>
      </c>
      <c r="V404" s="42">
        <f t="shared" si="156"/>
        <v>1971.5150000000001</v>
      </c>
      <c r="W404" s="42">
        <f t="shared" si="157"/>
        <v>1640.3023207999997</v>
      </c>
      <c r="X404" s="42">
        <f t="shared" si="158"/>
        <v>0.83200093369819639</v>
      </c>
      <c r="Y404" s="57">
        <v>3</v>
      </c>
      <c r="Z404" s="57">
        <v>4</v>
      </c>
      <c r="AA404" s="63">
        <v>6.1</v>
      </c>
      <c r="AB404" s="57">
        <v>22</v>
      </c>
      <c r="AC404" s="63">
        <v>6</v>
      </c>
      <c r="AD404" s="63">
        <v>5.2</v>
      </c>
      <c r="AE404" s="36">
        <v>0.1</v>
      </c>
      <c r="AF404" s="36">
        <v>0.1</v>
      </c>
      <c r="AG404" s="42">
        <f t="shared" si="140"/>
        <v>1971.5150000000001</v>
      </c>
      <c r="AH404" s="42">
        <f t="shared" si="159"/>
        <v>1900.6500864</v>
      </c>
      <c r="AI404" s="42">
        <f t="shared" si="160"/>
        <v>0.96405560515644051</v>
      </c>
      <c r="AJ404" s="57">
        <v>3</v>
      </c>
      <c r="AK404" s="57">
        <v>4</v>
      </c>
      <c r="AL404" s="63">
        <v>6.4</v>
      </c>
      <c r="AM404" s="57">
        <v>24</v>
      </c>
      <c r="AN404" s="63">
        <v>6</v>
      </c>
      <c r="AO404" s="63">
        <v>5.3</v>
      </c>
      <c r="AP404" s="36">
        <v>0.11</v>
      </c>
      <c r="AQ404" s="36">
        <v>0.15</v>
      </c>
      <c r="AR404" s="73">
        <f t="shared" si="141"/>
        <v>2263</v>
      </c>
      <c r="AS404" s="75">
        <f t="shared" si="142"/>
        <v>0</v>
      </c>
      <c r="AT404" s="75">
        <f t="shared" si="143"/>
        <v>0.88731771984091912</v>
      </c>
      <c r="AU404" s="75">
        <f t="shared" si="144"/>
        <v>0.11268228015908087</v>
      </c>
      <c r="AV404" s="26">
        <f t="shared" si="145"/>
        <v>6.907378335949764E-2</v>
      </c>
      <c r="AW404" s="26">
        <f t="shared" si="146"/>
        <v>7.5353218210361061E-2</v>
      </c>
      <c r="AX404" s="26">
        <f t="shared" si="161"/>
        <v>0.85981308411214952</v>
      </c>
      <c r="AY404" s="24">
        <f t="shared" si="162"/>
        <v>0.90654205607476634</v>
      </c>
      <c r="AZ404" s="77" t="str">
        <f t="shared" si="147"/>
        <v>5,0 ≤ Alc. Bruta &lt; 7,5 mg/L</v>
      </c>
      <c r="BA404" s="77" t="str">
        <f t="shared" si="148"/>
        <v>5 ≤ Cor &lt; 10 uC</v>
      </c>
      <c r="BB404" s="78" t="str">
        <f t="shared" si="149"/>
        <v>Turbidez &lt; 2,5 uT</v>
      </c>
      <c r="BC404" s="79" t="str">
        <f t="shared" si="150"/>
        <v>SM &gt; BNN &gt; TOR</v>
      </c>
      <c r="BD404" s="78" t="str">
        <f t="shared" si="151"/>
        <v>Tipo 1 (≤0,25) uT</v>
      </c>
      <c r="BE404" s="78" t="str">
        <f t="shared" si="152"/>
        <v>Tipo 1 (≤0,25) uT</v>
      </c>
      <c r="BF404" s="78" t="str">
        <f t="shared" si="153"/>
        <v>Tipo 1 (≤0,25) uT</v>
      </c>
      <c r="BG404" s="78" t="str">
        <f t="shared" si="154"/>
        <v>Tipo 1 (≤0,25) uT</v>
      </c>
      <c r="BH404" s="78" t="str">
        <f t="shared" si="155"/>
        <v>Tipo 1 (≤0,25) uT</v>
      </c>
    </row>
    <row r="405" spans="1:60" ht="15.75" thickBot="1" x14ac:dyDescent="0.25">
      <c r="A405" s="32">
        <v>46304</v>
      </c>
      <c r="B405" s="81">
        <v>0.22916666666666666</v>
      </c>
      <c r="C405" s="57">
        <v>0</v>
      </c>
      <c r="D405" s="58">
        <v>1970</v>
      </c>
      <c r="E405" s="58">
        <v>255</v>
      </c>
      <c r="F405" s="58">
        <v>2295</v>
      </c>
      <c r="G405" s="86" t="s">
        <v>78</v>
      </c>
      <c r="H405" s="64">
        <v>10.4</v>
      </c>
      <c r="I405" s="58">
        <v>34</v>
      </c>
      <c r="J405" s="58">
        <v>90</v>
      </c>
      <c r="K405" s="58">
        <v>90</v>
      </c>
      <c r="L405" s="58">
        <v>90</v>
      </c>
      <c r="M405" s="58">
        <v>24.9</v>
      </c>
      <c r="N405" s="64">
        <v>6.4</v>
      </c>
      <c r="O405" s="37">
        <v>1.08</v>
      </c>
      <c r="P405" s="58">
        <v>8</v>
      </c>
      <c r="Q405" s="64">
        <v>6.2</v>
      </c>
      <c r="R405" s="37">
        <v>0.12</v>
      </c>
      <c r="S405" s="36">
        <v>22.36</v>
      </c>
      <c r="T405" s="36">
        <v>0.88</v>
      </c>
      <c r="U405" s="36">
        <v>0.7</v>
      </c>
      <c r="V405" s="42">
        <f t="shared" si="156"/>
        <v>1778.625</v>
      </c>
      <c r="W405" s="42">
        <f t="shared" si="157"/>
        <v>1714.8615171999998</v>
      </c>
      <c r="X405" s="42">
        <f t="shared" si="158"/>
        <v>0.96415012563075397</v>
      </c>
      <c r="Y405" s="58">
        <v>3</v>
      </c>
      <c r="Z405" s="58">
        <v>4</v>
      </c>
      <c r="AA405" s="64">
        <v>6.1</v>
      </c>
      <c r="AB405" s="58">
        <v>23</v>
      </c>
      <c r="AC405" s="64">
        <v>6</v>
      </c>
      <c r="AD405" s="64">
        <v>3.8</v>
      </c>
      <c r="AE405" s="37">
        <v>0.11</v>
      </c>
      <c r="AF405" s="37">
        <v>0.4</v>
      </c>
      <c r="AG405" s="42">
        <f t="shared" si="140"/>
        <v>1778.625</v>
      </c>
      <c r="AH405" s="42">
        <f t="shared" si="159"/>
        <v>1900.6500864</v>
      </c>
      <c r="AI405" s="42">
        <f t="shared" si="160"/>
        <v>1.0686064158549442</v>
      </c>
      <c r="AJ405" s="58">
        <v>3</v>
      </c>
      <c r="AK405" s="58">
        <v>4</v>
      </c>
      <c r="AL405" s="64">
        <v>6.4</v>
      </c>
      <c r="AM405" s="58">
        <v>24</v>
      </c>
      <c r="AN405" s="64">
        <v>6</v>
      </c>
      <c r="AO405" s="64">
        <v>4.0999999999999996</v>
      </c>
      <c r="AP405" s="37">
        <v>0.11</v>
      </c>
      <c r="AQ405" s="37">
        <v>0.28000000000000003</v>
      </c>
      <c r="AR405" s="73">
        <f t="shared" si="141"/>
        <v>2225</v>
      </c>
      <c r="AS405" s="75">
        <f t="shared" si="142"/>
        <v>0</v>
      </c>
      <c r="AT405" s="75">
        <f t="shared" si="143"/>
        <v>0.88539325842696626</v>
      </c>
      <c r="AU405" s="75">
        <f t="shared" si="144"/>
        <v>0.1146067415730337</v>
      </c>
      <c r="AV405" s="26">
        <f t="shared" si="145"/>
        <v>8.0174291938997819E-2</v>
      </c>
      <c r="AW405" s="26">
        <f t="shared" si="146"/>
        <v>8.3660130718954243E-2</v>
      </c>
      <c r="AX405" s="26">
        <f t="shared" si="161"/>
        <v>0.7407407407407407</v>
      </c>
      <c r="AY405" s="24">
        <f t="shared" si="162"/>
        <v>0.62962962962962965</v>
      </c>
      <c r="AZ405" s="77" t="str">
        <f t="shared" si="147"/>
        <v>5,0 ≤ Alc. Bruta &lt; 7,5 mg/L</v>
      </c>
      <c r="BA405" s="77" t="str">
        <f t="shared" si="148"/>
        <v>5 ≤ Cor &lt; 10 uC</v>
      </c>
      <c r="BB405" s="78" t="str">
        <f t="shared" si="149"/>
        <v>Turbidez &lt; 2,5 uT</v>
      </c>
      <c r="BC405" s="79" t="str">
        <f t="shared" si="150"/>
        <v>SM &gt; BNN &gt; TOR</v>
      </c>
      <c r="BD405" s="78" t="str">
        <f t="shared" si="151"/>
        <v>Tipo 1 (≤0,25) uT</v>
      </c>
      <c r="BE405" s="78" t="str">
        <f t="shared" si="152"/>
        <v>Tipo 1 (≤0,25) uT</v>
      </c>
      <c r="BF405" s="78" t="str">
        <f t="shared" si="153"/>
        <v>Tipo 2 (0,25-0,50) uT</v>
      </c>
      <c r="BG405" s="78" t="str">
        <f t="shared" si="154"/>
        <v>Tipo 2 (0,25-0,50) uT</v>
      </c>
      <c r="BH405" s="78" t="str">
        <f t="shared" si="155"/>
        <v>Tipo 1 (≤0,25) uT</v>
      </c>
    </row>
    <row r="406" spans="1:60" ht="15.75" thickBot="1" x14ac:dyDescent="0.25">
      <c r="A406" s="31">
        <v>46304</v>
      </c>
      <c r="B406" s="80">
        <v>0.39583333333333331</v>
      </c>
      <c r="C406" s="59">
        <v>0</v>
      </c>
      <c r="D406" s="57">
        <v>2038</v>
      </c>
      <c r="E406" s="57">
        <v>200</v>
      </c>
      <c r="F406" s="57">
        <v>2236</v>
      </c>
      <c r="G406" s="85" t="s">
        <v>78</v>
      </c>
      <c r="H406" s="63">
        <v>10.4</v>
      </c>
      <c r="I406" s="57">
        <v>33</v>
      </c>
      <c r="J406" s="57">
        <v>90</v>
      </c>
      <c r="K406" s="57">
        <v>90</v>
      </c>
      <c r="L406" s="57">
        <v>90</v>
      </c>
      <c r="M406" s="57">
        <v>26</v>
      </c>
      <c r="N406" s="63">
        <v>6.6</v>
      </c>
      <c r="O406" s="36">
        <v>1.06</v>
      </c>
      <c r="P406" s="57">
        <v>10</v>
      </c>
      <c r="Q406" s="63">
        <v>5.8</v>
      </c>
      <c r="R406" s="36">
        <v>0.1</v>
      </c>
      <c r="S406" s="36">
        <v>22.36</v>
      </c>
      <c r="T406" s="36">
        <v>0.88</v>
      </c>
      <c r="U406" s="36">
        <v>0.7</v>
      </c>
      <c r="V406" s="42">
        <f t="shared" si="156"/>
        <v>1727.31</v>
      </c>
      <c r="W406" s="42">
        <f t="shared" si="157"/>
        <v>1697.12028824</v>
      </c>
      <c r="X406" s="42">
        <f t="shared" si="158"/>
        <v>0.98252212297734631</v>
      </c>
      <c r="Y406" s="57">
        <v>3</v>
      </c>
      <c r="Z406" s="57">
        <v>4</v>
      </c>
      <c r="AA406" s="63">
        <v>6.2</v>
      </c>
      <c r="AB406" s="57">
        <v>22.3</v>
      </c>
      <c r="AC406" s="63">
        <v>6.2</v>
      </c>
      <c r="AD406" s="63">
        <v>4.0999999999999996</v>
      </c>
      <c r="AE406" s="36">
        <v>0.1</v>
      </c>
      <c r="AF406" s="36">
        <v>0.18</v>
      </c>
      <c r="AG406" s="42">
        <f t="shared" si="140"/>
        <v>1727.31</v>
      </c>
      <c r="AH406" s="42">
        <f t="shared" si="159"/>
        <v>1979.8438399999998</v>
      </c>
      <c r="AI406" s="42">
        <f t="shared" si="160"/>
        <v>1.1462006472491908</v>
      </c>
      <c r="AJ406" s="57">
        <v>3</v>
      </c>
      <c r="AK406" s="57">
        <v>4</v>
      </c>
      <c r="AL406" s="63">
        <v>6.4</v>
      </c>
      <c r="AM406" s="57">
        <v>25</v>
      </c>
      <c r="AN406" s="63">
        <v>6.2</v>
      </c>
      <c r="AO406" s="63">
        <v>4.0999999999999996</v>
      </c>
      <c r="AP406" s="36">
        <v>0.11</v>
      </c>
      <c r="AQ406" s="36">
        <v>0.16</v>
      </c>
      <c r="AR406" s="73">
        <f t="shared" si="141"/>
        <v>2238</v>
      </c>
      <c r="AS406" s="75">
        <f t="shared" si="142"/>
        <v>0</v>
      </c>
      <c r="AT406" s="75">
        <f t="shared" si="143"/>
        <v>0.91063449508489724</v>
      </c>
      <c r="AU406" s="75">
        <f t="shared" si="144"/>
        <v>8.936550491510277E-2</v>
      </c>
      <c r="AV406" s="26">
        <f t="shared" si="145"/>
        <v>7.9785330948121652E-2</v>
      </c>
      <c r="AW406" s="26">
        <f t="shared" si="146"/>
        <v>8.9445438282647588E-2</v>
      </c>
      <c r="AX406" s="26">
        <f t="shared" si="161"/>
        <v>0.84905660377358494</v>
      </c>
      <c r="AY406" s="24">
        <f t="shared" si="162"/>
        <v>0.83018867924528306</v>
      </c>
      <c r="AZ406" s="77" t="str">
        <f t="shared" si="147"/>
        <v>5,0 ≤ Alc. Bruta &lt; 7,5 mg/L</v>
      </c>
      <c r="BA406" s="77" t="str">
        <f t="shared" si="148"/>
        <v>10 ≤ Cor &lt;15 uC</v>
      </c>
      <c r="BB406" s="78" t="str">
        <f t="shared" si="149"/>
        <v>Turbidez &lt; 2,5 uT</v>
      </c>
      <c r="BC406" s="79" t="str">
        <f t="shared" si="150"/>
        <v>SM &gt; BNN &gt; TOR</v>
      </c>
      <c r="BD406" s="78" t="str">
        <f t="shared" si="151"/>
        <v>Tipo 1 (≤0,25) uT</v>
      </c>
      <c r="BE406" s="78" t="str">
        <f t="shared" si="152"/>
        <v>Tipo 1 (≤0,25) uT</v>
      </c>
      <c r="BF406" s="78" t="str">
        <f t="shared" si="153"/>
        <v>Tipo 1 (≤0,25) uT</v>
      </c>
      <c r="BG406" s="78" t="str">
        <f t="shared" si="154"/>
        <v>Tipo 1 (≤0,25) uT</v>
      </c>
      <c r="BH406" s="78" t="str">
        <f t="shared" si="155"/>
        <v>Tipo 1 (≤0,25) uT</v>
      </c>
    </row>
    <row r="407" spans="1:60" ht="15.75" thickBot="1" x14ac:dyDescent="0.25">
      <c r="A407" s="31">
        <v>46304</v>
      </c>
      <c r="B407" s="80">
        <v>0.64583333333333337</v>
      </c>
      <c r="C407" s="59">
        <v>0</v>
      </c>
      <c r="D407" s="57">
        <v>2000</v>
      </c>
      <c r="E407" s="57">
        <v>200</v>
      </c>
      <c r="F407" s="57">
        <v>2232</v>
      </c>
      <c r="G407" s="85" t="s">
        <v>78</v>
      </c>
      <c r="H407" s="63">
        <v>9.5</v>
      </c>
      <c r="I407" s="57">
        <v>33</v>
      </c>
      <c r="J407" s="57">
        <v>90</v>
      </c>
      <c r="K407" s="57">
        <v>90</v>
      </c>
      <c r="L407" s="57">
        <v>90</v>
      </c>
      <c r="M407" s="57">
        <v>26.1</v>
      </c>
      <c r="N407" s="63">
        <v>6.5</v>
      </c>
      <c r="O407" s="36">
        <v>0.96</v>
      </c>
      <c r="P407" s="57">
        <v>9</v>
      </c>
      <c r="Q407" s="63">
        <v>5.4</v>
      </c>
      <c r="R407" s="36">
        <v>0.14000000000000001</v>
      </c>
      <c r="S407" s="36">
        <v>22.36</v>
      </c>
      <c r="T407" s="36">
        <v>0.88</v>
      </c>
      <c r="U407" s="36">
        <v>0.7</v>
      </c>
      <c r="V407" s="42">
        <f t="shared" si="156"/>
        <v>1620.9900000000002</v>
      </c>
      <c r="W407" s="42">
        <f t="shared" si="157"/>
        <v>1697.12028824</v>
      </c>
      <c r="X407" s="42">
        <f t="shared" si="158"/>
        <v>1.0469653040672675</v>
      </c>
      <c r="Y407" s="57">
        <v>3</v>
      </c>
      <c r="Z407" s="57">
        <v>4</v>
      </c>
      <c r="AA407" s="63">
        <v>6.2</v>
      </c>
      <c r="AB407" s="57">
        <v>22.3</v>
      </c>
      <c r="AC407" s="63">
        <v>6.2</v>
      </c>
      <c r="AD407" s="63">
        <v>5.2</v>
      </c>
      <c r="AE407" s="36">
        <v>0.19</v>
      </c>
      <c r="AF407" s="36">
        <v>0.25</v>
      </c>
      <c r="AG407" s="42">
        <f t="shared" si="140"/>
        <v>1620.9900000000002</v>
      </c>
      <c r="AH407" s="42">
        <f t="shared" si="159"/>
        <v>1979.8438399999998</v>
      </c>
      <c r="AI407" s="42">
        <f t="shared" si="160"/>
        <v>1.2213794286207809</v>
      </c>
      <c r="AJ407" s="57">
        <v>3</v>
      </c>
      <c r="AK407" s="57">
        <v>4</v>
      </c>
      <c r="AL407" s="63">
        <v>6.4</v>
      </c>
      <c r="AM407" s="57">
        <v>25</v>
      </c>
      <c r="AN407" s="63">
        <v>6.1</v>
      </c>
      <c r="AO407" s="63">
        <v>4.9000000000000004</v>
      </c>
      <c r="AP407" s="36">
        <v>0.18</v>
      </c>
      <c r="AQ407" s="36">
        <v>0.18</v>
      </c>
      <c r="AR407" s="73">
        <f t="shared" si="141"/>
        <v>2200</v>
      </c>
      <c r="AS407" s="75">
        <f t="shared" si="142"/>
        <v>0</v>
      </c>
      <c r="AT407" s="75">
        <f t="shared" si="143"/>
        <v>0.90909090909090906</v>
      </c>
      <c r="AU407" s="75">
        <f t="shared" si="144"/>
        <v>9.0909090909090912E-2</v>
      </c>
      <c r="AV407" s="26">
        <f t="shared" si="145"/>
        <v>7.9928315412186382E-2</v>
      </c>
      <c r="AW407" s="26">
        <f t="shared" si="146"/>
        <v>8.9605734767025089E-2</v>
      </c>
      <c r="AX407" s="26">
        <f t="shared" si="161"/>
        <v>0.8125</v>
      </c>
      <c r="AY407" s="24">
        <f t="shared" si="162"/>
        <v>0.73958333333333326</v>
      </c>
      <c r="AZ407" s="77" t="str">
        <f t="shared" si="147"/>
        <v>5,0 ≤ Alc. Bruta &lt; 7,5 mg/L</v>
      </c>
      <c r="BA407" s="77" t="str">
        <f t="shared" si="148"/>
        <v>5 ≤ Cor &lt; 10 uC</v>
      </c>
      <c r="BB407" s="78" t="str">
        <f t="shared" si="149"/>
        <v>Turbidez &lt; 2,5 uT</v>
      </c>
      <c r="BC407" s="79" t="str">
        <f t="shared" si="150"/>
        <v>SM &gt; BNN &gt; TOR</v>
      </c>
      <c r="BD407" s="78" t="str">
        <f t="shared" si="151"/>
        <v>Tipo 1 (≤0,25) uT</v>
      </c>
      <c r="BE407" s="78" t="str">
        <f t="shared" si="152"/>
        <v>Tipo 1 (≤0,25) uT</v>
      </c>
      <c r="BF407" s="78" t="str">
        <f t="shared" si="153"/>
        <v>Tipo 1 (≤0,25) uT</v>
      </c>
      <c r="BG407" s="78" t="str">
        <f t="shared" si="154"/>
        <v>Tipo 1 (≤0,25) uT</v>
      </c>
      <c r="BH407" s="78" t="str">
        <f t="shared" si="155"/>
        <v>Tipo 1 (≤0,25) uT</v>
      </c>
    </row>
    <row r="408" spans="1:60" ht="15.75" thickBot="1" x14ac:dyDescent="0.25">
      <c r="A408" s="31">
        <v>46304</v>
      </c>
      <c r="B408" s="80">
        <v>0.72916666666666663</v>
      </c>
      <c r="C408" s="59">
        <v>0</v>
      </c>
      <c r="D408" s="57">
        <v>1981</v>
      </c>
      <c r="E408" s="57">
        <v>200</v>
      </c>
      <c r="F408" s="57">
        <v>2319</v>
      </c>
      <c r="G408" s="85" t="s">
        <v>78</v>
      </c>
      <c r="H408" s="63">
        <v>9.5</v>
      </c>
      <c r="I408" s="57">
        <v>33</v>
      </c>
      <c r="J408" s="57">
        <v>90</v>
      </c>
      <c r="K408" s="57">
        <v>90</v>
      </c>
      <c r="L408" s="57">
        <v>90</v>
      </c>
      <c r="M408" s="57">
        <v>27</v>
      </c>
      <c r="N408" s="63">
        <v>6.6</v>
      </c>
      <c r="O408" s="36">
        <v>0.96</v>
      </c>
      <c r="P408" s="57">
        <v>8</v>
      </c>
      <c r="Q408" s="63">
        <v>6.2</v>
      </c>
      <c r="R408" s="36">
        <v>0.11</v>
      </c>
      <c r="S408" s="36">
        <v>22.36</v>
      </c>
      <c r="T408" s="36">
        <v>0.88</v>
      </c>
      <c r="U408" s="36">
        <v>0.7</v>
      </c>
      <c r="V408" s="42">
        <f t="shared" si="156"/>
        <v>1684.1737500000002</v>
      </c>
      <c r="W408" s="42">
        <f t="shared" si="157"/>
        <v>1697.12028824</v>
      </c>
      <c r="X408" s="42">
        <f t="shared" si="158"/>
        <v>1.0076871749366714</v>
      </c>
      <c r="Y408" s="57">
        <v>3</v>
      </c>
      <c r="Z408" s="57">
        <v>4</v>
      </c>
      <c r="AA408" s="63">
        <v>6.2</v>
      </c>
      <c r="AB408" s="57">
        <v>22.3</v>
      </c>
      <c r="AC408" s="63">
        <v>6.1</v>
      </c>
      <c r="AD408" s="63">
        <v>5.0999999999999996</v>
      </c>
      <c r="AE408" s="36">
        <v>0.11</v>
      </c>
      <c r="AF408" s="36">
        <v>0.3</v>
      </c>
      <c r="AG408" s="42">
        <f t="shared" si="140"/>
        <v>1684.1737500000002</v>
      </c>
      <c r="AH408" s="42">
        <f t="shared" si="159"/>
        <v>1979.8438399999998</v>
      </c>
      <c r="AI408" s="42">
        <f t="shared" si="160"/>
        <v>1.1755579494099107</v>
      </c>
      <c r="AJ408" s="57">
        <v>3</v>
      </c>
      <c r="AK408" s="57">
        <v>4</v>
      </c>
      <c r="AL408" s="63">
        <v>6.4</v>
      </c>
      <c r="AM408" s="57">
        <v>25</v>
      </c>
      <c r="AN408" s="63">
        <v>6</v>
      </c>
      <c r="AO408" s="63">
        <v>4.8</v>
      </c>
      <c r="AP408" s="36">
        <v>0.1</v>
      </c>
      <c r="AQ408" s="36">
        <v>0.14000000000000001</v>
      </c>
      <c r="AR408" s="73">
        <f t="shared" si="141"/>
        <v>2181</v>
      </c>
      <c r="AS408" s="75">
        <f t="shared" si="142"/>
        <v>0</v>
      </c>
      <c r="AT408" s="75">
        <f t="shared" si="143"/>
        <v>0.90829894543787248</v>
      </c>
      <c r="AU408" s="75">
        <f t="shared" si="144"/>
        <v>9.170105456212746E-2</v>
      </c>
      <c r="AV408" s="26">
        <f t="shared" si="145"/>
        <v>7.6929711082363086E-2</v>
      </c>
      <c r="AW408" s="26">
        <f t="shared" si="146"/>
        <v>8.6244070720137997E-2</v>
      </c>
      <c r="AX408" s="26">
        <f t="shared" si="161"/>
        <v>0.85416666666666663</v>
      </c>
      <c r="AY408" s="24">
        <f t="shared" si="162"/>
        <v>0.6875</v>
      </c>
      <c r="AZ408" s="77" t="str">
        <f t="shared" si="147"/>
        <v>5,0 ≤ Alc. Bruta &lt; 7,5 mg/L</v>
      </c>
      <c r="BA408" s="77" t="str">
        <f t="shared" si="148"/>
        <v>5 ≤ Cor &lt; 10 uC</v>
      </c>
      <c r="BB408" s="78" t="str">
        <f t="shared" si="149"/>
        <v>Turbidez &lt; 2,5 uT</v>
      </c>
      <c r="BC408" s="79" t="str">
        <f t="shared" si="150"/>
        <v>SM &gt; BNN &gt; TOR</v>
      </c>
      <c r="BD408" s="78" t="str">
        <f t="shared" si="151"/>
        <v>Tipo 1 (≤0,25) uT</v>
      </c>
      <c r="BE408" s="78" t="str">
        <f t="shared" si="152"/>
        <v>Tipo 1 (≤0,25) uT</v>
      </c>
      <c r="BF408" s="78" t="str">
        <f t="shared" si="153"/>
        <v>Tipo 2 (0,25-0,50) uT</v>
      </c>
      <c r="BG408" s="78" t="str">
        <f t="shared" si="154"/>
        <v>Tipo 1 (≤0,25) uT</v>
      </c>
      <c r="BH408" s="78" t="str">
        <f t="shared" si="155"/>
        <v>Tipo 1 (≤0,25) uT</v>
      </c>
    </row>
    <row r="409" spans="1:60" ht="15.75" thickBot="1" x14ac:dyDescent="0.25">
      <c r="A409" s="31">
        <v>46304</v>
      </c>
      <c r="B409" s="80">
        <v>0.8125</v>
      </c>
      <c r="C409" s="59">
        <v>0</v>
      </c>
      <c r="D409" s="57">
        <v>2072</v>
      </c>
      <c r="E409" s="57">
        <v>200</v>
      </c>
      <c r="F409" s="57">
        <v>2270</v>
      </c>
      <c r="G409" s="85" t="s">
        <v>78</v>
      </c>
      <c r="H409" s="63">
        <v>9.5</v>
      </c>
      <c r="I409" s="57">
        <v>33</v>
      </c>
      <c r="J409" s="57">
        <v>90</v>
      </c>
      <c r="K409" s="57">
        <v>90</v>
      </c>
      <c r="L409" s="57">
        <v>90</v>
      </c>
      <c r="M409" s="57">
        <v>27</v>
      </c>
      <c r="N409" s="63">
        <v>6.4</v>
      </c>
      <c r="O409" s="36">
        <v>1.04</v>
      </c>
      <c r="P409" s="57">
        <v>9</v>
      </c>
      <c r="Q409" s="63">
        <v>6.3</v>
      </c>
      <c r="R409" s="36">
        <v>0.14000000000000001</v>
      </c>
      <c r="S409" s="36">
        <v>22.36</v>
      </c>
      <c r="T409" s="36">
        <v>0.88</v>
      </c>
      <c r="U409" s="36">
        <v>0.7</v>
      </c>
      <c r="V409" s="42">
        <f t="shared" si="156"/>
        <v>1671.2875000000001</v>
      </c>
      <c r="W409" s="42">
        <f t="shared" si="157"/>
        <v>1785.9247275999996</v>
      </c>
      <c r="X409" s="42">
        <f t="shared" si="158"/>
        <v>1.0685921647831385</v>
      </c>
      <c r="Y409" s="57">
        <v>3</v>
      </c>
      <c r="Z409" s="57">
        <v>4</v>
      </c>
      <c r="AA409" s="63">
        <v>6.3</v>
      </c>
      <c r="AB409" s="57">
        <v>23</v>
      </c>
      <c r="AC409" s="63">
        <v>6</v>
      </c>
      <c r="AD409" s="63">
        <v>4.9000000000000004</v>
      </c>
      <c r="AE409" s="36">
        <v>0.08</v>
      </c>
      <c r="AF409" s="36">
        <v>0.26</v>
      </c>
      <c r="AG409" s="42">
        <f t="shared" si="140"/>
        <v>1671.2875000000001</v>
      </c>
      <c r="AH409" s="42">
        <f t="shared" si="159"/>
        <v>1900.6500864</v>
      </c>
      <c r="AI409" s="42">
        <f t="shared" si="160"/>
        <v>1.1372370620853682</v>
      </c>
      <c r="AJ409" s="57">
        <v>3</v>
      </c>
      <c r="AK409" s="57">
        <v>4</v>
      </c>
      <c r="AL409" s="63">
        <v>6.4</v>
      </c>
      <c r="AM409" s="57">
        <v>24</v>
      </c>
      <c r="AN409" s="63">
        <v>6</v>
      </c>
      <c r="AO409" s="63">
        <v>5.2</v>
      </c>
      <c r="AP409" s="36">
        <v>0.11</v>
      </c>
      <c r="AQ409" s="36">
        <v>0.14000000000000001</v>
      </c>
      <c r="AR409" s="73">
        <f t="shared" si="141"/>
        <v>2272</v>
      </c>
      <c r="AS409" s="75">
        <f t="shared" si="142"/>
        <v>0</v>
      </c>
      <c r="AT409" s="75">
        <f t="shared" si="143"/>
        <v>0.9119718309859155</v>
      </c>
      <c r="AU409" s="75">
        <f t="shared" si="144"/>
        <v>8.8028169014084501E-2</v>
      </c>
      <c r="AV409" s="26">
        <f t="shared" si="145"/>
        <v>8.1057268722466963E-2</v>
      </c>
      <c r="AW409" s="26">
        <f t="shared" si="146"/>
        <v>8.4581497797356825E-2</v>
      </c>
      <c r="AX409" s="26">
        <f t="shared" si="161"/>
        <v>0.86538461538461542</v>
      </c>
      <c r="AY409" s="24">
        <f t="shared" si="162"/>
        <v>0.75</v>
      </c>
      <c r="AZ409" s="77" t="str">
        <f t="shared" si="147"/>
        <v>5,0 ≤ Alc. Bruta &lt; 7,5 mg/L</v>
      </c>
      <c r="BA409" s="77" t="str">
        <f t="shared" si="148"/>
        <v>5 ≤ Cor &lt; 10 uC</v>
      </c>
      <c r="BB409" s="78" t="str">
        <f t="shared" si="149"/>
        <v>Turbidez &lt; 2,5 uT</v>
      </c>
      <c r="BC409" s="79" t="str">
        <f t="shared" si="150"/>
        <v>SM &gt; BNN &gt; TOR</v>
      </c>
      <c r="BD409" s="78" t="str">
        <f t="shared" si="151"/>
        <v>Tipo 1 (≤0,25) uT</v>
      </c>
      <c r="BE409" s="78" t="str">
        <f t="shared" si="152"/>
        <v>Tipo 1 (≤0,25) uT</v>
      </c>
      <c r="BF409" s="78" t="str">
        <f t="shared" si="153"/>
        <v>Tipo 2 (0,25-0,50) uT</v>
      </c>
      <c r="BG409" s="78" t="str">
        <f t="shared" si="154"/>
        <v>Tipo 1 (≤0,25) uT</v>
      </c>
      <c r="BH409" s="78" t="str">
        <f t="shared" si="155"/>
        <v>Tipo 1 (≤0,25) uT</v>
      </c>
    </row>
    <row r="410" spans="1:60" ht="15.75" thickBot="1" x14ac:dyDescent="0.25">
      <c r="A410" s="31">
        <v>46304</v>
      </c>
      <c r="B410" s="80">
        <v>0.89583333333333337</v>
      </c>
      <c r="C410" s="59">
        <v>0</v>
      </c>
      <c r="D410" s="57">
        <v>2010</v>
      </c>
      <c r="E410" s="57">
        <v>200</v>
      </c>
      <c r="F410" s="57">
        <v>2302</v>
      </c>
      <c r="G410" s="85" t="s">
        <v>78</v>
      </c>
      <c r="H410" s="63">
        <v>9.5</v>
      </c>
      <c r="I410" s="57">
        <v>33</v>
      </c>
      <c r="J410" s="57">
        <v>90</v>
      </c>
      <c r="K410" s="57">
        <v>90</v>
      </c>
      <c r="L410" s="57">
        <v>30</v>
      </c>
      <c r="M410" s="57">
        <v>26.4</v>
      </c>
      <c r="N410" s="63">
        <v>6.1</v>
      </c>
      <c r="O410" s="36">
        <v>1.03</v>
      </c>
      <c r="P410" s="57">
        <v>6</v>
      </c>
      <c r="Q410" s="63">
        <v>5.7</v>
      </c>
      <c r="R410" s="36">
        <v>0.1</v>
      </c>
      <c r="S410" s="36">
        <v>22.36</v>
      </c>
      <c r="T410" s="36">
        <v>0.88</v>
      </c>
      <c r="U410" s="36">
        <v>0.7</v>
      </c>
      <c r="V410" s="42">
        <f t="shared" si="156"/>
        <v>1691.97</v>
      </c>
      <c r="W410" s="42">
        <f t="shared" si="157"/>
        <v>1750.3931224</v>
      </c>
      <c r="X410" s="42">
        <f t="shared" si="158"/>
        <v>1.0345296443790375</v>
      </c>
      <c r="Y410" s="57">
        <v>3</v>
      </c>
      <c r="Z410" s="57">
        <v>4</v>
      </c>
      <c r="AA410" s="63">
        <v>6.2</v>
      </c>
      <c r="AB410" s="57">
        <v>23</v>
      </c>
      <c r="AC410" s="63">
        <v>5.9</v>
      </c>
      <c r="AD410" s="63">
        <v>4.2</v>
      </c>
      <c r="AE410" s="36">
        <v>0.14000000000000001</v>
      </c>
      <c r="AF410" s="36">
        <v>0.26</v>
      </c>
      <c r="AG410" s="42">
        <f t="shared" si="140"/>
        <v>1691.97</v>
      </c>
      <c r="AH410" s="42">
        <f t="shared" si="159"/>
        <v>1979.8438399999998</v>
      </c>
      <c r="AI410" s="42">
        <f t="shared" si="160"/>
        <v>1.1701412199979904</v>
      </c>
      <c r="AJ410" s="57">
        <v>3</v>
      </c>
      <c r="AK410" s="57">
        <v>4</v>
      </c>
      <c r="AL410" s="63">
        <v>6.4</v>
      </c>
      <c r="AM410" s="57">
        <v>25</v>
      </c>
      <c r="AN410" s="63">
        <v>6</v>
      </c>
      <c r="AO410" s="63">
        <v>4.4000000000000004</v>
      </c>
      <c r="AP410" s="36">
        <v>0.13</v>
      </c>
      <c r="AQ410" s="36">
        <v>0.15</v>
      </c>
      <c r="AR410" s="73">
        <f t="shared" si="141"/>
        <v>2210</v>
      </c>
      <c r="AS410" s="75">
        <f t="shared" si="142"/>
        <v>0</v>
      </c>
      <c r="AT410" s="75">
        <f t="shared" si="143"/>
        <v>0.9095022624434389</v>
      </c>
      <c r="AU410" s="75">
        <f t="shared" si="144"/>
        <v>9.0497737556561084E-2</v>
      </c>
      <c r="AV410" s="26">
        <f t="shared" si="145"/>
        <v>7.993049522154648E-2</v>
      </c>
      <c r="AW410" s="26">
        <f t="shared" si="146"/>
        <v>8.6880973066898348E-2</v>
      </c>
      <c r="AX410" s="26">
        <f t="shared" si="161"/>
        <v>0.85436893203883502</v>
      </c>
      <c r="AY410" s="24">
        <f t="shared" si="162"/>
        <v>0.74757281553398058</v>
      </c>
      <c r="AZ410" s="77" t="str">
        <f t="shared" si="147"/>
        <v>5,0 ≤ Alc. Bruta &lt; 7,5 mg/L</v>
      </c>
      <c r="BA410" s="77" t="str">
        <f t="shared" si="148"/>
        <v>5 ≤ Cor &lt; 10 uC</v>
      </c>
      <c r="BB410" s="78" t="str">
        <f t="shared" si="149"/>
        <v>Turbidez &lt; 2,5 uT</v>
      </c>
      <c r="BC410" s="79" t="str">
        <f t="shared" si="150"/>
        <v>SM &gt; BNN &gt; TOR</v>
      </c>
      <c r="BD410" s="78" t="str">
        <f t="shared" si="151"/>
        <v>Tipo 1 (≤0,25) uT</v>
      </c>
      <c r="BE410" s="78" t="str">
        <f t="shared" si="152"/>
        <v>Tipo 1 (≤0,25) uT</v>
      </c>
      <c r="BF410" s="78" t="str">
        <f t="shared" si="153"/>
        <v>Tipo 2 (0,25-0,50) uT</v>
      </c>
      <c r="BG410" s="78" t="str">
        <f t="shared" si="154"/>
        <v>Tipo 1 (≤0,25) uT</v>
      </c>
      <c r="BH410" s="78" t="str">
        <f t="shared" si="155"/>
        <v>Tipo 1 (≤0,25) uT</v>
      </c>
    </row>
    <row r="411" spans="1:60" ht="15.75" thickBot="1" x14ac:dyDescent="0.25">
      <c r="A411" s="31">
        <v>46304</v>
      </c>
      <c r="B411" s="80">
        <v>0.97916666666666663</v>
      </c>
      <c r="C411" s="59">
        <v>0</v>
      </c>
      <c r="D411" s="57">
        <v>2000</v>
      </c>
      <c r="E411" s="57">
        <v>200</v>
      </c>
      <c r="F411" s="57">
        <v>2315</v>
      </c>
      <c r="G411" s="85" t="s">
        <v>78</v>
      </c>
      <c r="H411" s="63">
        <v>9.5</v>
      </c>
      <c r="I411" s="57">
        <v>33</v>
      </c>
      <c r="J411" s="57">
        <v>90</v>
      </c>
      <c r="K411" s="57">
        <v>90</v>
      </c>
      <c r="L411" s="57">
        <v>90</v>
      </c>
      <c r="M411" s="57">
        <v>26.3</v>
      </c>
      <c r="N411" s="63">
        <v>6.5</v>
      </c>
      <c r="O411" s="36">
        <v>1.06</v>
      </c>
      <c r="P411" s="57">
        <v>9</v>
      </c>
      <c r="Q411" s="63">
        <v>6.1</v>
      </c>
      <c r="R411" s="36">
        <v>0.1</v>
      </c>
      <c r="S411" s="36">
        <v>22.36</v>
      </c>
      <c r="T411" s="36">
        <v>0.88</v>
      </c>
      <c r="U411" s="36">
        <v>0.7</v>
      </c>
      <c r="V411" s="42">
        <f t="shared" si="156"/>
        <v>1710.20625</v>
      </c>
      <c r="W411" s="42">
        <f t="shared" si="157"/>
        <v>1750.3931224</v>
      </c>
      <c r="X411" s="42">
        <f t="shared" si="158"/>
        <v>1.0234982607507137</v>
      </c>
      <c r="Y411" s="57">
        <v>3</v>
      </c>
      <c r="Z411" s="57">
        <v>4</v>
      </c>
      <c r="AA411" s="63">
        <v>6.2</v>
      </c>
      <c r="AB411" s="57">
        <v>23</v>
      </c>
      <c r="AC411" s="63">
        <v>6.2</v>
      </c>
      <c r="AD411" s="63">
        <v>4.5</v>
      </c>
      <c r="AE411" s="36">
        <v>0.14000000000000001</v>
      </c>
      <c r="AF411" s="36">
        <v>0.24</v>
      </c>
      <c r="AG411" s="42">
        <f t="shared" si="140"/>
        <v>1710.20625</v>
      </c>
      <c r="AH411" s="42">
        <f t="shared" si="159"/>
        <v>1979.8438399999998</v>
      </c>
      <c r="AI411" s="42">
        <f t="shared" si="160"/>
        <v>1.1576637847043301</v>
      </c>
      <c r="AJ411" s="57">
        <v>3</v>
      </c>
      <c r="AK411" s="57">
        <v>4</v>
      </c>
      <c r="AL411" s="63">
        <v>6.4</v>
      </c>
      <c r="AM411" s="57">
        <v>25</v>
      </c>
      <c r="AN411" s="63">
        <v>6.2</v>
      </c>
      <c r="AO411" s="63">
        <v>4.9000000000000004</v>
      </c>
      <c r="AP411" s="36">
        <v>0.15</v>
      </c>
      <c r="AQ411" s="36">
        <v>0.16</v>
      </c>
      <c r="AR411" s="73">
        <f t="shared" si="141"/>
        <v>2200</v>
      </c>
      <c r="AS411" s="75">
        <f t="shared" si="142"/>
        <v>0</v>
      </c>
      <c r="AT411" s="75">
        <f t="shared" si="143"/>
        <v>0.90909090909090906</v>
      </c>
      <c r="AU411" s="75">
        <f t="shared" si="144"/>
        <v>9.0909090909090912E-2</v>
      </c>
      <c r="AV411" s="26">
        <f t="shared" si="145"/>
        <v>7.9481641468682501E-2</v>
      </c>
      <c r="AW411" s="26">
        <f t="shared" si="146"/>
        <v>8.6393088552915762E-2</v>
      </c>
      <c r="AX411" s="26">
        <f t="shared" si="161"/>
        <v>0.84905660377358494</v>
      </c>
      <c r="AY411" s="24">
        <f t="shared" si="162"/>
        <v>0.77358490566037741</v>
      </c>
      <c r="AZ411" s="77" t="str">
        <f t="shared" si="147"/>
        <v>5,0 ≤ Alc. Bruta &lt; 7,5 mg/L</v>
      </c>
      <c r="BA411" s="77" t="str">
        <f t="shared" si="148"/>
        <v>5 ≤ Cor &lt; 10 uC</v>
      </c>
      <c r="BB411" s="78" t="str">
        <f t="shared" si="149"/>
        <v>Turbidez &lt; 2,5 uT</v>
      </c>
      <c r="BC411" s="79" t="str">
        <f t="shared" si="150"/>
        <v>SM &gt; BNN &gt; TOR</v>
      </c>
      <c r="BD411" s="78" t="str">
        <f t="shared" si="151"/>
        <v>Tipo 1 (≤0,25) uT</v>
      </c>
      <c r="BE411" s="78" t="str">
        <f t="shared" si="152"/>
        <v>Tipo 1 (≤0,25) uT</v>
      </c>
      <c r="BF411" s="78" t="str">
        <f t="shared" si="153"/>
        <v>Tipo 1 (≤0,25) uT</v>
      </c>
      <c r="BG411" s="78" t="str">
        <f t="shared" si="154"/>
        <v>Tipo 1 (≤0,25) uT</v>
      </c>
      <c r="BH411" s="78" t="str">
        <f t="shared" si="155"/>
        <v>Tipo 1 (≤0,25) uT</v>
      </c>
    </row>
    <row r="412" spans="1:60" ht="15.75" thickBot="1" x14ac:dyDescent="0.25">
      <c r="A412" s="31">
        <v>46305</v>
      </c>
      <c r="B412" s="80">
        <v>0.14583333333333334</v>
      </c>
      <c r="C412" s="59">
        <v>0</v>
      </c>
      <c r="D412" s="57">
        <v>2005</v>
      </c>
      <c r="E412" s="57">
        <v>200</v>
      </c>
      <c r="F412" s="57">
        <v>2300</v>
      </c>
      <c r="G412" s="85" t="s">
        <v>78</v>
      </c>
      <c r="H412" s="63">
        <v>9.5</v>
      </c>
      <c r="I412" s="57">
        <v>33</v>
      </c>
      <c r="J412" s="57">
        <v>90</v>
      </c>
      <c r="K412" s="57">
        <v>90</v>
      </c>
      <c r="L412" s="57">
        <v>90</v>
      </c>
      <c r="M412" s="57">
        <v>25.8</v>
      </c>
      <c r="N412" s="63">
        <v>6.6</v>
      </c>
      <c r="O412" s="36">
        <v>1.08</v>
      </c>
      <c r="P412" s="57">
        <v>11</v>
      </c>
      <c r="Q412" s="63">
        <v>5.9</v>
      </c>
      <c r="R412" s="36">
        <v>0.12</v>
      </c>
      <c r="S412" s="36">
        <v>22.36</v>
      </c>
      <c r="T412" s="36">
        <v>0.88</v>
      </c>
      <c r="U412" s="36">
        <v>0.7</v>
      </c>
      <c r="V412" s="42">
        <f t="shared" si="156"/>
        <v>1704.875</v>
      </c>
      <c r="W412" s="42">
        <f t="shared" si="157"/>
        <v>1714.8615171999998</v>
      </c>
      <c r="X412" s="42">
        <f t="shared" si="158"/>
        <v>1.0058576242833051</v>
      </c>
      <c r="Y412" s="57">
        <v>3</v>
      </c>
      <c r="Z412" s="57">
        <v>4</v>
      </c>
      <c r="AA412" s="63">
        <v>6.1</v>
      </c>
      <c r="AB412" s="57">
        <v>23</v>
      </c>
      <c r="AC412" s="63">
        <v>6.1</v>
      </c>
      <c r="AD412" s="63">
        <v>4.3</v>
      </c>
      <c r="AE412" s="36">
        <v>0.21</v>
      </c>
      <c r="AF412" s="36">
        <v>0.26</v>
      </c>
      <c r="AG412" s="42">
        <f t="shared" si="140"/>
        <v>1704.875</v>
      </c>
      <c r="AH412" s="42">
        <f t="shared" si="159"/>
        <v>1979.8438399999998</v>
      </c>
      <c r="AI412" s="42">
        <f t="shared" si="160"/>
        <v>1.1612838712515579</v>
      </c>
      <c r="AJ412" s="57">
        <v>3</v>
      </c>
      <c r="AK412" s="57">
        <v>4</v>
      </c>
      <c r="AL412" s="63">
        <v>6.4</v>
      </c>
      <c r="AM412" s="57">
        <v>25</v>
      </c>
      <c r="AN412" s="63">
        <v>6.1</v>
      </c>
      <c r="AO412" s="63">
        <v>4.5</v>
      </c>
      <c r="AP412" s="36">
        <v>0.16</v>
      </c>
      <c r="AQ412" s="36">
        <v>0.15</v>
      </c>
      <c r="AR412" s="73">
        <f t="shared" si="141"/>
        <v>2205</v>
      </c>
      <c r="AS412" s="75">
        <f t="shared" si="142"/>
        <v>0</v>
      </c>
      <c r="AT412" s="75">
        <f t="shared" si="143"/>
        <v>0.90929705215419498</v>
      </c>
      <c r="AU412" s="75">
        <f t="shared" si="144"/>
        <v>9.0702947845804988E-2</v>
      </c>
      <c r="AV412" s="26">
        <f t="shared" si="145"/>
        <v>0.08</v>
      </c>
      <c r="AW412" s="26">
        <f t="shared" si="146"/>
        <v>8.6956521739130432E-2</v>
      </c>
      <c r="AX412" s="26">
        <f t="shared" si="161"/>
        <v>0.86111111111111116</v>
      </c>
      <c r="AY412" s="24">
        <f t="shared" si="162"/>
        <v>0.7592592592592593</v>
      </c>
      <c r="AZ412" s="77" t="str">
        <f t="shared" si="147"/>
        <v>5,0 ≤ Alc. Bruta &lt; 7,5 mg/L</v>
      </c>
      <c r="BA412" s="77" t="str">
        <f t="shared" si="148"/>
        <v>10 ≤ Cor &lt;15 uC</v>
      </c>
      <c r="BB412" s="78" t="str">
        <f t="shared" si="149"/>
        <v>Turbidez &lt; 2,5 uT</v>
      </c>
      <c r="BC412" s="79" t="str">
        <f t="shared" si="150"/>
        <v>SM &gt; BNN &gt; TOR</v>
      </c>
      <c r="BD412" s="78" t="str">
        <f t="shared" si="151"/>
        <v>Tipo 1 (≤0,25) uT</v>
      </c>
      <c r="BE412" s="78" t="str">
        <f t="shared" si="152"/>
        <v>Tipo 1 (≤0,25) uT</v>
      </c>
      <c r="BF412" s="78" t="str">
        <f t="shared" si="153"/>
        <v>Tipo 2 (0,25-0,50) uT</v>
      </c>
      <c r="BG412" s="78" t="str">
        <f t="shared" si="154"/>
        <v>Tipo 1 (≤0,25) uT</v>
      </c>
      <c r="BH412" s="78" t="str">
        <f t="shared" si="155"/>
        <v>Tipo 1 (≤0,25) uT</v>
      </c>
    </row>
    <row r="413" spans="1:60" ht="15.75" thickBot="1" x14ac:dyDescent="0.25">
      <c r="A413" s="32">
        <v>46305</v>
      </c>
      <c r="B413" s="81">
        <v>0.22916666666666666</v>
      </c>
      <c r="C413" s="59">
        <v>0</v>
      </c>
      <c r="D413" s="58">
        <v>1552</v>
      </c>
      <c r="E413" s="58">
        <v>216</v>
      </c>
      <c r="F413" s="58">
        <v>1835</v>
      </c>
      <c r="G413" s="86" t="s">
        <v>78</v>
      </c>
      <c r="H413" s="64">
        <v>9.5</v>
      </c>
      <c r="I413" s="58">
        <v>33</v>
      </c>
      <c r="J413" s="58">
        <v>90</v>
      </c>
      <c r="K413" s="58">
        <v>90</v>
      </c>
      <c r="L413" s="58">
        <v>90</v>
      </c>
      <c r="M413" s="58">
        <v>25.5</v>
      </c>
      <c r="N413" s="64">
        <v>6.6</v>
      </c>
      <c r="O413" s="37">
        <v>1.05</v>
      </c>
      <c r="P413" s="58">
        <v>8</v>
      </c>
      <c r="Q413" s="64">
        <v>6</v>
      </c>
      <c r="R413" s="37">
        <v>0.14000000000000001</v>
      </c>
      <c r="S413" s="36">
        <v>22.36</v>
      </c>
      <c r="T413" s="36">
        <v>0.88</v>
      </c>
      <c r="U413" s="36">
        <v>0.7</v>
      </c>
      <c r="V413" s="42">
        <f t="shared" si="156"/>
        <v>1804.4166666666667</v>
      </c>
      <c r="W413" s="42">
        <f t="shared" si="157"/>
        <v>1750.3931224</v>
      </c>
      <c r="X413" s="42">
        <f t="shared" si="158"/>
        <v>0.97006038280145934</v>
      </c>
      <c r="Y413" s="58">
        <v>3</v>
      </c>
      <c r="Z413" s="58">
        <v>3</v>
      </c>
      <c r="AA413" s="64">
        <v>6.2</v>
      </c>
      <c r="AB413" s="58">
        <v>23</v>
      </c>
      <c r="AC413" s="64">
        <v>6.4</v>
      </c>
      <c r="AD413" s="64">
        <v>4.3</v>
      </c>
      <c r="AE413" s="37">
        <v>0.27</v>
      </c>
      <c r="AF413" s="37">
        <v>0.17</v>
      </c>
      <c r="AG413" s="42">
        <f t="shared" si="140"/>
        <v>1353.3125</v>
      </c>
      <c r="AH413" s="42">
        <f t="shared" si="159"/>
        <v>1979.8438399999998</v>
      </c>
      <c r="AI413" s="42">
        <f t="shared" si="160"/>
        <v>1.4629613189858217</v>
      </c>
      <c r="AJ413" s="58">
        <v>3</v>
      </c>
      <c r="AK413" s="58">
        <v>4</v>
      </c>
      <c r="AL413" s="64">
        <v>6.4</v>
      </c>
      <c r="AM413" s="58">
        <v>25</v>
      </c>
      <c r="AN413" s="64">
        <v>6.4</v>
      </c>
      <c r="AO413" s="64">
        <v>4.7</v>
      </c>
      <c r="AP413" s="37">
        <v>0.25</v>
      </c>
      <c r="AQ413" s="37">
        <v>0.23</v>
      </c>
      <c r="AR413" s="73">
        <f t="shared" si="141"/>
        <v>1768</v>
      </c>
      <c r="AS413" s="75">
        <f t="shared" si="142"/>
        <v>0</v>
      </c>
      <c r="AT413" s="75">
        <f t="shared" si="143"/>
        <v>0.87782805429864252</v>
      </c>
      <c r="AU413" s="75">
        <f t="shared" si="144"/>
        <v>0.12217194570135746</v>
      </c>
      <c r="AV413" s="26">
        <f t="shared" si="145"/>
        <v>7.5204359673024523E-2</v>
      </c>
      <c r="AW413" s="26">
        <f t="shared" si="146"/>
        <v>0.10899182561307902</v>
      </c>
      <c r="AX413" s="26">
        <f t="shared" si="161"/>
        <v>0.78095238095238095</v>
      </c>
      <c r="AY413" s="24">
        <f t="shared" si="162"/>
        <v>0.83809523809523812</v>
      </c>
      <c r="AZ413" s="77" t="str">
        <f t="shared" si="147"/>
        <v>5,0 ≤ Alc. Bruta &lt; 7,5 mg/L</v>
      </c>
      <c r="BA413" s="77" t="str">
        <f t="shared" si="148"/>
        <v>5 ≤ Cor &lt; 10 uC</v>
      </c>
      <c r="BB413" s="78" t="str">
        <f t="shared" si="149"/>
        <v>Turbidez &lt; 2,5 uT</v>
      </c>
      <c r="BC413" s="79" t="str">
        <f t="shared" si="150"/>
        <v>SM &gt; BNN &gt; TOR</v>
      </c>
      <c r="BD413" s="78" t="str">
        <f t="shared" si="151"/>
        <v>Tipo 2 (0,25-0,50) uT</v>
      </c>
      <c r="BE413" s="78" t="str">
        <f t="shared" si="152"/>
        <v>Tipo 1 (≤0,25) uT</v>
      </c>
      <c r="BF413" s="78" t="str">
        <f t="shared" si="153"/>
        <v>Tipo 1 (≤0,25) uT</v>
      </c>
      <c r="BG413" s="78" t="str">
        <f t="shared" si="154"/>
        <v>Tipo 1 (≤0,25) uT</v>
      </c>
      <c r="BH413" s="78" t="str">
        <f t="shared" si="155"/>
        <v>Tipo 1 (≤0,25) uT</v>
      </c>
    </row>
    <row r="414" spans="1:60" x14ac:dyDescent="0.2">
      <c r="A414" s="31">
        <v>46305</v>
      </c>
      <c r="B414" s="80">
        <v>0.39583333333333331</v>
      </c>
      <c r="C414" s="57">
        <v>0</v>
      </c>
      <c r="D414" s="57">
        <v>2026</v>
      </c>
      <c r="E414" s="57">
        <v>250</v>
      </c>
      <c r="F414" s="57">
        <v>2218</v>
      </c>
      <c r="G414" s="85" t="s">
        <v>78</v>
      </c>
      <c r="H414" s="63">
        <v>9.5</v>
      </c>
      <c r="I414" s="57">
        <v>33</v>
      </c>
      <c r="J414" s="57">
        <v>90</v>
      </c>
      <c r="K414" s="57">
        <v>90</v>
      </c>
      <c r="L414" s="57">
        <v>90</v>
      </c>
      <c r="M414" s="57">
        <v>26.1</v>
      </c>
      <c r="N414" s="63">
        <v>6.5</v>
      </c>
      <c r="O414" s="36">
        <v>1.35</v>
      </c>
      <c r="P414" s="57">
        <v>13</v>
      </c>
      <c r="Q414" s="63">
        <v>7.5</v>
      </c>
      <c r="R414" s="36">
        <v>0.15</v>
      </c>
      <c r="S414" s="36">
        <v>22.36</v>
      </c>
      <c r="T414" s="36">
        <v>0.88</v>
      </c>
      <c r="U414" s="36">
        <v>0.7</v>
      </c>
      <c r="V414" s="42">
        <f t="shared" si="156"/>
        <v>1718.95</v>
      </c>
      <c r="W414" s="42">
        <f t="shared" si="157"/>
        <v>1640.3023207999997</v>
      </c>
      <c r="X414" s="42">
        <f t="shared" si="158"/>
        <v>0.95424667430698951</v>
      </c>
      <c r="Y414" s="57">
        <v>3</v>
      </c>
      <c r="Z414" s="57">
        <v>4</v>
      </c>
      <c r="AA414" s="63">
        <v>6.1</v>
      </c>
      <c r="AB414" s="57">
        <v>22</v>
      </c>
      <c r="AC414" s="63">
        <v>6.4</v>
      </c>
      <c r="AD414" s="63">
        <v>5.5</v>
      </c>
      <c r="AE414" s="36">
        <v>0.16</v>
      </c>
      <c r="AF414" s="36">
        <v>0.11</v>
      </c>
      <c r="AG414" s="42">
        <f t="shared" si="140"/>
        <v>1718.95</v>
      </c>
      <c r="AH414" s="42">
        <f t="shared" si="159"/>
        <v>1900.6500864</v>
      </c>
      <c r="AI414" s="42">
        <f t="shared" si="160"/>
        <v>1.1057041137903953</v>
      </c>
      <c r="AJ414" s="57">
        <v>3</v>
      </c>
      <c r="AK414" s="57">
        <v>4</v>
      </c>
      <c r="AL414" s="63">
        <v>6.4</v>
      </c>
      <c r="AM414" s="57">
        <v>24</v>
      </c>
      <c r="AN414" s="63">
        <v>6.3</v>
      </c>
      <c r="AO414" s="63">
        <v>6.6</v>
      </c>
      <c r="AP414" s="36">
        <v>0.14000000000000001</v>
      </c>
      <c r="AQ414" s="36">
        <v>0.12</v>
      </c>
      <c r="AR414" s="73">
        <f t="shared" si="141"/>
        <v>2276</v>
      </c>
      <c r="AS414" s="75">
        <f t="shared" si="142"/>
        <v>0</v>
      </c>
      <c r="AT414" s="75">
        <f t="shared" si="143"/>
        <v>0.8901581722319859</v>
      </c>
      <c r="AU414" s="75">
        <f t="shared" si="144"/>
        <v>0.10984182776801406</v>
      </c>
      <c r="AV414" s="26">
        <f t="shared" si="145"/>
        <v>7.9350766456266902E-2</v>
      </c>
      <c r="AW414" s="26">
        <f t="shared" si="146"/>
        <v>8.6564472497745723E-2</v>
      </c>
      <c r="AX414" s="26">
        <f t="shared" si="161"/>
        <v>0.91111111111111109</v>
      </c>
      <c r="AY414" s="24">
        <f t="shared" si="162"/>
        <v>0.91851851851851851</v>
      </c>
      <c r="AZ414" s="77" t="str">
        <f t="shared" si="147"/>
        <v>7,5 ≤ Alc. Bruta &lt; 10,0 mg/L</v>
      </c>
      <c r="BA414" s="77" t="str">
        <f t="shared" si="148"/>
        <v>10 ≤ Cor &lt;15 uC</v>
      </c>
      <c r="BB414" s="78" t="str">
        <f t="shared" si="149"/>
        <v>Turbidez &lt; 2,5 uT</v>
      </c>
      <c r="BC414" s="79" t="str">
        <f t="shared" si="150"/>
        <v>SM &gt; BNN &gt; TOR</v>
      </c>
      <c r="BD414" s="78" t="str">
        <f t="shared" si="151"/>
        <v>Tipo 1 (≤0,25) uT</v>
      </c>
      <c r="BE414" s="78" t="str">
        <f t="shared" si="152"/>
        <v>Tipo 1 (≤0,25) uT</v>
      </c>
      <c r="BF414" s="78" t="str">
        <f t="shared" si="153"/>
        <v>Tipo 1 (≤0,25) uT</v>
      </c>
      <c r="BG414" s="78" t="str">
        <f t="shared" si="154"/>
        <v>Tipo 1 (≤0,25) uT</v>
      </c>
      <c r="BH414" s="78" t="str">
        <f t="shared" si="155"/>
        <v>Tipo 1 (≤0,25) uT</v>
      </c>
    </row>
    <row r="415" spans="1:60" x14ac:dyDescent="0.2">
      <c r="A415" s="31">
        <v>46305</v>
      </c>
      <c r="B415" s="80">
        <v>0.47916666666666669</v>
      </c>
      <c r="C415" s="57">
        <v>0</v>
      </c>
      <c r="D415" s="57">
        <v>1978</v>
      </c>
      <c r="E415" s="57">
        <v>250</v>
      </c>
      <c r="F415" s="57">
        <v>2228</v>
      </c>
      <c r="G415" s="85" t="s">
        <v>78</v>
      </c>
      <c r="H415" s="63">
        <v>9.5</v>
      </c>
      <c r="I415" s="57">
        <v>33</v>
      </c>
      <c r="J415" s="57">
        <v>90</v>
      </c>
      <c r="K415" s="57">
        <v>90</v>
      </c>
      <c r="L415" s="57">
        <v>90</v>
      </c>
      <c r="M415" s="57">
        <v>27.4</v>
      </c>
      <c r="N415" s="63">
        <v>6.5</v>
      </c>
      <c r="O415" s="36">
        <v>1.31</v>
      </c>
      <c r="P415" s="57">
        <v>11</v>
      </c>
      <c r="Q415" s="63">
        <v>7.7</v>
      </c>
      <c r="R415" s="36">
        <v>0.14000000000000001</v>
      </c>
      <c r="S415" s="36">
        <v>22.36</v>
      </c>
      <c r="T415" s="36">
        <v>0.88</v>
      </c>
      <c r="U415" s="36">
        <v>0.7</v>
      </c>
      <c r="V415" s="42">
        <f t="shared" si="156"/>
        <v>1715.56</v>
      </c>
      <c r="W415" s="42">
        <f t="shared" si="157"/>
        <v>1640.3023207999997</v>
      </c>
      <c r="X415" s="42">
        <f t="shared" si="158"/>
        <v>0.95613229546037437</v>
      </c>
      <c r="Y415" s="57">
        <v>3</v>
      </c>
      <c r="Z415" s="57">
        <v>4</v>
      </c>
      <c r="AA415" s="63">
        <v>6.1</v>
      </c>
      <c r="AB415" s="57">
        <v>22</v>
      </c>
      <c r="AC415" s="63">
        <v>6.3</v>
      </c>
      <c r="AD415" s="63">
        <v>5.5</v>
      </c>
      <c r="AE415" s="36">
        <v>0.15</v>
      </c>
      <c r="AF415" s="36">
        <v>0.11</v>
      </c>
      <c r="AG415" s="42">
        <f t="shared" si="140"/>
        <v>1715.56</v>
      </c>
      <c r="AH415" s="42">
        <f t="shared" si="159"/>
        <v>1900.6500864</v>
      </c>
      <c r="AI415" s="42">
        <f t="shared" si="160"/>
        <v>1.1078890195621256</v>
      </c>
      <c r="AJ415" s="57">
        <v>3</v>
      </c>
      <c r="AK415" s="57">
        <v>4</v>
      </c>
      <c r="AL415" s="63">
        <v>6.4</v>
      </c>
      <c r="AM415" s="57">
        <v>24</v>
      </c>
      <c r="AN415" s="63">
        <v>6.2</v>
      </c>
      <c r="AO415" s="63">
        <v>6.2</v>
      </c>
      <c r="AP415" s="36">
        <v>0.15</v>
      </c>
      <c r="AQ415" s="36">
        <v>0.13</v>
      </c>
      <c r="AR415" s="73">
        <f t="shared" si="141"/>
        <v>2228</v>
      </c>
      <c r="AS415" s="75">
        <f t="shared" si="142"/>
        <v>0</v>
      </c>
      <c r="AT415" s="75">
        <f t="shared" si="143"/>
        <v>0.88779174147217232</v>
      </c>
      <c r="AU415" s="75">
        <f t="shared" si="144"/>
        <v>0.11220825852782765</v>
      </c>
      <c r="AV415" s="26">
        <f t="shared" si="145"/>
        <v>7.899461400359066E-2</v>
      </c>
      <c r="AW415" s="26">
        <f t="shared" si="146"/>
        <v>8.6175942549371637E-2</v>
      </c>
      <c r="AX415" s="26">
        <f t="shared" si="161"/>
        <v>0.9007633587786259</v>
      </c>
      <c r="AY415" s="24">
        <f t="shared" si="162"/>
        <v>0.91603053435114501</v>
      </c>
      <c r="AZ415" s="77" t="str">
        <f t="shared" si="147"/>
        <v>7,5 ≤ Alc. Bruta &lt; 10,0 mg/L</v>
      </c>
      <c r="BA415" s="77" t="str">
        <f t="shared" si="148"/>
        <v>10 ≤ Cor &lt;15 uC</v>
      </c>
      <c r="BB415" s="78" t="str">
        <f t="shared" si="149"/>
        <v>Turbidez &lt; 2,5 uT</v>
      </c>
      <c r="BC415" s="79" t="str">
        <f t="shared" si="150"/>
        <v>SM &gt; BNN &gt; TOR</v>
      </c>
      <c r="BD415" s="78" t="str">
        <f t="shared" si="151"/>
        <v>Tipo 1 (≤0,25) uT</v>
      </c>
      <c r="BE415" s="78" t="str">
        <f t="shared" si="152"/>
        <v>Tipo 1 (≤0,25) uT</v>
      </c>
      <c r="BF415" s="78" t="str">
        <f t="shared" si="153"/>
        <v>Tipo 1 (≤0,25) uT</v>
      </c>
      <c r="BG415" s="78" t="str">
        <f t="shared" si="154"/>
        <v>Tipo 1 (≤0,25) uT</v>
      </c>
      <c r="BH415" s="78" t="str">
        <f t="shared" si="155"/>
        <v>Tipo 1 (≤0,25) uT</v>
      </c>
    </row>
    <row r="416" spans="1:60" x14ac:dyDescent="0.2">
      <c r="A416" s="31">
        <v>46305</v>
      </c>
      <c r="B416" s="80">
        <v>0.64583333333333337</v>
      </c>
      <c r="C416" s="57">
        <v>0</v>
      </c>
      <c r="D416" s="57">
        <v>2011</v>
      </c>
      <c r="E416" s="57">
        <v>249</v>
      </c>
      <c r="F416" s="57">
        <v>2227</v>
      </c>
      <c r="G416" s="85" t="s">
        <v>78</v>
      </c>
      <c r="H416" s="63">
        <v>9.5</v>
      </c>
      <c r="I416" s="57">
        <v>33</v>
      </c>
      <c r="J416" s="57">
        <v>90</v>
      </c>
      <c r="K416" s="57">
        <v>90</v>
      </c>
      <c r="L416" s="57">
        <v>90</v>
      </c>
      <c r="M416" s="57">
        <v>27</v>
      </c>
      <c r="N416" s="63">
        <v>6.6</v>
      </c>
      <c r="O416" s="36">
        <v>1.0900000000000001</v>
      </c>
      <c r="P416" s="57">
        <v>9</v>
      </c>
      <c r="Q416" s="63">
        <v>6.9</v>
      </c>
      <c r="R416" s="36">
        <v>0.14000000000000001</v>
      </c>
      <c r="S416" s="36">
        <v>22.36</v>
      </c>
      <c r="T416" s="36">
        <v>0.88</v>
      </c>
      <c r="U416" s="36">
        <v>0.7</v>
      </c>
      <c r="V416" s="42">
        <f t="shared" si="156"/>
        <v>1653.5475000000001</v>
      </c>
      <c r="W416" s="42">
        <f t="shared" si="157"/>
        <v>1565.7431243999997</v>
      </c>
      <c r="X416" s="42">
        <f t="shared" si="158"/>
        <v>0.94689939321368122</v>
      </c>
      <c r="Y416" s="57">
        <v>3</v>
      </c>
      <c r="Z416" s="57">
        <v>4</v>
      </c>
      <c r="AA416" s="63">
        <v>6.1</v>
      </c>
      <c r="AB416" s="57">
        <v>21</v>
      </c>
      <c r="AC416" s="63">
        <v>6.2</v>
      </c>
      <c r="AD416" s="63">
        <v>4.8</v>
      </c>
      <c r="AE416" s="36">
        <v>0.09</v>
      </c>
      <c r="AF416" s="36">
        <v>0.11</v>
      </c>
      <c r="AG416" s="42">
        <f t="shared" si="140"/>
        <v>1653.5475000000001</v>
      </c>
      <c r="AH416" s="42">
        <f t="shared" si="159"/>
        <v>1821.4563327999999</v>
      </c>
      <c r="AI416" s="42">
        <f t="shared" si="160"/>
        <v>1.1015446080623628</v>
      </c>
      <c r="AJ416" s="57">
        <v>3</v>
      </c>
      <c r="AK416" s="57">
        <v>4</v>
      </c>
      <c r="AL416" s="63">
        <v>6.4</v>
      </c>
      <c r="AM416" s="57">
        <v>23</v>
      </c>
      <c r="AN416" s="63">
        <v>6.2</v>
      </c>
      <c r="AO416" s="63">
        <v>4.3</v>
      </c>
      <c r="AP416" s="36">
        <v>0.14000000000000001</v>
      </c>
      <c r="AQ416" s="36">
        <v>0.14000000000000001</v>
      </c>
      <c r="AR416" s="73">
        <f t="shared" si="141"/>
        <v>2260</v>
      </c>
      <c r="AS416" s="75">
        <f t="shared" si="142"/>
        <v>0</v>
      </c>
      <c r="AT416" s="75">
        <f t="shared" si="143"/>
        <v>0.88982300884955756</v>
      </c>
      <c r="AU416" s="75">
        <f t="shared" si="144"/>
        <v>0.11017699115044248</v>
      </c>
      <c r="AV416" s="26">
        <f t="shared" si="145"/>
        <v>7.5437808711270773E-2</v>
      </c>
      <c r="AW416" s="26">
        <f t="shared" si="146"/>
        <v>8.262236192186799E-2</v>
      </c>
      <c r="AX416" s="26">
        <f t="shared" si="161"/>
        <v>0.87155963302752293</v>
      </c>
      <c r="AY416" s="24">
        <f t="shared" si="162"/>
        <v>0.8990825688073395</v>
      </c>
      <c r="AZ416" s="77" t="str">
        <f t="shared" si="147"/>
        <v>5,0 ≤ Alc. Bruta &lt; 7,5 mg/L</v>
      </c>
      <c r="BA416" s="77" t="str">
        <f t="shared" si="148"/>
        <v>5 ≤ Cor &lt; 10 uC</v>
      </c>
      <c r="BB416" s="78" t="str">
        <f t="shared" si="149"/>
        <v>Turbidez &lt; 2,5 uT</v>
      </c>
      <c r="BC416" s="79" t="str">
        <f t="shared" si="150"/>
        <v>SM &gt; BNN &gt; TOR</v>
      </c>
      <c r="BD416" s="78" t="str">
        <f t="shared" si="151"/>
        <v>Tipo 1 (≤0,25) uT</v>
      </c>
      <c r="BE416" s="78" t="str">
        <f t="shared" si="152"/>
        <v>Tipo 1 (≤0,25) uT</v>
      </c>
      <c r="BF416" s="78" t="str">
        <f t="shared" si="153"/>
        <v>Tipo 1 (≤0,25) uT</v>
      </c>
      <c r="BG416" s="78" t="str">
        <f t="shared" si="154"/>
        <v>Tipo 1 (≤0,25) uT</v>
      </c>
      <c r="BH416" s="78" t="str">
        <f t="shared" si="155"/>
        <v>Tipo 1 (≤0,25) uT</v>
      </c>
    </row>
    <row r="417" spans="1:60" ht="15.75" thickBot="1" x14ac:dyDescent="0.25">
      <c r="A417" s="31">
        <v>46305</v>
      </c>
      <c r="B417" s="80">
        <v>0.72916666666666663</v>
      </c>
      <c r="C417" s="57">
        <v>0</v>
      </c>
      <c r="D417" s="57">
        <v>1975</v>
      </c>
      <c r="E417" s="57">
        <v>249</v>
      </c>
      <c r="F417" s="57">
        <v>2230</v>
      </c>
      <c r="G417" s="85" t="s">
        <v>78</v>
      </c>
      <c r="H417" s="63">
        <v>9.5</v>
      </c>
      <c r="I417" s="57">
        <v>33</v>
      </c>
      <c r="J417" s="57">
        <v>90</v>
      </c>
      <c r="K417" s="57">
        <v>90</v>
      </c>
      <c r="L417" s="57">
        <v>90</v>
      </c>
      <c r="M417" s="57">
        <v>24.5</v>
      </c>
      <c r="N417" s="63">
        <v>6.5</v>
      </c>
      <c r="O417" s="36">
        <v>1.1100000000000001</v>
      </c>
      <c r="P417" s="57">
        <v>9</v>
      </c>
      <c r="Q417" s="63">
        <v>7.1</v>
      </c>
      <c r="R417" s="36">
        <v>0.14000000000000001</v>
      </c>
      <c r="S417" s="36">
        <v>22.36</v>
      </c>
      <c r="T417" s="36">
        <v>0.88</v>
      </c>
      <c r="U417" s="36">
        <v>0.7</v>
      </c>
      <c r="V417" s="42">
        <f t="shared" si="156"/>
        <v>1661.35</v>
      </c>
      <c r="W417" s="42">
        <f t="shared" si="157"/>
        <v>1640.3023207999997</v>
      </c>
      <c r="X417" s="42">
        <f t="shared" si="158"/>
        <v>0.98733097830077943</v>
      </c>
      <c r="Y417" s="57">
        <v>3</v>
      </c>
      <c r="Z417" s="57">
        <v>4</v>
      </c>
      <c r="AA417" s="63">
        <v>6.1</v>
      </c>
      <c r="AB417" s="57">
        <v>22</v>
      </c>
      <c r="AC417" s="63">
        <v>6.2</v>
      </c>
      <c r="AD417" s="63">
        <v>5.0999999999999996</v>
      </c>
      <c r="AE417" s="36">
        <v>0.1</v>
      </c>
      <c r="AF417" s="36">
        <v>0.1</v>
      </c>
      <c r="AG417" s="42">
        <f t="shared" si="140"/>
        <v>1661.35</v>
      </c>
      <c r="AH417" s="42">
        <f t="shared" si="159"/>
        <v>1900.6500864</v>
      </c>
      <c r="AI417" s="42">
        <f t="shared" si="160"/>
        <v>1.1440395379661119</v>
      </c>
      <c r="AJ417" s="57">
        <v>3</v>
      </c>
      <c r="AK417" s="57">
        <v>4</v>
      </c>
      <c r="AL417" s="63">
        <v>6.4</v>
      </c>
      <c r="AM417" s="57">
        <v>24</v>
      </c>
      <c r="AN417" s="63">
        <v>6.2</v>
      </c>
      <c r="AO417" s="63">
        <v>4.5999999999999996</v>
      </c>
      <c r="AP417" s="36">
        <v>0.12</v>
      </c>
      <c r="AQ417" s="36">
        <v>0.14000000000000001</v>
      </c>
      <c r="AR417" s="73">
        <f t="shared" si="141"/>
        <v>2224</v>
      </c>
      <c r="AS417" s="75">
        <f t="shared" si="142"/>
        <v>0</v>
      </c>
      <c r="AT417" s="75">
        <f t="shared" si="143"/>
        <v>0.88803956834532372</v>
      </c>
      <c r="AU417" s="75">
        <f t="shared" si="144"/>
        <v>0.11196043165467626</v>
      </c>
      <c r="AV417" s="26">
        <f t="shared" si="145"/>
        <v>7.8923766816143492E-2</v>
      </c>
      <c r="AW417" s="26">
        <f t="shared" si="146"/>
        <v>8.6098654708520184E-2</v>
      </c>
      <c r="AX417" s="26">
        <f t="shared" si="161"/>
        <v>0.87387387387387383</v>
      </c>
      <c r="AY417" s="24">
        <f t="shared" si="162"/>
        <v>0.90990990990990994</v>
      </c>
      <c r="AZ417" s="77" t="str">
        <f t="shared" si="147"/>
        <v>5,0 ≤ Alc. Bruta &lt; 7,5 mg/L</v>
      </c>
      <c r="BA417" s="77" t="str">
        <f t="shared" si="148"/>
        <v>5 ≤ Cor &lt; 10 uC</v>
      </c>
      <c r="BB417" s="78" t="str">
        <f t="shared" si="149"/>
        <v>Turbidez &lt; 2,5 uT</v>
      </c>
      <c r="BC417" s="79" t="str">
        <f t="shared" si="150"/>
        <v>SM &gt; BNN &gt; TOR</v>
      </c>
      <c r="BD417" s="78" t="str">
        <f t="shared" si="151"/>
        <v>Tipo 1 (≤0,25) uT</v>
      </c>
      <c r="BE417" s="78" t="str">
        <f t="shared" si="152"/>
        <v>Tipo 1 (≤0,25) uT</v>
      </c>
      <c r="BF417" s="78" t="str">
        <f t="shared" si="153"/>
        <v>Tipo 1 (≤0,25) uT</v>
      </c>
      <c r="BG417" s="78" t="str">
        <f t="shared" si="154"/>
        <v>Tipo 1 (≤0,25) uT</v>
      </c>
      <c r="BH417" s="78" t="str">
        <f t="shared" si="155"/>
        <v>Tipo 1 (≤0,25) uT</v>
      </c>
    </row>
    <row r="418" spans="1:60" ht="15.75" thickBot="1" x14ac:dyDescent="0.25">
      <c r="A418" s="31">
        <v>46305</v>
      </c>
      <c r="B418" s="80">
        <v>0.8125</v>
      </c>
      <c r="C418" s="59">
        <v>0</v>
      </c>
      <c r="D418" s="57">
        <v>1956</v>
      </c>
      <c r="E418" s="57">
        <v>250</v>
      </c>
      <c r="F418" s="57">
        <v>2230</v>
      </c>
      <c r="G418" s="85" t="s">
        <v>78</v>
      </c>
      <c r="H418" s="63">
        <v>9.5</v>
      </c>
      <c r="I418" s="57">
        <v>33</v>
      </c>
      <c r="J418" s="57">
        <v>90</v>
      </c>
      <c r="K418" s="57">
        <v>90</v>
      </c>
      <c r="L418" s="57">
        <v>90</v>
      </c>
      <c r="M418" s="57">
        <v>27.3</v>
      </c>
      <c r="N418" s="63">
        <v>6.5</v>
      </c>
      <c r="O418" s="36">
        <v>1.1100000000000001</v>
      </c>
      <c r="P418" s="57">
        <v>9</v>
      </c>
      <c r="Q418" s="63">
        <v>6.1</v>
      </c>
      <c r="R418" s="36">
        <v>0.13</v>
      </c>
      <c r="S418" s="36">
        <v>22.36</v>
      </c>
      <c r="T418" s="36">
        <v>0.88</v>
      </c>
      <c r="U418" s="36">
        <v>0.7</v>
      </c>
      <c r="V418" s="42">
        <f t="shared" si="156"/>
        <v>1661.35</v>
      </c>
      <c r="W418" s="42">
        <f t="shared" si="157"/>
        <v>1640.3023207999997</v>
      </c>
      <c r="X418" s="42">
        <f t="shared" si="158"/>
        <v>0.98733097830077943</v>
      </c>
      <c r="Y418" s="57">
        <v>3</v>
      </c>
      <c r="Z418" s="57">
        <v>4</v>
      </c>
      <c r="AA418" s="63">
        <v>6.1</v>
      </c>
      <c r="AB418" s="57">
        <v>22</v>
      </c>
      <c r="AC418" s="63">
        <v>6.1</v>
      </c>
      <c r="AD418" s="63">
        <v>5.7</v>
      </c>
      <c r="AE418" s="36">
        <v>0.14000000000000001</v>
      </c>
      <c r="AF418" s="36">
        <v>0.11</v>
      </c>
      <c r="AG418" s="42">
        <f t="shared" si="140"/>
        <v>1661.35</v>
      </c>
      <c r="AH418" s="42">
        <f t="shared" si="159"/>
        <v>1900.6500864</v>
      </c>
      <c r="AI418" s="42">
        <f t="shared" si="160"/>
        <v>1.1440395379661119</v>
      </c>
      <c r="AJ418" s="57">
        <v>3</v>
      </c>
      <c r="AK418" s="57">
        <v>4</v>
      </c>
      <c r="AL418" s="63">
        <v>6.4</v>
      </c>
      <c r="AM418" s="57">
        <v>24</v>
      </c>
      <c r="AN418" s="63">
        <v>6.2</v>
      </c>
      <c r="AO418" s="63">
        <v>5.9</v>
      </c>
      <c r="AP418" s="36">
        <v>0.12</v>
      </c>
      <c r="AQ418" s="36">
        <v>0.14000000000000001</v>
      </c>
      <c r="AR418" s="73">
        <f t="shared" si="141"/>
        <v>2206</v>
      </c>
      <c r="AS418" s="75">
        <f t="shared" si="142"/>
        <v>0</v>
      </c>
      <c r="AT418" s="75">
        <f t="shared" si="143"/>
        <v>0.88667271078875798</v>
      </c>
      <c r="AU418" s="75">
        <f t="shared" si="144"/>
        <v>0.11332728921124206</v>
      </c>
      <c r="AV418" s="26">
        <f t="shared" si="145"/>
        <v>7.8923766816143492E-2</v>
      </c>
      <c r="AW418" s="26">
        <f t="shared" si="146"/>
        <v>8.6098654708520184E-2</v>
      </c>
      <c r="AX418" s="26">
        <f t="shared" si="161"/>
        <v>0.87387387387387383</v>
      </c>
      <c r="AY418" s="24">
        <f t="shared" si="162"/>
        <v>0.90090090090090091</v>
      </c>
      <c r="AZ418" s="77" t="str">
        <f t="shared" si="147"/>
        <v>5,0 ≤ Alc. Bruta &lt; 7,5 mg/L</v>
      </c>
      <c r="BA418" s="77" t="str">
        <f t="shared" si="148"/>
        <v>5 ≤ Cor &lt; 10 uC</v>
      </c>
      <c r="BB418" s="78" t="str">
        <f t="shared" si="149"/>
        <v>Turbidez &lt; 2,5 uT</v>
      </c>
      <c r="BC418" s="79" t="str">
        <f t="shared" si="150"/>
        <v>SM &gt; BNN &gt; TOR</v>
      </c>
      <c r="BD418" s="78" t="str">
        <f t="shared" si="151"/>
        <v>Tipo 1 (≤0,25) uT</v>
      </c>
      <c r="BE418" s="78" t="str">
        <f t="shared" si="152"/>
        <v>Tipo 1 (≤0,25) uT</v>
      </c>
      <c r="BF418" s="78" t="str">
        <f t="shared" si="153"/>
        <v>Tipo 1 (≤0,25) uT</v>
      </c>
      <c r="BG418" s="78" t="str">
        <f t="shared" si="154"/>
        <v>Tipo 1 (≤0,25) uT</v>
      </c>
      <c r="BH418" s="78" t="str">
        <f t="shared" si="155"/>
        <v>Tipo 1 (≤0,25) uT</v>
      </c>
    </row>
    <row r="419" spans="1:60" ht="15.75" thickBot="1" x14ac:dyDescent="0.25">
      <c r="A419" s="31">
        <v>46305</v>
      </c>
      <c r="B419" s="80">
        <v>0.89583333333333337</v>
      </c>
      <c r="C419" s="59">
        <v>0</v>
      </c>
      <c r="D419" s="57">
        <v>1520</v>
      </c>
      <c r="E419" s="57">
        <v>250</v>
      </c>
      <c r="F419" s="57">
        <v>1880</v>
      </c>
      <c r="G419" s="85" t="s">
        <v>78</v>
      </c>
      <c r="H419" s="63">
        <v>9.5</v>
      </c>
      <c r="I419" s="57">
        <v>33</v>
      </c>
      <c r="J419" s="57">
        <v>90</v>
      </c>
      <c r="K419" s="57">
        <v>90</v>
      </c>
      <c r="L419" s="57">
        <v>90</v>
      </c>
      <c r="M419" s="57">
        <v>26.8</v>
      </c>
      <c r="N419" s="63">
        <v>6.5</v>
      </c>
      <c r="O419" s="36">
        <v>1.08</v>
      </c>
      <c r="P419" s="57">
        <v>9</v>
      </c>
      <c r="Q419" s="63">
        <v>7.1</v>
      </c>
      <c r="R419" s="36">
        <v>0.13</v>
      </c>
      <c r="S419" s="36">
        <v>22.36</v>
      </c>
      <c r="T419" s="36">
        <v>0.88</v>
      </c>
      <c r="U419" s="36">
        <v>0.7</v>
      </c>
      <c r="V419" s="42">
        <f t="shared" si="156"/>
        <v>1393.55</v>
      </c>
      <c r="W419" s="42">
        <f t="shared" si="157"/>
        <v>1640.3023207999997</v>
      </c>
      <c r="X419" s="42">
        <f t="shared" si="158"/>
        <v>1.1770674326719528</v>
      </c>
      <c r="Y419" s="57">
        <v>2</v>
      </c>
      <c r="Z419" s="57">
        <v>4</v>
      </c>
      <c r="AA419" s="63">
        <v>6.1</v>
      </c>
      <c r="AB419" s="57">
        <v>22</v>
      </c>
      <c r="AC419" s="63">
        <v>6.2</v>
      </c>
      <c r="AD419" s="63">
        <v>5.3</v>
      </c>
      <c r="AE419" s="36">
        <v>0.13</v>
      </c>
      <c r="AF419" s="36">
        <v>0.12</v>
      </c>
      <c r="AG419" s="42">
        <f t="shared" si="140"/>
        <v>1858.0666666666664</v>
      </c>
      <c r="AH419" s="42">
        <f t="shared" si="159"/>
        <v>2003.3416509599997</v>
      </c>
      <c r="AI419" s="42">
        <f t="shared" si="160"/>
        <v>1.0781860989702559</v>
      </c>
      <c r="AJ419" s="57">
        <v>2</v>
      </c>
      <c r="AK419" s="57">
        <v>3</v>
      </c>
      <c r="AL419" s="63">
        <v>6.3</v>
      </c>
      <c r="AM419" s="57">
        <v>25.8</v>
      </c>
      <c r="AN419" s="63">
        <v>6.2</v>
      </c>
      <c r="AO419" s="63">
        <v>5.2</v>
      </c>
      <c r="AP419" s="36">
        <v>0.13</v>
      </c>
      <c r="AQ419" s="36">
        <v>0.15</v>
      </c>
      <c r="AR419" s="73">
        <f t="shared" si="141"/>
        <v>1770</v>
      </c>
      <c r="AS419" s="75">
        <f t="shared" si="142"/>
        <v>0</v>
      </c>
      <c r="AT419" s="75">
        <f t="shared" si="143"/>
        <v>0.85875706214689262</v>
      </c>
      <c r="AU419" s="75">
        <f t="shared" si="144"/>
        <v>0.14124293785310735</v>
      </c>
      <c r="AV419" s="26">
        <f t="shared" si="145"/>
        <v>9.3617021276595741E-2</v>
      </c>
      <c r="AW419" s="26">
        <f t="shared" si="146"/>
        <v>8.2340425531914896E-2</v>
      </c>
      <c r="AX419" s="26">
        <f t="shared" ref="AX419:AX450" si="163">IF(AND(AQ419&lt;&gt;"",1-(AQ419/O419)&gt;0),1-(AQ419/O419),"")</f>
        <v>0.86111111111111116</v>
      </c>
      <c r="AY419" s="24">
        <f t="shared" ref="AY419:AY450" si="164">IF(AND(AF419&lt;&gt;"",1-(AF419/O419)&gt;0),1-(AF419/O419),"")</f>
        <v>0.88888888888888884</v>
      </c>
      <c r="AZ419" s="77" t="str">
        <f t="shared" si="147"/>
        <v>5,0 ≤ Alc. Bruta &lt; 7,5 mg/L</v>
      </c>
      <c r="BA419" s="77" t="str">
        <f t="shared" si="148"/>
        <v>5 ≤ Cor &lt; 10 uC</v>
      </c>
      <c r="BB419" s="78" t="str">
        <f t="shared" si="149"/>
        <v>Turbidez &lt; 2,5 uT</v>
      </c>
      <c r="BC419" s="79" t="str">
        <f t="shared" si="150"/>
        <v>SM &gt; BNN &gt; TOR</v>
      </c>
      <c r="BD419" s="78" t="str">
        <f t="shared" si="151"/>
        <v>Tipo 1 (≤0,25) uT</v>
      </c>
      <c r="BE419" s="78" t="str">
        <f t="shared" si="152"/>
        <v>Tipo 1 (≤0,25) uT</v>
      </c>
      <c r="BF419" s="78" t="str">
        <f t="shared" si="153"/>
        <v>Tipo 1 (≤0,25) uT</v>
      </c>
      <c r="BG419" s="78" t="str">
        <f t="shared" si="154"/>
        <v>Tipo 1 (≤0,25) uT</v>
      </c>
      <c r="BH419" s="78" t="str">
        <f t="shared" si="155"/>
        <v>Tipo 1 (≤0,25) uT</v>
      </c>
    </row>
    <row r="420" spans="1:60" ht="15.75" thickBot="1" x14ac:dyDescent="0.25">
      <c r="A420" s="31">
        <v>46305</v>
      </c>
      <c r="B420" s="80">
        <v>0.97916666666666663</v>
      </c>
      <c r="C420" s="59">
        <v>0</v>
      </c>
      <c r="D420" s="57">
        <v>1550</v>
      </c>
      <c r="E420" s="57">
        <v>250</v>
      </c>
      <c r="F420" s="57">
        <v>1901</v>
      </c>
      <c r="G420" s="85" t="s">
        <v>78</v>
      </c>
      <c r="H420" s="63">
        <v>9.5</v>
      </c>
      <c r="I420" s="57">
        <v>33</v>
      </c>
      <c r="J420" s="57">
        <v>90</v>
      </c>
      <c r="K420" s="57">
        <v>90</v>
      </c>
      <c r="L420" s="57">
        <v>90</v>
      </c>
      <c r="M420" s="57">
        <v>26.3</v>
      </c>
      <c r="N420" s="63">
        <v>6.4</v>
      </c>
      <c r="O420" s="36">
        <v>1.07</v>
      </c>
      <c r="P420" s="57">
        <v>9</v>
      </c>
      <c r="Q420" s="63">
        <v>7.2</v>
      </c>
      <c r="R420" s="36">
        <v>0.11</v>
      </c>
      <c r="S420" s="36">
        <v>22.36</v>
      </c>
      <c r="T420" s="36">
        <v>0.88</v>
      </c>
      <c r="U420" s="36">
        <v>0.7</v>
      </c>
      <c r="V420" s="42">
        <f t="shared" si="156"/>
        <v>1406.74</v>
      </c>
      <c r="W420" s="42">
        <f t="shared" si="157"/>
        <v>1640.3023207999997</v>
      </c>
      <c r="X420" s="42">
        <f t="shared" si="158"/>
        <v>1.1660309089099619</v>
      </c>
      <c r="Y420" s="57">
        <v>2</v>
      </c>
      <c r="Z420" s="57">
        <v>4</v>
      </c>
      <c r="AA420" s="63">
        <v>6.1</v>
      </c>
      <c r="AB420" s="57">
        <v>22</v>
      </c>
      <c r="AC420" s="63">
        <v>6.2</v>
      </c>
      <c r="AD420" s="63">
        <v>5.5</v>
      </c>
      <c r="AE420" s="36">
        <v>0.12</v>
      </c>
      <c r="AF420" s="36">
        <v>0.12</v>
      </c>
      <c r="AG420" s="42">
        <f t="shared" si="140"/>
        <v>1875.6533333333332</v>
      </c>
      <c r="AH420" s="42">
        <f t="shared" si="159"/>
        <v>2018.8714311999995</v>
      </c>
      <c r="AI420" s="42">
        <f t="shared" si="160"/>
        <v>1.0763563795726288</v>
      </c>
      <c r="AJ420" s="57">
        <v>2</v>
      </c>
      <c r="AK420" s="57">
        <v>3</v>
      </c>
      <c r="AL420" s="63">
        <v>6.3</v>
      </c>
      <c r="AM420" s="57">
        <v>26</v>
      </c>
      <c r="AN420" s="63">
        <v>6.2</v>
      </c>
      <c r="AO420" s="63">
        <v>5.3</v>
      </c>
      <c r="AP420" s="36">
        <v>0.11</v>
      </c>
      <c r="AQ420" s="36">
        <v>0.14000000000000001</v>
      </c>
      <c r="AR420" s="73">
        <f t="shared" si="141"/>
        <v>1800</v>
      </c>
      <c r="AS420" s="75">
        <f t="shared" si="142"/>
        <v>0</v>
      </c>
      <c r="AT420" s="75">
        <f t="shared" si="143"/>
        <v>0.86111111111111116</v>
      </c>
      <c r="AU420" s="75">
        <f t="shared" si="144"/>
        <v>0.1388888888888889</v>
      </c>
      <c r="AV420" s="26">
        <f t="shared" si="145"/>
        <v>9.258285113098369E-2</v>
      </c>
      <c r="AW420" s="26">
        <f t="shared" si="146"/>
        <v>8.2062072593371921E-2</v>
      </c>
      <c r="AX420" s="26">
        <f t="shared" si="163"/>
        <v>0.86915887850467288</v>
      </c>
      <c r="AY420" s="24">
        <f t="shared" si="164"/>
        <v>0.88785046728971961</v>
      </c>
      <c r="AZ420" s="77" t="str">
        <f t="shared" si="147"/>
        <v>5,0 ≤ Alc. Bruta &lt; 7,5 mg/L</v>
      </c>
      <c r="BA420" s="77" t="str">
        <f t="shared" si="148"/>
        <v>5 ≤ Cor &lt; 10 uC</v>
      </c>
      <c r="BB420" s="78" t="str">
        <f t="shared" si="149"/>
        <v>Turbidez &lt; 2,5 uT</v>
      </c>
      <c r="BC420" s="79" t="str">
        <f t="shared" si="150"/>
        <v>SM &gt; BNN &gt; TOR</v>
      </c>
      <c r="BD420" s="78" t="str">
        <f t="shared" si="151"/>
        <v>Tipo 1 (≤0,25) uT</v>
      </c>
      <c r="BE420" s="78" t="str">
        <f t="shared" si="152"/>
        <v>Tipo 1 (≤0,25) uT</v>
      </c>
      <c r="BF420" s="78" t="str">
        <f t="shared" si="153"/>
        <v>Tipo 1 (≤0,25) uT</v>
      </c>
      <c r="BG420" s="78" t="str">
        <f t="shared" si="154"/>
        <v>Tipo 1 (≤0,25) uT</v>
      </c>
      <c r="BH420" s="78" t="str">
        <f t="shared" si="155"/>
        <v>Tipo 1 (≤0,25) uT</v>
      </c>
    </row>
    <row r="421" spans="1:60" ht="15.75" thickBot="1" x14ac:dyDescent="0.25">
      <c r="A421" s="31">
        <v>46306</v>
      </c>
      <c r="B421" s="80">
        <v>6.25E-2</v>
      </c>
      <c r="C421" s="59">
        <v>0</v>
      </c>
      <c r="D421" s="57">
        <v>1557</v>
      </c>
      <c r="E421" s="57">
        <v>250</v>
      </c>
      <c r="F421" s="57">
        <v>1909</v>
      </c>
      <c r="G421" s="85" t="s">
        <v>78</v>
      </c>
      <c r="H421" s="63">
        <v>9.5</v>
      </c>
      <c r="I421" s="57">
        <v>33</v>
      </c>
      <c r="J421" s="57">
        <v>90</v>
      </c>
      <c r="K421" s="57">
        <v>90</v>
      </c>
      <c r="L421" s="57">
        <v>90</v>
      </c>
      <c r="M421" s="57">
        <v>26.3</v>
      </c>
      <c r="N421" s="63">
        <v>6.4</v>
      </c>
      <c r="O421" s="36">
        <v>1.05</v>
      </c>
      <c r="P421" s="57">
        <v>9</v>
      </c>
      <c r="Q421" s="63">
        <v>7.6</v>
      </c>
      <c r="R421" s="36">
        <v>0.11</v>
      </c>
      <c r="S421" s="36">
        <v>22.36</v>
      </c>
      <c r="T421" s="36">
        <v>0.88</v>
      </c>
      <c r="U421" s="36">
        <v>0.7</v>
      </c>
      <c r="V421" s="42">
        <f t="shared" si="156"/>
        <v>1407.8875</v>
      </c>
      <c r="W421" s="42">
        <f t="shared" si="157"/>
        <v>1640.3023207999997</v>
      </c>
      <c r="X421" s="42">
        <f t="shared" si="158"/>
        <v>1.1650805343466717</v>
      </c>
      <c r="Y421" s="57">
        <v>2</v>
      </c>
      <c r="Z421" s="57">
        <v>4</v>
      </c>
      <c r="AA421" s="63">
        <v>6.1</v>
      </c>
      <c r="AB421" s="57">
        <v>22</v>
      </c>
      <c r="AC421" s="63">
        <v>6.1</v>
      </c>
      <c r="AD421" s="63">
        <v>5.8</v>
      </c>
      <c r="AE421" s="36">
        <v>0.12</v>
      </c>
      <c r="AF421" s="36">
        <v>0.11</v>
      </c>
      <c r="AG421" s="42">
        <f t="shared" si="140"/>
        <v>1877.1833333333336</v>
      </c>
      <c r="AH421" s="42">
        <f t="shared" si="159"/>
        <v>2018.8714311999995</v>
      </c>
      <c r="AI421" s="42">
        <f t="shared" si="160"/>
        <v>1.0754790943168395</v>
      </c>
      <c r="AJ421" s="57">
        <v>2</v>
      </c>
      <c r="AK421" s="57">
        <v>3</v>
      </c>
      <c r="AL421" s="63">
        <v>6.3</v>
      </c>
      <c r="AM421" s="57">
        <v>26</v>
      </c>
      <c r="AN421" s="63">
        <v>6.1</v>
      </c>
      <c r="AO421" s="63">
        <v>5.8</v>
      </c>
      <c r="AP421" s="36">
        <v>0.1</v>
      </c>
      <c r="AQ421" s="36">
        <v>0.14000000000000001</v>
      </c>
      <c r="AR421" s="73">
        <f t="shared" si="141"/>
        <v>1807</v>
      </c>
      <c r="AS421" s="75">
        <f t="shared" si="142"/>
        <v>0</v>
      </c>
      <c r="AT421" s="75">
        <f t="shared" si="143"/>
        <v>0.86164914222468181</v>
      </c>
      <c r="AU421" s="75">
        <f t="shared" si="144"/>
        <v>0.13835085777531822</v>
      </c>
      <c r="AV421" s="26">
        <f t="shared" si="145"/>
        <v>9.2194866422210586E-2</v>
      </c>
      <c r="AW421" s="26">
        <f t="shared" si="146"/>
        <v>8.1718177056050278E-2</v>
      </c>
      <c r="AX421" s="26">
        <f t="shared" si="163"/>
        <v>0.8666666666666667</v>
      </c>
      <c r="AY421" s="24">
        <f t="shared" si="164"/>
        <v>0.89523809523809528</v>
      </c>
      <c r="AZ421" s="77" t="str">
        <f t="shared" si="147"/>
        <v>7,5 ≤ Alc. Bruta &lt; 10,0 mg/L</v>
      </c>
      <c r="BA421" s="77" t="str">
        <f t="shared" si="148"/>
        <v>5 ≤ Cor &lt; 10 uC</v>
      </c>
      <c r="BB421" s="78" t="str">
        <f t="shared" si="149"/>
        <v>Turbidez &lt; 2,5 uT</v>
      </c>
      <c r="BC421" s="79" t="str">
        <f t="shared" si="150"/>
        <v>SM &gt; BNN &gt; TOR</v>
      </c>
      <c r="BD421" s="78" t="str">
        <f t="shared" si="151"/>
        <v>Tipo 1 (≤0,25) uT</v>
      </c>
      <c r="BE421" s="78" t="str">
        <f t="shared" si="152"/>
        <v>Tipo 1 (≤0,25) uT</v>
      </c>
      <c r="BF421" s="78" t="str">
        <f t="shared" si="153"/>
        <v>Tipo 1 (≤0,25) uT</v>
      </c>
      <c r="BG421" s="78" t="str">
        <f t="shared" si="154"/>
        <v>Tipo 1 (≤0,25) uT</v>
      </c>
      <c r="BH421" s="78" t="str">
        <f t="shared" si="155"/>
        <v>Tipo 1 (≤0,25) uT</v>
      </c>
    </row>
    <row r="422" spans="1:60" ht="15.75" thickBot="1" x14ac:dyDescent="0.25">
      <c r="A422" s="31">
        <v>46306</v>
      </c>
      <c r="B422" s="80">
        <v>0.14583333333333334</v>
      </c>
      <c r="C422" s="59">
        <v>0</v>
      </c>
      <c r="D422" s="57">
        <v>1550</v>
      </c>
      <c r="E422" s="57">
        <v>250</v>
      </c>
      <c r="F422" s="57">
        <v>1900</v>
      </c>
      <c r="G422" s="85" t="s">
        <v>78</v>
      </c>
      <c r="H422" s="63">
        <v>9.5</v>
      </c>
      <c r="I422" s="57">
        <v>33</v>
      </c>
      <c r="J422" s="57">
        <v>90</v>
      </c>
      <c r="K422" s="57">
        <v>90</v>
      </c>
      <c r="L422" s="57">
        <v>90</v>
      </c>
      <c r="M422" s="57">
        <v>26</v>
      </c>
      <c r="N422" s="63">
        <v>6.4</v>
      </c>
      <c r="O422" s="36">
        <v>1.0900000000000001</v>
      </c>
      <c r="P422" s="57">
        <v>9</v>
      </c>
      <c r="Q422" s="63">
        <v>7.1</v>
      </c>
      <c r="R422" s="36">
        <v>0.11</v>
      </c>
      <c r="S422" s="36">
        <v>22.36</v>
      </c>
      <c r="T422" s="36">
        <v>0.88</v>
      </c>
      <c r="U422" s="36">
        <v>0.7</v>
      </c>
      <c r="V422" s="42">
        <f t="shared" si="156"/>
        <v>1410.75</v>
      </c>
      <c r="W422" s="42">
        <f t="shared" si="157"/>
        <v>1640.3023207999997</v>
      </c>
      <c r="X422" s="42">
        <f t="shared" si="158"/>
        <v>1.1627165130604287</v>
      </c>
      <c r="Y422" s="57">
        <v>2</v>
      </c>
      <c r="Z422" s="57">
        <v>4</v>
      </c>
      <c r="AA422" s="63">
        <v>6.1</v>
      </c>
      <c r="AB422" s="57">
        <v>22</v>
      </c>
      <c r="AC422" s="63">
        <v>6.2</v>
      </c>
      <c r="AD422" s="63">
        <v>5.7</v>
      </c>
      <c r="AE422" s="36">
        <v>0.11</v>
      </c>
      <c r="AF422" s="36">
        <v>0.11</v>
      </c>
      <c r="AG422" s="42">
        <f t="shared" si="140"/>
        <v>1881.0000000000002</v>
      </c>
      <c r="AH422" s="42">
        <f t="shared" si="159"/>
        <v>2080.9905521599994</v>
      </c>
      <c r="AI422" s="42">
        <f t="shared" si="160"/>
        <v>1.1063213993407757</v>
      </c>
      <c r="AJ422" s="57">
        <v>2</v>
      </c>
      <c r="AK422" s="57">
        <v>3</v>
      </c>
      <c r="AL422" s="63">
        <v>6.3</v>
      </c>
      <c r="AM422" s="57">
        <v>26.8</v>
      </c>
      <c r="AN422" s="63">
        <v>6.2</v>
      </c>
      <c r="AO422" s="63">
        <v>5.6</v>
      </c>
      <c r="AP422" s="36">
        <v>0.12</v>
      </c>
      <c r="AQ422" s="36">
        <v>0.15</v>
      </c>
      <c r="AR422" s="73">
        <f t="shared" si="141"/>
        <v>1800</v>
      </c>
      <c r="AS422" s="75">
        <f t="shared" si="142"/>
        <v>0</v>
      </c>
      <c r="AT422" s="75">
        <f t="shared" si="143"/>
        <v>0.86111111111111116</v>
      </c>
      <c r="AU422" s="75">
        <f t="shared" si="144"/>
        <v>0.1388888888888889</v>
      </c>
      <c r="AV422" s="26">
        <f t="shared" si="145"/>
        <v>9.2631578947368426E-2</v>
      </c>
      <c r="AW422" s="26">
        <f t="shared" si="146"/>
        <v>8.4631578947368419E-2</v>
      </c>
      <c r="AX422" s="26">
        <f t="shared" si="163"/>
        <v>0.86238532110091748</v>
      </c>
      <c r="AY422" s="24">
        <f t="shared" si="164"/>
        <v>0.8990825688073395</v>
      </c>
      <c r="AZ422" s="77" t="str">
        <f t="shared" si="147"/>
        <v>5,0 ≤ Alc. Bruta &lt; 7,5 mg/L</v>
      </c>
      <c r="BA422" s="77" t="str">
        <f t="shared" si="148"/>
        <v>5 ≤ Cor &lt; 10 uC</v>
      </c>
      <c r="BB422" s="78" t="str">
        <f t="shared" si="149"/>
        <v>Turbidez &lt; 2,5 uT</v>
      </c>
      <c r="BC422" s="79" t="str">
        <f t="shared" si="150"/>
        <v>SM &gt; BNN &gt; TOR</v>
      </c>
      <c r="BD422" s="78" t="str">
        <f t="shared" si="151"/>
        <v>Tipo 1 (≤0,25) uT</v>
      </c>
      <c r="BE422" s="78" t="str">
        <f t="shared" si="152"/>
        <v>Tipo 1 (≤0,25) uT</v>
      </c>
      <c r="BF422" s="78" t="str">
        <f t="shared" si="153"/>
        <v>Tipo 1 (≤0,25) uT</v>
      </c>
      <c r="BG422" s="78" t="str">
        <f t="shared" si="154"/>
        <v>Tipo 1 (≤0,25) uT</v>
      </c>
      <c r="BH422" s="78" t="str">
        <f t="shared" si="155"/>
        <v>Tipo 1 (≤0,25) uT</v>
      </c>
    </row>
    <row r="423" spans="1:60" ht="15.75" thickBot="1" x14ac:dyDescent="0.25">
      <c r="A423" s="32">
        <v>46306</v>
      </c>
      <c r="B423" s="81">
        <v>0.22916666666666666</v>
      </c>
      <c r="C423" s="59">
        <v>0</v>
      </c>
      <c r="D423" s="58">
        <v>1554</v>
      </c>
      <c r="E423" s="58">
        <v>250</v>
      </c>
      <c r="F423" s="58">
        <v>1880</v>
      </c>
      <c r="G423" s="85" t="s">
        <v>78</v>
      </c>
      <c r="H423" s="64">
        <v>9.5</v>
      </c>
      <c r="I423" s="58">
        <v>33</v>
      </c>
      <c r="J423" s="58">
        <v>90</v>
      </c>
      <c r="K423" s="58">
        <v>90</v>
      </c>
      <c r="L423" s="58">
        <v>90</v>
      </c>
      <c r="M423" s="58">
        <v>25.8</v>
      </c>
      <c r="N423" s="64">
        <v>6.4</v>
      </c>
      <c r="O423" s="37">
        <v>1.06</v>
      </c>
      <c r="P423" s="58">
        <v>9</v>
      </c>
      <c r="Q423" s="64">
        <v>7.2</v>
      </c>
      <c r="R423" s="37">
        <v>0.12</v>
      </c>
      <c r="S423" s="36">
        <v>22.36</v>
      </c>
      <c r="T423" s="36">
        <v>0.88</v>
      </c>
      <c r="U423" s="36">
        <v>0.7</v>
      </c>
      <c r="V423" s="42">
        <f t="shared" si="156"/>
        <v>1851.8</v>
      </c>
      <c r="W423" s="42">
        <f t="shared" si="157"/>
        <v>1640.3023207999997</v>
      </c>
      <c r="X423" s="42">
        <f t="shared" si="158"/>
        <v>0.88578805529754823</v>
      </c>
      <c r="Y423" s="58">
        <v>2</v>
      </c>
      <c r="Z423" s="58">
        <v>3</v>
      </c>
      <c r="AA423" s="64">
        <v>6.1</v>
      </c>
      <c r="AB423" s="58">
        <v>22</v>
      </c>
      <c r="AC423" s="64">
        <v>6.2</v>
      </c>
      <c r="AD423" s="64">
        <v>5.7</v>
      </c>
      <c r="AE423" s="37">
        <v>0.12</v>
      </c>
      <c r="AF423" s="37">
        <v>0.11</v>
      </c>
      <c r="AG423" s="42">
        <f t="shared" si="140"/>
        <v>1388.8500000000001</v>
      </c>
      <c r="AH423" s="42">
        <f t="shared" si="159"/>
        <v>1863.5736287999996</v>
      </c>
      <c r="AI423" s="42">
        <f t="shared" si="160"/>
        <v>1.3418105834323357</v>
      </c>
      <c r="AJ423" s="58">
        <v>2</v>
      </c>
      <c r="AK423" s="58">
        <v>4</v>
      </c>
      <c r="AL423" s="64">
        <v>6.3</v>
      </c>
      <c r="AM423" s="58">
        <v>24</v>
      </c>
      <c r="AN423" s="64">
        <v>6.2</v>
      </c>
      <c r="AO423" s="64">
        <v>5.7</v>
      </c>
      <c r="AP423" s="37">
        <v>0.13</v>
      </c>
      <c r="AQ423" s="37">
        <v>0.16</v>
      </c>
      <c r="AR423" s="73">
        <f t="shared" si="141"/>
        <v>1804</v>
      </c>
      <c r="AS423" s="75">
        <f t="shared" si="142"/>
        <v>0</v>
      </c>
      <c r="AT423" s="75">
        <f t="shared" si="143"/>
        <v>0.86141906873614194</v>
      </c>
      <c r="AU423" s="75">
        <f t="shared" si="144"/>
        <v>0.13858093126385809</v>
      </c>
      <c r="AV423" s="26">
        <f t="shared" si="145"/>
        <v>7.0212765957446813E-2</v>
      </c>
      <c r="AW423" s="26">
        <f t="shared" si="146"/>
        <v>0.10212765957446808</v>
      </c>
      <c r="AX423" s="26">
        <f t="shared" si="163"/>
        <v>0.84905660377358494</v>
      </c>
      <c r="AY423" s="24">
        <f t="shared" si="164"/>
        <v>0.89622641509433965</v>
      </c>
      <c r="AZ423" s="77" t="str">
        <f t="shared" si="147"/>
        <v>5,0 ≤ Alc. Bruta &lt; 7,5 mg/L</v>
      </c>
      <c r="BA423" s="77" t="str">
        <f t="shared" si="148"/>
        <v>5 ≤ Cor &lt; 10 uC</v>
      </c>
      <c r="BB423" s="78" t="str">
        <f t="shared" si="149"/>
        <v>Turbidez &lt; 2,5 uT</v>
      </c>
      <c r="BC423" s="79" t="str">
        <f t="shared" si="150"/>
        <v>SM &gt; BNN &gt; TOR</v>
      </c>
      <c r="BD423" s="78" t="str">
        <f t="shared" si="151"/>
        <v>Tipo 1 (≤0,25) uT</v>
      </c>
      <c r="BE423" s="78" t="str">
        <f t="shared" si="152"/>
        <v>Tipo 1 (≤0,25) uT</v>
      </c>
      <c r="BF423" s="78" t="str">
        <f t="shared" si="153"/>
        <v>Tipo 1 (≤0,25) uT</v>
      </c>
      <c r="BG423" s="78" t="str">
        <f t="shared" si="154"/>
        <v>Tipo 1 (≤0,25) uT</v>
      </c>
      <c r="BH423" s="78" t="str">
        <f t="shared" si="155"/>
        <v>Tipo 1 (≤0,25) uT</v>
      </c>
    </row>
    <row r="424" spans="1:60" ht="15.75" thickBot="1" x14ac:dyDescent="0.25">
      <c r="A424" s="30">
        <v>46306</v>
      </c>
      <c r="B424" s="82">
        <v>0.3125</v>
      </c>
      <c r="C424" s="59">
        <v>0</v>
      </c>
      <c r="D424" s="59">
        <v>1000</v>
      </c>
      <c r="E424" s="59">
        <v>300</v>
      </c>
      <c r="F424" s="59">
        <v>1356</v>
      </c>
      <c r="G424" s="87" t="s">
        <v>78</v>
      </c>
      <c r="H424" s="65">
        <v>9.5</v>
      </c>
      <c r="I424" s="59">
        <v>33</v>
      </c>
      <c r="J424" s="59">
        <v>90</v>
      </c>
      <c r="K424" s="59">
        <v>90</v>
      </c>
      <c r="L424" s="59">
        <v>90</v>
      </c>
      <c r="M424" s="59">
        <v>25.8</v>
      </c>
      <c r="N424" s="65">
        <v>6.5</v>
      </c>
      <c r="O424" s="38">
        <v>1.36</v>
      </c>
      <c r="P424" s="59">
        <v>9</v>
      </c>
      <c r="Q424" s="65">
        <v>8.5</v>
      </c>
      <c r="R424" s="38">
        <v>0.11</v>
      </c>
      <c r="S424" s="36">
        <v>22.36</v>
      </c>
      <c r="T424" s="36">
        <v>0.88</v>
      </c>
      <c r="U424" s="36">
        <v>0.7</v>
      </c>
      <c r="V424" s="42">
        <f t="shared" si="156"/>
        <v>2105.19</v>
      </c>
      <c r="W424" s="42">
        <f t="shared" si="157"/>
        <v>1826.4971712000001</v>
      </c>
      <c r="X424" s="42">
        <f t="shared" si="158"/>
        <v>0.86761630598663309</v>
      </c>
      <c r="Y424" s="59">
        <v>1</v>
      </c>
      <c r="Z424" s="59">
        <v>2</v>
      </c>
      <c r="AA424" s="65">
        <v>6.2</v>
      </c>
      <c r="AB424" s="59">
        <v>24</v>
      </c>
      <c r="AC424" s="65">
        <v>6.3</v>
      </c>
      <c r="AD424" s="65">
        <v>6.2</v>
      </c>
      <c r="AE424" s="38">
        <v>0.15</v>
      </c>
      <c r="AF424" s="38">
        <v>0.12</v>
      </c>
      <c r="AG424" s="42">
        <f t="shared" si="140"/>
        <v>1403.46</v>
      </c>
      <c r="AH424" s="42">
        <f t="shared" si="159"/>
        <v>1941.2225299999996</v>
      </c>
      <c r="AI424" s="42">
        <f t="shared" si="160"/>
        <v>1.3831691177518415</v>
      </c>
      <c r="AJ424" s="59">
        <v>2</v>
      </c>
      <c r="AK424" s="59">
        <v>3</v>
      </c>
      <c r="AL424" s="65">
        <v>6.3</v>
      </c>
      <c r="AM424" s="59">
        <v>25</v>
      </c>
      <c r="AN424" s="65">
        <v>6.3</v>
      </c>
      <c r="AO424" s="65">
        <v>6.3</v>
      </c>
      <c r="AP424" s="38">
        <v>0.15</v>
      </c>
      <c r="AQ424" s="38">
        <v>0.17</v>
      </c>
      <c r="AR424" s="73">
        <f t="shared" si="141"/>
        <v>1300</v>
      </c>
      <c r="AS424" s="75">
        <f t="shared" si="142"/>
        <v>0</v>
      </c>
      <c r="AT424" s="75">
        <f t="shared" si="143"/>
        <v>0.76923076923076927</v>
      </c>
      <c r="AU424" s="75">
        <f t="shared" si="144"/>
        <v>0.23076923076923078</v>
      </c>
      <c r="AV424" s="26">
        <f t="shared" si="145"/>
        <v>7.0796460176991149E-2</v>
      </c>
      <c r="AW424" s="26">
        <f t="shared" si="146"/>
        <v>0.11061946902654868</v>
      </c>
      <c r="AX424" s="26">
        <f t="shared" si="163"/>
        <v>0.875</v>
      </c>
      <c r="AY424" s="24">
        <f t="shared" si="164"/>
        <v>0.91176470588235292</v>
      </c>
      <c r="AZ424" s="77" t="str">
        <f t="shared" si="147"/>
        <v>7,5 ≤ Alc. Bruta &lt; 10,0 mg/L</v>
      </c>
      <c r="BA424" s="77" t="str">
        <f t="shared" si="148"/>
        <v>5 ≤ Cor &lt; 10 uC</v>
      </c>
      <c r="BB424" s="78" t="str">
        <f t="shared" si="149"/>
        <v>Turbidez &lt; 2,5 uT</v>
      </c>
      <c r="BC424" s="79" t="str">
        <f t="shared" si="150"/>
        <v>SM &gt; BNN &gt; TOR</v>
      </c>
      <c r="BD424" s="78" t="str">
        <f t="shared" si="151"/>
        <v>Tipo 1 (≤0,25) uT</v>
      </c>
      <c r="BE424" s="78" t="str">
        <f t="shared" si="152"/>
        <v>Tipo 1 (≤0,25) uT</v>
      </c>
      <c r="BF424" s="78" t="str">
        <f t="shared" si="153"/>
        <v>Tipo 1 (≤0,25) uT</v>
      </c>
      <c r="BG424" s="78" t="str">
        <f t="shared" si="154"/>
        <v>Tipo 1 (≤0,25) uT</v>
      </c>
      <c r="BH424" s="78" t="str">
        <f t="shared" si="155"/>
        <v>Tipo 1 (≤0,25) uT</v>
      </c>
    </row>
    <row r="425" spans="1:60" ht="15.75" thickBot="1" x14ac:dyDescent="0.25">
      <c r="A425" s="31">
        <v>46306</v>
      </c>
      <c r="B425" s="80">
        <v>0.39583333333333331</v>
      </c>
      <c r="C425" s="59">
        <v>0</v>
      </c>
      <c r="D425" s="57">
        <v>1015</v>
      </c>
      <c r="E425" s="57">
        <v>300</v>
      </c>
      <c r="F425" s="57">
        <v>1280</v>
      </c>
      <c r="G425" s="85" t="s">
        <v>78</v>
      </c>
      <c r="H425" s="63">
        <v>9.5</v>
      </c>
      <c r="I425" s="57">
        <v>33</v>
      </c>
      <c r="J425" s="57">
        <v>90</v>
      </c>
      <c r="K425" s="57">
        <v>90</v>
      </c>
      <c r="L425" s="57">
        <v>90</v>
      </c>
      <c r="M425" s="57">
        <v>26</v>
      </c>
      <c r="N425" s="63">
        <v>6.6</v>
      </c>
      <c r="O425" s="36">
        <v>1.39</v>
      </c>
      <c r="P425" s="57">
        <v>9</v>
      </c>
      <c r="Q425" s="63">
        <v>8.9</v>
      </c>
      <c r="R425" s="36">
        <v>0.11</v>
      </c>
      <c r="S425" s="36">
        <v>22.36</v>
      </c>
      <c r="T425" s="36">
        <v>0.88</v>
      </c>
      <c r="U425" s="36">
        <v>0.7</v>
      </c>
      <c r="V425" s="42">
        <f t="shared" si="156"/>
        <v>1996.8000000000002</v>
      </c>
      <c r="W425" s="42">
        <f t="shared" si="157"/>
        <v>1826.4971712000001</v>
      </c>
      <c r="X425" s="42">
        <f t="shared" si="158"/>
        <v>0.91471212499999999</v>
      </c>
      <c r="Y425" s="57">
        <v>1</v>
      </c>
      <c r="Z425" s="57">
        <v>2</v>
      </c>
      <c r="AA425" s="63">
        <v>6.2</v>
      </c>
      <c r="AB425" s="57">
        <v>24</v>
      </c>
      <c r="AC425" s="63">
        <v>6.3</v>
      </c>
      <c r="AD425" s="63">
        <v>7.1</v>
      </c>
      <c r="AE425" s="36">
        <v>0.16</v>
      </c>
      <c r="AF425" s="36">
        <v>0.11</v>
      </c>
      <c r="AG425" s="42">
        <f t="shared" si="140"/>
        <v>1331.2</v>
      </c>
      <c r="AH425" s="42">
        <f t="shared" si="159"/>
        <v>1941.2225299999996</v>
      </c>
      <c r="AI425" s="42">
        <f t="shared" si="160"/>
        <v>1.4582500976562496</v>
      </c>
      <c r="AJ425" s="57">
        <v>2</v>
      </c>
      <c r="AK425" s="57">
        <v>3</v>
      </c>
      <c r="AL425" s="63">
        <v>6.3</v>
      </c>
      <c r="AM425" s="57">
        <v>25</v>
      </c>
      <c r="AN425" s="63">
        <v>6.3</v>
      </c>
      <c r="AO425" s="63">
        <v>7.3</v>
      </c>
      <c r="AP425" s="36">
        <v>0.15</v>
      </c>
      <c r="AQ425" s="36">
        <v>0.16</v>
      </c>
      <c r="AR425" s="73">
        <f t="shared" si="141"/>
        <v>1315</v>
      </c>
      <c r="AS425" s="75">
        <f t="shared" si="142"/>
        <v>0</v>
      </c>
      <c r="AT425" s="75">
        <f t="shared" si="143"/>
        <v>0.77186311787072248</v>
      </c>
      <c r="AU425" s="75">
        <f t="shared" si="144"/>
        <v>0.22813688212927757</v>
      </c>
      <c r="AV425" s="26">
        <f t="shared" si="145"/>
        <v>7.4999999999999997E-2</v>
      </c>
      <c r="AW425" s="26">
        <f t="shared" si="146"/>
        <v>0.1171875</v>
      </c>
      <c r="AX425" s="26">
        <f t="shared" si="163"/>
        <v>0.8848920863309353</v>
      </c>
      <c r="AY425" s="24">
        <f t="shared" si="164"/>
        <v>0.92086330935251803</v>
      </c>
      <c r="AZ425" s="77" t="str">
        <f t="shared" si="147"/>
        <v>7,5 ≤ Alc. Bruta &lt; 10,0 mg/L</v>
      </c>
      <c r="BA425" s="77" t="str">
        <f t="shared" si="148"/>
        <v>5 ≤ Cor &lt; 10 uC</v>
      </c>
      <c r="BB425" s="78" t="str">
        <f t="shared" si="149"/>
        <v>Turbidez &lt; 2,5 uT</v>
      </c>
      <c r="BC425" s="79" t="str">
        <f t="shared" si="150"/>
        <v>SM &gt; BNN &gt; TOR</v>
      </c>
      <c r="BD425" s="78" t="str">
        <f t="shared" si="151"/>
        <v>Tipo 1 (≤0,25) uT</v>
      </c>
      <c r="BE425" s="78" t="str">
        <f t="shared" si="152"/>
        <v>Tipo 1 (≤0,25) uT</v>
      </c>
      <c r="BF425" s="78" t="str">
        <f t="shared" si="153"/>
        <v>Tipo 1 (≤0,25) uT</v>
      </c>
      <c r="BG425" s="78" t="str">
        <f t="shared" si="154"/>
        <v>Tipo 1 (≤0,25) uT</v>
      </c>
      <c r="BH425" s="78" t="str">
        <f t="shared" si="155"/>
        <v>Tipo 1 (≤0,25) uT</v>
      </c>
    </row>
    <row r="426" spans="1:60" ht="15.75" thickBot="1" x14ac:dyDescent="0.25">
      <c r="A426" s="31">
        <v>46306</v>
      </c>
      <c r="B426" s="80">
        <v>0.5625</v>
      </c>
      <c r="C426" s="59">
        <v>0</v>
      </c>
      <c r="D426" s="57">
        <v>1565</v>
      </c>
      <c r="E426" s="57">
        <v>400</v>
      </c>
      <c r="F426" s="57">
        <v>2026</v>
      </c>
      <c r="G426" s="85" t="s">
        <v>78</v>
      </c>
      <c r="H426" s="63">
        <v>9.5</v>
      </c>
      <c r="I426" s="57">
        <v>33</v>
      </c>
      <c r="J426" s="57">
        <v>90</v>
      </c>
      <c r="K426" s="57">
        <v>90</v>
      </c>
      <c r="L426" s="57">
        <v>90</v>
      </c>
      <c r="M426" s="57">
        <v>27.5</v>
      </c>
      <c r="N426" s="63">
        <v>6.5</v>
      </c>
      <c r="O426" s="36">
        <v>1.25</v>
      </c>
      <c r="P426" s="57">
        <v>8</v>
      </c>
      <c r="Q426" s="63">
        <v>8.4</v>
      </c>
      <c r="R426" s="36">
        <v>0.11</v>
      </c>
      <c r="S426" s="36">
        <v>22.36</v>
      </c>
      <c r="T426" s="36">
        <v>0.88</v>
      </c>
      <c r="U426" s="36">
        <v>0.7</v>
      </c>
      <c r="V426" s="42">
        <f t="shared" si="156"/>
        <v>2059.7666666666669</v>
      </c>
      <c r="W426" s="42">
        <f t="shared" si="157"/>
        <v>1902.60122</v>
      </c>
      <c r="X426" s="42">
        <f t="shared" si="158"/>
        <v>0.92369745116760793</v>
      </c>
      <c r="Y426" s="57">
        <v>3</v>
      </c>
      <c r="Z426" s="57">
        <v>3</v>
      </c>
      <c r="AA426" s="63">
        <v>6.2</v>
      </c>
      <c r="AB426" s="57">
        <v>25</v>
      </c>
      <c r="AC426" s="63">
        <v>6.3</v>
      </c>
      <c r="AD426" s="63">
        <v>9</v>
      </c>
      <c r="AE426" s="36">
        <v>0.18</v>
      </c>
      <c r="AF426" s="36">
        <v>0.11</v>
      </c>
      <c r="AG426" s="42">
        <f t="shared" si="140"/>
        <v>1544.8249999999998</v>
      </c>
      <c r="AH426" s="42">
        <f t="shared" si="159"/>
        <v>1979.8438399999998</v>
      </c>
      <c r="AI426" s="42">
        <f t="shared" si="160"/>
        <v>1.2815974883886525</v>
      </c>
      <c r="AJ426" s="57">
        <v>2</v>
      </c>
      <c r="AK426" s="57">
        <v>4</v>
      </c>
      <c r="AL426" s="63">
        <v>6.4</v>
      </c>
      <c r="AM426" s="57">
        <v>25</v>
      </c>
      <c r="AN426" s="63">
        <v>6.3</v>
      </c>
      <c r="AO426" s="63">
        <v>7.2</v>
      </c>
      <c r="AP426" s="36">
        <v>0.16</v>
      </c>
      <c r="AQ426" s="36">
        <v>0.19</v>
      </c>
      <c r="AR426" s="73">
        <f t="shared" si="141"/>
        <v>1965</v>
      </c>
      <c r="AS426" s="75">
        <f t="shared" si="142"/>
        <v>0</v>
      </c>
      <c r="AT426" s="75">
        <f t="shared" si="143"/>
        <v>0.79643765903307884</v>
      </c>
      <c r="AU426" s="75">
        <f t="shared" si="144"/>
        <v>0.20356234096692111</v>
      </c>
      <c r="AV426" s="26">
        <f t="shared" si="145"/>
        <v>7.4037512339585387E-2</v>
      </c>
      <c r="AW426" s="26">
        <f t="shared" si="146"/>
        <v>9.8716683119447188E-2</v>
      </c>
      <c r="AX426" s="26">
        <f t="shared" si="163"/>
        <v>0.84799999999999998</v>
      </c>
      <c r="AY426" s="24">
        <f t="shared" si="164"/>
        <v>0.91200000000000003</v>
      </c>
      <c r="AZ426" s="77" t="str">
        <f t="shared" si="147"/>
        <v>7,5 ≤ Alc. Bruta &lt; 10,0 mg/L</v>
      </c>
      <c r="BA426" s="77" t="str">
        <f t="shared" si="148"/>
        <v>5 ≤ Cor &lt; 10 uC</v>
      </c>
      <c r="BB426" s="78" t="str">
        <f t="shared" si="149"/>
        <v>Turbidez &lt; 2,5 uT</v>
      </c>
      <c r="BC426" s="79" t="str">
        <f t="shared" si="150"/>
        <v>SM &gt; BNN &gt; TOR</v>
      </c>
      <c r="BD426" s="78" t="str">
        <f t="shared" si="151"/>
        <v>Tipo 1 (≤0,25) uT</v>
      </c>
      <c r="BE426" s="78" t="str">
        <f t="shared" si="152"/>
        <v>Tipo 1 (≤0,25) uT</v>
      </c>
      <c r="BF426" s="78" t="str">
        <f t="shared" si="153"/>
        <v>Tipo 1 (≤0,25) uT</v>
      </c>
      <c r="BG426" s="78" t="str">
        <f t="shared" si="154"/>
        <v>Tipo 1 (≤0,25) uT</v>
      </c>
      <c r="BH426" s="78" t="str">
        <f t="shared" si="155"/>
        <v>Tipo 1 (≤0,25) uT</v>
      </c>
    </row>
    <row r="427" spans="1:60" ht="15.75" thickBot="1" x14ac:dyDescent="0.25">
      <c r="A427" s="31">
        <v>46306</v>
      </c>
      <c r="B427" s="80">
        <v>0.64583333333333337</v>
      </c>
      <c r="C427" s="59">
        <v>0</v>
      </c>
      <c r="D427" s="57">
        <v>1598</v>
      </c>
      <c r="E427" s="57">
        <v>205</v>
      </c>
      <c r="F427" s="57">
        <v>1815</v>
      </c>
      <c r="G427" s="85" t="s">
        <v>78</v>
      </c>
      <c r="H427" s="63">
        <v>9.5</v>
      </c>
      <c r="I427" s="57">
        <v>33</v>
      </c>
      <c r="J427" s="57">
        <v>90</v>
      </c>
      <c r="K427" s="57">
        <v>90</v>
      </c>
      <c r="L427" s="57">
        <v>90</v>
      </c>
      <c r="M427" s="57">
        <v>27.7</v>
      </c>
      <c r="N427" s="63">
        <v>6.4</v>
      </c>
      <c r="O427" s="36">
        <v>1.29</v>
      </c>
      <c r="P427" s="57">
        <v>10</v>
      </c>
      <c r="Q427" s="63">
        <v>7.6</v>
      </c>
      <c r="R427" s="36">
        <v>0.21</v>
      </c>
      <c r="S427" s="36">
        <v>22.36</v>
      </c>
      <c r="T427" s="36">
        <v>0.88</v>
      </c>
      <c r="U427" s="36">
        <v>0.7</v>
      </c>
      <c r="V427" s="42">
        <f t="shared" si="156"/>
        <v>1857.3500000000001</v>
      </c>
      <c r="W427" s="42">
        <f t="shared" si="157"/>
        <v>1863.5736287999996</v>
      </c>
      <c r="X427" s="42">
        <f t="shared" si="158"/>
        <v>1.003350810994158</v>
      </c>
      <c r="Y427" s="57">
        <v>1</v>
      </c>
      <c r="Z427" s="57">
        <v>3</v>
      </c>
      <c r="AA427" s="63">
        <v>6.3</v>
      </c>
      <c r="AB427" s="57">
        <v>24</v>
      </c>
      <c r="AC427" s="63">
        <v>6.2</v>
      </c>
      <c r="AD427" s="63">
        <v>6.9</v>
      </c>
      <c r="AE427" s="36">
        <v>0.19</v>
      </c>
      <c r="AF427" s="36">
        <v>0.11</v>
      </c>
      <c r="AG427" s="42">
        <f t="shared" si="140"/>
        <v>1393.0125</v>
      </c>
      <c r="AH427" s="42">
        <f t="shared" si="159"/>
        <v>1941.2225299999996</v>
      </c>
      <c r="AI427" s="42">
        <f t="shared" si="160"/>
        <v>1.3935427930474418</v>
      </c>
      <c r="AJ427" s="57">
        <v>2</v>
      </c>
      <c r="AK427" s="57">
        <v>4</v>
      </c>
      <c r="AL427" s="63">
        <v>6.3</v>
      </c>
      <c r="AM427" s="57">
        <v>25</v>
      </c>
      <c r="AN427" s="63">
        <v>6.2</v>
      </c>
      <c r="AO427" s="63">
        <v>7.1</v>
      </c>
      <c r="AP427" s="36">
        <v>0.16</v>
      </c>
      <c r="AQ427" s="36">
        <v>0.21</v>
      </c>
      <c r="AR427" s="73">
        <f t="shared" si="141"/>
        <v>1803</v>
      </c>
      <c r="AS427" s="75">
        <f t="shared" si="142"/>
        <v>0</v>
      </c>
      <c r="AT427" s="75">
        <f t="shared" si="143"/>
        <v>0.88630061009428729</v>
      </c>
      <c r="AU427" s="75">
        <f t="shared" si="144"/>
        <v>0.1136993899057127</v>
      </c>
      <c r="AV427" s="26">
        <f t="shared" si="145"/>
        <v>7.9338842975206617E-2</v>
      </c>
      <c r="AW427" s="26">
        <f t="shared" si="146"/>
        <v>0.11019283746556474</v>
      </c>
      <c r="AX427" s="26">
        <f t="shared" si="163"/>
        <v>0.83720930232558144</v>
      </c>
      <c r="AY427" s="24">
        <f t="shared" si="164"/>
        <v>0.9147286821705426</v>
      </c>
      <c r="AZ427" s="77" t="str">
        <f t="shared" si="147"/>
        <v>7,5 ≤ Alc. Bruta &lt; 10,0 mg/L</v>
      </c>
      <c r="BA427" s="77" t="str">
        <f t="shared" si="148"/>
        <v>10 ≤ Cor &lt;15 uC</v>
      </c>
      <c r="BB427" s="78" t="str">
        <f t="shared" si="149"/>
        <v>Turbidez &lt; 2,5 uT</v>
      </c>
      <c r="BC427" s="79" t="str">
        <f t="shared" si="150"/>
        <v>SM &gt; BNN &gt; TOR</v>
      </c>
      <c r="BD427" s="78" t="str">
        <f t="shared" si="151"/>
        <v>Tipo 1 (≤0,25) uT</v>
      </c>
      <c r="BE427" s="78" t="str">
        <f t="shared" si="152"/>
        <v>Tipo 1 (≤0,25) uT</v>
      </c>
      <c r="BF427" s="78" t="str">
        <f t="shared" si="153"/>
        <v>Tipo 1 (≤0,25) uT</v>
      </c>
      <c r="BG427" s="78" t="str">
        <f t="shared" si="154"/>
        <v>Tipo 1 (≤0,25) uT</v>
      </c>
      <c r="BH427" s="78" t="str">
        <f t="shared" si="155"/>
        <v>Tipo 1 (≤0,25) uT</v>
      </c>
    </row>
    <row r="428" spans="1:60" ht="15.75" thickBot="1" x14ac:dyDescent="0.25">
      <c r="A428" s="31">
        <v>46306</v>
      </c>
      <c r="B428" s="80">
        <v>0.72916666666666663</v>
      </c>
      <c r="C428" s="59">
        <v>0</v>
      </c>
      <c r="D428" s="57">
        <v>1608</v>
      </c>
      <c r="E428" s="57">
        <v>205</v>
      </c>
      <c r="F428" s="57">
        <v>1826</v>
      </c>
      <c r="G428" s="85" t="s">
        <v>78</v>
      </c>
      <c r="H428" s="63">
        <v>9.5</v>
      </c>
      <c r="I428" s="57">
        <v>33</v>
      </c>
      <c r="J428" s="57">
        <v>90</v>
      </c>
      <c r="K428" s="57">
        <v>90</v>
      </c>
      <c r="L428" s="57">
        <v>90</v>
      </c>
      <c r="M428" s="57">
        <v>27.6</v>
      </c>
      <c r="N428" s="63">
        <v>6.4</v>
      </c>
      <c r="O428" s="36">
        <v>1.1599999999999999</v>
      </c>
      <c r="P428" s="57">
        <v>10</v>
      </c>
      <c r="Q428" s="63">
        <v>7.6</v>
      </c>
      <c r="R428" s="36">
        <v>0.21</v>
      </c>
      <c r="S428" s="36">
        <v>22.36</v>
      </c>
      <c r="T428" s="36">
        <v>0.88</v>
      </c>
      <c r="U428" s="36">
        <v>0.7</v>
      </c>
      <c r="V428" s="42">
        <f t="shared" si="156"/>
        <v>1829.0433333333331</v>
      </c>
      <c r="W428" s="42">
        <f t="shared" si="157"/>
        <v>1863.5736287999996</v>
      </c>
      <c r="X428" s="42">
        <f t="shared" si="158"/>
        <v>1.0188788832048812</v>
      </c>
      <c r="Y428" s="57">
        <v>1</v>
      </c>
      <c r="Z428" s="57">
        <v>3</v>
      </c>
      <c r="AA428" s="63">
        <v>6.3</v>
      </c>
      <c r="AB428" s="57">
        <v>24</v>
      </c>
      <c r="AC428" s="63">
        <v>6</v>
      </c>
      <c r="AD428" s="63">
        <v>6</v>
      </c>
      <c r="AE428" s="36">
        <v>0.21</v>
      </c>
      <c r="AF428" s="36">
        <v>0.12</v>
      </c>
      <c r="AG428" s="42">
        <f t="shared" si="140"/>
        <v>1371.7825</v>
      </c>
      <c r="AH428" s="42">
        <f t="shared" si="159"/>
        <v>1941.2225299999996</v>
      </c>
      <c r="AI428" s="42">
        <f t="shared" si="160"/>
        <v>1.4151095600067791</v>
      </c>
      <c r="AJ428" s="57">
        <v>2</v>
      </c>
      <c r="AK428" s="57">
        <v>4</v>
      </c>
      <c r="AL428" s="63">
        <v>6.3</v>
      </c>
      <c r="AM428" s="57">
        <v>25</v>
      </c>
      <c r="AN428" s="63">
        <v>6.1</v>
      </c>
      <c r="AO428" s="63">
        <v>5.8</v>
      </c>
      <c r="AP428" s="36">
        <v>0.14000000000000001</v>
      </c>
      <c r="AQ428" s="36">
        <v>0.19</v>
      </c>
      <c r="AR428" s="73">
        <f t="shared" si="141"/>
        <v>1813</v>
      </c>
      <c r="AS428" s="75">
        <f t="shared" si="142"/>
        <v>0</v>
      </c>
      <c r="AT428" s="75">
        <f t="shared" si="143"/>
        <v>0.88692774407060126</v>
      </c>
      <c r="AU428" s="75">
        <f t="shared" si="144"/>
        <v>0.11307225592939879</v>
      </c>
      <c r="AV428" s="26">
        <f t="shared" si="145"/>
        <v>7.8860898138006577E-2</v>
      </c>
      <c r="AW428" s="26">
        <f t="shared" si="146"/>
        <v>0.10952902519167579</v>
      </c>
      <c r="AX428" s="26">
        <f t="shared" si="163"/>
        <v>0.83620689655172409</v>
      </c>
      <c r="AY428" s="24">
        <f t="shared" si="164"/>
        <v>0.89655172413793105</v>
      </c>
      <c r="AZ428" s="77" t="str">
        <f t="shared" si="147"/>
        <v>7,5 ≤ Alc. Bruta &lt; 10,0 mg/L</v>
      </c>
      <c r="BA428" s="77" t="str">
        <f t="shared" si="148"/>
        <v>10 ≤ Cor &lt;15 uC</v>
      </c>
      <c r="BB428" s="78" t="str">
        <f t="shared" si="149"/>
        <v>Turbidez &lt; 2,5 uT</v>
      </c>
      <c r="BC428" s="79" t="str">
        <f t="shared" si="150"/>
        <v>SM &gt; BNN &gt; TOR</v>
      </c>
      <c r="BD428" s="78" t="str">
        <f t="shared" si="151"/>
        <v>Tipo 1 (≤0,25) uT</v>
      </c>
      <c r="BE428" s="78" t="str">
        <f t="shared" si="152"/>
        <v>Tipo 1 (≤0,25) uT</v>
      </c>
      <c r="BF428" s="78" t="str">
        <f t="shared" si="153"/>
        <v>Tipo 1 (≤0,25) uT</v>
      </c>
      <c r="BG428" s="78" t="str">
        <f t="shared" si="154"/>
        <v>Tipo 1 (≤0,25) uT</v>
      </c>
      <c r="BH428" s="78" t="str">
        <f t="shared" si="155"/>
        <v>Tipo 1 (≤0,25) uT</v>
      </c>
    </row>
    <row r="429" spans="1:60" ht="15.75" thickBot="1" x14ac:dyDescent="0.25">
      <c r="A429" s="31">
        <v>46306</v>
      </c>
      <c r="B429" s="80">
        <v>0.8125</v>
      </c>
      <c r="C429" s="59">
        <v>0</v>
      </c>
      <c r="D429" s="57">
        <v>1600</v>
      </c>
      <c r="E429" s="57">
        <v>205</v>
      </c>
      <c r="F429" s="57">
        <v>1815</v>
      </c>
      <c r="G429" s="85" t="s">
        <v>78</v>
      </c>
      <c r="H429" s="63">
        <v>9.5</v>
      </c>
      <c r="I429" s="57">
        <v>33</v>
      </c>
      <c r="J429" s="57">
        <v>90</v>
      </c>
      <c r="K429" s="57">
        <v>90</v>
      </c>
      <c r="L429" s="57">
        <v>90</v>
      </c>
      <c r="M429" s="57">
        <v>27.4</v>
      </c>
      <c r="N429" s="63">
        <v>6.5</v>
      </c>
      <c r="O429" s="36">
        <v>0.99</v>
      </c>
      <c r="P429" s="57">
        <v>9</v>
      </c>
      <c r="Q429" s="63">
        <v>6.5</v>
      </c>
      <c r="R429" s="36">
        <v>0.1</v>
      </c>
      <c r="S429" s="36">
        <v>22.36</v>
      </c>
      <c r="T429" s="36">
        <v>0.88</v>
      </c>
      <c r="U429" s="36">
        <v>0.7</v>
      </c>
      <c r="V429" s="42">
        <f t="shared" si="156"/>
        <v>1324.95</v>
      </c>
      <c r="W429" s="42">
        <f t="shared" si="157"/>
        <v>1826.4971712000001</v>
      </c>
      <c r="X429" s="42">
        <f t="shared" si="158"/>
        <v>1.3785404514887354</v>
      </c>
      <c r="Y429" s="57">
        <v>3</v>
      </c>
      <c r="Z429" s="57">
        <v>4</v>
      </c>
      <c r="AA429" s="63">
        <v>6.2</v>
      </c>
      <c r="AB429" s="57">
        <v>24</v>
      </c>
      <c r="AC429" s="63">
        <v>6.1</v>
      </c>
      <c r="AD429" s="63">
        <v>6.1</v>
      </c>
      <c r="AE429" s="36">
        <v>0.17</v>
      </c>
      <c r="AF429" s="36">
        <v>0.11</v>
      </c>
      <c r="AG429" s="42">
        <f t="shared" si="140"/>
        <v>1324.95</v>
      </c>
      <c r="AH429" s="42">
        <f t="shared" si="159"/>
        <v>1750.3931224</v>
      </c>
      <c r="AI429" s="42">
        <f t="shared" si="160"/>
        <v>1.3211012660100381</v>
      </c>
      <c r="AJ429" s="57">
        <v>2</v>
      </c>
      <c r="AK429" s="57">
        <v>4</v>
      </c>
      <c r="AL429" s="63">
        <v>6.2</v>
      </c>
      <c r="AM429" s="57">
        <v>23</v>
      </c>
      <c r="AN429" s="63">
        <v>6.1</v>
      </c>
      <c r="AO429" s="63">
        <v>5.7</v>
      </c>
      <c r="AP429" s="36">
        <v>0.12</v>
      </c>
      <c r="AQ429" s="36">
        <v>0.13</v>
      </c>
      <c r="AR429" s="73">
        <f t="shared" si="141"/>
        <v>1805</v>
      </c>
      <c r="AS429" s="75">
        <f t="shared" si="142"/>
        <v>0</v>
      </c>
      <c r="AT429" s="75">
        <f t="shared" si="143"/>
        <v>0.88642659279778391</v>
      </c>
      <c r="AU429" s="75">
        <f t="shared" si="144"/>
        <v>0.11357340720221606</v>
      </c>
      <c r="AV429" s="26">
        <f t="shared" si="145"/>
        <v>0.10578512396694215</v>
      </c>
      <c r="AW429" s="26">
        <f t="shared" si="146"/>
        <v>0.10137741046831956</v>
      </c>
      <c r="AX429" s="26">
        <f t="shared" si="163"/>
        <v>0.86868686868686873</v>
      </c>
      <c r="AY429" s="24">
        <f t="shared" si="164"/>
        <v>0.88888888888888884</v>
      </c>
      <c r="AZ429" s="77" t="str">
        <f t="shared" si="147"/>
        <v>5,0 ≤ Alc. Bruta &lt; 7,5 mg/L</v>
      </c>
      <c r="BA429" s="77" t="str">
        <f t="shared" si="148"/>
        <v>5 ≤ Cor &lt; 10 uC</v>
      </c>
      <c r="BB429" s="78" t="str">
        <f t="shared" si="149"/>
        <v>Turbidez &lt; 2,5 uT</v>
      </c>
      <c r="BC429" s="79" t="str">
        <f t="shared" si="150"/>
        <v>SM &gt; BNN &gt; TOR</v>
      </c>
      <c r="BD429" s="78" t="str">
        <f t="shared" si="151"/>
        <v>Tipo 1 (≤0,25) uT</v>
      </c>
      <c r="BE429" s="78" t="str">
        <f t="shared" si="152"/>
        <v>Tipo 1 (≤0,25) uT</v>
      </c>
      <c r="BF429" s="78" t="str">
        <f t="shared" si="153"/>
        <v>Tipo 1 (≤0,25) uT</v>
      </c>
      <c r="BG429" s="78" t="str">
        <f t="shared" si="154"/>
        <v>Tipo 1 (≤0,25) uT</v>
      </c>
      <c r="BH429" s="78" t="str">
        <f t="shared" si="155"/>
        <v>Tipo 1 (≤0,25) uT</v>
      </c>
    </row>
    <row r="430" spans="1:60" ht="15.75" thickBot="1" x14ac:dyDescent="0.25">
      <c r="A430" s="31">
        <v>46306</v>
      </c>
      <c r="B430" s="80">
        <v>0.89583333333333337</v>
      </c>
      <c r="C430" s="59">
        <v>0</v>
      </c>
      <c r="D430" s="57">
        <v>1583</v>
      </c>
      <c r="E430" s="57">
        <v>205</v>
      </c>
      <c r="F430" s="57">
        <v>1825</v>
      </c>
      <c r="G430" s="85" t="s">
        <v>78</v>
      </c>
      <c r="H430" s="63">
        <v>9.5</v>
      </c>
      <c r="I430" s="57">
        <v>33</v>
      </c>
      <c r="J430" s="57">
        <v>90</v>
      </c>
      <c r="K430" s="57">
        <v>90</v>
      </c>
      <c r="L430" s="57">
        <v>90</v>
      </c>
      <c r="M430" s="57">
        <v>25.3</v>
      </c>
      <c r="N430" s="63">
        <v>6.2</v>
      </c>
      <c r="O430" s="36">
        <v>0.97</v>
      </c>
      <c r="P430" s="57">
        <v>5</v>
      </c>
      <c r="Q430" s="63">
        <v>8.4</v>
      </c>
      <c r="R430" s="36">
        <v>0.11</v>
      </c>
      <c r="S430" s="36">
        <v>22.36</v>
      </c>
      <c r="T430" s="36">
        <v>0.88</v>
      </c>
      <c r="U430" s="36">
        <v>0.7</v>
      </c>
      <c r="V430" s="42">
        <f t="shared" si="156"/>
        <v>1327.6875</v>
      </c>
      <c r="W430" s="42">
        <f t="shared" si="157"/>
        <v>1640.3023207999997</v>
      </c>
      <c r="X430" s="42">
        <f t="shared" si="158"/>
        <v>1.2354581336346089</v>
      </c>
      <c r="Y430" s="57">
        <v>3</v>
      </c>
      <c r="Z430" s="57">
        <v>4</v>
      </c>
      <c r="AA430" s="63">
        <v>6.1</v>
      </c>
      <c r="AB430" s="57">
        <v>22</v>
      </c>
      <c r="AC430" s="63">
        <v>6.1</v>
      </c>
      <c r="AD430" s="63">
        <v>5.8</v>
      </c>
      <c r="AE430" s="36">
        <v>0.14000000000000001</v>
      </c>
      <c r="AF430" s="36">
        <v>0.15</v>
      </c>
      <c r="AG430" s="42">
        <f t="shared" si="140"/>
        <v>1770.2500000000002</v>
      </c>
      <c r="AH430" s="42">
        <f t="shared" si="159"/>
        <v>1900.6500864</v>
      </c>
      <c r="AI430" s="42">
        <f t="shared" si="160"/>
        <v>1.073661960965965</v>
      </c>
      <c r="AJ430" s="57">
        <v>2</v>
      </c>
      <c r="AK430" s="57">
        <v>3</v>
      </c>
      <c r="AL430" s="63">
        <v>6.4</v>
      </c>
      <c r="AM430" s="57">
        <v>24</v>
      </c>
      <c r="AN430" s="63">
        <v>6</v>
      </c>
      <c r="AO430" s="63">
        <v>5.6</v>
      </c>
      <c r="AP430" s="36">
        <v>0.13</v>
      </c>
      <c r="AQ430" s="36">
        <v>0.13</v>
      </c>
      <c r="AR430" s="73">
        <f t="shared" si="141"/>
        <v>1788</v>
      </c>
      <c r="AS430" s="75">
        <f t="shared" si="142"/>
        <v>0</v>
      </c>
      <c r="AT430" s="75">
        <f t="shared" si="143"/>
        <v>0.88534675615212532</v>
      </c>
      <c r="AU430" s="75">
        <f t="shared" si="144"/>
        <v>0.11465324384787472</v>
      </c>
      <c r="AV430" s="26">
        <f t="shared" si="145"/>
        <v>9.6438356164383565E-2</v>
      </c>
      <c r="AW430" s="26">
        <f t="shared" si="146"/>
        <v>7.8904109589041094E-2</v>
      </c>
      <c r="AX430" s="26">
        <f t="shared" si="163"/>
        <v>0.865979381443299</v>
      </c>
      <c r="AY430" s="24">
        <f t="shared" si="164"/>
        <v>0.84536082474226804</v>
      </c>
      <c r="AZ430" s="77" t="str">
        <f t="shared" si="147"/>
        <v>7,5 ≤ Alc. Bruta &lt; 10,0 mg/L</v>
      </c>
      <c r="BA430" s="77" t="str">
        <f t="shared" si="148"/>
        <v>5 ≤ Cor &lt; 10 uC</v>
      </c>
      <c r="BB430" s="78" t="str">
        <f t="shared" si="149"/>
        <v>Turbidez &lt; 2,5 uT</v>
      </c>
      <c r="BC430" s="79" t="str">
        <f t="shared" si="150"/>
        <v>SM &gt; BNN &gt; TOR</v>
      </c>
      <c r="BD430" s="78" t="str">
        <f t="shared" si="151"/>
        <v>Tipo 1 (≤0,25) uT</v>
      </c>
      <c r="BE430" s="78" t="str">
        <f t="shared" si="152"/>
        <v>Tipo 1 (≤0,25) uT</v>
      </c>
      <c r="BF430" s="78" t="str">
        <f t="shared" si="153"/>
        <v>Tipo 1 (≤0,25) uT</v>
      </c>
      <c r="BG430" s="78" t="str">
        <f t="shared" si="154"/>
        <v>Tipo 1 (≤0,25) uT</v>
      </c>
      <c r="BH430" s="78" t="str">
        <f t="shared" si="155"/>
        <v>Tipo 1 (≤0,25) uT</v>
      </c>
    </row>
    <row r="431" spans="1:60" ht="15.75" thickBot="1" x14ac:dyDescent="0.25">
      <c r="A431" s="31">
        <v>46307</v>
      </c>
      <c r="B431" s="80">
        <v>6.25E-2</v>
      </c>
      <c r="C431" s="59">
        <v>0</v>
      </c>
      <c r="D431" s="57">
        <v>1600</v>
      </c>
      <c r="E431" s="57">
        <v>205</v>
      </c>
      <c r="F431" s="57">
        <v>1828</v>
      </c>
      <c r="G431" s="85" t="s">
        <v>78</v>
      </c>
      <c r="H431" s="63">
        <v>9.5</v>
      </c>
      <c r="I431" s="57">
        <v>33</v>
      </c>
      <c r="J431" s="57">
        <v>90</v>
      </c>
      <c r="K431" s="57">
        <v>90</v>
      </c>
      <c r="L431" s="57">
        <v>90</v>
      </c>
      <c r="M431" s="57">
        <v>26.2</v>
      </c>
      <c r="N431" s="63">
        <v>6.4</v>
      </c>
      <c r="O431" s="36">
        <v>1</v>
      </c>
      <c r="P431" s="57">
        <v>8</v>
      </c>
      <c r="Q431" s="63">
        <v>6.6</v>
      </c>
      <c r="R431" s="36">
        <v>0.11</v>
      </c>
      <c r="S431" s="36">
        <v>22.36</v>
      </c>
      <c r="T431" s="36">
        <v>0.88</v>
      </c>
      <c r="U431" s="36">
        <v>0.7</v>
      </c>
      <c r="V431" s="42">
        <f t="shared" si="156"/>
        <v>1336.7249999999999</v>
      </c>
      <c r="W431" s="42">
        <f t="shared" si="157"/>
        <v>1640.3023207999997</v>
      </c>
      <c r="X431" s="42">
        <f t="shared" si="158"/>
        <v>1.2271052915147094</v>
      </c>
      <c r="Y431" s="57">
        <v>3</v>
      </c>
      <c r="Z431" s="57">
        <v>4</v>
      </c>
      <c r="AA431" s="63">
        <v>6.1</v>
      </c>
      <c r="AB431" s="57">
        <v>22</v>
      </c>
      <c r="AC431" s="63">
        <v>5.9</v>
      </c>
      <c r="AD431" s="63">
        <v>5.9</v>
      </c>
      <c r="AE431" s="36">
        <v>0.12</v>
      </c>
      <c r="AF431" s="36">
        <v>0.15</v>
      </c>
      <c r="AG431" s="42">
        <f t="shared" si="140"/>
        <v>1782.3</v>
      </c>
      <c r="AH431" s="42">
        <f t="shared" si="159"/>
        <v>1900.6500864</v>
      </c>
      <c r="AI431" s="42">
        <f t="shared" si="160"/>
        <v>1.066403010940919</v>
      </c>
      <c r="AJ431" s="57">
        <v>2</v>
      </c>
      <c r="AK431" s="57">
        <v>3</v>
      </c>
      <c r="AL431" s="63">
        <v>6.4</v>
      </c>
      <c r="AM431" s="57">
        <v>24</v>
      </c>
      <c r="AN431" s="63">
        <v>6</v>
      </c>
      <c r="AO431" s="63">
        <v>6.1</v>
      </c>
      <c r="AP431" s="36">
        <v>0.11</v>
      </c>
      <c r="AQ431" s="36">
        <v>0.15</v>
      </c>
      <c r="AR431" s="73">
        <f t="shared" si="141"/>
        <v>1805</v>
      </c>
      <c r="AS431" s="75">
        <f t="shared" si="142"/>
        <v>0</v>
      </c>
      <c r="AT431" s="75">
        <f t="shared" si="143"/>
        <v>0.88642659279778391</v>
      </c>
      <c r="AU431" s="75">
        <f t="shared" si="144"/>
        <v>0.11357340720221606</v>
      </c>
      <c r="AV431" s="26">
        <f t="shared" si="145"/>
        <v>9.6280087527352301E-2</v>
      </c>
      <c r="AW431" s="26">
        <f t="shared" si="146"/>
        <v>7.8774617067833688E-2</v>
      </c>
      <c r="AX431" s="26">
        <f t="shared" si="163"/>
        <v>0.85</v>
      </c>
      <c r="AY431" s="24">
        <f t="shared" si="164"/>
        <v>0.85</v>
      </c>
      <c r="AZ431" s="77" t="str">
        <f t="shared" si="147"/>
        <v>5,0 ≤ Alc. Bruta &lt; 7,5 mg/L</v>
      </c>
      <c r="BA431" s="77" t="str">
        <f t="shared" si="148"/>
        <v>5 ≤ Cor &lt; 10 uC</v>
      </c>
      <c r="BB431" s="78" t="str">
        <f t="shared" si="149"/>
        <v>Turbidez &lt; 2,5 uT</v>
      </c>
      <c r="BC431" s="79" t="str">
        <f t="shared" si="150"/>
        <v>SM &gt; BNN &gt; TOR</v>
      </c>
      <c r="BD431" s="78" t="str">
        <f t="shared" si="151"/>
        <v>Tipo 1 (≤0,25) uT</v>
      </c>
      <c r="BE431" s="78" t="str">
        <f t="shared" si="152"/>
        <v>Tipo 1 (≤0,25) uT</v>
      </c>
      <c r="BF431" s="78" t="str">
        <f t="shared" si="153"/>
        <v>Tipo 1 (≤0,25) uT</v>
      </c>
      <c r="BG431" s="78" t="str">
        <f t="shared" si="154"/>
        <v>Tipo 1 (≤0,25) uT</v>
      </c>
      <c r="BH431" s="78" t="str">
        <f t="shared" si="155"/>
        <v>Tipo 1 (≤0,25) uT</v>
      </c>
    </row>
    <row r="432" spans="1:60" ht="15.75" thickBot="1" x14ac:dyDescent="0.25">
      <c r="A432" s="31">
        <v>46307</v>
      </c>
      <c r="B432" s="80">
        <v>0.14583333333333334</v>
      </c>
      <c r="C432" s="59">
        <v>0</v>
      </c>
      <c r="D432" s="57">
        <v>1588</v>
      </c>
      <c r="E432" s="57">
        <v>205</v>
      </c>
      <c r="F432" s="57">
        <v>1817</v>
      </c>
      <c r="G432" s="85" t="s">
        <v>78</v>
      </c>
      <c r="H432" s="63">
        <v>9.5</v>
      </c>
      <c r="I432" s="57">
        <v>33</v>
      </c>
      <c r="J432" s="57">
        <v>90</v>
      </c>
      <c r="K432" s="57">
        <v>90</v>
      </c>
      <c r="L432" s="57">
        <v>90</v>
      </c>
      <c r="M432" s="57">
        <v>25.9</v>
      </c>
      <c r="N432" s="63">
        <v>6.4</v>
      </c>
      <c r="O432" s="36">
        <v>1.04</v>
      </c>
      <c r="P432" s="57">
        <v>5</v>
      </c>
      <c r="Q432" s="63">
        <v>6.7</v>
      </c>
      <c r="R432" s="36">
        <v>0.11</v>
      </c>
      <c r="S432" s="36">
        <v>22.36</v>
      </c>
      <c r="T432" s="36">
        <v>0.88</v>
      </c>
      <c r="U432" s="36">
        <v>0.7</v>
      </c>
      <c r="V432" s="42">
        <f t="shared" si="156"/>
        <v>1337.7662500000001</v>
      </c>
      <c r="W432" s="42">
        <f t="shared" si="157"/>
        <v>1608.2667015999998</v>
      </c>
      <c r="X432" s="42">
        <f t="shared" si="158"/>
        <v>1.2022030766585714</v>
      </c>
      <c r="Y432" s="57">
        <v>3</v>
      </c>
      <c r="Z432" s="57">
        <v>4</v>
      </c>
      <c r="AA432" s="63">
        <v>5.8</v>
      </c>
      <c r="AB432" s="57">
        <v>23</v>
      </c>
      <c r="AC432" s="63">
        <v>6.2</v>
      </c>
      <c r="AD432" s="63">
        <v>5.5</v>
      </c>
      <c r="AE432" s="36">
        <v>0.16</v>
      </c>
      <c r="AF432" s="36">
        <v>0.15</v>
      </c>
      <c r="AG432" s="42">
        <f t="shared" si="140"/>
        <v>1783.6883333333335</v>
      </c>
      <c r="AH432" s="42">
        <f t="shared" si="159"/>
        <v>1979.8438399999998</v>
      </c>
      <c r="AI432" s="42">
        <f t="shared" si="160"/>
        <v>1.1099718504634122</v>
      </c>
      <c r="AJ432" s="57">
        <v>2</v>
      </c>
      <c r="AK432" s="57">
        <v>3</v>
      </c>
      <c r="AL432" s="63">
        <v>6.4</v>
      </c>
      <c r="AM432" s="57">
        <v>25</v>
      </c>
      <c r="AN432" s="63">
        <v>6.1</v>
      </c>
      <c r="AO432" s="63">
        <v>5.9</v>
      </c>
      <c r="AP432" s="36">
        <v>0.14000000000000001</v>
      </c>
      <c r="AQ432" s="36">
        <v>0.16</v>
      </c>
      <c r="AR432" s="73">
        <f t="shared" si="141"/>
        <v>1793</v>
      </c>
      <c r="AS432" s="75">
        <f t="shared" si="142"/>
        <v>0</v>
      </c>
      <c r="AT432" s="75">
        <f t="shared" si="143"/>
        <v>0.88566648075850529</v>
      </c>
      <c r="AU432" s="75">
        <f t="shared" si="144"/>
        <v>0.11433351924149471</v>
      </c>
      <c r="AV432" s="26">
        <f t="shared" si="145"/>
        <v>0.10126582278481013</v>
      </c>
      <c r="AW432" s="26">
        <f t="shared" si="146"/>
        <v>8.2553659878921298E-2</v>
      </c>
      <c r="AX432" s="26">
        <f t="shared" si="163"/>
        <v>0.84615384615384615</v>
      </c>
      <c r="AY432" s="24">
        <f t="shared" si="164"/>
        <v>0.85576923076923084</v>
      </c>
      <c r="AZ432" s="77" t="str">
        <f t="shared" si="147"/>
        <v>5,0 ≤ Alc. Bruta &lt; 7,5 mg/L</v>
      </c>
      <c r="BA432" s="77" t="str">
        <f t="shared" si="148"/>
        <v>5 ≤ Cor &lt; 10 uC</v>
      </c>
      <c r="BB432" s="78" t="str">
        <f t="shared" si="149"/>
        <v>Turbidez &lt; 2,5 uT</v>
      </c>
      <c r="BC432" s="79" t="str">
        <f t="shared" si="150"/>
        <v>SM &gt; BNN &gt; TOR</v>
      </c>
      <c r="BD432" s="78" t="str">
        <f t="shared" si="151"/>
        <v>Tipo 1 (≤0,25) uT</v>
      </c>
      <c r="BE432" s="78" t="str">
        <f t="shared" si="152"/>
        <v>Tipo 1 (≤0,25) uT</v>
      </c>
      <c r="BF432" s="78" t="str">
        <f t="shared" si="153"/>
        <v>Tipo 1 (≤0,25) uT</v>
      </c>
      <c r="BG432" s="78" t="str">
        <f t="shared" si="154"/>
        <v>Tipo 1 (≤0,25) uT</v>
      </c>
      <c r="BH432" s="78" t="str">
        <f t="shared" si="155"/>
        <v>Tipo 1 (≤0,25) uT</v>
      </c>
    </row>
    <row r="433" spans="1:60" ht="15.75" thickBot="1" x14ac:dyDescent="0.25">
      <c r="A433" s="32">
        <v>46307</v>
      </c>
      <c r="B433" s="81">
        <v>0.22916666666666666</v>
      </c>
      <c r="C433" s="59">
        <v>0</v>
      </c>
      <c r="D433" s="58">
        <v>1002</v>
      </c>
      <c r="E433" s="58">
        <v>241</v>
      </c>
      <c r="F433" s="58">
        <v>1262</v>
      </c>
      <c r="G433" s="86" t="s">
        <v>78</v>
      </c>
      <c r="H433" s="64">
        <v>9.5</v>
      </c>
      <c r="I433" s="58">
        <v>33</v>
      </c>
      <c r="J433" s="58">
        <v>90</v>
      </c>
      <c r="K433" s="58">
        <v>90</v>
      </c>
      <c r="L433" s="58">
        <v>90</v>
      </c>
      <c r="M433" s="58">
        <v>25.5</v>
      </c>
      <c r="N433" s="64">
        <v>6.5</v>
      </c>
      <c r="O433" s="37">
        <v>0.95</v>
      </c>
      <c r="P433" s="58">
        <v>4</v>
      </c>
      <c r="Q433" s="64">
        <v>7.7</v>
      </c>
      <c r="R433" s="37">
        <v>0.11</v>
      </c>
      <c r="S433" s="36">
        <v>22.36</v>
      </c>
      <c r="T433" s="36">
        <v>0.88</v>
      </c>
      <c r="U433" s="36">
        <v>0.7</v>
      </c>
      <c r="V433" s="42">
        <f t="shared" si="156"/>
        <v>1829.8999999999999</v>
      </c>
      <c r="W433" s="42">
        <f t="shared" si="157"/>
        <v>1679.3299119999999</v>
      </c>
      <c r="X433" s="42">
        <f t="shared" si="158"/>
        <v>0.91771676703645011</v>
      </c>
      <c r="Y433" s="58">
        <v>1</v>
      </c>
      <c r="Z433" s="58">
        <v>2</v>
      </c>
      <c r="AA433" s="64">
        <v>6</v>
      </c>
      <c r="AB433" s="58">
        <v>23</v>
      </c>
      <c r="AC433" s="64">
        <v>6.2</v>
      </c>
      <c r="AD433" s="64">
        <v>5.7</v>
      </c>
      <c r="AE433" s="37">
        <v>0.11</v>
      </c>
      <c r="AF433" s="37">
        <v>0.1</v>
      </c>
      <c r="AG433" s="42">
        <f t="shared" si="140"/>
        <v>1219.9333333333334</v>
      </c>
      <c r="AH433" s="42">
        <f t="shared" si="159"/>
        <v>1900.6500864</v>
      </c>
      <c r="AI433" s="42">
        <f t="shared" si="160"/>
        <v>1.5579950432264058</v>
      </c>
      <c r="AJ433" s="58">
        <v>1</v>
      </c>
      <c r="AK433" s="58">
        <v>3</v>
      </c>
      <c r="AL433" s="64">
        <v>6.4</v>
      </c>
      <c r="AM433" s="58">
        <v>24</v>
      </c>
      <c r="AN433" s="64">
        <v>6.1</v>
      </c>
      <c r="AO433" s="64">
        <v>5.3</v>
      </c>
      <c r="AP433" s="37">
        <v>0.11</v>
      </c>
      <c r="AQ433" s="37">
        <v>0.16</v>
      </c>
      <c r="AR433" s="73">
        <f t="shared" si="141"/>
        <v>1243</v>
      </c>
      <c r="AS433" s="75">
        <f t="shared" si="142"/>
        <v>0</v>
      </c>
      <c r="AT433" s="75">
        <f t="shared" si="143"/>
        <v>0.80611423974255836</v>
      </c>
      <c r="AU433" s="75">
        <f t="shared" si="144"/>
        <v>0.19388576025744167</v>
      </c>
      <c r="AV433" s="26">
        <f t="shared" si="145"/>
        <v>7.2900158478605384E-2</v>
      </c>
      <c r="AW433" s="26">
        <f t="shared" si="146"/>
        <v>0.11410459587955625</v>
      </c>
      <c r="AX433" s="26">
        <f t="shared" si="163"/>
        <v>0.83157894736842097</v>
      </c>
      <c r="AY433" s="24">
        <f t="shared" si="164"/>
        <v>0.89473684210526316</v>
      </c>
      <c r="AZ433" s="77" t="str">
        <f t="shared" si="147"/>
        <v>7,5 ≤ Alc. Bruta &lt; 10,0 mg/L</v>
      </c>
      <c r="BA433" s="77" t="str">
        <f t="shared" si="148"/>
        <v>Cor &lt;5 uC</v>
      </c>
      <c r="BB433" s="78" t="str">
        <f t="shared" si="149"/>
        <v>Turbidez &lt; 2,5 uT</v>
      </c>
      <c r="BC433" s="79" t="str">
        <f t="shared" si="150"/>
        <v>SM &gt; BNN &gt; TOR</v>
      </c>
      <c r="BD433" s="78" t="str">
        <f t="shared" si="151"/>
        <v>Tipo 1 (≤0,25) uT</v>
      </c>
      <c r="BE433" s="78" t="str">
        <f t="shared" si="152"/>
        <v>Tipo 1 (≤0,25) uT</v>
      </c>
      <c r="BF433" s="78" t="str">
        <f t="shared" si="153"/>
        <v>Tipo 1 (≤0,25) uT</v>
      </c>
      <c r="BG433" s="78" t="str">
        <f t="shared" si="154"/>
        <v>Tipo 1 (≤0,25) uT</v>
      </c>
      <c r="BH433" s="78" t="str">
        <f t="shared" si="155"/>
        <v>Tipo 1 (≤0,25) uT</v>
      </c>
    </row>
    <row r="434" spans="1:60" x14ac:dyDescent="0.2">
      <c r="A434" s="30">
        <v>46307</v>
      </c>
      <c r="B434" s="82">
        <v>0.3125</v>
      </c>
      <c r="C434" s="59">
        <v>0</v>
      </c>
      <c r="D434" s="59">
        <v>1011</v>
      </c>
      <c r="E434" s="59">
        <v>245</v>
      </c>
      <c r="F434" s="59">
        <v>1290</v>
      </c>
      <c r="G434" s="85" t="s">
        <v>78</v>
      </c>
      <c r="H434" s="65">
        <v>9.5</v>
      </c>
      <c r="I434" s="59">
        <v>33</v>
      </c>
      <c r="J434" s="59">
        <v>90</v>
      </c>
      <c r="K434" s="59">
        <v>90</v>
      </c>
      <c r="L434" s="59">
        <v>90</v>
      </c>
      <c r="M434" s="59">
        <v>25.3</v>
      </c>
      <c r="N434" s="65">
        <v>6.4</v>
      </c>
      <c r="O434" s="38">
        <v>0.96</v>
      </c>
      <c r="P434" s="59">
        <v>5</v>
      </c>
      <c r="Q434" s="65">
        <v>7.9</v>
      </c>
      <c r="R434" s="38">
        <v>0.11</v>
      </c>
      <c r="S434" s="36">
        <v>22.36</v>
      </c>
      <c r="T434" s="36">
        <v>0.88</v>
      </c>
      <c r="U434" s="36">
        <v>0.7</v>
      </c>
      <c r="V434" s="42">
        <f t="shared" si="156"/>
        <v>1249.1500000000001</v>
      </c>
      <c r="W434" s="42">
        <f t="shared" si="157"/>
        <v>1674.2890735999999</v>
      </c>
      <c r="X434" s="42">
        <f t="shared" si="158"/>
        <v>1.340342691910499</v>
      </c>
      <c r="Y434" s="59">
        <v>1</v>
      </c>
      <c r="Z434" s="59">
        <v>3</v>
      </c>
      <c r="AA434" s="65">
        <v>6.2</v>
      </c>
      <c r="AB434" s="59">
        <v>22</v>
      </c>
      <c r="AC434" s="65">
        <v>6.2</v>
      </c>
      <c r="AD434" s="65">
        <v>5.4</v>
      </c>
      <c r="AE434" s="38">
        <v>0.11</v>
      </c>
      <c r="AF434" s="38"/>
      <c r="AG434" s="42">
        <f t="shared" si="140"/>
        <v>1873.7250000000001</v>
      </c>
      <c r="AH434" s="42">
        <f t="shared" si="159"/>
        <v>2018.46515</v>
      </c>
      <c r="AI434" s="42">
        <f t="shared" si="160"/>
        <v>1.0772472748135398</v>
      </c>
      <c r="AJ434" s="59">
        <v>1</v>
      </c>
      <c r="AK434" s="59">
        <v>2</v>
      </c>
      <c r="AL434" s="65">
        <v>6.5</v>
      </c>
      <c r="AM434" s="59">
        <v>25</v>
      </c>
      <c r="AN434" s="65">
        <v>6.1</v>
      </c>
      <c r="AO434" s="65">
        <v>5.8</v>
      </c>
      <c r="AP434" s="38">
        <v>0.12</v>
      </c>
      <c r="AQ434" s="38">
        <v>0.17</v>
      </c>
      <c r="AR434" s="73">
        <f t="shared" si="141"/>
        <v>1256</v>
      </c>
      <c r="AS434" s="75">
        <f t="shared" si="142"/>
        <v>0</v>
      </c>
      <c r="AT434" s="75">
        <f t="shared" si="143"/>
        <v>0.80493630573248409</v>
      </c>
      <c r="AU434" s="75">
        <f t="shared" si="144"/>
        <v>0.19506369426751594</v>
      </c>
      <c r="AV434" s="26">
        <f t="shared" si="145"/>
        <v>0.10232558139534884</v>
      </c>
      <c r="AW434" s="26">
        <f t="shared" si="146"/>
        <v>7.7519379844961239E-2</v>
      </c>
      <c r="AX434" s="26">
        <f t="shared" si="163"/>
        <v>0.82291666666666663</v>
      </c>
      <c r="AY434" s="24" t="str">
        <f t="shared" si="164"/>
        <v/>
      </c>
      <c r="AZ434" s="77" t="str">
        <f t="shared" si="147"/>
        <v>7,5 ≤ Alc. Bruta &lt; 10,0 mg/L</v>
      </c>
      <c r="BA434" s="77" t="str">
        <f t="shared" si="148"/>
        <v>5 ≤ Cor &lt; 10 uC</v>
      </c>
      <c r="BB434" s="78" t="str">
        <f t="shared" si="149"/>
        <v>Turbidez &lt; 2,5 uT</v>
      </c>
      <c r="BC434" s="79" t="str">
        <f t="shared" si="150"/>
        <v>SM &gt; BNN &gt; TOR</v>
      </c>
      <c r="BD434" s="78" t="str">
        <f t="shared" si="151"/>
        <v>Tipo 1 (≤0,25) uT</v>
      </c>
      <c r="BE434" s="78" t="str">
        <f t="shared" si="152"/>
        <v>Tipo 1 (≤0,25) uT</v>
      </c>
      <c r="BF434" s="78" t="str">
        <f t="shared" si="153"/>
        <v/>
      </c>
      <c r="BG434" s="78" t="str">
        <f t="shared" si="154"/>
        <v>Tipo 1 (≤0,25) uT</v>
      </c>
      <c r="BH434" s="78" t="str">
        <f t="shared" si="155"/>
        <v>Tipo 1 (≤0,25) uT</v>
      </c>
    </row>
    <row r="435" spans="1:60" x14ac:dyDescent="0.2">
      <c r="A435" s="31">
        <v>46307</v>
      </c>
      <c r="B435" s="80">
        <v>0.39583333333333331</v>
      </c>
      <c r="C435" s="57">
        <v>0</v>
      </c>
      <c r="D435" s="57">
        <v>1020</v>
      </c>
      <c r="E435" s="57">
        <v>242</v>
      </c>
      <c r="F435" s="57">
        <v>1271</v>
      </c>
      <c r="G435" s="85" t="s">
        <v>78</v>
      </c>
      <c r="H435" s="63">
        <v>9.5</v>
      </c>
      <c r="I435" s="57">
        <v>33</v>
      </c>
      <c r="J435" s="57">
        <v>90</v>
      </c>
      <c r="K435" s="57">
        <v>90</v>
      </c>
      <c r="L435" s="57">
        <v>90</v>
      </c>
      <c r="M435" s="57">
        <v>26</v>
      </c>
      <c r="N435" s="63">
        <v>6.4</v>
      </c>
      <c r="O435" s="36">
        <v>1.1100000000000001</v>
      </c>
      <c r="P435" s="57">
        <v>5</v>
      </c>
      <c r="Q435" s="63">
        <v>7.4</v>
      </c>
      <c r="R435" s="36">
        <v>0.11</v>
      </c>
      <c r="S435" s="36">
        <v>22.36</v>
      </c>
      <c r="T435" s="36">
        <v>0.88</v>
      </c>
      <c r="U435" s="36">
        <v>0.7</v>
      </c>
      <c r="V435" s="42">
        <f t="shared" si="156"/>
        <v>1262.5266666666666</v>
      </c>
      <c r="W435" s="42">
        <f t="shared" si="157"/>
        <v>1674.2890735999999</v>
      </c>
      <c r="X435" s="42">
        <f t="shared" si="158"/>
        <v>1.3261415523368483</v>
      </c>
      <c r="Y435" s="57">
        <v>1</v>
      </c>
      <c r="Z435" s="57">
        <v>3</v>
      </c>
      <c r="AA435" s="63">
        <v>6.2</v>
      </c>
      <c r="AB435" s="57">
        <v>22</v>
      </c>
      <c r="AC435" s="63">
        <v>6.2</v>
      </c>
      <c r="AD435" s="63">
        <v>5.6</v>
      </c>
      <c r="AE435" s="36">
        <v>0.12</v>
      </c>
      <c r="AF435" s="36"/>
      <c r="AG435" s="42">
        <f t="shared" si="140"/>
        <v>1893.79</v>
      </c>
      <c r="AH435" s="42">
        <f t="shared" si="159"/>
        <v>2006.8787570000002</v>
      </c>
      <c r="AI435" s="42">
        <f t="shared" si="160"/>
        <v>1.059715574060482</v>
      </c>
      <c r="AJ435" s="57">
        <v>1</v>
      </c>
      <c r="AK435" s="57">
        <v>2</v>
      </c>
      <c r="AL435" s="63">
        <v>6.47</v>
      </c>
      <c r="AM435" s="57">
        <v>25</v>
      </c>
      <c r="AN435" s="63">
        <v>6.1</v>
      </c>
      <c r="AO435" s="63">
        <v>5.4</v>
      </c>
      <c r="AP435" s="36">
        <v>0.1</v>
      </c>
      <c r="AQ435" s="36">
        <v>0.17</v>
      </c>
      <c r="AR435" s="73">
        <f t="shared" si="141"/>
        <v>1262</v>
      </c>
      <c r="AS435" s="75">
        <f t="shared" si="142"/>
        <v>0</v>
      </c>
      <c r="AT435" s="75">
        <f t="shared" si="143"/>
        <v>0.80824088748019018</v>
      </c>
      <c r="AU435" s="75">
        <f t="shared" si="144"/>
        <v>0.19175911251980982</v>
      </c>
      <c r="AV435" s="26">
        <f t="shared" si="145"/>
        <v>0.1038552321007081</v>
      </c>
      <c r="AW435" s="26">
        <f t="shared" si="146"/>
        <v>7.8678206136900075E-2</v>
      </c>
      <c r="AX435" s="26">
        <f t="shared" si="163"/>
        <v>0.84684684684684686</v>
      </c>
      <c r="AY435" s="24" t="str">
        <f t="shared" si="164"/>
        <v/>
      </c>
      <c r="AZ435" s="77" t="str">
        <f t="shared" si="147"/>
        <v>5,0 ≤ Alc. Bruta &lt; 7,5 mg/L</v>
      </c>
      <c r="BA435" s="77" t="str">
        <f t="shared" si="148"/>
        <v>5 ≤ Cor &lt; 10 uC</v>
      </c>
      <c r="BB435" s="78" t="str">
        <f t="shared" si="149"/>
        <v>Turbidez &lt; 2,5 uT</v>
      </c>
      <c r="BC435" s="79" t="str">
        <f t="shared" si="150"/>
        <v>SM &gt; BNN &gt; TOR</v>
      </c>
      <c r="BD435" s="78" t="str">
        <f t="shared" si="151"/>
        <v>Tipo 1 (≤0,25) uT</v>
      </c>
      <c r="BE435" s="78" t="str">
        <f t="shared" si="152"/>
        <v>Tipo 1 (≤0,25) uT</v>
      </c>
      <c r="BF435" s="78" t="str">
        <f t="shared" si="153"/>
        <v/>
      </c>
      <c r="BG435" s="78" t="str">
        <f t="shared" si="154"/>
        <v>Tipo 1 (≤0,25) uT</v>
      </c>
      <c r="BH435" s="78" t="str">
        <f t="shared" si="155"/>
        <v>Tipo 1 (≤0,25) uT</v>
      </c>
    </row>
    <row r="436" spans="1:60" x14ac:dyDescent="0.2">
      <c r="A436" s="31">
        <v>46307</v>
      </c>
      <c r="B436" s="80">
        <v>0.47916666666666669</v>
      </c>
      <c r="C436" s="57">
        <v>0</v>
      </c>
      <c r="D436" s="57">
        <v>1634</v>
      </c>
      <c r="E436" s="57">
        <v>209</v>
      </c>
      <c r="F436" s="57">
        <v>1747</v>
      </c>
      <c r="G436" s="85" t="s">
        <v>78</v>
      </c>
      <c r="H436" s="63">
        <v>9.5</v>
      </c>
      <c r="I436" s="57">
        <v>33</v>
      </c>
      <c r="J436" s="57">
        <v>90</v>
      </c>
      <c r="K436" s="57">
        <v>90</v>
      </c>
      <c r="L436" s="57">
        <v>90</v>
      </c>
      <c r="M436" s="57">
        <v>26.4</v>
      </c>
      <c r="N436" s="63">
        <v>6.5</v>
      </c>
      <c r="O436" s="36">
        <v>1.03</v>
      </c>
      <c r="P436" s="57">
        <v>6</v>
      </c>
      <c r="Q436" s="63">
        <v>7.1</v>
      </c>
      <c r="R436" s="36">
        <v>0.11</v>
      </c>
      <c r="S436" s="36">
        <v>22.36</v>
      </c>
      <c r="T436" s="36">
        <v>0.88</v>
      </c>
      <c r="U436" s="36">
        <v>0.7</v>
      </c>
      <c r="V436" s="42">
        <f t="shared" si="156"/>
        <v>1284.0450000000001</v>
      </c>
      <c r="W436" s="42">
        <f t="shared" si="157"/>
        <v>1674.2890735999999</v>
      </c>
      <c r="X436" s="42">
        <f t="shared" si="158"/>
        <v>1.3039177549073435</v>
      </c>
      <c r="Y436" s="57">
        <v>2</v>
      </c>
      <c r="Z436" s="57">
        <v>4</v>
      </c>
      <c r="AA436" s="63">
        <v>6.2</v>
      </c>
      <c r="AB436" s="57">
        <v>22</v>
      </c>
      <c r="AC436" s="63">
        <v>6.3</v>
      </c>
      <c r="AD436" s="63">
        <v>5.6</v>
      </c>
      <c r="AE436" s="36">
        <v>0.16</v>
      </c>
      <c r="AF436" s="36"/>
      <c r="AG436" s="42">
        <f t="shared" si="140"/>
        <v>2568.09</v>
      </c>
      <c r="AH436" s="42">
        <f t="shared" si="159"/>
        <v>2018.46515</v>
      </c>
      <c r="AI436" s="42">
        <f t="shared" si="160"/>
        <v>0.78597913235128047</v>
      </c>
      <c r="AJ436" s="57">
        <v>2</v>
      </c>
      <c r="AK436" s="57">
        <v>2</v>
      </c>
      <c r="AL436" s="63">
        <v>6.5</v>
      </c>
      <c r="AM436" s="57">
        <v>25</v>
      </c>
      <c r="AN436" s="63">
        <v>6.3</v>
      </c>
      <c r="AO436" s="63">
        <v>6.2</v>
      </c>
      <c r="AP436" s="36">
        <v>0.15</v>
      </c>
      <c r="AQ436" s="36">
        <v>0.16</v>
      </c>
      <c r="AR436" s="73">
        <f t="shared" si="141"/>
        <v>1843</v>
      </c>
      <c r="AS436" s="75">
        <f t="shared" si="142"/>
        <v>0</v>
      </c>
      <c r="AT436" s="75">
        <f t="shared" si="143"/>
        <v>0.88659793814432986</v>
      </c>
      <c r="AU436" s="75">
        <f t="shared" si="144"/>
        <v>0.1134020618556701</v>
      </c>
      <c r="AV436" s="26">
        <f t="shared" si="145"/>
        <v>0.10074413279908415</v>
      </c>
      <c r="AW436" s="26">
        <f t="shared" si="146"/>
        <v>5.7240984544934176E-2</v>
      </c>
      <c r="AX436" s="26">
        <f t="shared" si="163"/>
        <v>0.84466019417475735</v>
      </c>
      <c r="AY436" s="24" t="str">
        <f t="shared" si="164"/>
        <v/>
      </c>
      <c r="AZ436" s="77" t="str">
        <f t="shared" si="147"/>
        <v>5,0 ≤ Alc. Bruta &lt; 7,5 mg/L</v>
      </c>
      <c r="BA436" s="77" t="str">
        <f t="shared" si="148"/>
        <v>5 ≤ Cor &lt; 10 uC</v>
      </c>
      <c r="BB436" s="78" t="str">
        <f t="shared" si="149"/>
        <v>Turbidez &lt; 2,5 uT</v>
      </c>
      <c r="BC436" s="79" t="str">
        <f t="shared" si="150"/>
        <v>SM &gt; BNN &gt; TOR</v>
      </c>
      <c r="BD436" s="78" t="str">
        <f t="shared" si="151"/>
        <v>Tipo 1 (≤0,25) uT</v>
      </c>
      <c r="BE436" s="78" t="str">
        <f t="shared" si="152"/>
        <v>Tipo 1 (≤0,25) uT</v>
      </c>
      <c r="BF436" s="78" t="str">
        <f t="shared" si="153"/>
        <v/>
      </c>
      <c r="BG436" s="78" t="str">
        <f t="shared" si="154"/>
        <v>Tipo 1 (≤0,25) uT</v>
      </c>
      <c r="BH436" s="78" t="str">
        <f t="shared" si="155"/>
        <v>Tipo 1 (≤0,25) uT</v>
      </c>
    </row>
    <row r="437" spans="1:60" x14ac:dyDescent="0.2">
      <c r="A437" s="31">
        <v>46307</v>
      </c>
      <c r="B437" s="80">
        <v>0.64583333333333337</v>
      </c>
      <c r="C437" s="57">
        <v>0</v>
      </c>
      <c r="D437" s="57">
        <v>1630</v>
      </c>
      <c r="E437" s="57">
        <v>210</v>
      </c>
      <c r="F437" s="57">
        <v>1771</v>
      </c>
      <c r="G437" s="85" t="s">
        <v>78</v>
      </c>
      <c r="H437" s="63">
        <v>9.5</v>
      </c>
      <c r="I437" s="57">
        <v>33</v>
      </c>
      <c r="J437" s="57">
        <v>90</v>
      </c>
      <c r="K437" s="57">
        <v>90</v>
      </c>
      <c r="L437" s="57">
        <v>90</v>
      </c>
      <c r="M437" s="57">
        <v>26.6</v>
      </c>
      <c r="N437" s="63">
        <v>6.4</v>
      </c>
      <c r="O437" s="36">
        <v>1.07</v>
      </c>
      <c r="P437" s="57">
        <v>7</v>
      </c>
      <c r="Q437" s="63">
        <v>6.9</v>
      </c>
      <c r="R437" s="36">
        <v>0.12</v>
      </c>
      <c r="S437" s="36">
        <v>22.36</v>
      </c>
      <c r="T437" s="36">
        <v>0.88</v>
      </c>
      <c r="U437" s="36">
        <v>0.7</v>
      </c>
      <c r="V437" s="42">
        <f t="shared" si="156"/>
        <v>1310.54</v>
      </c>
      <c r="W437" s="42">
        <f t="shared" si="157"/>
        <v>1640.3023207999997</v>
      </c>
      <c r="X437" s="42">
        <f t="shared" si="158"/>
        <v>1.2516232398858484</v>
      </c>
      <c r="Y437" s="57">
        <v>2</v>
      </c>
      <c r="Z437" s="57">
        <v>4</v>
      </c>
      <c r="AA437" s="63">
        <v>6.1</v>
      </c>
      <c r="AB437" s="57">
        <v>22</v>
      </c>
      <c r="AC437" s="63">
        <v>6.2</v>
      </c>
      <c r="AD437" s="63">
        <v>3.8</v>
      </c>
      <c r="AE437" s="36">
        <v>0.12</v>
      </c>
      <c r="AF437" s="36"/>
      <c r="AG437" s="42">
        <f t="shared" si="140"/>
        <v>2621.08</v>
      </c>
      <c r="AH437" s="42">
        <f t="shared" si="159"/>
        <v>1979.8438399999998</v>
      </c>
      <c r="AI437" s="42">
        <f t="shared" si="160"/>
        <v>0.75535422039769862</v>
      </c>
      <c r="AJ437" s="57">
        <v>2</v>
      </c>
      <c r="AK437" s="57">
        <v>2</v>
      </c>
      <c r="AL437" s="63">
        <v>6.4</v>
      </c>
      <c r="AM437" s="57">
        <v>25</v>
      </c>
      <c r="AN437" s="63">
        <v>6.2</v>
      </c>
      <c r="AO437" s="63">
        <v>4.9000000000000004</v>
      </c>
      <c r="AP437" s="36">
        <v>0.1</v>
      </c>
      <c r="AQ437" s="36">
        <v>0.17</v>
      </c>
      <c r="AR437" s="73">
        <f t="shared" si="141"/>
        <v>1840</v>
      </c>
      <c r="AS437" s="75">
        <f t="shared" si="142"/>
        <v>0</v>
      </c>
      <c r="AT437" s="75">
        <f t="shared" si="143"/>
        <v>0.88586956521739135</v>
      </c>
      <c r="AU437" s="75">
        <f t="shared" si="144"/>
        <v>0.11413043478260869</v>
      </c>
      <c r="AV437" s="26">
        <f t="shared" si="145"/>
        <v>9.9378881987577633E-2</v>
      </c>
      <c r="AW437" s="26">
        <f t="shared" si="146"/>
        <v>5.6465273856578208E-2</v>
      </c>
      <c r="AX437" s="26">
        <f t="shared" si="163"/>
        <v>0.84112149532710279</v>
      </c>
      <c r="AY437" s="24" t="str">
        <f t="shared" si="164"/>
        <v/>
      </c>
      <c r="AZ437" s="77" t="str">
        <f t="shared" si="147"/>
        <v>5,0 ≤ Alc. Bruta &lt; 7,5 mg/L</v>
      </c>
      <c r="BA437" s="77" t="str">
        <f t="shared" si="148"/>
        <v>5 ≤ Cor &lt; 10 uC</v>
      </c>
      <c r="BB437" s="78" t="str">
        <f t="shared" si="149"/>
        <v>Turbidez &lt; 2,5 uT</v>
      </c>
      <c r="BC437" s="79" t="str">
        <f t="shared" si="150"/>
        <v>SM &gt; BNN &gt; TOR</v>
      </c>
      <c r="BD437" s="78" t="str">
        <f t="shared" si="151"/>
        <v>Tipo 1 (≤0,25) uT</v>
      </c>
      <c r="BE437" s="78" t="str">
        <f t="shared" si="152"/>
        <v>Tipo 1 (≤0,25) uT</v>
      </c>
      <c r="BF437" s="78" t="str">
        <f t="shared" si="153"/>
        <v/>
      </c>
      <c r="BG437" s="78" t="str">
        <f t="shared" si="154"/>
        <v>Tipo 1 (≤0,25) uT</v>
      </c>
      <c r="BH437" s="78" t="str">
        <f t="shared" si="155"/>
        <v>Tipo 1 (≤0,25) uT</v>
      </c>
    </row>
    <row r="438" spans="1:60" x14ac:dyDescent="0.2">
      <c r="A438" s="31">
        <v>46307</v>
      </c>
      <c r="B438" s="80">
        <v>0.72916666666666663</v>
      </c>
      <c r="C438" s="57">
        <v>0</v>
      </c>
      <c r="D438" s="57">
        <v>1642</v>
      </c>
      <c r="E438" s="57">
        <v>210</v>
      </c>
      <c r="F438" s="57">
        <v>1760</v>
      </c>
      <c r="G438" s="85" t="s">
        <v>78</v>
      </c>
      <c r="H438" s="63">
        <v>9.5</v>
      </c>
      <c r="I438" s="57">
        <v>33</v>
      </c>
      <c r="J438" s="57">
        <v>90</v>
      </c>
      <c r="K438" s="57">
        <v>90</v>
      </c>
      <c r="L438" s="57">
        <v>90</v>
      </c>
      <c r="M438" s="57">
        <v>26.9</v>
      </c>
      <c r="N438" s="63">
        <v>6.5</v>
      </c>
      <c r="O438" s="36">
        <v>1.1000000000000001</v>
      </c>
      <c r="P438" s="57">
        <v>8</v>
      </c>
      <c r="Q438" s="63">
        <v>6.8</v>
      </c>
      <c r="R438" s="36">
        <v>0.12</v>
      </c>
      <c r="S438" s="36">
        <v>22.36</v>
      </c>
      <c r="T438" s="36">
        <v>0.88</v>
      </c>
      <c r="U438" s="36">
        <v>0.7</v>
      </c>
      <c r="V438" s="42">
        <f t="shared" si="156"/>
        <v>1309</v>
      </c>
      <c r="W438" s="42">
        <f t="shared" si="157"/>
        <v>1640.3023207999997</v>
      </c>
      <c r="X438" s="42">
        <f t="shared" si="158"/>
        <v>1.253095737815126</v>
      </c>
      <c r="Y438" s="57">
        <v>2</v>
      </c>
      <c r="Z438" s="57">
        <v>4</v>
      </c>
      <c r="AA438" s="63">
        <v>6.1</v>
      </c>
      <c r="AB438" s="57">
        <v>22</v>
      </c>
      <c r="AC438" s="63">
        <v>6.2</v>
      </c>
      <c r="AD438" s="63">
        <v>4.2</v>
      </c>
      <c r="AE438" s="36">
        <v>0.14000000000000001</v>
      </c>
      <c r="AF438" s="36"/>
      <c r="AG438" s="42">
        <f t="shared" si="140"/>
        <v>2618</v>
      </c>
      <c r="AH438" s="42">
        <f t="shared" si="159"/>
        <v>2018.46515</v>
      </c>
      <c r="AI438" s="42">
        <f t="shared" si="160"/>
        <v>0.77099509167303282</v>
      </c>
      <c r="AJ438" s="57">
        <v>2</v>
      </c>
      <c r="AK438" s="57">
        <v>2</v>
      </c>
      <c r="AL438" s="63">
        <v>6.5</v>
      </c>
      <c r="AM438" s="57">
        <v>25</v>
      </c>
      <c r="AN438" s="63">
        <v>6.2</v>
      </c>
      <c r="AO438" s="63">
        <v>4.5999999999999996</v>
      </c>
      <c r="AP438" s="36">
        <v>0.18</v>
      </c>
      <c r="AQ438" s="36">
        <v>0.16</v>
      </c>
      <c r="AR438" s="73">
        <f t="shared" si="141"/>
        <v>1852</v>
      </c>
      <c r="AS438" s="75">
        <f t="shared" si="142"/>
        <v>0</v>
      </c>
      <c r="AT438" s="75">
        <f t="shared" si="143"/>
        <v>0.88660907127429811</v>
      </c>
      <c r="AU438" s="75">
        <f t="shared" si="144"/>
        <v>0.11339092872570194</v>
      </c>
      <c r="AV438" s="26">
        <f t="shared" si="145"/>
        <v>0.1</v>
      </c>
      <c r="AW438" s="26">
        <f t="shared" si="146"/>
        <v>5.6818181818181816E-2</v>
      </c>
      <c r="AX438" s="26">
        <f t="shared" si="163"/>
        <v>0.8545454545454545</v>
      </c>
      <c r="AY438" s="24" t="str">
        <f t="shared" si="164"/>
        <v/>
      </c>
      <c r="AZ438" s="77" t="str">
        <f t="shared" si="147"/>
        <v>5,0 ≤ Alc. Bruta &lt; 7,5 mg/L</v>
      </c>
      <c r="BA438" s="77" t="str">
        <f t="shared" si="148"/>
        <v>5 ≤ Cor &lt; 10 uC</v>
      </c>
      <c r="BB438" s="78" t="str">
        <f t="shared" si="149"/>
        <v>Turbidez &lt; 2,5 uT</v>
      </c>
      <c r="BC438" s="79" t="str">
        <f t="shared" si="150"/>
        <v>SM &gt; BNN &gt; TOR</v>
      </c>
      <c r="BD438" s="78" t="str">
        <f t="shared" si="151"/>
        <v>Tipo 1 (≤0,25) uT</v>
      </c>
      <c r="BE438" s="78" t="str">
        <f t="shared" si="152"/>
        <v>Tipo 1 (≤0,25) uT</v>
      </c>
      <c r="BF438" s="78" t="str">
        <f t="shared" si="153"/>
        <v/>
      </c>
      <c r="BG438" s="78" t="str">
        <f t="shared" si="154"/>
        <v>Tipo 1 (≤0,25) uT</v>
      </c>
      <c r="BH438" s="78" t="str">
        <f t="shared" si="155"/>
        <v>Tipo 1 (≤0,25) uT</v>
      </c>
    </row>
    <row r="439" spans="1:60" x14ac:dyDescent="0.2">
      <c r="A439" s="31">
        <v>46307</v>
      </c>
      <c r="B439" s="80">
        <v>0.8125</v>
      </c>
      <c r="C439" s="57">
        <v>0</v>
      </c>
      <c r="D439" s="57">
        <v>1570</v>
      </c>
      <c r="E439" s="57">
        <v>209</v>
      </c>
      <c r="F439" s="57">
        <v>1770</v>
      </c>
      <c r="G439" s="85" t="s">
        <v>78</v>
      </c>
      <c r="H439" s="63">
        <v>9.5</v>
      </c>
      <c r="I439" s="57">
        <v>33</v>
      </c>
      <c r="J439" s="57">
        <v>90</v>
      </c>
      <c r="K439" s="57">
        <v>90</v>
      </c>
      <c r="L439" s="57">
        <v>90</v>
      </c>
      <c r="M439" s="57">
        <v>26</v>
      </c>
      <c r="N439" s="63">
        <v>6.6</v>
      </c>
      <c r="O439" s="36">
        <v>1</v>
      </c>
      <c r="P439" s="57">
        <v>8</v>
      </c>
      <c r="Q439" s="63">
        <v>7.4</v>
      </c>
      <c r="R439" s="36">
        <v>0.13</v>
      </c>
      <c r="S439" s="36">
        <v>22.36</v>
      </c>
      <c r="T439" s="36">
        <v>0.88</v>
      </c>
      <c r="U439" s="36">
        <v>0.7</v>
      </c>
      <c r="V439" s="42">
        <f t="shared" si="156"/>
        <v>1294.3125</v>
      </c>
      <c r="W439" s="42">
        <f t="shared" si="157"/>
        <v>1702.49467076</v>
      </c>
      <c r="X439" s="42">
        <f t="shared" si="158"/>
        <v>1.3153660115003138</v>
      </c>
      <c r="Y439" s="57">
        <v>2</v>
      </c>
      <c r="Z439" s="57">
        <v>4</v>
      </c>
      <c r="AA439" s="63">
        <v>6.15</v>
      </c>
      <c r="AB439" s="57">
        <v>22.6</v>
      </c>
      <c r="AC439" s="63">
        <v>6.3</v>
      </c>
      <c r="AD439" s="63">
        <v>5.0999999999999996</v>
      </c>
      <c r="AE439" s="36">
        <v>0.14000000000000001</v>
      </c>
      <c r="AF439" s="36"/>
      <c r="AG439" s="42">
        <f t="shared" si="140"/>
        <v>1725.75</v>
      </c>
      <c r="AH439" s="42">
        <f t="shared" si="159"/>
        <v>1922.8959609599995</v>
      </c>
      <c r="AI439" s="42">
        <f t="shared" si="160"/>
        <v>1.1142378449717512</v>
      </c>
      <c r="AJ439" s="57">
        <v>2</v>
      </c>
      <c r="AK439" s="57">
        <v>3</v>
      </c>
      <c r="AL439" s="63">
        <v>6.46</v>
      </c>
      <c r="AM439" s="57">
        <v>24</v>
      </c>
      <c r="AN439" s="63">
        <v>6.3</v>
      </c>
      <c r="AO439" s="63">
        <v>5.3</v>
      </c>
      <c r="AP439" s="36">
        <v>0.17</v>
      </c>
      <c r="AQ439" s="36">
        <v>0.17</v>
      </c>
      <c r="AR439" s="73">
        <f t="shared" si="141"/>
        <v>1779</v>
      </c>
      <c r="AS439" s="75">
        <f t="shared" si="142"/>
        <v>0</v>
      </c>
      <c r="AT439" s="75">
        <f t="shared" si="143"/>
        <v>0.88251826869027539</v>
      </c>
      <c r="AU439" s="75">
        <f t="shared" si="144"/>
        <v>0.11748173130972456</v>
      </c>
      <c r="AV439" s="26">
        <f t="shared" si="145"/>
        <v>0.10214689265536724</v>
      </c>
      <c r="AW439" s="26">
        <f t="shared" si="146"/>
        <v>8.1355932203389825E-2</v>
      </c>
      <c r="AX439" s="26">
        <f t="shared" si="163"/>
        <v>0.83</v>
      </c>
      <c r="AY439" s="24" t="str">
        <f t="shared" si="164"/>
        <v/>
      </c>
      <c r="AZ439" s="77" t="str">
        <f t="shared" si="147"/>
        <v>5,0 ≤ Alc. Bruta &lt; 7,5 mg/L</v>
      </c>
      <c r="BA439" s="77" t="str">
        <f t="shared" si="148"/>
        <v>5 ≤ Cor &lt; 10 uC</v>
      </c>
      <c r="BB439" s="78" t="str">
        <f t="shared" si="149"/>
        <v>Turbidez &lt; 2,5 uT</v>
      </c>
      <c r="BC439" s="79" t="str">
        <f t="shared" si="150"/>
        <v>SM &gt; BNN &gt; TOR</v>
      </c>
      <c r="BD439" s="78" t="str">
        <f t="shared" si="151"/>
        <v>Tipo 1 (≤0,25) uT</v>
      </c>
      <c r="BE439" s="78" t="str">
        <f t="shared" si="152"/>
        <v>Tipo 1 (≤0,25) uT</v>
      </c>
      <c r="BF439" s="78" t="str">
        <f t="shared" si="153"/>
        <v/>
      </c>
      <c r="BG439" s="78" t="str">
        <f t="shared" si="154"/>
        <v>Tipo 1 (≤0,25) uT</v>
      </c>
      <c r="BH439" s="78" t="str">
        <f t="shared" si="155"/>
        <v>Tipo 1 (≤0,25) uT</v>
      </c>
    </row>
    <row r="440" spans="1:60" x14ac:dyDescent="0.2">
      <c r="A440" s="31">
        <v>46307</v>
      </c>
      <c r="B440" s="80">
        <v>0.89583333333333337</v>
      </c>
      <c r="C440" s="57">
        <v>0</v>
      </c>
      <c r="D440" s="57">
        <v>1574</v>
      </c>
      <c r="E440" s="57">
        <v>209</v>
      </c>
      <c r="F440" s="57">
        <v>1739</v>
      </c>
      <c r="G440" s="85" t="s">
        <v>78</v>
      </c>
      <c r="H440" s="63">
        <v>9.5</v>
      </c>
      <c r="I440" s="57">
        <v>33</v>
      </c>
      <c r="J440" s="57">
        <v>90</v>
      </c>
      <c r="K440" s="57">
        <v>90</v>
      </c>
      <c r="L440" s="57">
        <v>90</v>
      </c>
      <c r="M440" s="57">
        <v>25.7</v>
      </c>
      <c r="N440" s="63">
        <v>6.6</v>
      </c>
      <c r="O440" s="36">
        <v>1.1299999999999999</v>
      </c>
      <c r="P440" s="57">
        <v>8</v>
      </c>
      <c r="Q440" s="63">
        <v>7</v>
      </c>
      <c r="R440" s="36">
        <v>0.14000000000000001</v>
      </c>
      <c r="S440" s="36">
        <v>22.36</v>
      </c>
      <c r="T440" s="36">
        <v>0.88</v>
      </c>
      <c r="U440" s="36">
        <v>0.7</v>
      </c>
      <c r="V440" s="42">
        <f t="shared" si="156"/>
        <v>1299.9025000000001</v>
      </c>
      <c r="W440" s="42">
        <f t="shared" si="157"/>
        <v>1724.0550928119999</v>
      </c>
      <c r="X440" s="42">
        <f t="shared" si="158"/>
        <v>1.3262956974173061</v>
      </c>
      <c r="Y440" s="57">
        <v>2</v>
      </c>
      <c r="Z440" s="57">
        <v>4</v>
      </c>
      <c r="AA440" s="63">
        <v>6.19</v>
      </c>
      <c r="AB440" s="57">
        <v>22.7</v>
      </c>
      <c r="AC440" s="63">
        <v>6.2</v>
      </c>
      <c r="AD440" s="63">
        <v>5.0999999999999996</v>
      </c>
      <c r="AE440" s="36">
        <v>0.15</v>
      </c>
      <c r="AF440" s="36"/>
      <c r="AG440" s="42">
        <f t="shared" si="140"/>
        <v>1733.2033333333334</v>
      </c>
      <c r="AH440" s="42">
        <f t="shared" si="159"/>
        <v>1934.0188982399998</v>
      </c>
      <c r="AI440" s="42">
        <f t="shared" si="160"/>
        <v>1.1158638233867539</v>
      </c>
      <c r="AJ440" s="57">
        <v>2</v>
      </c>
      <c r="AK440" s="57">
        <v>3</v>
      </c>
      <c r="AL440" s="63">
        <v>6.49</v>
      </c>
      <c r="AM440" s="57">
        <v>24</v>
      </c>
      <c r="AN440" s="63">
        <v>6.4</v>
      </c>
      <c r="AO440" s="63">
        <v>5.0999999999999996</v>
      </c>
      <c r="AP440" s="36">
        <v>0.19</v>
      </c>
      <c r="AQ440" s="36">
        <v>0.16</v>
      </c>
      <c r="AR440" s="73">
        <f t="shared" si="141"/>
        <v>1783</v>
      </c>
      <c r="AS440" s="75">
        <f t="shared" si="142"/>
        <v>0</v>
      </c>
      <c r="AT440" s="75">
        <f t="shared" si="143"/>
        <v>0.88278182837913632</v>
      </c>
      <c r="AU440" s="75">
        <f t="shared" si="144"/>
        <v>0.11721817162086372</v>
      </c>
      <c r="AV440" s="26">
        <f t="shared" si="145"/>
        <v>0.10442783208740655</v>
      </c>
      <c r="AW440" s="26">
        <f t="shared" si="146"/>
        <v>8.2806210465784943E-2</v>
      </c>
      <c r="AX440" s="26">
        <f t="shared" si="163"/>
        <v>0.8584070796460177</v>
      </c>
      <c r="AY440" s="24" t="str">
        <f t="shared" si="164"/>
        <v/>
      </c>
      <c r="AZ440" s="77" t="str">
        <f t="shared" si="147"/>
        <v>5,0 ≤ Alc. Bruta &lt; 7,5 mg/L</v>
      </c>
      <c r="BA440" s="77" t="str">
        <f t="shared" si="148"/>
        <v>5 ≤ Cor &lt; 10 uC</v>
      </c>
      <c r="BB440" s="78" t="str">
        <f t="shared" si="149"/>
        <v>Turbidez &lt; 2,5 uT</v>
      </c>
      <c r="BC440" s="79" t="str">
        <f t="shared" si="150"/>
        <v>SM &gt; BNN &gt; TOR</v>
      </c>
      <c r="BD440" s="78" t="str">
        <f t="shared" si="151"/>
        <v>Tipo 1 (≤0,25) uT</v>
      </c>
      <c r="BE440" s="78" t="str">
        <f t="shared" si="152"/>
        <v>Tipo 1 (≤0,25) uT</v>
      </c>
      <c r="BF440" s="78" t="str">
        <f t="shared" si="153"/>
        <v/>
      </c>
      <c r="BG440" s="78" t="str">
        <f t="shared" si="154"/>
        <v>Tipo 1 (≤0,25) uT</v>
      </c>
      <c r="BH440" s="78" t="str">
        <f t="shared" si="155"/>
        <v>Tipo 1 (≤0,25) uT</v>
      </c>
    </row>
    <row r="441" spans="1:60" x14ac:dyDescent="0.2">
      <c r="A441" s="31">
        <v>46307</v>
      </c>
      <c r="B441" s="80">
        <v>0.97916666666666663</v>
      </c>
      <c r="C441" s="57">
        <v>0</v>
      </c>
      <c r="D441" s="57">
        <v>1585</v>
      </c>
      <c r="E441" s="57">
        <v>209</v>
      </c>
      <c r="F441" s="57">
        <v>1850</v>
      </c>
      <c r="G441" s="85" t="s">
        <v>78</v>
      </c>
      <c r="H441" s="63">
        <v>9.5</v>
      </c>
      <c r="I441" s="57">
        <v>-11.68</v>
      </c>
      <c r="J441" s="57">
        <v>90</v>
      </c>
      <c r="K441" s="57">
        <v>90</v>
      </c>
      <c r="L441" s="57">
        <v>90</v>
      </c>
      <c r="M441" s="57">
        <v>25.8</v>
      </c>
      <c r="N441" s="63">
        <v>6.6</v>
      </c>
      <c r="O441" s="36">
        <v>1.01</v>
      </c>
      <c r="P441" s="57">
        <v>8</v>
      </c>
      <c r="Q441" s="63">
        <v>7.1</v>
      </c>
      <c r="R441" s="36">
        <v>0.12</v>
      </c>
      <c r="S441" s="36">
        <v>22.36</v>
      </c>
      <c r="T441" s="36">
        <v>0.88</v>
      </c>
      <c r="U441" s="36">
        <v>0.7</v>
      </c>
      <c r="V441" s="42">
        <f t="shared" si="156"/>
        <v>1355.125</v>
      </c>
      <c r="W441" s="42">
        <f t="shared" si="157"/>
        <v>1716.4601364560001</v>
      </c>
      <c r="X441" s="42">
        <f t="shared" si="158"/>
        <v>1.2666433992849369</v>
      </c>
      <c r="Y441" s="57">
        <v>2</v>
      </c>
      <c r="Z441" s="57">
        <v>4</v>
      </c>
      <c r="AA441" s="63">
        <v>6.19</v>
      </c>
      <c r="AB441" s="57">
        <v>22.6</v>
      </c>
      <c r="AC441" s="63">
        <v>6.2</v>
      </c>
      <c r="AD441" s="63">
        <v>5.2</v>
      </c>
      <c r="AE441" s="36">
        <v>0.14000000000000001</v>
      </c>
      <c r="AF441" s="36"/>
      <c r="AG441" s="42">
        <f t="shared" si="140"/>
        <v>1806.8333333333333</v>
      </c>
      <c r="AH441" s="42">
        <f t="shared" si="159"/>
        <v>1926.6036067200002</v>
      </c>
      <c r="AI441" s="42">
        <f t="shared" si="160"/>
        <v>1.0662873941813487</v>
      </c>
      <c r="AJ441" s="57">
        <v>2</v>
      </c>
      <c r="AK441" s="57">
        <v>3</v>
      </c>
      <c r="AL441" s="63">
        <v>6.47</v>
      </c>
      <c r="AM441" s="57">
        <v>24</v>
      </c>
      <c r="AN441" s="63">
        <v>6.2</v>
      </c>
      <c r="AO441" s="63">
        <v>5.2</v>
      </c>
      <c r="AP441" s="36">
        <v>0.18</v>
      </c>
      <c r="AQ441" s="36">
        <v>0.19</v>
      </c>
      <c r="AR441" s="73">
        <f t="shared" si="141"/>
        <v>1794</v>
      </c>
      <c r="AS441" s="75">
        <f t="shared" si="142"/>
        <v>0</v>
      </c>
      <c r="AT441" s="75">
        <f t="shared" si="143"/>
        <v>0.8835005574136009</v>
      </c>
      <c r="AU441" s="75">
        <f t="shared" si="144"/>
        <v>0.1164994425863991</v>
      </c>
      <c r="AV441" s="26">
        <f t="shared" si="145"/>
        <v>9.7729729729729736E-2</v>
      </c>
      <c r="AW441" s="26">
        <f t="shared" si="146"/>
        <v>7.7837837837837848E-2</v>
      </c>
      <c r="AX441" s="26">
        <f t="shared" si="163"/>
        <v>0.81188118811881194</v>
      </c>
      <c r="AY441" s="24" t="str">
        <f t="shared" si="164"/>
        <v/>
      </c>
      <c r="AZ441" s="77" t="str">
        <f t="shared" si="147"/>
        <v>5,0 ≤ Alc. Bruta &lt; 7,5 mg/L</v>
      </c>
      <c r="BA441" s="77" t="str">
        <f t="shared" si="148"/>
        <v>5 ≤ Cor &lt; 10 uC</v>
      </c>
      <c r="BB441" s="78" t="str">
        <f t="shared" si="149"/>
        <v>Turbidez &lt; 2,5 uT</v>
      </c>
      <c r="BC441" s="79" t="str">
        <f t="shared" si="150"/>
        <v>SM &gt; BNN &gt; TOR</v>
      </c>
      <c r="BD441" s="78" t="str">
        <f t="shared" si="151"/>
        <v>Tipo 1 (≤0,25) uT</v>
      </c>
      <c r="BE441" s="78" t="str">
        <f t="shared" si="152"/>
        <v>Tipo 1 (≤0,25) uT</v>
      </c>
      <c r="BF441" s="78" t="str">
        <f t="shared" si="153"/>
        <v/>
      </c>
      <c r="BG441" s="78" t="str">
        <f t="shared" si="154"/>
        <v>Tipo 1 (≤0,25) uT</v>
      </c>
      <c r="BH441" s="78" t="str">
        <f t="shared" si="155"/>
        <v>Tipo 1 (≤0,25) uT</v>
      </c>
    </row>
    <row r="442" spans="1:60" x14ac:dyDescent="0.2">
      <c r="A442" s="31">
        <v>46308</v>
      </c>
      <c r="B442" s="80">
        <v>0.14583333333333334</v>
      </c>
      <c r="C442" s="57">
        <v>0</v>
      </c>
      <c r="D442" s="57">
        <v>1536</v>
      </c>
      <c r="E442" s="57">
        <v>209</v>
      </c>
      <c r="F442" s="57">
        <v>1788</v>
      </c>
      <c r="G442" s="85" t="s">
        <v>78</v>
      </c>
      <c r="H442" s="63">
        <v>9.5</v>
      </c>
      <c r="I442" s="57">
        <v>-12.68</v>
      </c>
      <c r="J442" s="57">
        <v>90</v>
      </c>
      <c r="K442" s="57">
        <v>90</v>
      </c>
      <c r="L442" s="57">
        <v>90</v>
      </c>
      <c r="M442" s="57">
        <v>25.6</v>
      </c>
      <c r="N442" s="63">
        <v>6.5</v>
      </c>
      <c r="O442" s="36">
        <v>0.97</v>
      </c>
      <c r="P442" s="57">
        <v>8</v>
      </c>
      <c r="Q442" s="63">
        <v>6.9</v>
      </c>
      <c r="R442" s="36">
        <v>0.15</v>
      </c>
      <c r="S442" s="36">
        <v>22.36</v>
      </c>
      <c r="T442" s="36">
        <v>0.88</v>
      </c>
      <c r="U442" s="36">
        <v>0.7</v>
      </c>
      <c r="V442" s="42">
        <f t="shared" si="156"/>
        <v>1300.77</v>
      </c>
      <c r="W442" s="42">
        <f t="shared" si="157"/>
        <v>1716.4601364560001</v>
      </c>
      <c r="X442" s="42">
        <f t="shared" si="158"/>
        <v>1.3195723582616452</v>
      </c>
      <c r="Y442" s="57">
        <v>2</v>
      </c>
      <c r="Z442" s="57">
        <v>4</v>
      </c>
      <c r="AA442" s="63">
        <v>6.19</v>
      </c>
      <c r="AB442" s="57">
        <v>22.6</v>
      </c>
      <c r="AC442" s="63">
        <v>6.2</v>
      </c>
      <c r="AD442" s="63">
        <v>5</v>
      </c>
      <c r="AE442" s="36">
        <v>0.13</v>
      </c>
      <c r="AF442" s="36"/>
      <c r="AG442" s="42">
        <f t="shared" si="140"/>
        <v>1734.3600000000001</v>
      </c>
      <c r="AH442" s="42">
        <f t="shared" si="159"/>
        <v>1926.6036067200002</v>
      </c>
      <c r="AI442" s="42">
        <f t="shared" si="160"/>
        <v>1.1108441192831939</v>
      </c>
      <c r="AJ442" s="57">
        <v>2</v>
      </c>
      <c r="AK442" s="57">
        <v>3</v>
      </c>
      <c r="AL442" s="63">
        <v>6.47</v>
      </c>
      <c r="AM442" s="57">
        <v>24</v>
      </c>
      <c r="AN442" s="63">
        <v>6.2</v>
      </c>
      <c r="AO442" s="63">
        <v>5.6</v>
      </c>
      <c r="AP442" s="36">
        <v>0.19</v>
      </c>
      <c r="AQ442" s="36">
        <v>0.16</v>
      </c>
      <c r="AR442" s="73">
        <f t="shared" si="141"/>
        <v>1745</v>
      </c>
      <c r="AS442" s="75">
        <f t="shared" si="142"/>
        <v>0</v>
      </c>
      <c r="AT442" s="75">
        <f t="shared" si="143"/>
        <v>0.88022922636103151</v>
      </c>
      <c r="AU442" s="75">
        <f t="shared" si="144"/>
        <v>0.11977077363896849</v>
      </c>
      <c r="AV442" s="26">
        <f t="shared" si="145"/>
        <v>0.1011185682326622</v>
      </c>
      <c r="AW442" s="26">
        <f t="shared" si="146"/>
        <v>8.0536912751677847E-2</v>
      </c>
      <c r="AX442" s="26">
        <f t="shared" si="163"/>
        <v>0.83505154639175261</v>
      </c>
      <c r="AY442" s="24" t="str">
        <f t="shared" si="164"/>
        <v/>
      </c>
      <c r="AZ442" s="77" t="str">
        <f t="shared" si="147"/>
        <v>5,0 ≤ Alc. Bruta &lt; 7,5 mg/L</v>
      </c>
      <c r="BA442" s="77" t="str">
        <f t="shared" si="148"/>
        <v>5 ≤ Cor &lt; 10 uC</v>
      </c>
      <c r="BB442" s="78" t="str">
        <f t="shared" si="149"/>
        <v>Turbidez &lt; 2,5 uT</v>
      </c>
      <c r="BC442" s="79" t="str">
        <f t="shared" si="150"/>
        <v>SM &gt; BNN &gt; TOR</v>
      </c>
      <c r="BD442" s="78" t="str">
        <f t="shared" si="151"/>
        <v>Tipo 1 (≤0,25) uT</v>
      </c>
      <c r="BE442" s="78" t="str">
        <f t="shared" si="152"/>
        <v>Tipo 1 (≤0,25) uT</v>
      </c>
      <c r="BF442" s="78" t="str">
        <f t="shared" si="153"/>
        <v/>
      </c>
      <c r="BG442" s="78" t="str">
        <f t="shared" si="154"/>
        <v>Tipo 1 (≤0,25) uT</v>
      </c>
      <c r="BH442" s="78" t="str">
        <f t="shared" si="155"/>
        <v>Tipo 1 (≤0,25) uT</v>
      </c>
    </row>
    <row r="443" spans="1:60" ht="15.75" thickBot="1" x14ac:dyDescent="0.25">
      <c r="A443" s="32">
        <v>46308</v>
      </c>
      <c r="B443" s="81">
        <v>0.22916666666666666</v>
      </c>
      <c r="C443" s="58">
        <v>0</v>
      </c>
      <c r="D443" s="58">
        <v>1510</v>
      </c>
      <c r="E443" s="58">
        <v>291</v>
      </c>
      <c r="F443" s="58">
        <v>1913</v>
      </c>
      <c r="G443" s="86" t="s">
        <v>78</v>
      </c>
      <c r="H443" s="64">
        <v>9.5</v>
      </c>
      <c r="I443" s="58">
        <v>-12.74</v>
      </c>
      <c r="J443" s="58">
        <v>90</v>
      </c>
      <c r="K443" s="58">
        <v>90</v>
      </c>
      <c r="L443" s="58">
        <v>90</v>
      </c>
      <c r="M443" s="58">
        <v>25.4</v>
      </c>
      <c r="N443" s="64">
        <v>6.4</v>
      </c>
      <c r="O443" s="37">
        <v>0.93</v>
      </c>
      <c r="P443" s="58">
        <v>8</v>
      </c>
      <c r="Q443" s="64">
        <v>7.2</v>
      </c>
      <c r="R443" s="37">
        <v>0.12</v>
      </c>
      <c r="S443" s="36">
        <v>22.36</v>
      </c>
      <c r="T443" s="36">
        <v>0.88</v>
      </c>
      <c r="U443" s="36">
        <v>0.7</v>
      </c>
      <c r="V443" s="42">
        <f t="shared" si="156"/>
        <v>1382.1425000000002</v>
      </c>
      <c r="W443" s="42">
        <f t="shared" si="157"/>
        <v>1716.4601364560001</v>
      </c>
      <c r="X443" s="42">
        <f t="shared" si="158"/>
        <v>1.2418836237623834</v>
      </c>
      <c r="Y443" s="58">
        <v>2</v>
      </c>
      <c r="Z443" s="58">
        <v>4</v>
      </c>
      <c r="AA443" s="64">
        <v>6.19</v>
      </c>
      <c r="AB443" s="58">
        <v>22.6</v>
      </c>
      <c r="AC443" s="64">
        <v>6.2</v>
      </c>
      <c r="AD443" s="64">
        <v>5.6</v>
      </c>
      <c r="AE443" s="37">
        <v>0.16</v>
      </c>
      <c r="AF443" s="37"/>
      <c r="AG443" s="42">
        <f t="shared" si="140"/>
        <v>1382.1425000000002</v>
      </c>
      <c r="AH443" s="42">
        <f t="shared" si="159"/>
        <v>1952.5113874239998</v>
      </c>
      <c r="AI443" s="42">
        <f t="shared" si="160"/>
        <v>1.4126701027021451</v>
      </c>
      <c r="AJ443" s="58">
        <v>3</v>
      </c>
      <c r="AK443" s="58">
        <v>4</v>
      </c>
      <c r="AL443" s="64">
        <v>6.37</v>
      </c>
      <c r="AM443" s="58">
        <v>24.8</v>
      </c>
      <c r="AN443" s="64">
        <v>6.2</v>
      </c>
      <c r="AO443" s="64">
        <v>5.8</v>
      </c>
      <c r="AP443" s="37">
        <v>0.2</v>
      </c>
      <c r="AQ443" s="37">
        <v>0.19</v>
      </c>
      <c r="AR443" s="73">
        <f t="shared" si="141"/>
        <v>1801</v>
      </c>
      <c r="AS443" s="75">
        <f t="shared" si="142"/>
        <v>0</v>
      </c>
      <c r="AT443" s="75">
        <f t="shared" si="143"/>
        <v>0.83842309827873407</v>
      </c>
      <c r="AU443" s="75">
        <f t="shared" si="144"/>
        <v>0.16157690172126596</v>
      </c>
      <c r="AV443" s="26">
        <f t="shared" si="145"/>
        <v>9.4511238891792998E-2</v>
      </c>
      <c r="AW443" s="26">
        <f t="shared" si="146"/>
        <v>0.10371144798745427</v>
      </c>
      <c r="AX443" s="26">
        <f t="shared" si="163"/>
        <v>0.79569892473118276</v>
      </c>
      <c r="AY443" s="24" t="str">
        <f t="shared" si="164"/>
        <v/>
      </c>
      <c r="AZ443" s="77" t="str">
        <f t="shared" si="147"/>
        <v>5,0 ≤ Alc. Bruta &lt; 7,5 mg/L</v>
      </c>
      <c r="BA443" s="77" t="str">
        <f t="shared" si="148"/>
        <v>5 ≤ Cor &lt; 10 uC</v>
      </c>
      <c r="BB443" s="78" t="str">
        <f t="shared" si="149"/>
        <v>Turbidez &lt; 2,5 uT</v>
      </c>
      <c r="BC443" s="79" t="str">
        <f t="shared" si="150"/>
        <v>SM &gt; BNN &gt; TOR</v>
      </c>
      <c r="BD443" s="78" t="str">
        <f t="shared" si="151"/>
        <v>Tipo 1 (≤0,25) uT</v>
      </c>
      <c r="BE443" s="78" t="str">
        <f t="shared" si="152"/>
        <v>Tipo 1 (≤0,25) uT</v>
      </c>
      <c r="BF443" s="78" t="str">
        <f t="shared" si="153"/>
        <v/>
      </c>
      <c r="BG443" s="78" t="str">
        <f t="shared" si="154"/>
        <v>Tipo 1 (≤0,25) uT</v>
      </c>
      <c r="BH443" s="78" t="str">
        <f t="shared" si="155"/>
        <v>Tipo 1 (≤0,25) uT</v>
      </c>
    </row>
    <row r="444" spans="1:60" x14ac:dyDescent="0.2">
      <c r="A444" s="30">
        <v>46308</v>
      </c>
      <c r="B444" s="82">
        <v>0.3125</v>
      </c>
      <c r="C444" s="59">
        <v>0</v>
      </c>
      <c r="D444" s="59">
        <v>1985</v>
      </c>
      <c r="E444" s="59">
        <v>254</v>
      </c>
      <c r="F444" s="59">
        <v>2252</v>
      </c>
      <c r="G444" s="87" t="s">
        <v>78</v>
      </c>
      <c r="H444" s="65">
        <v>9.5</v>
      </c>
      <c r="I444" s="59">
        <v>-15</v>
      </c>
      <c r="J444" s="59">
        <v>90</v>
      </c>
      <c r="K444" s="59">
        <v>90</v>
      </c>
      <c r="L444" s="59">
        <v>90</v>
      </c>
      <c r="M444" s="59">
        <v>25.3</v>
      </c>
      <c r="N444" s="65">
        <v>6.3</v>
      </c>
      <c r="O444" s="38">
        <v>1.06</v>
      </c>
      <c r="P444" s="59">
        <v>8</v>
      </c>
      <c r="Q444" s="65">
        <v>6.9</v>
      </c>
      <c r="R444" s="38">
        <v>0.15</v>
      </c>
      <c r="S444" s="36">
        <v>22.36</v>
      </c>
      <c r="T444" s="36">
        <v>0.88</v>
      </c>
      <c r="U444" s="36">
        <v>0.7</v>
      </c>
      <c r="V444" s="42">
        <f t="shared" si="156"/>
        <v>1663.665</v>
      </c>
      <c r="W444" s="42">
        <f t="shared" si="157"/>
        <v>1735.17231264</v>
      </c>
      <c r="X444" s="42">
        <f t="shared" si="158"/>
        <v>1.0429817978018412</v>
      </c>
      <c r="Y444" s="59">
        <v>3</v>
      </c>
      <c r="Z444" s="59">
        <v>4</v>
      </c>
      <c r="AA444" s="65">
        <v>6.2</v>
      </c>
      <c r="AB444" s="59">
        <v>22.8</v>
      </c>
      <c r="AC444" s="65">
        <v>6.3</v>
      </c>
      <c r="AD444" s="65">
        <v>5.2</v>
      </c>
      <c r="AE444" s="38">
        <v>0.21</v>
      </c>
      <c r="AF444" s="38"/>
      <c r="AG444" s="42">
        <f t="shared" si="140"/>
        <v>1663.665</v>
      </c>
      <c r="AH444" s="42">
        <f t="shared" si="159"/>
        <v>1964.00508928</v>
      </c>
      <c r="AI444" s="42">
        <f t="shared" si="160"/>
        <v>1.1805291866331262</v>
      </c>
      <c r="AJ444" s="59">
        <v>3</v>
      </c>
      <c r="AK444" s="59">
        <v>4</v>
      </c>
      <c r="AL444" s="65">
        <v>6.4</v>
      </c>
      <c r="AM444" s="59">
        <v>24.8</v>
      </c>
      <c r="AN444" s="65">
        <v>6.3</v>
      </c>
      <c r="AO444" s="65">
        <v>6</v>
      </c>
      <c r="AP444" s="38">
        <v>0.19</v>
      </c>
      <c r="AQ444" s="38">
        <v>0.18</v>
      </c>
      <c r="AR444" s="73">
        <f t="shared" si="141"/>
        <v>2239</v>
      </c>
      <c r="AS444" s="75">
        <f t="shared" si="142"/>
        <v>0</v>
      </c>
      <c r="AT444" s="75">
        <f t="shared" si="143"/>
        <v>0.88655649843680218</v>
      </c>
      <c r="AU444" s="75">
        <f t="shared" si="144"/>
        <v>0.11344350156319785</v>
      </c>
      <c r="AV444" s="26">
        <f t="shared" si="145"/>
        <v>8.099467140319716E-2</v>
      </c>
      <c r="AW444" s="26">
        <f t="shared" si="146"/>
        <v>8.8099467140319715E-2</v>
      </c>
      <c r="AX444" s="26">
        <f t="shared" si="163"/>
        <v>0.83018867924528306</v>
      </c>
      <c r="AY444" s="24" t="str">
        <f t="shared" si="164"/>
        <v/>
      </c>
      <c r="AZ444" s="77" t="str">
        <f t="shared" si="147"/>
        <v>5,0 ≤ Alc. Bruta &lt; 7,5 mg/L</v>
      </c>
      <c r="BA444" s="77" t="str">
        <f t="shared" si="148"/>
        <v>5 ≤ Cor &lt; 10 uC</v>
      </c>
      <c r="BB444" s="78" t="str">
        <f t="shared" si="149"/>
        <v>Turbidez &lt; 2,5 uT</v>
      </c>
      <c r="BC444" s="79" t="str">
        <f t="shared" si="150"/>
        <v>SM &gt; BNN &gt; TOR</v>
      </c>
      <c r="BD444" s="78" t="str">
        <f t="shared" si="151"/>
        <v>Tipo 1 (≤0,25) uT</v>
      </c>
      <c r="BE444" s="78" t="str">
        <f t="shared" si="152"/>
        <v>Tipo 1 (≤0,25) uT</v>
      </c>
      <c r="BF444" s="78" t="str">
        <f t="shared" si="153"/>
        <v/>
      </c>
      <c r="BG444" s="78" t="str">
        <f t="shared" si="154"/>
        <v>Tipo 1 (≤0,25) uT</v>
      </c>
      <c r="BH444" s="78" t="str">
        <f t="shared" si="155"/>
        <v>Tipo 1 (≤0,25) uT</v>
      </c>
    </row>
    <row r="445" spans="1:60" x14ac:dyDescent="0.2">
      <c r="A445" s="31">
        <v>46308</v>
      </c>
      <c r="B445" s="80">
        <v>0.39583333333333331</v>
      </c>
      <c r="C445" s="57">
        <v>0</v>
      </c>
      <c r="D445" s="57">
        <v>1997</v>
      </c>
      <c r="E445" s="57">
        <v>254</v>
      </c>
      <c r="F445" s="57">
        <v>2251</v>
      </c>
      <c r="G445" s="85" t="s">
        <v>78</v>
      </c>
      <c r="H445" s="63">
        <v>9.5</v>
      </c>
      <c r="I445" s="57">
        <v>-23</v>
      </c>
      <c r="J445" s="57">
        <v>90</v>
      </c>
      <c r="K445" s="57">
        <v>90</v>
      </c>
      <c r="L445" s="57">
        <v>90</v>
      </c>
      <c r="M445" s="57">
        <v>26.3</v>
      </c>
      <c r="N445" s="63">
        <v>6.5</v>
      </c>
      <c r="O445" s="36">
        <v>1.05</v>
      </c>
      <c r="P445" s="57">
        <v>11</v>
      </c>
      <c r="Q445" s="63">
        <v>7</v>
      </c>
      <c r="R445" s="36">
        <v>0.16</v>
      </c>
      <c r="S445" s="36">
        <v>22.36</v>
      </c>
      <c r="T445" s="36">
        <v>0.88</v>
      </c>
      <c r="U445" s="36">
        <v>0.7</v>
      </c>
      <c r="V445" s="42">
        <f t="shared" si="156"/>
        <v>1660.1125000000002</v>
      </c>
      <c r="W445" s="42">
        <f t="shared" si="157"/>
        <v>1712.3410980000001</v>
      </c>
      <c r="X445" s="42">
        <f t="shared" si="158"/>
        <v>1.0314608787055093</v>
      </c>
      <c r="Y445" s="57">
        <v>3</v>
      </c>
      <c r="Z445" s="57">
        <v>4</v>
      </c>
      <c r="AA445" s="63">
        <v>6.2</v>
      </c>
      <c r="AB445" s="57">
        <v>22.5</v>
      </c>
      <c r="AC445" s="63">
        <v>6.5</v>
      </c>
      <c r="AD445" s="63">
        <v>5.2</v>
      </c>
      <c r="AE445" s="36">
        <v>0.22</v>
      </c>
      <c r="AF445" s="36"/>
      <c r="AG445" s="42">
        <f t="shared" si="140"/>
        <v>1660.1125000000002</v>
      </c>
      <c r="AH445" s="42">
        <f t="shared" si="159"/>
        <v>1956.0857139199998</v>
      </c>
      <c r="AI445" s="42">
        <f t="shared" si="160"/>
        <v>1.1782850342491846</v>
      </c>
      <c r="AJ445" s="57">
        <v>3</v>
      </c>
      <c r="AK445" s="57">
        <v>4</v>
      </c>
      <c r="AL445" s="63">
        <v>6.4</v>
      </c>
      <c r="AM445" s="57">
        <v>24.7</v>
      </c>
      <c r="AN445" s="63">
        <v>6.1</v>
      </c>
      <c r="AO445" s="63">
        <v>5</v>
      </c>
      <c r="AP445" s="36">
        <v>0.28000000000000003</v>
      </c>
      <c r="AQ445" s="36">
        <v>0.17</v>
      </c>
      <c r="AR445" s="73">
        <f t="shared" si="141"/>
        <v>2251</v>
      </c>
      <c r="AS445" s="75">
        <f t="shared" si="142"/>
        <v>0</v>
      </c>
      <c r="AT445" s="75">
        <f t="shared" si="143"/>
        <v>0.88716126166148379</v>
      </c>
      <c r="AU445" s="75">
        <f t="shared" si="144"/>
        <v>0.11283873833851621</v>
      </c>
      <c r="AV445" s="26">
        <f t="shared" si="145"/>
        <v>7.9964460239893384E-2</v>
      </c>
      <c r="AW445" s="26">
        <f t="shared" si="146"/>
        <v>8.7783207463349625E-2</v>
      </c>
      <c r="AX445" s="26">
        <f t="shared" si="163"/>
        <v>0.83809523809523812</v>
      </c>
      <c r="AY445" s="24" t="str">
        <f t="shared" si="164"/>
        <v/>
      </c>
      <c r="AZ445" s="77" t="str">
        <f t="shared" si="147"/>
        <v>5,0 ≤ Alc. Bruta &lt; 7,5 mg/L</v>
      </c>
      <c r="BA445" s="77" t="str">
        <f t="shared" si="148"/>
        <v>10 ≤ Cor &lt;15 uC</v>
      </c>
      <c r="BB445" s="78" t="str">
        <f t="shared" si="149"/>
        <v>Turbidez &lt; 2,5 uT</v>
      </c>
      <c r="BC445" s="79" t="str">
        <f t="shared" si="150"/>
        <v>SM &gt; BNN &gt; TOR</v>
      </c>
      <c r="BD445" s="78" t="str">
        <f t="shared" si="151"/>
        <v>Tipo 1 (≤0,25) uT</v>
      </c>
      <c r="BE445" s="78" t="str">
        <f t="shared" si="152"/>
        <v>Tipo 2 (0,25-0,50) uT</v>
      </c>
      <c r="BF445" s="78" t="str">
        <f t="shared" si="153"/>
        <v/>
      </c>
      <c r="BG445" s="78" t="str">
        <f t="shared" si="154"/>
        <v>Tipo 1 (≤0,25) uT</v>
      </c>
      <c r="BH445" s="78" t="str">
        <f t="shared" si="155"/>
        <v>Tipo 1 (≤0,25) uT</v>
      </c>
    </row>
    <row r="446" spans="1:60" x14ac:dyDescent="0.2">
      <c r="A446" s="31">
        <v>46308</v>
      </c>
      <c r="B446" s="80">
        <v>0.47916666666666669</v>
      </c>
      <c r="C446" s="57">
        <v>354</v>
      </c>
      <c r="D446" s="57">
        <v>1700</v>
      </c>
      <c r="E446" s="57">
        <v>252</v>
      </c>
      <c r="F446" s="57">
        <v>2332</v>
      </c>
      <c r="G446" s="85" t="s">
        <v>78</v>
      </c>
      <c r="H446" s="63">
        <v>9.5</v>
      </c>
      <c r="I446" s="57">
        <v>-22</v>
      </c>
      <c r="J446" s="57">
        <v>90</v>
      </c>
      <c r="K446" s="57">
        <v>90</v>
      </c>
      <c r="L446" s="57">
        <v>90</v>
      </c>
      <c r="M446" s="57">
        <v>26.4</v>
      </c>
      <c r="N446" s="63">
        <v>6.4</v>
      </c>
      <c r="O446" s="36">
        <v>1.0900000000000001</v>
      </c>
      <c r="P446" s="57">
        <v>9</v>
      </c>
      <c r="Q446" s="63">
        <v>6.7</v>
      </c>
      <c r="R446" s="36">
        <v>0.31</v>
      </c>
      <c r="S446" s="36">
        <v>22.36</v>
      </c>
      <c r="T446" s="36">
        <v>0.88</v>
      </c>
      <c r="U446" s="36">
        <v>0.7</v>
      </c>
      <c r="V446" s="42">
        <f t="shared" si="156"/>
        <v>1731.5100000000002</v>
      </c>
      <c r="W446" s="42">
        <f t="shared" si="157"/>
        <v>1719.9515028800001</v>
      </c>
      <c r="X446" s="42">
        <f t="shared" si="158"/>
        <v>0.99332461428464169</v>
      </c>
      <c r="Y446" s="57">
        <v>3</v>
      </c>
      <c r="Z446" s="57">
        <v>4</v>
      </c>
      <c r="AA446" s="63">
        <v>6.2</v>
      </c>
      <c r="AB446" s="57">
        <v>22.6</v>
      </c>
      <c r="AC446" s="63">
        <v>6.5</v>
      </c>
      <c r="AD446" s="63">
        <v>6.2</v>
      </c>
      <c r="AE446" s="36">
        <v>0.21</v>
      </c>
      <c r="AF446" s="36">
        <v>0.23</v>
      </c>
      <c r="AG446" s="42">
        <f t="shared" si="140"/>
        <v>1731.5100000000002</v>
      </c>
      <c r="AH446" s="42">
        <f t="shared" si="159"/>
        <v>1964.00508928</v>
      </c>
      <c r="AI446" s="42">
        <f t="shared" si="160"/>
        <v>1.1342730271728143</v>
      </c>
      <c r="AJ446" s="57">
        <v>3</v>
      </c>
      <c r="AK446" s="57">
        <v>4</v>
      </c>
      <c r="AL446" s="63">
        <v>6.4</v>
      </c>
      <c r="AM446" s="57">
        <v>24.8</v>
      </c>
      <c r="AN446" s="63">
        <v>6.4</v>
      </c>
      <c r="AO446" s="63">
        <v>5.4</v>
      </c>
      <c r="AP446" s="36">
        <v>0.28999999999999998</v>
      </c>
      <c r="AQ446" s="36">
        <v>0.18</v>
      </c>
      <c r="AR446" s="73">
        <f t="shared" si="141"/>
        <v>2306</v>
      </c>
      <c r="AS446" s="75">
        <f t="shared" si="142"/>
        <v>0.15351257588898526</v>
      </c>
      <c r="AT446" s="75">
        <f t="shared" si="143"/>
        <v>0.73720728534258462</v>
      </c>
      <c r="AU446" s="75">
        <f t="shared" si="144"/>
        <v>0.10928013876843018</v>
      </c>
      <c r="AV446" s="26">
        <f t="shared" si="145"/>
        <v>7.753001715265867E-2</v>
      </c>
      <c r="AW446" s="26">
        <f t="shared" si="146"/>
        <v>8.5077186963979423E-2</v>
      </c>
      <c r="AX446" s="26">
        <f t="shared" si="163"/>
        <v>0.83486238532110091</v>
      </c>
      <c r="AY446" s="24">
        <f t="shared" si="164"/>
        <v>0.78899082568807344</v>
      </c>
      <c r="AZ446" s="77" t="str">
        <f t="shared" si="147"/>
        <v>5,0 ≤ Alc. Bruta &lt; 7,5 mg/L</v>
      </c>
      <c r="BA446" s="77" t="str">
        <f t="shared" si="148"/>
        <v>5 ≤ Cor &lt; 10 uC</v>
      </c>
      <c r="BB446" s="78" t="str">
        <f t="shared" si="149"/>
        <v>Turbidez &lt; 2,5 uT</v>
      </c>
      <c r="BC446" s="79" t="str">
        <f t="shared" si="150"/>
        <v>SM &gt; TOR &gt; BNN</v>
      </c>
      <c r="BD446" s="78" t="str">
        <f t="shared" si="151"/>
        <v>Tipo 1 (≤0,25) uT</v>
      </c>
      <c r="BE446" s="78" t="str">
        <f t="shared" si="152"/>
        <v>Tipo 2 (0,25-0,50) uT</v>
      </c>
      <c r="BF446" s="78" t="str">
        <f t="shared" si="153"/>
        <v>Tipo 1 (≤0,25) uT</v>
      </c>
      <c r="BG446" s="78" t="str">
        <f t="shared" si="154"/>
        <v>Tipo 1 (≤0,25) uT</v>
      </c>
      <c r="BH446" s="78" t="str">
        <f t="shared" si="155"/>
        <v>Tipo 2 (0,25-0,50) uT</v>
      </c>
    </row>
    <row r="447" spans="1:60" x14ac:dyDescent="0.2">
      <c r="A447" s="31">
        <v>46308</v>
      </c>
      <c r="B447" s="80">
        <v>0.72916666666666663</v>
      </c>
      <c r="C447" s="57">
        <v>360</v>
      </c>
      <c r="D447" s="57">
        <v>1613</v>
      </c>
      <c r="E447" s="57">
        <v>252</v>
      </c>
      <c r="F447" s="57">
        <v>2363</v>
      </c>
      <c r="G447" s="85" t="s">
        <v>78</v>
      </c>
      <c r="H447" s="63">
        <v>9.8000000000000007</v>
      </c>
      <c r="I447" s="57">
        <v>-21</v>
      </c>
      <c r="J447" s="57">
        <v>90</v>
      </c>
      <c r="K447" s="57">
        <v>90</v>
      </c>
      <c r="L447" s="57">
        <v>90</v>
      </c>
      <c r="M447" s="57">
        <v>26.7</v>
      </c>
      <c r="N447" s="63">
        <v>6.2</v>
      </c>
      <c r="O447" s="36">
        <v>1.79</v>
      </c>
      <c r="P447" s="57">
        <v>14</v>
      </c>
      <c r="Q447" s="63">
        <v>6.5</v>
      </c>
      <c r="R447" s="36">
        <v>0.14000000000000001</v>
      </c>
      <c r="S447" s="36">
        <v>22.36</v>
      </c>
      <c r="T447" s="36">
        <v>0.88</v>
      </c>
      <c r="U447" s="36">
        <v>0.7</v>
      </c>
      <c r="V447" s="42">
        <f t="shared" si="156"/>
        <v>1987.8737500000002</v>
      </c>
      <c r="W447" s="42">
        <f t="shared" si="157"/>
        <v>1727.5619077599999</v>
      </c>
      <c r="X447" s="42">
        <f t="shared" si="158"/>
        <v>0.86905011334849602</v>
      </c>
      <c r="Y447" s="57">
        <v>3</v>
      </c>
      <c r="Z447" s="57">
        <v>4</v>
      </c>
      <c r="AA447" s="63">
        <v>6.2</v>
      </c>
      <c r="AB447" s="57">
        <v>22.7</v>
      </c>
      <c r="AC447" s="63">
        <v>5.9</v>
      </c>
      <c r="AD447" s="63">
        <v>5.3</v>
      </c>
      <c r="AE447" s="36">
        <v>0.18</v>
      </c>
      <c r="AF447" s="36">
        <v>0.12</v>
      </c>
      <c r="AG447" s="42">
        <f t="shared" si="140"/>
        <v>1987.8737500000002</v>
      </c>
      <c r="AH447" s="42">
        <f t="shared" si="159"/>
        <v>1956.0857139199998</v>
      </c>
      <c r="AI447" s="42">
        <f t="shared" si="160"/>
        <v>0.98400902668994927</v>
      </c>
      <c r="AJ447" s="57">
        <v>3</v>
      </c>
      <c r="AK447" s="57">
        <v>4</v>
      </c>
      <c r="AL447" s="63">
        <v>6.4</v>
      </c>
      <c r="AM447" s="57">
        <v>24.7</v>
      </c>
      <c r="AN447" s="63">
        <v>6</v>
      </c>
      <c r="AO447" s="63">
        <v>5.5</v>
      </c>
      <c r="AP447" s="36">
        <v>0.13</v>
      </c>
      <c r="AQ447" s="36">
        <v>0.2</v>
      </c>
      <c r="AR447" s="73">
        <f t="shared" si="141"/>
        <v>2225</v>
      </c>
      <c r="AS447" s="75">
        <f t="shared" si="142"/>
        <v>0.16179775280898875</v>
      </c>
      <c r="AT447" s="75">
        <f t="shared" si="143"/>
        <v>0.72494382022471915</v>
      </c>
      <c r="AU447" s="75">
        <f t="shared" si="144"/>
        <v>0.11325842696629214</v>
      </c>
      <c r="AV447" s="26">
        <f t="shared" si="145"/>
        <v>7.6851460008463809E-2</v>
      </c>
      <c r="AW447" s="26">
        <f t="shared" si="146"/>
        <v>8.3622513753702915E-2</v>
      </c>
      <c r="AX447" s="26">
        <f t="shared" si="163"/>
        <v>0.88826815642458101</v>
      </c>
      <c r="AY447" s="24">
        <f t="shared" si="164"/>
        <v>0.93296089385474856</v>
      </c>
      <c r="AZ447" s="77" t="str">
        <f t="shared" si="147"/>
        <v>5,0 ≤ Alc. Bruta &lt; 7,5 mg/L</v>
      </c>
      <c r="BA447" s="77" t="str">
        <f t="shared" si="148"/>
        <v>10 ≤ Cor &lt;15 uC</v>
      </c>
      <c r="BB447" s="78" t="str">
        <f t="shared" si="149"/>
        <v>Turbidez &lt; 2,5 uT</v>
      </c>
      <c r="BC447" s="79" t="str">
        <f t="shared" si="150"/>
        <v>SM &gt; TOR &gt; BNN</v>
      </c>
      <c r="BD447" s="78" t="str">
        <f t="shared" si="151"/>
        <v>Tipo 1 (≤0,25) uT</v>
      </c>
      <c r="BE447" s="78" t="str">
        <f t="shared" si="152"/>
        <v>Tipo 1 (≤0,25) uT</v>
      </c>
      <c r="BF447" s="78" t="str">
        <f t="shared" si="153"/>
        <v>Tipo 1 (≤0,25) uT</v>
      </c>
      <c r="BG447" s="78" t="str">
        <f t="shared" si="154"/>
        <v>Tipo 1 (≤0,25) uT</v>
      </c>
      <c r="BH447" s="78" t="str">
        <f t="shared" si="155"/>
        <v>Tipo 1 (≤0,25) uT</v>
      </c>
    </row>
    <row r="448" spans="1:60" x14ac:dyDescent="0.2">
      <c r="A448" s="31">
        <v>46308</v>
      </c>
      <c r="B448" s="80">
        <v>0.8125</v>
      </c>
      <c r="C448" s="57">
        <v>200</v>
      </c>
      <c r="D448" s="57">
        <v>1782</v>
      </c>
      <c r="E448" s="57">
        <v>200</v>
      </c>
      <c r="F448" s="57">
        <v>2250</v>
      </c>
      <c r="G448" s="85" t="s">
        <v>78</v>
      </c>
      <c r="H448" s="63">
        <v>9.8000000000000007</v>
      </c>
      <c r="I448" s="57">
        <v>-20</v>
      </c>
      <c r="J448" s="57">
        <v>90</v>
      </c>
      <c r="K448" s="57">
        <v>90</v>
      </c>
      <c r="L448" s="57">
        <v>90</v>
      </c>
      <c r="M448" s="57">
        <v>26.2</v>
      </c>
      <c r="N448" s="63">
        <v>6.3</v>
      </c>
      <c r="O448" s="36">
        <v>1.7</v>
      </c>
      <c r="P448" s="57">
        <v>13</v>
      </c>
      <c r="Q448" s="63">
        <v>6.9</v>
      </c>
      <c r="R448" s="36">
        <v>0.13</v>
      </c>
      <c r="S448" s="36">
        <v>22.36</v>
      </c>
      <c r="T448" s="36">
        <v>0.88</v>
      </c>
      <c r="U448" s="36">
        <v>0.7</v>
      </c>
      <c r="V448" s="42">
        <f t="shared" si="156"/>
        <v>1867.5</v>
      </c>
      <c r="W448" s="42">
        <f t="shared" si="157"/>
        <v>1735.17231264</v>
      </c>
      <c r="X448" s="42">
        <f t="shared" si="158"/>
        <v>0.92914180061044171</v>
      </c>
      <c r="Y448" s="57">
        <v>3</v>
      </c>
      <c r="Z448" s="57">
        <v>4</v>
      </c>
      <c r="AA448" s="63">
        <v>6.2</v>
      </c>
      <c r="AB448" s="57">
        <v>22.8</v>
      </c>
      <c r="AC448" s="63">
        <v>6</v>
      </c>
      <c r="AD448" s="63">
        <v>5.4</v>
      </c>
      <c r="AE448" s="36">
        <v>0.19</v>
      </c>
      <c r="AF448" s="36">
        <v>0.13</v>
      </c>
      <c r="AG448" s="42">
        <f t="shared" si="140"/>
        <v>1867.5</v>
      </c>
      <c r="AH448" s="42">
        <f t="shared" si="159"/>
        <v>1956.0857139199998</v>
      </c>
      <c r="AI448" s="42">
        <f t="shared" si="160"/>
        <v>1.0474354559143237</v>
      </c>
      <c r="AJ448" s="57">
        <v>3</v>
      </c>
      <c r="AK448" s="57">
        <v>4</v>
      </c>
      <c r="AL448" s="63">
        <v>6.4</v>
      </c>
      <c r="AM448" s="57">
        <v>24.7</v>
      </c>
      <c r="AN448" s="63">
        <v>6.1</v>
      </c>
      <c r="AO448" s="63">
        <v>5.6</v>
      </c>
      <c r="AP448" s="36">
        <v>0.17</v>
      </c>
      <c r="AQ448" s="36">
        <v>0.18</v>
      </c>
      <c r="AR448" s="73">
        <f t="shared" si="141"/>
        <v>2182</v>
      </c>
      <c r="AS448" s="75">
        <f t="shared" si="142"/>
        <v>9.1659028414298807E-2</v>
      </c>
      <c r="AT448" s="75">
        <f t="shared" si="143"/>
        <v>0.81668194317140241</v>
      </c>
      <c r="AU448" s="75">
        <f t="shared" si="144"/>
        <v>9.1659028414298807E-2</v>
      </c>
      <c r="AV448" s="26">
        <f t="shared" si="145"/>
        <v>8.1066666666666676E-2</v>
      </c>
      <c r="AW448" s="26">
        <f t="shared" si="146"/>
        <v>8.7822222222222218E-2</v>
      </c>
      <c r="AX448" s="26">
        <f t="shared" si="163"/>
        <v>0.89411764705882357</v>
      </c>
      <c r="AY448" s="24">
        <f t="shared" si="164"/>
        <v>0.92352941176470593</v>
      </c>
      <c r="AZ448" s="77" t="str">
        <f t="shared" si="147"/>
        <v>5,0 ≤ Alc. Bruta &lt; 7,5 mg/L</v>
      </c>
      <c r="BA448" s="77" t="str">
        <f t="shared" si="148"/>
        <v>10 ≤ Cor &lt;15 uC</v>
      </c>
      <c r="BB448" s="78" t="str">
        <f t="shared" si="149"/>
        <v>Turbidez &lt; 2,5 uT</v>
      </c>
      <c r="BC448" s="79" t="str">
        <f t="shared" si="150"/>
        <v>Comb. diferentes</v>
      </c>
      <c r="BD448" s="78" t="str">
        <f t="shared" si="151"/>
        <v>Tipo 1 (≤0,25) uT</v>
      </c>
      <c r="BE448" s="78" t="str">
        <f t="shared" si="152"/>
        <v>Tipo 1 (≤0,25) uT</v>
      </c>
      <c r="BF448" s="78" t="str">
        <f t="shared" si="153"/>
        <v>Tipo 1 (≤0,25) uT</v>
      </c>
      <c r="BG448" s="78" t="str">
        <f t="shared" si="154"/>
        <v>Tipo 1 (≤0,25) uT</v>
      </c>
      <c r="BH448" s="78" t="str">
        <f t="shared" si="155"/>
        <v>Tipo 1 (≤0,25) uT</v>
      </c>
    </row>
    <row r="449" spans="1:60" x14ac:dyDescent="0.2">
      <c r="A449" s="31">
        <v>46308</v>
      </c>
      <c r="B449" s="80">
        <v>0.89583333333333337</v>
      </c>
      <c r="C449" s="57">
        <v>268</v>
      </c>
      <c r="D449" s="57">
        <v>1713</v>
      </c>
      <c r="E449" s="57">
        <v>200</v>
      </c>
      <c r="F449" s="57">
        <v>2250</v>
      </c>
      <c r="G449" s="85" t="s">
        <v>78</v>
      </c>
      <c r="H449" s="63">
        <v>9.8000000000000007</v>
      </c>
      <c r="I449" s="57">
        <v>-19</v>
      </c>
      <c r="J449" s="57">
        <v>90</v>
      </c>
      <c r="K449" s="57">
        <v>90</v>
      </c>
      <c r="L449" s="57">
        <v>90</v>
      </c>
      <c r="M449" s="57">
        <v>26</v>
      </c>
      <c r="N449" s="63">
        <v>6.3</v>
      </c>
      <c r="O449" s="36">
        <v>1.58</v>
      </c>
      <c r="P449" s="57">
        <v>12</v>
      </c>
      <c r="Q449" s="63">
        <v>6.8</v>
      </c>
      <c r="R449" s="36">
        <v>0.13</v>
      </c>
      <c r="S449" s="36">
        <v>22.36</v>
      </c>
      <c r="T449" s="36">
        <v>0.88</v>
      </c>
      <c r="U449" s="36">
        <v>0.7</v>
      </c>
      <c r="V449" s="42">
        <f t="shared" si="156"/>
        <v>1833.7499999999998</v>
      </c>
      <c r="W449" s="42">
        <f t="shared" si="157"/>
        <v>1727.5619077599999</v>
      </c>
      <c r="X449" s="42">
        <f t="shared" si="158"/>
        <v>0.94209238323653721</v>
      </c>
      <c r="Y449" s="57">
        <v>3</v>
      </c>
      <c r="Z449" s="57">
        <v>4</v>
      </c>
      <c r="AA449" s="63">
        <v>6.2</v>
      </c>
      <c r="AB449" s="57">
        <v>22.7</v>
      </c>
      <c r="AC449" s="63">
        <v>6.1</v>
      </c>
      <c r="AD449" s="63">
        <v>5.5</v>
      </c>
      <c r="AE449" s="36">
        <v>0.18</v>
      </c>
      <c r="AF449" s="36"/>
      <c r="AG449" s="42">
        <f t="shared" si="140"/>
        <v>1833.7499999999998</v>
      </c>
      <c r="AH449" s="42">
        <f t="shared" si="159"/>
        <v>1956.0857139199998</v>
      </c>
      <c r="AI449" s="42">
        <f t="shared" si="160"/>
        <v>1.0667134090906611</v>
      </c>
      <c r="AJ449" s="57">
        <v>3</v>
      </c>
      <c r="AK449" s="57">
        <v>4</v>
      </c>
      <c r="AL449" s="63">
        <v>6.4</v>
      </c>
      <c r="AM449" s="57">
        <v>24.7</v>
      </c>
      <c r="AN449" s="63">
        <v>6.1</v>
      </c>
      <c r="AO449" s="63">
        <v>5.7</v>
      </c>
      <c r="AP449" s="36">
        <v>0.16</v>
      </c>
      <c r="AQ449" s="36">
        <v>0.15</v>
      </c>
      <c r="AR449" s="73">
        <f t="shared" si="141"/>
        <v>2181</v>
      </c>
      <c r="AS449" s="75">
        <f t="shared" si="142"/>
        <v>0.1228794131132508</v>
      </c>
      <c r="AT449" s="75">
        <f t="shared" si="143"/>
        <v>0.78541953232462169</v>
      </c>
      <c r="AU449" s="75">
        <f t="shared" si="144"/>
        <v>9.170105456212746E-2</v>
      </c>
      <c r="AV449" s="26">
        <f t="shared" si="145"/>
        <v>8.0711111111111108E-2</v>
      </c>
      <c r="AW449" s="26">
        <f t="shared" si="146"/>
        <v>8.7822222222222218E-2</v>
      </c>
      <c r="AX449" s="26">
        <f t="shared" si="163"/>
        <v>0.90506329113924056</v>
      </c>
      <c r="AY449" s="24" t="str">
        <f t="shared" si="164"/>
        <v/>
      </c>
      <c r="AZ449" s="77" t="str">
        <f t="shared" si="147"/>
        <v>5,0 ≤ Alc. Bruta &lt; 7,5 mg/L</v>
      </c>
      <c r="BA449" s="77" t="str">
        <f t="shared" si="148"/>
        <v>10 ≤ Cor &lt;15 uC</v>
      </c>
      <c r="BB449" s="78" t="str">
        <f t="shared" si="149"/>
        <v>Turbidez &lt; 2,5 uT</v>
      </c>
      <c r="BC449" s="79" t="str">
        <f t="shared" si="150"/>
        <v>SM &gt; TOR &gt; BNN</v>
      </c>
      <c r="BD449" s="78" t="str">
        <f t="shared" si="151"/>
        <v>Tipo 1 (≤0,25) uT</v>
      </c>
      <c r="BE449" s="78" t="str">
        <f t="shared" si="152"/>
        <v>Tipo 1 (≤0,25) uT</v>
      </c>
      <c r="BF449" s="78" t="str">
        <f t="shared" si="153"/>
        <v/>
      </c>
      <c r="BG449" s="78" t="str">
        <f t="shared" si="154"/>
        <v>Tipo 1 (≤0,25) uT</v>
      </c>
      <c r="BH449" s="78" t="str">
        <f t="shared" si="155"/>
        <v>Tipo 1 (≤0,25) uT</v>
      </c>
    </row>
    <row r="450" spans="1:60" x14ac:dyDescent="0.2">
      <c r="A450" s="31">
        <v>46309</v>
      </c>
      <c r="B450" s="80">
        <v>6.25E-2</v>
      </c>
      <c r="C450" s="57">
        <v>260</v>
      </c>
      <c r="D450" s="57">
        <v>1715</v>
      </c>
      <c r="E450" s="57">
        <v>200</v>
      </c>
      <c r="F450" s="57">
        <v>2255</v>
      </c>
      <c r="G450" s="85" t="s">
        <v>78</v>
      </c>
      <c r="H450" s="63">
        <v>9.8000000000000007</v>
      </c>
      <c r="I450" s="57">
        <v>-18</v>
      </c>
      <c r="J450" s="57">
        <v>90</v>
      </c>
      <c r="K450" s="57">
        <v>90</v>
      </c>
      <c r="L450" s="57">
        <v>90</v>
      </c>
      <c r="M450" s="57">
        <v>26</v>
      </c>
      <c r="N450" s="63">
        <v>6.3</v>
      </c>
      <c r="O450" s="36">
        <v>1.7</v>
      </c>
      <c r="P450" s="57">
        <v>12</v>
      </c>
      <c r="Q450" s="63">
        <v>6.7</v>
      </c>
      <c r="R450" s="36">
        <v>0.14000000000000001</v>
      </c>
      <c r="S450" s="36">
        <v>22.36</v>
      </c>
      <c r="T450" s="36">
        <v>0.88</v>
      </c>
      <c r="U450" s="36">
        <v>0.7</v>
      </c>
      <c r="V450" s="42">
        <f t="shared" si="156"/>
        <v>1871.6499999999999</v>
      </c>
      <c r="W450" s="42">
        <f t="shared" si="157"/>
        <v>1735.17231264</v>
      </c>
      <c r="X450" s="42">
        <f t="shared" si="158"/>
        <v>0.92708161923436549</v>
      </c>
      <c r="Y450" s="57">
        <v>3</v>
      </c>
      <c r="Z450" s="57">
        <v>4</v>
      </c>
      <c r="AA450" s="63">
        <v>6.2</v>
      </c>
      <c r="AB450" s="57">
        <v>22.8</v>
      </c>
      <c r="AC450" s="63">
        <v>6.1</v>
      </c>
      <c r="AD450" s="63">
        <v>5.6</v>
      </c>
      <c r="AE450" s="36">
        <v>0.19</v>
      </c>
      <c r="AF450" s="36"/>
      <c r="AG450" s="42">
        <f t="shared" ref="AG450:AG513" si="165">(O450+0.3*H450+2)*(F450/2/AK450)</f>
        <v>1871.6499999999999</v>
      </c>
      <c r="AH450" s="42">
        <f t="shared" si="159"/>
        <v>1956.0857139199998</v>
      </c>
      <c r="AI450" s="42">
        <f t="shared" si="160"/>
        <v>1.0451129826196137</v>
      </c>
      <c r="AJ450" s="57">
        <v>3</v>
      </c>
      <c r="AK450" s="57">
        <v>4</v>
      </c>
      <c r="AL450" s="63">
        <v>6.4</v>
      </c>
      <c r="AM450" s="57">
        <v>24.7</v>
      </c>
      <c r="AN450" s="63">
        <v>6</v>
      </c>
      <c r="AO450" s="63">
        <v>5.6</v>
      </c>
      <c r="AP450" s="36">
        <v>0.16</v>
      </c>
      <c r="AQ450" s="36">
        <v>0.17</v>
      </c>
      <c r="AR450" s="73">
        <f t="shared" ref="AR450:AR513" si="166">SUM(C450:E450)</f>
        <v>2175</v>
      </c>
      <c r="AS450" s="75">
        <f t="shared" ref="AS450:AS513" si="167">C450/AR450</f>
        <v>0.11954022988505747</v>
      </c>
      <c r="AT450" s="75">
        <f t="shared" ref="AT450:AT513" si="168">D450/AR450</f>
        <v>0.78850574712643673</v>
      </c>
      <c r="AU450" s="75">
        <f t="shared" ref="AU450:AU513" si="169">E450/AR450</f>
        <v>9.1954022988505746E-2</v>
      </c>
      <c r="AV450" s="26">
        <f t="shared" ref="AV450:AV511" si="170">IF(AND(F450&lt;&gt;"",Z450&lt;&gt;""),AB450/(F450/2/Z450),"")</f>
        <v>8.0886917960088692E-2</v>
      </c>
      <c r="AW450" s="26">
        <f t="shared" ref="AW450:AW511" si="171">IF(AND(F450&lt;&gt;"",AK450&lt;&gt;""),AM450/(F450/2/AK450),"")</f>
        <v>8.7627494456762753E-2</v>
      </c>
      <c r="AX450" s="26">
        <f t="shared" si="163"/>
        <v>0.9</v>
      </c>
      <c r="AY450" s="24" t="str">
        <f t="shared" si="164"/>
        <v/>
      </c>
      <c r="AZ450" s="77" t="str">
        <f t="shared" ref="AZ450:AZ513" si="172">IF(Q450="","",IF(Q450&lt;2.5,"Alc. Bruta &lt; 2,5 mg/L",IF(Q450&lt;5,"2,5 ≤ Alc. Bruta &lt; 5,0 mg/L",IF(Q450&lt;7.5,"5,0 ≤ Alc. Bruta &lt; 7,5 mg/L",IF(Q450&lt;10,"7,5 ≤ Alc. Bruta &lt; 10,0 mg/L",IF(Q450&lt;15,"10,0 ≤ Alca. Bruta &lt; 15,0 mg/L","Alc. Bruta &gt; 15 mg/L"))))))</f>
        <v>5,0 ≤ Alc. Bruta &lt; 7,5 mg/L</v>
      </c>
      <c r="BA450" s="77" t="str">
        <f t="shared" ref="BA450:BA513" si="173">IF(P450="","",IF(P450&lt;5,"Cor &lt;5 uC",IF(P450&lt;10,"5 ≤ Cor &lt; 10 uC",IF(P450&lt;15,"10 ≤ Cor &lt;15 uC",IF(P450&lt;30,"15 ≤ Cor &lt; 30 uC",IF(P450&lt;50,"30 ≤ Cor &lt; 50 uC","Cor &gt; 50 uC"))))))</f>
        <v>10 ≤ Cor &lt;15 uC</v>
      </c>
      <c r="BB450" s="78" t="str">
        <f t="shared" ref="BB450:BB513" si="174">IF(O450="","",IF(O450&lt;2.5,"Turbidez &lt; 2,5 uT",IF(O450&lt;5,"2,5 ≤ Turb &lt; 5,0 uT",IF(O450&lt;7.5,"5,0 ≤ Turb &lt; 7,5 uT",IF(O450&lt;10,"7,5 ≤ Turb &lt; 10,0 uT",IF(O450&lt;15,"10,0 ≤ Turb &lt; 15,0 uT","Turb &gt; 15 uT"))))))</f>
        <v>Turbidez &lt; 2,5 uT</v>
      </c>
      <c r="BC450" s="79" t="str">
        <f t="shared" ref="BC450:BC513" si="175">IF(AND(C450&gt;D450,D450&gt;E450),"TOR &gt; SM &gt; BNN",IF(AND(C450&gt;E450,E450&gt;D450),"TOR &gt; BNN &gt; SM",IF(AND(D450&gt;C450,C450&gt;E450),"SM &gt; TOR &gt; BNN",IF(AND(D450&gt;E450,E450&gt;C450),"SM &gt; BNN &gt; TOR",IF(AND(C450=D450,D450=E450),"TOR = SM = BNN","Comb. diferentes")))))</f>
        <v>SM &gt; TOR &gt; BNN</v>
      </c>
      <c r="BD450" s="78" t="str">
        <f t="shared" ref="BD450:BD513" si="176">IF(OR(AE450="",AQ450="-"),"",IF(AE450&lt;=0.25,"Tipo 1 (≤0,25) uT",IF(AE450&lt;=0.5,"Tipo 2 (0,25-0,50) uT",IF(AE450&lt;=0.75,"Tipo 3 (0,50-0,75) uT","Tipo 4 (&gt;0,75) uT"))))</f>
        <v>Tipo 1 (≤0,25) uT</v>
      </c>
      <c r="BE450" s="78" t="str">
        <f t="shared" ref="BE450:BE508" si="177">IF(OR(AP450="",AZ450="-"),"",IF(AP450&lt;=0.25,"Tipo 1 (≤0,25) uT",IF(AP450&lt;=0.5,"Tipo 2 (0,25-0,50) uT",IF(AP450&lt;=0.75,"Tipo 3 (0,50-0,75) uT","Tipo 4 (&gt;0,75) uT"))))</f>
        <v>Tipo 1 (≤0,25) uT</v>
      </c>
      <c r="BF450" s="78" t="str">
        <f t="shared" ref="BF450:BF513" si="178">IF(OR(AF450="",AQ450="-"),"",IF(AF450&lt;=0.25,"Tipo 1 (≤0,25) uT",IF(AF450&lt;=0.5,"Tipo 2 (0,25-0,50) uT",IF(AF450&lt;=0.75,"Tipo 3 (0,50-0,75) uT","Tipo 4 (&gt;0,75) uT"))))</f>
        <v/>
      </c>
      <c r="BG450" s="78" t="str">
        <f t="shared" ref="BG450:BG508" si="179">IF(OR(AQ450="",AQ450="-"),"",IF(AQ450&lt;=0.25,"Tipo 1 (≤0,25) uT",IF(AQ450&lt;=0.5,"Tipo 2 (0,25-0,50) uT",IF(AQ450&lt;=0.75,"Tipo 3 (0,50-0,75) uT","Tipo 4 (&gt;0,75) uT"))))</f>
        <v>Tipo 1 (≤0,25) uT</v>
      </c>
      <c r="BH450" s="78" t="str">
        <f t="shared" ref="BH450:BH513" si="180">IF(OR(R450="",R450="-"),"",IF(R450&lt;=0.25,"Tipo 1 (≤0,25) uT",IF(R450&lt;=0.5,"Tipo 2 (0,25-0,50) uT",IF(R450&lt;=0.75,"Tipo 3 (0,50-0,75) uT","Tipo 4 (&gt;0,75) uT"))))</f>
        <v>Tipo 1 (≤0,25) uT</v>
      </c>
    </row>
    <row r="451" spans="1:60" ht="15.75" thickBot="1" x14ac:dyDescent="0.25">
      <c r="A451" s="32">
        <v>46309</v>
      </c>
      <c r="B451" s="81">
        <v>0.22916666666666666</v>
      </c>
      <c r="C451" s="58">
        <v>294</v>
      </c>
      <c r="D451" s="58">
        <v>1215</v>
      </c>
      <c r="E451" s="58">
        <v>290</v>
      </c>
      <c r="F451" s="58">
        <v>1901</v>
      </c>
      <c r="G451" s="86" t="s">
        <v>78</v>
      </c>
      <c r="H451" s="64">
        <v>9.8000000000000007</v>
      </c>
      <c r="I451" s="58">
        <v>-17</v>
      </c>
      <c r="J451" s="58">
        <v>90</v>
      </c>
      <c r="K451" s="58">
        <v>90</v>
      </c>
      <c r="L451" s="58">
        <v>90</v>
      </c>
      <c r="M451" s="58">
        <v>25.4</v>
      </c>
      <c r="N451" s="64">
        <v>6.2</v>
      </c>
      <c r="O451" s="37">
        <v>1.68</v>
      </c>
      <c r="P451" s="58">
        <v>8</v>
      </c>
      <c r="Q451" s="64">
        <v>5.6</v>
      </c>
      <c r="R451" s="37">
        <v>0.15</v>
      </c>
      <c r="S451" s="36">
        <v>22.36</v>
      </c>
      <c r="T451" s="36">
        <v>0.88</v>
      </c>
      <c r="U451" s="36">
        <v>0.7</v>
      </c>
      <c r="V451" s="42">
        <f t="shared" ref="V451:V514" si="181">(O451+0.3*H451+2)*(F451/2/Z451)</f>
        <v>2097.4366666666665</v>
      </c>
      <c r="W451" s="42">
        <f t="shared" ref="W451:W514" si="182">S451*(U451*AA451*0.987-T451)*AB451</f>
        <v>1552.9780239999996</v>
      </c>
      <c r="X451" s="42">
        <f t="shared" ref="X451:X514" si="183">W451/V451</f>
        <v>0.74041712375900093</v>
      </c>
      <c r="Y451" s="58">
        <v>2</v>
      </c>
      <c r="Z451" s="58">
        <v>3</v>
      </c>
      <c r="AA451" s="64">
        <v>6.3</v>
      </c>
      <c r="AB451" s="58">
        <v>20</v>
      </c>
      <c r="AC451" s="64">
        <v>6.2</v>
      </c>
      <c r="AD451" s="64">
        <v>5.7</v>
      </c>
      <c r="AE451" s="37">
        <v>0.18</v>
      </c>
      <c r="AF451" s="37"/>
      <c r="AG451" s="42">
        <f t="shared" si="165"/>
        <v>2097.4366666666665</v>
      </c>
      <c r="AH451" s="42">
        <f t="shared" ref="AH451:AH514" si="184">S451*(U451*AL451*0.987-T451)*AM451</f>
        <v>1552.9780239999996</v>
      </c>
      <c r="AI451" s="42">
        <f t="shared" ref="AI451:AI514" si="185">AH451/AG451</f>
        <v>0.74041712375900093</v>
      </c>
      <c r="AJ451" s="58">
        <v>2</v>
      </c>
      <c r="AK451" s="58">
        <v>3</v>
      </c>
      <c r="AL451" s="64">
        <v>6.3</v>
      </c>
      <c r="AM451" s="58">
        <v>20</v>
      </c>
      <c r="AN451" s="64">
        <v>6.1</v>
      </c>
      <c r="AO451" s="64">
        <v>5.7</v>
      </c>
      <c r="AP451" s="37">
        <v>0.2</v>
      </c>
      <c r="AQ451" s="37">
        <v>0.16</v>
      </c>
      <c r="AR451" s="73">
        <f t="shared" si="166"/>
        <v>1799</v>
      </c>
      <c r="AS451" s="75">
        <f t="shared" si="167"/>
        <v>0.16342412451361868</v>
      </c>
      <c r="AT451" s="75">
        <f t="shared" si="168"/>
        <v>0.67537520844913845</v>
      </c>
      <c r="AU451" s="75">
        <f t="shared" si="169"/>
        <v>0.16120066703724292</v>
      </c>
      <c r="AV451" s="26">
        <f t="shared" si="170"/>
        <v>6.3124671225670698E-2</v>
      </c>
      <c r="AW451" s="26">
        <f t="shared" si="171"/>
        <v>6.3124671225670698E-2</v>
      </c>
      <c r="AX451" s="26">
        <f t="shared" ref="AX451:AX482" si="186">IF(AND(AQ451&lt;&gt;"",1-(AQ451/O451)&gt;0),1-(AQ451/O451),"")</f>
        <v>0.90476190476190477</v>
      </c>
      <c r="AY451" s="24" t="str">
        <f t="shared" ref="AY451:AY482" si="187">IF(AND(AF451&lt;&gt;"",1-(AF451/O451)&gt;0),1-(AF451/O451),"")</f>
        <v/>
      </c>
      <c r="AZ451" s="77" t="str">
        <f t="shared" si="172"/>
        <v>5,0 ≤ Alc. Bruta &lt; 7,5 mg/L</v>
      </c>
      <c r="BA451" s="77" t="str">
        <f t="shared" si="173"/>
        <v>5 ≤ Cor &lt; 10 uC</v>
      </c>
      <c r="BB451" s="78" t="str">
        <f t="shared" si="174"/>
        <v>Turbidez &lt; 2,5 uT</v>
      </c>
      <c r="BC451" s="79" t="str">
        <f t="shared" si="175"/>
        <v>SM &gt; TOR &gt; BNN</v>
      </c>
      <c r="BD451" s="78" t="str">
        <f t="shared" si="176"/>
        <v>Tipo 1 (≤0,25) uT</v>
      </c>
      <c r="BE451" s="78" t="str">
        <f t="shared" si="177"/>
        <v>Tipo 1 (≤0,25) uT</v>
      </c>
      <c r="BF451" s="78" t="str">
        <f t="shared" si="178"/>
        <v/>
      </c>
      <c r="BG451" s="78" t="str">
        <f t="shared" si="179"/>
        <v>Tipo 1 (≤0,25) uT</v>
      </c>
      <c r="BH451" s="78" t="str">
        <f t="shared" si="180"/>
        <v>Tipo 1 (≤0,25) uT</v>
      </c>
    </row>
    <row r="452" spans="1:60" x14ac:dyDescent="0.2">
      <c r="A452" s="30">
        <v>46309</v>
      </c>
      <c r="B452" s="82">
        <v>0.3125</v>
      </c>
      <c r="C452" s="59">
        <v>0</v>
      </c>
      <c r="D452" s="59">
        <v>1000</v>
      </c>
      <c r="E452" s="59">
        <v>306</v>
      </c>
      <c r="F452" s="59">
        <v>1340</v>
      </c>
      <c r="G452" s="87" t="s">
        <v>78</v>
      </c>
      <c r="H452" s="65">
        <v>9.8000000000000007</v>
      </c>
      <c r="I452" s="59">
        <v>27</v>
      </c>
      <c r="J452" s="59">
        <v>90</v>
      </c>
      <c r="K452" s="59">
        <v>90</v>
      </c>
      <c r="L452" s="59">
        <v>90</v>
      </c>
      <c r="M452" s="59">
        <v>24.5</v>
      </c>
      <c r="N452" s="65">
        <v>6.5</v>
      </c>
      <c r="O452" s="38">
        <v>1.71</v>
      </c>
      <c r="P452" s="59">
        <v>8</v>
      </c>
      <c r="Q452" s="65">
        <v>6.1</v>
      </c>
      <c r="R452" s="38">
        <v>0.15</v>
      </c>
      <c r="S452" s="36">
        <v>22.36</v>
      </c>
      <c r="T452" s="36">
        <v>0.88</v>
      </c>
      <c r="U452" s="36">
        <v>0.7</v>
      </c>
      <c r="V452" s="42">
        <f t="shared" si="181"/>
        <v>1113.875</v>
      </c>
      <c r="W452" s="42">
        <f t="shared" si="182"/>
        <v>1774.2485591999998</v>
      </c>
      <c r="X452" s="42">
        <f t="shared" si="183"/>
        <v>1.5928614603972617</v>
      </c>
      <c r="Y452" s="59">
        <v>2</v>
      </c>
      <c r="Z452" s="59">
        <v>4</v>
      </c>
      <c r="AA452" s="65">
        <v>6</v>
      </c>
      <c r="AB452" s="59">
        <v>24.3</v>
      </c>
      <c r="AC452" s="65">
        <v>6</v>
      </c>
      <c r="AD452" s="65">
        <v>5.3</v>
      </c>
      <c r="AE452" s="38">
        <v>0.11</v>
      </c>
      <c r="AF452" s="38"/>
      <c r="AG452" s="42">
        <f t="shared" si="165"/>
        <v>1485.1666666666667</v>
      </c>
      <c r="AH452" s="42">
        <f t="shared" si="184"/>
        <v>2018.46515</v>
      </c>
      <c r="AI452" s="42">
        <f t="shared" si="185"/>
        <v>1.3590832566490854</v>
      </c>
      <c r="AJ452" s="59">
        <v>1</v>
      </c>
      <c r="AK452" s="59">
        <v>3</v>
      </c>
      <c r="AL452" s="65">
        <v>6.5</v>
      </c>
      <c r="AM452" s="59">
        <v>25</v>
      </c>
      <c r="AN452" s="65">
        <v>6</v>
      </c>
      <c r="AO452" s="65">
        <v>5.4</v>
      </c>
      <c r="AP452" s="38">
        <v>0.15</v>
      </c>
      <c r="AQ452" s="38">
        <v>0.18</v>
      </c>
      <c r="AR452" s="73">
        <f t="shared" si="166"/>
        <v>1306</v>
      </c>
      <c r="AS452" s="75">
        <f t="shared" si="167"/>
        <v>0</v>
      </c>
      <c r="AT452" s="75">
        <f t="shared" si="168"/>
        <v>0.76569678407350694</v>
      </c>
      <c r="AU452" s="75">
        <f t="shared" si="169"/>
        <v>0.23430321592649311</v>
      </c>
      <c r="AV452" s="26">
        <f t="shared" si="170"/>
        <v>0.14507462686567166</v>
      </c>
      <c r="AW452" s="26">
        <f t="shared" si="171"/>
        <v>0.11194029850746268</v>
      </c>
      <c r="AX452" s="26">
        <f t="shared" si="186"/>
        <v>0.89473684210526316</v>
      </c>
      <c r="AY452" s="24" t="str">
        <f t="shared" si="187"/>
        <v/>
      </c>
      <c r="AZ452" s="77" t="str">
        <f t="shared" si="172"/>
        <v>5,0 ≤ Alc. Bruta &lt; 7,5 mg/L</v>
      </c>
      <c r="BA452" s="77" t="str">
        <f t="shared" si="173"/>
        <v>5 ≤ Cor &lt; 10 uC</v>
      </c>
      <c r="BB452" s="78" t="str">
        <f t="shared" si="174"/>
        <v>Turbidez &lt; 2,5 uT</v>
      </c>
      <c r="BC452" s="79" t="str">
        <f t="shared" si="175"/>
        <v>SM &gt; BNN &gt; TOR</v>
      </c>
      <c r="BD452" s="78" t="str">
        <f t="shared" si="176"/>
        <v>Tipo 1 (≤0,25) uT</v>
      </c>
      <c r="BE452" s="78" t="str">
        <f t="shared" si="177"/>
        <v>Tipo 1 (≤0,25) uT</v>
      </c>
      <c r="BF452" s="78" t="str">
        <f t="shared" si="178"/>
        <v/>
      </c>
      <c r="BG452" s="78" t="str">
        <f t="shared" si="179"/>
        <v>Tipo 1 (≤0,25) uT</v>
      </c>
      <c r="BH452" s="78" t="str">
        <f t="shared" si="180"/>
        <v>Tipo 1 (≤0,25) uT</v>
      </c>
    </row>
    <row r="453" spans="1:60" x14ac:dyDescent="0.2">
      <c r="A453" s="31">
        <v>46309</v>
      </c>
      <c r="B453" s="80">
        <v>0.47916666666666669</v>
      </c>
      <c r="C453" s="57">
        <v>353</v>
      </c>
      <c r="D453" s="57">
        <v>1599</v>
      </c>
      <c r="E453" s="57">
        <v>300</v>
      </c>
      <c r="F453" s="57">
        <v>2300</v>
      </c>
      <c r="G453" s="85" t="s">
        <v>78</v>
      </c>
      <c r="H453" s="63">
        <v>10.4</v>
      </c>
      <c r="I453" s="57">
        <v>95</v>
      </c>
      <c r="J453" s="57">
        <v>90</v>
      </c>
      <c r="K453" s="57">
        <v>90</v>
      </c>
      <c r="L453" s="57">
        <v>90</v>
      </c>
      <c r="M453" s="57">
        <v>26.6</v>
      </c>
      <c r="N453" s="63">
        <v>6.3</v>
      </c>
      <c r="O453" s="36">
        <v>1.24</v>
      </c>
      <c r="P453" s="57">
        <v>8</v>
      </c>
      <c r="Q453" s="63">
        <v>7.1</v>
      </c>
      <c r="R453" s="36">
        <v>0.2</v>
      </c>
      <c r="S453" s="36">
        <v>22.36</v>
      </c>
      <c r="T453" s="36">
        <v>0.88</v>
      </c>
      <c r="U453" s="36">
        <v>0.7</v>
      </c>
      <c r="V453" s="42">
        <f t="shared" si="181"/>
        <v>2438</v>
      </c>
      <c r="W453" s="42">
        <f t="shared" si="182"/>
        <v>1774.2485591999998</v>
      </c>
      <c r="X453" s="42">
        <f t="shared" si="183"/>
        <v>0.72774756324856438</v>
      </c>
      <c r="Y453" s="57">
        <v>3</v>
      </c>
      <c r="Z453" s="57">
        <v>3</v>
      </c>
      <c r="AA453" s="63">
        <v>6</v>
      </c>
      <c r="AB453" s="57">
        <v>24.3</v>
      </c>
      <c r="AC453" s="63">
        <v>6</v>
      </c>
      <c r="AD453" s="63">
        <v>4.7</v>
      </c>
      <c r="AE453" s="36">
        <v>0.11</v>
      </c>
      <c r="AF453" s="36">
        <v>0.51</v>
      </c>
      <c r="AG453" s="42">
        <f t="shared" si="165"/>
        <v>1828.5</v>
      </c>
      <c r="AH453" s="42">
        <f t="shared" si="184"/>
        <v>1979.8438399999998</v>
      </c>
      <c r="AI453" s="42">
        <f t="shared" si="185"/>
        <v>1.0827693956795186</v>
      </c>
      <c r="AJ453" s="57">
        <v>3</v>
      </c>
      <c r="AK453" s="57">
        <v>4</v>
      </c>
      <c r="AL453" s="63">
        <v>6.4</v>
      </c>
      <c r="AM453" s="57">
        <v>25</v>
      </c>
      <c r="AN453" s="63">
        <v>6.1</v>
      </c>
      <c r="AO453" s="63">
        <v>4.2</v>
      </c>
      <c r="AP453" s="36">
        <v>0.22</v>
      </c>
      <c r="AQ453" s="36">
        <v>0.3</v>
      </c>
      <c r="AR453" s="73">
        <f t="shared" si="166"/>
        <v>2252</v>
      </c>
      <c r="AS453" s="75">
        <f t="shared" si="167"/>
        <v>0.15674955595026643</v>
      </c>
      <c r="AT453" s="75">
        <f t="shared" si="168"/>
        <v>0.71003552397868563</v>
      </c>
      <c r="AU453" s="75">
        <f t="shared" si="169"/>
        <v>0.13321492007104796</v>
      </c>
      <c r="AV453" s="26">
        <f t="shared" si="170"/>
        <v>6.3391304347826097E-2</v>
      </c>
      <c r="AW453" s="26">
        <f t="shared" si="171"/>
        <v>8.6956521739130432E-2</v>
      </c>
      <c r="AX453" s="26">
        <f t="shared" si="186"/>
        <v>0.75806451612903225</v>
      </c>
      <c r="AY453" s="24">
        <f t="shared" si="187"/>
        <v>0.58870967741935476</v>
      </c>
      <c r="AZ453" s="77" t="str">
        <f t="shared" si="172"/>
        <v>5,0 ≤ Alc. Bruta &lt; 7,5 mg/L</v>
      </c>
      <c r="BA453" s="77" t="str">
        <f t="shared" si="173"/>
        <v>5 ≤ Cor &lt; 10 uC</v>
      </c>
      <c r="BB453" s="78" t="str">
        <f t="shared" si="174"/>
        <v>Turbidez &lt; 2,5 uT</v>
      </c>
      <c r="BC453" s="79" t="str">
        <f t="shared" si="175"/>
        <v>SM &gt; TOR &gt; BNN</v>
      </c>
      <c r="BD453" s="78" t="str">
        <f t="shared" si="176"/>
        <v>Tipo 1 (≤0,25) uT</v>
      </c>
      <c r="BE453" s="78" t="str">
        <f t="shared" si="177"/>
        <v>Tipo 1 (≤0,25) uT</v>
      </c>
      <c r="BF453" s="78" t="str">
        <f t="shared" si="178"/>
        <v>Tipo 3 (0,50-0,75) uT</v>
      </c>
      <c r="BG453" s="78" t="str">
        <f t="shared" si="179"/>
        <v>Tipo 2 (0,25-0,50) uT</v>
      </c>
      <c r="BH453" s="78" t="str">
        <f t="shared" si="180"/>
        <v>Tipo 1 (≤0,25) uT</v>
      </c>
    </row>
    <row r="454" spans="1:60" x14ac:dyDescent="0.2">
      <c r="A454" s="31">
        <v>46309</v>
      </c>
      <c r="B454" s="80">
        <v>0.72916666666666663</v>
      </c>
      <c r="C454" s="57">
        <v>275</v>
      </c>
      <c r="D454" s="57">
        <v>1660</v>
      </c>
      <c r="E454" s="57">
        <v>270</v>
      </c>
      <c r="F454" s="57">
        <v>1989</v>
      </c>
      <c r="G454" s="85" t="s">
        <v>78</v>
      </c>
      <c r="H454" s="63">
        <v>10.4</v>
      </c>
      <c r="I454" s="57">
        <v>61</v>
      </c>
      <c r="J454" s="57">
        <v>90</v>
      </c>
      <c r="K454" s="57">
        <v>90</v>
      </c>
      <c r="L454" s="57">
        <v>90</v>
      </c>
      <c r="M454" s="57">
        <v>27</v>
      </c>
      <c r="N454" s="63">
        <v>6.4</v>
      </c>
      <c r="O454" s="36">
        <v>1.1000000000000001</v>
      </c>
      <c r="P454" s="57">
        <v>8</v>
      </c>
      <c r="Q454" s="63">
        <v>6.9</v>
      </c>
      <c r="R454" s="36">
        <v>0.2</v>
      </c>
      <c r="S454" s="36">
        <v>22.36</v>
      </c>
      <c r="T454" s="36">
        <v>0.88</v>
      </c>
      <c r="U454" s="36">
        <v>0.7</v>
      </c>
      <c r="V454" s="42">
        <f t="shared" si="181"/>
        <v>2061.9300000000003</v>
      </c>
      <c r="W454" s="42">
        <f t="shared" si="182"/>
        <v>1774.2485591999998</v>
      </c>
      <c r="X454" s="42">
        <f t="shared" si="183"/>
        <v>0.86047953092490992</v>
      </c>
      <c r="Y454" s="57">
        <v>3</v>
      </c>
      <c r="Z454" s="57">
        <v>3</v>
      </c>
      <c r="AA454" s="63">
        <v>6</v>
      </c>
      <c r="AB454" s="57">
        <v>24.3</v>
      </c>
      <c r="AC454" s="63">
        <v>6</v>
      </c>
      <c r="AD454" s="63">
        <v>4.3</v>
      </c>
      <c r="AE454" s="36">
        <v>0.13</v>
      </c>
      <c r="AF454" s="36">
        <v>0.13</v>
      </c>
      <c r="AG454" s="42">
        <f t="shared" si="165"/>
        <v>1546.4475000000002</v>
      </c>
      <c r="AH454" s="42">
        <f t="shared" si="184"/>
        <v>1979.8438399999998</v>
      </c>
      <c r="AI454" s="42">
        <f t="shared" si="185"/>
        <v>1.2802528634176067</v>
      </c>
      <c r="AJ454" s="57">
        <v>3</v>
      </c>
      <c r="AK454" s="57">
        <v>4</v>
      </c>
      <c r="AL454" s="63">
        <v>6.4</v>
      </c>
      <c r="AM454" s="57">
        <v>25</v>
      </c>
      <c r="AN454" s="63">
        <v>6.1</v>
      </c>
      <c r="AO454" s="63">
        <v>4.2</v>
      </c>
      <c r="AP454" s="36">
        <v>0.11</v>
      </c>
      <c r="AQ454" s="36">
        <v>0.14000000000000001</v>
      </c>
      <c r="AR454" s="73">
        <f t="shared" si="166"/>
        <v>2205</v>
      </c>
      <c r="AS454" s="75">
        <f t="shared" si="167"/>
        <v>0.12471655328798185</v>
      </c>
      <c r="AT454" s="75">
        <f t="shared" si="168"/>
        <v>0.75283446712018143</v>
      </c>
      <c r="AU454" s="75">
        <f t="shared" si="169"/>
        <v>0.12244897959183673</v>
      </c>
      <c r="AV454" s="26">
        <f t="shared" si="170"/>
        <v>7.3303167420814483E-2</v>
      </c>
      <c r="AW454" s="26">
        <f t="shared" si="171"/>
        <v>0.10055304172951232</v>
      </c>
      <c r="AX454" s="26">
        <f t="shared" si="186"/>
        <v>0.87272727272727268</v>
      </c>
      <c r="AY454" s="24">
        <f t="shared" si="187"/>
        <v>0.88181818181818183</v>
      </c>
      <c r="AZ454" s="77" t="str">
        <f t="shared" si="172"/>
        <v>5,0 ≤ Alc. Bruta &lt; 7,5 mg/L</v>
      </c>
      <c r="BA454" s="77" t="str">
        <f t="shared" si="173"/>
        <v>5 ≤ Cor &lt; 10 uC</v>
      </c>
      <c r="BB454" s="78" t="str">
        <f t="shared" si="174"/>
        <v>Turbidez &lt; 2,5 uT</v>
      </c>
      <c r="BC454" s="79" t="str">
        <f t="shared" si="175"/>
        <v>SM &gt; TOR &gt; BNN</v>
      </c>
      <c r="BD454" s="78" t="str">
        <f t="shared" si="176"/>
        <v>Tipo 1 (≤0,25) uT</v>
      </c>
      <c r="BE454" s="78" t="str">
        <f t="shared" si="177"/>
        <v>Tipo 1 (≤0,25) uT</v>
      </c>
      <c r="BF454" s="78" t="str">
        <f t="shared" si="178"/>
        <v>Tipo 1 (≤0,25) uT</v>
      </c>
      <c r="BG454" s="78" t="str">
        <f t="shared" si="179"/>
        <v>Tipo 1 (≤0,25) uT</v>
      </c>
      <c r="BH454" s="78" t="str">
        <f t="shared" si="180"/>
        <v>Tipo 1 (≤0,25) uT</v>
      </c>
    </row>
    <row r="455" spans="1:60" x14ac:dyDescent="0.2">
      <c r="A455" s="31">
        <v>46309</v>
      </c>
      <c r="B455" s="80">
        <v>0.8125</v>
      </c>
      <c r="C455" s="57">
        <v>267</v>
      </c>
      <c r="D455" s="57">
        <v>1641</v>
      </c>
      <c r="E455" s="57">
        <v>277</v>
      </c>
      <c r="F455" s="57">
        <v>2348</v>
      </c>
      <c r="G455" s="85" t="s">
        <v>78</v>
      </c>
      <c r="H455" s="63">
        <v>10.4</v>
      </c>
      <c r="I455" s="57">
        <v>38</v>
      </c>
      <c r="J455" s="57">
        <v>90</v>
      </c>
      <c r="K455" s="57">
        <v>90</v>
      </c>
      <c r="L455" s="57">
        <v>90</v>
      </c>
      <c r="M455" s="57">
        <v>27</v>
      </c>
      <c r="N455" s="63">
        <v>6.4</v>
      </c>
      <c r="O455" s="36">
        <v>1.3</v>
      </c>
      <c r="P455" s="57">
        <v>5</v>
      </c>
      <c r="Q455" s="63">
        <v>6.2</v>
      </c>
      <c r="R455" s="36">
        <v>0.2</v>
      </c>
      <c r="S455" s="36">
        <v>22.36</v>
      </c>
      <c r="T455" s="36">
        <v>0.88</v>
      </c>
      <c r="U455" s="36">
        <v>0.7</v>
      </c>
      <c r="V455" s="42">
        <f t="shared" si="181"/>
        <v>2512.3599999999997</v>
      </c>
      <c r="W455" s="42">
        <f t="shared" si="182"/>
        <v>1774.2485591999998</v>
      </c>
      <c r="X455" s="42">
        <f t="shared" si="183"/>
        <v>0.70620793166584406</v>
      </c>
      <c r="Y455" s="57">
        <v>3</v>
      </c>
      <c r="Z455" s="57">
        <v>3</v>
      </c>
      <c r="AA455" s="63">
        <v>6</v>
      </c>
      <c r="AB455" s="57">
        <v>24.3</v>
      </c>
      <c r="AC455" s="63">
        <v>6</v>
      </c>
      <c r="AD455" s="63">
        <v>4.7</v>
      </c>
      <c r="AE455" s="36">
        <v>0.13</v>
      </c>
      <c r="AF455" s="36">
        <v>0.13</v>
      </c>
      <c r="AG455" s="42">
        <f t="shared" si="165"/>
        <v>1884.27</v>
      </c>
      <c r="AH455" s="42">
        <f t="shared" si="184"/>
        <v>1964.00508928</v>
      </c>
      <c r="AI455" s="42">
        <f t="shared" si="185"/>
        <v>1.0423161698058134</v>
      </c>
      <c r="AJ455" s="57">
        <v>3</v>
      </c>
      <c r="AK455" s="57">
        <v>4</v>
      </c>
      <c r="AL455" s="63">
        <v>6.4</v>
      </c>
      <c r="AM455" s="57">
        <v>24.8</v>
      </c>
      <c r="AN455" s="63">
        <v>6.1</v>
      </c>
      <c r="AO455" s="63">
        <v>5.0999999999999996</v>
      </c>
      <c r="AP455" s="36">
        <v>0.25</v>
      </c>
      <c r="AQ455" s="36">
        <v>0.13</v>
      </c>
      <c r="AR455" s="73">
        <f t="shared" si="166"/>
        <v>2185</v>
      </c>
      <c r="AS455" s="75">
        <f t="shared" si="167"/>
        <v>0.12219679633867277</v>
      </c>
      <c r="AT455" s="75">
        <f t="shared" si="168"/>
        <v>0.75102974828375291</v>
      </c>
      <c r="AU455" s="75">
        <f t="shared" si="169"/>
        <v>0.12677345537757437</v>
      </c>
      <c r="AV455" s="26">
        <f t="shared" si="170"/>
        <v>6.2095400340715506E-2</v>
      </c>
      <c r="AW455" s="26">
        <f t="shared" si="171"/>
        <v>8.4497444633730837E-2</v>
      </c>
      <c r="AX455" s="26">
        <f t="shared" si="186"/>
        <v>0.9</v>
      </c>
      <c r="AY455" s="24">
        <f t="shared" si="187"/>
        <v>0.9</v>
      </c>
      <c r="AZ455" s="77" t="str">
        <f t="shared" si="172"/>
        <v>5,0 ≤ Alc. Bruta &lt; 7,5 mg/L</v>
      </c>
      <c r="BA455" s="77" t="str">
        <f t="shared" si="173"/>
        <v>5 ≤ Cor &lt; 10 uC</v>
      </c>
      <c r="BB455" s="78" t="str">
        <f t="shared" si="174"/>
        <v>Turbidez &lt; 2,5 uT</v>
      </c>
      <c r="BC455" s="79" t="str">
        <f t="shared" si="175"/>
        <v>SM &gt; BNN &gt; TOR</v>
      </c>
      <c r="BD455" s="78" t="str">
        <f t="shared" si="176"/>
        <v>Tipo 1 (≤0,25) uT</v>
      </c>
      <c r="BE455" s="78" t="str">
        <f t="shared" si="177"/>
        <v>Tipo 1 (≤0,25) uT</v>
      </c>
      <c r="BF455" s="78" t="str">
        <f t="shared" si="178"/>
        <v>Tipo 1 (≤0,25) uT</v>
      </c>
      <c r="BG455" s="78" t="str">
        <f t="shared" si="179"/>
        <v>Tipo 1 (≤0,25) uT</v>
      </c>
      <c r="BH455" s="78" t="str">
        <f t="shared" si="180"/>
        <v>Tipo 1 (≤0,25) uT</v>
      </c>
    </row>
    <row r="456" spans="1:60" x14ac:dyDescent="0.2">
      <c r="A456" s="31">
        <v>46309</v>
      </c>
      <c r="B456" s="80">
        <v>0.89583333333333337</v>
      </c>
      <c r="C456" s="57">
        <v>270</v>
      </c>
      <c r="D456" s="57">
        <v>1600</v>
      </c>
      <c r="E456" s="57">
        <v>276</v>
      </c>
      <c r="F456" s="57">
        <v>2343</v>
      </c>
      <c r="G456" s="85" t="s">
        <v>78</v>
      </c>
      <c r="H456" s="63">
        <v>10.4</v>
      </c>
      <c r="I456" s="57">
        <v>26</v>
      </c>
      <c r="J456" s="57">
        <v>90</v>
      </c>
      <c r="K456" s="57">
        <v>90</v>
      </c>
      <c r="L456" s="57">
        <v>90</v>
      </c>
      <c r="M456" s="57">
        <v>26.7</v>
      </c>
      <c r="N456" s="63">
        <v>6.4</v>
      </c>
      <c r="O456" s="36">
        <v>1.2</v>
      </c>
      <c r="P456" s="57">
        <v>9</v>
      </c>
      <c r="Q456" s="63">
        <v>6.7</v>
      </c>
      <c r="R456" s="36">
        <v>0.2</v>
      </c>
      <c r="S456" s="36">
        <v>22.36</v>
      </c>
      <c r="T456" s="36">
        <v>0.88</v>
      </c>
      <c r="U456" s="36">
        <v>0.7</v>
      </c>
      <c r="V456" s="42">
        <f t="shared" si="181"/>
        <v>2467.96</v>
      </c>
      <c r="W456" s="42">
        <f t="shared" si="182"/>
        <v>1752.3442559999999</v>
      </c>
      <c r="X456" s="42">
        <f t="shared" si="183"/>
        <v>0.71003754355824233</v>
      </c>
      <c r="Y456" s="57">
        <v>3</v>
      </c>
      <c r="Z456" s="57">
        <v>3</v>
      </c>
      <c r="AA456" s="63">
        <v>6</v>
      </c>
      <c r="AB456" s="57">
        <v>24</v>
      </c>
      <c r="AC456" s="63">
        <v>6</v>
      </c>
      <c r="AD456" s="63">
        <v>5.0999999999999996</v>
      </c>
      <c r="AE456" s="36">
        <v>0.19</v>
      </c>
      <c r="AF456" s="36">
        <v>0.13</v>
      </c>
      <c r="AG456" s="42">
        <f t="shared" si="165"/>
        <v>1850.97</v>
      </c>
      <c r="AH456" s="42">
        <f t="shared" si="184"/>
        <v>1979.8438399999998</v>
      </c>
      <c r="AI456" s="42">
        <f t="shared" si="185"/>
        <v>1.0696250290388281</v>
      </c>
      <c r="AJ456" s="57">
        <v>3</v>
      </c>
      <c r="AK456" s="57">
        <v>4</v>
      </c>
      <c r="AL456" s="63">
        <v>6.4</v>
      </c>
      <c r="AM456" s="57">
        <v>25</v>
      </c>
      <c r="AN456" s="63">
        <v>6</v>
      </c>
      <c r="AO456" s="63">
        <v>4.5999999999999996</v>
      </c>
      <c r="AP456" s="36">
        <v>0.22</v>
      </c>
      <c r="AQ456" s="36">
        <v>0.12</v>
      </c>
      <c r="AR456" s="73">
        <f t="shared" si="166"/>
        <v>2146</v>
      </c>
      <c r="AS456" s="75">
        <f t="shared" si="167"/>
        <v>0.12581547064305684</v>
      </c>
      <c r="AT456" s="75">
        <f t="shared" si="168"/>
        <v>0.74557315936626278</v>
      </c>
      <c r="AU456" s="75">
        <f t="shared" si="169"/>
        <v>0.12861136999068035</v>
      </c>
      <c r="AV456" s="26">
        <f t="shared" si="170"/>
        <v>6.1459667093469908E-2</v>
      </c>
      <c r="AW456" s="26">
        <f t="shared" si="171"/>
        <v>8.5360648740930425E-2</v>
      </c>
      <c r="AX456" s="26">
        <f t="shared" si="186"/>
        <v>0.9</v>
      </c>
      <c r="AY456" s="24">
        <f t="shared" si="187"/>
        <v>0.89166666666666661</v>
      </c>
      <c r="AZ456" s="77" t="str">
        <f t="shared" si="172"/>
        <v>5,0 ≤ Alc. Bruta &lt; 7,5 mg/L</v>
      </c>
      <c r="BA456" s="77" t="str">
        <f t="shared" si="173"/>
        <v>5 ≤ Cor &lt; 10 uC</v>
      </c>
      <c r="BB456" s="78" t="str">
        <f t="shared" si="174"/>
        <v>Turbidez &lt; 2,5 uT</v>
      </c>
      <c r="BC456" s="79" t="str">
        <f t="shared" si="175"/>
        <v>SM &gt; BNN &gt; TOR</v>
      </c>
      <c r="BD456" s="78" t="str">
        <f t="shared" si="176"/>
        <v>Tipo 1 (≤0,25) uT</v>
      </c>
      <c r="BE456" s="78" t="str">
        <f t="shared" si="177"/>
        <v>Tipo 1 (≤0,25) uT</v>
      </c>
      <c r="BF456" s="78" t="str">
        <f t="shared" si="178"/>
        <v>Tipo 1 (≤0,25) uT</v>
      </c>
      <c r="BG456" s="78" t="str">
        <f t="shared" si="179"/>
        <v>Tipo 1 (≤0,25) uT</v>
      </c>
      <c r="BH456" s="78" t="str">
        <f t="shared" si="180"/>
        <v>Tipo 1 (≤0,25) uT</v>
      </c>
    </row>
    <row r="457" spans="1:60" ht="15.75" thickBot="1" x14ac:dyDescent="0.25">
      <c r="A457" s="31">
        <v>46310</v>
      </c>
      <c r="B457" s="80">
        <v>6.25E-2</v>
      </c>
      <c r="C457" s="57">
        <v>270</v>
      </c>
      <c r="D457" s="57">
        <v>1588</v>
      </c>
      <c r="E457" s="57">
        <v>277</v>
      </c>
      <c r="F457" s="57">
        <v>2344</v>
      </c>
      <c r="G457" s="85" t="s">
        <v>78</v>
      </c>
      <c r="H457" s="63">
        <v>10.4</v>
      </c>
      <c r="I457" s="57">
        <v>37</v>
      </c>
      <c r="J457" s="57">
        <v>90</v>
      </c>
      <c r="K457" s="57">
        <v>90</v>
      </c>
      <c r="L457" s="57">
        <v>90</v>
      </c>
      <c r="M457" s="57">
        <v>26</v>
      </c>
      <c r="N457" s="63">
        <v>6.3</v>
      </c>
      <c r="O457" s="36">
        <v>1.31</v>
      </c>
      <c r="P457" s="57">
        <v>13</v>
      </c>
      <c r="Q457" s="63">
        <v>6.9</v>
      </c>
      <c r="R457" s="36">
        <v>0.19</v>
      </c>
      <c r="S457" s="36">
        <v>22.36</v>
      </c>
      <c r="T457" s="36">
        <v>0.88</v>
      </c>
      <c r="U457" s="36">
        <v>0.7</v>
      </c>
      <c r="V457" s="42">
        <f t="shared" si="181"/>
        <v>2511.9866666666667</v>
      </c>
      <c r="W457" s="42">
        <f t="shared" si="182"/>
        <v>1715.2677983999997</v>
      </c>
      <c r="X457" s="42">
        <f t="shared" si="183"/>
        <v>0.68283316195945831</v>
      </c>
      <c r="Y457" s="57">
        <v>3</v>
      </c>
      <c r="Z457" s="57">
        <v>3</v>
      </c>
      <c r="AA457" s="63">
        <v>5.9</v>
      </c>
      <c r="AB457" s="57">
        <v>24</v>
      </c>
      <c r="AC457" s="63">
        <v>6</v>
      </c>
      <c r="AD457" s="63">
        <v>5</v>
      </c>
      <c r="AE457" s="36">
        <v>0.25</v>
      </c>
      <c r="AF457" s="36">
        <v>0.12</v>
      </c>
      <c r="AG457" s="42">
        <f t="shared" si="165"/>
        <v>1883.99</v>
      </c>
      <c r="AH457" s="42">
        <f t="shared" si="184"/>
        <v>1979.8438399999998</v>
      </c>
      <c r="AI457" s="42">
        <f t="shared" si="185"/>
        <v>1.0508781044485374</v>
      </c>
      <c r="AJ457" s="57">
        <v>3</v>
      </c>
      <c r="AK457" s="57">
        <v>4</v>
      </c>
      <c r="AL457" s="63">
        <v>6.4</v>
      </c>
      <c r="AM457" s="57">
        <v>25</v>
      </c>
      <c r="AN457" s="63">
        <v>6.1</v>
      </c>
      <c r="AO457" s="63">
        <v>5</v>
      </c>
      <c r="AP457" s="36">
        <v>0.32</v>
      </c>
      <c r="AQ457" s="36">
        <v>0.14000000000000001</v>
      </c>
      <c r="AR457" s="73">
        <f t="shared" si="166"/>
        <v>2135</v>
      </c>
      <c r="AS457" s="75">
        <f t="shared" si="167"/>
        <v>0.12646370023419204</v>
      </c>
      <c r="AT457" s="75">
        <f t="shared" si="168"/>
        <v>0.74379391100702574</v>
      </c>
      <c r="AU457" s="75">
        <f t="shared" si="169"/>
        <v>0.12974238875878219</v>
      </c>
      <c r="AV457" s="26">
        <f t="shared" si="170"/>
        <v>6.1433447098976107E-2</v>
      </c>
      <c r="AW457" s="26">
        <f t="shared" si="171"/>
        <v>8.5324232081911269E-2</v>
      </c>
      <c r="AX457" s="26">
        <f t="shared" si="186"/>
        <v>0.89312977099236646</v>
      </c>
      <c r="AY457" s="24">
        <f t="shared" si="187"/>
        <v>0.90839694656488557</v>
      </c>
      <c r="AZ457" s="77" t="str">
        <f t="shared" si="172"/>
        <v>5,0 ≤ Alc. Bruta &lt; 7,5 mg/L</v>
      </c>
      <c r="BA457" s="77" t="str">
        <f t="shared" si="173"/>
        <v>10 ≤ Cor &lt;15 uC</v>
      </c>
      <c r="BB457" s="78" t="str">
        <f t="shared" si="174"/>
        <v>Turbidez &lt; 2,5 uT</v>
      </c>
      <c r="BC457" s="79" t="str">
        <f t="shared" si="175"/>
        <v>SM &gt; BNN &gt; TOR</v>
      </c>
      <c r="BD457" s="78" t="str">
        <f t="shared" si="176"/>
        <v>Tipo 1 (≤0,25) uT</v>
      </c>
      <c r="BE457" s="78" t="str">
        <f t="shared" si="177"/>
        <v>Tipo 2 (0,25-0,50) uT</v>
      </c>
      <c r="BF457" s="78" t="str">
        <f t="shared" si="178"/>
        <v>Tipo 1 (≤0,25) uT</v>
      </c>
      <c r="BG457" s="78" t="str">
        <f t="shared" si="179"/>
        <v>Tipo 1 (≤0,25) uT</v>
      </c>
      <c r="BH457" s="78" t="str">
        <f t="shared" si="180"/>
        <v>Tipo 1 (≤0,25) uT</v>
      </c>
    </row>
    <row r="458" spans="1:60" ht="15.75" thickBot="1" x14ac:dyDescent="0.25">
      <c r="A458" s="31">
        <v>46310</v>
      </c>
      <c r="B458" s="80">
        <v>0.8125</v>
      </c>
      <c r="C458" s="59">
        <v>0</v>
      </c>
      <c r="D458" s="57">
        <v>1976</v>
      </c>
      <c r="E458" s="57">
        <v>280</v>
      </c>
      <c r="F458" s="57">
        <v>1953</v>
      </c>
      <c r="G458" s="85" t="s">
        <v>78</v>
      </c>
      <c r="H458" s="63">
        <v>10.4</v>
      </c>
      <c r="I458" s="57">
        <v>37</v>
      </c>
      <c r="J458" s="57">
        <v>90</v>
      </c>
      <c r="K458" s="57">
        <v>90</v>
      </c>
      <c r="L458" s="57">
        <v>90</v>
      </c>
      <c r="M458" s="57">
        <v>24.9</v>
      </c>
      <c r="N458" s="63">
        <v>6.5</v>
      </c>
      <c r="O458" s="36">
        <v>1.35</v>
      </c>
      <c r="P458" s="57">
        <v>10</v>
      </c>
      <c r="Q458" s="63">
        <v>7</v>
      </c>
      <c r="R458" s="36">
        <v>0.1</v>
      </c>
      <c r="S458" s="36">
        <v>22.36</v>
      </c>
      <c r="T458" s="36">
        <v>0.88</v>
      </c>
      <c r="U458" s="36">
        <v>0.7</v>
      </c>
      <c r="V458" s="42">
        <f t="shared" si="181"/>
        <v>2105.9850000000001</v>
      </c>
      <c r="W458" s="42">
        <f t="shared" si="182"/>
        <v>1789.4207135999998</v>
      </c>
      <c r="X458" s="42">
        <f t="shared" si="183"/>
        <v>0.84968350372865886</v>
      </c>
      <c r="Y458" s="57">
        <v>3</v>
      </c>
      <c r="Z458" s="57">
        <v>3</v>
      </c>
      <c r="AA458" s="63">
        <v>6.1</v>
      </c>
      <c r="AB458" s="57">
        <v>24</v>
      </c>
      <c r="AC458" s="63">
        <v>6.1</v>
      </c>
      <c r="AD458" s="63">
        <v>5.4</v>
      </c>
      <c r="AE458" s="36">
        <v>0.14000000000000001</v>
      </c>
      <c r="AF458" s="36">
        <v>0.32</v>
      </c>
      <c r="AG458" s="42">
        <f t="shared" si="165"/>
        <v>1579.4887500000002</v>
      </c>
      <c r="AH458" s="42">
        <f t="shared" si="184"/>
        <v>1979.8438399999998</v>
      </c>
      <c r="AI458" s="42">
        <f t="shared" si="185"/>
        <v>1.2534713146896421</v>
      </c>
      <c r="AJ458" s="57">
        <v>3</v>
      </c>
      <c r="AK458" s="57">
        <v>4</v>
      </c>
      <c r="AL458" s="63">
        <v>6.4</v>
      </c>
      <c r="AM458" s="57">
        <v>25</v>
      </c>
      <c r="AN458" s="63">
        <v>6.1</v>
      </c>
      <c r="AO458" s="63">
        <v>5.0999999999999996</v>
      </c>
      <c r="AP458" s="36">
        <v>0.14000000000000001</v>
      </c>
      <c r="AQ458" s="36">
        <v>0.13</v>
      </c>
      <c r="AR458" s="73">
        <f t="shared" si="166"/>
        <v>2256</v>
      </c>
      <c r="AS458" s="75">
        <f t="shared" si="167"/>
        <v>0</v>
      </c>
      <c r="AT458" s="75">
        <f t="shared" si="168"/>
        <v>0.87588652482269502</v>
      </c>
      <c r="AU458" s="75">
        <f t="shared" si="169"/>
        <v>0.12411347517730496</v>
      </c>
      <c r="AV458" s="26">
        <f t="shared" si="170"/>
        <v>7.3732718894009217E-2</v>
      </c>
      <c r="AW458" s="26">
        <f t="shared" si="171"/>
        <v>0.10240655401945725</v>
      </c>
      <c r="AX458" s="26">
        <f t="shared" si="186"/>
        <v>0.90370370370370368</v>
      </c>
      <c r="AY458" s="24">
        <f t="shared" si="187"/>
        <v>0.76296296296296295</v>
      </c>
      <c r="AZ458" s="77" t="str">
        <f t="shared" si="172"/>
        <v>5,0 ≤ Alc. Bruta &lt; 7,5 mg/L</v>
      </c>
      <c r="BA458" s="77" t="str">
        <f t="shared" si="173"/>
        <v>10 ≤ Cor &lt;15 uC</v>
      </c>
      <c r="BB458" s="78" t="str">
        <f t="shared" si="174"/>
        <v>Turbidez &lt; 2,5 uT</v>
      </c>
      <c r="BC458" s="79" t="str">
        <f t="shared" si="175"/>
        <v>SM &gt; BNN &gt; TOR</v>
      </c>
      <c r="BD458" s="78" t="str">
        <f t="shared" si="176"/>
        <v>Tipo 1 (≤0,25) uT</v>
      </c>
      <c r="BE458" s="78" t="str">
        <f t="shared" si="177"/>
        <v>Tipo 1 (≤0,25) uT</v>
      </c>
      <c r="BF458" s="78" t="str">
        <f t="shared" si="178"/>
        <v>Tipo 2 (0,25-0,50) uT</v>
      </c>
      <c r="BG458" s="78" t="str">
        <f t="shared" si="179"/>
        <v>Tipo 1 (≤0,25) uT</v>
      </c>
      <c r="BH458" s="78" t="str">
        <f t="shared" si="180"/>
        <v>Tipo 1 (≤0,25) uT</v>
      </c>
    </row>
    <row r="459" spans="1:60" ht="15.75" thickBot="1" x14ac:dyDescent="0.25">
      <c r="A459" s="31">
        <v>46310</v>
      </c>
      <c r="B459" s="80">
        <v>0.89583333333333337</v>
      </c>
      <c r="C459" s="59">
        <v>0</v>
      </c>
      <c r="D459" s="57">
        <v>1995</v>
      </c>
      <c r="E459" s="57">
        <v>279</v>
      </c>
      <c r="F459" s="57">
        <v>1953</v>
      </c>
      <c r="G459" s="85" t="s">
        <v>78</v>
      </c>
      <c r="H459" s="63">
        <v>10.4</v>
      </c>
      <c r="I459" s="57">
        <v>37</v>
      </c>
      <c r="J459" s="57">
        <v>90</v>
      </c>
      <c r="K459" s="57">
        <v>90</v>
      </c>
      <c r="L459" s="57">
        <v>90</v>
      </c>
      <c r="M459" s="57">
        <v>24.8</v>
      </c>
      <c r="N459" s="63">
        <v>6.4</v>
      </c>
      <c r="O459" s="36">
        <v>1.39</v>
      </c>
      <c r="P459" s="57">
        <v>10</v>
      </c>
      <c r="Q459" s="63">
        <v>7.5</v>
      </c>
      <c r="R459" s="36">
        <v>0.11</v>
      </c>
      <c r="S459" s="36">
        <v>22.36</v>
      </c>
      <c r="T459" s="36">
        <v>0.88</v>
      </c>
      <c r="U459" s="36">
        <v>0.7</v>
      </c>
      <c r="V459" s="42">
        <f t="shared" si="181"/>
        <v>2119.0050000000001</v>
      </c>
      <c r="W459" s="42">
        <f t="shared" si="182"/>
        <v>1826.4971712000001</v>
      </c>
      <c r="X459" s="42">
        <f t="shared" si="183"/>
        <v>0.86195982133123805</v>
      </c>
      <c r="Y459" s="57">
        <v>3</v>
      </c>
      <c r="Z459" s="57">
        <v>3</v>
      </c>
      <c r="AA459" s="63">
        <v>6.2</v>
      </c>
      <c r="AB459" s="57">
        <v>24</v>
      </c>
      <c r="AC459" s="63">
        <v>6.2</v>
      </c>
      <c r="AD459" s="63">
        <v>5.4</v>
      </c>
      <c r="AE459" s="36">
        <v>0.13</v>
      </c>
      <c r="AF459" s="36">
        <v>0.3</v>
      </c>
      <c r="AG459" s="42">
        <f t="shared" si="165"/>
        <v>1589.2537499999999</v>
      </c>
      <c r="AH459" s="42">
        <f t="shared" si="184"/>
        <v>1979.8438399999998</v>
      </c>
      <c r="AI459" s="42">
        <f t="shared" si="185"/>
        <v>1.2457694940156661</v>
      </c>
      <c r="AJ459" s="57">
        <v>3</v>
      </c>
      <c r="AK459" s="57">
        <v>4</v>
      </c>
      <c r="AL459" s="63">
        <v>6.4</v>
      </c>
      <c r="AM459" s="57">
        <v>25</v>
      </c>
      <c r="AN459" s="63">
        <v>6.2</v>
      </c>
      <c r="AO459" s="63">
        <v>5.4</v>
      </c>
      <c r="AP459" s="36">
        <v>0.12</v>
      </c>
      <c r="AQ459" s="36">
        <v>0.02</v>
      </c>
      <c r="AR459" s="73">
        <f t="shared" si="166"/>
        <v>2274</v>
      </c>
      <c r="AS459" s="75">
        <f t="shared" si="167"/>
        <v>0</v>
      </c>
      <c r="AT459" s="75">
        <f t="shared" si="168"/>
        <v>0.87730870712401055</v>
      </c>
      <c r="AU459" s="75">
        <f t="shared" si="169"/>
        <v>0.12269129287598944</v>
      </c>
      <c r="AV459" s="26">
        <f t="shared" si="170"/>
        <v>7.3732718894009217E-2</v>
      </c>
      <c r="AW459" s="26">
        <f t="shared" si="171"/>
        <v>0.10240655401945725</v>
      </c>
      <c r="AX459" s="26">
        <f t="shared" si="186"/>
        <v>0.98561151079136688</v>
      </c>
      <c r="AY459" s="24">
        <f t="shared" si="187"/>
        <v>0.78417266187050361</v>
      </c>
      <c r="AZ459" s="77" t="str">
        <f t="shared" si="172"/>
        <v>7,5 ≤ Alc. Bruta &lt; 10,0 mg/L</v>
      </c>
      <c r="BA459" s="77" t="str">
        <f t="shared" si="173"/>
        <v>10 ≤ Cor &lt;15 uC</v>
      </c>
      <c r="BB459" s="78" t="str">
        <f t="shared" si="174"/>
        <v>Turbidez &lt; 2,5 uT</v>
      </c>
      <c r="BC459" s="79" t="str">
        <f t="shared" si="175"/>
        <v>SM &gt; BNN &gt; TOR</v>
      </c>
      <c r="BD459" s="78" t="str">
        <f t="shared" si="176"/>
        <v>Tipo 1 (≤0,25) uT</v>
      </c>
      <c r="BE459" s="78" t="str">
        <f t="shared" si="177"/>
        <v>Tipo 1 (≤0,25) uT</v>
      </c>
      <c r="BF459" s="78" t="str">
        <f t="shared" si="178"/>
        <v>Tipo 2 (0,25-0,50) uT</v>
      </c>
      <c r="BG459" s="78" t="str">
        <f t="shared" si="179"/>
        <v>Tipo 1 (≤0,25) uT</v>
      </c>
      <c r="BH459" s="78" t="str">
        <f t="shared" si="180"/>
        <v>Tipo 1 (≤0,25) uT</v>
      </c>
    </row>
    <row r="460" spans="1:60" ht="15.75" thickBot="1" x14ac:dyDescent="0.25">
      <c r="A460" s="31">
        <v>46310</v>
      </c>
      <c r="B460" s="80">
        <v>0.97916666666666663</v>
      </c>
      <c r="C460" s="59">
        <v>0</v>
      </c>
      <c r="D460" s="57">
        <v>1984</v>
      </c>
      <c r="E460" s="57">
        <v>279</v>
      </c>
      <c r="F460" s="57">
        <v>1961</v>
      </c>
      <c r="G460" s="85" t="s">
        <v>78</v>
      </c>
      <c r="H460" s="63">
        <v>10.4</v>
      </c>
      <c r="I460" s="57">
        <v>37</v>
      </c>
      <c r="J460" s="57">
        <v>90</v>
      </c>
      <c r="K460" s="57">
        <v>90</v>
      </c>
      <c r="L460" s="57">
        <v>90</v>
      </c>
      <c r="M460" s="57">
        <v>24.7</v>
      </c>
      <c r="N460" s="63">
        <v>6.4</v>
      </c>
      <c r="O460" s="36">
        <v>1.44</v>
      </c>
      <c r="P460" s="57">
        <v>11</v>
      </c>
      <c r="Q460" s="63">
        <v>7.9</v>
      </c>
      <c r="R460" s="36">
        <v>0.11</v>
      </c>
      <c r="S460" s="36">
        <v>22.36</v>
      </c>
      <c r="T460" s="36">
        <v>0.88</v>
      </c>
      <c r="U460" s="36">
        <v>0.7</v>
      </c>
      <c r="V460" s="42">
        <f t="shared" si="181"/>
        <v>2144.0266666666666</v>
      </c>
      <c r="W460" s="42">
        <f t="shared" si="182"/>
        <v>1826.4971712000001</v>
      </c>
      <c r="X460" s="42">
        <f t="shared" si="183"/>
        <v>0.85190039825375319</v>
      </c>
      <c r="Y460" s="57">
        <v>3</v>
      </c>
      <c r="Z460" s="57">
        <v>3</v>
      </c>
      <c r="AA460" s="63">
        <v>6.2</v>
      </c>
      <c r="AB460" s="57">
        <v>24</v>
      </c>
      <c r="AC460" s="63">
        <v>6.2</v>
      </c>
      <c r="AD460" s="63">
        <v>5.5</v>
      </c>
      <c r="AE460" s="36">
        <v>0.13</v>
      </c>
      <c r="AF460" s="36">
        <v>0.31</v>
      </c>
      <c r="AG460" s="42">
        <f t="shared" si="165"/>
        <v>1608.0200000000002</v>
      </c>
      <c r="AH460" s="42">
        <f t="shared" si="184"/>
        <v>1979.8438399999998</v>
      </c>
      <c r="AI460" s="42">
        <f t="shared" si="185"/>
        <v>1.2312308553376199</v>
      </c>
      <c r="AJ460" s="57">
        <v>3</v>
      </c>
      <c r="AK460" s="57">
        <v>4</v>
      </c>
      <c r="AL460" s="63">
        <v>6.4</v>
      </c>
      <c r="AM460" s="57">
        <v>25</v>
      </c>
      <c r="AN460" s="63">
        <v>6.2</v>
      </c>
      <c r="AO460" s="63">
        <v>5.7</v>
      </c>
      <c r="AP460" s="36">
        <v>0.12</v>
      </c>
      <c r="AQ460" s="36">
        <v>0.24</v>
      </c>
      <c r="AR460" s="73">
        <f t="shared" si="166"/>
        <v>2263</v>
      </c>
      <c r="AS460" s="75">
        <f t="shared" si="167"/>
        <v>0</v>
      </c>
      <c r="AT460" s="75">
        <f t="shared" si="168"/>
        <v>0.87671232876712324</v>
      </c>
      <c r="AU460" s="75">
        <f t="shared" si="169"/>
        <v>0.12328767123287671</v>
      </c>
      <c r="AV460" s="26">
        <f t="shared" si="170"/>
        <v>7.3431922488526272E-2</v>
      </c>
      <c r="AW460" s="26">
        <f t="shared" si="171"/>
        <v>0.10198878123406425</v>
      </c>
      <c r="AX460" s="26">
        <f t="shared" si="186"/>
        <v>0.83333333333333337</v>
      </c>
      <c r="AY460" s="24">
        <f t="shared" si="187"/>
        <v>0.78472222222222221</v>
      </c>
      <c r="AZ460" s="77" t="str">
        <f t="shared" si="172"/>
        <v>7,5 ≤ Alc. Bruta &lt; 10,0 mg/L</v>
      </c>
      <c r="BA460" s="77" t="str">
        <f t="shared" si="173"/>
        <v>10 ≤ Cor &lt;15 uC</v>
      </c>
      <c r="BB460" s="78" t="str">
        <f t="shared" si="174"/>
        <v>Turbidez &lt; 2,5 uT</v>
      </c>
      <c r="BC460" s="79" t="str">
        <f t="shared" si="175"/>
        <v>SM &gt; BNN &gt; TOR</v>
      </c>
      <c r="BD460" s="78" t="str">
        <f t="shared" si="176"/>
        <v>Tipo 1 (≤0,25) uT</v>
      </c>
      <c r="BE460" s="78" t="str">
        <f t="shared" si="177"/>
        <v>Tipo 1 (≤0,25) uT</v>
      </c>
      <c r="BF460" s="78" t="str">
        <f t="shared" si="178"/>
        <v>Tipo 2 (0,25-0,50) uT</v>
      </c>
      <c r="BG460" s="78" t="str">
        <f t="shared" si="179"/>
        <v>Tipo 1 (≤0,25) uT</v>
      </c>
      <c r="BH460" s="78" t="str">
        <f t="shared" si="180"/>
        <v>Tipo 1 (≤0,25) uT</v>
      </c>
    </row>
    <row r="461" spans="1:60" ht="15.75" thickBot="1" x14ac:dyDescent="0.25">
      <c r="A461" s="31">
        <v>46311</v>
      </c>
      <c r="B461" s="80">
        <v>6.25E-2</v>
      </c>
      <c r="C461" s="59">
        <v>0</v>
      </c>
      <c r="D461" s="57">
        <v>1958</v>
      </c>
      <c r="E461" s="57">
        <v>279</v>
      </c>
      <c r="F461" s="57">
        <v>1930</v>
      </c>
      <c r="G461" s="85" t="s">
        <v>78</v>
      </c>
      <c r="H461" s="63">
        <v>10.4</v>
      </c>
      <c r="I461" s="57">
        <v>37</v>
      </c>
      <c r="J461" s="57">
        <v>90</v>
      </c>
      <c r="K461" s="57">
        <v>90</v>
      </c>
      <c r="L461" s="57">
        <v>90</v>
      </c>
      <c r="M461" s="57">
        <v>24.7</v>
      </c>
      <c r="N461" s="63">
        <v>6.1</v>
      </c>
      <c r="O461" s="36">
        <v>1.41</v>
      </c>
      <c r="P461" s="57">
        <v>11</v>
      </c>
      <c r="Q461" s="63">
        <v>6.7</v>
      </c>
      <c r="R461" s="36">
        <v>0.08</v>
      </c>
      <c r="S461" s="36">
        <v>22.36</v>
      </c>
      <c r="T461" s="36">
        <v>0.88</v>
      </c>
      <c r="U461" s="36">
        <v>0.7</v>
      </c>
      <c r="V461" s="42">
        <f t="shared" si="181"/>
        <v>2100.4833333333336</v>
      </c>
      <c r="W461" s="42">
        <f t="shared" si="182"/>
        <v>1826.4971712000001</v>
      </c>
      <c r="X461" s="42">
        <f t="shared" si="183"/>
        <v>0.86956042079203988</v>
      </c>
      <c r="Y461" s="57">
        <v>3</v>
      </c>
      <c r="Z461" s="57">
        <v>3</v>
      </c>
      <c r="AA461" s="63">
        <v>6.2</v>
      </c>
      <c r="AB461" s="57">
        <v>24</v>
      </c>
      <c r="AC461" s="63">
        <v>6.1</v>
      </c>
      <c r="AD461" s="63">
        <v>5.7</v>
      </c>
      <c r="AE461" s="36">
        <v>0.12</v>
      </c>
      <c r="AF461" s="36">
        <v>0.28000000000000003</v>
      </c>
      <c r="AG461" s="42">
        <f t="shared" si="165"/>
        <v>1575.3625</v>
      </c>
      <c r="AH461" s="42">
        <f t="shared" si="184"/>
        <v>1979.8438399999998</v>
      </c>
      <c r="AI461" s="42">
        <f t="shared" si="185"/>
        <v>1.2567544549270404</v>
      </c>
      <c r="AJ461" s="57">
        <v>3</v>
      </c>
      <c r="AK461" s="57">
        <v>4</v>
      </c>
      <c r="AL461" s="63">
        <v>6.4</v>
      </c>
      <c r="AM461" s="57">
        <v>25</v>
      </c>
      <c r="AN461" s="63">
        <v>6.1</v>
      </c>
      <c r="AO461" s="63">
        <v>5.9</v>
      </c>
      <c r="AP461" s="36">
        <v>0.13</v>
      </c>
      <c r="AQ461" s="36">
        <v>0.1</v>
      </c>
      <c r="AR461" s="73">
        <f t="shared" si="166"/>
        <v>2237</v>
      </c>
      <c r="AS461" s="75">
        <f t="shared" si="167"/>
        <v>0</v>
      </c>
      <c r="AT461" s="75">
        <f t="shared" si="168"/>
        <v>0.87527939204291461</v>
      </c>
      <c r="AU461" s="75">
        <f t="shared" si="169"/>
        <v>0.12472060795708538</v>
      </c>
      <c r="AV461" s="26">
        <f t="shared" si="170"/>
        <v>7.4611398963730563E-2</v>
      </c>
      <c r="AW461" s="26">
        <f t="shared" si="171"/>
        <v>0.10362694300518134</v>
      </c>
      <c r="AX461" s="26">
        <f t="shared" si="186"/>
        <v>0.92907801418439717</v>
      </c>
      <c r="AY461" s="24">
        <f t="shared" si="187"/>
        <v>0.80141843971631199</v>
      </c>
      <c r="AZ461" s="77" t="str">
        <f t="shared" si="172"/>
        <v>5,0 ≤ Alc. Bruta &lt; 7,5 mg/L</v>
      </c>
      <c r="BA461" s="77" t="str">
        <f t="shared" si="173"/>
        <v>10 ≤ Cor &lt;15 uC</v>
      </c>
      <c r="BB461" s="78" t="str">
        <f t="shared" si="174"/>
        <v>Turbidez &lt; 2,5 uT</v>
      </c>
      <c r="BC461" s="79" t="str">
        <f t="shared" si="175"/>
        <v>SM &gt; BNN &gt; TOR</v>
      </c>
      <c r="BD461" s="78" t="str">
        <f t="shared" si="176"/>
        <v>Tipo 1 (≤0,25) uT</v>
      </c>
      <c r="BE461" s="78" t="str">
        <f t="shared" si="177"/>
        <v>Tipo 1 (≤0,25) uT</v>
      </c>
      <c r="BF461" s="78" t="str">
        <f t="shared" si="178"/>
        <v>Tipo 2 (0,25-0,50) uT</v>
      </c>
      <c r="BG461" s="78" t="str">
        <f t="shared" si="179"/>
        <v>Tipo 1 (≤0,25) uT</v>
      </c>
      <c r="BH461" s="78" t="str">
        <f t="shared" si="180"/>
        <v>Tipo 1 (≤0,25) uT</v>
      </c>
    </row>
    <row r="462" spans="1:60" ht="15.75" thickBot="1" x14ac:dyDescent="0.25">
      <c r="A462" s="31">
        <v>46311</v>
      </c>
      <c r="B462" s="80">
        <v>0.14583333333333334</v>
      </c>
      <c r="C462" s="59">
        <v>0</v>
      </c>
      <c r="D462" s="57">
        <v>1891</v>
      </c>
      <c r="E462" s="57">
        <v>279</v>
      </c>
      <c r="F462" s="57">
        <v>1905</v>
      </c>
      <c r="G462" s="85" t="s">
        <v>78</v>
      </c>
      <c r="H462" s="63">
        <v>10.4</v>
      </c>
      <c r="I462" s="57">
        <v>37</v>
      </c>
      <c r="J462" s="57">
        <v>90</v>
      </c>
      <c r="K462" s="57">
        <v>90</v>
      </c>
      <c r="L462" s="57">
        <v>90</v>
      </c>
      <c r="M462" s="57">
        <v>24.6</v>
      </c>
      <c r="N462" s="63">
        <v>6.4</v>
      </c>
      <c r="O462" s="36">
        <v>1.39</v>
      </c>
      <c r="P462" s="57">
        <v>11</v>
      </c>
      <c r="Q462" s="63">
        <v>7.2</v>
      </c>
      <c r="R462" s="36">
        <v>0.08</v>
      </c>
      <c r="S462" s="36">
        <v>22.36</v>
      </c>
      <c r="T462" s="36">
        <v>0.88</v>
      </c>
      <c r="U462" s="36">
        <v>0.7</v>
      </c>
      <c r="V462" s="42">
        <f t="shared" si="181"/>
        <v>2066.9249999999997</v>
      </c>
      <c r="W462" s="42">
        <f t="shared" si="182"/>
        <v>1752.3442559999999</v>
      </c>
      <c r="X462" s="42">
        <f t="shared" si="183"/>
        <v>0.84780253565078567</v>
      </c>
      <c r="Y462" s="57">
        <v>3</v>
      </c>
      <c r="Z462" s="57">
        <v>3</v>
      </c>
      <c r="AA462" s="63">
        <v>6</v>
      </c>
      <c r="AB462" s="57">
        <v>24</v>
      </c>
      <c r="AC462" s="63">
        <v>6.1</v>
      </c>
      <c r="AD462" s="63">
        <v>5.6</v>
      </c>
      <c r="AE462" s="36">
        <v>0.16</v>
      </c>
      <c r="AF462" s="36">
        <v>0.26</v>
      </c>
      <c r="AG462" s="42">
        <f t="shared" si="165"/>
        <v>1550.1937499999999</v>
      </c>
      <c r="AH462" s="42">
        <f t="shared" si="184"/>
        <v>1979.8438399999998</v>
      </c>
      <c r="AI462" s="42">
        <f t="shared" si="185"/>
        <v>1.2771589615814152</v>
      </c>
      <c r="AJ462" s="57">
        <v>3</v>
      </c>
      <c r="AK462" s="57">
        <v>4</v>
      </c>
      <c r="AL462" s="63">
        <v>6.4</v>
      </c>
      <c r="AM462" s="57">
        <v>25</v>
      </c>
      <c r="AN462" s="63">
        <v>6</v>
      </c>
      <c r="AO462" s="63">
        <v>5.5</v>
      </c>
      <c r="AP462" s="36">
        <v>0.18</v>
      </c>
      <c r="AQ462" s="36">
        <v>0.11</v>
      </c>
      <c r="AR462" s="73">
        <f t="shared" si="166"/>
        <v>2170</v>
      </c>
      <c r="AS462" s="75">
        <f t="shared" si="167"/>
        <v>0</v>
      </c>
      <c r="AT462" s="75">
        <f t="shared" si="168"/>
        <v>0.87142857142857144</v>
      </c>
      <c r="AU462" s="75">
        <f t="shared" si="169"/>
        <v>0.12857142857142856</v>
      </c>
      <c r="AV462" s="26">
        <f t="shared" si="170"/>
        <v>7.5590551181102361E-2</v>
      </c>
      <c r="AW462" s="26">
        <f t="shared" si="171"/>
        <v>0.10498687664041995</v>
      </c>
      <c r="AX462" s="26">
        <f t="shared" si="186"/>
        <v>0.92086330935251803</v>
      </c>
      <c r="AY462" s="24">
        <f t="shared" si="187"/>
        <v>0.81294964028776973</v>
      </c>
      <c r="AZ462" s="77" t="str">
        <f t="shared" si="172"/>
        <v>5,0 ≤ Alc. Bruta &lt; 7,5 mg/L</v>
      </c>
      <c r="BA462" s="77" t="str">
        <f t="shared" si="173"/>
        <v>10 ≤ Cor &lt;15 uC</v>
      </c>
      <c r="BB462" s="78" t="str">
        <f t="shared" si="174"/>
        <v>Turbidez &lt; 2,5 uT</v>
      </c>
      <c r="BC462" s="79" t="str">
        <f t="shared" si="175"/>
        <v>SM &gt; BNN &gt; TOR</v>
      </c>
      <c r="BD462" s="78" t="str">
        <f t="shared" si="176"/>
        <v>Tipo 1 (≤0,25) uT</v>
      </c>
      <c r="BE462" s="78" t="str">
        <f t="shared" si="177"/>
        <v>Tipo 1 (≤0,25) uT</v>
      </c>
      <c r="BF462" s="78" t="str">
        <f t="shared" si="178"/>
        <v>Tipo 2 (0,25-0,50) uT</v>
      </c>
      <c r="BG462" s="78" t="str">
        <f t="shared" si="179"/>
        <v>Tipo 1 (≤0,25) uT</v>
      </c>
      <c r="BH462" s="78" t="str">
        <f t="shared" si="180"/>
        <v>Tipo 1 (≤0,25) uT</v>
      </c>
    </row>
    <row r="463" spans="1:60" ht="15.75" thickBot="1" x14ac:dyDescent="0.25">
      <c r="A463" s="32">
        <v>46311</v>
      </c>
      <c r="B463" s="81">
        <v>0.22916666666666666</v>
      </c>
      <c r="C463" s="59">
        <v>0</v>
      </c>
      <c r="D463" s="58">
        <v>1885</v>
      </c>
      <c r="E463" s="58">
        <v>280</v>
      </c>
      <c r="F463" s="58">
        <v>1904</v>
      </c>
      <c r="G463" s="86" t="s">
        <v>78</v>
      </c>
      <c r="H463" s="64">
        <v>10.4</v>
      </c>
      <c r="I463" s="57">
        <v>37</v>
      </c>
      <c r="J463" s="58">
        <v>90</v>
      </c>
      <c r="K463" s="58">
        <v>90</v>
      </c>
      <c r="L463" s="58">
        <v>90</v>
      </c>
      <c r="M463" s="58">
        <v>24.5</v>
      </c>
      <c r="N463" s="64">
        <v>6.4</v>
      </c>
      <c r="O463" s="37">
        <v>1.36</v>
      </c>
      <c r="P463" s="58">
        <v>10</v>
      </c>
      <c r="Q463" s="64">
        <v>7.3</v>
      </c>
      <c r="R463" s="37">
        <v>0.08</v>
      </c>
      <c r="S463" s="36">
        <v>22.36</v>
      </c>
      <c r="T463" s="36">
        <v>0.88</v>
      </c>
      <c r="U463" s="36">
        <v>0.7</v>
      </c>
      <c r="V463" s="42">
        <f t="shared" si="181"/>
        <v>2056.3200000000002</v>
      </c>
      <c r="W463" s="42">
        <f t="shared" si="182"/>
        <v>1679.3299119999999</v>
      </c>
      <c r="X463" s="42">
        <f t="shared" si="183"/>
        <v>0.81666759648303755</v>
      </c>
      <c r="Y463" s="58">
        <v>3</v>
      </c>
      <c r="Z463" s="58">
        <v>3</v>
      </c>
      <c r="AA463" s="64">
        <v>6</v>
      </c>
      <c r="AB463" s="58">
        <v>23</v>
      </c>
      <c r="AC463" s="64">
        <v>6.1</v>
      </c>
      <c r="AD463" s="64">
        <v>5.6</v>
      </c>
      <c r="AE463" s="37">
        <v>0.17</v>
      </c>
      <c r="AF463" s="37">
        <v>0.24</v>
      </c>
      <c r="AG463" s="42">
        <f t="shared" si="165"/>
        <v>1542.24</v>
      </c>
      <c r="AH463" s="42">
        <f t="shared" si="184"/>
        <v>1979.8438399999998</v>
      </c>
      <c r="AI463" s="42">
        <f t="shared" si="185"/>
        <v>1.2837456167652244</v>
      </c>
      <c r="AJ463" s="58">
        <v>3</v>
      </c>
      <c r="AK463" s="58">
        <v>4</v>
      </c>
      <c r="AL463" s="64">
        <v>6.4</v>
      </c>
      <c r="AM463" s="58">
        <v>25</v>
      </c>
      <c r="AN463" s="64">
        <v>6</v>
      </c>
      <c r="AO463" s="64">
        <v>5.4</v>
      </c>
      <c r="AP463" s="37">
        <v>0.16</v>
      </c>
      <c r="AQ463" s="37">
        <v>0.1</v>
      </c>
      <c r="AR463" s="73">
        <f t="shared" si="166"/>
        <v>2165</v>
      </c>
      <c r="AS463" s="75">
        <f t="shared" si="167"/>
        <v>0</v>
      </c>
      <c r="AT463" s="75">
        <f t="shared" si="168"/>
        <v>0.87066974595842961</v>
      </c>
      <c r="AU463" s="75">
        <f t="shared" si="169"/>
        <v>0.12933025404157045</v>
      </c>
      <c r="AV463" s="26">
        <f t="shared" si="170"/>
        <v>7.2478991596638662E-2</v>
      </c>
      <c r="AW463" s="26">
        <f t="shared" si="171"/>
        <v>0.10504201680672269</v>
      </c>
      <c r="AX463" s="26">
        <f t="shared" si="186"/>
        <v>0.92647058823529416</v>
      </c>
      <c r="AY463" s="24">
        <f t="shared" si="187"/>
        <v>0.82352941176470584</v>
      </c>
      <c r="AZ463" s="77" t="str">
        <f t="shared" si="172"/>
        <v>5,0 ≤ Alc. Bruta &lt; 7,5 mg/L</v>
      </c>
      <c r="BA463" s="77" t="str">
        <f t="shared" si="173"/>
        <v>10 ≤ Cor &lt;15 uC</v>
      </c>
      <c r="BB463" s="78" t="str">
        <f t="shared" si="174"/>
        <v>Turbidez &lt; 2,5 uT</v>
      </c>
      <c r="BC463" s="79" t="str">
        <f t="shared" si="175"/>
        <v>SM &gt; BNN &gt; TOR</v>
      </c>
      <c r="BD463" s="78" t="str">
        <f t="shared" si="176"/>
        <v>Tipo 1 (≤0,25) uT</v>
      </c>
      <c r="BE463" s="78" t="str">
        <f t="shared" si="177"/>
        <v>Tipo 1 (≤0,25) uT</v>
      </c>
      <c r="BF463" s="78" t="str">
        <f t="shared" si="178"/>
        <v>Tipo 1 (≤0,25) uT</v>
      </c>
      <c r="BG463" s="78" t="str">
        <f t="shared" si="179"/>
        <v>Tipo 1 (≤0,25) uT</v>
      </c>
      <c r="BH463" s="78" t="str">
        <f t="shared" si="180"/>
        <v>Tipo 1 (≤0,25) uT</v>
      </c>
    </row>
    <row r="464" spans="1:60" ht="15.75" thickBot="1" x14ac:dyDescent="0.25">
      <c r="A464" s="30">
        <v>46311</v>
      </c>
      <c r="B464" s="82">
        <v>0.3125</v>
      </c>
      <c r="C464" s="59">
        <v>0</v>
      </c>
      <c r="D464" s="59">
        <v>1870</v>
      </c>
      <c r="E464" s="59">
        <v>280</v>
      </c>
      <c r="F464" s="59">
        <v>2200</v>
      </c>
      <c r="G464" s="87" t="s">
        <v>78</v>
      </c>
      <c r="H464" s="65">
        <v>10.4</v>
      </c>
      <c r="I464" s="57">
        <v>37</v>
      </c>
      <c r="J464" s="59">
        <v>90</v>
      </c>
      <c r="K464" s="59">
        <v>90</v>
      </c>
      <c r="L464" s="59">
        <v>90</v>
      </c>
      <c r="M464" s="59">
        <v>25</v>
      </c>
      <c r="N464" s="65">
        <v>6.4</v>
      </c>
      <c r="O464" s="38">
        <v>1.58</v>
      </c>
      <c r="P464" s="59">
        <v>8</v>
      </c>
      <c r="Q464" s="65">
        <v>6.9</v>
      </c>
      <c r="R464" s="38">
        <v>0.15</v>
      </c>
      <c r="S464" s="36">
        <v>22.36</v>
      </c>
      <c r="T464" s="36">
        <v>0.88</v>
      </c>
      <c r="U464" s="36">
        <v>0.7</v>
      </c>
      <c r="V464" s="42">
        <f t="shared" si="181"/>
        <v>2456.666666666667</v>
      </c>
      <c r="W464" s="42">
        <f t="shared" si="182"/>
        <v>1608.2667015999998</v>
      </c>
      <c r="X464" s="42">
        <f t="shared" si="183"/>
        <v>0.6546540169335141</v>
      </c>
      <c r="Y464" s="59">
        <v>3</v>
      </c>
      <c r="Z464" s="59">
        <v>3</v>
      </c>
      <c r="AA464" s="65">
        <v>5.8</v>
      </c>
      <c r="AB464" s="59">
        <v>23</v>
      </c>
      <c r="AC464" s="65">
        <v>6.1</v>
      </c>
      <c r="AD464" s="65">
        <v>5.5</v>
      </c>
      <c r="AE464" s="38">
        <v>0.13</v>
      </c>
      <c r="AF464" s="38"/>
      <c r="AG464" s="42">
        <f t="shared" si="165"/>
        <v>1842.5</v>
      </c>
      <c r="AH464" s="42">
        <f t="shared" si="184"/>
        <v>1979.8438399999998</v>
      </c>
      <c r="AI464" s="42">
        <f t="shared" si="185"/>
        <v>1.0745421112618723</v>
      </c>
      <c r="AJ464" s="59">
        <v>3</v>
      </c>
      <c r="AK464" s="59">
        <v>4</v>
      </c>
      <c r="AL464" s="65">
        <v>6.4</v>
      </c>
      <c r="AM464" s="59">
        <v>25</v>
      </c>
      <c r="AN464" s="65">
        <v>6.1</v>
      </c>
      <c r="AO464" s="65">
        <v>5.3</v>
      </c>
      <c r="AP464" s="38">
        <v>0.21</v>
      </c>
      <c r="AQ464" s="38">
        <v>0.12</v>
      </c>
      <c r="AR464" s="73">
        <f t="shared" si="166"/>
        <v>2150</v>
      </c>
      <c r="AS464" s="75">
        <f t="shared" si="167"/>
        <v>0</v>
      </c>
      <c r="AT464" s="75">
        <f t="shared" si="168"/>
        <v>0.86976744186046506</v>
      </c>
      <c r="AU464" s="75">
        <f t="shared" si="169"/>
        <v>0.13023255813953488</v>
      </c>
      <c r="AV464" s="26">
        <f t="shared" si="170"/>
        <v>6.2727272727272729E-2</v>
      </c>
      <c r="AW464" s="26">
        <f t="shared" si="171"/>
        <v>9.0909090909090912E-2</v>
      </c>
      <c r="AX464" s="26">
        <f t="shared" si="186"/>
        <v>0.92405063291139244</v>
      </c>
      <c r="AY464" s="24" t="str">
        <f t="shared" si="187"/>
        <v/>
      </c>
      <c r="AZ464" s="77" t="str">
        <f t="shared" si="172"/>
        <v>5,0 ≤ Alc. Bruta &lt; 7,5 mg/L</v>
      </c>
      <c r="BA464" s="77" t="str">
        <f t="shared" si="173"/>
        <v>5 ≤ Cor &lt; 10 uC</v>
      </c>
      <c r="BB464" s="78" t="str">
        <f t="shared" si="174"/>
        <v>Turbidez &lt; 2,5 uT</v>
      </c>
      <c r="BC464" s="79" t="str">
        <f t="shared" si="175"/>
        <v>SM &gt; BNN &gt; TOR</v>
      </c>
      <c r="BD464" s="78" t="str">
        <f t="shared" si="176"/>
        <v>Tipo 1 (≤0,25) uT</v>
      </c>
      <c r="BE464" s="78" t="str">
        <f t="shared" si="177"/>
        <v>Tipo 1 (≤0,25) uT</v>
      </c>
      <c r="BF464" s="78" t="str">
        <f t="shared" si="178"/>
        <v/>
      </c>
      <c r="BG464" s="78" t="str">
        <f t="shared" si="179"/>
        <v>Tipo 1 (≤0,25) uT</v>
      </c>
      <c r="BH464" s="78" t="str">
        <f t="shared" si="180"/>
        <v>Tipo 1 (≤0,25) uT</v>
      </c>
    </row>
    <row r="465" spans="1:60" ht="15.75" thickBot="1" x14ac:dyDescent="0.25">
      <c r="A465" s="31">
        <v>46311</v>
      </c>
      <c r="B465" s="80">
        <v>0.39583333333333331</v>
      </c>
      <c r="C465" s="59">
        <v>0</v>
      </c>
      <c r="D465" s="57">
        <v>1888</v>
      </c>
      <c r="E465" s="57">
        <v>250</v>
      </c>
      <c r="F465" s="57">
        <v>2200</v>
      </c>
      <c r="G465" s="85" t="s">
        <v>78</v>
      </c>
      <c r="H465" s="63">
        <v>10.4</v>
      </c>
      <c r="I465" s="57">
        <v>37</v>
      </c>
      <c r="J465" s="57">
        <v>90</v>
      </c>
      <c r="K465" s="57">
        <v>90</v>
      </c>
      <c r="L465" s="57">
        <v>90</v>
      </c>
      <c r="M465" s="57">
        <v>26.1</v>
      </c>
      <c r="N465" s="63">
        <v>6.4</v>
      </c>
      <c r="O465" s="36">
        <v>1.55</v>
      </c>
      <c r="P465" s="57">
        <v>8</v>
      </c>
      <c r="Q465" s="63">
        <v>6.9</v>
      </c>
      <c r="R465" s="36">
        <v>0.14000000000000001</v>
      </c>
      <c r="S465" s="36">
        <v>22.36</v>
      </c>
      <c r="T465" s="36">
        <v>0.88</v>
      </c>
      <c r="U465" s="36">
        <v>0.7</v>
      </c>
      <c r="V465" s="42">
        <f t="shared" si="181"/>
        <v>2445.666666666667</v>
      </c>
      <c r="W465" s="42">
        <f t="shared" si="182"/>
        <v>1608.2667015999998</v>
      </c>
      <c r="X465" s="42">
        <f t="shared" si="183"/>
        <v>0.65759848777429453</v>
      </c>
      <c r="Y465" s="57">
        <v>3</v>
      </c>
      <c r="Z465" s="57">
        <v>3</v>
      </c>
      <c r="AA465" s="63">
        <v>5.8</v>
      </c>
      <c r="AB465" s="57">
        <v>23</v>
      </c>
      <c r="AC465" s="63">
        <v>6.2</v>
      </c>
      <c r="AD465" s="63">
        <v>5.6</v>
      </c>
      <c r="AE465" s="36">
        <v>0.18</v>
      </c>
      <c r="AF465" s="36"/>
      <c r="AG465" s="42">
        <f t="shared" si="165"/>
        <v>1834.25</v>
      </c>
      <c r="AH465" s="42">
        <f t="shared" si="184"/>
        <v>1979.8438399999998</v>
      </c>
      <c r="AI465" s="42">
        <f t="shared" si="185"/>
        <v>1.0793751342510562</v>
      </c>
      <c r="AJ465" s="57">
        <v>3</v>
      </c>
      <c r="AK465" s="57">
        <v>4</v>
      </c>
      <c r="AL465" s="63">
        <v>6.4</v>
      </c>
      <c r="AM465" s="57">
        <v>25</v>
      </c>
      <c r="AN465" s="63">
        <v>6.2</v>
      </c>
      <c r="AO465" s="63">
        <v>5.7</v>
      </c>
      <c r="AP465" s="36">
        <v>0.22</v>
      </c>
      <c r="AQ465" s="36">
        <v>0.13</v>
      </c>
      <c r="AR465" s="73">
        <f t="shared" si="166"/>
        <v>2138</v>
      </c>
      <c r="AS465" s="75">
        <f t="shared" si="167"/>
        <v>0</v>
      </c>
      <c r="AT465" s="75">
        <f t="shared" si="168"/>
        <v>0.88306828811973803</v>
      </c>
      <c r="AU465" s="75">
        <f t="shared" si="169"/>
        <v>0.11693171188026193</v>
      </c>
      <c r="AV465" s="26">
        <f t="shared" si="170"/>
        <v>6.2727272727272729E-2</v>
      </c>
      <c r="AW465" s="26">
        <f t="shared" si="171"/>
        <v>9.0909090909090912E-2</v>
      </c>
      <c r="AX465" s="26">
        <f t="shared" si="186"/>
        <v>0.91612903225806452</v>
      </c>
      <c r="AY465" s="24" t="str">
        <f t="shared" si="187"/>
        <v/>
      </c>
      <c r="AZ465" s="77" t="str">
        <f t="shared" si="172"/>
        <v>5,0 ≤ Alc. Bruta &lt; 7,5 mg/L</v>
      </c>
      <c r="BA465" s="77" t="str">
        <f t="shared" si="173"/>
        <v>5 ≤ Cor &lt; 10 uC</v>
      </c>
      <c r="BB465" s="78" t="str">
        <f t="shared" si="174"/>
        <v>Turbidez &lt; 2,5 uT</v>
      </c>
      <c r="BC465" s="79" t="str">
        <f t="shared" si="175"/>
        <v>SM &gt; BNN &gt; TOR</v>
      </c>
      <c r="BD465" s="78" t="str">
        <f t="shared" si="176"/>
        <v>Tipo 1 (≤0,25) uT</v>
      </c>
      <c r="BE465" s="78" t="str">
        <f t="shared" si="177"/>
        <v>Tipo 1 (≤0,25) uT</v>
      </c>
      <c r="BF465" s="78" t="str">
        <f t="shared" si="178"/>
        <v/>
      </c>
      <c r="BG465" s="78" t="str">
        <f t="shared" si="179"/>
        <v>Tipo 1 (≤0,25) uT</v>
      </c>
      <c r="BH465" s="78" t="str">
        <f t="shared" si="180"/>
        <v>Tipo 1 (≤0,25) uT</v>
      </c>
    </row>
    <row r="466" spans="1:60" ht="15.75" thickBot="1" x14ac:dyDescent="0.25">
      <c r="A466" s="31">
        <v>46311</v>
      </c>
      <c r="B466" s="80">
        <v>0.64583333333333337</v>
      </c>
      <c r="C466" s="59">
        <v>0</v>
      </c>
      <c r="D466" s="57">
        <v>1865</v>
      </c>
      <c r="E466" s="57">
        <v>500</v>
      </c>
      <c r="F466" s="57">
        <v>2420</v>
      </c>
      <c r="G466" s="85" t="s">
        <v>78</v>
      </c>
      <c r="H466" s="63">
        <v>10</v>
      </c>
      <c r="I466" s="57">
        <v>-3</v>
      </c>
      <c r="J466" s="57">
        <v>90</v>
      </c>
      <c r="K466" s="57">
        <v>90</v>
      </c>
      <c r="L466" s="57">
        <v>90</v>
      </c>
      <c r="M466" s="57">
        <v>25.9</v>
      </c>
      <c r="N466" s="63">
        <v>6.4</v>
      </c>
      <c r="O466" s="36">
        <v>1.48</v>
      </c>
      <c r="P466" s="57">
        <v>8</v>
      </c>
      <c r="Q466" s="63">
        <v>7.9</v>
      </c>
      <c r="R466" s="36">
        <v>0.1</v>
      </c>
      <c r="S466" s="36">
        <v>22.36</v>
      </c>
      <c r="T466" s="36">
        <v>0.88</v>
      </c>
      <c r="U466" s="36">
        <v>0.7</v>
      </c>
      <c r="V466" s="42">
        <f t="shared" si="181"/>
        <v>1960.2</v>
      </c>
      <c r="W466" s="42">
        <f t="shared" si="182"/>
        <v>1826.4971712000001</v>
      </c>
      <c r="X466" s="42">
        <f t="shared" si="183"/>
        <v>0.93179123109886752</v>
      </c>
      <c r="Y466" s="57">
        <v>3</v>
      </c>
      <c r="Z466" s="57">
        <v>4</v>
      </c>
      <c r="AA466" s="63">
        <v>6.2</v>
      </c>
      <c r="AB466" s="57">
        <v>24</v>
      </c>
      <c r="AC466" s="63">
        <v>6.2</v>
      </c>
      <c r="AD466" s="63">
        <v>6.3</v>
      </c>
      <c r="AE466" s="36">
        <v>0.21</v>
      </c>
      <c r="AF466" s="36">
        <v>0.18</v>
      </c>
      <c r="AG466" s="42">
        <f t="shared" si="165"/>
        <v>2613.6</v>
      </c>
      <c r="AH466" s="42">
        <f t="shared" si="184"/>
        <v>1979.8438399999998</v>
      </c>
      <c r="AI466" s="42">
        <f t="shared" si="185"/>
        <v>0.75751600857055401</v>
      </c>
      <c r="AJ466" s="57">
        <v>3</v>
      </c>
      <c r="AK466" s="57">
        <v>3</v>
      </c>
      <c r="AL466" s="63">
        <v>6.4</v>
      </c>
      <c r="AM466" s="57">
        <v>25</v>
      </c>
      <c r="AN466" s="63">
        <v>6.1</v>
      </c>
      <c r="AO466" s="63">
        <v>6.4</v>
      </c>
      <c r="AP466" s="36">
        <v>0.19</v>
      </c>
      <c r="AQ466" s="36">
        <v>0.14000000000000001</v>
      </c>
      <c r="AR466" s="73">
        <f t="shared" si="166"/>
        <v>2365</v>
      </c>
      <c r="AS466" s="75">
        <f t="shared" si="167"/>
        <v>0</v>
      </c>
      <c r="AT466" s="75">
        <f t="shared" si="168"/>
        <v>0.78858350951374212</v>
      </c>
      <c r="AU466" s="75">
        <f t="shared" si="169"/>
        <v>0.21141649048625794</v>
      </c>
      <c r="AV466" s="26">
        <f t="shared" si="170"/>
        <v>7.9338842975206617E-2</v>
      </c>
      <c r="AW466" s="26">
        <f t="shared" si="171"/>
        <v>6.1983471074380167E-2</v>
      </c>
      <c r="AX466" s="26">
        <f t="shared" si="186"/>
        <v>0.90540540540540537</v>
      </c>
      <c r="AY466" s="24">
        <f t="shared" si="187"/>
        <v>0.8783783783783784</v>
      </c>
      <c r="AZ466" s="77" t="str">
        <f t="shared" si="172"/>
        <v>7,5 ≤ Alc. Bruta &lt; 10,0 mg/L</v>
      </c>
      <c r="BA466" s="77" t="str">
        <f t="shared" si="173"/>
        <v>5 ≤ Cor &lt; 10 uC</v>
      </c>
      <c r="BB466" s="78" t="str">
        <f t="shared" si="174"/>
        <v>Turbidez &lt; 2,5 uT</v>
      </c>
      <c r="BC466" s="79" t="str">
        <f t="shared" si="175"/>
        <v>SM &gt; BNN &gt; TOR</v>
      </c>
      <c r="BD466" s="78" t="str">
        <f t="shared" si="176"/>
        <v>Tipo 1 (≤0,25) uT</v>
      </c>
      <c r="BE466" s="78" t="str">
        <f t="shared" si="177"/>
        <v>Tipo 1 (≤0,25) uT</v>
      </c>
      <c r="BF466" s="78" t="str">
        <f t="shared" si="178"/>
        <v>Tipo 1 (≤0,25) uT</v>
      </c>
      <c r="BG466" s="78" t="str">
        <f t="shared" si="179"/>
        <v>Tipo 1 (≤0,25) uT</v>
      </c>
      <c r="BH466" s="78" t="str">
        <f t="shared" si="180"/>
        <v>Tipo 1 (≤0,25) uT</v>
      </c>
    </row>
    <row r="467" spans="1:60" ht="15.75" thickBot="1" x14ac:dyDescent="0.25">
      <c r="A467" s="31">
        <v>46311</v>
      </c>
      <c r="B467" s="80">
        <v>0.72916666666666663</v>
      </c>
      <c r="C467" s="59">
        <v>0</v>
      </c>
      <c r="D467" s="57">
        <v>1870</v>
      </c>
      <c r="E467" s="57">
        <v>499</v>
      </c>
      <c r="F467" s="57">
        <v>2420</v>
      </c>
      <c r="G467" s="85" t="s">
        <v>78</v>
      </c>
      <c r="H467" s="63">
        <v>9.5</v>
      </c>
      <c r="I467" s="57">
        <v>-2</v>
      </c>
      <c r="J467" s="57">
        <v>90</v>
      </c>
      <c r="K467" s="57">
        <v>90</v>
      </c>
      <c r="L467" s="57">
        <v>90</v>
      </c>
      <c r="M467" s="57">
        <v>25.5</v>
      </c>
      <c r="N467" s="63">
        <v>6.4</v>
      </c>
      <c r="O467" s="36">
        <v>1.51</v>
      </c>
      <c r="P467" s="57">
        <v>9</v>
      </c>
      <c r="Q467" s="63">
        <v>8.1</v>
      </c>
      <c r="R467" s="36">
        <v>0.11</v>
      </c>
      <c r="S467" s="36">
        <v>22.36</v>
      </c>
      <c r="T467" s="36">
        <v>0.88</v>
      </c>
      <c r="U467" s="36">
        <v>0.7</v>
      </c>
      <c r="V467" s="42">
        <f t="shared" si="181"/>
        <v>1923.9</v>
      </c>
      <c r="W467" s="42">
        <f t="shared" si="182"/>
        <v>1826.4971712000001</v>
      </c>
      <c r="X467" s="42">
        <f t="shared" si="183"/>
        <v>0.94937219772337444</v>
      </c>
      <c r="Y467" s="57">
        <v>3</v>
      </c>
      <c r="Z467" s="57">
        <v>4</v>
      </c>
      <c r="AA467" s="63">
        <v>6.2</v>
      </c>
      <c r="AB467" s="57">
        <v>24</v>
      </c>
      <c r="AC467" s="63">
        <v>6.2</v>
      </c>
      <c r="AD467" s="63">
        <v>6.2</v>
      </c>
      <c r="AE467" s="36">
        <v>0.23</v>
      </c>
      <c r="AF467" s="36">
        <v>0.16</v>
      </c>
      <c r="AG467" s="42">
        <f t="shared" si="165"/>
        <v>1923.9</v>
      </c>
      <c r="AH467" s="42">
        <f t="shared" si="184"/>
        <v>1979.8438399999998</v>
      </c>
      <c r="AI467" s="42">
        <f t="shared" si="185"/>
        <v>1.0290783512656581</v>
      </c>
      <c r="AJ467" s="57">
        <v>4</v>
      </c>
      <c r="AK467" s="57">
        <v>4</v>
      </c>
      <c r="AL467" s="63">
        <v>6.4</v>
      </c>
      <c r="AM467" s="57">
        <v>25</v>
      </c>
      <c r="AN467" s="63">
        <v>6.1</v>
      </c>
      <c r="AO467" s="63">
        <v>6.9</v>
      </c>
      <c r="AP467" s="36">
        <v>0.18</v>
      </c>
      <c r="AQ467" s="36">
        <v>0.13</v>
      </c>
      <c r="AR467" s="73">
        <f t="shared" si="166"/>
        <v>2369</v>
      </c>
      <c r="AS467" s="75">
        <f t="shared" si="167"/>
        <v>0</v>
      </c>
      <c r="AT467" s="75">
        <f t="shared" si="168"/>
        <v>0.78936260025327143</v>
      </c>
      <c r="AU467" s="75">
        <f t="shared" si="169"/>
        <v>0.21063739974672857</v>
      </c>
      <c r="AV467" s="26">
        <f t="shared" si="170"/>
        <v>7.9338842975206617E-2</v>
      </c>
      <c r="AW467" s="26">
        <f t="shared" si="171"/>
        <v>8.2644628099173556E-2</v>
      </c>
      <c r="AX467" s="26">
        <f t="shared" si="186"/>
        <v>0.91390728476821192</v>
      </c>
      <c r="AY467" s="24">
        <f t="shared" si="187"/>
        <v>0.89403973509933776</v>
      </c>
      <c r="AZ467" s="77" t="str">
        <f t="shared" si="172"/>
        <v>7,5 ≤ Alc. Bruta &lt; 10,0 mg/L</v>
      </c>
      <c r="BA467" s="77" t="str">
        <f t="shared" si="173"/>
        <v>5 ≤ Cor &lt; 10 uC</v>
      </c>
      <c r="BB467" s="78" t="str">
        <f t="shared" si="174"/>
        <v>Turbidez &lt; 2,5 uT</v>
      </c>
      <c r="BC467" s="79" t="str">
        <f t="shared" si="175"/>
        <v>SM &gt; BNN &gt; TOR</v>
      </c>
      <c r="BD467" s="78" t="str">
        <f t="shared" si="176"/>
        <v>Tipo 1 (≤0,25) uT</v>
      </c>
      <c r="BE467" s="78" t="str">
        <f t="shared" si="177"/>
        <v>Tipo 1 (≤0,25) uT</v>
      </c>
      <c r="BF467" s="78" t="str">
        <f t="shared" si="178"/>
        <v>Tipo 1 (≤0,25) uT</v>
      </c>
      <c r="BG467" s="78" t="str">
        <f t="shared" si="179"/>
        <v>Tipo 1 (≤0,25) uT</v>
      </c>
      <c r="BH467" s="78" t="str">
        <f t="shared" si="180"/>
        <v>Tipo 1 (≤0,25) uT</v>
      </c>
    </row>
    <row r="468" spans="1:60" ht="15.75" thickBot="1" x14ac:dyDescent="0.25">
      <c r="A468" s="31">
        <v>46311</v>
      </c>
      <c r="B468" s="80">
        <v>0.8125</v>
      </c>
      <c r="C468" s="59">
        <v>0</v>
      </c>
      <c r="D468" s="57">
        <v>1362</v>
      </c>
      <c r="E468" s="57">
        <v>500</v>
      </c>
      <c r="F468" s="57">
        <v>1862</v>
      </c>
      <c r="G468" s="85" t="s">
        <v>78</v>
      </c>
      <c r="H468" s="63">
        <v>9.5</v>
      </c>
      <c r="I468" s="57">
        <v>14</v>
      </c>
      <c r="J468" s="57">
        <v>90</v>
      </c>
      <c r="K468" s="57">
        <v>90</v>
      </c>
      <c r="L468" s="57">
        <v>90</v>
      </c>
      <c r="M468" s="57">
        <v>25.1</v>
      </c>
      <c r="N468" s="63">
        <v>6.5</v>
      </c>
      <c r="O468" s="36">
        <v>1.38</v>
      </c>
      <c r="P468" s="57">
        <v>11</v>
      </c>
      <c r="Q468" s="63">
        <v>9.5</v>
      </c>
      <c r="R468" s="36">
        <v>0.09</v>
      </c>
      <c r="S468" s="36">
        <v>22.36</v>
      </c>
      <c r="T468" s="36">
        <v>0.88</v>
      </c>
      <c r="U468" s="36">
        <v>0.7</v>
      </c>
      <c r="V468" s="42">
        <f t="shared" si="181"/>
        <v>1450.0325</v>
      </c>
      <c r="W468" s="42">
        <f t="shared" si="182"/>
        <v>1826.4971712000001</v>
      </c>
      <c r="X468" s="42">
        <f t="shared" si="183"/>
        <v>1.2596249885433604</v>
      </c>
      <c r="Y468" s="57">
        <v>3</v>
      </c>
      <c r="Z468" s="57">
        <v>4</v>
      </c>
      <c r="AA468" s="63">
        <v>6.2</v>
      </c>
      <c r="AB468" s="57">
        <v>24</v>
      </c>
      <c r="AC468" s="63">
        <v>6.3</v>
      </c>
      <c r="AD468" s="63">
        <v>7.8</v>
      </c>
      <c r="AE468" s="36">
        <v>0.23</v>
      </c>
      <c r="AF468" s="36">
        <v>0.12</v>
      </c>
      <c r="AG468" s="42">
        <f t="shared" si="165"/>
        <v>1933.3766666666668</v>
      </c>
      <c r="AH468" s="42">
        <f t="shared" si="184"/>
        <v>1979.8438399999998</v>
      </c>
      <c r="AI468" s="42">
        <f t="shared" si="185"/>
        <v>1.0240342061298624</v>
      </c>
      <c r="AJ468" s="57">
        <v>3</v>
      </c>
      <c r="AK468" s="57">
        <v>3</v>
      </c>
      <c r="AL468" s="63">
        <v>6.4</v>
      </c>
      <c r="AM468" s="57">
        <v>25</v>
      </c>
      <c r="AN468" s="63">
        <v>6.3</v>
      </c>
      <c r="AO468" s="63">
        <v>8.1</v>
      </c>
      <c r="AP468" s="36">
        <v>0.16</v>
      </c>
      <c r="AQ468" s="36">
        <v>0.13</v>
      </c>
      <c r="AR468" s="73">
        <f t="shared" si="166"/>
        <v>1862</v>
      </c>
      <c r="AS468" s="75">
        <f t="shared" si="167"/>
        <v>0</v>
      </c>
      <c r="AT468" s="75">
        <f t="shared" si="168"/>
        <v>0.73147153598281422</v>
      </c>
      <c r="AU468" s="75">
        <f t="shared" si="169"/>
        <v>0.26852846401718583</v>
      </c>
      <c r="AV468" s="26">
        <f t="shared" si="170"/>
        <v>0.10311493018259936</v>
      </c>
      <c r="AW468" s="26">
        <f t="shared" si="171"/>
        <v>8.0558539205155752E-2</v>
      </c>
      <c r="AX468" s="26">
        <f t="shared" si="186"/>
        <v>0.90579710144927539</v>
      </c>
      <c r="AY468" s="24">
        <f t="shared" si="187"/>
        <v>0.91304347826086962</v>
      </c>
      <c r="AZ468" s="77" t="str">
        <f t="shared" si="172"/>
        <v>7,5 ≤ Alc. Bruta &lt; 10,0 mg/L</v>
      </c>
      <c r="BA468" s="77" t="str">
        <f t="shared" si="173"/>
        <v>10 ≤ Cor &lt;15 uC</v>
      </c>
      <c r="BB468" s="78" t="str">
        <f t="shared" si="174"/>
        <v>Turbidez &lt; 2,5 uT</v>
      </c>
      <c r="BC468" s="79" t="str">
        <f t="shared" si="175"/>
        <v>SM &gt; BNN &gt; TOR</v>
      </c>
      <c r="BD468" s="78" t="str">
        <f t="shared" si="176"/>
        <v>Tipo 1 (≤0,25) uT</v>
      </c>
      <c r="BE468" s="78" t="str">
        <f t="shared" si="177"/>
        <v>Tipo 1 (≤0,25) uT</v>
      </c>
      <c r="BF468" s="78" t="str">
        <f t="shared" si="178"/>
        <v>Tipo 1 (≤0,25) uT</v>
      </c>
      <c r="BG468" s="78" t="str">
        <f t="shared" si="179"/>
        <v>Tipo 1 (≤0,25) uT</v>
      </c>
      <c r="BH468" s="78" t="str">
        <f t="shared" si="180"/>
        <v>Tipo 1 (≤0,25) uT</v>
      </c>
    </row>
    <row r="469" spans="1:60" ht="15.75" thickBot="1" x14ac:dyDescent="0.25">
      <c r="A469" s="31">
        <v>46311</v>
      </c>
      <c r="B469" s="80">
        <v>0.89583333333333337</v>
      </c>
      <c r="C469" s="59">
        <v>0</v>
      </c>
      <c r="D469" s="57">
        <v>1381</v>
      </c>
      <c r="E469" s="57">
        <v>501</v>
      </c>
      <c r="F469" s="57">
        <v>1870</v>
      </c>
      <c r="G469" s="85" t="s">
        <v>78</v>
      </c>
      <c r="H469" s="63">
        <v>9.5</v>
      </c>
      <c r="I469" s="57">
        <v>5</v>
      </c>
      <c r="J469" s="57">
        <v>20</v>
      </c>
      <c r="K469" s="57">
        <v>90</v>
      </c>
      <c r="L469" s="57">
        <v>90</v>
      </c>
      <c r="M469" s="57">
        <v>24.6</v>
      </c>
      <c r="N469" s="63">
        <v>6.5</v>
      </c>
      <c r="O469" s="36">
        <v>1.46</v>
      </c>
      <c r="P469" s="57">
        <v>8</v>
      </c>
      <c r="Q469" s="63">
        <v>9.9</v>
      </c>
      <c r="R469" s="36">
        <v>0.08</v>
      </c>
      <c r="S469" s="36">
        <v>22.36</v>
      </c>
      <c r="T469" s="36">
        <v>0.88</v>
      </c>
      <c r="U469" s="36">
        <v>0.7</v>
      </c>
      <c r="V469" s="42">
        <f t="shared" si="181"/>
        <v>1474.9625000000001</v>
      </c>
      <c r="W469" s="42">
        <f t="shared" si="182"/>
        <v>1750.3931224</v>
      </c>
      <c r="X469" s="42">
        <f t="shared" si="183"/>
        <v>1.1867373729162605</v>
      </c>
      <c r="Y469" s="57">
        <v>3</v>
      </c>
      <c r="Z469" s="57">
        <v>4</v>
      </c>
      <c r="AA469" s="63">
        <v>6.2</v>
      </c>
      <c r="AB469" s="57">
        <v>23</v>
      </c>
      <c r="AC469" s="63">
        <v>6.4</v>
      </c>
      <c r="AD469" s="63">
        <v>7.6</v>
      </c>
      <c r="AE469" s="36">
        <v>0.16</v>
      </c>
      <c r="AF469" s="36">
        <v>0.1</v>
      </c>
      <c r="AG469" s="42">
        <f t="shared" si="165"/>
        <v>1966.616666666667</v>
      </c>
      <c r="AH469" s="42">
        <f t="shared" si="184"/>
        <v>1979.8438399999998</v>
      </c>
      <c r="AI469" s="42">
        <f t="shared" si="185"/>
        <v>1.006725852352178</v>
      </c>
      <c r="AJ469" s="57">
        <v>3</v>
      </c>
      <c r="AK469" s="57">
        <v>3</v>
      </c>
      <c r="AL469" s="63">
        <v>6.4</v>
      </c>
      <c r="AM469" s="57">
        <v>25</v>
      </c>
      <c r="AN469" s="63">
        <v>6.4</v>
      </c>
      <c r="AO469" s="63">
        <v>8.3000000000000007</v>
      </c>
      <c r="AP469" s="36">
        <v>0.19</v>
      </c>
      <c r="AQ469" s="36">
        <v>7.0000000000000007E-2</v>
      </c>
      <c r="AR469" s="73">
        <f t="shared" si="166"/>
        <v>1882</v>
      </c>
      <c r="AS469" s="75">
        <f t="shared" si="167"/>
        <v>0</v>
      </c>
      <c r="AT469" s="75">
        <f t="shared" si="168"/>
        <v>0.73379383634431461</v>
      </c>
      <c r="AU469" s="75">
        <f t="shared" si="169"/>
        <v>0.26620616365568545</v>
      </c>
      <c r="AV469" s="26">
        <f t="shared" si="170"/>
        <v>9.8395721925133683E-2</v>
      </c>
      <c r="AW469" s="26">
        <f t="shared" si="171"/>
        <v>8.0213903743315509E-2</v>
      </c>
      <c r="AX469" s="26">
        <f t="shared" si="186"/>
        <v>0.95205479452054798</v>
      </c>
      <c r="AY469" s="24">
        <f t="shared" si="187"/>
        <v>0.93150684931506844</v>
      </c>
      <c r="AZ469" s="77" t="str">
        <f t="shared" si="172"/>
        <v>7,5 ≤ Alc. Bruta &lt; 10,0 mg/L</v>
      </c>
      <c r="BA469" s="77" t="str">
        <f t="shared" si="173"/>
        <v>5 ≤ Cor &lt; 10 uC</v>
      </c>
      <c r="BB469" s="78" t="str">
        <f t="shared" si="174"/>
        <v>Turbidez &lt; 2,5 uT</v>
      </c>
      <c r="BC469" s="79" t="str">
        <f t="shared" si="175"/>
        <v>SM &gt; BNN &gt; TOR</v>
      </c>
      <c r="BD469" s="78" t="str">
        <f t="shared" si="176"/>
        <v>Tipo 1 (≤0,25) uT</v>
      </c>
      <c r="BE469" s="78" t="str">
        <f t="shared" si="177"/>
        <v>Tipo 1 (≤0,25) uT</v>
      </c>
      <c r="BF469" s="78" t="str">
        <f t="shared" si="178"/>
        <v>Tipo 1 (≤0,25) uT</v>
      </c>
      <c r="BG469" s="78" t="str">
        <f t="shared" si="179"/>
        <v>Tipo 1 (≤0,25) uT</v>
      </c>
      <c r="BH469" s="78" t="str">
        <f t="shared" si="180"/>
        <v>Tipo 1 (≤0,25) uT</v>
      </c>
    </row>
    <row r="470" spans="1:60" ht="15.75" thickBot="1" x14ac:dyDescent="0.25">
      <c r="A470" s="31">
        <v>46312</v>
      </c>
      <c r="B470" s="80">
        <v>6.25E-2</v>
      </c>
      <c r="C470" s="59">
        <v>0</v>
      </c>
      <c r="D470" s="57">
        <v>1419</v>
      </c>
      <c r="E470" s="57">
        <v>500</v>
      </c>
      <c r="F470" s="57">
        <v>1923</v>
      </c>
      <c r="G470" s="85" t="s">
        <v>78</v>
      </c>
      <c r="H470" s="63">
        <v>9.5</v>
      </c>
      <c r="I470" s="57">
        <v>0</v>
      </c>
      <c r="J470" s="57">
        <v>90</v>
      </c>
      <c r="K470" s="57">
        <v>90</v>
      </c>
      <c r="L470" s="57">
        <v>90</v>
      </c>
      <c r="M470" s="57">
        <v>24.6</v>
      </c>
      <c r="N470" s="63">
        <v>6.6</v>
      </c>
      <c r="O470" s="36">
        <v>1.44</v>
      </c>
      <c r="P470" s="57">
        <v>10</v>
      </c>
      <c r="Q470" s="63">
        <v>10.1</v>
      </c>
      <c r="R470" s="36">
        <v>0.09</v>
      </c>
      <c r="S470" s="36">
        <v>22.36</v>
      </c>
      <c r="T470" s="36">
        <v>0.88</v>
      </c>
      <c r="U470" s="36">
        <v>0.7</v>
      </c>
      <c r="V470" s="42">
        <f t="shared" si="181"/>
        <v>1511.95875</v>
      </c>
      <c r="W470" s="42">
        <f t="shared" si="182"/>
        <v>1750.3931224</v>
      </c>
      <c r="X470" s="42">
        <f t="shared" si="183"/>
        <v>1.1576989930446184</v>
      </c>
      <c r="Y470" s="57">
        <v>3</v>
      </c>
      <c r="Z470" s="57">
        <v>4</v>
      </c>
      <c r="AA470" s="63">
        <v>6.2</v>
      </c>
      <c r="AB470" s="57">
        <v>23</v>
      </c>
      <c r="AC470" s="63">
        <v>6.3</v>
      </c>
      <c r="AD470" s="63">
        <v>7.4</v>
      </c>
      <c r="AE470" s="36">
        <v>0.19</v>
      </c>
      <c r="AF470" s="36">
        <v>0.1</v>
      </c>
      <c r="AG470" s="42">
        <f t="shared" si="165"/>
        <v>2015.9449999999999</v>
      </c>
      <c r="AH470" s="42">
        <f t="shared" si="184"/>
        <v>1979.8438399999998</v>
      </c>
      <c r="AI470" s="42">
        <f t="shared" si="185"/>
        <v>0.9820921900151045</v>
      </c>
      <c r="AJ470" s="57">
        <v>3</v>
      </c>
      <c r="AK470" s="57">
        <v>3</v>
      </c>
      <c r="AL470" s="63">
        <v>6.4</v>
      </c>
      <c r="AM470" s="57">
        <v>25</v>
      </c>
      <c r="AN470" s="63">
        <v>6.3</v>
      </c>
      <c r="AO470" s="63">
        <v>7.9</v>
      </c>
      <c r="AP470" s="36">
        <v>0.17</v>
      </c>
      <c r="AQ470" s="36">
        <v>7.0000000000000007E-2</v>
      </c>
      <c r="AR470" s="73">
        <f t="shared" si="166"/>
        <v>1919</v>
      </c>
      <c r="AS470" s="75">
        <f t="shared" si="167"/>
        <v>0</v>
      </c>
      <c r="AT470" s="75">
        <f t="shared" si="168"/>
        <v>0.73944762897342364</v>
      </c>
      <c r="AU470" s="75">
        <f t="shared" si="169"/>
        <v>0.26055237102657636</v>
      </c>
      <c r="AV470" s="26">
        <f t="shared" si="170"/>
        <v>9.5683827353094122E-2</v>
      </c>
      <c r="AW470" s="26">
        <f t="shared" si="171"/>
        <v>7.8003120124804995E-2</v>
      </c>
      <c r="AX470" s="26">
        <f t="shared" si="186"/>
        <v>0.95138888888888884</v>
      </c>
      <c r="AY470" s="24">
        <f t="shared" si="187"/>
        <v>0.93055555555555558</v>
      </c>
      <c r="AZ470" s="77" t="str">
        <f t="shared" si="172"/>
        <v>10,0 ≤ Alca. Bruta &lt; 15,0 mg/L</v>
      </c>
      <c r="BA470" s="77" t="str">
        <f t="shared" si="173"/>
        <v>10 ≤ Cor &lt;15 uC</v>
      </c>
      <c r="BB470" s="78" t="str">
        <f t="shared" si="174"/>
        <v>Turbidez &lt; 2,5 uT</v>
      </c>
      <c r="BC470" s="79" t="str">
        <f t="shared" si="175"/>
        <v>SM &gt; BNN &gt; TOR</v>
      </c>
      <c r="BD470" s="78" t="str">
        <f t="shared" si="176"/>
        <v>Tipo 1 (≤0,25) uT</v>
      </c>
      <c r="BE470" s="78" t="str">
        <f t="shared" si="177"/>
        <v>Tipo 1 (≤0,25) uT</v>
      </c>
      <c r="BF470" s="78" t="str">
        <f t="shared" si="178"/>
        <v>Tipo 1 (≤0,25) uT</v>
      </c>
      <c r="BG470" s="78" t="str">
        <f t="shared" si="179"/>
        <v>Tipo 1 (≤0,25) uT</v>
      </c>
      <c r="BH470" s="78" t="str">
        <f t="shared" si="180"/>
        <v>Tipo 1 (≤0,25) uT</v>
      </c>
    </row>
    <row r="471" spans="1:60" ht="15.75" thickBot="1" x14ac:dyDescent="0.25">
      <c r="A471" s="31">
        <v>46312</v>
      </c>
      <c r="B471" s="80">
        <v>0.14583333333333334</v>
      </c>
      <c r="C471" s="59">
        <v>0</v>
      </c>
      <c r="D471" s="57">
        <v>1381</v>
      </c>
      <c r="E471" s="57">
        <v>500</v>
      </c>
      <c r="F471" s="57">
        <v>1936</v>
      </c>
      <c r="G471" s="85" t="s">
        <v>78</v>
      </c>
      <c r="H471" s="63">
        <v>9.5</v>
      </c>
      <c r="I471" s="57">
        <v>0</v>
      </c>
      <c r="J471" s="57">
        <v>90</v>
      </c>
      <c r="K471" s="57">
        <v>90</v>
      </c>
      <c r="L471" s="57">
        <v>90</v>
      </c>
      <c r="M471" s="57">
        <v>24.2</v>
      </c>
      <c r="N471" s="63">
        <v>6.5</v>
      </c>
      <c r="O471" s="36">
        <v>1.28</v>
      </c>
      <c r="P471" s="57">
        <v>6</v>
      </c>
      <c r="Q471" s="63">
        <v>9.6</v>
      </c>
      <c r="R471" s="36">
        <v>0.09</v>
      </c>
      <c r="S471" s="36">
        <v>22.36</v>
      </c>
      <c r="T471" s="36">
        <v>0.88</v>
      </c>
      <c r="U471" s="36">
        <v>0.7</v>
      </c>
      <c r="V471" s="42">
        <f t="shared" si="181"/>
        <v>1483.46</v>
      </c>
      <c r="W471" s="42">
        <f t="shared" si="182"/>
        <v>1900.6500864</v>
      </c>
      <c r="X471" s="42">
        <f t="shared" si="183"/>
        <v>1.2812277286883367</v>
      </c>
      <c r="Y471" s="57">
        <v>3</v>
      </c>
      <c r="Z471" s="57">
        <v>4</v>
      </c>
      <c r="AA471" s="63">
        <v>6.4</v>
      </c>
      <c r="AB471" s="57">
        <v>24</v>
      </c>
      <c r="AC471" s="63">
        <v>6.3</v>
      </c>
      <c r="AD471" s="63">
        <v>8.6</v>
      </c>
      <c r="AE471" s="36">
        <v>0.26</v>
      </c>
      <c r="AF471" s="36">
        <v>0.1</v>
      </c>
      <c r="AG471" s="42">
        <f t="shared" si="165"/>
        <v>1977.9466666666667</v>
      </c>
      <c r="AH471" s="42">
        <f t="shared" si="184"/>
        <v>1979.8438399999998</v>
      </c>
      <c r="AI471" s="42">
        <f t="shared" si="185"/>
        <v>1.000959163037763</v>
      </c>
      <c r="AJ471" s="57">
        <v>3</v>
      </c>
      <c r="AK471" s="57">
        <v>3</v>
      </c>
      <c r="AL471" s="63">
        <v>6.4</v>
      </c>
      <c r="AM471" s="57">
        <v>25</v>
      </c>
      <c r="AN471" s="63">
        <v>6.3</v>
      </c>
      <c r="AO471" s="63">
        <v>8.1999999999999993</v>
      </c>
      <c r="AP471" s="36">
        <v>0.18</v>
      </c>
      <c r="AQ471" s="36">
        <v>0.08</v>
      </c>
      <c r="AR471" s="73">
        <f t="shared" si="166"/>
        <v>1881</v>
      </c>
      <c r="AS471" s="75">
        <f t="shared" si="167"/>
        <v>0</v>
      </c>
      <c r="AT471" s="75">
        <f t="shared" si="168"/>
        <v>0.73418394471026049</v>
      </c>
      <c r="AU471" s="75">
        <f t="shared" si="169"/>
        <v>0.26581605528973951</v>
      </c>
      <c r="AV471" s="26">
        <f t="shared" si="170"/>
        <v>9.9173553719008267E-2</v>
      </c>
      <c r="AW471" s="26">
        <f t="shared" si="171"/>
        <v>7.7479338842975198E-2</v>
      </c>
      <c r="AX471" s="26">
        <f t="shared" si="186"/>
        <v>0.9375</v>
      </c>
      <c r="AY471" s="24">
        <f t="shared" si="187"/>
        <v>0.921875</v>
      </c>
      <c r="AZ471" s="77" t="str">
        <f t="shared" si="172"/>
        <v>7,5 ≤ Alc. Bruta &lt; 10,0 mg/L</v>
      </c>
      <c r="BA471" s="77" t="str">
        <f t="shared" si="173"/>
        <v>5 ≤ Cor &lt; 10 uC</v>
      </c>
      <c r="BB471" s="78" t="str">
        <f t="shared" si="174"/>
        <v>Turbidez &lt; 2,5 uT</v>
      </c>
      <c r="BC471" s="79" t="str">
        <f t="shared" si="175"/>
        <v>SM &gt; BNN &gt; TOR</v>
      </c>
      <c r="BD471" s="78" t="str">
        <f t="shared" si="176"/>
        <v>Tipo 2 (0,25-0,50) uT</v>
      </c>
      <c r="BE471" s="78" t="str">
        <f t="shared" si="177"/>
        <v>Tipo 1 (≤0,25) uT</v>
      </c>
      <c r="BF471" s="78" t="str">
        <f t="shared" si="178"/>
        <v>Tipo 1 (≤0,25) uT</v>
      </c>
      <c r="BG471" s="78" t="str">
        <f t="shared" si="179"/>
        <v>Tipo 1 (≤0,25) uT</v>
      </c>
      <c r="BH471" s="78" t="str">
        <f t="shared" si="180"/>
        <v>Tipo 1 (≤0,25) uT</v>
      </c>
    </row>
    <row r="472" spans="1:60" ht="15.75" thickBot="1" x14ac:dyDescent="0.25">
      <c r="A472" s="32">
        <v>46312</v>
      </c>
      <c r="B472" s="81">
        <v>0.22916666666666666</v>
      </c>
      <c r="C472" s="59">
        <v>0</v>
      </c>
      <c r="D472" s="58">
        <v>1360</v>
      </c>
      <c r="E472" s="58">
        <v>500</v>
      </c>
      <c r="F472" s="58">
        <v>1868</v>
      </c>
      <c r="G472" s="86" t="s">
        <v>78</v>
      </c>
      <c r="H472" s="64">
        <v>9.5</v>
      </c>
      <c r="I472" s="58">
        <v>1</v>
      </c>
      <c r="J472" s="58">
        <v>90</v>
      </c>
      <c r="K472" s="58">
        <v>90</v>
      </c>
      <c r="L472" s="58">
        <v>90</v>
      </c>
      <c r="M472" s="58">
        <v>24.1</v>
      </c>
      <c r="N472" s="64">
        <v>6.6</v>
      </c>
      <c r="O472" s="37">
        <v>1.26</v>
      </c>
      <c r="P472" s="58">
        <v>7</v>
      </c>
      <c r="Q472" s="64">
        <v>8.4</v>
      </c>
      <c r="R472" s="37">
        <v>0.09</v>
      </c>
      <c r="S472" s="36">
        <v>22.36</v>
      </c>
      <c r="T472" s="36">
        <v>0.88</v>
      </c>
      <c r="U472" s="36">
        <v>0.7</v>
      </c>
      <c r="V472" s="42">
        <f t="shared" si="181"/>
        <v>1426.6850000000002</v>
      </c>
      <c r="W472" s="42">
        <f t="shared" si="182"/>
        <v>1752.3442559999999</v>
      </c>
      <c r="X472" s="42">
        <f t="shared" si="183"/>
        <v>1.228262900359925</v>
      </c>
      <c r="Y472" s="58">
        <v>3</v>
      </c>
      <c r="Z472" s="58">
        <v>4</v>
      </c>
      <c r="AA472" s="64">
        <v>6</v>
      </c>
      <c r="AB472" s="58">
        <v>24</v>
      </c>
      <c r="AC472" s="64">
        <v>6.3</v>
      </c>
      <c r="AD472" s="64">
        <v>8.6999999999999993</v>
      </c>
      <c r="AE472" s="37">
        <v>0.13</v>
      </c>
      <c r="AF472" s="37">
        <v>0.1</v>
      </c>
      <c r="AG472" s="42">
        <f t="shared" si="165"/>
        <v>1902.2466666666667</v>
      </c>
      <c r="AH472" s="42">
        <f t="shared" si="184"/>
        <v>1979.8438399999998</v>
      </c>
      <c r="AI472" s="42">
        <f t="shared" si="185"/>
        <v>1.0407923823408811</v>
      </c>
      <c r="AJ472" s="58">
        <v>3</v>
      </c>
      <c r="AK472" s="58">
        <v>3</v>
      </c>
      <c r="AL472" s="64">
        <v>6.4</v>
      </c>
      <c r="AM472" s="58">
        <v>25</v>
      </c>
      <c r="AN472" s="64">
        <v>6.3</v>
      </c>
      <c r="AO472" s="64">
        <v>7.9</v>
      </c>
      <c r="AP472" s="37">
        <v>0.14000000000000001</v>
      </c>
      <c r="AQ472" s="37">
        <v>7.0000000000000007E-2</v>
      </c>
      <c r="AR472" s="73">
        <f t="shared" si="166"/>
        <v>1860</v>
      </c>
      <c r="AS472" s="75">
        <f t="shared" si="167"/>
        <v>0</v>
      </c>
      <c r="AT472" s="75">
        <f t="shared" si="168"/>
        <v>0.73118279569892475</v>
      </c>
      <c r="AU472" s="75">
        <f t="shared" si="169"/>
        <v>0.26881720430107525</v>
      </c>
      <c r="AV472" s="26">
        <f t="shared" si="170"/>
        <v>0.10278372591006424</v>
      </c>
      <c r="AW472" s="26">
        <f t="shared" si="171"/>
        <v>8.0299785867237697E-2</v>
      </c>
      <c r="AX472" s="26">
        <f t="shared" si="186"/>
        <v>0.94444444444444442</v>
      </c>
      <c r="AY472" s="24">
        <f t="shared" si="187"/>
        <v>0.92063492063492058</v>
      </c>
      <c r="AZ472" s="77" t="str">
        <f t="shared" si="172"/>
        <v>7,5 ≤ Alc. Bruta &lt; 10,0 mg/L</v>
      </c>
      <c r="BA472" s="77" t="str">
        <f t="shared" si="173"/>
        <v>5 ≤ Cor &lt; 10 uC</v>
      </c>
      <c r="BB472" s="78" t="str">
        <f t="shared" si="174"/>
        <v>Turbidez &lt; 2,5 uT</v>
      </c>
      <c r="BC472" s="79" t="str">
        <f t="shared" si="175"/>
        <v>SM &gt; BNN &gt; TOR</v>
      </c>
      <c r="BD472" s="78" t="str">
        <f t="shared" si="176"/>
        <v>Tipo 1 (≤0,25) uT</v>
      </c>
      <c r="BE472" s="78" t="str">
        <f t="shared" si="177"/>
        <v>Tipo 1 (≤0,25) uT</v>
      </c>
      <c r="BF472" s="78" t="str">
        <f t="shared" si="178"/>
        <v>Tipo 1 (≤0,25) uT</v>
      </c>
      <c r="BG472" s="78" t="str">
        <f t="shared" si="179"/>
        <v>Tipo 1 (≤0,25) uT</v>
      </c>
      <c r="BH472" s="78" t="str">
        <f t="shared" si="180"/>
        <v>Tipo 1 (≤0,25) uT</v>
      </c>
    </row>
    <row r="473" spans="1:60" x14ac:dyDescent="0.2">
      <c r="A473" s="30">
        <v>46312</v>
      </c>
      <c r="B473" s="82">
        <v>0.3125</v>
      </c>
      <c r="C473" s="59">
        <v>0</v>
      </c>
      <c r="D473" s="59">
        <v>1380</v>
      </c>
      <c r="E473" s="59">
        <v>500</v>
      </c>
      <c r="F473" s="59">
        <v>1896</v>
      </c>
      <c r="G473" s="87" t="s">
        <v>78</v>
      </c>
      <c r="H473" s="65">
        <v>9.5</v>
      </c>
      <c r="I473" s="59">
        <v>-11</v>
      </c>
      <c r="J473" s="59">
        <v>90</v>
      </c>
      <c r="K473" s="59">
        <v>90</v>
      </c>
      <c r="L473" s="59">
        <v>90</v>
      </c>
      <c r="M473" s="59">
        <v>24</v>
      </c>
      <c r="N473" s="65">
        <v>6.5</v>
      </c>
      <c r="O473" s="38">
        <v>1.24</v>
      </c>
      <c r="P473" s="59">
        <v>6</v>
      </c>
      <c r="Q473" s="65">
        <v>9.1999999999999993</v>
      </c>
      <c r="R473" s="38">
        <v>0.09</v>
      </c>
      <c r="S473" s="36">
        <v>22.36</v>
      </c>
      <c r="T473" s="36">
        <v>0.88</v>
      </c>
      <c r="U473" s="36">
        <v>0.7</v>
      </c>
      <c r="V473" s="42">
        <f t="shared" si="181"/>
        <v>1443.33</v>
      </c>
      <c r="W473" s="42">
        <f t="shared" si="182"/>
        <v>1679.3299119999999</v>
      </c>
      <c r="X473" s="42">
        <f t="shared" si="183"/>
        <v>1.163510709262608</v>
      </c>
      <c r="Y473" s="59">
        <v>3</v>
      </c>
      <c r="Z473" s="59">
        <v>4</v>
      </c>
      <c r="AA473" s="65">
        <v>6</v>
      </c>
      <c r="AB473" s="59">
        <v>23</v>
      </c>
      <c r="AC473" s="65">
        <v>6.2</v>
      </c>
      <c r="AD473" s="65">
        <v>7.4</v>
      </c>
      <c r="AE473" s="38">
        <v>0.15</v>
      </c>
      <c r="AF473" s="38">
        <v>0.1</v>
      </c>
      <c r="AG473" s="42">
        <f t="shared" si="165"/>
        <v>1924.44</v>
      </c>
      <c r="AH473" s="42">
        <f t="shared" si="184"/>
        <v>1979.8438399999998</v>
      </c>
      <c r="AI473" s="42">
        <f t="shared" si="185"/>
        <v>1.0287895907380846</v>
      </c>
      <c r="AJ473" s="59">
        <v>3</v>
      </c>
      <c r="AK473" s="59">
        <v>3</v>
      </c>
      <c r="AL473" s="65">
        <v>6.4</v>
      </c>
      <c r="AM473" s="59">
        <v>25</v>
      </c>
      <c r="AN473" s="65">
        <v>6.3</v>
      </c>
      <c r="AO473" s="65">
        <v>7.1</v>
      </c>
      <c r="AP473" s="38">
        <v>0.14000000000000001</v>
      </c>
      <c r="AQ473" s="38">
        <v>0.08</v>
      </c>
      <c r="AR473" s="73">
        <f t="shared" si="166"/>
        <v>1880</v>
      </c>
      <c r="AS473" s="75">
        <f t="shared" si="167"/>
        <v>0</v>
      </c>
      <c r="AT473" s="75">
        <f t="shared" si="168"/>
        <v>0.73404255319148937</v>
      </c>
      <c r="AU473" s="75">
        <f t="shared" si="169"/>
        <v>0.26595744680851063</v>
      </c>
      <c r="AV473" s="26">
        <f t="shared" si="170"/>
        <v>9.7046413502109699E-2</v>
      </c>
      <c r="AW473" s="26">
        <f t="shared" si="171"/>
        <v>7.9113924050632917E-2</v>
      </c>
      <c r="AX473" s="26">
        <f t="shared" si="186"/>
        <v>0.93548387096774199</v>
      </c>
      <c r="AY473" s="24">
        <f t="shared" si="187"/>
        <v>0.91935483870967738</v>
      </c>
      <c r="AZ473" s="77" t="str">
        <f t="shared" si="172"/>
        <v>7,5 ≤ Alc. Bruta &lt; 10,0 mg/L</v>
      </c>
      <c r="BA473" s="77" t="str">
        <f t="shared" si="173"/>
        <v>5 ≤ Cor &lt; 10 uC</v>
      </c>
      <c r="BB473" s="78" t="str">
        <f t="shared" si="174"/>
        <v>Turbidez &lt; 2,5 uT</v>
      </c>
      <c r="BC473" s="79" t="str">
        <f t="shared" si="175"/>
        <v>SM &gt; BNN &gt; TOR</v>
      </c>
      <c r="BD473" s="78" t="str">
        <f t="shared" si="176"/>
        <v>Tipo 1 (≤0,25) uT</v>
      </c>
      <c r="BE473" s="78" t="str">
        <f t="shared" si="177"/>
        <v>Tipo 1 (≤0,25) uT</v>
      </c>
      <c r="BF473" s="78" t="str">
        <f t="shared" si="178"/>
        <v>Tipo 1 (≤0,25) uT</v>
      </c>
      <c r="BG473" s="78" t="str">
        <f t="shared" si="179"/>
        <v>Tipo 1 (≤0,25) uT</v>
      </c>
      <c r="BH473" s="78" t="str">
        <f t="shared" si="180"/>
        <v>Tipo 1 (≤0,25) uT</v>
      </c>
    </row>
    <row r="474" spans="1:60" x14ac:dyDescent="0.2">
      <c r="A474" s="31">
        <v>46312</v>
      </c>
      <c r="B474" s="80">
        <v>0.39583333333333331</v>
      </c>
      <c r="C474" s="57">
        <v>0</v>
      </c>
      <c r="D474" s="57">
        <v>1350</v>
      </c>
      <c r="E474" s="57">
        <v>499</v>
      </c>
      <c r="F474" s="57">
        <v>1900</v>
      </c>
      <c r="G474" s="85" t="s">
        <v>78</v>
      </c>
      <c r="H474" s="63">
        <v>9.5</v>
      </c>
      <c r="I474" s="57">
        <v>1</v>
      </c>
      <c r="J474" s="57">
        <v>90</v>
      </c>
      <c r="K474" s="57">
        <v>90</v>
      </c>
      <c r="L474" s="57">
        <v>90</v>
      </c>
      <c r="M474" s="57">
        <v>25.4</v>
      </c>
      <c r="N474" s="63">
        <v>6.6</v>
      </c>
      <c r="O474" s="36">
        <v>1.27</v>
      </c>
      <c r="P474" s="57">
        <v>7</v>
      </c>
      <c r="Q474" s="63">
        <v>9.4</v>
      </c>
      <c r="R474" s="36">
        <v>0.09</v>
      </c>
      <c r="S474" s="36">
        <v>22.36</v>
      </c>
      <c r="T474" s="36">
        <v>0.88</v>
      </c>
      <c r="U474" s="36">
        <v>0.7</v>
      </c>
      <c r="V474" s="42">
        <f t="shared" si="181"/>
        <v>1453.5</v>
      </c>
      <c r="W474" s="42">
        <f t="shared" si="182"/>
        <v>1714.8615171999998</v>
      </c>
      <c r="X474" s="42">
        <f t="shared" si="183"/>
        <v>1.1798152853113173</v>
      </c>
      <c r="Y474" s="57">
        <v>3</v>
      </c>
      <c r="Z474" s="57">
        <v>4</v>
      </c>
      <c r="AA474" s="63">
        <v>6.1</v>
      </c>
      <c r="AB474" s="57">
        <v>23</v>
      </c>
      <c r="AC474" s="63">
        <v>6.4</v>
      </c>
      <c r="AD474" s="63">
        <v>7.2</v>
      </c>
      <c r="AE474" s="36">
        <v>0.17</v>
      </c>
      <c r="AF474" s="36">
        <v>0.1</v>
      </c>
      <c r="AG474" s="42">
        <f t="shared" si="165"/>
        <v>1938.0000000000002</v>
      </c>
      <c r="AH474" s="42">
        <f t="shared" si="184"/>
        <v>1979.8438399999998</v>
      </c>
      <c r="AI474" s="42">
        <f t="shared" si="185"/>
        <v>1.0215912487100101</v>
      </c>
      <c r="AJ474" s="57">
        <v>3</v>
      </c>
      <c r="AK474" s="57">
        <v>3</v>
      </c>
      <c r="AL474" s="63">
        <v>6.4</v>
      </c>
      <c r="AM474" s="57">
        <v>25</v>
      </c>
      <c r="AN474" s="63">
        <v>6.4</v>
      </c>
      <c r="AO474" s="63">
        <v>8.8000000000000007</v>
      </c>
      <c r="AP474" s="36">
        <v>0.2</v>
      </c>
      <c r="AQ474" s="36">
        <v>0.08</v>
      </c>
      <c r="AR474" s="73">
        <f t="shared" si="166"/>
        <v>1849</v>
      </c>
      <c r="AS474" s="75">
        <f t="shared" si="167"/>
        <v>0</v>
      </c>
      <c r="AT474" s="75">
        <f t="shared" si="168"/>
        <v>0.73012439156300701</v>
      </c>
      <c r="AU474" s="75">
        <f t="shared" si="169"/>
        <v>0.26987560843699299</v>
      </c>
      <c r="AV474" s="26">
        <f t="shared" si="170"/>
        <v>9.6842105263157896E-2</v>
      </c>
      <c r="AW474" s="26">
        <f t="shared" si="171"/>
        <v>7.8947368421052627E-2</v>
      </c>
      <c r="AX474" s="26">
        <f t="shared" si="186"/>
        <v>0.93700787401574803</v>
      </c>
      <c r="AY474" s="24">
        <f t="shared" si="187"/>
        <v>0.92125984251968507</v>
      </c>
      <c r="AZ474" s="77" t="str">
        <f t="shared" si="172"/>
        <v>7,5 ≤ Alc. Bruta &lt; 10,0 mg/L</v>
      </c>
      <c r="BA474" s="77" t="str">
        <f t="shared" si="173"/>
        <v>5 ≤ Cor &lt; 10 uC</v>
      </c>
      <c r="BB474" s="78" t="str">
        <f t="shared" si="174"/>
        <v>Turbidez &lt; 2,5 uT</v>
      </c>
      <c r="BC474" s="79" t="str">
        <f t="shared" si="175"/>
        <v>SM &gt; BNN &gt; TOR</v>
      </c>
      <c r="BD474" s="78" t="str">
        <f t="shared" si="176"/>
        <v>Tipo 1 (≤0,25) uT</v>
      </c>
      <c r="BE474" s="78" t="str">
        <f t="shared" si="177"/>
        <v>Tipo 1 (≤0,25) uT</v>
      </c>
      <c r="BF474" s="78" t="str">
        <f t="shared" si="178"/>
        <v>Tipo 1 (≤0,25) uT</v>
      </c>
      <c r="BG474" s="78" t="str">
        <f t="shared" si="179"/>
        <v>Tipo 1 (≤0,25) uT</v>
      </c>
      <c r="BH474" s="78" t="str">
        <f t="shared" si="180"/>
        <v>Tipo 1 (≤0,25) uT</v>
      </c>
    </row>
    <row r="475" spans="1:60" x14ac:dyDescent="0.2">
      <c r="A475" s="31">
        <v>46312</v>
      </c>
      <c r="B475" s="80">
        <v>0.47916666666666669</v>
      </c>
      <c r="C475" s="57">
        <v>0</v>
      </c>
      <c r="D475" s="57">
        <v>1331</v>
      </c>
      <c r="E475" s="57">
        <v>500</v>
      </c>
      <c r="F475" s="57">
        <v>1893</v>
      </c>
      <c r="G475" s="85" t="s">
        <v>78</v>
      </c>
      <c r="H475" s="63">
        <v>9.5</v>
      </c>
      <c r="I475" s="57">
        <v>0.9</v>
      </c>
      <c r="J475" s="57">
        <v>90</v>
      </c>
      <c r="K475" s="57">
        <v>90</v>
      </c>
      <c r="L475" s="57">
        <v>90</v>
      </c>
      <c r="M475" s="57">
        <v>26.1</v>
      </c>
      <c r="N475" s="63">
        <v>6.5</v>
      </c>
      <c r="O475" s="36">
        <v>1.25</v>
      </c>
      <c r="P475" s="57">
        <v>7</v>
      </c>
      <c r="Q475" s="63">
        <v>10.1</v>
      </c>
      <c r="R475" s="36">
        <v>0.1</v>
      </c>
      <c r="S475" s="36">
        <v>22.36</v>
      </c>
      <c r="T475" s="36">
        <v>0.88</v>
      </c>
      <c r="U475" s="36">
        <v>0.7</v>
      </c>
      <c r="V475" s="42">
        <f t="shared" si="181"/>
        <v>1443.4124999999999</v>
      </c>
      <c r="W475" s="42">
        <f t="shared" si="182"/>
        <v>1752.3442559999999</v>
      </c>
      <c r="X475" s="42">
        <f t="shared" si="183"/>
        <v>1.2140287381465797</v>
      </c>
      <c r="Y475" s="57">
        <v>3</v>
      </c>
      <c r="Z475" s="57">
        <v>4</v>
      </c>
      <c r="AA475" s="63">
        <v>6</v>
      </c>
      <c r="AB475" s="57">
        <v>24</v>
      </c>
      <c r="AC475" s="63">
        <v>6.3</v>
      </c>
      <c r="AD475" s="63">
        <v>7.5</v>
      </c>
      <c r="AE475" s="36">
        <v>0.19</v>
      </c>
      <c r="AF475" s="36">
        <v>0.1</v>
      </c>
      <c r="AG475" s="42">
        <f t="shared" si="165"/>
        <v>1924.55</v>
      </c>
      <c r="AH475" s="42">
        <f t="shared" si="184"/>
        <v>1979.8438399999998</v>
      </c>
      <c r="AI475" s="42">
        <f t="shared" si="185"/>
        <v>1.0287307890156139</v>
      </c>
      <c r="AJ475" s="57">
        <v>3</v>
      </c>
      <c r="AK475" s="57">
        <v>3</v>
      </c>
      <c r="AL475" s="63">
        <v>6.4</v>
      </c>
      <c r="AM475" s="57">
        <v>25</v>
      </c>
      <c r="AN475" s="63">
        <v>6.3</v>
      </c>
      <c r="AO475" s="63">
        <v>8.4</v>
      </c>
      <c r="AP475" s="36">
        <v>0.17</v>
      </c>
      <c r="AQ475" s="36">
        <v>0.1</v>
      </c>
      <c r="AR475" s="73">
        <f t="shared" si="166"/>
        <v>1831</v>
      </c>
      <c r="AS475" s="75">
        <f t="shared" si="167"/>
        <v>0</v>
      </c>
      <c r="AT475" s="75">
        <f t="shared" si="168"/>
        <v>0.72692517749863461</v>
      </c>
      <c r="AU475" s="75">
        <f t="shared" si="169"/>
        <v>0.27307482250136539</v>
      </c>
      <c r="AV475" s="26">
        <f t="shared" si="170"/>
        <v>0.10142630744849446</v>
      </c>
      <c r="AW475" s="26">
        <f t="shared" si="171"/>
        <v>7.9239302694136288E-2</v>
      </c>
      <c r="AX475" s="26">
        <f t="shared" si="186"/>
        <v>0.92</v>
      </c>
      <c r="AY475" s="24">
        <f t="shared" si="187"/>
        <v>0.92</v>
      </c>
      <c r="AZ475" s="77" t="str">
        <f t="shared" si="172"/>
        <v>10,0 ≤ Alca. Bruta &lt; 15,0 mg/L</v>
      </c>
      <c r="BA475" s="77" t="str">
        <f t="shared" si="173"/>
        <v>5 ≤ Cor &lt; 10 uC</v>
      </c>
      <c r="BB475" s="78" t="str">
        <f t="shared" si="174"/>
        <v>Turbidez &lt; 2,5 uT</v>
      </c>
      <c r="BC475" s="79" t="str">
        <f t="shared" si="175"/>
        <v>SM &gt; BNN &gt; TOR</v>
      </c>
      <c r="BD475" s="78" t="str">
        <f t="shared" si="176"/>
        <v>Tipo 1 (≤0,25) uT</v>
      </c>
      <c r="BE475" s="78" t="str">
        <f t="shared" si="177"/>
        <v>Tipo 1 (≤0,25) uT</v>
      </c>
      <c r="BF475" s="78" t="str">
        <f t="shared" si="178"/>
        <v>Tipo 1 (≤0,25) uT</v>
      </c>
      <c r="BG475" s="78" t="str">
        <f t="shared" si="179"/>
        <v>Tipo 1 (≤0,25) uT</v>
      </c>
      <c r="BH475" s="78" t="str">
        <f t="shared" si="180"/>
        <v>Tipo 1 (≤0,25) uT</v>
      </c>
    </row>
    <row r="476" spans="1:60" x14ac:dyDescent="0.2">
      <c r="A476" s="31">
        <v>46312</v>
      </c>
      <c r="B476" s="80">
        <v>0.64583333333333337</v>
      </c>
      <c r="C476" s="57">
        <v>0</v>
      </c>
      <c r="D476" s="57">
        <v>1370</v>
      </c>
      <c r="E476" s="57">
        <v>500</v>
      </c>
      <c r="F476" s="57">
        <v>1891</v>
      </c>
      <c r="G476" s="85" t="s">
        <v>78</v>
      </c>
      <c r="H476" s="63">
        <v>9.5</v>
      </c>
      <c r="I476" s="57">
        <v>2.5</v>
      </c>
      <c r="J476" s="57">
        <v>90</v>
      </c>
      <c r="K476" s="57">
        <v>90</v>
      </c>
      <c r="L476" s="57">
        <v>90</v>
      </c>
      <c r="M476" s="57">
        <v>24.9</v>
      </c>
      <c r="N476" s="63">
        <v>6.5</v>
      </c>
      <c r="O476" s="36">
        <v>1.1000000000000001</v>
      </c>
      <c r="P476" s="57">
        <v>6</v>
      </c>
      <c r="Q476" s="63">
        <v>8.6</v>
      </c>
      <c r="R476" s="36">
        <v>0.11</v>
      </c>
      <c r="S476" s="36">
        <v>22.36</v>
      </c>
      <c r="T476" s="36">
        <v>0.88</v>
      </c>
      <c r="U476" s="36">
        <v>0.7</v>
      </c>
      <c r="V476" s="42">
        <f t="shared" si="181"/>
        <v>1406.4312500000001</v>
      </c>
      <c r="W476" s="42">
        <f t="shared" si="182"/>
        <v>1789.4207135999998</v>
      </c>
      <c r="X476" s="42">
        <f t="shared" si="183"/>
        <v>1.2723129648889697</v>
      </c>
      <c r="Y476" s="57">
        <v>3</v>
      </c>
      <c r="Z476" s="57">
        <v>4</v>
      </c>
      <c r="AA476" s="63">
        <v>6.1</v>
      </c>
      <c r="AB476" s="57">
        <v>24</v>
      </c>
      <c r="AC476" s="63">
        <v>6.4</v>
      </c>
      <c r="AD476" s="63">
        <v>7.2</v>
      </c>
      <c r="AE476" s="36">
        <v>0.14000000000000001</v>
      </c>
      <c r="AF476" s="36">
        <v>0.11</v>
      </c>
      <c r="AG476" s="42">
        <f t="shared" si="165"/>
        <v>1875.2416666666668</v>
      </c>
      <c r="AH476" s="42">
        <f t="shared" si="184"/>
        <v>1900.6500864</v>
      </c>
      <c r="AI476" s="42">
        <f t="shared" si="185"/>
        <v>1.0135494108226051</v>
      </c>
      <c r="AJ476" s="57">
        <v>3</v>
      </c>
      <c r="AK476" s="57">
        <v>3</v>
      </c>
      <c r="AL476" s="63">
        <v>6.4</v>
      </c>
      <c r="AM476" s="57">
        <v>24</v>
      </c>
      <c r="AN476" s="63">
        <v>6.3</v>
      </c>
      <c r="AO476" s="63">
        <v>8</v>
      </c>
      <c r="AP476" s="36">
        <v>0.14000000000000001</v>
      </c>
      <c r="AQ476" s="36">
        <v>0.14000000000000001</v>
      </c>
      <c r="AR476" s="73">
        <f t="shared" si="166"/>
        <v>1870</v>
      </c>
      <c r="AS476" s="75">
        <f t="shared" si="167"/>
        <v>0</v>
      </c>
      <c r="AT476" s="75">
        <f t="shared" si="168"/>
        <v>0.73262032085561501</v>
      </c>
      <c r="AU476" s="75">
        <f t="shared" si="169"/>
        <v>0.26737967914438504</v>
      </c>
      <c r="AV476" s="26">
        <f t="shared" si="170"/>
        <v>0.10153358011634056</v>
      </c>
      <c r="AW476" s="26">
        <f t="shared" si="171"/>
        <v>7.615018508725542E-2</v>
      </c>
      <c r="AX476" s="26">
        <f t="shared" si="186"/>
        <v>0.87272727272727268</v>
      </c>
      <c r="AY476" s="24">
        <f t="shared" si="187"/>
        <v>0.9</v>
      </c>
      <c r="AZ476" s="77" t="str">
        <f t="shared" si="172"/>
        <v>7,5 ≤ Alc. Bruta &lt; 10,0 mg/L</v>
      </c>
      <c r="BA476" s="77" t="str">
        <f t="shared" si="173"/>
        <v>5 ≤ Cor &lt; 10 uC</v>
      </c>
      <c r="BB476" s="78" t="str">
        <f t="shared" si="174"/>
        <v>Turbidez &lt; 2,5 uT</v>
      </c>
      <c r="BC476" s="79" t="str">
        <f t="shared" si="175"/>
        <v>SM &gt; BNN &gt; TOR</v>
      </c>
      <c r="BD476" s="78" t="str">
        <f t="shared" si="176"/>
        <v>Tipo 1 (≤0,25) uT</v>
      </c>
      <c r="BE476" s="78" t="str">
        <f t="shared" si="177"/>
        <v>Tipo 1 (≤0,25) uT</v>
      </c>
      <c r="BF476" s="78" t="str">
        <f t="shared" si="178"/>
        <v>Tipo 1 (≤0,25) uT</v>
      </c>
      <c r="BG476" s="78" t="str">
        <f t="shared" si="179"/>
        <v>Tipo 1 (≤0,25) uT</v>
      </c>
      <c r="BH476" s="78" t="str">
        <f t="shared" si="180"/>
        <v>Tipo 1 (≤0,25) uT</v>
      </c>
    </row>
    <row r="477" spans="1:60" x14ac:dyDescent="0.2">
      <c r="A477" s="31">
        <v>46312</v>
      </c>
      <c r="B477" s="80">
        <v>0.72916666666666663</v>
      </c>
      <c r="C477" s="57">
        <v>0</v>
      </c>
      <c r="D477" s="57">
        <v>1380</v>
      </c>
      <c r="E477" s="57">
        <v>400</v>
      </c>
      <c r="F477" s="57">
        <v>1810</v>
      </c>
      <c r="G477" s="85" t="s">
        <v>78</v>
      </c>
      <c r="H477" s="63">
        <v>9.5</v>
      </c>
      <c r="I477" s="57">
        <v>-7</v>
      </c>
      <c r="J477" s="57">
        <v>90</v>
      </c>
      <c r="K477" s="57">
        <v>90</v>
      </c>
      <c r="L477" s="57">
        <v>90</v>
      </c>
      <c r="M477" s="57">
        <v>23.7</v>
      </c>
      <c r="N477" s="63">
        <v>6.6</v>
      </c>
      <c r="O477" s="36">
        <v>1.21</v>
      </c>
      <c r="P477" s="57">
        <v>8</v>
      </c>
      <c r="Q477" s="63">
        <v>8.8000000000000007</v>
      </c>
      <c r="R477" s="36">
        <v>0.13</v>
      </c>
      <c r="S477" s="36">
        <v>22.36</v>
      </c>
      <c r="T477" s="36">
        <v>0.88</v>
      </c>
      <c r="U477" s="36">
        <v>0.7</v>
      </c>
      <c r="V477" s="42">
        <f t="shared" si="181"/>
        <v>1371.075</v>
      </c>
      <c r="W477" s="42">
        <f t="shared" si="182"/>
        <v>1381.5796800000001</v>
      </c>
      <c r="X477" s="42">
        <f t="shared" si="183"/>
        <v>1.0076616377659866</v>
      </c>
      <c r="Y477" s="57">
        <v>3</v>
      </c>
      <c r="Z477" s="57">
        <v>4</v>
      </c>
      <c r="AA477" s="63">
        <v>5</v>
      </c>
      <c r="AB477" s="57">
        <v>24</v>
      </c>
      <c r="AC477" s="63">
        <v>6.4</v>
      </c>
      <c r="AD477" s="63">
        <v>6.7</v>
      </c>
      <c r="AE477" s="36">
        <v>0.15</v>
      </c>
      <c r="AF477" s="36">
        <v>0.1</v>
      </c>
      <c r="AG477" s="42">
        <f t="shared" si="165"/>
        <v>1828.1000000000004</v>
      </c>
      <c r="AH477" s="42">
        <f t="shared" si="184"/>
        <v>1979.8438399999998</v>
      </c>
      <c r="AI477" s="42">
        <f t="shared" si="185"/>
        <v>1.0830063125649578</v>
      </c>
      <c r="AJ477" s="57">
        <v>3</v>
      </c>
      <c r="AK477" s="57">
        <v>3</v>
      </c>
      <c r="AL477" s="63">
        <v>6.4</v>
      </c>
      <c r="AM477" s="57">
        <v>25</v>
      </c>
      <c r="AN477" s="63">
        <v>6.2</v>
      </c>
      <c r="AO477" s="63">
        <v>7.7</v>
      </c>
      <c r="AP477" s="36">
        <v>0.11</v>
      </c>
      <c r="AQ477" s="36">
        <v>0.11</v>
      </c>
      <c r="AR477" s="73">
        <f t="shared" si="166"/>
        <v>1780</v>
      </c>
      <c r="AS477" s="75">
        <f t="shared" si="167"/>
        <v>0</v>
      </c>
      <c r="AT477" s="75">
        <f t="shared" si="168"/>
        <v>0.7752808988764045</v>
      </c>
      <c r="AU477" s="75">
        <f t="shared" si="169"/>
        <v>0.2247191011235955</v>
      </c>
      <c r="AV477" s="26">
        <f t="shared" si="170"/>
        <v>0.10607734806629834</v>
      </c>
      <c r="AW477" s="26">
        <f t="shared" si="171"/>
        <v>8.2872928176795577E-2</v>
      </c>
      <c r="AX477" s="26">
        <f t="shared" si="186"/>
        <v>0.90909090909090906</v>
      </c>
      <c r="AY477" s="24">
        <f t="shared" si="187"/>
        <v>0.9173553719008265</v>
      </c>
      <c r="AZ477" s="77" t="str">
        <f t="shared" si="172"/>
        <v>7,5 ≤ Alc. Bruta &lt; 10,0 mg/L</v>
      </c>
      <c r="BA477" s="77" t="str">
        <f t="shared" si="173"/>
        <v>5 ≤ Cor &lt; 10 uC</v>
      </c>
      <c r="BB477" s="78" t="str">
        <f t="shared" si="174"/>
        <v>Turbidez &lt; 2,5 uT</v>
      </c>
      <c r="BC477" s="79" t="str">
        <f t="shared" si="175"/>
        <v>SM &gt; BNN &gt; TOR</v>
      </c>
      <c r="BD477" s="78" t="str">
        <f t="shared" si="176"/>
        <v>Tipo 1 (≤0,25) uT</v>
      </c>
      <c r="BE477" s="78" t="str">
        <f t="shared" si="177"/>
        <v>Tipo 1 (≤0,25) uT</v>
      </c>
      <c r="BF477" s="78" t="str">
        <f t="shared" si="178"/>
        <v>Tipo 1 (≤0,25) uT</v>
      </c>
      <c r="BG477" s="78" t="str">
        <f t="shared" si="179"/>
        <v>Tipo 1 (≤0,25) uT</v>
      </c>
      <c r="BH477" s="78" t="str">
        <f t="shared" si="180"/>
        <v>Tipo 1 (≤0,25) uT</v>
      </c>
    </row>
    <row r="478" spans="1:60" x14ac:dyDescent="0.2">
      <c r="A478" s="31">
        <v>46312</v>
      </c>
      <c r="B478" s="80">
        <v>0.8125</v>
      </c>
      <c r="C478" s="57">
        <v>0</v>
      </c>
      <c r="D478" s="57">
        <v>1383</v>
      </c>
      <c r="E478" s="57">
        <v>427</v>
      </c>
      <c r="F478" s="57">
        <v>1833</v>
      </c>
      <c r="G478" s="85" t="s">
        <v>78</v>
      </c>
      <c r="H478" s="63">
        <v>9.5</v>
      </c>
      <c r="I478" s="57">
        <v>-11</v>
      </c>
      <c r="J478" s="57">
        <v>90</v>
      </c>
      <c r="K478" s="57">
        <v>90</v>
      </c>
      <c r="L478" s="57">
        <v>90</v>
      </c>
      <c r="M478" s="57">
        <v>24.9</v>
      </c>
      <c r="N478" s="63">
        <v>6.5</v>
      </c>
      <c r="O478" s="36">
        <v>1.19</v>
      </c>
      <c r="P478" s="57">
        <v>8</v>
      </c>
      <c r="Q478" s="63">
        <v>8.3000000000000007</v>
      </c>
      <c r="R478" s="36">
        <v>0.14000000000000001</v>
      </c>
      <c r="S478" s="36">
        <v>22.36</v>
      </c>
      <c r="T478" s="36">
        <v>0.88</v>
      </c>
      <c r="U478" s="36">
        <v>0.7</v>
      </c>
      <c r="V478" s="42">
        <f t="shared" si="181"/>
        <v>1383.915</v>
      </c>
      <c r="W478" s="42">
        <f t="shared" si="182"/>
        <v>1789.4207135999998</v>
      </c>
      <c r="X478" s="42">
        <f t="shared" si="183"/>
        <v>1.2930134535719318</v>
      </c>
      <c r="Y478" s="57">
        <v>3</v>
      </c>
      <c r="Z478" s="57">
        <v>4</v>
      </c>
      <c r="AA478" s="63">
        <v>6.1</v>
      </c>
      <c r="AB478" s="57">
        <v>24</v>
      </c>
      <c r="AC478" s="63">
        <v>6.3</v>
      </c>
      <c r="AD478" s="63">
        <v>7</v>
      </c>
      <c r="AE478" s="36">
        <v>0.14000000000000001</v>
      </c>
      <c r="AF478" s="36">
        <v>0.1</v>
      </c>
      <c r="AG478" s="42">
        <f t="shared" si="165"/>
        <v>1845.22</v>
      </c>
      <c r="AH478" s="42">
        <f t="shared" si="184"/>
        <v>1979.8438399999998</v>
      </c>
      <c r="AI478" s="42">
        <f t="shared" si="185"/>
        <v>1.0729581513315485</v>
      </c>
      <c r="AJ478" s="57">
        <v>3</v>
      </c>
      <c r="AK478" s="57">
        <v>3</v>
      </c>
      <c r="AL478" s="63">
        <v>6.4</v>
      </c>
      <c r="AM478" s="57">
        <v>25</v>
      </c>
      <c r="AN478" s="63">
        <v>6.3</v>
      </c>
      <c r="AO478" s="63">
        <v>7.5</v>
      </c>
      <c r="AP478" s="36">
        <v>0.2</v>
      </c>
      <c r="AQ478" s="36">
        <v>0.11</v>
      </c>
      <c r="AR478" s="73">
        <f t="shared" si="166"/>
        <v>1810</v>
      </c>
      <c r="AS478" s="75">
        <f t="shared" si="167"/>
        <v>0</v>
      </c>
      <c r="AT478" s="75">
        <f t="shared" si="168"/>
        <v>0.76408839779005522</v>
      </c>
      <c r="AU478" s="75">
        <f t="shared" si="169"/>
        <v>0.23591160220994475</v>
      </c>
      <c r="AV478" s="26">
        <f t="shared" si="170"/>
        <v>0.10474631751227496</v>
      </c>
      <c r="AW478" s="26">
        <f t="shared" si="171"/>
        <v>8.1833060556464818E-2</v>
      </c>
      <c r="AX478" s="26">
        <f t="shared" si="186"/>
        <v>0.90756302521008403</v>
      </c>
      <c r="AY478" s="24">
        <f t="shared" si="187"/>
        <v>0.91596638655462181</v>
      </c>
      <c r="AZ478" s="77" t="str">
        <f t="shared" si="172"/>
        <v>7,5 ≤ Alc. Bruta &lt; 10,0 mg/L</v>
      </c>
      <c r="BA478" s="77" t="str">
        <f t="shared" si="173"/>
        <v>5 ≤ Cor &lt; 10 uC</v>
      </c>
      <c r="BB478" s="78" t="str">
        <f t="shared" si="174"/>
        <v>Turbidez &lt; 2,5 uT</v>
      </c>
      <c r="BC478" s="79" t="str">
        <f t="shared" si="175"/>
        <v>SM &gt; BNN &gt; TOR</v>
      </c>
      <c r="BD478" s="78" t="str">
        <f t="shared" si="176"/>
        <v>Tipo 1 (≤0,25) uT</v>
      </c>
      <c r="BE478" s="78" t="str">
        <f t="shared" si="177"/>
        <v>Tipo 1 (≤0,25) uT</v>
      </c>
      <c r="BF478" s="78" t="str">
        <f t="shared" si="178"/>
        <v>Tipo 1 (≤0,25) uT</v>
      </c>
      <c r="BG478" s="78" t="str">
        <f t="shared" si="179"/>
        <v>Tipo 1 (≤0,25) uT</v>
      </c>
      <c r="BH478" s="78" t="str">
        <f t="shared" si="180"/>
        <v>Tipo 1 (≤0,25) uT</v>
      </c>
    </row>
    <row r="479" spans="1:60" x14ac:dyDescent="0.2">
      <c r="A479" s="31">
        <v>46312</v>
      </c>
      <c r="B479" s="80">
        <v>0.89583333333333337</v>
      </c>
      <c r="C479" s="57">
        <v>0</v>
      </c>
      <c r="D479" s="57">
        <v>1370</v>
      </c>
      <c r="E479" s="57">
        <v>429</v>
      </c>
      <c r="F479" s="57">
        <v>1860</v>
      </c>
      <c r="G479" s="85" t="s">
        <v>78</v>
      </c>
      <c r="H479" s="63">
        <v>9.5</v>
      </c>
      <c r="I479" s="57">
        <v>-21</v>
      </c>
      <c r="J479" s="57">
        <v>90</v>
      </c>
      <c r="K479" s="57">
        <v>90</v>
      </c>
      <c r="L479" s="57">
        <v>90</v>
      </c>
      <c r="M479" s="57">
        <v>25.2</v>
      </c>
      <c r="N479" s="63">
        <v>6.5</v>
      </c>
      <c r="O479" s="36">
        <v>1.44</v>
      </c>
      <c r="P479" s="57">
        <v>8</v>
      </c>
      <c r="Q479" s="63">
        <v>8.5</v>
      </c>
      <c r="R479" s="36">
        <v>0.12</v>
      </c>
      <c r="S479" s="36">
        <v>22.36</v>
      </c>
      <c r="T479" s="36">
        <v>0.88</v>
      </c>
      <c r="U479" s="36">
        <v>0.7</v>
      </c>
      <c r="V479" s="42">
        <f t="shared" si="181"/>
        <v>1462.425</v>
      </c>
      <c r="W479" s="42">
        <f t="shared" si="182"/>
        <v>1789.4207135999998</v>
      </c>
      <c r="X479" s="42">
        <f t="shared" si="183"/>
        <v>1.223598279296374</v>
      </c>
      <c r="Y479" s="57">
        <v>3</v>
      </c>
      <c r="Z479" s="57">
        <v>4</v>
      </c>
      <c r="AA479" s="63">
        <v>6.1</v>
      </c>
      <c r="AB479" s="57">
        <v>24</v>
      </c>
      <c r="AC479" s="63">
        <v>6.4</v>
      </c>
      <c r="AD479" s="63">
        <v>7.1</v>
      </c>
      <c r="AE479" s="36">
        <v>0.15</v>
      </c>
      <c r="AF479" s="36">
        <v>0.1</v>
      </c>
      <c r="AG479" s="42">
        <f t="shared" si="165"/>
        <v>1949.9</v>
      </c>
      <c r="AH479" s="42">
        <f t="shared" si="184"/>
        <v>1979.8438399999998</v>
      </c>
      <c r="AI479" s="42">
        <f t="shared" si="185"/>
        <v>1.0153566029027128</v>
      </c>
      <c r="AJ479" s="57">
        <v>3</v>
      </c>
      <c r="AK479" s="57">
        <v>3</v>
      </c>
      <c r="AL479" s="63">
        <v>6.4</v>
      </c>
      <c r="AM479" s="57">
        <v>25</v>
      </c>
      <c r="AN479" s="63">
        <v>6.3</v>
      </c>
      <c r="AO479" s="63">
        <v>7.3</v>
      </c>
      <c r="AP479" s="36">
        <v>0.13</v>
      </c>
      <c r="AQ479" s="36">
        <v>0.11</v>
      </c>
      <c r="AR479" s="73">
        <f t="shared" si="166"/>
        <v>1799</v>
      </c>
      <c r="AS479" s="75">
        <f t="shared" si="167"/>
        <v>0</v>
      </c>
      <c r="AT479" s="75">
        <f t="shared" si="168"/>
        <v>0.76153418565869924</v>
      </c>
      <c r="AU479" s="75">
        <f t="shared" si="169"/>
        <v>0.23846581434130074</v>
      </c>
      <c r="AV479" s="26">
        <f t="shared" si="170"/>
        <v>0.1032258064516129</v>
      </c>
      <c r="AW479" s="26">
        <f t="shared" si="171"/>
        <v>8.0645161290322578E-2</v>
      </c>
      <c r="AX479" s="26">
        <f t="shared" si="186"/>
        <v>0.92361111111111116</v>
      </c>
      <c r="AY479" s="24">
        <f t="shared" si="187"/>
        <v>0.93055555555555558</v>
      </c>
      <c r="AZ479" s="77" t="str">
        <f t="shared" si="172"/>
        <v>7,5 ≤ Alc. Bruta &lt; 10,0 mg/L</v>
      </c>
      <c r="BA479" s="77" t="str">
        <f t="shared" si="173"/>
        <v>5 ≤ Cor &lt; 10 uC</v>
      </c>
      <c r="BB479" s="78" t="str">
        <f t="shared" si="174"/>
        <v>Turbidez &lt; 2,5 uT</v>
      </c>
      <c r="BC479" s="79" t="str">
        <f t="shared" si="175"/>
        <v>SM &gt; BNN &gt; TOR</v>
      </c>
      <c r="BD479" s="78" t="str">
        <f t="shared" si="176"/>
        <v>Tipo 1 (≤0,25) uT</v>
      </c>
      <c r="BE479" s="78" t="str">
        <f t="shared" si="177"/>
        <v>Tipo 1 (≤0,25) uT</v>
      </c>
      <c r="BF479" s="78" t="str">
        <f t="shared" si="178"/>
        <v>Tipo 1 (≤0,25) uT</v>
      </c>
      <c r="BG479" s="78" t="str">
        <f t="shared" si="179"/>
        <v>Tipo 1 (≤0,25) uT</v>
      </c>
      <c r="BH479" s="78" t="str">
        <f t="shared" si="180"/>
        <v>Tipo 1 (≤0,25) uT</v>
      </c>
    </row>
    <row r="480" spans="1:60" x14ac:dyDescent="0.2">
      <c r="A480" s="31">
        <v>46312</v>
      </c>
      <c r="B480" s="80">
        <v>0.97916666666666663</v>
      </c>
      <c r="C480" s="57">
        <v>0</v>
      </c>
      <c r="D480" s="57">
        <v>1341</v>
      </c>
      <c r="E480" s="57">
        <v>427</v>
      </c>
      <c r="F480" s="57">
        <v>1800</v>
      </c>
      <c r="G480" s="85" t="s">
        <v>78</v>
      </c>
      <c r="H480" s="63">
        <v>9.5</v>
      </c>
      <c r="I480" s="57">
        <v>11.06</v>
      </c>
      <c r="J480" s="57">
        <v>90</v>
      </c>
      <c r="K480" s="57">
        <v>90</v>
      </c>
      <c r="L480" s="57">
        <v>90</v>
      </c>
      <c r="M480" s="57">
        <v>24.9</v>
      </c>
      <c r="N480" s="63">
        <v>6.5</v>
      </c>
      <c r="O480" s="36">
        <v>1.19</v>
      </c>
      <c r="P480" s="57">
        <v>7</v>
      </c>
      <c r="Q480" s="63">
        <v>7.5</v>
      </c>
      <c r="R480" s="36">
        <v>0.13</v>
      </c>
      <c r="S480" s="36">
        <v>22.36</v>
      </c>
      <c r="T480" s="36">
        <v>0.88</v>
      </c>
      <c r="U480" s="36">
        <v>0.7</v>
      </c>
      <c r="V480" s="42">
        <f t="shared" si="181"/>
        <v>1359</v>
      </c>
      <c r="W480" s="42">
        <f t="shared" si="182"/>
        <v>1789.4207135999998</v>
      </c>
      <c r="X480" s="42">
        <f t="shared" si="183"/>
        <v>1.3167187002207503</v>
      </c>
      <c r="Y480" s="57">
        <v>3</v>
      </c>
      <c r="Z480" s="57">
        <v>4</v>
      </c>
      <c r="AA480" s="63">
        <v>6.1</v>
      </c>
      <c r="AB480" s="57">
        <v>24</v>
      </c>
      <c r="AC480" s="63">
        <v>6.3</v>
      </c>
      <c r="AD480" s="63">
        <v>6.9</v>
      </c>
      <c r="AE480" s="36">
        <v>0.16</v>
      </c>
      <c r="AF480" s="36">
        <v>0.1</v>
      </c>
      <c r="AG480" s="42">
        <f t="shared" si="165"/>
        <v>1812</v>
      </c>
      <c r="AH480" s="42">
        <f t="shared" si="184"/>
        <v>1979.8438399999998</v>
      </c>
      <c r="AI480" s="42">
        <f t="shared" si="185"/>
        <v>1.0926290507726268</v>
      </c>
      <c r="AJ480" s="57">
        <v>3</v>
      </c>
      <c r="AK480" s="57">
        <v>3</v>
      </c>
      <c r="AL480" s="63">
        <v>6.4</v>
      </c>
      <c r="AM480" s="57">
        <v>25</v>
      </c>
      <c r="AN480" s="63">
        <v>6.3</v>
      </c>
      <c r="AO480" s="63">
        <v>7</v>
      </c>
      <c r="AP480" s="36">
        <v>0.14000000000000001</v>
      </c>
      <c r="AQ480" s="36">
        <v>0.11</v>
      </c>
      <c r="AR480" s="73">
        <f t="shared" si="166"/>
        <v>1768</v>
      </c>
      <c r="AS480" s="75">
        <f t="shared" si="167"/>
        <v>0</v>
      </c>
      <c r="AT480" s="75">
        <f t="shared" si="168"/>
        <v>0.75848416289592757</v>
      </c>
      <c r="AU480" s="75">
        <f t="shared" si="169"/>
        <v>0.2415158371040724</v>
      </c>
      <c r="AV480" s="26">
        <f t="shared" si="170"/>
        <v>0.10666666666666667</v>
      </c>
      <c r="AW480" s="26">
        <f t="shared" si="171"/>
        <v>8.3333333333333329E-2</v>
      </c>
      <c r="AX480" s="26">
        <f t="shared" si="186"/>
        <v>0.90756302521008403</v>
      </c>
      <c r="AY480" s="24">
        <f t="shared" si="187"/>
        <v>0.91596638655462181</v>
      </c>
      <c r="AZ480" s="77" t="str">
        <f t="shared" si="172"/>
        <v>7,5 ≤ Alc. Bruta &lt; 10,0 mg/L</v>
      </c>
      <c r="BA480" s="77" t="str">
        <f t="shared" si="173"/>
        <v>5 ≤ Cor &lt; 10 uC</v>
      </c>
      <c r="BB480" s="78" t="str">
        <f t="shared" si="174"/>
        <v>Turbidez &lt; 2,5 uT</v>
      </c>
      <c r="BC480" s="79" t="str">
        <f t="shared" si="175"/>
        <v>SM &gt; BNN &gt; TOR</v>
      </c>
      <c r="BD480" s="78" t="str">
        <f t="shared" si="176"/>
        <v>Tipo 1 (≤0,25) uT</v>
      </c>
      <c r="BE480" s="78" t="str">
        <f t="shared" si="177"/>
        <v>Tipo 1 (≤0,25) uT</v>
      </c>
      <c r="BF480" s="78" t="str">
        <f t="shared" si="178"/>
        <v>Tipo 1 (≤0,25) uT</v>
      </c>
      <c r="BG480" s="78" t="str">
        <f t="shared" si="179"/>
        <v>Tipo 1 (≤0,25) uT</v>
      </c>
      <c r="BH480" s="78" t="str">
        <f t="shared" si="180"/>
        <v>Tipo 1 (≤0,25) uT</v>
      </c>
    </row>
    <row r="481" spans="1:60" x14ac:dyDescent="0.2">
      <c r="A481" s="31">
        <v>46313</v>
      </c>
      <c r="B481" s="80">
        <v>0.14583333333333334</v>
      </c>
      <c r="C481" s="57">
        <v>0</v>
      </c>
      <c r="D481" s="57">
        <v>1389</v>
      </c>
      <c r="E481" s="57">
        <v>428</v>
      </c>
      <c r="F481" s="57">
        <v>1821</v>
      </c>
      <c r="G481" s="85" t="s">
        <v>78</v>
      </c>
      <c r="H481" s="63">
        <v>9.5</v>
      </c>
      <c r="I481" s="57">
        <v>-18</v>
      </c>
      <c r="J481" s="57">
        <v>90</v>
      </c>
      <c r="K481" s="57">
        <v>90</v>
      </c>
      <c r="L481" s="57">
        <v>90</v>
      </c>
      <c r="M481" s="57">
        <v>24.9</v>
      </c>
      <c r="N481" s="63">
        <v>6.5</v>
      </c>
      <c r="O481" s="36">
        <v>1.28</v>
      </c>
      <c r="P481" s="57">
        <v>8</v>
      </c>
      <c r="Q481" s="63">
        <v>7.9</v>
      </c>
      <c r="R481" s="36">
        <v>0.14000000000000001</v>
      </c>
      <c r="S481" s="36">
        <v>22.36</v>
      </c>
      <c r="T481" s="36">
        <v>0.88</v>
      </c>
      <c r="U481" s="36">
        <v>0.7</v>
      </c>
      <c r="V481" s="42">
        <f t="shared" si="181"/>
        <v>1395.3412499999999</v>
      </c>
      <c r="W481" s="42">
        <f t="shared" si="182"/>
        <v>1789.4207135999998</v>
      </c>
      <c r="X481" s="42">
        <f t="shared" si="183"/>
        <v>1.2824251512667599</v>
      </c>
      <c r="Y481" s="57">
        <v>3</v>
      </c>
      <c r="Z481" s="57">
        <v>4</v>
      </c>
      <c r="AA481" s="63">
        <v>6.1</v>
      </c>
      <c r="AB481" s="57">
        <v>24</v>
      </c>
      <c r="AC481" s="63">
        <v>6.3</v>
      </c>
      <c r="AD481" s="63">
        <v>6.9</v>
      </c>
      <c r="AE481" s="36">
        <v>0.17</v>
      </c>
      <c r="AF481" s="36">
        <v>0.11</v>
      </c>
      <c r="AG481" s="42">
        <f t="shared" si="165"/>
        <v>1860.4549999999999</v>
      </c>
      <c r="AH481" s="42">
        <f t="shared" si="184"/>
        <v>1979.8438399999998</v>
      </c>
      <c r="AI481" s="42">
        <f t="shared" si="185"/>
        <v>1.0641718504344366</v>
      </c>
      <c r="AJ481" s="57">
        <v>3</v>
      </c>
      <c r="AK481" s="57">
        <v>3</v>
      </c>
      <c r="AL481" s="63">
        <v>6.4</v>
      </c>
      <c r="AM481" s="57">
        <v>25</v>
      </c>
      <c r="AN481" s="63">
        <v>6.3</v>
      </c>
      <c r="AO481" s="63">
        <v>7.1</v>
      </c>
      <c r="AP481" s="36">
        <v>0.15</v>
      </c>
      <c r="AQ481" s="36">
        <v>0.11</v>
      </c>
      <c r="AR481" s="73">
        <f t="shared" si="166"/>
        <v>1817</v>
      </c>
      <c r="AS481" s="75">
        <f t="shared" si="167"/>
        <v>0</v>
      </c>
      <c r="AT481" s="75">
        <f t="shared" si="168"/>
        <v>0.7644468904788112</v>
      </c>
      <c r="AU481" s="75">
        <f t="shared" si="169"/>
        <v>0.23555310952118877</v>
      </c>
      <c r="AV481" s="26">
        <f t="shared" si="170"/>
        <v>0.10543657331136738</v>
      </c>
      <c r="AW481" s="26">
        <f t="shared" si="171"/>
        <v>8.2372322899505759E-2</v>
      </c>
      <c r="AX481" s="26">
        <f t="shared" si="186"/>
        <v>0.9140625</v>
      </c>
      <c r="AY481" s="24">
        <f t="shared" si="187"/>
        <v>0.9140625</v>
      </c>
      <c r="AZ481" s="77" t="str">
        <f t="shared" si="172"/>
        <v>7,5 ≤ Alc. Bruta &lt; 10,0 mg/L</v>
      </c>
      <c r="BA481" s="77" t="str">
        <f t="shared" si="173"/>
        <v>5 ≤ Cor &lt; 10 uC</v>
      </c>
      <c r="BB481" s="78" t="str">
        <f t="shared" si="174"/>
        <v>Turbidez &lt; 2,5 uT</v>
      </c>
      <c r="BC481" s="79" t="str">
        <f t="shared" si="175"/>
        <v>SM &gt; BNN &gt; TOR</v>
      </c>
      <c r="BD481" s="78" t="str">
        <f t="shared" si="176"/>
        <v>Tipo 1 (≤0,25) uT</v>
      </c>
      <c r="BE481" s="78" t="str">
        <f t="shared" si="177"/>
        <v>Tipo 1 (≤0,25) uT</v>
      </c>
      <c r="BF481" s="78" t="str">
        <f t="shared" si="178"/>
        <v>Tipo 1 (≤0,25) uT</v>
      </c>
      <c r="BG481" s="78" t="str">
        <f t="shared" si="179"/>
        <v>Tipo 1 (≤0,25) uT</v>
      </c>
      <c r="BH481" s="78" t="str">
        <f t="shared" si="180"/>
        <v>Tipo 1 (≤0,25) uT</v>
      </c>
    </row>
    <row r="482" spans="1:60" ht="15.75" thickBot="1" x14ac:dyDescent="0.25">
      <c r="A482" s="32">
        <v>46313</v>
      </c>
      <c r="B482" s="81">
        <v>0.22916666666666666</v>
      </c>
      <c r="C482" s="58">
        <v>0</v>
      </c>
      <c r="D482" s="58">
        <v>760</v>
      </c>
      <c r="E482" s="58">
        <v>500</v>
      </c>
      <c r="F482" s="58">
        <v>1250</v>
      </c>
      <c r="G482" s="86" t="s">
        <v>78</v>
      </c>
      <c r="H482" s="64">
        <v>9.5</v>
      </c>
      <c r="I482" s="58">
        <v>42</v>
      </c>
      <c r="J482" s="58">
        <v>90</v>
      </c>
      <c r="K482" s="58">
        <v>90</v>
      </c>
      <c r="L482" s="58">
        <v>90</v>
      </c>
      <c r="M482" s="58">
        <v>24.7</v>
      </c>
      <c r="N482" s="64">
        <v>6.4</v>
      </c>
      <c r="O482" s="37">
        <v>1.3</v>
      </c>
      <c r="P482" s="58">
        <v>8</v>
      </c>
      <c r="Q482" s="64">
        <v>7.5</v>
      </c>
      <c r="R482" s="37">
        <v>0.1</v>
      </c>
      <c r="S482" s="36">
        <v>22.36</v>
      </c>
      <c r="T482" s="36">
        <v>0.88</v>
      </c>
      <c r="U482" s="36">
        <v>0.7</v>
      </c>
      <c r="V482" s="42">
        <f t="shared" si="181"/>
        <v>1921.875</v>
      </c>
      <c r="W482" s="42">
        <f t="shared" si="182"/>
        <v>1774.2485591999998</v>
      </c>
      <c r="X482" s="42">
        <f t="shared" si="183"/>
        <v>0.92318624218536571</v>
      </c>
      <c r="Y482" s="58">
        <v>1</v>
      </c>
      <c r="Z482" s="58">
        <v>2</v>
      </c>
      <c r="AA482" s="64">
        <v>6</v>
      </c>
      <c r="AB482" s="58">
        <v>24.3</v>
      </c>
      <c r="AC482" s="64">
        <v>6.3</v>
      </c>
      <c r="AD482" s="64">
        <v>7</v>
      </c>
      <c r="AE482" s="37">
        <v>0.16</v>
      </c>
      <c r="AF482" s="37">
        <v>0.11</v>
      </c>
      <c r="AG482" s="42">
        <f t="shared" si="165"/>
        <v>1281.2500000000002</v>
      </c>
      <c r="AH482" s="42">
        <f t="shared" si="184"/>
        <v>1979.8438399999998</v>
      </c>
      <c r="AI482" s="42">
        <f t="shared" si="185"/>
        <v>1.5452439726829263</v>
      </c>
      <c r="AJ482" s="58">
        <v>2</v>
      </c>
      <c r="AK482" s="58">
        <v>3</v>
      </c>
      <c r="AL482" s="64">
        <v>6.4</v>
      </c>
      <c r="AM482" s="58">
        <v>25</v>
      </c>
      <c r="AN482" s="64">
        <v>6.3</v>
      </c>
      <c r="AO482" s="64">
        <v>7</v>
      </c>
      <c r="AP482" s="37">
        <v>0.16</v>
      </c>
      <c r="AQ482" s="37">
        <v>0.11</v>
      </c>
      <c r="AR482" s="73">
        <f t="shared" si="166"/>
        <v>1260</v>
      </c>
      <c r="AS482" s="75">
        <f t="shared" si="167"/>
        <v>0</v>
      </c>
      <c r="AT482" s="75">
        <f t="shared" si="168"/>
        <v>0.60317460317460314</v>
      </c>
      <c r="AU482" s="75">
        <f t="shared" si="169"/>
        <v>0.3968253968253968</v>
      </c>
      <c r="AV482" s="26">
        <f t="shared" si="170"/>
        <v>7.7759999999999996E-2</v>
      </c>
      <c r="AW482" s="26">
        <f t="shared" si="171"/>
        <v>0.12</v>
      </c>
      <c r="AX482" s="26">
        <f t="shared" si="186"/>
        <v>0.91538461538461535</v>
      </c>
      <c r="AY482" s="24">
        <f t="shared" si="187"/>
        <v>0.91538461538461535</v>
      </c>
      <c r="AZ482" s="77" t="str">
        <f t="shared" si="172"/>
        <v>7,5 ≤ Alc. Bruta &lt; 10,0 mg/L</v>
      </c>
      <c r="BA482" s="77" t="str">
        <f t="shared" si="173"/>
        <v>5 ≤ Cor &lt; 10 uC</v>
      </c>
      <c r="BB482" s="78" t="str">
        <f t="shared" si="174"/>
        <v>Turbidez &lt; 2,5 uT</v>
      </c>
      <c r="BC482" s="79" t="str">
        <f t="shared" si="175"/>
        <v>SM &gt; BNN &gt; TOR</v>
      </c>
      <c r="BD482" s="78" t="str">
        <f t="shared" si="176"/>
        <v>Tipo 1 (≤0,25) uT</v>
      </c>
      <c r="BE482" s="78" t="str">
        <f t="shared" si="177"/>
        <v>Tipo 1 (≤0,25) uT</v>
      </c>
      <c r="BF482" s="78" t="str">
        <f t="shared" si="178"/>
        <v>Tipo 1 (≤0,25) uT</v>
      </c>
      <c r="BG482" s="78" t="str">
        <f t="shared" si="179"/>
        <v>Tipo 1 (≤0,25) uT</v>
      </c>
      <c r="BH482" s="78" t="str">
        <f t="shared" si="180"/>
        <v>Tipo 1 (≤0,25) uT</v>
      </c>
    </row>
    <row r="483" spans="1:60" ht="15.75" thickBot="1" x14ac:dyDescent="0.25">
      <c r="A483" s="30">
        <v>46313</v>
      </c>
      <c r="B483" s="82">
        <v>0.3125</v>
      </c>
      <c r="C483" s="59">
        <v>0</v>
      </c>
      <c r="D483" s="59">
        <v>747</v>
      </c>
      <c r="E483" s="59">
        <v>500</v>
      </c>
      <c r="F483" s="59">
        <v>1260</v>
      </c>
      <c r="G483" s="87" t="s">
        <v>78</v>
      </c>
      <c r="H483" s="65">
        <v>9.5</v>
      </c>
      <c r="I483" s="59">
        <v>100</v>
      </c>
      <c r="J483" s="59">
        <v>90</v>
      </c>
      <c r="K483" s="59">
        <v>90</v>
      </c>
      <c r="L483" s="59">
        <v>90</v>
      </c>
      <c r="M483" s="59">
        <v>24.2</v>
      </c>
      <c r="N483" s="65">
        <v>6.5</v>
      </c>
      <c r="O483" s="38">
        <v>1.26</v>
      </c>
      <c r="P483" s="59">
        <v>8</v>
      </c>
      <c r="Q483" s="65">
        <v>12</v>
      </c>
      <c r="R483" s="38">
        <v>0.08</v>
      </c>
      <c r="S483" s="36">
        <v>22.36</v>
      </c>
      <c r="T483" s="36">
        <v>0.88</v>
      </c>
      <c r="U483" s="36">
        <v>0.7</v>
      </c>
      <c r="V483" s="42">
        <f t="shared" si="181"/>
        <v>1924.65</v>
      </c>
      <c r="W483" s="42">
        <f t="shared" si="182"/>
        <v>1789.4207135999998</v>
      </c>
      <c r="X483" s="42">
        <f t="shared" si="183"/>
        <v>0.92973824518743653</v>
      </c>
      <c r="Y483" s="59">
        <v>1</v>
      </c>
      <c r="Z483" s="59">
        <v>2</v>
      </c>
      <c r="AA483" s="65">
        <v>6.1</v>
      </c>
      <c r="AB483" s="59">
        <v>24</v>
      </c>
      <c r="AC483" s="65">
        <v>6.5</v>
      </c>
      <c r="AD483" s="65">
        <v>10.7</v>
      </c>
      <c r="AE483" s="38">
        <v>0.11</v>
      </c>
      <c r="AF483" s="38">
        <v>0.1</v>
      </c>
      <c r="AG483" s="42">
        <f t="shared" si="165"/>
        <v>1283.1000000000001</v>
      </c>
      <c r="AH483" s="42">
        <f t="shared" si="184"/>
        <v>1979.8438399999998</v>
      </c>
      <c r="AI483" s="42">
        <f t="shared" si="185"/>
        <v>1.5430160081053694</v>
      </c>
      <c r="AJ483" s="59">
        <v>2</v>
      </c>
      <c r="AK483" s="59">
        <v>3</v>
      </c>
      <c r="AL483" s="65">
        <v>6.4</v>
      </c>
      <c r="AM483" s="59">
        <v>25</v>
      </c>
      <c r="AN483" s="65">
        <v>6.4</v>
      </c>
      <c r="AO483" s="65">
        <v>10.6</v>
      </c>
      <c r="AP483" s="38">
        <v>0.13</v>
      </c>
      <c r="AQ483" s="38">
        <v>0.13</v>
      </c>
      <c r="AR483" s="73">
        <f t="shared" si="166"/>
        <v>1247</v>
      </c>
      <c r="AS483" s="75">
        <f t="shared" si="167"/>
        <v>0</v>
      </c>
      <c r="AT483" s="75">
        <f t="shared" si="168"/>
        <v>0.59903769045709698</v>
      </c>
      <c r="AU483" s="75">
        <f t="shared" si="169"/>
        <v>0.40096230954290296</v>
      </c>
      <c r="AV483" s="26">
        <f t="shared" si="170"/>
        <v>7.6190476190476197E-2</v>
      </c>
      <c r="AW483" s="26">
        <f t="shared" si="171"/>
        <v>0.11904761904761904</v>
      </c>
      <c r="AX483" s="26">
        <f t="shared" ref="AX483:AX546" si="188">IF(AND(AQ483&lt;&gt;"",1-(AQ483/O483)&gt;0),1-(AQ483/O483),"")</f>
        <v>0.89682539682539686</v>
      </c>
      <c r="AY483" s="24">
        <f t="shared" ref="AY483:AY546" si="189">IF(AND(AF483&lt;&gt;"",1-(AF483/O483)&gt;0),1-(AF483/O483),"")</f>
        <v>0.92063492063492058</v>
      </c>
      <c r="AZ483" s="77" t="str">
        <f t="shared" si="172"/>
        <v>10,0 ≤ Alca. Bruta &lt; 15,0 mg/L</v>
      </c>
      <c r="BA483" s="77" t="str">
        <f t="shared" si="173"/>
        <v>5 ≤ Cor &lt; 10 uC</v>
      </c>
      <c r="BB483" s="78" t="str">
        <f t="shared" si="174"/>
        <v>Turbidez &lt; 2,5 uT</v>
      </c>
      <c r="BC483" s="79" t="str">
        <f t="shared" si="175"/>
        <v>SM &gt; BNN &gt; TOR</v>
      </c>
      <c r="BD483" s="78" t="str">
        <f t="shared" si="176"/>
        <v>Tipo 1 (≤0,25) uT</v>
      </c>
      <c r="BE483" s="78" t="str">
        <f t="shared" si="177"/>
        <v>Tipo 1 (≤0,25) uT</v>
      </c>
      <c r="BF483" s="78" t="str">
        <f t="shared" si="178"/>
        <v>Tipo 1 (≤0,25) uT</v>
      </c>
      <c r="BG483" s="78" t="str">
        <f t="shared" si="179"/>
        <v>Tipo 1 (≤0,25) uT</v>
      </c>
      <c r="BH483" s="78" t="str">
        <f t="shared" si="180"/>
        <v>Tipo 1 (≤0,25) uT</v>
      </c>
    </row>
    <row r="484" spans="1:60" x14ac:dyDescent="0.2">
      <c r="A484" s="31">
        <v>46313</v>
      </c>
      <c r="B484" s="80">
        <v>0.39583333333333331</v>
      </c>
      <c r="C484" s="59">
        <v>0</v>
      </c>
      <c r="D484" s="57">
        <v>769</v>
      </c>
      <c r="E484" s="57">
        <v>500</v>
      </c>
      <c r="F484" s="57">
        <v>1220</v>
      </c>
      <c r="G484" s="85" t="s">
        <v>78</v>
      </c>
      <c r="H484" s="63">
        <v>9.5</v>
      </c>
      <c r="I484" s="57">
        <v>25</v>
      </c>
      <c r="J484" s="57">
        <v>90</v>
      </c>
      <c r="K484" s="57">
        <v>90</v>
      </c>
      <c r="L484" s="57">
        <v>90</v>
      </c>
      <c r="M484" s="57">
        <v>25</v>
      </c>
      <c r="N484" s="63">
        <v>6.5</v>
      </c>
      <c r="O484" s="36">
        <v>1.24</v>
      </c>
      <c r="P484" s="57">
        <v>9</v>
      </c>
      <c r="Q484" s="63">
        <v>14.3</v>
      </c>
      <c r="R484" s="36">
        <v>7.0000000000000007E-2</v>
      </c>
      <c r="S484" s="36">
        <v>22.36</v>
      </c>
      <c r="T484" s="36">
        <v>0.88</v>
      </c>
      <c r="U484" s="36">
        <v>0.7</v>
      </c>
      <c r="V484" s="42">
        <f t="shared" si="181"/>
        <v>1857.45</v>
      </c>
      <c r="W484" s="42">
        <f t="shared" si="182"/>
        <v>1789.4207135999998</v>
      </c>
      <c r="X484" s="42">
        <f t="shared" si="183"/>
        <v>0.96337490301219397</v>
      </c>
      <c r="Y484" s="57">
        <v>1</v>
      </c>
      <c r="Z484" s="57">
        <v>2</v>
      </c>
      <c r="AA484" s="63">
        <v>6.1</v>
      </c>
      <c r="AB484" s="57">
        <v>24</v>
      </c>
      <c r="AC484" s="63">
        <v>6.5</v>
      </c>
      <c r="AD484" s="63">
        <v>10.1</v>
      </c>
      <c r="AE484" s="36">
        <v>0.14000000000000001</v>
      </c>
      <c r="AF484" s="36">
        <v>0.1</v>
      </c>
      <c r="AG484" s="42">
        <f t="shared" si="165"/>
        <v>1238.3</v>
      </c>
      <c r="AH484" s="42">
        <f t="shared" si="184"/>
        <v>1979.8438399999998</v>
      </c>
      <c r="AI484" s="42">
        <f t="shared" si="185"/>
        <v>1.5988402164257449</v>
      </c>
      <c r="AJ484" s="57">
        <v>2</v>
      </c>
      <c r="AK484" s="57">
        <v>3</v>
      </c>
      <c r="AL484" s="63">
        <v>6.4</v>
      </c>
      <c r="AM484" s="57">
        <v>25</v>
      </c>
      <c r="AN484" s="63">
        <v>6.5</v>
      </c>
      <c r="AO484" s="63">
        <v>9.9</v>
      </c>
      <c r="AP484" s="36">
        <v>0.18</v>
      </c>
      <c r="AQ484" s="36">
        <v>0.16</v>
      </c>
      <c r="AR484" s="73">
        <f t="shared" si="166"/>
        <v>1269</v>
      </c>
      <c r="AS484" s="75">
        <f t="shared" si="167"/>
        <v>0</v>
      </c>
      <c r="AT484" s="75">
        <f t="shared" si="168"/>
        <v>0.60598896769109534</v>
      </c>
      <c r="AU484" s="75">
        <f t="shared" si="169"/>
        <v>0.39401103230890466</v>
      </c>
      <c r="AV484" s="26">
        <f t="shared" si="170"/>
        <v>7.8688524590163941E-2</v>
      </c>
      <c r="AW484" s="26">
        <f t="shared" si="171"/>
        <v>0.12295081967213115</v>
      </c>
      <c r="AX484" s="26">
        <f t="shared" si="188"/>
        <v>0.87096774193548387</v>
      </c>
      <c r="AY484" s="24">
        <f t="shared" si="189"/>
        <v>0.91935483870967738</v>
      </c>
      <c r="AZ484" s="77" t="str">
        <f t="shared" si="172"/>
        <v>10,0 ≤ Alca. Bruta &lt; 15,0 mg/L</v>
      </c>
      <c r="BA484" s="77" t="str">
        <f t="shared" si="173"/>
        <v>5 ≤ Cor &lt; 10 uC</v>
      </c>
      <c r="BB484" s="78" t="str">
        <f t="shared" si="174"/>
        <v>Turbidez &lt; 2,5 uT</v>
      </c>
      <c r="BC484" s="79" t="str">
        <f t="shared" si="175"/>
        <v>SM &gt; BNN &gt; TOR</v>
      </c>
      <c r="BD484" s="78" t="str">
        <f t="shared" si="176"/>
        <v>Tipo 1 (≤0,25) uT</v>
      </c>
      <c r="BE484" s="78" t="str">
        <f t="shared" si="177"/>
        <v>Tipo 1 (≤0,25) uT</v>
      </c>
      <c r="BF484" s="78" t="str">
        <f t="shared" si="178"/>
        <v>Tipo 1 (≤0,25) uT</v>
      </c>
      <c r="BG484" s="78" t="str">
        <f t="shared" si="179"/>
        <v>Tipo 1 (≤0,25) uT</v>
      </c>
      <c r="BH484" s="78" t="str">
        <f t="shared" si="180"/>
        <v>Tipo 1 (≤0,25) uT</v>
      </c>
    </row>
    <row r="485" spans="1:60" x14ac:dyDescent="0.2">
      <c r="A485" s="31">
        <v>46313</v>
      </c>
      <c r="B485" s="80">
        <v>0.47916666666666669</v>
      </c>
      <c r="C485" s="57">
        <v>626</v>
      </c>
      <c r="D485" s="57">
        <v>725</v>
      </c>
      <c r="E485" s="57">
        <v>500</v>
      </c>
      <c r="F485" s="57">
        <v>1820</v>
      </c>
      <c r="G485" s="85" t="s">
        <v>78</v>
      </c>
      <c r="H485" s="63">
        <v>9.5</v>
      </c>
      <c r="I485" s="57">
        <v>22</v>
      </c>
      <c r="J485" s="57">
        <v>90</v>
      </c>
      <c r="K485" s="57">
        <v>90</v>
      </c>
      <c r="L485" s="57">
        <v>90</v>
      </c>
      <c r="M485" s="57">
        <v>25.2</v>
      </c>
      <c r="N485" s="63">
        <v>6.4</v>
      </c>
      <c r="O485" s="36">
        <v>1.29</v>
      </c>
      <c r="P485" s="57">
        <v>10</v>
      </c>
      <c r="Q485" s="63">
        <v>10.4</v>
      </c>
      <c r="R485" s="36">
        <v>0.09</v>
      </c>
      <c r="S485" s="36">
        <v>22.36</v>
      </c>
      <c r="T485" s="36">
        <v>0.88</v>
      </c>
      <c r="U485" s="36">
        <v>0.7</v>
      </c>
      <c r="V485" s="42">
        <f t="shared" si="181"/>
        <v>1862.4666666666667</v>
      </c>
      <c r="W485" s="42">
        <f t="shared" si="182"/>
        <v>1902.60122</v>
      </c>
      <c r="X485" s="42">
        <f t="shared" si="183"/>
        <v>1.0215491391344811</v>
      </c>
      <c r="Y485" s="57">
        <v>2</v>
      </c>
      <c r="Z485" s="57">
        <v>3</v>
      </c>
      <c r="AA485" s="63">
        <v>6.2</v>
      </c>
      <c r="AB485" s="57">
        <v>25</v>
      </c>
      <c r="AC485" s="63">
        <v>6.4</v>
      </c>
      <c r="AD485" s="63">
        <v>9.6999999999999993</v>
      </c>
      <c r="AE485" s="36">
        <v>0.18</v>
      </c>
      <c r="AF485" s="36">
        <v>0.1</v>
      </c>
      <c r="AG485" s="42">
        <f t="shared" si="165"/>
        <v>1396.8500000000001</v>
      </c>
      <c r="AH485" s="42">
        <f t="shared" si="184"/>
        <v>1900.6500864</v>
      </c>
      <c r="AI485" s="42">
        <f t="shared" si="185"/>
        <v>1.3606687091670542</v>
      </c>
      <c r="AJ485" s="57">
        <v>2</v>
      </c>
      <c r="AK485" s="57">
        <v>4</v>
      </c>
      <c r="AL485" s="63">
        <v>6.4</v>
      </c>
      <c r="AM485" s="57">
        <v>24</v>
      </c>
      <c r="AN485" s="63">
        <v>6.5</v>
      </c>
      <c r="AO485" s="63">
        <v>9.1999999999999993</v>
      </c>
      <c r="AP485" s="36">
        <v>0.21</v>
      </c>
      <c r="AQ485" s="36">
        <v>0.12</v>
      </c>
      <c r="AR485" s="73">
        <f t="shared" si="166"/>
        <v>1851</v>
      </c>
      <c r="AS485" s="75">
        <f t="shared" si="167"/>
        <v>0.33819556996218259</v>
      </c>
      <c r="AT485" s="75">
        <f t="shared" si="168"/>
        <v>0.39168017287952456</v>
      </c>
      <c r="AU485" s="75">
        <f t="shared" si="169"/>
        <v>0.2701242571582928</v>
      </c>
      <c r="AV485" s="26">
        <f t="shared" si="170"/>
        <v>8.2417582417582416E-2</v>
      </c>
      <c r="AW485" s="26">
        <f t="shared" si="171"/>
        <v>0.10549450549450549</v>
      </c>
      <c r="AX485" s="26">
        <f t="shared" si="188"/>
        <v>0.90697674418604657</v>
      </c>
      <c r="AY485" s="24">
        <f t="shared" si="189"/>
        <v>0.92248062015503873</v>
      </c>
      <c r="AZ485" s="77" t="str">
        <f t="shared" si="172"/>
        <v>10,0 ≤ Alca. Bruta &lt; 15,0 mg/L</v>
      </c>
      <c r="BA485" s="77" t="str">
        <f t="shared" si="173"/>
        <v>10 ≤ Cor &lt;15 uC</v>
      </c>
      <c r="BB485" s="78" t="str">
        <f t="shared" si="174"/>
        <v>Turbidez &lt; 2,5 uT</v>
      </c>
      <c r="BC485" s="79" t="str">
        <f t="shared" si="175"/>
        <v>SM &gt; TOR &gt; BNN</v>
      </c>
      <c r="BD485" s="78" t="str">
        <f t="shared" si="176"/>
        <v>Tipo 1 (≤0,25) uT</v>
      </c>
      <c r="BE485" s="78" t="str">
        <f t="shared" si="177"/>
        <v>Tipo 1 (≤0,25) uT</v>
      </c>
      <c r="BF485" s="78" t="str">
        <f t="shared" si="178"/>
        <v>Tipo 1 (≤0,25) uT</v>
      </c>
      <c r="BG485" s="78" t="str">
        <f t="shared" si="179"/>
        <v>Tipo 1 (≤0,25) uT</v>
      </c>
      <c r="BH485" s="78" t="str">
        <f t="shared" si="180"/>
        <v>Tipo 1 (≤0,25) uT</v>
      </c>
    </row>
    <row r="486" spans="1:60" x14ac:dyDescent="0.2">
      <c r="A486" s="31">
        <v>46313</v>
      </c>
      <c r="B486" s="80">
        <v>0.64583333333333337</v>
      </c>
      <c r="C486" s="57">
        <v>730</v>
      </c>
      <c r="D486" s="57">
        <v>613</v>
      </c>
      <c r="E486" s="57">
        <v>500</v>
      </c>
      <c r="F486" s="57">
        <v>1822</v>
      </c>
      <c r="G486" s="85" t="s">
        <v>78</v>
      </c>
      <c r="H486" s="63">
        <v>9.5</v>
      </c>
      <c r="I486" s="57">
        <v>124</v>
      </c>
      <c r="J486" s="57">
        <v>90</v>
      </c>
      <c r="K486" s="57">
        <v>90</v>
      </c>
      <c r="L486" s="57">
        <v>90</v>
      </c>
      <c r="M486" s="57">
        <v>25.5</v>
      </c>
      <c r="N486" s="63">
        <v>6.5</v>
      </c>
      <c r="O486" s="36">
        <v>1.89</v>
      </c>
      <c r="P486" s="57">
        <v>12</v>
      </c>
      <c r="Q486" s="63">
        <v>9.1999999999999993</v>
      </c>
      <c r="R486" s="36">
        <v>7.0000000000000007E-2</v>
      </c>
      <c r="S486" s="36">
        <v>22.36</v>
      </c>
      <c r="T486" s="36">
        <v>0.88</v>
      </c>
      <c r="U486" s="36">
        <v>0.7</v>
      </c>
      <c r="V486" s="42">
        <f t="shared" si="181"/>
        <v>2046.7133333333336</v>
      </c>
      <c r="W486" s="42">
        <f t="shared" si="182"/>
        <v>1826.4971712000001</v>
      </c>
      <c r="X486" s="42">
        <f t="shared" si="183"/>
        <v>0.89240497995159718</v>
      </c>
      <c r="Y486" s="57">
        <v>2</v>
      </c>
      <c r="Z486" s="57">
        <v>3</v>
      </c>
      <c r="AA486" s="63">
        <v>6.2</v>
      </c>
      <c r="AB486" s="57">
        <v>24</v>
      </c>
      <c r="AC486" s="63">
        <v>6.3</v>
      </c>
      <c r="AD486" s="63">
        <v>8.6999999999999993</v>
      </c>
      <c r="AE486" s="36">
        <v>0.12</v>
      </c>
      <c r="AF486" s="36">
        <v>0.1</v>
      </c>
      <c r="AG486" s="42">
        <f t="shared" si="165"/>
        <v>1535.0350000000001</v>
      </c>
      <c r="AH486" s="42">
        <f t="shared" si="184"/>
        <v>1979.8438399999998</v>
      </c>
      <c r="AI486" s="42">
        <f t="shared" si="185"/>
        <v>1.2897711387688227</v>
      </c>
      <c r="AJ486" s="57">
        <v>2</v>
      </c>
      <c r="AK486" s="57">
        <v>4</v>
      </c>
      <c r="AL486" s="63">
        <v>6.4</v>
      </c>
      <c r="AM486" s="57">
        <v>25</v>
      </c>
      <c r="AN486" s="63">
        <v>6.3</v>
      </c>
      <c r="AO486" s="63">
        <v>8.3000000000000007</v>
      </c>
      <c r="AP486" s="36">
        <v>0.14000000000000001</v>
      </c>
      <c r="AQ486" s="36">
        <v>0.16</v>
      </c>
      <c r="AR486" s="73">
        <f t="shared" si="166"/>
        <v>1843</v>
      </c>
      <c r="AS486" s="75">
        <f t="shared" si="167"/>
        <v>0.39609332609875203</v>
      </c>
      <c r="AT486" s="75">
        <f t="shared" si="168"/>
        <v>0.33260987520347257</v>
      </c>
      <c r="AU486" s="75">
        <f t="shared" si="169"/>
        <v>0.27129679869777534</v>
      </c>
      <c r="AV486" s="26">
        <f t="shared" si="170"/>
        <v>7.9034028540065859E-2</v>
      </c>
      <c r="AW486" s="26">
        <f t="shared" si="171"/>
        <v>0.10976948408342481</v>
      </c>
      <c r="AX486" s="26">
        <f t="shared" si="188"/>
        <v>0.91534391534391535</v>
      </c>
      <c r="AY486" s="24">
        <f t="shared" si="189"/>
        <v>0.94708994708994709</v>
      </c>
      <c r="AZ486" s="77" t="str">
        <f t="shared" si="172"/>
        <v>7,5 ≤ Alc. Bruta &lt; 10,0 mg/L</v>
      </c>
      <c r="BA486" s="77" t="str">
        <f t="shared" si="173"/>
        <v>10 ≤ Cor &lt;15 uC</v>
      </c>
      <c r="BB486" s="78" t="str">
        <f t="shared" si="174"/>
        <v>Turbidez &lt; 2,5 uT</v>
      </c>
      <c r="BC486" s="79" t="str">
        <f t="shared" si="175"/>
        <v>TOR &gt; SM &gt; BNN</v>
      </c>
      <c r="BD486" s="78" t="str">
        <f t="shared" si="176"/>
        <v>Tipo 1 (≤0,25) uT</v>
      </c>
      <c r="BE486" s="78" t="str">
        <f t="shared" si="177"/>
        <v>Tipo 1 (≤0,25) uT</v>
      </c>
      <c r="BF486" s="78" t="str">
        <f t="shared" si="178"/>
        <v>Tipo 1 (≤0,25) uT</v>
      </c>
      <c r="BG486" s="78" t="str">
        <f t="shared" si="179"/>
        <v>Tipo 1 (≤0,25) uT</v>
      </c>
      <c r="BH486" s="78" t="str">
        <f t="shared" si="180"/>
        <v>Tipo 1 (≤0,25) uT</v>
      </c>
    </row>
    <row r="487" spans="1:60" x14ac:dyDescent="0.2">
      <c r="A487" s="31">
        <v>46313</v>
      </c>
      <c r="B487" s="80">
        <v>0.72916666666666663</v>
      </c>
      <c r="C487" s="57">
        <v>717</v>
      </c>
      <c r="D487" s="57">
        <v>645</v>
      </c>
      <c r="E487" s="57">
        <v>233</v>
      </c>
      <c r="F487" s="57">
        <v>1649</v>
      </c>
      <c r="G487" s="85" t="s">
        <v>78</v>
      </c>
      <c r="H487" s="63">
        <v>9.5</v>
      </c>
      <c r="I487" s="57">
        <v>121</v>
      </c>
      <c r="J487" s="57">
        <v>90</v>
      </c>
      <c r="K487" s="57">
        <v>90</v>
      </c>
      <c r="L487" s="57">
        <v>90</v>
      </c>
      <c r="M487" s="57">
        <v>25.5</v>
      </c>
      <c r="N487" s="63">
        <v>6.5</v>
      </c>
      <c r="O487" s="36">
        <v>1.88</v>
      </c>
      <c r="P487" s="57">
        <v>13</v>
      </c>
      <c r="Q487" s="63">
        <v>9.5</v>
      </c>
      <c r="R487" s="36">
        <v>7.0000000000000007E-2</v>
      </c>
      <c r="S487" s="36">
        <v>22.36</v>
      </c>
      <c r="T487" s="36">
        <v>0.88</v>
      </c>
      <c r="U487" s="36">
        <v>0.7</v>
      </c>
      <c r="V487" s="42">
        <f t="shared" si="181"/>
        <v>1849.6283333333333</v>
      </c>
      <c r="W487" s="42">
        <f t="shared" si="182"/>
        <v>1826.4971712000001</v>
      </c>
      <c r="X487" s="42">
        <f t="shared" si="183"/>
        <v>0.98749415668192808</v>
      </c>
      <c r="Y487" s="57">
        <v>2</v>
      </c>
      <c r="Z487" s="57">
        <v>3</v>
      </c>
      <c r="AA487" s="63">
        <v>6.2</v>
      </c>
      <c r="AB487" s="57">
        <v>24</v>
      </c>
      <c r="AC487" s="63">
        <v>6.3</v>
      </c>
      <c r="AD487" s="63">
        <v>8.1</v>
      </c>
      <c r="AE487" s="36">
        <v>0.11</v>
      </c>
      <c r="AF487" s="36"/>
      <c r="AG487" s="42">
        <f t="shared" si="165"/>
        <v>1849.6283333333333</v>
      </c>
      <c r="AH487" s="42">
        <f t="shared" si="184"/>
        <v>1900.6500864</v>
      </c>
      <c r="AI487" s="42">
        <f t="shared" si="185"/>
        <v>1.0275848678067756</v>
      </c>
      <c r="AJ487" s="57">
        <v>2</v>
      </c>
      <c r="AK487" s="57">
        <v>3</v>
      </c>
      <c r="AL487" s="63">
        <v>6.4</v>
      </c>
      <c r="AM487" s="57">
        <v>24</v>
      </c>
      <c r="AN487" s="63">
        <v>6.3</v>
      </c>
      <c r="AO487" s="63">
        <v>7.7</v>
      </c>
      <c r="AP487" s="36">
        <v>0.22</v>
      </c>
      <c r="AQ487" s="36">
        <v>0.17</v>
      </c>
      <c r="AR487" s="73">
        <f t="shared" si="166"/>
        <v>1595</v>
      </c>
      <c r="AS487" s="75">
        <f t="shared" si="167"/>
        <v>0.44952978056426335</v>
      </c>
      <c r="AT487" s="75">
        <f t="shared" si="168"/>
        <v>0.40438871473354232</v>
      </c>
      <c r="AU487" s="75">
        <f t="shared" si="169"/>
        <v>0.14608150470219436</v>
      </c>
      <c r="AV487" s="26">
        <f t="shared" si="170"/>
        <v>8.7325651910248644E-2</v>
      </c>
      <c r="AW487" s="26">
        <f t="shared" si="171"/>
        <v>8.7325651910248644E-2</v>
      </c>
      <c r="AX487" s="26">
        <f t="shared" si="188"/>
        <v>0.90957446808510634</v>
      </c>
      <c r="AY487" s="24" t="str">
        <f t="shared" si="189"/>
        <v/>
      </c>
      <c r="AZ487" s="77" t="str">
        <f t="shared" si="172"/>
        <v>7,5 ≤ Alc. Bruta &lt; 10,0 mg/L</v>
      </c>
      <c r="BA487" s="77" t="str">
        <f t="shared" si="173"/>
        <v>10 ≤ Cor &lt;15 uC</v>
      </c>
      <c r="BB487" s="78" t="str">
        <f t="shared" si="174"/>
        <v>Turbidez &lt; 2,5 uT</v>
      </c>
      <c r="BC487" s="79" t="str">
        <f t="shared" si="175"/>
        <v>TOR &gt; SM &gt; BNN</v>
      </c>
      <c r="BD487" s="78" t="str">
        <f t="shared" si="176"/>
        <v>Tipo 1 (≤0,25) uT</v>
      </c>
      <c r="BE487" s="78" t="str">
        <f t="shared" si="177"/>
        <v>Tipo 1 (≤0,25) uT</v>
      </c>
      <c r="BF487" s="78" t="str">
        <f t="shared" si="178"/>
        <v/>
      </c>
      <c r="BG487" s="78" t="str">
        <f t="shared" si="179"/>
        <v>Tipo 1 (≤0,25) uT</v>
      </c>
      <c r="BH487" s="78" t="str">
        <f t="shared" si="180"/>
        <v>Tipo 1 (≤0,25) uT</v>
      </c>
    </row>
    <row r="488" spans="1:60" x14ac:dyDescent="0.2">
      <c r="A488" s="31">
        <v>46313</v>
      </c>
      <c r="B488" s="80">
        <v>0.8125</v>
      </c>
      <c r="C488" s="57">
        <v>650</v>
      </c>
      <c r="D488" s="57">
        <v>699</v>
      </c>
      <c r="E488" s="57">
        <v>230</v>
      </c>
      <c r="F488" s="57">
        <v>1620</v>
      </c>
      <c r="G488" s="85" t="s">
        <v>78</v>
      </c>
      <c r="H488" s="63">
        <v>9.5</v>
      </c>
      <c r="I488" s="57">
        <v>182</v>
      </c>
      <c r="J488" s="57">
        <v>90</v>
      </c>
      <c r="K488" s="57">
        <v>90</v>
      </c>
      <c r="L488" s="57">
        <v>90</v>
      </c>
      <c r="M488" s="57">
        <v>24.7</v>
      </c>
      <c r="N488" s="63">
        <v>6.6</v>
      </c>
      <c r="O488" s="36">
        <v>1.73</v>
      </c>
      <c r="P488" s="57">
        <v>12</v>
      </c>
      <c r="Q488" s="63">
        <v>10.1</v>
      </c>
      <c r="R488" s="36">
        <v>0.09</v>
      </c>
      <c r="S488" s="36">
        <v>22.36</v>
      </c>
      <c r="T488" s="36">
        <v>0.88</v>
      </c>
      <c r="U488" s="36">
        <v>0.7</v>
      </c>
      <c r="V488" s="42">
        <f t="shared" si="181"/>
        <v>1776.6</v>
      </c>
      <c r="W488" s="42">
        <f t="shared" si="182"/>
        <v>1826.4971712000001</v>
      </c>
      <c r="X488" s="42">
        <f t="shared" si="183"/>
        <v>1.0280857656197231</v>
      </c>
      <c r="Y488" s="57">
        <v>2</v>
      </c>
      <c r="Z488" s="57">
        <v>3</v>
      </c>
      <c r="AA488" s="63">
        <v>6.2</v>
      </c>
      <c r="AB488" s="57">
        <v>24</v>
      </c>
      <c r="AC488" s="63">
        <v>6.3</v>
      </c>
      <c r="AD488" s="63">
        <v>8</v>
      </c>
      <c r="AE488" s="36">
        <v>0.13</v>
      </c>
      <c r="AF488" s="36">
        <v>0.1</v>
      </c>
      <c r="AG488" s="42">
        <f t="shared" si="165"/>
        <v>1776.6</v>
      </c>
      <c r="AH488" s="42">
        <f t="shared" si="184"/>
        <v>2251.8181347999994</v>
      </c>
      <c r="AI488" s="42">
        <f t="shared" si="185"/>
        <v>1.2674874112349428</v>
      </c>
      <c r="AJ488" s="57">
        <v>2</v>
      </c>
      <c r="AK488" s="57">
        <v>3</v>
      </c>
      <c r="AL488" s="63">
        <v>6.3</v>
      </c>
      <c r="AM488" s="57">
        <v>29</v>
      </c>
      <c r="AN488" s="63">
        <v>6.4</v>
      </c>
      <c r="AO488" s="63">
        <v>8</v>
      </c>
      <c r="AP488" s="36">
        <v>0.16</v>
      </c>
      <c r="AQ488" s="36">
        <v>2</v>
      </c>
      <c r="AR488" s="73">
        <f t="shared" si="166"/>
        <v>1579</v>
      </c>
      <c r="AS488" s="75">
        <f t="shared" si="167"/>
        <v>0.41165294490183663</v>
      </c>
      <c r="AT488" s="75">
        <f t="shared" si="168"/>
        <v>0.44268524382520585</v>
      </c>
      <c r="AU488" s="75">
        <f t="shared" si="169"/>
        <v>0.14566181127295758</v>
      </c>
      <c r="AV488" s="26">
        <f t="shared" si="170"/>
        <v>8.8888888888888892E-2</v>
      </c>
      <c r="AW488" s="26">
        <f t="shared" si="171"/>
        <v>0.10740740740740741</v>
      </c>
      <c r="AX488" s="26" t="str">
        <f t="shared" si="188"/>
        <v/>
      </c>
      <c r="AY488" s="24">
        <f t="shared" si="189"/>
        <v>0.94219653179190754</v>
      </c>
      <c r="AZ488" s="77" t="str">
        <f t="shared" si="172"/>
        <v>10,0 ≤ Alca. Bruta &lt; 15,0 mg/L</v>
      </c>
      <c r="BA488" s="77" t="str">
        <f t="shared" si="173"/>
        <v>10 ≤ Cor &lt;15 uC</v>
      </c>
      <c r="BB488" s="78" t="str">
        <f t="shared" si="174"/>
        <v>Turbidez &lt; 2,5 uT</v>
      </c>
      <c r="BC488" s="79" t="str">
        <f t="shared" si="175"/>
        <v>SM &gt; TOR &gt; BNN</v>
      </c>
      <c r="BD488" s="78" t="str">
        <f t="shared" si="176"/>
        <v>Tipo 1 (≤0,25) uT</v>
      </c>
      <c r="BE488" s="78" t="str">
        <f t="shared" si="177"/>
        <v>Tipo 1 (≤0,25) uT</v>
      </c>
      <c r="BF488" s="78" t="str">
        <f t="shared" si="178"/>
        <v>Tipo 1 (≤0,25) uT</v>
      </c>
      <c r="BG488" s="78" t="str">
        <f t="shared" si="179"/>
        <v>Tipo 4 (&gt;0,75) uT</v>
      </c>
      <c r="BH488" s="78" t="str">
        <f t="shared" si="180"/>
        <v>Tipo 1 (≤0,25) uT</v>
      </c>
    </row>
    <row r="489" spans="1:60" x14ac:dyDescent="0.2">
      <c r="A489" s="31">
        <v>46313</v>
      </c>
      <c r="B489" s="80">
        <v>0.89583333333333337</v>
      </c>
      <c r="C489" s="57">
        <v>700</v>
      </c>
      <c r="D489" s="57">
        <v>721</v>
      </c>
      <c r="E489" s="57">
        <v>237</v>
      </c>
      <c r="F489" s="57">
        <v>1650</v>
      </c>
      <c r="G489" s="85" t="s">
        <v>78</v>
      </c>
      <c r="H489" s="63">
        <v>9.5</v>
      </c>
      <c r="I489" s="57">
        <v>144</v>
      </c>
      <c r="J489" s="57">
        <v>90</v>
      </c>
      <c r="K489" s="57">
        <v>90</v>
      </c>
      <c r="L489" s="57">
        <v>90</v>
      </c>
      <c r="M489" s="57">
        <v>24.3</v>
      </c>
      <c r="N489" s="63">
        <v>6.5</v>
      </c>
      <c r="O489" s="36">
        <v>1.44</v>
      </c>
      <c r="P489" s="57">
        <v>8</v>
      </c>
      <c r="Q489" s="63">
        <v>9.6</v>
      </c>
      <c r="R489" s="36">
        <v>0.11</v>
      </c>
      <c r="S489" s="36">
        <v>22.36</v>
      </c>
      <c r="T489" s="36">
        <v>0.88</v>
      </c>
      <c r="U489" s="36">
        <v>0.7</v>
      </c>
      <c r="V489" s="42">
        <f t="shared" si="181"/>
        <v>1729.75</v>
      </c>
      <c r="W489" s="42">
        <f t="shared" si="182"/>
        <v>1826.4971712000001</v>
      </c>
      <c r="X489" s="42">
        <f t="shared" si="183"/>
        <v>1.0559313029050441</v>
      </c>
      <c r="Y489" s="57">
        <v>2</v>
      </c>
      <c r="Z489" s="57">
        <v>3</v>
      </c>
      <c r="AA489" s="63">
        <v>6.2</v>
      </c>
      <c r="AB489" s="57">
        <v>24</v>
      </c>
      <c r="AC489" s="63">
        <v>6.4</v>
      </c>
      <c r="AD489" s="63">
        <v>8.4</v>
      </c>
      <c r="AE489" s="36">
        <v>0.12</v>
      </c>
      <c r="AF489" s="36"/>
      <c r="AG489" s="42">
        <f t="shared" si="165"/>
        <v>1729.75</v>
      </c>
      <c r="AH489" s="42">
        <f t="shared" si="184"/>
        <v>1979.8438399999998</v>
      </c>
      <c r="AI489" s="42">
        <f t="shared" si="185"/>
        <v>1.1445838069085126</v>
      </c>
      <c r="AJ489" s="57">
        <v>2</v>
      </c>
      <c r="AK489" s="57">
        <v>3</v>
      </c>
      <c r="AL489" s="63">
        <v>6.4</v>
      </c>
      <c r="AM489" s="57">
        <v>25</v>
      </c>
      <c r="AN489" s="63">
        <v>6.3</v>
      </c>
      <c r="AO489" s="63">
        <v>7.4</v>
      </c>
      <c r="AP489" s="36">
        <v>0.2</v>
      </c>
      <c r="AQ489" s="36">
        <v>0.27</v>
      </c>
      <c r="AR489" s="73">
        <f t="shared" si="166"/>
        <v>1658</v>
      </c>
      <c r="AS489" s="75">
        <f t="shared" si="167"/>
        <v>0.42219541616405309</v>
      </c>
      <c r="AT489" s="75">
        <f t="shared" si="168"/>
        <v>0.43486127864897467</v>
      </c>
      <c r="AU489" s="75">
        <f t="shared" si="169"/>
        <v>0.14294330518697226</v>
      </c>
      <c r="AV489" s="26">
        <f t="shared" si="170"/>
        <v>8.727272727272728E-2</v>
      </c>
      <c r="AW489" s="26">
        <f t="shared" si="171"/>
        <v>9.0909090909090912E-2</v>
      </c>
      <c r="AX489" s="26">
        <f t="shared" si="188"/>
        <v>0.8125</v>
      </c>
      <c r="AY489" s="24" t="str">
        <f t="shared" si="189"/>
        <v/>
      </c>
      <c r="AZ489" s="77" t="str">
        <f t="shared" si="172"/>
        <v>7,5 ≤ Alc. Bruta &lt; 10,0 mg/L</v>
      </c>
      <c r="BA489" s="77" t="str">
        <f t="shared" si="173"/>
        <v>5 ≤ Cor &lt; 10 uC</v>
      </c>
      <c r="BB489" s="78" t="str">
        <f t="shared" si="174"/>
        <v>Turbidez &lt; 2,5 uT</v>
      </c>
      <c r="BC489" s="79" t="str">
        <f t="shared" si="175"/>
        <v>SM &gt; TOR &gt; BNN</v>
      </c>
      <c r="BD489" s="78" t="str">
        <f t="shared" si="176"/>
        <v>Tipo 1 (≤0,25) uT</v>
      </c>
      <c r="BE489" s="78" t="str">
        <f t="shared" si="177"/>
        <v>Tipo 1 (≤0,25) uT</v>
      </c>
      <c r="BF489" s="78" t="str">
        <f t="shared" si="178"/>
        <v/>
      </c>
      <c r="BG489" s="78" t="str">
        <f t="shared" si="179"/>
        <v>Tipo 2 (0,25-0,50) uT</v>
      </c>
      <c r="BH489" s="78" t="str">
        <f t="shared" si="180"/>
        <v>Tipo 1 (≤0,25) uT</v>
      </c>
    </row>
    <row r="490" spans="1:60" x14ac:dyDescent="0.2">
      <c r="A490" s="31">
        <v>46313</v>
      </c>
      <c r="B490" s="80">
        <v>0.97916666666666663</v>
      </c>
      <c r="C490" s="57">
        <v>597</v>
      </c>
      <c r="D490" s="57">
        <v>711</v>
      </c>
      <c r="E490" s="57">
        <v>234</v>
      </c>
      <c r="F490" s="57">
        <v>1639</v>
      </c>
      <c r="G490" s="85" t="s">
        <v>78</v>
      </c>
      <c r="H490" s="63">
        <v>9.5</v>
      </c>
      <c r="I490" s="57">
        <v>95</v>
      </c>
      <c r="J490" s="57">
        <v>90</v>
      </c>
      <c r="K490" s="57">
        <v>90</v>
      </c>
      <c r="L490" s="57">
        <v>90</v>
      </c>
      <c r="M490" s="57">
        <v>23.8</v>
      </c>
      <c r="N490" s="63">
        <v>6.5</v>
      </c>
      <c r="O490" s="36">
        <v>1.7</v>
      </c>
      <c r="P490" s="57">
        <v>11</v>
      </c>
      <c r="Q490" s="63">
        <v>9.8000000000000007</v>
      </c>
      <c r="R490" s="36">
        <v>0.1</v>
      </c>
      <c r="S490" s="36">
        <v>22.36</v>
      </c>
      <c r="T490" s="36">
        <v>0.88</v>
      </c>
      <c r="U490" s="36">
        <v>0.7</v>
      </c>
      <c r="V490" s="42">
        <f t="shared" si="181"/>
        <v>1789.2416666666668</v>
      </c>
      <c r="W490" s="42">
        <f t="shared" si="182"/>
        <v>1826.4971712000001</v>
      </c>
      <c r="X490" s="42">
        <f t="shared" si="183"/>
        <v>1.0208219522423374</v>
      </c>
      <c r="Y490" s="57">
        <v>2</v>
      </c>
      <c r="Z490" s="57">
        <v>3</v>
      </c>
      <c r="AA490" s="63">
        <v>6.2</v>
      </c>
      <c r="AB490" s="57">
        <v>24</v>
      </c>
      <c r="AC490" s="63">
        <v>6.3</v>
      </c>
      <c r="AD490" s="63">
        <v>8.6999999999999993</v>
      </c>
      <c r="AE490" s="36">
        <v>0.16</v>
      </c>
      <c r="AF490" s="36">
        <v>0.1</v>
      </c>
      <c r="AG490" s="42">
        <f t="shared" si="165"/>
        <v>1789.2416666666668</v>
      </c>
      <c r="AH490" s="42">
        <f t="shared" si="184"/>
        <v>1900.6500864</v>
      </c>
      <c r="AI490" s="42">
        <f t="shared" si="185"/>
        <v>1.0622657194994154</v>
      </c>
      <c r="AJ490" s="57">
        <v>2</v>
      </c>
      <c r="AK490" s="57">
        <v>3</v>
      </c>
      <c r="AL490" s="63">
        <v>6.4</v>
      </c>
      <c r="AM490" s="57">
        <v>24</v>
      </c>
      <c r="AN490" s="63">
        <v>6.3</v>
      </c>
      <c r="AO490" s="63">
        <v>7.9</v>
      </c>
      <c r="AP490" s="36">
        <v>0.14000000000000001</v>
      </c>
      <c r="AQ490" s="36">
        <v>0.33</v>
      </c>
      <c r="AR490" s="73">
        <f t="shared" si="166"/>
        <v>1542</v>
      </c>
      <c r="AS490" s="75">
        <f t="shared" si="167"/>
        <v>0.38715953307392997</v>
      </c>
      <c r="AT490" s="75">
        <f t="shared" si="168"/>
        <v>0.46108949416342415</v>
      </c>
      <c r="AU490" s="75">
        <f t="shared" si="169"/>
        <v>0.1517509727626459</v>
      </c>
      <c r="AV490" s="26">
        <f t="shared" si="170"/>
        <v>8.7858450274557645E-2</v>
      </c>
      <c r="AW490" s="26">
        <f t="shared" si="171"/>
        <v>8.7858450274557645E-2</v>
      </c>
      <c r="AX490" s="26">
        <f t="shared" si="188"/>
        <v>0.80588235294117649</v>
      </c>
      <c r="AY490" s="24">
        <f t="shared" si="189"/>
        <v>0.94117647058823528</v>
      </c>
      <c r="AZ490" s="77" t="str">
        <f t="shared" si="172"/>
        <v>7,5 ≤ Alc. Bruta &lt; 10,0 mg/L</v>
      </c>
      <c r="BA490" s="77" t="str">
        <f t="shared" si="173"/>
        <v>10 ≤ Cor &lt;15 uC</v>
      </c>
      <c r="BB490" s="78" t="str">
        <f t="shared" si="174"/>
        <v>Turbidez &lt; 2,5 uT</v>
      </c>
      <c r="BC490" s="79" t="str">
        <f t="shared" si="175"/>
        <v>SM &gt; TOR &gt; BNN</v>
      </c>
      <c r="BD490" s="78" t="str">
        <f t="shared" si="176"/>
        <v>Tipo 1 (≤0,25) uT</v>
      </c>
      <c r="BE490" s="78" t="str">
        <f t="shared" si="177"/>
        <v>Tipo 1 (≤0,25) uT</v>
      </c>
      <c r="BF490" s="78" t="str">
        <f t="shared" si="178"/>
        <v>Tipo 1 (≤0,25) uT</v>
      </c>
      <c r="BG490" s="78" t="str">
        <f t="shared" si="179"/>
        <v>Tipo 2 (0,25-0,50) uT</v>
      </c>
      <c r="BH490" s="78" t="str">
        <f t="shared" si="180"/>
        <v>Tipo 1 (≤0,25) uT</v>
      </c>
    </row>
    <row r="491" spans="1:60" x14ac:dyDescent="0.2">
      <c r="A491" s="31">
        <v>46314</v>
      </c>
      <c r="B491" s="80">
        <v>0.14583333333333334</v>
      </c>
      <c r="C491" s="57">
        <v>625</v>
      </c>
      <c r="D491" s="57">
        <v>732</v>
      </c>
      <c r="E491" s="57">
        <v>233</v>
      </c>
      <c r="F491" s="57">
        <v>1619</v>
      </c>
      <c r="G491" s="85" t="s">
        <v>78</v>
      </c>
      <c r="H491" s="63">
        <v>9.5</v>
      </c>
      <c r="I491" s="57">
        <v>172</v>
      </c>
      <c r="J491" s="57">
        <v>90</v>
      </c>
      <c r="K491" s="57">
        <v>90</v>
      </c>
      <c r="L491" s="57">
        <v>90</v>
      </c>
      <c r="M491" s="57">
        <v>24.2</v>
      </c>
      <c r="N491" s="63">
        <v>6.4</v>
      </c>
      <c r="O491" s="36">
        <v>1.68</v>
      </c>
      <c r="P491" s="57">
        <v>13</v>
      </c>
      <c r="Q491" s="63">
        <v>7.8</v>
      </c>
      <c r="R491" s="36">
        <v>0.09</v>
      </c>
      <c r="S491" s="36">
        <v>22.36</v>
      </c>
      <c r="T491" s="36">
        <v>0.88</v>
      </c>
      <c r="U491" s="36">
        <v>0.7</v>
      </c>
      <c r="V491" s="42">
        <f t="shared" si="181"/>
        <v>1762.0116666666665</v>
      </c>
      <c r="W491" s="42">
        <f t="shared" si="182"/>
        <v>1826.4971712000001</v>
      </c>
      <c r="X491" s="42">
        <f t="shared" si="183"/>
        <v>1.0365976603635807</v>
      </c>
      <c r="Y491" s="57">
        <v>2</v>
      </c>
      <c r="Z491" s="57">
        <v>3</v>
      </c>
      <c r="AA491" s="63">
        <v>6.2</v>
      </c>
      <c r="AB491" s="57">
        <v>24</v>
      </c>
      <c r="AC491" s="63">
        <v>6.2</v>
      </c>
      <c r="AD491" s="63">
        <v>7.9</v>
      </c>
      <c r="AE491" s="36">
        <v>0.15</v>
      </c>
      <c r="AF491" s="36"/>
      <c r="AG491" s="42">
        <f t="shared" si="165"/>
        <v>1762.0116666666665</v>
      </c>
      <c r="AH491" s="42">
        <f t="shared" si="184"/>
        <v>1900.6500864</v>
      </c>
      <c r="AI491" s="42">
        <f t="shared" si="185"/>
        <v>1.0786818965822209</v>
      </c>
      <c r="AJ491" s="57">
        <v>2</v>
      </c>
      <c r="AK491" s="57">
        <v>3</v>
      </c>
      <c r="AL491" s="63">
        <v>6.4</v>
      </c>
      <c r="AM491" s="57">
        <v>24</v>
      </c>
      <c r="AN491" s="63">
        <v>6.2</v>
      </c>
      <c r="AO491" s="63">
        <v>7.8</v>
      </c>
      <c r="AP491" s="36">
        <v>0.16</v>
      </c>
      <c r="AQ491" s="36">
        <v>0.56000000000000005</v>
      </c>
      <c r="AR491" s="73">
        <f t="shared" si="166"/>
        <v>1590</v>
      </c>
      <c r="AS491" s="75">
        <f t="shared" si="167"/>
        <v>0.39308176100628933</v>
      </c>
      <c r="AT491" s="75">
        <f t="shared" si="168"/>
        <v>0.46037735849056605</v>
      </c>
      <c r="AU491" s="75">
        <f t="shared" si="169"/>
        <v>0.14654088050314465</v>
      </c>
      <c r="AV491" s="26">
        <f t="shared" si="170"/>
        <v>8.894379246448425E-2</v>
      </c>
      <c r="AW491" s="26">
        <f t="shared" si="171"/>
        <v>8.894379246448425E-2</v>
      </c>
      <c r="AX491" s="26">
        <f t="shared" si="188"/>
        <v>0.66666666666666663</v>
      </c>
      <c r="AY491" s="24" t="str">
        <f t="shared" si="189"/>
        <v/>
      </c>
      <c r="AZ491" s="77" t="str">
        <f t="shared" si="172"/>
        <v>7,5 ≤ Alc. Bruta &lt; 10,0 mg/L</v>
      </c>
      <c r="BA491" s="77" t="str">
        <f t="shared" si="173"/>
        <v>10 ≤ Cor &lt;15 uC</v>
      </c>
      <c r="BB491" s="78" t="str">
        <f t="shared" si="174"/>
        <v>Turbidez &lt; 2,5 uT</v>
      </c>
      <c r="BC491" s="79" t="str">
        <f t="shared" si="175"/>
        <v>SM &gt; TOR &gt; BNN</v>
      </c>
      <c r="BD491" s="78" t="str">
        <f t="shared" si="176"/>
        <v>Tipo 1 (≤0,25) uT</v>
      </c>
      <c r="BE491" s="78" t="str">
        <f t="shared" si="177"/>
        <v>Tipo 1 (≤0,25) uT</v>
      </c>
      <c r="BF491" s="78" t="str">
        <f t="shared" si="178"/>
        <v/>
      </c>
      <c r="BG491" s="78" t="str">
        <f t="shared" si="179"/>
        <v>Tipo 3 (0,50-0,75) uT</v>
      </c>
      <c r="BH491" s="78" t="str">
        <f t="shared" si="180"/>
        <v>Tipo 1 (≤0,25) uT</v>
      </c>
    </row>
    <row r="492" spans="1:60" ht="15.75" thickBot="1" x14ac:dyDescent="0.25">
      <c r="A492" s="32">
        <v>46314</v>
      </c>
      <c r="B492" s="81">
        <v>0.22916666666666666</v>
      </c>
      <c r="C492" s="58">
        <v>646</v>
      </c>
      <c r="D492" s="58">
        <v>710</v>
      </c>
      <c r="E492" s="58">
        <v>0</v>
      </c>
      <c r="F492" s="58">
        <v>1428</v>
      </c>
      <c r="G492" s="86" t="s">
        <v>78</v>
      </c>
      <c r="H492" s="64">
        <v>9.5</v>
      </c>
      <c r="I492" s="58">
        <v>222</v>
      </c>
      <c r="J492" s="58">
        <v>90</v>
      </c>
      <c r="K492" s="58">
        <v>90</v>
      </c>
      <c r="L492" s="58">
        <v>90</v>
      </c>
      <c r="M492" s="58">
        <v>24</v>
      </c>
      <c r="N492" s="64">
        <v>6.4</v>
      </c>
      <c r="O492" s="37">
        <v>2.54</v>
      </c>
      <c r="P492" s="58">
        <v>17</v>
      </c>
      <c r="Q492" s="64">
        <v>7</v>
      </c>
      <c r="R492" s="37">
        <v>0.13</v>
      </c>
      <c r="S492" s="36">
        <v>22.36</v>
      </c>
      <c r="T492" s="36">
        <v>0.88</v>
      </c>
      <c r="U492" s="36">
        <v>0.7</v>
      </c>
      <c r="V492" s="42">
        <f t="shared" si="181"/>
        <v>1758.8200000000002</v>
      </c>
      <c r="W492" s="42">
        <f t="shared" si="182"/>
        <v>1826.4971712000001</v>
      </c>
      <c r="X492" s="42">
        <f t="shared" si="183"/>
        <v>1.0384787364255581</v>
      </c>
      <c r="Y492" s="58">
        <v>2</v>
      </c>
      <c r="Z492" s="58">
        <v>3</v>
      </c>
      <c r="AA492" s="64">
        <v>6.2</v>
      </c>
      <c r="AB492" s="58">
        <v>24</v>
      </c>
      <c r="AC492" s="64">
        <v>6.1</v>
      </c>
      <c r="AD492" s="64">
        <v>5</v>
      </c>
      <c r="AE492" s="37">
        <v>0.12</v>
      </c>
      <c r="AF492" s="37"/>
      <c r="AG492" s="42">
        <f t="shared" si="165"/>
        <v>1758.8200000000002</v>
      </c>
      <c r="AH492" s="42">
        <f t="shared" si="184"/>
        <v>1900.6500864</v>
      </c>
      <c r="AI492" s="42">
        <f t="shared" si="185"/>
        <v>1.0806393413766047</v>
      </c>
      <c r="AJ492" s="58">
        <v>2</v>
      </c>
      <c r="AK492" s="58">
        <v>3</v>
      </c>
      <c r="AL492" s="64">
        <v>6.4</v>
      </c>
      <c r="AM492" s="58">
        <v>24</v>
      </c>
      <c r="AN492" s="64">
        <v>6.1</v>
      </c>
      <c r="AO492" s="64">
        <v>5.2</v>
      </c>
      <c r="AP492" s="37">
        <v>0.17</v>
      </c>
      <c r="AQ492" s="37">
        <v>0.41</v>
      </c>
      <c r="AR492" s="73">
        <f t="shared" si="166"/>
        <v>1356</v>
      </c>
      <c r="AS492" s="75">
        <f t="shared" si="167"/>
        <v>0.47640117994100295</v>
      </c>
      <c r="AT492" s="75">
        <f t="shared" si="168"/>
        <v>0.52359882005899705</v>
      </c>
      <c r="AU492" s="75">
        <f t="shared" si="169"/>
        <v>0</v>
      </c>
      <c r="AV492" s="26">
        <f t="shared" si="170"/>
        <v>0.10084033613445378</v>
      </c>
      <c r="AW492" s="26">
        <f t="shared" si="171"/>
        <v>0.10084033613445378</v>
      </c>
      <c r="AX492" s="26">
        <f t="shared" si="188"/>
        <v>0.8385826771653544</v>
      </c>
      <c r="AY492" s="24" t="str">
        <f t="shared" si="189"/>
        <v/>
      </c>
      <c r="AZ492" s="77" t="str">
        <f t="shared" si="172"/>
        <v>5,0 ≤ Alc. Bruta &lt; 7,5 mg/L</v>
      </c>
      <c r="BA492" s="77" t="str">
        <f t="shared" si="173"/>
        <v>15 ≤ Cor &lt; 30 uC</v>
      </c>
      <c r="BB492" s="78" t="str">
        <f t="shared" si="174"/>
        <v>2,5 ≤ Turb &lt; 5,0 uT</v>
      </c>
      <c r="BC492" s="79" t="str">
        <f t="shared" si="175"/>
        <v>SM &gt; TOR &gt; BNN</v>
      </c>
      <c r="BD492" s="78" t="str">
        <f t="shared" si="176"/>
        <v>Tipo 1 (≤0,25) uT</v>
      </c>
      <c r="BE492" s="78" t="str">
        <f t="shared" si="177"/>
        <v>Tipo 1 (≤0,25) uT</v>
      </c>
      <c r="BF492" s="78" t="str">
        <f t="shared" si="178"/>
        <v/>
      </c>
      <c r="BG492" s="78" t="str">
        <f t="shared" si="179"/>
        <v>Tipo 2 (0,25-0,50) uT</v>
      </c>
      <c r="BH492" s="78" t="str">
        <f t="shared" si="180"/>
        <v>Tipo 1 (≤0,25) uT</v>
      </c>
    </row>
    <row r="493" spans="1:60" ht="15.75" thickBot="1" x14ac:dyDescent="0.25">
      <c r="A493" s="44">
        <v>46314</v>
      </c>
      <c r="B493" s="82">
        <v>0.3125</v>
      </c>
      <c r="C493" s="59">
        <v>626</v>
      </c>
      <c r="D493" s="59">
        <v>747</v>
      </c>
      <c r="E493" s="58">
        <v>0</v>
      </c>
      <c r="F493" s="59">
        <v>1421</v>
      </c>
      <c r="G493" s="87" t="s">
        <v>78</v>
      </c>
      <c r="H493" s="65">
        <v>9.5</v>
      </c>
      <c r="I493" s="59">
        <v>-230</v>
      </c>
      <c r="J493" s="59">
        <v>90</v>
      </c>
      <c r="K493" s="59">
        <v>90</v>
      </c>
      <c r="L493" s="59">
        <v>90</v>
      </c>
      <c r="M493" s="59">
        <v>24.3</v>
      </c>
      <c r="N493" s="65">
        <v>6</v>
      </c>
      <c r="O493" s="38">
        <v>1.76</v>
      </c>
      <c r="P493" s="59">
        <v>12</v>
      </c>
      <c r="Q493" s="65">
        <v>6.3</v>
      </c>
      <c r="R493" s="38">
        <v>0.25</v>
      </c>
      <c r="S493" s="36">
        <v>22.36</v>
      </c>
      <c r="T493" s="36">
        <v>0.88</v>
      </c>
      <c r="U493" s="36">
        <v>0.7</v>
      </c>
      <c r="V493" s="42">
        <f t="shared" si="181"/>
        <v>1565.4683333333335</v>
      </c>
      <c r="W493" s="42">
        <f t="shared" si="182"/>
        <v>1730.4399527999999</v>
      </c>
      <c r="X493" s="42">
        <f t="shared" si="183"/>
        <v>1.1053816394454905</v>
      </c>
      <c r="Y493" s="57">
        <v>2</v>
      </c>
      <c r="Z493" s="60">
        <v>3</v>
      </c>
      <c r="AA493" s="66">
        <v>6</v>
      </c>
      <c r="AB493" s="60">
        <v>23.7</v>
      </c>
      <c r="AC493" s="65">
        <v>5.7</v>
      </c>
      <c r="AD493" s="65">
        <v>3.5</v>
      </c>
      <c r="AE493" s="38">
        <v>0.35</v>
      </c>
      <c r="AF493" s="38"/>
      <c r="AG493" s="42">
        <f t="shared" si="165"/>
        <v>1565.4683333333335</v>
      </c>
      <c r="AH493" s="42">
        <f t="shared" si="184"/>
        <v>1948.16633856</v>
      </c>
      <c r="AI493" s="42">
        <f t="shared" si="185"/>
        <v>1.244462310145739</v>
      </c>
      <c r="AJ493" s="59">
        <v>2</v>
      </c>
      <c r="AK493" s="59">
        <v>3</v>
      </c>
      <c r="AL493" s="65">
        <v>6.4</v>
      </c>
      <c r="AM493" s="59">
        <v>24.6</v>
      </c>
      <c r="AN493" s="65">
        <v>5.7</v>
      </c>
      <c r="AO493" s="65">
        <v>3.6</v>
      </c>
      <c r="AP493" s="38">
        <v>0.39</v>
      </c>
      <c r="AQ493" s="38">
        <v>0.63</v>
      </c>
      <c r="AR493" s="73">
        <f t="shared" si="166"/>
        <v>1373</v>
      </c>
      <c r="AS493" s="75">
        <f t="shared" si="167"/>
        <v>0.45593590677348872</v>
      </c>
      <c r="AT493" s="75">
        <f t="shared" si="168"/>
        <v>0.54406409322651128</v>
      </c>
      <c r="AU493" s="75">
        <f t="shared" si="169"/>
        <v>0</v>
      </c>
      <c r="AV493" s="26">
        <f t="shared" si="170"/>
        <v>0.10007037297677691</v>
      </c>
      <c r="AW493" s="26">
        <f t="shared" si="171"/>
        <v>0.10387051372273047</v>
      </c>
      <c r="AX493" s="26">
        <f t="shared" si="188"/>
        <v>0.64204545454545459</v>
      </c>
      <c r="AY493" s="24" t="str">
        <f t="shared" si="189"/>
        <v/>
      </c>
      <c r="AZ493" s="77" t="str">
        <f t="shared" si="172"/>
        <v>5,0 ≤ Alc. Bruta &lt; 7,5 mg/L</v>
      </c>
      <c r="BA493" s="77" t="str">
        <f t="shared" si="173"/>
        <v>10 ≤ Cor &lt;15 uC</v>
      </c>
      <c r="BB493" s="78" t="str">
        <f t="shared" si="174"/>
        <v>Turbidez &lt; 2,5 uT</v>
      </c>
      <c r="BC493" s="79" t="str">
        <f t="shared" si="175"/>
        <v>SM &gt; TOR &gt; BNN</v>
      </c>
      <c r="BD493" s="78" t="str">
        <f t="shared" si="176"/>
        <v>Tipo 2 (0,25-0,50) uT</v>
      </c>
      <c r="BE493" s="78" t="str">
        <f t="shared" si="177"/>
        <v>Tipo 2 (0,25-0,50) uT</v>
      </c>
      <c r="BF493" s="78" t="str">
        <f t="shared" si="178"/>
        <v/>
      </c>
      <c r="BG493" s="78" t="str">
        <f t="shared" si="179"/>
        <v>Tipo 3 (0,50-0,75) uT</v>
      </c>
      <c r="BH493" s="78" t="str">
        <f t="shared" si="180"/>
        <v>Tipo 1 (≤0,25) uT</v>
      </c>
    </row>
    <row r="494" spans="1:60" ht="15.75" thickBot="1" x14ac:dyDescent="0.25">
      <c r="A494" s="45">
        <v>46314</v>
      </c>
      <c r="B494" s="80">
        <v>0.39583333333333331</v>
      </c>
      <c r="C494" s="57">
        <v>1124</v>
      </c>
      <c r="D494" s="57">
        <v>1216</v>
      </c>
      <c r="E494" s="58">
        <v>0</v>
      </c>
      <c r="F494" s="57">
        <v>2100</v>
      </c>
      <c r="G494" s="85" t="s">
        <v>34</v>
      </c>
      <c r="H494" s="63">
        <v>9.5</v>
      </c>
      <c r="I494" s="57">
        <v>-153</v>
      </c>
      <c r="J494" s="57">
        <v>90</v>
      </c>
      <c r="K494" s="57">
        <v>90</v>
      </c>
      <c r="L494" s="57">
        <v>90</v>
      </c>
      <c r="M494" s="57">
        <v>25.1</v>
      </c>
      <c r="N494" s="63">
        <v>6.5</v>
      </c>
      <c r="O494" s="36">
        <v>1.83</v>
      </c>
      <c r="P494" s="57">
        <v>12</v>
      </c>
      <c r="Q494" s="63">
        <v>7.1</v>
      </c>
      <c r="R494" s="36">
        <v>0.08</v>
      </c>
      <c r="S494" s="36">
        <v>22.36</v>
      </c>
      <c r="T494" s="36">
        <v>0.88</v>
      </c>
      <c r="U494" s="36">
        <v>0.7</v>
      </c>
      <c r="V494" s="42">
        <f t="shared" si="181"/>
        <v>1753.5</v>
      </c>
      <c r="W494" s="42">
        <f t="shared" si="182"/>
        <v>1752.3442559999999</v>
      </c>
      <c r="X494" s="42">
        <f t="shared" si="183"/>
        <v>0.99934089307100082</v>
      </c>
      <c r="Y494" s="57">
        <v>3</v>
      </c>
      <c r="Z494" s="57">
        <v>4</v>
      </c>
      <c r="AA494" s="63">
        <v>6</v>
      </c>
      <c r="AB494" s="57">
        <v>24</v>
      </c>
      <c r="AC494" s="63">
        <v>6.5</v>
      </c>
      <c r="AD494" s="63">
        <v>5.6</v>
      </c>
      <c r="AE494" s="36">
        <v>0.15</v>
      </c>
      <c r="AF494" s="36"/>
      <c r="AG494" s="42">
        <f t="shared" si="165"/>
        <v>1753.5</v>
      </c>
      <c r="AH494" s="42">
        <f t="shared" si="184"/>
        <v>1979.8438399999998</v>
      </c>
      <c r="AI494" s="42">
        <f t="shared" si="185"/>
        <v>1.1290811747932705</v>
      </c>
      <c r="AJ494" s="57">
        <v>3</v>
      </c>
      <c r="AK494" s="57">
        <v>4</v>
      </c>
      <c r="AL494" s="63">
        <v>6.4</v>
      </c>
      <c r="AM494" s="57">
        <v>25</v>
      </c>
      <c r="AN494" s="63">
        <v>6.5</v>
      </c>
      <c r="AO494" s="63">
        <v>6.2</v>
      </c>
      <c r="AP494" s="36">
        <v>0.16</v>
      </c>
      <c r="AQ494" s="36">
        <v>0.38</v>
      </c>
      <c r="AR494" s="73">
        <f t="shared" si="166"/>
        <v>2340</v>
      </c>
      <c r="AS494" s="75">
        <f t="shared" si="167"/>
        <v>0.48034188034188036</v>
      </c>
      <c r="AT494" s="75">
        <f t="shared" si="168"/>
        <v>0.5196581196581197</v>
      </c>
      <c r="AU494" s="75">
        <f t="shared" si="169"/>
        <v>0</v>
      </c>
      <c r="AV494" s="26">
        <f t="shared" si="170"/>
        <v>9.1428571428571428E-2</v>
      </c>
      <c r="AW494" s="26">
        <f t="shared" si="171"/>
        <v>9.5238095238095233E-2</v>
      </c>
      <c r="AX494" s="26">
        <f t="shared" si="188"/>
        <v>0.79234972677595628</v>
      </c>
      <c r="AY494" s="24" t="str">
        <f t="shared" si="189"/>
        <v/>
      </c>
      <c r="AZ494" s="77" t="str">
        <f t="shared" si="172"/>
        <v>5,0 ≤ Alc. Bruta &lt; 7,5 mg/L</v>
      </c>
      <c r="BA494" s="77" t="str">
        <f t="shared" si="173"/>
        <v>10 ≤ Cor &lt;15 uC</v>
      </c>
      <c r="BB494" s="78" t="str">
        <f t="shared" si="174"/>
        <v>Turbidez &lt; 2,5 uT</v>
      </c>
      <c r="BC494" s="79" t="str">
        <f t="shared" si="175"/>
        <v>SM &gt; TOR &gt; BNN</v>
      </c>
      <c r="BD494" s="78" t="str">
        <f t="shared" si="176"/>
        <v>Tipo 1 (≤0,25) uT</v>
      </c>
      <c r="BE494" s="78" t="str">
        <f t="shared" si="177"/>
        <v>Tipo 1 (≤0,25) uT</v>
      </c>
      <c r="BF494" s="78" t="str">
        <f t="shared" si="178"/>
        <v/>
      </c>
      <c r="BG494" s="78" t="str">
        <f t="shared" si="179"/>
        <v>Tipo 2 (0,25-0,50) uT</v>
      </c>
      <c r="BH494" s="78" t="str">
        <f t="shared" si="180"/>
        <v>Tipo 1 (≤0,25) uT</v>
      </c>
    </row>
    <row r="495" spans="1:60" ht="15.75" thickBot="1" x14ac:dyDescent="0.25">
      <c r="A495" s="45">
        <v>46314</v>
      </c>
      <c r="B495" s="80">
        <v>0.47916666666666669</v>
      </c>
      <c r="C495" s="57">
        <v>565</v>
      </c>
      <c r="D495" s="57">
        <v>1926</v>
      </c>
      <c r="E495" s="58">
        <v>0</v>
      </c>
      <c r="F495" s="57">
        <v>2055</v>
      </c>
      <c r="G495" s="85" t="s">
        <v>34</v>
      </c>
      <c r="H495" s="63">
        <v>9.5</v>
      </c>
      <c r="I495" s="57">
        <v>2</v>
      </c>
      <c r="J495" s="57">
        <v>90</v>
      </c>
      <c r="K495" s="57">
        <v>90</v>
      </c>
      <c r="L495" s="57">
        <v>90</v>
      </c>
      <c r="M495" s="57">
        <v>25.3</v>
      </c>
      <c r="N495" s="63">
        <v>6.5</v>
      </c>
      <c r="O495" s="36">
        <v>1.79</v>
      </c>
      <c r="P495" s="57">
        <v>11</v>
      </c>
      <c r="Q495" s="63">
        <v>6.9</v>
      </c>
      <c r="R495" s="36">
        <v>0.1</v>
      </c>
      <c r="S495" s="36">
        <v>22.36</v>
      </c>
      <c r="T495" s="36">
        <v>0.88</v>
      </c>
      <c r="U495" s="36">
        <v>0.7</v>
      </c>
      <c r="V495" s="42">
        <f t="shared" si="181"/>
        <v>1705.65</v>
      </c>
      <c r="W495" s="42">
        <f t="shared" si="182"/>
        <v>1752.3442559999999</v>
      </c>
      <c r="X495" s="42">
        <f t="shared" si="183"/>
        <v>1.0273762237270248</v>
      </c>
      <c r="Y495" s="57">
        <v>3</v>
      </c>
      <c r="Z495" s="57">
        <v>4</v>
      </c>
      <c r="AA495" s="63">
        <v>6</v>
      </c>
      <c r="AB495" s="57">
        <v>24</v>
      </c>
      <c r="AC495" s="63">
        <v>6.4</v>
      </c>
      <c r="AD495" s="63">
        <v>5.8</v>
      </c>
      <c r="AE495" s="36">
        <v>0.16</v>
      </c>
      <c r="AF495" s="36">
        <v>0.3</v>
      </c>
      <c r="AG495" s="42">
        <f t="shared" si="165"/>
        <v>1705.65</v>
      </c>
      <c r="AH495" s="42">
        <f t="shared" si="184"/>
        <v>1979.8438399999998</v>
      </c>
      <c r="AI495" s="42">
        <f t="shared" si="185"/>
        <v>1.1607562161052969</v>
      </c>
      <c r="AJ495" s="57">
        <v>3</v>
      </c>
      <c r="AK495" s="57">
        <v>4</v>
      </c>
      <c r="AL495" s="63">
        <v>6.4</v>
      </c>
      <c r="AM495" s="57">
        <v>25</v>
      </c>
      <c r="AN495" s="63">
        <v>6.4</v>
      </c>
      <c r="AO495" s="63">
        <v>6.3</v>
      </c>
      <c r="AP495" s="36">
        <v>0.18</v>
      </c>
      <c r="AQ495" s="36">
        <v>0.33</v>
      </c>
      <c r="AR495" s="73">
        <f t="shared" si="166"/>
        <v>2491</v>
      </c>
      <c r="AS495" s="75">
        <f t="shared" si="167"/>
        <v>0.22681653954235248</v>
      </c>
      <c r="AT495" s="75">
        <f t="shared" si="168"/>
        <v>0.77318346045764752</v>
      </c>
      <c r="AU495" s="75">
        <f t="shared" si="169"/>
        <v>0</v>
      </c>
      <c r="AV495" s="26">
        <f t="shared" si="170"/>
        <v>9.3430656934306563E-2</v>
      </c>
      <c r="AW495" s="26">
        <f t="shared" si="171"/>
        <v>9.7323600973236016E-2</v>
      </c>
      <c r="AX495" s="26">
        <f t="shared" si="188"/>
        <v>0.81564245810055869</v>
      </c>
      <c r="AY495" s="24">
        <f t="shared" si="189"/>
        <v>0.83240223463687157</v>
      </c>
      <c r="AZ495" s="77" t="str">
        <f t="shared" si="172"/>
        <v>5,0 ≤ Alc. Bruta &lt; 7,5 mg/L</v>
      </c>
      <c r="BA495" s="77" t="str">
        <f t="shared" si="173"/>
        <v>10 ≤ Cor &lt;15 uC</v>
      </c>
      <c r="BB495" s="78" t="str">
        <f t="shared" si="174"/>
        <v>Turbidez &lt; 2,5 uT</v>
      </c>
      <c r="BC495" s="79" t="str">
        <f t="shared" si="175"/>
        <v>SM &gt; TOR &gt; BNN</v>
      </c>
      <c r="BD495" s="78" t="str">
        <f t="shared" si="176"/>
        <v>Tipo 1 (≤0,25) uT</v>
      </c>
      <c r="BE495" s="78" t="str">
        <f t="shared" si="177"/>
        <v>Tipo 1 (≤0,25) uT</v>
      </c>
      <c r="BF495" s="78" t="str">
        <f t="shared" si="178"/>
        <v>Tipo 2 (0,25-0,50) uT</v>
      </c>
      <c r="BG495" s="78" t="str">
        <f t="shared" si="179"/>
        <v>Tipo 2 (0,25-0,50) uT</v>
      </c>
      <c r="BH495" s="78" t="str">
        <f t="shared" si="180"/>
        <v>Tipo 1 (≤0,25) uT</v>
      </c>
    </row>
    <row r="496" spans="1:60" ht="15.75" thickBot="1" x14ac:dyDescent="0.25">
      <c r="A496" s="45">
        <v>46314</v>
      </c>
      <c r="B496" s="80">
        <v>0.64583333333333337</v>
      </c>
      <c r="C496" s="57">
        <v>589</v>
      </c>
      <c r="D496" s="57">
        <v>1794</v>
      </c>
      <c r="E496" s="58">
        <v>0</v>
      </c>
      <c r="F496" s="57">
        <v>2311</v>
      </c>
      <c r="G496" s="85" t="s">
        <v>34</v>
      </c>
      <c r="H496" s="63">
        <v>9.5</v>
      </c>
      <c r="I496" s="57">
        <v>-78</v>
      </c>
      <c r="J496" s="57">
        <v>90</v>
      </c>
      <c r="K496" s="57">
        <v>90</v>
      </c>
      <c r="L496" s="57">
        <v>90</v>
      </c>
      <c r="M496" s="57">
        <v>25.9</v>
      </c>
      <c r="N496" s="63">
        <v>6.7</v>
      </c>
      <c r="O496" s="36">
        <v>1.5</v>
      </c>
      <c r="P496" s="57">
        <v>10</v>
      </c>
      <c r="Q496" s="63">
        <v>8.1</v>
      </c>
      <c r="R496" s="36">
        <v>0.25</v>
      </c>
      <c r="S496" s="36">
        <v>22.36</v>
      </c>
      <c r="T496" s="36">
        <v>0.88</v>
      </c>
      <c r="U496" s="36">
        <v>0.7</v>
      </c>
      <c r="V496" s="42">
        <f t="shared" si="181"/>
        <v>1834.3562499999998</v>
      </c>
      <c r="W496" s="42">
        <f t="shared" si="182"/>
        <v>1752.3442559999999</v>
      </c>
      <c r="X496" s="42">
        <f t="shared" si="183"/>
        <v>0.95529113060780857</v>
      </c>
      <c r="Y496" s="57">
        <v>3</v>
      </c>
      <c r="Z496" s="57">
        <v>4</v>
      </c>
      <c r="AA496" s="63">
        <v>6</v>
      </c>
      <c r="AB496" s="57">
        <v>24</v>
      </c>
      <c r="AC496" s="63">
        <v>6.5</v>
      </c>
      <c r="AD496" s="63">
        <v>7</v>
      </c>
      <c r="AE496" s="36">
        <v>0.27</v>
      </c>
      <c r="AF496" s="36">
        <v>0.24</v>
      </c>
      <c r="AG496" s="42">
        <f t="shared" si="165"/>
        <v>1834.3562499999998</v>
      </c>
      <c r="AH496" s="42">
        <f t="shared" si="184"/>
        <v>1979.8438399999998</v>
      </c>
      <c r="AI496" s="42">
        <f t="shared" si="185"/>
        <v>1.0793126144389891</v>
      </c>
      <c r="AJ496" s="57">
        <v>3</v>
      </c>
      <c r="AK496" s="57">
        <v>4</v>
      </c>
      <c r="AL496" s="63">
        <v>6.4</v>
      </c>
      <c r="AM496" s="57">
        <v>25</v>
      </c>
      <c r="AN496" s="63">
        <v>6.8</v>
      </c>
      <c r="AO496" s="63">
        <v>7.2</v>
      </c>
      <c r="AP496" s="36">
        <v>0.2</v>
      </c>
      <c r="AQ496" s="36">
        <v>0.27</v>
      </c>
      <c r="AR496" s="73">
        <f t="shared" si="166"/>
        <v>2383</v>
      </c>
      <c r="AS496" s="75">
        <f t="shared" si="167"/>
        <v>0.24716743600503566</v>
      </c>
      <c r="AT496" s="75">
        <f t="shared" si="168"/>
        <v>0.75283256399496434</v>
      </c>
      <c r="AU496" s="75">
        <f t="shared" si="169"/>
        <v>0</v>
      </c>
      <c r="AV496" s="26">
        <f t="shared" si="170"/>
        <v>8.3080917351795763E-2</v>
      </c>
      <c r="AW496" s="26">
        <f t="shared" si="171"/>
        <v>8.6542622241453912E-2</v>
      </c>
      <c r="AX496" s="26">
        <f t="shared" si="188"/>
        <v>0.82</v>
      </c>
      <c r="AY496" s="24">
        <f t="shared" si="189"/>
        <v>0.84</v>
      </c>
      <c r="AZ496" s="77" t="str">
        <f t="shared" si="172"/>
        <v>7,5 ≤ Alc. Bruta &lt; 10,0 mg/L</v>
      </c>
      <c r="BA496" s="77" t="str">
        <f t="shared" si="173"/>
        <v>10 ≤ Cor &lt;15 uC</v>
      </c>
      <c r="BB496" s="78" t="str">
        <f t="shared" si="174"/>
        <v>Turbidez &lt; 2,5 uT</v>
      </c>
      <c r="BC496" s="79" t="str">
        <f t="shared" si="175"/>
        <v>SM &gt; TOR &gt; BNN</v>
      </c>
      <c r="BD496" s="78" t="str">
        <f t="shared" si="176"/>
        <v>Tipo 2 (0,25-0,50) uT</v>
      </c>
      <c r="BE496" s="78" t="str">
        <f t="shared" si="177"/>
        <v>Tipo 1 (≤0,25) uT</v>
      </c>
      <c r="BF496" s="78" t="str">
        <f t="shared" si="178"/>
        <v>Tipo 1 (≤0,25) uT</v>
      </c>
      <c r="BG496" s="78" t="str">
        <f t="shared" si="179"/>
        <v>Tipo 2 (0,25-0,50) uT</v>
      </c>
      <c r="BH496" s="78" t="str">
        <f t="shared" si="180"/>
        <v>Tipo 1 (≤0,25) uT</v>
      </c>
    </row>
    <row r="497" spans="1:60" ht="15.75" thickBot="1" x14ac:dyDescent="0.25">
      <c r="A497" s="45">
        <v>46314</v>
      </c>
      <c r="B497" s="80">
        <v>0.72916666666666663</v>
      </c>
      <c r="C497" s="57">
        <v>589</v>
      </c>
      <c r="D497" s="57">
        <v>1919</v>
      </c>
      <c r="E497" s="58">
        <v>0</v>
      </c>
      <c r="F497" s="57">
        <v>2154</v>
      </c>
      <c r="G497" s="85" t="s">
        <v>34</v>
      </c>
      <c r="H497" s="63">
        <v>10.199999999999999</v>
      </c>
      <c r="I497" s="57">
        <v>-72</v>
      </c>
      <c r="J497" s="57">
        <v>90</v>
      </c>
      <c r="K497" s="57">
        <v>90</v>
      </c>
      <c r="L497" s="57">
        <v>90</v>
      </c>
      <c r="M497" s="57">
        <v>26.4</v>
      </c>
      <c r="N497" s="63">
        <v>6.7</v>
      </c>
      <c r="O497" s="36">
        <v>1.54</v>
      </c>
      <c r="P497" s="57">
        <v>10</v>
      </c>
      <c r="Q497" s="63">
        <v>7.9</v>
      </c>
      <c r="R497" s="36">
        <v>0.12</v>
      </c>
      <c r="S497" s="36">
        <v>22.36</v>
      </c>
      <c r="T497" s="36">
        <v>0.88</v>
      </c>
      <c r="U497" s="36">
        <v>0.7</v>
      </c>
      <c r="V497" s="42">
        <f t="shared" si="181"/>
        <v>1777.05</v>
      </c>
      <c r="W497" s="42">
        <f t="shared" si="182"/>
        <v>1752.3442559999999</v>
      </c>
      <c r="X497" s="42">
        <f t="shared" si="183"/>
        <v>0.98609732759348356</v>
      </c>
      <c r="Y497" s="57">
        <v>3</v>
      </c>
      <c r="Z497" s="57">
        <v>4</v>
      </c>
      <c r="AA497" s="63">
        <v>6</v>
      </c>
      <c r="AB497" s="57">
        <v>24</v>
      </c>
      <c r="AC497" s="63">
        <v>6.6</v>
      </c>
      <c r="AD497" s="63">
        <v>5.6</v>
      </c>
      <c r="AE497" s="36">
        <v>0.11</v>
      </c>
      <c r="AF497" s="36">
        <v>0.18</v>
      </c>
      <c r="AG497" s="42">
        <f t="shared" si="165"/>
        <v>1777.05</v>
      </c>
      <c r="AH497" s="42">
        <f t="shared" si="184"/>
        <v>1979.8438399999998</v>
      </c>
      <c r="AI497" s="42">
        <f t="shared" si="185"/>
        <v>1.1141182521594777</v>
      </c>
      <c r="AJ497" s="57">
        <v>3</v>
      </c>
      <c r="AK497" s="57">
        <v>4</v>
      </c>
      <c r="AL497" s="63">
        <v>6.4</v>
      </c>
      <c r="AM497" s="57">
        <v>25</v>
      </c>
      <c r="AN497" s="63">
        <v>6.6</v>
      </c>
      <c r="AO497" s="63">
        <v>6.3</v>
      </c>
      <c r="AP497" s="36">
        <v>0.13</v>
      </c>
      <c r="AQ497" s="36">
        <v>0.18</v>
      </c>
      <c r="AR497" s="73">
        <f t="shared" si="166"/>
        <v>2508</v>
      </c>
      <c r="AS497" s="75">
        <f t="shared" si="167"/>
        <v>0.23484848484848486</v>
      </c>
      <c r="AT497" s="75">
        <f t="shared" si="168"/>
        <v>0.76515151515151514</v>
      </c>
      <c r="AU497" s="75">
        <f t="shared" si="169"/>
        <v>0</v>
      </c>
      <c r="AV497" s="26">
        <f t="shared" si="170"/>
        <v>8.9136490250696379E-2</v>
      </c>
      <c r="AW497" s="26">
        <f t="shared" si="171"/>
        <v>9.2850510677808723E-2</v>
      </c>
      <c r="AX497" s="26">
        <f t="shared" si="188"/>
        <v>0.88311688311688308</v>
      </c>
      <c r="AY497" s="24">
        <f t="shared" si="189"/>
        <v>0.88311688311688308</v>
      </c>
      <c r="AZ497" s="77" t="str">
        <f t="shared" si="172"/>
        <v>7,5 ≤ Alc. Bruta &lt; 10,0 mg/L</v>
      </c>
      <c r="BA497" s="77" t="str">
        <f t="shared" si="173"/>
        <v>10 ≤ Cor &lt;15 uC</v>
      </c>
      <c r="BB497" s="78" t="str">
        <f t="shared" si="174"/>
        <v>Turbidez &lt; 2,5 uT</v>
      </c>
      <c r="BC497" s="79" t="str">
        <f t="shared" si="175"/>
        <v>SM &gt; TOR &gt; BNN</v>
      </c>
      <c r="BD497" s="78" t="str">
        <f t="shared" si="176"/>
        <v>Tipo 1 (≤0,25) uT</v>
      </c>
      <c r="BE497" s="78" t="str">
        <f t="shared" si="177"/>
        <v>Tipo 1 (≤0,25) uT</v>
      </c>
      <c r="BF497" s="78" t="str">
        <f t="shared" si="178"/>
        <v>Tipo 1 (≤0,25) uT</v>
      </c>
      <c r="BG497" s="78" t="str">
        <f t="shared" si="179"/>
        <v>Tipo 1 (≤0,25) uT</v>
      </c>
      <c r="BH497" s="78" t="str">
        <f t="shared" si="180"/>
        <v>Tipo 1 (≤0,25) uT</v>
      </c>
    </row>
    <row r="498" spans="1:60" ht="15.75" thickBot="1" x14ac:dyDescent="0.25">
      <c r="A498" s="45">
        <v>46314</v>
      </c>
      <c r="B498" s="80">
        <v>0.8125</v>
      </c>
      <c r="C498" s="57">
        <v>608</v>
      </c>
      <c r="D498" s="57">
        <v>1634</v>
      </c>
      <c r="E498" s="58">
        <v>0</v>
      </c>
      <c r="F498" s="57">
        <v>2112</v>
      </c>
      <c r="G498" s="85" t="s">
        <v>34</v>
      </c>
      <c r="H498" s="63">
        <v>10.199999999999999</v>
      </c>
      <c r="I498" s="57">
        <v>-51</v>
      </c>
      <c r="J498" s="57">
        <v>90</v>
      </c>
      <c r="K498" s="57">
        <v>90</v>
      </c>
      <c r="L498" s="57">
        <v>90</v>
      </c>
      <c r="M498" s="57">
        <v>26.4</v>
      </c>
      <c r="N498" s="63">
        <v>6.6</v>
      </c>
      <c r="O498" s="36">
        <v>1.54</v>
      </c>
      <c r="P498" s="57">
        <v>12</v>
      </c>
      <c r="Q498" s="63">
        <v>7.1</v>
      </c>
      <c r="R498" s="36">
        <v>0.19</v>
      </c>
      <c r="S498" s="36">
        <v>22.36</v>
      </c>
      <c r="T498" s="36">
        <v>0.88</v>
      </c>
      <c r="U498" s="36">
        <v>0.7</v>
      </c>
      <c r="V498" s="42">
        <f t="shared" si="181"/>
        <v>1742.3999999999999</v>
      </c>
      <c r="W498" s="42">
        <f t="shared" si="182"/>
        <v>1826.4971712000001</v>
      </c>
      <c r="X498" s="42">
        <f t="shared" si="183"/>
        <v>1.048265134986226</v>
      </c>
      <c r="Y498" s="57">
        <v>3</v>
      </c>
      <c r="Z498" s="57">
        <v>4</v>
      </c>
      <c r="AA498" s="63">
        <v>6.2</v>
      </c>
      <c r="AB498" s="57">
        <v>24</v>
      </c>
      <c r="AC498" s="63">
        <v>6.6</v>
      </c>
      <c r="AD498" s="63">
        <v>6</v>
      </c>
      <c r="AE498" s="36">
        <v>0.08</v>
      </c>
      <c r="AF498" s="36">
        <v>0.22</v>
      </c>
      <c r="AG498" s="42">
        <f t="shared" si="165"/>
        <v>1742.3999999999999</v>
      </c>
      <c r="AH498" s="42">
        <f t="shared" si="184"/>
        <v>1979.8438399999998</v>
      </c>
      <c r="AI498" s="42">
        <f t="shared" si="185"/>
        <v>1.1362740128558311</v>
      </c>
      <c r="AJ498" s="57">
        <v>3</v>
      </c>
      <c r="AK498" s="57">
        <v>4</v>
      </c>
      <c r="AL498" s="63">
        <v>6.4</v>
      </c>
      <c r="AM498" s="57">
        <v>25</v>
      </c>
      <c r="AN498" s="63">
        <v>6.6</v>
      </c>
      <c r="AO498" s="63">
        <v>5.7</v>
      </c>
      <c r="AP498" s="36">
        <v>7.0000000000000007E-2</v>
      </c>
      <c r="AQ498" s="36">
        <v>0.27</v>
      </c>
      <c r="AR498" s="73">
        <f t="shared" si="166"/>
        <v>2242</v>
      </c>
      <c r="AS498" s="75">
        <f t="shared" si="167"/>
        <v>0.2711864406779661</v>
      </c>
      <c r="AT498" s="75">
        <f t="shared" si="168"/>
        <v>0.72881355932203384</v>
      </c>
      <c r="AU498" s="75">
        <f t="shared" si="169"/>
        <v>0</v>
      </c>
      <c r="AV498" s="26">
        <f t="shared" si="170"/>
        <v>9.0909090909090912E-2</v>
      </c>
      <c r="AW498" s="26">
        <f t="shared" si="171"/>
        <v>9.4696969696969696E-2</v>
      </c>
      <c r="AX498" s="26">
        <f t="shared" si="188"/>
        <v>0.82467532467532467</v>
      </c>
      <c r="AY498" s="24">
        <f t="shared" si="189"/>
        <v>0.85714285714285721</v>
      </c>
      <c r="AZ498" s="77" t="str">
        <f t="shared" si="172"/>
        <v>5,0 ≤ Alc. Bruta &lt; 7,5 mg/L</v>
      </c>
      <c r="BA498" s="77" t="str">
        <f t="shared" si="173"/>
        <v>10 ≤ Cor &lt;15 uC</v>
      </c>
      <c r="BB498" s="78" t="str">
        <f t="shared" si="174"/>
        <v>Turbidez &lt; 2,5 uT</v>
      </c>
      <c r="BC498" s="79" t="str">
        <f t="shared" si="175"/>
        <v>SM &gt; TOR &gt; BNN</v>
      </c>
      <c r="BD498" s="78" t="str">
        <f t="shared" si="176"/>
        <v>Tipo 1 (≤0,25) uT</v>
      </c>
      <c r="BE498" s="78" t="str">
        <f t="shared" si="177"/>
        <v>Tipo 1 (≤0,25) uT</v>
      </c>
      <c r="BF498" s="78" t="str">
        <f t="shared" si="178"/>
        <v>Tipo 1 (≤0,25) uT</v>
      </c>
      <c r="BG498" s="78" t="str">
        <f t="shared" si="179"/>
        <v>Tipo 2 (0,25-0,50) uT</v>
      </c>
      <c r="BH498" s="78" t="str">
        <f t="shared" si="180"/>
        <v>Tipo 1 (≤0,25) uT</v>
      </c>
    </row>
    <row r="499" spans="1:60" ht="15.75" thickBot="1" x14ac:dyDescent="0.25">
      <c r="A499" s="45">
        <v>46314</v>
      </c>
      <c r="B499" s="80">
        <v>0.89583333333333337</v>
      </c>
      <c r="C499" s="57">
        <v>588</v>
      </c>
      <c r="D499" s="57">
        <v>1527</v>
      </c>
      <c r="E499" s="58">
        <v>0</v>
      </c>
      <c r="F499" s="57">
        <v>2105</v>
      </c>
      <c r="G499" s="85" t="s">
        <v>34</v>
      </c>
      <c r="H499" s="63">
        <v>10.199999999999999</v>
      </c>
      <c r="I499" s="57">
        <v>-80</v>
      </c>
      <c r="J499" s="57">
        <v>90</v>
      </c>
      <c r="K499" s="57">
        <v>90</v>
      </c>
      <c r="L499" s="57">
        <v>90</v>
      </c>
      <c r="M499" s="57">
        <v>25.7</v>
      </c>
      <c r="N499" s="63">
        <v>6.7</v>
      </c>
      <c r="O499" s="36">
        <v>1.56</v>
      </c>
      <c r="P499" s="57">
        <v>10</v>
      </c>
      <c r="Q499" s="63">
        <v>7.4</v>
      </c>
      <c r="R499" s="36">
        <v>0.1</v>
      </c>
      <c r="S499" s="36">
        <v>22.36</v>
      </c>
      <c r="T499" s="36">
        <v>0.88</v>
      </c>
      <c r="U499" s="36">
        <v>0.7</v>
      </c>
      <c r="V499" s="42">
        <f t="shared" si="181"/>
        <v>1741.8874999999998</v>
      </c>
      <c r="W499" s="42">
        <f t="shared" si="182"/>
        <v>1752.3442559999999</v>
      </c>
      <c r="X499" s="42">
        <f t="shared" si="183"/>
        <v>1.0060031178821824</v>
      </c>
      <c r="Y499" s="57">
        <v>3</v>
      </c>
      <c r="Z499" s="57">
        <v>4</v>
      </c>
      <c r="AA499" s="63">
        <v>6</v>
      </c>
      <c r="AB499" s="57">
        <v>24</v>
      </c>
      <c r="AC499" s="63">
        <v>6.7</v>
      </c>
      <c r="AD499" s="63">
        <v>6.3</v>
      </c>
      <c r="AE499" s="36">
        <v>0.13</v>
      </c>
      <c r="AF499" s="36">
        <v>0.16</v>
      </c>
      <c r="AG499" s="42">
        <f t="shared" si="165"/>
        <v>1741.8874999999998</v>
      </c>
      <c r="AH499" s="42">
        <f t="shared" si="184"/>
        <v>1979.8438399999998</v>
      </c>
      <c r="AI499" s="42">
        <f t="shared" si="185"/>
        <v>1.136608328609052</v>
      </c>
      <c r="AJ499" s="57">
        <v>3</v>
      </c>
      <c r="AK499" s="57">
        <v>4</v>
      </c>
      <c r="AL499" s="63">
        <v>6.4</v>
      </c>
      <c r="AM499" s="57">
        <v>25</v>
      </c>
      <c r="AN499" s="63">
        <v>6.7</v>
      </c>
      <c r="AO499" s="63">
        <v>6.2</v>
      </c>
      <c r="AP499" s="36">
        <v>0.19</v>
      </c>
      <c r="AQ499" s="36">
        <v>0.16</v>
      </c>
      <c r="AR499" s="73">
        <f t="shared" si="166"/>
        <v>2115</v>
      </c>
      <c r="AS499" s="75">
        <f t="shared" si="167"/>
        <v>0.27801418439716313</v>
      </c>
      <c r="AT499" s="75">
        <f t="shared" si="168"/>
        <v>0.72198581560283692</v>
      </c>
      <c r="AU499" s="75">
        <f t="shared" si="169"/>
        <v>0</v>
      </c>
      <c r="AV499" s="26">
        <f t="shared" si="170"/>
        <v>9.1211401425178154E-2</v>
      </c>
      <c r="AW499" s="26">
        <f t="shared" si="171"/>
        <v>9.5011876484560567E-2</v>
      </c>
      <c r="AX499" s="26">
        <f t="shared" si="188"/>
        <v>0.89743589743589747</v>
      </c>
      <c r="AY499" s="24">
        <f t="shared" si="189"/>
        <v>0.89743589743589747</v>
      </c>
      <c r="AZ499" s="77" t="str">
        <f t="shared" si="172"/>
        <v>5,0 ≤ Alc. Bruta &lt; 7,5 mg/L</v>
      </c>
      <c r="BA499" s="77" t="str">
        <f t="shared" si="173"/>
        <v>10 ≤ Cor &lt;15 uC</v>
      </c>
      <c r="BB499" s="78" t="str">
        <f t="shared" si="174"/>
        <v>Turbidez &lt; 2,5 uT</v>
      </c>
      <c r="BC499" s="79" t="str">
        <f t="shared" si="175"/>
        <v>SM &gt; TOR &gt; BNN</v>
      </c>
      <c r="BD499" s="78" t="str">
        <f t="shared" si="176"/>
        <v>Tipo 1 (≤0,25) uT</v>
      </c>
      <c r="BE499" s="78" t="str">
        <f t="shared" si="177"/>
        <v>Tipo 1 (≤0,25) uT</v>
      </c>
      <c r="BF499" s="78" t="str">
        <f t="shared" si="178"/>
        <v>Tipo 1 (≤0,25) uT</v>
      </c>
      <c r="BG499" s="78" t="str">
        <f t="shared" si="179"/>
        <v>Tipo 1 (≤0,25) uT</v>
      </c>
      <c r="BH499" s="78" t="str">
        <f t="shared" si="180"/>
        <v>Tipo 1 (≤0,25) uT</v>
      </c>
    </row>
    <row r="500" spans="1:60" ht="15.75" thickBot="1" x14ac:dyDescent="0.25">
      <c r="A500" s="45">
        <v>46315</v>
      </c>
      <c r="B500" s="80">
        <v>6.25E-2</v>
      </c>
      <c r="C500" s="57">
        <v>570</v>
      </c>
      <c r="D500" s="57">
        <v>820</v>
      </c>
      <c r="E500" s="58">
        <v>0</v>
      </c>
      <c r="F500" s="57">
        <v>1465</v>
      </c>
      <c r="G500" s="85" t="s">
        <v>78</v>
      </c>
      <c r="H500" s="63">
        <v>10.199999999999999</v>
      </c>
      <c r="I500" s="57">
        <v>200</v>
      </c>
      <c r="J500" s="57">
        <v>90</v>
      </c>
      <c r="K500" s="57">
        <v>90</v>
      </c>
      <c r="L500" s="57">
        <v>90</v>
      </c>
      <c r="M500" s="57">
        <v>25.4</v>
      </c>
      <c r="N500" s="63">
        <v>6.7</v>
      </c>
      <c r="O500" s="36">
        <v>2.36</v>
      </c>
      <c r="P500" s="57">
        <v>13</v>
      </c>
      <c r="Q500" s="63">
        <v>5.8</v>
      </c>
      <c r="R500" s="36">
        <v>0.23</v>
      </c>
      <c r="S500" s="36">
        <v>22.36</v>
      </c>
      <c r="T500" s="36">
        <v>0.88</v>
      </c>
      <c r="U500" s="36">
        <v>0.7</v>
      </c>
      <c r="V500" s="42">
        <f t="shared" si="181"/>
        <v>2717.5749999999998</v>
      </c>
      <c r="W500" s="42">
        <f t="shared" si="182"/>
        <v>1708.2758263999997</v>
      </c>
      <c r="X500" s="42">
        <f t="shared" si="183"/>
        <v>0.62860301055168666</v>
      </c>
      <c r="Y500" s="57">
        <v>2</v>
      </c>
      <c r="Z500" s="57">
        <v>2</v>
      </c>
      <c r="AA500" s="63">
        <v>6.3</v>
      </c>
      <c r="AB500" s="57">
        <v>22</v>
      </c>
      <c r="AC500" s="63">
        <v>6.4</v>
      </c>
      <c r="AD500" s="63">
        <v>4.5</v>
      </c>
      <c r="AE500" s="36">
        <v>0.34</v>
      </c>
      <c r="AF500" s="36">
        <v>0.09</v>
      </c>
      <c r="AG500" s="42">
        <f t="shared" si="165"/>
        <v>1811.7166666666665</v>
      </c>
      <c r="AH500" s="42">
        <f t="shared" si="184"/>
        <v>1979.8438399999998</v>
      </c>
      <c r="AI500" s="42">
        <f t="shared" si="185"/>
        <v>1.092799926404975</v>
      </c>
      <c r="AJ500" s="57">
        <v>1</v>
      </c>
      <c r="AK500" s="57">
        <v>3</v>
      </c>
      <c r="AL500" s="63">
        <v>6.4</v>
      </c>
      <c r="AM500" s="57">
        <v>25</v>
      </c>
      <c r="AN500" s="63">
        <v>6.4</v>
      </c>
      <c r="AO500" s="63">
        <v>4.9000000000000004</v>
      </c>
      <c r="AP500" s="36">
        <v>0.17</v>
      </c>
      <c r="AQ500" s="36">
        <v>0.16</v>
      </c>
      <c r="AR500" s="73">
        <f t="shared" si="166"/>
        <v>1390</v>
      </c>
      <c r="AS500" s="75">
        <f t="shared" si="167"/>
        <v>0.41007194244604317</v>
      </c>
      <c r="AT500" s="75">
        <f t="shared" si="168"/>
        <v>0.58992805755395683</v>
      </c>
      <c r="AU500" s="75">
        <f t="shared" si="169"/>
        <v>0</v>
      </c>
      <c r="AV500" s="26">
        <f t="shared" si="170"/>
        <v>6.0068259385665526E-2</v>
      </c>
      <c r="AW500" s="26">
        <f t="shared" si="171"/>
        <v>0.10238907849829353</v>
      </c>
      <c r="AX500" s="26">
        <f t="shared" si="188"/>
        <v>0.93220338983050843</v>
      </c>
      <c r="AY500" s="24">
        <f t="shared" si="189"/>
        <v>0.96186440677966101</v>
      </c>
      <c r="AZ500" s="77" t="str">
        <f t="shared" si="172"/>
        <v>5,0 ≤ Alc. Bruta &lt; 7,5 mg/L</v>
      </c>
      <c r="BA500" s="77" t="str">
        <f t="shared" si="173"/>
        <v>10 ≤ Cor &lt;15 uC</v>
      </c>
      <c r="BB500" s="78" t="str">
        <f t="shared" si="174"/>
        <v>Turbidez &lt; 2,5 uT</v>
      </c>
      <c r="BC500" s="79" t="str">
        <f t="shared" si="175"/>
        <v>SM &gt; TOR &gt; BNN</v>
      </c>
      <c r="BD500" s="78" t="str">
        <f t="shared" si="176"/>
        <v>Tipo 2 (0,25-0,50) uT</v>
      </c>
      <c r="BE500" s="78" t="str">
        <f t="shared" si="177"/>
        <v>Tipo 1 (≤0,25) uT</v>
      </c>
      <c r="BF500" s="78" t="str">
        <f t="shared" si="178"/>
        <v>Tipo 1 (≤0,25) uT</v>
      </c>
      <c r="BG500" s="78" t="str">
        <f t="shared" si="179"/>
        <v>Tipo 1 (≤0,25) uT</v>
      </c>
      <c r="BH500" s="78" t="str">
        <f t="shared" si="180"/>
        <v>Tipo 1 (≤0,25) uT</v>
      </c>
    </row>
    <row r="501" spans="1:60" ht="15.75" thickBot="1" x14ac:dyDescent="0.25">
      <c r="A501" s="45">
        <v>46315</v>
      </c>
      <c r="B501" s="80">
        <v>0.14583333333333334</v>
      </c>
      <c r="C501" s="57">
        <v>566</v>
      </c>
      <c r="D501" s="57">
        <v>804</v>
      </c>
      <c r="E501" s="58">
        <v>0</v>
      </c>
      <c r="F501" s="57">
        <v>1183</v>
      </c>
      <c r="G501" s="85" t="s">
        <v>34</v>
      </c>
      <c r="H501" s="63">
        <v>10</v>
      </c>
      <c r="I501" s="57">
        <v>179</v>
      </c>
      <c r="J501" s="57">
        <v>90</v>
      </c>
      <c r="K501" s="57">
        <v>90</v>
      </c>
      <c r="L501" s="57">
        <v>90</v>
      </c>
      <c r="M501" s="57">
        <v>24.1</v>
      </c>
      <c r="N501" s="63">
        <v>6.6</v>
      </c>
      <c r="O501" s="36">
        <v>2</v>
      </c>
      <c r="P501" s="57">
        <v>9</v>
      </c>
      <c r="Q501" s="63">
        <v>6.4</v>
      </c>
      <c r="R501" s="36">
        <v>0.15</v>
      </c>
      <c r="S501" s="36">
        <v>22.36</v>
      </c>
      <c r="T501" s="36">
        <v>0.88</v>
      </c>
      <c r="U501" s="36">
        <v>0.7</v>
      </c>
      <c r="V501" s="42">
        <f t="shared" si="181"/>
        <v>2070.25</v>
      </c>
      <c r="W501" s="42">
        <f t="shared" si="182"/>
        <v>1708.2758263999997</v>
      </c>
      <c r="X501" s="42">
        <f t="shared" si="183"/>
        <v>0.82515436609105164</v>
      </c>
      <c r="Y501" s="57">
        <v>2</v>
      </c>
      <c r="Z501" s="57">
        <v>2</v>
      </c>
      <c r="AA501" s="63">
        <v>6.3</v>
      </c>
      <c r="AB501" s="57">
        <v>22</v>
      </c>
      <c r="AC501" s="63">
        <v>6.2</v>
      </c>
      <c r="AD501" s="63">
        <v>4.3</v>
      </c>
      <c r="AE501" s="36">
        <v>0.11</v>
      </c>
      <c r="AF501" s="36"/>
      <c r="AG501" s="42">
        <f t="shared" si="165"/>
        <v>1380.1666666666665</v>
      </c>
      <c r="AH501" s="42">
        <f t="shared" si="184"/>
        <v>1979.8438399999998</v>
      </c>
      <c r="AI501" s="42">
        <f t="shared" si="185"/>
        <v>1.4344962009419153</v>
      </c>
      <c r="AJ501" s="57">
        <v>1</v>
      </c>
      <c r="AK501" s="57">
        <v>3</v>
      </c>
      <c r="AL501" s="63">
        <v>6.4</v>
      </c>
      <c r="AM501" s="57">
        <v>25</v>
      </c>
      <c r="AN501" s="63">
        <v>6.1</v>
      </c>
      <c r="AO501" s="63">
        <v>3.4</v>
      </c>
      <c r="AP501" s="36">
        <v>0.15</v>
      </c>
      <c r="AQ501" s="36">
        <v>0.2</v>
      </c>
      <c r="AR501" s="73">
        <f t="shared" si="166"/>
        <v>1370</v>
      </c>
      <c r="AS501" s="75">
        <f t="shared" si="167"/>
        <v>0.41313868613138688</v>
      </c>
      <c r="AT501" s="75">
        <f t="shared" si="168"/>
        <v>0.58686131386861318</v>
      </c>
      <c r="AU501" s="75">
        <f t="shared" si="169"/>
        <v>0</v>
      </c>
      <c r="AV501" s="26">
        <f t="shared" si="170"/>
        <v>7.4387151310228231E-2</v>
      </c>
      <c r="AW501" s="26">
        <f t="shared" si="171"/>
        <v>0.12679628064243451</v>
      </c>
      <c r="AX501" s="26">
        <f t="shared" si="188"/>
        <v>0.9</v>
      </c>
      <c r="AY501" s="24" t="str">
        <f t="shared" si="189"/>
        <v/>
      </c>
      <c r="AZ501" s="77" t="str">
        <f t="shared" si="172"/>
        <v>5,0 ≤ Alc. Bruta &lt; 7,5 mg/L</v>
      </c>
      <c r="BA501" s="77" t="str">
        <f t="shared" si="173"/>
        <v>5 ≤ Cor &lt; 10 uC</v>
      </c>
      <c r="BB501" s="78" t="str">
        <f t="shared" si="174"/>
        <v>Turbidez &lt; 2,5 uT</v>
      </c>
      <c r="BC501" s="79" t="str">
        <f t="shared" si="175"/>
        <v>SM &gt; TOR &gt; BNN</v>
      </c>
      <c r="BD501" s="78" t="str">
        <f t="shared" si="176"/>
        <v>Tipo 1 (≤0,25) uT</v>
      </c>
      <c r="BE501" s="78" t="str">
        <f t="shared" si="177"/>
        <v>Tipo 1 (≤0,25) uT</v>
      </c>
      <c r="BF501" s="78" t="str">
        <f t="shared" si="178"/>
        <v/>
      </c>
      <c r="BG501" s="78" t="str">
        <f t="shared" si="179"/>
        <v>Tipo 1 (≤0,25) uT</v>
      </c>
      <c r="BH501" s="78" t="str">
        <f t="shared" si="180"/>
        <v>Tipo 1 (≤0,25) uT</v>
      </c>
    </row>
    <row r="502" spans="1:60" ht="15.75" thickBot="1" x14ac:dyDescent="0.25">
      <c r="A502" s="46">
        <v>46315</v>
      </c>
      <c r="B502" s="81">
        <v>0.22916666666666666</v>
      </c>
      <c r="C502" s="58">
        <v>571</v>
      </c>
      <c r="D502" s="58">
        <v>780</v>
      </c>
      <c r="E502" s="58">
        <v>0</v>
      </c>
      <c r="F502" s="58">
        <v>1386</v>
      </c>
      <c r="G502" s="86" t="s">
        <v>34</v>
      </c>
      <c r="H502" s="64">
        <v>10</v>
      </c>
      <c r="I502" s="58">
        <v>163</v>
      </c>
      <c r="J502" s="58">
        <v>90</v>
      </c>
      <c r="K502" s="58">
        <v>90</v>
      </c>
      <c r="L502" s="58">
        <v>90</v>
      </c>
      <c r="M502" s="58">
        <v>23.9</v>
      </c>
      <c r="N502" s="64">
        <v>6.5</v>
      </c>
      <c r="O502" s="37">
        <v>1.88</v>
      </c>
      <c r="P502" s="58">
        <v>19</v>
      </c>
      <c r="Q502" s="64">
        <v>5.9</v>
      </c>
      <c r="R502" s="37">
        <v>7.0000000000000007E-2</v>
      </c>
      <c r="S502" s="36">
        <v>22.36</v>
      </c>
      <c r="T502" s="36">
        <v>0.88</v>
      </c>
      <c r="U502" s="36">
        <v>0.7</v>
      </c>
      <c r="V502" s="42">
        <f t="shared" si="181"/>
        <v>2383.92</v>
      </c>
      <c r="W502" s="42">
        <f t="shared" si="182"/>
        <v>1674.2890735999999</v>
      </c>
      <c r="X502" s="42">
        <f t="shared" si="183"/>
        <v>0.7023260317460317</v>
      </c>
      <c r="Y502" s="58">
        <v>2</v>
      </c>
      <c r="Z502" s="58">
        <v>2</v>
      </c>
      <c r="AA502" s="64">
        <v>6.2</v>
      </c>
      <c r="AB502" s="58">
        <v>22</v>
      </c>
      <c r="AC502" s="64">
        <v>6.2</v>
      </c>
      <c r="AD502" s="64">
        <v>3.8</v>
      </c>
      <c r="AE502" s="37">
        <v>0.17</v>
      </c>
      <c r="AF502" s="37"/>
      <c r="AG502" s="42">
        <f t="shared" si="165"/>
        <v>1589.28</v>
      </c>
      <c r="AH502" s="42">
        <f t="shared" si="184"/>
        <v>1979.8438399999998</v>
      </c>
      <c r="AI502" s="42">
        <f t="shared" si="185"/>
        <v>1.2457489177489176</v>
      </c>
      <c r="AJ502" s="58">
        <v>1</v>
      </c>
      <c r="AK502" s="58">
        <v>3</v>
      </c>
      <c r="AL502" s="64">
        <v>6.4</v>
      </c>
      <c r="AM502" s="58">
        <v>25</v>
      </c>
      <c r="AN502" s="64">
        <v>6</v>
      </c>
      <c r="AO502" s="64">
        <v>4</v>
      </c>
      <c r="AP502" s="37">
        <v>0.2</v>
      </c>
      <c r="AQ502" s="37">
        <v>0.27</v>
      </c>
      <c r="AR502" s="73">
        <f t="shared" si="166"/>
        <v>1351</v>
      </c>
      <c r="AS502" s="75">
        <f t="shared" si="167"/>
        <v>0.42264988897113248</v>
      </c>
      <c r="AT502" s="75">
        <f t="shared" si="168"/>
        <v>0.57735011102886746</v>
      </c>
      <c r="AU502" s="75">
        <f t="shared" si="169"/>
        <v>0</v>
      </c>
      <c r="AV502" s="26">
        <f t="shared" si="170"/>
        <v>6.3492063492063489E-2</v>
      </c>
      <c r="AW502" s="26">
        <f t="shared" si="171"/>
        <v>0.10822510822510822</v>
      </c>
      <c r="AX502" s="26">
        <f t="shared" si="188"/>
        <v>0.8563829787234043</v>
      </c>
      <c r="AY502" s="24" t="str">
        <f t="shared" si="189"/>
        <v/>
      </c>
      <c r="AZ502" s="77" t="str">
        <f t="shared" si="172"/>
        <v>5,0 ≤ Alc. Bruta &lt; 7,5 mg/L</v>
      </c>
      <c r="BA502" s="77" t="str">
        <f t="shared" si="173"/>
        <v>15 ≤ Cor &lt; 30 uC</v>
      </c>
      <c r="BB502" s="78" t="str">
        <f t="shared" si="174"/>
        <v>Turbidez &lt; 2,5 uT</v>
      </c>
      <c r="BC502" s="79" t="str">
        <f t="shared" si="175"/>
        <v>SM &gt; TOR &gt; BNN</v>
      </c>
      <c r="BD502" s="78" t="str">
        <f t="shared" si="176"/>
        <v>Tipo 1 (≤0,25) uT</v>
      </c>
      <c r="BE502" s="78" t="str">
        <f t="shared" si="177"/>
        <v>Tipo 1 (≤0,25) uT</v>
      </c>
      <c r="BF502" s="78" t="str">
        <f t="shared" si="178"/>
        <v/>
      </c>
      <c r="BG502" s="78" t="str">
        <f t="shared" si="179"/>
        <v>Tipo 2 (0,25-0,50) uT</v>
      </c>
      <c r="BH502" s="78" t="str">
        <f t="shared" si="180"/>
        <v>Tipo 1 (≤0,25) uT</v>
      </c>
    </row>
    <row r="503" spans="1:60" ht="15.75" thickBot="1" x14ac:dyDescent="0.25">
      <c r="A503" s="44">
        <v>46315</v>
      </c>
      <c r="B503" s="82">
        <v>0.3125</v>
      </c>
      <c r="C503" s="59">
        <v>551</v>
      </c>
      <c r="D503" s="59">
        <v>814</v>
      </c>
      <c r="E503" s="58">
        <v>0</v>
      </c>
      <c r="F503" s="59">
        <v>1454</v>
      </c>
      <c r="G503" s="87" t="s">
        <v>34</v>
      </c>
      <c r="H503" s="65">
        <v>10</v>
      </c>
      <c r="I503" s="59">
        <v>164</v>
      </c>
      <c r="J503" s="59">
        <v>90</v>
      </c>
      <c r="K503" s="59">
        <v>90</v>
      </c>
      <c r="L503" s="59">
        <v>90</v>
      </c>
      <c r="M503" s="59">
        <v>24.8</v>
      </c>
      <c r="N503" s="65">
        <v>6.5</v>
      </c>
      <c r="O503" s="38">
        <v>1.94</v>
      </c>
      <c r="P503" s="59">
        <v>10</v>
      </c>
      <c r="Q503" s="65">
        <v>6.9</v>
      </c>
      <c r="R503" s="38">
        <v>0.08</v>
      </c>
      <c r="S503" s="36">
        <v>22.36</v>
      </c>
      <c r="T503" s="36">
        <v>0.88</v>
      </c>
      <c r="U503" s="36">
        <v>0.7</v>
      </c>
      <c r="V503" s="42">
        <f t="shared" si="181"/>
        <v>2522.6899999999996</v>
      </c>
      <c r="W503" s="42">
        <f t="shared" si="182"/>
        <v>1751.0025441999996</v>
      </c>
      <c r="X503" s="42">
        <f t="shared" si="183"/>
        <v>0.69410135379297488</v>
      </c>
      <c r="Y503" s="60">
        <v>2</v>
      </c>
      <c r="Z503" s="88">
        <v>2</v>
      </c>
      <c r="AA503" s="89">
        <v>5.9</v>
      </c>
      <c r="AB503" s="88">
        <v>24.5</v>
      </c>
      <c r="AC503" s="65">
        <v>6.1</v>
      </c>
      <c r="AD503" s="65">
        <v>3.1</v>
      </c>
      <c r="AE503" s="38">
        <v>0.16</v>
      </c>
      <c r="AF503" s="38"/>
      <c r="AG503" s="42">
        <f t="shared" si="165"/>
        <v>1681.7933333333333</v>
      </c>
      <c r="AH503" s="42">
        <f t="shared" si="184"/>
        <v>1979.8438399999998</v>
      </c>
      <c r="AI503" s="42">
        <f t="shared" si="185"/>
        <v>1.1772218385929305</v>
      </c>
      <c r="AJ503" s="59">
        <v>1</v>
      </c>
      <c r="AK503" s="59">
        <v>3</v>
      </c>
      <c r="AL503" s="65">
        <v>6.4</v>
      </c>
      <c r="AM503" s="59">
        <v>25</v>
      </c>
      <c r="AN503" s="65">
        <v>6</v>
      </c>
      <c r="AO503" s="65">
        <v>4</v>
      </c>
      <c r="AP503" s="38">
        <v>0.14000000000000001</v>
      </c>
      <c r="AQ503" s="38">
        <v>0.21</v>
      </c>
      <c r="AR503" s="73">
        <f t="shared" si="166"/>
        <v>1365</v>
      </c>
      <c r="AS503" s="75">
        <f t="shared" si="167"/>
        <v>0.40366300366300367</v>
      </c>
      <c r="AT503" s="75">
        <f t="shared" si="168"/>
        <v>0.59633699633699633</v>
      </c>
      <c r="AU503" s="75">
        <f t="shared" si="169"/>
        <v>0</v>
      </c>
      <c r="AV503" s="26">
        <f t="shared" si="170"/>
        <v>6.7400275103163682E-2</v>
      </c>
      <c r="AW503" s="26">
        <f t="shared" si="171"/>
        <v>0.1031636863823934</v>
      </c>
      <c r="AX503" s="26">
        <f t="shared" si="188"/>
        <v>0.89175257731958757</v>
      </c>
      <c r="AY503" s="24" t="str">
        <f t="shared" si="189"/>
        <v/>
      </c>
      <c r="AZ503" s="77" t="str">
        <f t="shared" si="172"/>
        <v>5,0 ≤ Alc. Bruta &lt; 7,5 mg/L</v>
      </c>
      <c r="BA503" s="77" t="str">
        <f t="shared" si="173"/>
        <v>10 ≤ Cor &lt;15 uC</v>
      </c>
      <c r="BB503" s="78" t="str">
        <f t="shared" si="174"/>
        <v>Turbidez &lt; 2,5 uT</v>
      </c>
      <c r="BC503" s="79" t="str">
        <f t="shared" si="175"/>
        <v>SM &gt; TOR &gt; BNN</v>
      </c>
      <c r="BD503" s="78" t="str">
        <f t="shared" si="176"/>
        <v>Tipo 1 (≤0,25) uT</v>
      </c>
      <c r="BE503" s="78" t="str">
        <f t="shared" si="177"/>
        <v>Tipo 1 (≤0,25) uT</v>
      </c>
      <c r="BF503" s="78" t="str">
        <f t="shared" si="178"/>
        <v/>
      </c>
      <c r="BG503" s="78" t="str">
        <f t="shared" si="179"/>
        <v>Tipo 1 (≤0,25) uT</v>
      </c>
      <c r="BH503" s="78" t="str">
        <f t="shared" si="180"/>
        <v>Tipo 1 (≤0,25) uT</v>
      </c>
    </row>
    <row r="504" spans="1:60" ht="15.75" thickBot="1" x14ac:dyDescent="0.25">
      <c r="A504" s="45">
        <v>46315</v>
      </c>
      <c r="B504" s="80">
        <v>0.39583333333333331</v>
      </c>
      <c r="C504" s="57">
        <v>568</v>
      </c>
      <c r="D504" s="57">
        <v>810</v>
      </c>
      <c r="E504" s="58">
        <v>0</v>
      </c>
      <c r="F504" s="57">
        <v>1384</v>
      </c>
      <c r="G504" s="85" t="s">
        <v>34</v>
      </c>
      <c r="H504" s="63">
        <v>9.5</v>
      </c>
      <c r="I504" s="57">
        <v>144</v>
      </c>
      <c r="J504" s="57">
        <v>90</v>
      </c>
      <c r="K504" s="57">
        <v>90</v>
      </c>
      <c r="L504" s="57">
        <v>90</v>
      </c>
      <c r="M504" s="57">
        <v>25.4</v>
      </c>
      <c r="N504" s="63">
        <v>6.4</v>
      </c>
      <c r="O504" s="36">
        <v>1.86</v>
      </c>
      <c r="P504" s="57">
        <v>10</v>
      </c>
      <c r="Q504" s="63">
        <v>5.5</v>
      </c>
      <c r="R504" s="36">
        <v>7.0000000000000007E-2</v>
      </c>
      <c r="S504" s="36">
        <v>22.36</v>
      </c>
      <c r="T504" s="36">
        <v>0.88</v>
      </c>
      <c r="U504" s="36">
        <v>0.7</v>
      </c>
      <c r="V504" s="42">
        <f t="shared" si="181"/>
        <v>2321.66</v>
      </c>
      <c r="W504" s="42">
        <f t="shared" si="182"/>
        <v>1811.2763614400001</v>
      </c>
      <c r="X504" s="42">
        <f t="shared" si="183"/>
        <v>0.78016434854371453</v>
      </c>
      <c r="Y504" s="57">
        <v>2</v>
      </c>
      <c r="Z504" s="57">
        <v>2</v>
      </c>
      <c r="AA504" s="63">
        <v>6.2</v>
      </c>
      <c r="AB504" s="57">
        <v>23.8</v>
      </c>
      <c r="AC504" s="63">
        <v>6.1</v>
      </c>
      <c r="AD504" s="63">
        <v>4.0999999999999996</v>
      </c>
      <c r="AE504" s="36">
        <v>0.17</v>
      </c>
      <c r="AF504" s="36"/>
      <c r="AG504" s="42">
        <f t="shared" si="165"/>
        <v>1547.7733333333333</v>
      </c>
      <c r="AH504" s="42">
        <f t="shared" si="184"/>
        <v>1948.16633856</v>
      </c>
      <c r="AI504" s="42">
        <f t="shared" si="185"/>
        <v>1.2586896909280429</v>
      </c>
      <c r="AJ504" s="57">
        <v>1</v>
      </c>
      <c r="AK504" s="57">
        <v>3</v>
      </c>
      <c r="AL504" s="63">
        <v>6.4</v>
      </c>
      <c r="AM504" s="57">
        <v>24.6</v>
      </c>
      <c r="AN504" s="63">
        <v>6.1</v>
      </c>
      <c r="AO504" s="63">
        <v>4.4000000000000004</v>
      </c>
      <c r="AP504" s="36">
        <v>0.11</v>
      </c>
      <c r="AQ504" s="36">
        <v>0.19</v>
      </c>
      <c r="AR504" s="73">
        <f t="shared" si="166"/>
        <v>1378</v>
      </c>
      <c r="AS504" s="75">
        <f t="shared" si="167"/>
        <v>0.41219158200290273</v>
      </c>
      <c r="AT504" s="75">
        <f t="shared" si="168"/>
        <v>0.58780841799709727</v>
      </c>
      <c r="AU504" s="75">
        <f t="shared" si="169"/>
        <v>0</v>
      </c>
      <c r="AV504" s="26">
        <f t="shared" si="170"/>
        <v>6.8786127167630065E-2</v>
      </c>
      <c r="AW504" s="26">
        <f t="shared" si="171"/>
        <v>0.10664739884393065</v>
      </c>
      <c r="AX504" s="26">
        <f t="shared" si="188"/>
        <v>0.89784946236559138</v>
      </c>
      <c r="AY504" s="24" t="str">
        <f t="shared" si="189"/>
        <v/>
      </c>
      <c r="AZ504" s="77" t="str">
        <f t="shared" si="172"/>
        <v>5,0 ≤ Alc. Bruta &lt; 7,5 mg/L</v>
      </c>
      <c r="BA504" s="77" t="str">
        <f t="shared" si="173"/>
        <v>10 ≤ Cor &lt;15 uC</v>
      </c>
      <c r="BB504" s="78" t="str">
        <f t="shared" si="174"/>
        <v>Turbidez &lt; 2,5 uT</v>
      </c>
      <c r="BC504" s="79" t="str">
        <f t="shared" si="175"/>
        <v>SM &gt; TOR &gt; BNN</v>
      </c>
      <c r="BD504" s="78" t="str">
        <f t="shared" si="176"/>
        <v>Tipo 1 (≤0,25) uT</v>
      </c>
      <c r="BE504" s="78" t="str">
        <f t="shared" si="177"/>
        <v>Tipo 1 (≤0,25) uT</v>
      </c>
      <c r="BF504" s="78" t="str">
        <f t="shared" si="178"/>
        <v/>
      </c>
      <c r="BG504" s="78" t="str">
        <f t="shared" si="179"/>
        <v>Tipo 1 (≤0,25) uT</v>
      </c>
      <c r="BH504" s="78" t="str">
        <f t="shared" si="180"/>
        <v>Tipo 1 (≤0,25) uT</v>
      </c>
    </row>
    <row r="505" spans="1:60" ht="15.75" thickBot="1" x14ac:dyDescent="0.25">
      <c r="A505" s="45">
        <v>46315</v>
      </c>
      <c r="B505" s="80">
        <v>0.47916666666666669</v>
      </c>
      <c r="C505" s="57">
        <v>575</v>
      </c>
      <c r="D505" s="57">
        <v>810</v>
      </c>
      <c r="E505" s="58">
        <v>0</v>
      </c>
      <c r="F505" s="57">
        <v>1425</v>
      </c>
      <c r="G505" s="85" t="s">
        <v>34</v>
      </c>
      <c r="H505" s="63">
        <v>9.1999999999999993</v>
      </c>
      <c r="I505" s="57">
        <v>100</v>
      </c>
      <c r="J505" s="57">
        <v>90</v>
      </c>
      <c r="K505" s="57">
        <v>90</v>
      </c>
      <c r="L505" s="57">
        <v>90</v>
      </c>
      <c r="M505" s="57">
        <v>26.2</v>
      </c>
      <c r="N505" s="63">
        <v>6.5</v>
      </c>
      <c r="O505" s="36">
        <v>1.81</v>
      </c>
      <c r="P505" s="57">
        <v>10</v>
      </c>
      <c r="Q505" s="63">
        <v>6</v>
      </c>
      <c r="R505" s="36">
        <v>7.0000000000000007E-2</v>
      </c>
      <c r="S505" s="36">
        <v>22.36</v>
      </c>
      <c r="T505" s="36">
        <v>0.88</v>
      </c>
      <c r="U505" s="36">
        <v>0.7</v>
      </c>
      <c r="V505" s="42">
        <f t="shared" si="181"/>
        <v>2340.5625</v>
      </c>
      <c r="W505" s="42">
        <f t="shared" si="182"/>
        <v>1937.7265440000001</v>
      </c>
      <c r="X505" s="42">
        <f t="shared" si="183"/>
        <v>0.82788925482656417</v>
      </c>
      <c r="Y505" s="57">
        <v>2</v>
      </c>
      <c r="Z505" s="57">
        <v>2</v>
      </c>
      <c r="AA505" s="63">
        <v>6.5</v>
      </c>
      <c r="AB505" s="57">
        <v>24</v>
      </c>
      <c r="AC505" s="63">
        <v>6.2</v>
      </c>
      <c r="AD505" s="63">
        <v>4</v>
      </c>
      <c r="AE505" s="36">
        <v>0.14000000000000001</v>
      </c>
      <c r="AF505" s="36"/>
      <c r="AG505" s="42">
        <f t="shared" si="165"/>
        <v>1560.375</v>
      </c>
      <c r="AH505" s="42">
        <f t="shared" si="184"/>
        <v>1979.8438399999998</v>
      </c>
      <c r="AI505" s="42">
        <f t="shared" si="185"/>
        <v>1.2688256604982775</v>
      </c>
      <c r="AJ505" s="57">
        <v>1</v>
      </c>
      <c r="AK505" s="57">
        <v>3</v>
      </c>
      <c r="AL505" s="63">
        <v>6.4</v>
      </c>
      <c r="AM505" s="57">
        <v>25</v>
      </c>
      <c r="AN505" s="63">
        <v>6.2</v>
      </c>
      <c r="AO505" s="63">
        <v>4.0999999999999996</v>
      </c>
      <c r="AP505" s="36">
        <v>0.11</v>
      </c>
      <c r="AQ505" s="36">
        <v>0.16</v>
      </c>
      <c r="AR505" s="73">
        <f t="shared" si="166"/>
        <v>1385</v>
      </c>
      <c r="AS505" s="75">
        <f t="shared" si="167"/>
        <v>0.41516245487364623</v>
      </c>
      <c r="AT505" s="75">
        <f t="shared" si="168"/>
        <v>0.58483754512635377</v>
      </c>
      <c r="AU505" s="75">
        <f t="shared" si="169"/>
        <v>0</v>
      </c>
      <c r="AV505" s="26">
        <f t="shared" si="170"/>
        <v>6.7368421052631577E-2</v>
      </c>
      <c r="AW505" s="26">
        <f t="shared" si="171"/>
        <v>0.10526315789473684</v>
      </c>
      <c r="AX505" s="26">
        <f t="shared" si="188"/>
        <v>0.91160220994475138</v>
      </c>
      <c r="AY505" s="24" t="str">
        <f t="shared" si="189"/>
        <v/>
      </c>
      <c r="AZ505" s="77" t="str">
        <f t="shared" si="172"/>
        <v>5,0 ≤ Alc. Bruta &lt; 7,5 mg/L</v>
      </c>
      <c r="BA505" s="77" t="str">
        <f t="shared" si="173"/>
        <v>10 ≤ Cor &lt;15 uC</v>
      </c>
      <c r="BB505" s="78" t="str">
        <f t="shared" si="174"/>
        <v>Turbidez &lt; 2,5 uT</v>
      </c>
      <c r="BC505" s="79" t="str">
        <f t="shared" si="175"/>
        <v>SM &gt; TOR &gt; BNN</v>
      </c>
      <c r="BD505" s="78" t="str">
        <f t="shared" si="176"/>
        <v>Tipo 1 (≤0,25) uT</v>
      </c>
      <c r="BE505" s="78" t="str">
        <f t="shared" si="177"/>
        <v>Tipo 1 (≤0,25) uT</v>
      </c>
      <c r="BF505" s="78" t="str">
        <f t="shared" si="178"/>
        <v/>
      </c>
      <c r="BG505" s="78" t="str">
        <f t="shared" si="179"/>
        <v>Tipo 1 (≤0,25) uT</v>
      </c>
      <c r="BH505" s="78" t="str">
        <f t="shared" si="180"/>
        <v>Tipo 1 (≤0,25) uT</v>
      </c>
    </row>
    <row r="506" spans="1:60" ht="15.75" thickBot="1" x14ac:dyDescent="0.25">
      <c r="A506" s="45">
        <v>46315</v>
      </c>
      <c r="B506" s="80">
        <v>0.64583333333333337</v>
      </c>
      <c r="C506" s="57">
        <v>423</v>
      </c>
      <c r="D506" s="57">
        <v>940</v>
      </c>
      <c r="E506" s="58">
        <v>0</v>
      </c>
      <c r="F506" s="57">
        <v>1403</v>
      </c>
      <c r="G506" s="85" t="s">
        <v>34</v>
      </c>
      <c r="H506" s="63">
        <v>8.6</v>
      </c>
      <c r="I506" s="57">
        <v>27</v>
      </c>
      <c r="J506" s="57">
        <v>90</v>
      </c>
      <c r="K506" s="57">
        <v>90</v>
      </c>
      <c r="L506" s="57">
        <v>90</v>
      </c>
      <c r="M506" s="57">
        <v>26.9</v>
      </c>
      <c r="N506" s="63">
        <v>6.5</v>
      </c>
      <c r="O506" s="36">
        <v>1.68</v>
      </c>
      <c r="P506" s="57">
        <v>9</v>
      </c>
      <c r="Q506" s="63">
        <v>5.9</v>
      </c>
      <c r="R506" s="36">
        <v>0.09</v>
      </c>
      <c r="S506" s="36">
        <v>22.36</v>
      </c>
      <c r="T506" s="36">
        <v>0.88</v>
      </c>
      <c r="U506" s="36">
        <v>0.7</v>
      </c>
      <c r="V506" s="42">
        <f t="shared" si="181"/>
        <v>2195.6949999999997</v>
      </c>
      <c r="W506" s="42">
        <f t="shared" si="182"/>
        <v>1937.7265440000001</v>
      </c>
      <c r="X506" s="42">
        <f t="shared" si="183"/>
        <v>0.88251170768253351</v>
      </c>
      <c r="Y506" s="57">
        <v>2</v>
      </c>
      <c r="Z506" s="57">
        <v>2</v>
      </c>
      <c r="AA506" s="63">
        <v>6.5</v>
      </c>
      <c r="AB506" s="57">
        <v>24</v>
      </c>
      <c r="AC506" s="63">
        <v>6.2</v>
      </c>
      <c r="AD506" s="63">
        <v>4.4000000000000004</v>
      </c>
      <c r="AE506" s="36">
        <v>0.17</v>
      </c>
      <c r="AF506" s="36">
        <v>0.16</v>
      </c>
      <c r="AG506" s="42">
        <f t="shared" si="165"/>
        <v>1463.7966666666666</v>
      </c>
      <c r="AH506" s="42">
        <f t="shared" si="184"/>
        <v>1979.8438399999998</v>
      </c>
      <c r="AI506" s="42">
        <f t="shared" si="185"/>
        <v>1.3525402025326831</v>
      </c>
      <c r="AJ506" s="57">
        <v>1</v>
      </c>
      <c r="AK506" s="57">
        <v>3</v>
      </c>
      <c r="AL506" s="63">
        <v>6.4</v>
      </c>
      <c r="AM506" s="57">
        <v>25</v>
      </c>
      <c r="AN506" s="63">
        <v>5.9</v>
      </c>
      <c r="AO506" s="63">
        <v>4.4000000000000004</v>
      </c>
      <c r="AP506" s="36">
        <v>0.14000000000000001</v>
      </c>
      <c r="AQ506" s="36">
        <v>0.12</v>
      </c>
      <c r="AR506" s="73">
        <f t="shared" si="166"/>
        <v>1363</v>
      </c>
      <c r="AS506" s="75">
        <f t="shared" si="167"/>
        <v>0.31034482758620691</v>
      </c>
      <c r="AT506" s="75">
        <f t="shared" si="168"/>
        <v>0.68965517241379315</v>
      </c>
      <c r="AU506" s="75">
        <f t="shared" si="169"/>
        <v>0</v>
      </c>
      <c r="AV506" s="26">
        <f t="shared" si="170"/>
        <v>6.8424803991446903E-2</v>
      </c>
      <c r="AW506" s="26">
        <f t="shared" si="171"/>
        <v>0.10691375623663578</v>
      </c>
      <c r="AX506" s="26">
        <f t="shared" si="188"/>
        <v>0.9285714285714286</v>
      </c>
      <c r="AY506" s="24">
        <f t="shared" si="189"/>
        <v>0.90476190476190477</v>
      </c>
      <c r="AZ506" s="77" t="str">
        <f t="shared" si="172"/>
        <v>5,0 ≤ Alc. Bruta &lt; 7,5 mg/L</v>
      </c>
      <c r="BA506" s="77" t="str">
        <f t="shared" si="173"/>
        <v>5 ≤ Cor &lt; 10 uC</v>
      </c>
      <c r="BB506" s="78" t="str">
        <f t="shared" si="174"/>
        <v>Turbidez &lt; 2,5 uT</v>
      </c>
      <c r="BC506" s="79" t="str">
        <f t="shared" si="175"/>
        <v>SM &gt; TOR &gt; BNN</v>
      </c>
      <c r="BD506" s="78" t="str">
        <f t="shared" si="176"/>
        <v>Tipo 1 (≤0,25) uT</v>
      </c>
      <c r="BE506" s="78" t="str">
        <f t="shared" si="177"/>
        <v>Tipo 1 (≤0,25) uT</v>
      </c>
      <c r="BF506" s="78" t="str">
        <f t="shared" si="178"/>
        <v>Tipo 1 (≤0,25) uT</v>
      </c>
      <c r="BG506" s="78" t="str">
        <f t="shared" si="179"/>
        <v>Tipo 1 (≤0,25) uT</v>
      </c>
      <c r="BH506" s="78" t="str">
        <f t="shared" si="180"/>
        <v>Tipo 1 (≤0,25) uT</v>
      </c>
    </row>
    <row r="507" spans="1:60" ht="15.75" thickBot="1" x14ac:dyDescent="0.25">
      <c r="A507" s="45">
        <v>46315</v>
      </c>
      <c r="B507" s="80">
        <v>0.8125</v>
      </c>
      <c r="C507" s="57">
        <v>318</v>
      </c>
      <c r="D507" s="57">
        <v>1051</v>
      </c>
      <c r="E507" s="58">
        <v>0</v>
      </c>
      <c r="F507" s="57">
        <v>1445</v>
      </c>
      <c r="G507" s="85" t="s">
        <v>34</v>
      </c>
      <c r="H507" s="63">
        <v>8.6</v>
      </c>
      <c r="I507" s="57">
        <v>65</v>
      </c>
      <c r="J507" s="57">
        <v>90</v>
      </c>
      <c r="K507" s="57">
        <v>90</v>
      </c>
      <c r="L507" s="57">
        <v>90</v>
      </c>
      <c r="M507" s="57">
        <v>26.7</v>
      </c>
      <c r="N507" s="63">
        <v>6.4</v>
      </c>
      <c r="O507" s="36">
        <v>1.78</v>
      </c>
      <c r="P507" s="57">
        <v>14</v>
      </c>
      <c r="Q507" s="63">
        <v>6</v>
      </c>
      <c r="R507" s="36">
        <v>0.08</v>
      </c>
      <c r="S507" s="36">
        <v>22.36</v>
      </c>
      <c r="T507" s="36">
        <v>0.88</v>
      </c>
      <c r="U507" s="36">
        <v>0.7</v>
      </c>
      <c r="V507" s="42">
        <f t="shared" si="181"/>
        <v>2297.5499999999997</v>
      </c>
      <c r="W507" s="42">
        <f t="shared" si="182"/>
        <v>1834.1562314399998</v>
      </c>
      <c r="X507" s="42">
        <f t="shared" si="183"/>
        <v>0.7983096043350526</v>
      </c>
      <c r="Y507" s="57">
        <v>2</v>
      </c>
      <c r="Z507" s="57">
        <v>2</v>
      </c>
      <c r="AA507" s="63">
        <v>6.1</v>
      </c>
      <c r="AB507" s="57">
        <v>24.6</v>
      </c>
      <c r="AC507" s="63">
        <v>6.2</v>
      </c>
      <c r="AD507" s="63">
        <v>4.3</v>
      </c>
      <c r="AE507" s="36">
        <v>0.16</v>
      </c>
      <c r="AF507" s="36">
        <v>0.14000000000000001</v>
      </c>
      <c r="AG507" s="42">
        <f t="shared" si="165"/>
        <v>1838.0399999999997</v>
      </c>
      <c r="AH507" s="42">
        <f t="shared" si="184"/>
        <v>1979.8438399999998</v>
      </c>
      <c r="AI507" s="42">
        <f t="shared" si="185"/>
        <v>1.0771494853213206</v>
      </c>
      <c r="AJ507" s="57">
        <v>1</v>
      </c>
      <c r="AK507" s="57">
        <v>2.5</v>
      </c>
      <c r="AL507" s="63">
        <v>6.4</v>
      </c>
      <c r="AM507" s="57">
        <v>25</v>
      </c>
      <c r="AN507" s="63">
        <v>6.1</v>
      </c>
      <c r="AO507" s="63">
        <v>4.0999999999999996</v>
      </c>
      <c r="AP507" s="36">
        <v>0.12</v>
      </c>
      <c r="AQ507" s="36">
        <v>0.12</v>
      </c>
      <c r="AR507" s="73">
        <f t="shared" si="166"/>
        <v>1369</v>
      </c>
      <c r="AS507" s="75">
        <f t="shared" si="167"/>
        <v>0.23228634039444851</v>
      </c>
      <c r="AT507" s="75">
        <f t="shared" si="168"/>
        <v>0.76771365960555149</v>
      </c>
      <c r="AU507" s="75">
        <f t="shared" si="169"/>
        <v>0</v>
      </c>
      <c r="AV507" s="26">
        <f t="shared" si="170"/>
        <v>6.8096885813148794E-2</v>
      </c>
      <c r="AW507" s="26">
        <f t="shared" si="171"/>
        <v>8.6505190311418678E-2</v>
      </c>
      <c r="AX507" s="26">
        <f t="shared" si="188"/>
        <v>0.93258426966292141</v>
      </c>
      <c r="AY507" s="24">
        <f t="shared" si="189"/>
        <v>0.9213483146067416</v>
      </c>
      <c r="AZ507" s="77" t="str">
        <f t="shared" si="172"/>
        <v>5,0 ≤ Alc. Bruta &lt; 7,5 mg/L</v>
      </c>
      <c r="BA507" s="77" t="str">
        <f t="shared" si="173"/>
        <v>10 ≤ Cor &lt;15 uC</v>
      </c>
      <c r="BB507" s="78" t="str">
        <f t="shared" si="174"/>
        <v>Turbidez &lt; 2,5 uT</v>
      </c>
      <c r="BC507" s="79" t="str">
        <f t="shared" si="175"/>
        <v>SM &gt; TOR &gt; BNN</v>
      </c>
      <c r="BD507" s="78" t="str">
        <f t="shared" si="176"/>
        <v>Tipo 1 (≤0,25) uT</v>
      </c>
      <c r="BE507" s="78" t="str">
        <f t="shared" si="177"/>
        <v>Tipo 1 (≤0,25) uT</v>
      </c>
      <c r="BF507" s="78" t="str">
        <f t="shared" si="178"/>
        <v>Tipo 1 (≤0,25) uT</v>
      </c>
      <c r="BG507" s="78" t="str">
        <f t="shared" si="179"/>
        <v>Tipo 1 (≤0,25) uT</v>
      </c>
      <c r="BH507" s="78" t="str">
        <f t="shared" si="180"/>
        <v>Tipo 1 (≤0,25) uT</v>
      </c>
    </row>
    <row r="508" spans="1:60" ht="15.75" thickBot="1" x14ac:dyDescent="0.25">
      <c r="A508" s="45">
        <v>46315</v>
      </c>
      <c r="B508" s="80">
        <v>0.89583333333333337</v>
      </c>
      <c r="C508" s="57">
        <v>316</v>
      </c>
      <c r="D508" s="57">
        <v>1025</v>
      </c>
      <c r="E508" s="58">
        <v>0</v>
      </c>
      <c r="F508" s="57">
        <v>1449</v>
      </c>
      <c r="G508" s="85" t="s">
        <v>34</v>
      </c>
      <c r="H508" s="63">
        <v>8.6</v>
      </c>
      <c r="I508" s="57">
        <v>42</v>
      </c>
      <c r="J508" s="57">
        <v>90</v>
      </c>
      <c r="K508" s="57">
        <v>90</v>
      </c>
      <c r="L508" s="57">
        <v>90</v>
      </c>
      <c r="M508" s="57">
        <v>26</v>
      </c>
      <c r="N508" s="63">
        <v>6.4</v>
      </c>
      <c r="O508" s="36">
        <v>1.54</v>
      </c>
      <c r="P508" s="57">
        <v>13</v>
      </c>
      <c r="Q508" s="63">
        <v>6.2</v>
      </c>
      <c r="R508" s="36">
        <v>0.08</v>
      </c>
      <c r="S508" s="36">
        <v>22.36</v>
      </c>
      <c r="T508" s="36">
        <v>0.88</v>
      </c>
      <c r="U508" s="36">
        <v>0.7</v>
      </c>
      <c r="V508" s="42">
        <f t="shared" si="181"/>
        <v>2216.9699999999998</v>
      </c>
      <c r="W508" s="42">
        <f t="shared" si="182"/>
        <v>1789.4207135999998</v>
      </c>
      <c r="X508" s="42">
        <f t="shared" si="183"/>
        <v>0.80714701308542736</v>
      </c>
      <c r="Y508" s="57">
        <v>2</v>
      </c>
      <c r="Z508" s="57">
        <v>2</v>
      </c>
      <c r="AA508" s="63">
        <v>6.1</v>
      </c>
      <c r="AB508" s="57">
        <v>24</v>
      </c>
      <c r="AC508" s="63">
        <v>6.1</v>
      </c>
      <c r="AD508" s="63">
        <v>4</v>
      </c>
      <c r="AE508" s="36">
        <v>0.15</v>
      </c>
      <c r="AF508" s="36">
        <v>0.16</v>
      </c>
      <c r="AG508" s="42">
        <f t="shared" si="165"/>
        <v>1773.5759999999998</v>
      </c>
      <c r="AH508" s="42">
        <f t="shared" si="184"/>
        <v>1979.8438399999998</v>
      </c>
      <c r="AI508" s="42">
        <f t="shared" si="185"/>
        <v>1.1163005363175866</v>
      </c>
      <c r="AJ508" s="57">
        <v>1</v>
      </c>
      <c r="AK508" s="57">
        <v>2.5</v>
      </c>
      <c r="AL508" s="63">
        <v>6.4</v>
      </c>
      <c r="AM508" s="57">
        <v>25</v>
      </c>
      <c r="AN508" s="63">
        <v>6.3</v>
      </c>
      <c r="AO508" s="63">
        <v>4.2</v>
      </c>
      <c r="AP508" s="36">
        <v>0.14000000000000001</v>
      </c>
      <c r="AQ508" s="36">
        <v>0.13</v>
      </c>
      <c r="AR508" s="73">
        <f t="shared" si="166"/>
        <v>1341</v>
      </c>
      <c r="AS508" s="75">
        <f t="shared" si="167"/>
        <v>0.23564504101416853</v>
      </c>
      <c r="AT508" s="75">
        <f t="shared" si="168"/>
        <v>0.7643549589858315</v>
      </c>
      <c r="AU508" s="75">
        <f t="shared" si="169"/>
        <v>0</v>
      </c>
      <c r="AV508" s="26">
        <f t="shared" si="170"/>
        <v>6.6252587991718431E-2</v>
      </c>
      <c r="AW508" s="26">
        <f t="shared" si="171"/>
        <v>8.6266390614216704E-2</v>
      </c>
      <c r="AX508" s="26">
        <f t="shared" si="188"/>
        <v>0.91558441558441561</v>
      </c>
      <c r="AY508" s="24">
        <f t="shared" si="189"/>
        <v>0.89610389610389607</v>
      </c>
      <c r="AZ508" s="77" t="str">
        <f t="shared" si="172"/>
        <v>5,0 ≤ Alc. Bruta &lt; 7,5 mg/L</v>
      </c>
      <c r="BA508" s="77" t="str">
        <f t="shared" si="173"/>
        <v>10 ≤ Cor &lt;15 uC</v>
      </c>
      <c r="BB508" s="78" t="str">
        <f t="shared" si="174"/>
        <v>Turbidez &lt; 2,5 uT</v>
      </c>
      <c r="BC508" s="79" t="str">
        <f t="shared" si="175"/>
        <v>SM &gt; TOR &gt; BNN</v>
      </c>
      <c r="BD508" s="78" t="str">
        <f t="shared" si="176"/>
        <v>Tipo 1 (≤0,25) uT</v>
      </c>
      <c r="BE508" s="78" t="str">
        <f t="shared" si="177"/>
        <v>Tipo 1 (≤0,25) uT</v>
      </c>
      <c r="BF508" s="78" t="str">
        <f t="shared" si="178"/>
        <v>Tipo 1 (≤0,25) uT</v>
      </c>
      <c r="BG508" s="78" t="str">
        <f t="shared" si="179"/>
        <v>Tipo 1 (≤0,25) uT</v>
      </c>
      <c r="BH508" s="78" t="str">
        <f t="shared" si="180"/>
        <v>Tipo 1 (≤0,25) uT</v>
      </c>
    </row>
    <row r="509" spans="1:60" ht="15.75" thickBot="1" x14ac:dyDescent="0.25">
      <c r="A509" s="45">
        <v>46316</v>
      </c>
      <c r="B509" s="80">
        <v>6.25E-2</v>
      </c>
      <c r="C509" s="57">
        <v>322</v>
      </c>
      <c r="D509" s="57">
        <v>1041</v>
      </c>
      <c r="E509" s="58">
        <v>0</v>
      </c>
      <c r="F509" s="57">
        <v>1445</v>
      </c>
      <c r="G509" s="85" t="s">
        <v>34</v>
      </c>
      <c r="H509" s="63">
        <v>8.6</v>
      </c>
      <c r="I509" s="57">
        <v>164</v>
      </c>
      <c r="J509" s="57">
        <v>90</v>
      </c>
      <c r="K509" s="57">
        <v>90</v>
      </c>
      <c r="L509" s="57">
        <v>90</v>
      </c>
      <c r="M509" s="57">
        <v>26</v>
      </c>
      <c r="N509" s="63">
        <v>6.5</v>
      </c>
      <c r="O509" s="36">
        <v>1.68</v>
      </c>
      <c r="P509" s="57">
        <v>15</v>
      </c>
      <c r="Q509" s="63">
        <v>6.8</v>
      </c>
      <c r="R509" s="36">
        <v>0.12</v>
      </c>
      <c r="S509" s="36">
        <v>22.36</v>
      </c>
      <c r="T509" s="36">
        <v>0.88</v>
      </c>
      <c r="U509" s="36">
        <v>0.7</v>
      </c>
      <c r="V509" s="42">
        <f t="shared" si="181"/>
        <v>2261.4249999999997</v>
      </c>
      <c r="W509" s="42">
        <f t="shared" si="182"/>
        <v>1829.6189849599996</v>
      </c>
      <c r="X509" s="42">
        <f t="shared" si="183"/>
        <v>0.80905578781520493</v>
      </c>
      <c r="Y509" s="57">
        <v>2</v>
      </c>
      <c r="Z509" s="57">
        <v>2</v>
      </c>
      <c r="AA509" s="63">
        <v>5.9</v>
      </c>
      <c r="AB509" s="57">
        <v>25.6</v>
      </c>
      <c r="AC509" s="63">
        <v>6.2</v>
      </c>
      <c r="AD509" s="63">
        <v>4.5</v>
      </c>
      <c r="AE509" s="36">
        <v>0.16</v>
      </c>
      <c r="AF509" s="36">
        <v>0.13</v>
      </c>
      <c r="AG509" s="42">
        <f t="shared" si="165"/>
        <v>1809.1399999999999</v>
      </c>
      <c r="AH509" s="42">
        <f t="shared" si="184"/>
        <v>1979.8438399999998</v>
      </c>
      <c r="AI509" s="42">
        <f t="shared" si="185"/>
        <v>1.094356346109201</v>
      </c>
      <c r="AJ509" s="57">
        <v>1</v>
      </c>
      <c r="AK509" s="57">
        <v>2.5</v>
      </c>
      <c r="AL509" s="63">
        <v>6.4</v>
      </c>
      <c r="AM509" s="57">
        <v>25</v>
      </c>
      <c r="AN509" s="63">
        <v>6.1</v>
      </c>
      <c r="AO509" s="63">
        <v>4.0999999999999996</v>
      </c>
      <c r="AP509" s="36">
        <v>0.15</v>
      </c>
      <c r="AQ509" s="36">
        <v>0.12</v>
      </c>
      <c r="AR509" s="73">
        <f t="shared" si="166"/>
        <v>1363</v>
      </c>
      <c r="AS509" s="75">
        <f t="shared" si="167"/>
        <v>0.23624358033749082</v>
      </c>
      <c r="AT509" s="75">
        <f t="shared" si="168"/>
        <v>0.76375641966250918</v>
      </c>
      <c r="AU509" s="75">
        <f t="shared" si="169"/>
        <v>0</v>
      </c>
      <c r="AV509" s="26">
        <f t="shared" si="170"/>
        <v>7.0865051903114193E-2</v>
      </c>
      <c r="AW509" s="26">
        <f t="shared" si="171"/>
        <v>8.6505190311418678E-2</v>
      </c>
      <c r="AX509" s="26">
        <f t="shared" si="188"/>
        <v>0.9285714285714286</v>
      </c>
      <c r="AY509" s="24">
        <f t="shared" si="189"/>
        <v>0.92261904761904767</v>
      </c>
      <c r="AZ509" s="77" t="str">
        <f t="shared" si="172"/>
        <v>5,0 ≤ Alc. Bruta &lt; 7,5 mg/L</v>
      </c>
      <c r="BA509" s="77" t="str">
        <f t="shared" si="173"/>
        <v>15 ≤ Cor &lt; 30 uC</v>
      </c>
      <c r="BB509" s="78" t="str">
        <f t="shared" si="174"/>
        <v>Turbidez &lt; 2,5 uT</v>
      </c>
      <c r="BC509" s="79" t="str">
        <f t="shared" si="175"/>
        <v>SM &gt; TOR &gt; BNN</v>
      </c>
      <c r="BD509" s="78" t="str">
        <f t="shared" si="176"/>
        <v>Tipo 1 (≤0,25) uT</v>
      </c>
      <c r="BE509" s="78" t="str">
        <f t="shared" ref="BE509:BE572" si="190">IF(OR(AP509="",AZ509="-"),"",IF(AP509&lt;=0.25,"Tipo 1 (≤0,25) uT",IF(AP509&lt;=0.5,"Tipo 2 (0,25-0,50) uT",IF(AP509&lt;=0.75,"Tipo 3 (0,50-0,75) uT","Tipo 4 (&gt;0,75) uT"))))</f>
        <v>Tipo 1 (≤0,25) uT</v>
      </c>
      <c r="BF509" s="78" t="str">
        <f t="shared" si="178"/>
        <v>Tipo 1 (≤0,25) uT</v>
      </c>
      <c r="BG509" s="78" t="str">
        <f t="shared" ref="BG509:BG572" si="191">IF(OR(AQ509="",AQ509="-"),"",IF(AQ509&lt;=0.25,"Tipo 1 (≤0,25) uT",IF(AQ509&lt;=0.5,"Tipo 2 (0,25-0,50) uT",IF(AQ509&lt;=0.75,"Tipo 3 (0,50-0,75) uT","Tipo 4 (&gt;0,75) uT"))))</f>
        <v>Tipo 1 (≤0,25) uT</v>
      </c>
      <c r="BH509" s="78" t="str">
        <f t="shared" si="180"/>
        <v>Tipo 1 (≤0,25) uT</v>
      </c>
    </row>
    <row r="510" spans="1:60" x14ac:dyDescent="0.2">
      <c r="A510" s="45">
        <v>46316</v>
      </c>
      <c r="B510" s="80">
        <v>0.14583333333333334</v>
      </c>
      <c r="C510" s="57">
        <v>337</v>
      </c>
      <c r="D510" s="57">
        <v>1261</v>
      </c>
      <c r="E510" s="57">
        <v>248</v>
      </c>
      <c r="F510" s="57">
        <v>2047</v>
      </c>
      <c r="G510" s="85" t="s">
        <v>34</v>
      </c>
      <c r="H510" s="63">
        <v>8.6</v>
      </c>
      <c r="I510" s="57">
        <v>150</v>
      </c>
      <c r="J510" s="57">
        <v>90</v>
      </c>
      <c r="K510" s="57">
        <v>90</v>
      </c>
      <c r="L510" s="57">
        <v>90</v>
      </c>
      <c r="M510" s="57">
        <v>25.5</v>
      </c>
      <c r="N510" s="63">
        <v>6.4</v>
      </c>
      <c r="O510" s="36">
        <v>1.79</v>
      </c>
      <c r="P510" s="57">
        <v>13</v>
      </c>
      <c r="Q510" s="63">
        <v>6.5</v>
      </c>
      <c r="R510" s="36">
        <v>0.11</v>
      </c>
      <c r="S510" s="36">
        <v>22.36</v>
      </c>
      <c r="T510" s="36">
        <v>0.88</v>
      </c>
      <c r="U510" s="36">
        <v>0.7</v>
      </c>
      <c r="V510" s="42">
        <f t="shared" si="181"/>
        <v>2173.2316666666666</v>
      </c>
      <c r="W510" s="42">
        <f t="shared" si="182"/>
        <v>1786.7372899999996</v>
      </c>
      <c r="X510" s="42">
        <f t="shared" si="183"/>
        <v>0.82215684476037587</v>
      </c>
      <c r="Y510" s="57">
        <v>3</v>
      </c>
      <c r="Z510" s="57">
        <v>3</v>
      </c>
      <c r="AA510" s="63">
        <v>5.9</v>
      </c>
      <c r="AB510" s="57">
        <v>25</v>
      </c>
      <c r="AC510" s="63">
        <v>6.2</v>
      </c>
      <c r="AD510" s="63">
        <v>4.7</v>
      </c>
      <c r="AE510" s="36">
        <v>0.15</v>
      </c>
      <c r="AF510" s="36">
        <v>0.33</v>
      </c>
      <c r="AG510" s="42">
        <f t="shared" si="165"/>
        <v>1629.9237499999997</v>
      </c>
      <c r="AH510" s="42">
        <f t="shared" si="184"/>
        <v>1900.6500864</v>
      </c>
      <c r="AI510" s="42">
        <f t="shared" si="185"/>
        <v>1.1660975468330959</v>
      </c>
      <c r="AJ510" s="57">
        <v>3</v>
      </c>
      <c r="AK510" s="57">
        <v>4</v>
      </c>
      <c r="AL510" s="63">
        <v>6.4</v>
      </c>
      <c r="AM510" s="57">
        <v>24</v>
      </c>
      <c r="AN510" s="63">
        <v>6.1</v>
      </c>
      <c r="AO510" s="63">
        <v>4.4000000000000004</v>
      </c>
      <c r="AP510" s="36">
        <v>0.17</v>
      </c>
      <c r="AQ510" s="36">
        <v>0.13</v>
      </c>
      <c r="AR510" s="73">
        <f t="shared" si="166"/>
        <v>1846</v>
      </c>
      <c r="AS510" s="75">
        <f t="shared" si="167"/>
        <v>0.18255687973997833</v>
      </c>
      <c r="AT510" s="75">
        <f t="shared" si="168"/>
        <v>0.68309859154929575</v>
      </c>
      <c r="AU510" s="75">
        <f t="shared" si="169"/>
        <v>0.13434452871072589</v>
      </c>
      <c r="AV510" s="26">
        <f t="shared" si="170"/>
        <v>7.3277967757694185E-2</v>
      </c>
      <c r="AW510" s="26">
        <f t="shared" si="171"/>
        <v>9.3795798729848556E-2</v>
      </c>
      <c r="AX510" s="26">
        <f t="shared" si="188"/>
        <v>0.92737430167597767</v>
      </c>
      <c r="AY510" s="24">
        <f t="shared" si="189"/>
        <v>0.81564245810055869</v>
      </c>
      <c r="AZ510" s="77" t="str">
        <f t="shared" si="172"/>
        <v>5,0 ≤ Alc. Bruta &lt; 7,5 mg/L</v>
      </c>
      <c r="BA510" s="77" t="str">
        <f t="shared" si="173"/>
        <v>10 ≤ Cor &lt;15 uC</v>
      </c>
      <c r="BB510" s="78" t="str">
        <f t="shared" si="174"/>
        <v>Turbidez &lt; 2,5 uT</v>
      </c>
      <c r="BC510" s="79" t="str">
        <f t="shared" si="175"/>
        <v>SM &gt; TOR &gt; BNN</v>
      </c>
      <c r="BD510" s="78" t="str">
        <f t="shared" si="176"/>
        <v>Tipo 1 (≤0,25) uT</v>
      </c>
      <c r="BE510" s="78" t="str">
        <f t="shared" si="190"/>
        <v>Tipo 1 (≤0,25) uT</v>
      </c>
      <c r="BF510" s="78" t="str">
        <f t="shared" si="178"/>
        <v>Tipo 2 (0,25-0,50) uT</v>
      </c>
      <c r="BG510" s="78" t="str">
        <f t="shared" si="191"/>
        <v>Tipo 1 (≤0,25) uT</v>
      </c>
      <c r="BH510" s="78" t="str">
        <f t="shared" si="180"/>
        <v>Tipo 1 (≤0,25) uT</v>
      </c>
    </row>
    <row r="511" spans="1:60" ht="15.75" thickBot="1" x14ac:dyDescent="0.25">
      <c r="A511" s="46">
        <v>46316</v>
      </c>
      <c r="B511" s="81">
        <v>0.22916666666666666</v>
      </c>
      <c r="C511" s="58">
        <v>356</v>
      </c>
      <c r="D511" s="58">
        <v>2141</v>
      </c>
      <c r="E511" s="58">
        <v>350</v>
      </c>
      <c r="F511" s="58">
        <v>2848</v>
      </c>
      <c r="G511" s="86" t="s">
        <v>34</v>
      </c>
      <c r="H511" s="64">
        <v>8.6</v>
      </c>
      <c r="I511" s="58">
        <v>1.19</v>
      </c>
      <c r="J511" s="58">
        <v>90</v>
      </c>
      <c r="K511" s="58">
        <v>90</v>
      </c>
      <c r="L511" s="58">
        <v>90</v>
      </c>
      <c r="M511" s="58">
        <v>25.3</v>
      </c>
      <c r="N511" s="64">
        <v>6.5</v>
      </c>
      <c r="O511" s="37">
        <v>2.2400000000000002</v>
      </c>
      <c r="P511" s="58">
        <v>13</v>
      </c>
      <c r="Q511" s="64">
        <v>8.8000000000000007</v>
      </c>
      <c r="R511" s="37">
        <v>0.11</v>
      </c>
      <c r="S511" s="36">
        <v>22.36</v>
      </c>
      <c r="T511" s="36">
        <v>0.88</v>
      </c>
      <c r="U511" s="36">
        <v>0.7</v>
      </c>
      <c r="V511" s="42">
        <f t="shared" si="181"/>
        <v>3237.2266666666669</v>
      </c>
      <c r="W511" s="42">
        <f t="shared" si="182"/>
        <v>1786.7372899999996</v>
      </c>
      <c r="X511" s="42">
        <f t="shared" si="183"/>
        <v>0.5519345643596163</v>
      </c>
      <c r="Y511" s="58">
        <v>3</v>
      </c>
      <c r="Z511" s="58">
        <v>3</v>
      </c>
      <c r="AA511" s="64">
        <v>5.9</v>
      </c>
      <c r="AB511" s="58">
        <v>25</v>
      </c>
      <c r="AC511" s="64">
        <v>6.3</v>
      </c>
      <c r="AD511" s="64">
        <v>6.9</v>
      </c>
      <c r="AE511" s="37">
        <v>0.18</v>
      </c>
      <c r="AF511" s="37">
        <v>0.15</v>
      </c>
      <c r="AG511" s="42">
        <f t="shared" si="165"/>
        <v>2427.92</v>
      </c>
      <c r="AH511" s="42">
        <f t="shared" si="184"/>
        <v>1979.8438399999998</v>
      </c>
      <c r="AI511" s="42">
        <f t="shared" si="185"/>
        <v>0.81544854855184679</v>
      </c>
      <c r="AJ511" s="58">
        <v>3</v>
      </c>
      <c r="AK511" s="58">
        <v>4</v>
      </c>
      <c r="AL511" s="64">
        <v>6.4</v>
      </c>
      <c r="AM511" s="58">
        <v>25</v>
      </c>
      <c r="AN511" s="64">
        <v>6.4</v>
      </c>
      <c r="AO511" s="64">
        <v>6.5</v>
      </c>
      <c r="AP511" s="37">
        <v>0.23</v>
      </c>
      <c r="AQ511" s="37">
        <v>0.11</v>
      </c>
      <c r="AR511" s="73">
        <f t="shared" si="166"/>
        <v>2847</v>
      </c>
      <c r="AS511" s="75">
        <f t="shared" si="167"/>
        <v>0.12504390586582367</v>
      </c>
      <c r="AT511" s="75">
        <f t="shared" si="168"/>
        <v>0.75201966982788904</v>
      </c>
      <c r="AU511" s="75">
        <f t="shared" si="169"/>
        <v>0.12293642430628732</v>
      </c>
      <c r="AV511" s="26">
        <f t="shared" si="170"/>
        <v>5.2668539325842693E-2</v>
      </c>
      <c r="AW511" s="26">
        <f t="shared" si="171"/>
        <v>7.02247191011236E-2</v>
      </c>
      <c r="AX511" s="26">
        <f t="shared" si="188"/>
        <v>0.9508928571428571</v>
      </c>
      <c r="AY511" s="24">
        <f t="shared" si="189"/>
        <v>0.9330357142857143</v>
      </c>
      <c r="AZ511" s="77" t="str">
        <f t="shared" si="172"/>
        <v>7,5 ≤ Alc. Bruta &lt; 10,0 mg/L</v>
      </c>
      <c r="BA511" s="77" t="str">
        <f t="shared" si="173"/>
        <v>10 ≤ Cor &lt;15 uC</v>
      </c>
      <c r="BB511" s="78" t="str">
        <f t="shared" si="174"/>
        <v>Turbidez &lt; 2,5 uT</v>
      </c>
      <c r="BC511" s="79" t="str">
        <f t="shared" si="175"/>
        <v>SM &gt; TOR &gt; BNN</v>
      </c>
      <c r="BD511" s="78" t="str">
        <f t="shared" si="176"/>
        <v>Tipo 1 (≤0,25) uT</v>
      </c>
      <c r="BE511" s="78" t="str">
        <f t="shared" si="190"/>
        <v>Tipo 1 (≤0,25) uT</v>
      </c>
      <c r="BF511" s="78" t="str">
        <f t="shared" si="178"/>
        <v>Tipo 1 (≤0,25) uT</v>
      </c>
      <c r="BG511" s="78" t="str">
        <f t="shared" si="191"/>
        <v>Tipo 1 (≤0,25) uT</v>
      </c>
      <c r="BH511" s="78" t="str">
        <f t="shared" si="180"/>
        <v>Tipo 1 (≤0,25) uT</v>
      </c>
    </row>
    <row r="512" spans="1:60" ht="15.75" thickBot="1" x14ac:dyDescent="0.25">
      <c r="A512" s="30">
        <v>46316</v>
      </c>
      <c r="B512" s="82">
        <v>0.3125</v>
      </c>
      <c r="C512" s="59">
        <v>357</v>
      </c>
      <c r="D512" s="59">
        <v>1974</v>
      </c>
      <c r="E512" s="59">
        <v>268</v>
      </c>
      <c r="F512" s="59">
        <v>2800</v>
      </c>
      <c r="G512" s="87" t="s">
        <v>34</v>
      </c>
      <c r="H512" s="65">
        <v>8.6</v>
      </c>
      <c r="I512" s="59">
        <v>-53</v>
      </c>
      <c r="J512" s="59">
        <v>90</v>
      </c>
      <c r="K512" s="59">
        <v>90</v>
      </c>
      <c r="L512" s="59">
        <v>90</v>
      </c>
      <c r="M512" s="59">
        <v>25.6</v>
      </c>
      <c r="N512" s="65">
        <v>6.5</v>
      </c>
      <c r="O512" s="38">
        <v>1.85</v>
      </c>
      <c r="P512" s="59">
        <v>12</v>
      </c>
      <c r="Q512" s="65">
        <v>7.8</v>
      </c>
      <c r="R512" s="38">
        <v>0.14000000000000001</v>
      </c>
      <c r="S512" s="36">
        <v>22.36</v>
      </c>
      <c r="T512" s="36">
        <v>0.88</v>
      </c>
      <c r="U512" s="36">
        <v>0.7</v>
      </c>
      <c r="V512" s="42">
        <f t="shared" si="181"/>
        <v>3000.6666666666665</v>
      </c>
      <c r="W512" s="42">
        <f t="shared" si="182"/>
        <v>1838.8686372159993</v>
      </c>
      <c r="X512" s="42">
        <f t="shared" si="183"/>
        <v>0.61282003017640507</v>
      </c>
      <c r="Y512" s="60">
        <v>3</v>
      </c>
      <c r="Z512" s="88">
        <v>3</v>
      </c>
      <c r="AA512" s="89">
        <v>5.96</v>
      </c>
      <c r="AB512" s="88">
        <v>25.4</v>
      </c>
      <c r="AC512" s="65">
        <v>6.2</v>
      </c>
      <c r="AD512" s="65">
        <v>6.4</v>
      </c>
      <c r="AE512" s="38">
        <v>0.24</v>
      </c>
      <c r="AF512" s="36">
        <v>0.2</v>
      </c>
      <c r="AG512" s="42">
        <f t="shared" si="165"/>
        <v>2250.5</v>
      </c>
      <c r="AH512" s="42">
        <f t="shared" si="184"/>
        <v>1964.00508928</v>
      </c>
      <c r="AI512" s="42">
        <f t="shared" si="185"/>
        <v>0.87269721807598311</v>
      </c>
      <c r="AJ512" s="57">
        <v>3</v>
      </c>
      <c r="AK512" s="57">
        <v>4</v>
      </c>
      <c r="AL512" s="92">
        <v>6.4</v>
      </c>
      <c r="AM512" s="59">
        <v>24.8</v>
      </c>
      <c r="AN512" s="65">
        <v>6.3</v>
      </c>
      <c r="AO512" s="65">
        <v>6.5</v>
      </c>
      <c r="AP512" s="42">
        <v>0.17</v>
      </c>
      <c r="AQ512" s="38">
        <v>0.15</v>
      </c>
      <c r="AR512" s="73">
        <f t="shared" si="166"/>
        <v>2599</v>
      </c>
      <c r="AS512" s="75">
        <f t="shared" si="167"/>
        <v>0.1373605232781839</v>
      </c>
      <c r="AT512" s="75">
        <f t="shared" si="168"/>
        <v>0.75952289342054635</v>
      </c>
      <c r="AU512" s="75">
        <f t="shared" si="169"/>
        <v>0.10311658330126972</v>
      </c>
      <c r="AV512" s="26">
        <f t="shared" ref="AV512:AV572" si="192">IF(AND(F512&lt;&gt;"",X512&lt;&gt;""),Z512/(F512/2/X512),"")</f>
        <v>1.3131857789494396E-3</v>
      </c>
      <c r="AW512" s="26">
        <f t="shared" ref="AW512:AW519" si="193">IF(AND(F512&lt;&gt;"",AI512&lt;&gt;""),AK512/(F512/2/AI512),"")</f>
        <v>2.4934206230742373E-3</v>
      </c>
      <c r="AX512" s="26">
        <f t="shared" si="188"/>
        <v>0.91891891891891897</v>
      </c>
      <c r="AY512" s="24">
        <f t="shared" si="189"/>
        <v>0.89189189189189189</v>
      </c>
      <c r="AZ512" s="77" t="str">
        <f t="shared" si="172"/>
        <v>7,5 ≤ Alc. Bruta &lt; 10,0 mg/L</v>
      </c>
      <c r="BA512" s="77" t="str">
        <f t="shared" si="173"/>
        <v>10 ≤ Cor &lt;15 uC</v>
      </c>
      <c r="BB512" s="78" t="str">
        <f t="shared" si="174"/>
        <v>Turbidez &lt; 2,5 uT</v>
      </c>
      <c r="BC512" s="79" t="str">
        <f t="shared" si="175"/>
        <v>SM &gt; TOR &gt; BNN</v>
      </c>
      <c r="BD512" s="78" t="str">
        <f t="shared" si="176"/>
        <v>Tipo 1 (≤0,25) uT</v>
      </c>
      <c r="BE512" s="78" t="str">
        <f t="shared" si="190"/>
        <v>Tipo 1 (≤0,25) uT</v>
      </c>
      <c r="BF512" s="78" t="str">
        <f t="shared" si="178"/>
        <v>Tipo 1 (≤0,25) uT</v>
      </c>
      <c r="BG512" s="78" t="str">
        <f t="shared" si="191"/>
        <v>Tipo 1 (≤0,25) uT</v>
      </c>
      <c r="BH512" s="78" t="str">
        <f t="shared" si="180"/>
        <v>Tipo 1 (≤0,25) uT</v>
      </c>
    </row>
    <row r="513" spans="1:60" ht="15.75" thickBot="1" x14ac:dyDescent="0.25">
      <c r="A513" s="31">
        <v>46316</v>
      </c>
      <c r="B513" s="80">
        <v>0.39583333333333331</v>
      </c>
      <c r="C513" s="57">
        <v>344</v>
      </c>
      <c r="D513" s="57">
        <v>2019</v>
      </c>
      <c r="E513" s="57">
        <v>267</v>
      </c>
      <c r="F513" s="57">
        <v>2810</v>
      </c>
      <c r="G513" s="87" t="s">
        <v>34</v>
      </c>
      <c r="H513" s="63">
        <v>8.6</v>
      </c>
      <c r="I513" s="57">
        <v>-88</v>
      </c>
      <c r="J513" s="57">
        <v>90</v>
      </c>
      <c r="K513" s="57">
        <v>90</v>
      </c>
      <c r="L513" s="57">
        <v>90</v>
      </c>
      <c r="M513" s="57">
        <v>25.8</v>
      </c>
      <c r="N513" s="63">
        <v>6.5</v>
      </c>
      <c r="O513" s="36">
        <v>1.82</v>
      </c>
      <c r="P513" s="57">
        <v>12</v>
      </c>
      <c r="Q513" s="63">
        <v>7.7</v>
      </c>
      <c r="R513" s="36">
        <v>0.13</v>
      </c>
      <c r="S513" s="36">
        <v>22.36</v>
      </c>
      <c r="T513" s="36">
        <v>0.88</v>
      </c>
      <c r="U513" s="36">
        <v>0.7</v>
      </c>
      <c r="V513" s="42">
        <f t="shared" si="181"/>
        <v>2997.333333333333</v>
      </c>
      <c r="W513" s="42">
        <f t="shared" si="182"/>
        <v>1834.9447121199998</v>
      </c>
      <c r="X513" s="42">
        <f t="shared" si="183"/>
        <v>0.61219240840302491</v>
      </c>
      <c r="Y513" s="57">
        <v>3</v>
      </c>
      <c r="Z513" s="57">
        <v>3</v>
      </c>
      <c r="AA513" s="63">
        <v>5.95</v>
      </c>
      <c r="AB513" s="57">
        <v>25.4</v>
      </c>
      <c r="AC513" s="63">
        <v>6.2</v>
      </c>
      <c r="AD513" s="63">
        <v>6.5</v>
      </c>
      <c r="AE513" s="36">
        <v>0.2</v>
      </c>
      <c r="AF513" s="36">
        <v>0.2</v>
      </c>
      <c r="AG513" s="42">
        <f t="shared" si="165"/>
        <v>2248</v>
      </c>
      <c r="AH513" s="42">
        <f t="shared" si="184"/>
        <v>1971.6675571839999</v>
      </c>
      <c r="AI513" s="42">
        <f t="shared" si="185"/>
        <v>0.87707631547330955</v>
      </c>
      <c r="AJ513" s="57">
        <v>3</v>
      </c>
      <c r="AK513" s="57">
        <v>4</v>
      </c>
      <c r="AL513" s="63">
        <v>6.42</v>
      </c>
      <c r="AM513" s="57">
        <v>24.8</v>
      </c>
      <c r="AN513" s="63">
        <v>6.3</v>
      </c>
      <c r="AO513" s="63">
        <v>6.6</v>
      </c>
      <c r="AP513" s="42">
        <v>0.18</v>
      </c>
      <c r="AQ513" s="36">
        <v>0.14000000000000001</v>
      </c>
      <c r="AR513" s="73">
        <f t="shared" si="166"/>
        <v>2630</v>
      </c>
      <c r="AS513" s="75">
        <f t="shared" si="167"/>
        <v>0.13079847908745248</v>
      </c>
      <c r="AT513" s="75">
        <f t="shared" si="168"/>
        <v>0.76768060836501906</v>
      </c>
      <c r="AU513" s="75">
        <f t="shared" si="169"/>
        <v>0.10152091254752851</v>
      </c>
      <c r="AV513" s="26">
        <f t="shared" si="192"/>
        <v>1.3071724022840389E-3</v>
      </c>
      <c r="AW513" s="26">
        <f t="shared" si="193"/>
        <v>2.497014421276326E-3</v>
      </c>
      <c r="AX513" s="26">
        <f t="shared" si="188"/>
        <v>0.92307692307692313</v>
      </c>
      <c r="AY513" s="24">
        <f t="shared" si="189"/>
        <v>0.89010989010989006</v>
      </c>
      <c r="AZ513" s="77" t="str">
        <f t="shared" si="172"/>
        <v>7,5 ≤ Alc. Bruta &lt; 10,0 mg/L</v>
      </c>
      <c r="BA513" s="77" t="str">
        <f t="shared" si="173"/>
        <v>10 ≤ Cor &lt;15 uC</v>
      </c>
      <c r="BB513" s="78" t="str">
        <f t="shared" si="174"/>
        <v>Turbidez &lt; 2,5 uT</v>
      </c>
      <c r="BC513" s="79" t="str">
        <f t="shared" si="175"/>
        <v>SM &gt; TOR &gt; BNN</v>
      </c>
      <c r="BD513" s="78" t="str">
        <f t="shared" si="176"/>
        <v>Tipo 1 (≤0,25) uT</v>
      </c>
      <c r="BE513" s="78" t="str">
        <f t="shared" si="190"/>
        <v>Tipo 1 (≤0,25) uT</v>
      </c>
      <c r="BF513" s="78" t="str">
        <f t="shared" si="178"/>
        <v>Tipo 1 (≤0,25) uT</v>
      </c>
      <c r="BG513" s="78" t="str">
        <f t="shared" si="191"/>
        <v>Tipo 1 (≤0,25) uT</v>
      </c>
      <c r="BH513" s="78" t="str">
        <f t="shared" si="180"/>
        <v>Tipo 1 (≤0,25) uT</v>
      </c>
    </row>
    <row r="514" spans="1:60" ht="15.75" thickBot="1" x14ac:dyDescent="0.25">
      <c r="A514" s="31">
        <v>46316</v>
      </c>
      <c r="B514" s="80">
        <v>0.72916666666666663</v>
      </c>
      <c r="C514" s="57">
        <v>0</v>
      </c>
      <c r="D514" s="57">
        <v>2082</v>
      </c>
      <c r="E514" s="57">
        <v>500</v>
      </c>
      <c r="F514" s="57">
        <v>2790</v>
      </c>
      <c r="G514" s="87" t="s">
        <v>34</v>
      </c>
      <c r="H514" s="63">
        <v>8.6</v>
      </c>
      <c r="I514" s="57">
        <v>-55</v>
      </c>
      <c r="J514" s="57">
        <v>90</v>
      </c>
      <c r="K514" s="57">
        <v>90</v>
      </c>
      <c r="L514" s="57">
        <v>90</v>
      </c>
      <c r="M514" s="57">
        <v>26.1</v>
      </c>
      <c r="N514" s="63">
        <v>6.3</v>
      </c>
      <c r="O514" s="36">
        <v>1.44</v>
      </c>
      <c r="P514" s="57">
        <v>10</v>
      </c>
      <c r="Q514" s="63">
        <v>9.5</v>
      </c>
      <c r="R514" s="36">
        <v>0.12</v>
      </c>
      <c r="S514" s="36">
        <v>22.36</v>
      </c>
      <c r="T514" s="36">
        <v>0.88</v>
      </c>
      <c r="U514" s="36">
        <v>0.7</v>
      </c>
      <c r="V514" s="42">
        <f t="shared" si="181"/>
        <v>2099.4749999999999</v>
      </c>
      <c r="W514" s="42">
        <f t="shared" si="182"/>
        <v>1627.6697639955999</v>
      </c>
      <c r="X514" s="42">
        <f t="shared" si="183"/>
        <v>0.77527465866257039</v>
      </c>
      <c r="Y514" s="57">
        <v>3</v>
      </c>
      <c r="Z514" s="57">
        <v>4</v>
      </c>
      <c r="AA514" s="63">
        <v>5.59</v>
      </c>
      <c r="AB514" s="57">
        <v>24.41</v>
      </c>
      <c r="AC514" s="63">
        <v>6.3</v>
      </c>
      <c r="AD514" s="63">
        <v>7.8</v>
      </c>
      <c r="AE514" s="36">
        <v>0.15</v>
      </c>
      <c r="AF514" s="36">
        <v>0.26</v>
      </c>
      <c r="AG514" s="42">
        <f t="shared" ref="AG514:AG577" si="194">(O514+0.3*H514+2)*(F514/2/AK514)</f>
        <v>2099.4749999999999</v>
      </c>
      <c r="AH514" s="42">
        <f t="shared" si="184"/>
        <v>1966.2493584552003</v>
      </c>
      <c r="AI514" s="42">
        <f t="shared" si="185"/>
        <v>0.9365433541505378</v>
      </c>
      <c r="AJ514" s="57">
        <v>3</v>
      </c>
      <c r="AK514" s="57">
        <v>4</v>
      </c>
      <c r="AL514" s="63">
        <v>6.41</v>
      </c>
      <c r="AM514" s="57">
        <v>24.78</v>
      </c>
      <c r="AN514" s="63">
        <v>6.3</v>
      </c>
      <c r="AO514" s="63">
        <v>7.9</v>
      </c>
      <c r="AP514" s="42">
        <v>0.15</v>
      </c>
      <c r="AQ514" s="36">
        <v>0.18</v>
      </c>
      <c r="AR514" s="73">
        <f t="shared" ref="AR514:AR577" si="195">SUM(C514:E514)</f>
        <v>2582</v>
      </c>
      <c r="AS514" s="75">
        <f t="shared" ref="AS514:AS572" si="196">C514/AR514</f>
        <v>0</v>
      </c>
      <c r="AT514" s="75">
        <f t="shared" ref="AT514:AT572" si="197">D514/AR514</f>
        <v>0.80635166537567782</v>
      </c>
      <c r="AU514" s="75">
        <f t="shared" ref="AU514:AU572" si="198">E514/AR514</f>
        <v>0.19364833462432224</v>
      </c>
      <c r="AV514" s="26">
        <f t="shared" si="192"/>
        <v>2.223009773942854E-3</v>
      </c>
      <c r="AW514" s="26">
        <f t="shared" si="193"/>
        <v>2.6854289724746604E-3</v>
      </c>
      <c r="AX514" s="26">
        <f t="shared" si="188"/>
        <v>0.875</v>
      </c>
      <c r="AY514" s="24">
        <f t="shared" si="189"/>
        <v>0.81944444444444442</v>
      </c>
      <c r="AZ514" s="77" t="str">
        <f t="shared" ref="AZ514:AZ572" si="199">IF(Q514="","",IF(Q514&lt;2.5,"Alc. Bruta &lt; 2,5 mg/L",IF(Q514&lt;5,"2,5 ≤ Alc. Bruta &lt; 5,0 mg/L",IF(Q514&lt;7.5,"5,0 ≤ Alc. Bruta &lt; 7,5 mg/L",IF(Q514&lt;10,"7,5 ≤ Alc. Bruta &lt; 10,0 mg/L",IF(Q514&lt;15,"10,0 ≤ Alca. Bruta &lt; 15,0 mg/L","Alc. Bruta &gt; 15 mg/L"))))))</f>
        <v>7,5 ≤ Alc. Bruta &lt; 10,0 mg/L</v>
      </c>
      <c r="BA514" s="77" t="str">
        <f t="shared" ref="BA514:BA572" si="200">IF(P514="","",IF(P514&lt;5,"Cor &lt;5 uC",IF(P514&lt;10,"5 ≤ Cor &lt; 10 uC",IF(P514&lt;15,"10 ≤ Cor &lt;15 uC",IF(P514&lt;30,"15 ≤ Cor &lt; 30 uC",IF(P514&lt;50,"30 ≤ Cor &lt; 50 uC","Cor &gt; 50 uC"))))))</f>
        <v>10 ≤ Cor &lt;15 uC</v>
      </c>
      <c r="BB514" s="78" t="str">
        <f t="shared" ref="BB514:BB572" si="201">IF(O514="","",IF(O514&lt;2.5,"Turbidez &lt; 2,5 uT",IF(O514&lt;5,"2,5 ≤ Turb &lt; 5,0 uT",IF(O514&lt;7.5,"5,0 ≤ Turb &lt; 7,5 uT",IF(O514&lt;10,"7,5 ≤ Turb &lt; 10,0 uT",IF(O514&lt;15,"10,0 ≤ Turb &lt; 15,0 uT","Turb &gt; 15 uT"))))))</f>
        <v>Turbidez &lt; 2,5 uT</v>
      </c>
      <c r="BC514" s="79" t="str">
        <f t="shared" ref="BC514:BC572" si="202">IF(AND(C514&gt;D514,D514&gt;E514),"TOR &gt; SM &gt; BNN",IF(AND(C514&gt;E514,E514&gt;D514),"TOR &gt; BNN &gt; SM",IF(AND(D514&gt;C514,C514&gt;E514),"SM &gt; TOR &gt; BNN",IF(AND(D514&gt;E514,E514&gt;C514),"SM &gt; BNN &gt; TOR",IF(AND(C514=D514,D514=E514),"TOR = SM = BNN","Comb. diferentes")))))</f>
        <v>SM &gt; BNN &gt; TOR</v>
      </c>
      <c r="BD514" s="78" t="str">
        <f t="shared" ref="BD514:BD572" si="203">IF(OR(AE514="",AQ514="-"),"",IF(AE514&lt;=0.25,"Tipo 1 (≤0,25) uT",IF(AE514&lt;=0.5,"Tipo 2 (0,25-0,50) uT",IF(AE514&lt;=0.75,"Tipo 3 (0,50-0,75) uT","Tipo 4 (&gt;0,75) uT"))))</f>
        <v>Tipo 1 (≤0,25) uT</v>
      </c>
      <c r="BE514" s="78" t="str">
        <f t="shared" si="190"/>
        <v>Tipo 1 (≤0,25) uT</v>
      </c>
      <c r="BF514" s="78" t="str">
        <f t="shared" ref="BF514:BF572" si="204">IF(OR(AF514="",AQ514="-"),"",IF(AF514&lt;=0.25,"Tipo 1 (≤0,25) uT",IF(AF514&lt;=0.5,"Tipo 2 (0,25-0,50) uT",IF(AF514&lt;=0.75,"Tipo 3 (0,50-0,75) uT","Tipo 4 (&gt;0,75) uT"))))</f>
        <v>Tipo 2 (0,25-0,50) uT</v>
      </c>
      <c r="BG514" s="78" t="str">
        <f t="shared" si="191"/>
        <v>Tipo 1 (≤0,25) uT</v>
      </c>
      <c r="BH514" s="78" t="str">
        <f t="shared" ref="BH514:BH577" si="205">IF(OR(R514="",R514="-"),"",IF(R514&lt;=0.25,"Tipo 1 (≤0,25) uT",IF(R514&lt;=0.5,"Tipo 2 (0,25-0,50) uT",IF(R514&lt;=0.75,"Tipo 3 (0,50-0,75) uT","Tipo 4 (&gt;0,75) uT"))))</f>
        <v>Tipo 1 (≤0,25) uT</v>
      </c>
    </row>
    <row r="515" spans="1:60" ht="15.75" thickBot="1" x14ac:dyDescent="0.25">
      <c r="A515" s="31">
        <v>46316</v>
      </c>
      <c r="B515" s="80">
        <v>0.8125</v>
      </c>
      <c r="C515" s="57">
        <v>0</v>
      </c>
      <c r="D515" s="57">
        <v>2243</v>
      </c>
      <c r="E515" s="57">
        <v>491</v>
      </c>
      <c r="F515" s="57">
        <v>2730</v>
      </c>
      <c r="G515" s="87" t="s">
        <v>34</v>
      </c>
      <c r="H515" s="63">
        <v>8.6</v>
      </c>
      <c r="I515" s="57">
        <v>-36</v>
      </c>
      <c r="J515" s="57">
        <v>90</v>
      </c>
      <c r="K515" s="57">
        <v>90</v>
      </c>
      <c r="L515" s="57">
        <v>90</v>
      </c>
      <c r="M515" s="57">
        <v>26.4</v>
      </c>
      <c r="N515" s="63">
        <v>6.4</v>
      </c>
      <c r="O515" s="36">
        <v>1.43</v>
      </c>
      <c r="P515" s="57">
        <v>11</v>
      </c>
      <c r="Q515" s="63">
        <v>9.3000000000000007</v>
      </c>
      <c r="R515" s="36">
        <v>0.12</v>
      </c>
      <c r="S515" s="36">
        <v>22.36</v>
      </c>
      <c r="T515" s="36">
        <v>0.88</v>
      </c>
      <c r="U515" s="36">
        <v>0.7</v>
      </c>
      <c r="V515" s="42">
        <f t="shared" ref="V515:V578" si="206">(O515+0.3*H515+2)*(F515/2/Z515)</f>
        <v>2050.9124999999999</v>
      </c>
      <c r="W515" s="42">
        <f t="shared" ref="W515:W578" si="207">S515*(U515*AA515*0.987-T515)*AB515</f>
        <v>1637.4502737320001</v>
      </c>
      <c r="X515" s="42">
        <f t="shared" ref="X515:X578" si="208">W515/V515</f>
        <v>0.79840084534664457</v>
      </c>
      <c r="Y515" s="57">
        <v>3</v>
      </c>
      <c r="Z515" s="57">
        <v>4</v>
      </c>
      <c r="AA515" s="63">
        <v>5.65</v>
      </c>
      <c r="AB515" s="57">
        <v>24.22</v>
      </c>
      <c r="AC515" s="63">
        <v>6.4</v>
      </c>
      <c r="AD515" s="63">
        <v>8.3000000000000007</v>
      </c>
      <c r="AE515" s="36">
        <v>0.14000000000000001</v>
      </c>
      <c r="AF515" s="36">
        <v>0.22</v>
      </c>
      <c r="AG515" s="42">
        <f t="shared" si="194"/>
        <v>2050.9124999999999</v>
      </c>
      <c r="AH515" s="42">
        <f t="shared" ref="AH515:AH578" si="209">S515*(U515*AL515*0.987-T515)*AM515</f>
        <v>1980.4128568327999</v>
      </c>
      <c r="AI515" s="42">
        <f t="shared" ref="AI515:AI578" si="210">AH515/AG515</f>
        <v>0.96562523112653509</v>
      </c>
      <c r="AJ515" s="57">
        <v>3</v>
      </c>
      <c r="AK515" s="57">
        <v>4</v>
      </c>
      <c r="AL515" s="63">
        <v>6.42</v>
      </c>
      <c r="AM515" s="57">
        <v>24.91</v>
      </c>
      <c r="AN515" s="63">
        <v>6.4</v>
      </c>
      <c r="AO515" s="63">
        <v>8.6</v>
      </c>
      <c r="AP515" s="42">
        <v>0.27</v>
      </c>
      <c r="AQ515" s="36">
        <v>0.25</v>
      </c>
      <c r="AR515" s="73">
        <f t="shared" si="195"/>
        <v>2734</v>
      </c>
      <c r="AS515" s="75">
        <f t="shared" si="196"/>
        <v>0</v>
      </c>
      <c r="AT515" s="75">
        <f t="shared" si="197"/>
        <v>0.82040965618141914</v>
      </c>
      <c r="AU515" s="75">
        <f t="shared" si="198"/>
        <v>0.17959034381858083</v>
      </c>
      <c r="AV515" s="26">
        <f t="shared" si="192"/>
        <v>2.339636176839984E-3</v>
      </c>
      <c r="AW515" s="26">
        <f t="shared" si="193"/>
        <v>2.829671006964205E-3</v>
      </c>
      <c r="AX515" s="26">
        <f t="shared" si="188"/>
        <v>0.82517482517482521</v>
      </c>
      <c r="AY515" s="24">
        <f t="shared" si="189"/>
        <v>0.84615384615384615</v>
      </c>
      <c r="AZ515" s="77" t="str">
        <f t="shared" si="199"/>
        <v>7,5 ≤ Alc. Bruta &lt; 10,0 mg/L</v>
      </c>
      <c r="BA515" s="77" t="str">
        <f t="shared" si="200"/>
        <v>10 ≤ Cor &lt;15 uC</v>
      </c>
      <c r="BB515" s="78" t="str">
        <f t="shared" si="201"/>
        <v>Turbidez &lt; 2,5 uT</v>
      </c>
      <c r="BC515" s="79" t="str">
        <f t="shared" si="202"/>
        <v>SM &gt; BNN &gt; TOR</v>
      </c>
      <c r="BD515" s="78" t="str">
        <f t="shared" si="203"/>
        <v>Tipo 1 (≤0,25) uT</v>
      </c>
      <c r="BE515" s="78" t="str">
        <f t="shared" si="190"/>
        <v>Tipo 2 (0,25-0,50) uT</v>
      </c>
      <c r="BF515" s="78" t="str">
        <f t="shared" si="204"/>
        <v>Tipo 1 (≤0,25) uT</v>
      </c>
      <c r="BG515" s="78" t="str">
        <f t="shared" si="191"/>
        <v>Tipo 1 (≤0,25) uT</v>
      </c>
      <c r="BH515" s="78" t="str">
        <f t="shared" si="205"/>
        <v>Tipo 1 (≤0,25) uT</v>
      </c>
    </row>
    <row r="516" spans="1:60" ht="15.75" thickBot="1" x14ac:dyDescent="0.25">
      <c r="A516" s="31">
        <v>46316</v>
      </c>
      <c r="B516" s="80">
        <v>0.89583333333333337</v>
      </c>
      <c r="C516" s="57">
        <v>0</v>
      </c>
      <c r="D516" s="57">
        <v>2031</v>
      </c>
      <c r="E516" s="57">
        <v>498</v>
      </c>
      <c r="F516" s="57">
        <v>2737</v>
      </c>
      <c r="G516" s="87" t="s">
        <v>34</v>
      </c>
      <c r="H516" s="63">
        <v>8.6</v>
      </c>
      <c r="I516" s="57">
        <v>-43</v>
      </c>
      <c r="J516" s="57">
        <v>90</v>
      </c>
      <c r="K516" s="57">
        <v>90</v>
      </c>
      <c r="L516" s="57">
        <v>90</v>
      </c>
      <c r="M516" s="57">
        <v>26.2</v>
      </c>
      <c r="N516" s="63">
        <v>6.5</v>
      </c>
      <c r="O516" s="36">
        <v>1.45</v>
      </c>
      <c r="P516" s="57">
        <v>10</v>
      </c>
      <c r="Q516" s="63">
        <v>9.6999999999999993</v>
      </c>
      <c r="R516" s="36">
        <v>0.12</v>
      </c>
      <c r="S516" s="36">
        <v>22.36</v>
      </c>
      <c r="T516" s="36">
        <v>0.88</v>
      </c>
      <c r="U516" s="36">
        <v>0.7</v>
      </c>
      <c r="V516" s="42">
        <f t="shared" si="206"/>
        <v>2063.0137499999996</v>
      </c>
      <c r="W516" s="42">
        <f t="shared" si="207"/>
        <v>1566.9619679999996</v>
      </c>
      <c r="X516" s="42">
        <f t="shared" si="208"/>
        <v>0.75954993901519074</v>
      </c>
      <c r="Y516" s="57">
        <v>3</v>
      </c>
      <c r="Z516" s="57">
        <v>4</v>
      </c>
      <c r="AA516" s="63">
        <v>5.5</v>
      </c>
      <c r="AB516" s="57">
        <v>24</v>
      </c>
      <c r="AC516" s="63">
        <v>6.4</v>
      </c>
      <c r="AD516" s="63">
        <v>9.1999999999999993</v>
      </c>
      <c r="AE516" s="36">
        <v>0.19</v>
      </c>
      <c r="AF516" s="36">
        <v>0.21</v>
      </c>
      <c r="AG516" s="42">
        <f t="shared" si="194"/>
        <v>2063.0137499999996</v>
      </c>
      <c r="AH516" s="42">
        <f t="shared" si="209"/>
        <v>2018.46515</v>
      </c>
      <c r="AI516" s="42">
        <f t="shared" si="210"/>
        <v>0.97840605764261157</v>
      </c>
      <c r="AJ516" s="57">
        <v>3</v>
      </c>
      <c r="AK516" s="57">
        <v>4</v>
      </c>
      <c r="AL516" s="63">
        <v>6.5</v>
      </c>
      <c r="AM516" s="57">
        <v>25</v>
      </c>
      <c r="AN516" s="63">
        <v>6.4</v>
      </c>
      <c r="AO516" s="63">
        <v>8.3000000000000007</v>
      </c>
      <c r="AP516" s="42">
        <v>0.16</v>
      </c>
      <c r="AQ516" s="36">
        <v>0.16</v>
      </c>
      <c r="AR516" s="73">
        <f t="shared" si="195"/>
        <v>2529</v>
      </c>
      <c r="AS516" s="75">
        <f t="shared" si="196"/>
        <v>0</v>
      </c>
      <c r="AT516" s="75">
        <f t="shared" si="197"/>
        <v>0.8030842230130486</v>
      </c>
      <c r="AU516" s="75">
        <f t="shared" si="198"/>
        <v>0.19691577698695137</v>
      </c>
      <c r="AV516" s="26">
        <f t="shared" si="192"/>
        <v>2.2200948162665424E-3</v>
      </c>
      <c r="AW516" s="26">
        <f t="shared" si="193"/>
        <v>2.8597911805410639E-3</v>
      </c>
      <c r="AX516" s="26">
        <f t="shared" si="188"/>
        <v>0.8896551724137931</v>
      </c>
      <c r="AY516" s="24">
        <f t="shared" si="189"/>
        <v>0.85517241379310338</v>
      </c>
      <c r="AZ516" s="77" t="str">
        <f t="shared" si="199"/>
        <v>7,5 ≤ Alc. Bruta &lt; 10,0 mg/L</v>
      </c>
      <c r="BA516" s="77" t="str">
        <f t="shared" si="200"/>
        <v>10 ≤ Cor &lt;15 uC</v>
      </c>
      <c r="BB516" s="78" t="str">
        <f t="shared" si="201"/>
        <v>Turbidez &lt; 2,5 uT</v>
      </c>
      <c r="BC516" s="79" t="str">
        <f t="shared" si="202"/>
        <v>SM &gt; BNN &gt; TOR</v>
      </c>
      <c r="BD516" s="78" t="str">
        <f t="shared" si="203"/>
        <v>Tipo 1 (≤0,25) uT</v>
      </c>
      <c r="BE516" s="78" t="str">
        <f t="shared" si="190"/>
        <v>Tipo 1 (≤0,25) uT</v>
      </c>
      <c r="BF516" s="78" t="str">
        <f t="shared" si="204"/>
        <v>Tipo 1 (≤0,25) uT</v>
      </c>
      <c r="BG516" s="78" t="str">
        <f t="shared" si="191"/>
        <v>Tipo 1 (≤0,25) uT</v>
      </c>
      <c r="BH516" s="78" t="str">
        <f t="shared" si="205"/>
        <v>Tipo 1 (≤0,25) uT</v>
      </c>
    </row>
    <row r="517" spans="1:60" ht="15.75" thickBot="1" x14ac:dyDescent="0.25">
      <c r="A517" s="31">
        <v>46317</v>
      </c>
      <c r="B517" s="80">
        <v>6.25E-2</v>
      </c>
      <c r="C517" s="57">
        <v>0</v>
      </c>
      <c r="D517" s="57">
        <v>2228</v>
      </c>
      <c r="E517" s="57">
        <v>499</v>
      </c>
      <c r="F517" s="57">
        <v>2734</v>
      </c>
      <c r="G517" s="87" t="s">
        <v>34</v>
      </c>
      <c r="H517" s="63">
        <v>9</v>
      </c>
      <c r="I517" s="57">
        <v>-82</v>
      </c>
      <c r="J517" s="57">
        <v>90</v>
      </c>
      <c r="K517" s="57">
        <v>90</v>
      </c>
      <c r="L517" s="57">
        <v>90</v>
      </c>
      <c r="M517" s="57">
        <v>26.1</v>
      </c>
      <c r="N517" s="63">
        <v>6.6</v>
      </c>
      <c r="O517" s="36">
        <v>1.31</v>
      </c>
      <c r="P517" s="57">
        <v>12</v>
      </c>
      <c r="Q517" s="63">
        <v>9.4</v>
      </c>
      <c r="R517" s="36">
        <v>0.17</v>
      </c>
      <c r="S517" s="36">
        <v>22.36</v>
      </c>
      <c r="T517" s="36">
        <v>0.88</v>
      </c>
      <c r="U517" s="36">
        <v>0.7</v>
      </c>
      <c r="V517" s="42">
        <f t="shared" si="206"/>
        <v>2053.9175</v>
      </c>
      <c r="W517" s="42">
        <f t="shared" si="207"/>
        <v>1529.8855103999999</v>
      </c>
      <c r="X517" s="42">
        <f t="shared" si="208"/>
        <v>0.74486220132989756</v>
      </c>
      <c r="Y517" s="57">
        <v>3</v>
      </c>
      <c r="Z517" s="57">
        <v>4</v>
      </c>
      <c r="AA517" s="63">
        <v>5.4</v>
      </c>
      <c r="AB517" s="57">
        <v>24</v>
      </c>
      <c r="AC517" s="63">
        <v>6.4</v>
      </c>
      <c r="AD517" s="63">
        <v>8.6999999999999993</v>
      </c>
      <c r="AE517" s="36">
        <v>0.16</v>
      </c>
      <c r="AF517" s="36">
        <v>0.2</v>
      </c>
      <c r="AG517" s="42">
        <f t="shared" si="194"/>
        <v>2053.9175</v>
      </c>
      <c r="AH517" s="42">
        <f t="shared" si="209"/>
        <v>1979.8438399999998</v>
      </c>
      <c r="AI517" s="42">
        <f t="shared" si="210"/>
        <v>0.96393542583867164</v>
      </c>
      <c r="AJ517" s="57">
        <v>3</v>
      </c>
      <c r="AK517" s="57">
        <v>4</v>
      </c>
      <c r="AL517" s="63">
        <v>6.4</v>
      </c>
      <c r="AM517" s="57">
        <v>25</v>
      </c>
      <c r="AN517" s="63">
        <v>6.5</v>
      </c>
      <c r="AO517" s="63">
        <v>8.4</v>
      </c>
      <c r="AP517" s="42">
        <v>0.18</v>
      </c>
      <c r="AQ517" s="36">
        <v>0.21</v>
      </c>
      <c r="AR517" s="73">
        <f t="shared" si="195"/>
        <v>2727</v>
      </c>
      <c r="AS517" s="75">
        <f t="shared" si="196"/>
        <v>0</v>
      </c>
      <c r="AT517" s="75">
        <f t="shared" si="197"/>
        <v>0.81701503483681703</v>
      </c>
      <c r="AU517" s="75">
        <f t="shared" si="198"/>
        <v>0.18298496516318299</v>
      </c>
      <c r="AV517" s="26">
        <f t="shared" si="192"/>
        <v>2.1795528934305708E-3</v>
      </c>
      <c r="AW517" s="26">
        <f t="shared" si="193"/>
        <v>2.8205864691694857E-3</v>
      </c>
      <c r="AX517" s="26">
        <f t="shared" si="188"/>
        <v>0.83969465648854968</v>
      </c>
      <c r="AY517" s="24">
        <f t="shared" si="189"/>
        <v>0.84732824427480913</v>
      </c>
      <c r="AZ517" s="77" t="str">
        <f t="shared" si="199"/>
        <v>7,5 ≤ Alc. Bruta &lt; 10,0 mg/L</v>
      </c>
      <c r="BA517" s="77" t="str">
        <f t="shared" si="200"/>
        <v>10 ≤ Cor &lt;15 uC</v>
      </c>
      <c r="BB517" s="78" t="str">
        <f t="shared" si="201"/>
        <v>Turbidez &lt; 2,5 uT</v>
      </c>
      <c r="BC517" s="79" t="str">
        <f t="shared" si="202"/>
        <v>SM &gt; BNN &gt; TOR</v>
      </c>
      <c r="BD517" s="78" t="str">
        <f t="shared" si="203"/>
        <v>Tipo 1 (≤0,25) uT</v>
      </c>
      <c r="BE517" s="78" t="str">
        <f t="shared" si="190"/>
        <v>Tipo 1 (≤0,25) uT</v>
      </c>
      <c r="BF517" s="78" t="str">
        <f t="shared" si="204"/>
        <v>Tipo 1 (≤0,25) uT</v>
      </c>
      <c r="BG517" s="78" t="str">
        <f t="shared" si="191"/>
        <v>Tipo 1 (≤0,25) uT</v>
      </c>
      <c r="BH517" s="78" t="str">
        <f t="shared" si="205"/>
        <v>Tipo 1 (≤0,25) uT</v>
      </c>
    </row>
    <row r="518" spans="1:60" ht="15.75" thickBot="1" x14ac:dyDescent="0.25">
      <c r="A518" s="31">
        <v>46317</v>
      </c>
      <c r="B518" s="80">
        <v>0.14583333333333334</v>
      </c>
      <c r="C518" s="57">
        <v>0</v>
      </c>
      <c r="D518" s="57">
        <v>2221</v>
      </c>
      <c r="E518" s="57">
        <v>500</v>
      </c>
      <c r="F518" s="57">
        <v>2738</v>
      </c>
      <c r="G518" s="87" t="s">
        <v>34</v>
      </c>
      <c r="H518" s="63">
        <v>9</v>
      </c>
      <c r="I518" s="57">
        <v>-106</v>
      </c>
      <c r="J518" s="57">
        <v>90</v>
      </c>
      <c r="K518" s="57">
        <v>90</v>
      </c>
      <c r="L518" s="57">
        <v>90</v>
      </c>
      <c r="M518" s="57">
        <v>25.8</v>
      </c>
      <c r="N518" s="63">
        <v>6.5</v>
      </c>
      <c r="O518" s="36">
        <v>2.46</v>
      </c>
      <c r="P518" s="57">
        <v>10</v>
      </c>
      <c r="Q518" s="63">
        <v>9.3000000000000007</v>
      </c>
      <c r="R518" s="36">
        <v>0.25</v>
      </c>
      <c r="S518" s="36">
        <v>22.36</v>
      </c>
      <c r="T518" s="36">
        <v>0.88</v>
      </c>
      <c r="U518" s="36">
        <v>0.7</v>
      </c>
      <c r="V518" s="42">
        <f t="shared" si="206"/>
        <v>2450.5100000000002</v>
      </c>
      <c r="W518" s="42">
        <f t="shared" si="207"/>
        <v>1566.9619679999996</v>
      </c>
      <c r="X518" s="42">
        <f t="shared" si="208"/>
        <v>0.63944320488388107</v>
      </c>
      <c r="Y518" s="57">
        <v>3</v>
      </c>
      <c r="Z518" s="57">
        <v>4</v>
      </c>
      <c r="AA518" s="63">
        <v>5.5</v>
      </c>
      <c r="AB518" s="57">
        <v>24</v>
      </c>
      <c r="AC518" s="63">
        <v>6.4</v>
      </c>
      <c r="AD518" s="63">
        <v>8.1999999999999993</v>
      </c>
      <c r="AE518" s="36">
        <v>0.16</v>
      </c>
      <c r="AF518" s="36">
        <v>0.2</v>
      </c>
      <c r="AG518" s="42">
        <f t="shared" si="194"/>
        <v>2450.5100000000002</v>
      </c>
      <c r="AH518" s="42">
        <f t="shared" si="209"/>
        <v>1979.8438399999998</v>
      </c>
      <c r="AI518" s="42">
        <f t="shared" si="210"/>
        <v>0.80793134490371377</v>
      </c>
      <c r="AJ518" s="57">
        <v>3</v>
      </c>
      <c r="AK518" s="57">
        <v>4</v>
      </c>
      <c r="AL518" s="63">
        <v>6.4</v>
      </c>
      <c r="AM518" s="57">
        <v>25</v>
      </c>
      <c r="AN518" s="63">
        <v>6.4</v>
      </c>
      <c r="AO518" s="63">
        <v>8.5</v>
      </c>
      <c r="AP518" s="42">
        <v>0.17</v>
      </c>
      <c r="AQ518" s="36">
        <v>0.25</v>
      </c>
      <c r="AR518" s="73">
        <f t="shared" si="195"/>
        <v>2721</v>
      </c>
      <c r="AS518" s="75">
        <f t="shared" si="196"/>
        <v>0</v>
      </c>
      <c r="AT518" s="75">
        <f t="shared" si="197"/>
        <v>0.81624402793090778</v>
      </c>
      <c r="AU518" s="75">
        <f t="shared" si="198"/>
        <v>0.18375597206909225</v>
      </c>
      <c r="AV518" s="26">
        <f t="shared" si="192"/>
        <v>1.8683512195292362E-3</v>
      </c>
      <c r="AW518" s="26">
        <f t="shared" si="193"/>
        <v>2.3606467345616178E-3</v>
      </c>
      <c r="AX518" s="26">
        <f t="shared" si="188"/>
        <v>0.89837398373983746</v>
      </c>
      <c r="AY518" s="24">
        <f t="shared" si="189"/>
        <v>0.91869918699186992</v>
      </c>
      <c r="AZ518" s="77" t="str">
        <f t="shared" si="199"/>
        <v>7,5 ≤ Alc. Bruta &lt; 10,0 mg/L</v>
      </c>
      <c r="BA518" s="77" t="str">
        <f t="shared" si="200"/>
        <v>10 ≤ Cor &lt;15 uC</v>
      </c>
      <c r="BB518" s="78" t="str">
        <f t="shared" si="201"/>
        <v>Turbidez &lt; 2,5 uT</v>
      </c>
      <c r="BC518" s="79" t="str">
        <f t="shared" si="202"/>
        <v>SM &gt; BNN &gt; TOR</v>
      </c>
      <c r="BD518" s="78" t="str">
        <f t="shared" si="203"/>
        <v>Tipo 1 (≤0,25) uT</v>
      </c>
      <c r="BE518" s="78" t="str">
        <f t="shared" si="190"/>
        <v>Tipo 1 (≤0,25) uT</v>
      </c>
      <c r="BF518" s="78" t="str">
        <f t="shared" si="204"/>
        <v>Tipo 1 (≤0,25) uT</v>
      </c>
      <c r="BG518" s="78" t="str">
        <f t="shared" si="191"/>
        <v>Tipo 1 (≤0,25) uT</v>
      </c>
      <c r="BH518" s="78" t="str">
        <f t="shared" si="205"/>
        <v>Tipo 1 (≤0,25) uT</v>
      </c>
    </row>
    <row r="519" spans="1:60" ht="15.75" thickBot="1" x14ac:dyDescent="0.25">
      <c r="A519" s="32">
        <v>46317</v>
      </c>
      <c r="B519" s="81">
        <v>0.22916666666666666</v>
      </c>
      <c r="C519" s="57">
        <v>0</v>
      </c>
      <c r="D519" s="58">
        <v>2208</v>
      </c>
      <c r="E519" s="58">
        <v>499</v>
      </c>
      <c r="F519" s="58">
        <v>2728</v>
      </c>
      <c r="G519" s="87" t="s">
        <v>34</v>
      </c>
      <c r="H519" s="64">
        <v>9</v>
      </c>
      <c r="I519" s="58">
        <v>-108</v>
      </c>
      <c r="J519" s="58">
        <v>90</v>
      </c>
      <c r="K519" s="58">
        <v>90</v>
      </c>
      <c r="L519" s="58">
        <v>90</v>
      </c>
      <c r="M519" s="58">
        <v>25.3</v>
      </c>
      <c r="N519" s="64">
        <v>6.7</v>
      </c>
      <c r="O519" s="37">
        <v>2.33</v>
      </c>
      <c r="P519" s="58">
        <v>13</v>
      </c>
      <c r="Q519" s="64">
        <v>9.6</v>
      </c>
      <c r="R519" s="37">
        <v>0.06</v>
      </c>
      <c r="S519" s="36">
        <v>22.36</v>
      </c>
      <c r="T519" s="36">
        <v>0.88</v>
      </c>
      <c r="U519" s="36">
        <v>0.7</v>
      </c>
      <c r="V519" s="42">
        <f t="shared" si="206"/>
        <v>2397.2299999999996</v>
      </c>
      <c r="W519" s="42">
        <f t="shared" si="207"/>
        <v>1529.8855103999999</v>
      </c>
      <c r="X519" s="42">
        <f t="shared" si="208"/>
        <v>0.63818887232347343</v>
      </c>
      <c r="Y519" s="58">
        <v>3</v>
      </c>
      <c r="Z519" s="58">
        <v>4</v>
      </c>
      <c r="AA519" s="64">
        <v>5.4</v>
      </c>
      <c r="AB519" s="58">
        <v>24</v>
      </c>
      <c r="AC519" s="64">
        <v>6.6</v>
      </c>
      <c r="AD519" s="64">
        <v>8.4</v>
      </c>
      <c r="AE519" s="37">
        <v>0.18</v>
      </c>
      <c r="AF519" s="37">
        <v>0.21</v>
      </c>
      <c r="AG519" s="42">
        <f t="shared" si="194"/>
        <v>2397.2299999999996</v>
      </c>
      <c r="AH519" s="42">
        <f t="shared" si="209"/>
        <v>1979.8438399999998</v>
      </c>
      <c r="AI519" s="42">
        <f t="shared" si="210"/>
        <v>0.82588814590172832</v>
      </c>
      <c r="AJ519" s="58">
        <v>3</v>
      </c>
      <c r="AK519" s="58">
        <v>4</v>
      </c>
      <c r="AL519" s="64">
        <v>6.4</v>
      </c>
      <c r="AM519" s="58">
        <v>25</v>
      </c>
      <c r="AN519" s="64">
        <v>6.5</v>
      </c>
      <c r="AO519" s="64">
        <v>8</v>
      </c>
      <c r="AP519" s="42">
        <v>0.18</v>
      </c>
      <c r="AQ519" s="37">
        <v>0.28999999999999998</v>
      </c>
      <c r="AR519" s="73">
        <f t="shared" si="195"/>
        <v>2707</v>
      </c>
      <c r="AS519" s="75">
        <f t="shared" si="196"/>
        <v>0</v>
      </c>
      <c r="AT519" s="75">
        <f t="shared" si="197"/>
        <v>0.81566309567787221</v>
      </c>
      <c r="AU519" s="75">
        <f t="shared" si="198"/>
        <v>0.18433690432212782</v>
      </c>
      <c r="AV519" s="26">
        <f t="shared" si="192"/>
        <v>1.8715216197169309E-3</v>
      </c>
      <c r="AW519" s="26">
        <f t="shared" si="193"/>
        <v>2.4219593721458311E-3</v>
      </c>
      <c r="AX519" s="26">
        <f t="shared" si="188"/>
        <v>0.87553648068669532</v>
      </c>
      <c r="AY519" s="24">
        <f t="shared" si="189"/>
        <v>0.90987124463519309</v>
      </c>
      <c r="AZ519" s="77" t="str">
        <f t="shared" si="199"/>
        <v>7,5 ≤ Alc. Bruta &lt; 10,0 mg/L</v>
      </c>
      <c r="BA519" s="77" t="str">
        <f t="shared" si="200"/>
        <v>10 ≤ Cor &lt;15 uC</v>
      </c>
      <c r="BB519" s="78" t="str">
        <f t="shared" si="201"/>
        <v>Turbidez &lt; 2,5 uT</v>
      </c>
      <c r="BC519" s="79" t="str">
        <f t="shared" si="202"/>
        <v>SM &gt; BNN &gt; TOR</v>
      </c>
      <c r="BD519" s="78" t="str">
        <f t="shared" si="203"/>
        <v>Tipo 1 (≤0,25) uT</v>
      </c>
      <c r="BE519" s="78" t="str">
        <f t="shared" si="190"/>
        <v>Tipo 1 (≤0,25) uT</v>
      </c>
      <c r="BF519" s="78" t="str">
        <f t="shared" si="204"/>
        <v>Tipo 1 (≤0,25) uT</v>
      </c>
      <c r="BG519" s="78" t="str">
        <f t="shared" si="191"/>
        <v>Tipo 2 (0,25-0,50) uT</v>
      </c>
      <c r="BH519" s="78" t="str">
        <f t="shared" si="205"/>
        <v>Tipo 1 (≤0,25) uT</v>
      </c>
    </row>
    <row r="520" spans="1:60" x14ac:dyDescent="0.2">
      <c r="A520" s="30">
        <v>46317</v>
      </c>
      <c r="B520" s="82">
        <v>0.3125</v>
      </c>
      <c r="C520" s="59">
        <v>591</v>
      </c>
      <c r="D520" s="59">
        <v>1823</v>
      </c>
      <c r="E520" s="59">
        <v>0</v>
      </c>
      <c r="F520" s="59">
        <v>2435</v>
      </c>
      <c r="G520" s="87" t="s">
        <v>34</v>
      </c>
      <c r="H520" s="65">
        <v>9.1999999999999993</v>
      </c>
      <c r="I520" s="59">
        <v>-95</v>
      </c>
      <c r="J520" s="59">
        <v>90</v>
      </c>
      <c r="K520" s="59">
        <v>90</v>
      </c>
      <c r="L520" s="59">
        <v>90</v>
      </c>
      <c r="M520" s="59">
        <v>26.1</v>
      </c>
      <c r="N520" s="65">
        <v>6.6</v>
      </c>
      <c r="O520" s="38">
        <v>2.46</v>
      </c>
      <c r="P520" s="59">
        <v>12</v>
      </c>
      <c r="Q520" s="65">
        <v>9.4</v>
      </c>
      <c r="R520" s="38">
        <v>0.31</v>
      </c>
      <c r="S520" s="36">
        <v>22.36</v>
      </c>
      <c r="T520" s="36">
        <v>0.88</v>
      </c>
      <c r="U520" s="36">
        <v>0.7</v>
      </c>
      <c r="V520" s="42">
        <f t="shared" si="206"/>
        <v>2197.5875000000001</v>
      </c>
      <c r="W520" s="42">
        <f t="shared" si="207"/>
        <v>1678.1913407999996</v>
      </c>
      <c r="X520" s="42">
        <f t="shared" si="208"/>
        <v>0.76365165928546619</v>
      </c>
      <c r="Y520" s="57">
        <v>3</v>
      </c>
      <c r="Z520" s="57">
        <v>4</v>
      </c>
      <c r="AA520" s="63">
        <v>5.8</v>
      </c>
      <c r="AB520" s="91">
        <v>24</v>
      </c>
      <c r="AC520" s="65">
        <v>6.6</v>
      </c>
      <c r="AD520" s="65">
        <v>8.1999999999999993</v>
      </c>
      <c r="AE520" s="38">
        <v>0.13</v>
      </c>
      <c r="AF520" s="38">
        <v>0.23</v>
      </c>
      <c r="AG520" s="42">
        <f t="shared" si="194"/>
        <v>2197.5875000000001</v>
      </c>
      <c r="AH520" s="42">
        <f t="shared" si="209"/>
        <v>1979.8438399999998</v>
      </c>
      <c r="AI520" s="42">
        <f t="shared" si="210"/>
        <v>0.90091695552509277</v>
      </c>
      <c r="AJ520" s="59">
        <v>3</v>
      </c>
      <c r="AK520" s="59">
        <v>4</v>
      </c>
      <c r="AL520" s="63">
        <v>6.4</v>
      </c>
      <c r="AM520" s="57">
        <v>25</v>
      </c>
      <c r="AN520" s="65">
        <v>6.5</v>
      </c>
      <c r="AO520" s="65">
        <v>8.1</v>
      </c>
      <c r="AP520" s="42">
        <v>0.18</v>
      </c>
      <c r="AQ520" s="38">
        <v>0.32</v>
      </c>
      <c r="AR520" s="73">
        <f t="shared" si="195"/>
        <v>2414</v>
      </c>
      <c r="AS520" s="75">
        <f t="shared" si="196"/>
        <v>0.2448218724109362</v>
      </c>
      <c r="AT520" s="75">
        <f t="shared" si="197"/>
        <v>0.75517812758906377</v>
      </c>
      <c r="AU520" s="75">
        <f t="shared" si="198"/>
        <v>0</v>
      </c>
      <c r="AV520" s="26">
        <f t="shared" si="192"/>
        <v>2.5089171557633387E-3</v>
      </c>
      <c r="AW520" s="26">
        <f t="shared" ref="AW520:AW572" si="211">IF(AND(F520&lt;&gt;"",AI520&lt;&gt;""),AN520/(F520/2/AI520),"")</f>
        <v>4.8098235818588115E-3</v>
      </c>
      <c r="AX520" s="26">
        <f t="shared" si="188"/>
        <v>0.86991869918699183</v>
      </c>
      <c r="AY520" s="24">
        <f t="shared" si="189"/>
        <v>0.9065040650406504</v>
      </c>
      <c r="AZ520" s="77" t="str">
        <f t="shared" si="199"/>
        <v>7,5 ≤ Alc. Bruta &lt; 10,0 mg/L</v>
      </c>
      <c r="BA520" s="77" t="str">
        <f t="shared" si="200"/>
        <v>10 ≤ Cor &lt;15 uC</v>
      </c>
      <c r="BB520" s="78" t="str">
        <f t="shared" si="201"/>
        <v>Turbidez &lt; 2,5 uT</v>
      </c>
      <c r="BC520" s="79" t="str">
        <f t="shared" si="202"/>
        <v>SM &gt; TOR &gt; BNN</v>
      </c>
      <c r="BD520" s="78" t="str">
        <f t="shared" si="203"/>
        <v>Tipo 1 (≤0,25) uT</v>
      </c>
      <c r="BE520" s="78" t="str">
        <f t="shared" si="190"/>
        <v>Tipo 1 (≤0,25) uT</v>
      </c>
      <c r="BF520" s="78" t="str">
        <f t="shared" si="204"/>
        <v>Tipo 1 (≤0,25) uT</v>
      </c>
      <c r="BG520" s="78" t="str">
        <f t="shared" si="191"/>
        <v>Tipo 2 (0,25-0,50) uT</v>
      </c>
      <c r="BH520" s="78" t="str">
        <f t="shared" si="205"/>
        <v>Tipo 2 (0,25-0,50) uT</v>
      </c>
    </row>
    <row r="521" spans="1:60" x14ac:dyDescent="0.2">
      <c r="A521" s="31">
        <v>46317</v>
      </c>
      <c r="B521" s="80">
        <v>0.64583333333333337</v>
      </c>
      <c r="C521" s="57">
        <v>603</v>
      </c>
      <c r="D521" s="57">
        <v>1810</v>
      </c>
      <c r="E521" s="57">
        <v>0</v>
      </c>
      <c r="F521" s="57">
        <v>2390</v>
      </c>
      <c r="G521" s="85" t="s">
        <v>34</v>
      </c>
      <c r="H521" s="63">
        <v>9.1999999999999993</v>
      </c>
      <c r="I521" s="57">
        <v>34</v>
      </c>
      <c r="J521" s="57">
        <v>90</v>
      </c>
      <c r="K521" s="57">
        <v>90</v>
      </c>
      <c r="L521" s="57">
        <v>90</v>
      </c>
      <c r="M521" s="57">
        <v>27</v>
      </c>
      <c r="N521" s="63">
        <v>6.2</v>
      </c>
      <c r="O521" s="36">
        <v>1.67</v>
      </c>
      <c r="P521" s="57">
        <v>11</v>
      </c>
      <c r="Q521" s="63">
        <v>8</v>
      </c>
      <c r="R521" s="36">
        <v>0.11</v>
      </c>
      <c r="S521" s="36">
        <v>22.36</v>
      </c>
      <c r="T521" s="36">
        <v>0.88</v>
      </c>
      <c r="U521" s="36">
        <v>0.7</v>
      </c>
      <c r="V521" s="42">
        <f t="shared" si="206"/>
        <v>1920.9624999999999</v>
      </c>
      <c r="W521" s="42">
        <f t="shared" si="207"/>
        <v>1641.1148831999999</v>
      </c>
      <c r="X521" s="42">
        <f t="shared" si="208"/>
        <v>0.85431906307384975</v>
      </c>
      <c r="Y521" s="57">
        <v>3</v>
      </c>
      <c r="Z521" s="57">
        <v>4</v>
      </c>
      <c r="AA521" s="63">
        <v>5.7</v>
      </c>
      <c r="AB521" s="57">
        <v>24</v>
      </c>
      <c r="AC521" s="63">
        <v>5.9</v>
      </c>
      <c r="AD521" s="63">
        <v>4</v>
      </c>
      <c r="AE521" s="36">
        <v>0.16</v>
      </c>
      <c r="AF521" s="36">
        <v>0.21</v>
      </c>
      <c r="AG521" s="42">
        <f t="shared" si="194"/>
        <v>1920.9624999999999</v>
      </c>
      <c r="AH521" s="42">
        <f t="shared" si="209"/>
        <v>1900.6500864</v>
      </c>
      <c r="AI521" s="42">
        <f t="shared" si="210"/>
        <v>0.9894259187256389</v>
      </c>
      <c r="AJ521" s="57">
        <v>3</v>
      </c>
      <c r="AK521" s="57">
        <v>4</v>
      </c>
      <c r="AL521" s="63">
        <v>6.4</v>
      </c>
      <c r="AM521" s="57">
        <v>24</v>
      </c>
      <c r="AN521" s="63">
        <v>6</v>
      </c>
      <c r="AO521" s="63">
        <v>3.7</v>
      </c>
      <c r="AP521" s="36">
        <v>0.15</v>
      </c>
      <c r="AQ521" s="36">
        <v>0.1</v>
      </c>
      <c r="AR521" s="73">
        <f t="shared" si="195"/>
        <v>2413</v>
      </c>
      <c r="AS521" s="75">
        <f t="shared" si="196"/>
        <v>0.24989639452963117</v>
      </c>
      <c r="AT521" s="75">
        <f t="shared" si="197"/>
        <v>0.75010360547036881</v>
      </c>
      <c r="AU521" s="75">
        <f t="shared" si="198"/>
        <v>0</v>
      </c>
      <c r="AV521" s="26">
        <f t="shared" si="192"/>
        <v>2.8596453994103755E-3</v>
      </c>
      <c r="AW521" s="26">
        <f t="shared" si="211"/>
        <v>4.9678288806308223E-3</v>
      </c>
      <c r="AX521" s="26">
        <f t="shared" si="188"/>
        <v>0.94011976047904189</v>
      </c>
      <c r="AY521" s="24">
        <f t="shared" si="189"/>
        <v>0.87425149700598803</v>
      </c>
      <c r="AZ521" s="77" t="str">
        <f t="shared" si="199"/>
        <v>7,5 ≤ Alc. Bruta &lt; 10,0 mg/L</v>
      </c>
      <c r="BA521" s="77" t="str">
        <f t="shared" si="200"/>
        <v>10 ≤ Cor &lt;15 uC</v>
      </c>
      <c r="BB521" s="78" t="str">
        <f t="shared" si="201"/>
        <v>Turbidez &lt; 2,5 uT</v>
      </c>
      <c r="BC521" s="79" t="str">
        <f t="shared" si="202"/>
        <v>SM &gt; TOR &gt; BNN</v>
      </c>
      <c r="BD521" s="78" t="str">
        <f t="shared" si="203"/>
        <v>Tipo 1 (≤0,25) uT</v>
      </c>
      <c r="BE521" s="78" t="str">
        <f t="shared" si="190"/>
        <v>Tipo 1 (≤0,25) uT</v>
      </c>
      <c r="BF521" s="78" t="str">
        <f t="shared" si="204"/>
        <v>Tipo 1 (≤0,25) uT</v>
      </c>
      <c r="BG521" s="78" t="str">
        <f t="shared" si="191"/>
        <v>Tipo 1 (≤0,25) uT</v>
      </c>
      <c r="BH521" s="78" t="str">
        <f t="shared" si="205"/>
        <v>Tipo 1 (≤0,25) uT</v>
      </c>
    </row>
    <row r="522" spans="1:60" x14ac:dyDescent="0.2">
      <c r="A522" s="31">
        <v>46317</v>
      </c>
      <c r="B522" s="80">
        <v>0.72916666666666663</v>
      </c>
      <c r="C522" s="57">
        <v>588</v>
      </c>
      <c r="D522" s="57">
        <v>1833</v>
      </c>
      <c r="E522" s="57">
        <v>0</v>
      </c>
      <c r="F522" s="57">
        <v>2440</v>
      </c>
      <c r="G522" s="85" t="s">
        <v>34</v>
      </c>
      <c r="H522" s="63">
        <v>9.1999999999999993</v>
      </c>
      <c r="I522" s="57">
        <v>117</v>
      </c>
      <c r="J522" s="57">
        <v>90</v>
      </c>
      <c r="K522" s="57">
        <v>90</v>
      </c>
      <c r="L522" s="57">
        <v>90</v>
      </c>
      <c r="M522" s="57">
        <v>26.1</v>
      </c>
      <c r="N522" s="63">
        <v>6.1</v>
      </c>
      <c r="O522" s="36">
        <v>1.75</v>
      </c>
      <c r="P522" s="57">
        <v>11</v>
      </c>
      <c r="Q522" s="63">
        <v>6.3</v>
      </c>
      <c r="R522" s="36">
        <v>0.09</v>
      </c>
      <c r="S522" s="36">
        <v>22.36</v>
      </c>
      <c r="T522" s="36">
        <v>0.88</v>
      </c>
      <c r="U522" s="36">
        <v>0.7</v>
      </c>
      <c r="V522" s="42">
        <f t="shared" si="206"/>
        <v>1985.55</v>
      </c>
      <c r="W522" s="42">
        <f t="shared" si="207"/>
        <v>1604.0384255999998</v>
      </c>
      <c r="X522" s="42">
        <f t="shared" si="208"/>
        <v>0.80785597219913863</v>
      </c>
      <c r="Y522" s="57">
        <v>3</v>
      </c>
      <c r="Z522" s="57">
        <v>4</v>
      </c>
      <c r="AA522" s="63">
        <v>5.6</v>
      </c>
      <c r="AB522" s="57">
        <v>24</v>
      </c>
      <c r="AC522" s="63">
        <v>6</v>
      </c>
      <c r="AD522" s="63">
        <v>3.7</v>
      </c>
      <c r="AE522" s="36">
        <v>0.1</v>
      </c>
      <c r="AF522" s="36">
        <v>0.16</v>
      </c>
      <c r="AG522" s="42">
        <f t="shared" si="194"/>
        <v>1985.55</v>
      </c>
      <c r="AH522" s="42">
        <f t="shared" si="209"/>
        <v>1900.6500864</v>
      </c>
      <c r="AI522" s="42">
        <f t="shared" si="210"/>
        <v>0.95724111022134928</v>
      </c>
      <c r="AJ522" s="57">
        <v>3</v>
      </c>
      <c r="AK522" s="57">
        <v>4</v>
      </c>
      <c r="AL522" s="63">
        <v>6.4</v>
      </c>
      <c r="AM522" s="57">
        <v>24</v>
      </c>
      <c r="AN522" s="63">
        <v>5.9</v>
      </c>
      <c r="AO522" s="63">
        <v>3.2</v>
      </c>
      <c r="AP522" s="36">
        <v>0.18</v>
      </c>
      <c r="AQ522" s="36">
        <v>0.11</v>
      </c>
      <c r="AR522" s="73">
        <f t="shared" si="195"/>
        <v>2421</v>
      </c>
      <c r="AS522" s="75">
        <f t="shared" si="196"/>
        <v>0.24287484510532836</v>
      </c>
      <c r="AT522" s="75">
        <f t="shared" si="197"/>
        <v>0.75712515489467158</v>
      </c>
      <c r="AU522" s="75">
        <f t="shared" si="198"/>
        <v>0</v>
      </c>
      <c r="AV522" s="26">
        <f t="shared" si="192"/>
        <v>2.6487081055709461E-3</v>
      </c>
      <c r="AW522" s="26">
        <f t="shared" si="211"/>
        <v>4.6292807789393127E-3</v>
      </c>
      <c r="AX522" s="26">
        <f t="shared" si="188"/>
        <v>0.93714285714285717</v>
      </c>
      <c r="AY522" s="24">
        <f t="shared" si="189"/>
        <v>0.90857142857142859</v>
      </c>
      <c r="AZ522" s="77" t="str">
        <f t="shared" si="199"/>
        <v>5,0 ≤ Alc. Bruta &lt; 7,5 mg/L</v>
      </c>
      <c r="BA522" s="77" t="str">
        <f t="shared" si="200"/>
        <v>10 ≤ Cor &lt;15 uC</v>
      </c>
      <c r="BB522" s="78" t="str">
        <f t="shared" si="201"/>
        <v>Turbidez &lt; 2,5 uT</v>
      </c>
      <c r="BC522" s="79" t="str">
        <f t="shared" si="202"/>
        <v>SM &gt; TOR &gt; BNN</v>
      </c>
      <c r="BD522" s="78" t="str">
        <f t="shared" si="203"/>
        <v>Tipo 1 (≤0,25) uT</v>
      </c>
      <c r="BE522" s="78" t="str">
        <f t="shared" si="190"/>
        <v>Tipo 1 (≤0,25) uT</v>
      </c>
      <c r="BF522" s="78" t="str">
        <f t="shared" si="204"/>
        <v>Tipo 1 (≤0,25) uT</v>
      </c>
      <c r="BG522" s="78" t="str">
        <f t="shared" si="191"/>
        <v>Tipo 1 (≤0,25) uT</v>
      </c>
      <c r="BH522" s="78" t="str">
        <f t="shared" si="205"/>
        <v>Tipo 1 (≤0,25) uT</v>
      </c>
    </row>
    <row r="523" spans="1:60" x14ac:dyDescent="0.2">
      <c r="A523" s="31">
        <v>46317</v>
      </c>
      <c r="B523" s="80">
        <v>0.8125</v>
      </c>
      <c r="C523" s="57">
        <v>600</v>
      </c>
      <c r="D523" s="57">
        <v>1811</v>
      </c>
      <c r="E523" s="57">
        <v>294</v>
      </c>
      <c r="F523" s="57">
        <v>2367</v>
      </c>
      <c r="G523" s="85" t="s">
        <v>34</v>
      </c>
      <c r="H523" s="63">
        <v>9.1999999999999993</v>
      </c>
      <c r="I523" s="57">
        <v>81</v>
      </c>
      <c r="J523" s="57">
        <v>90</v>
      </c>
      <c r="K523" s="57">
        <v>90</v>
      </c>
      <c r="L523" s="57">
        <v>90</v>
      </c>
      <c r="M523" s="57">
        <v>26.4</v>
      </c>
      <c r="N523" s="63">
        <v>6.2</v>
      </c>
      <c r="O523" s="36">
        <v>1.66</v>
      </c>
      <c r="P523" s="57">
        <v>10</v>
      </c>
      <c r="Q523" s="63">
        <v>8.1</v>
      </c>
      <c r="R523" s="36">
        <v>0.09</v>
      </c>
      <c r="S523" s="36">
        <v>22.36</v>
      </c>
      <c r="T523" s="36">
        <v>0.88</v>
      </c>
      <c r="U523" s="36">
        <v>0.7</v>
      </c>
      <c r="V523" s="42">
        <f t="shared" si="206"/>
        <v>1899.5174999999999</v>
      </c>
      <c r="W523" s="42">
        <f t="shared" si="207"/>
        <v>1604.0384255999998</v>
      </c>
      <c r="X523" s="42">
        <f t="shared" si="208"/>
        <v>0.84444519495082293</v>
      </c>
      <c r="Y523" s="57">
        <v>3</v>
      </c>
      <c r="Z523" s="57">
        <v>4</v>
      </c>
      <c r="AA523" s="63">
        <v>5.6</v>
      </c>
      <c r="AB523" s="57">
        <v>24</v>
      </c>
      <c r="AC523" s="63">
        <v>6.1</v>
      </c>
      <c r="AD523" s="63">
        <v>7.5</v>
      </c>
      <c r="AE523" s="36">
        <v>0.09</v>
      </c>
      <c r="AF523" s="36">
        <v>0.12</v>
      </c>
      <c r="AG523" s="42">
        <f t="shared" si="194"/>
        <v>1899.5174999999999</v>
      </c>
      <c r="AH523" s="42">
        <f t="shared" si="209"/>
        <v>1900.6500864</v>
      </c>
      <c r="AI523" s="42">
        <f t="shared" si="210"/>
        <v>1.0005962495212599</v>
      </c>
      <c r="AJ523" s="57">
        <v>3</v>
      </c>
      <c r="AK523" s="57">
        <v>4</v>
      </c>
      <c r="AL523" s="63">
        <v>6.4</v>
      </c>
      <c r="AM523" s="57">
        <v>24</v>
      </c>
      <c r="AN523" s="63">
        <v>6.1</v>
      </c>
      <c r="AO523" s="63">
        <v>7.8</v>
      </c>
      <c r="AP523" s="36">
        <v>0.09</v>
      </c>
      <c r="AQ523" s="36">
        <v>0.16</v>
      </c>
      <c r="AR523" s="73">
        <f t="shared" si="195"/>
        <v>2705</v>
      </c>
      <c r="AS523" s="75">
        <f t="shared" si="196"/>
        <v>0.22181146025878004</v>
      </c>
      <c r="AT523" s="75">
        <f t="shared" si="197"/>
        <v>0.66950092421441776</v>
      </c>
      <c r="AU523" s="75">
        <f t="shared" si="198"/>
        <v>0.10868761552680221</v>
      </c>
      <c r="AV523" s="26">
        <f t="shared" si="192"/>
        <v>2.8540606504463811E-3</v>
      </c>
      <c r="AW523" s="26">
        <f t="shared" si="211"/>
        <v>5.1572768247399115E-3</v>
      </c>
      <c r="AX523" s="26">
        <f t="shared" si="188"/>
        <v>0.90361445783132532</v>
      </c>
      <c r="AY523" s="24">
        <f t="shared" si="189"/>
        <v>0.92771084337349397</v>
      </c>
      <c r="AZ523" s="77" t="str">
        <f t="shared" si="199"/>
        <v>7,5 ≤ Alc. Bruta &lt; 10,0 mg/L</v>
      </c>
      <c r="BA523" s="77" t="str">
        <f t="shared" si="200"/>
        <v>10 ≤ Cor &lt;15 uC</v>
      </c>
      <c r="BB523" s="78" t="str">
        <f t="shared" si="201"/>
        <v>Turbidez &lt; 2,5 uT</v>
      </c>
      <c r="BC523" s="79" t="str">
        <f t="shared" si="202"/>
        <v>SM &gt; TOR &gt; BNN</v>
      </c>
      <c r="BD523" s="78" t="str">
        <f t="shared" si="203"/>
        <v>Tipo 1 (≤0,25) uT</v>
      </c>
      <c r="BE523" s="78" t="str">
        <f t="shared" si="190"/>
        <v>Tipo 1 (≤0,25) uT</v>
      </c>
      <c r="BF523" s="78" t="str">
        <f t="shared" si="204"/>
        <v>Tipo 1 (≤0,25) uT</v>
      </c>
      <c r="BG523" s="78" t="str">
        <f t="shared" si="191"/>
        <v>Tipo 1 (≤0,25) uT</v>
      </c>
      <c r="BH523" s="78" t="str">
        <f t="shared" si="205"/>
        <v>Tipo 1 (≤0,25) uT</v>
      </c>
    </row>
    <row r="524" spans="1:60" x14ac:dyDescent="0.2">
      <c r="A524" s="31">
        <v>46317</v>
      </c>
      <c r="B524" s="80">
        <v>0.89583333333333337</v>
      </c>
      <c r="C524" s="57">
        <v>610</v>
      </c>
      <c r="D524" s="57">
        <v>1274</v>
      </c>
      <c r="E524" s="57">
        <v>293</v>
      </c>
      <c r="F524" s="57">
        <v>2290</v>
      </c>
      <c r="G524" s="85" t="s">
        <v>34</v>
      </c>
      <c r="H524" s="63">
        <v>9.1999999999999993</v>
      </c>
      <c r="I524" s="57">
        <v>77</v>
      </c>
      <c r="J524" s="57">
        <v>90</v>
      </c>
      <c r="K524" s="57">
        <v>90</v>
      </c>
      <c r="L524" s="57">
        <v>90</v>
      </c>
      <c r="M524" s="57">
        <v>25.1</v>
      </c>
      <c r="N524" s="63">
        <v>6.4</v>
      </c>
      <c r="O524" s="36">
        <v>1.83</v>
      </c>
      <c r="P524" s="57">
        <v>12</v>
      </c>
      <c r="Q524" s="63">
        <v>7.9</v>
      </c>
      <c r="R524" s="36">
        <v>0.08</v>
      </c>
      <c r="S524" s="36">
        <v>22.36</v>
      </c>
      <c r="T524" s="36">
        <v>0.88</v>
      </c>
      <c r="U524" s="36">
        <v>0.7</v>
      </c>
      <c r="V524" s="42">
        <f t="shared" si="206"/>
        <v>1886.3875</v>
      </c>
      <c r="W524" s="42">
        <f t="shared" si="207"/>
        <v>1604.0384255999998</v>
      </c>
      <c r="X524" s="42">
        <f t="shared" si="208"/>
        <v>0.85032286611313934</v>
      </c>
      <c r="Y524" s="57">
        <v>3</v>
      </c>
      <c r="Z524" s="57">
        <v>4</v>
      </c>
      <c r="AA524" s="63">
        <v>5.6</v>
      </c>
      <c r="AB524" s="57">
        <v>24</v>
      </c>
      <c r="AC524" s="63">
        <v>6.2</v>
      </c>
      <c r="AD524" s="63">
        <v>7.3</v>
      </c>
      <c r="AE524" s="36">
        <v>0.11</v>
      </c>
      <c r="AF524" s="36">
        <v>0.18</v>
      </c>
      <c r="AG524" s="42">
        <f t="shared" si="194"/>
        <v>1886.3875</v>
      </c>
      <c r="AH524" s="42">
        <f t="shared" si="209"/>
        <v>1900.6500864</v>
      </c>
      <c r="AI524" s="42">
        <f t="shared" si="210"/>
        <v>1.0075607935273108</v>
      </c>
      <c r="AJ524" s="57">
        <v>3</v>
      </c>
      <c r="AK524" s="57">
        <v>4</v>
      </c>
      <c r="AL524" s="63">
        <v>6.4</v>
      </c>
      <c r="AM524" s="57">
        <v>24</v>
      </c>
      <c r="AN524" s="63">
        <v>6.2</v>
      </c>
      <c r="AO524" s="63">
        <v>7.6</v>
      </c>
      <c r="AP524" s="36">
        <v>0.21</v>
      </c>
      <c r="AQ524" s="36">
        <v>0.14000000000000001</v>
      </c>
      <c r="AR524" s="73">
        <f t="shared" si="195"/>
        <v>2177</v>
      </c>
      <c r="AS524" s="75">
        <f t="shared" si="196"/>
        <v>0.28020211299954068</v>
      </c>
      <c r="AT524" s="75">
        <f t="shared" si="197"/>
        <v>0.58520900321543412</v>
      </c>
      <c r="AU524" s="75">
        <f t="shared" si="198"/>
        <v>0.13458888378502526</v>
      </c>
      <c r="AV524" s="26">
        <f t="shared" si="192"/>
        <v>2.9705602309629325E-3</v>
      </c>
      <c r="AW524" s="26">
        <f t="shared" si="211"/>
        <v>5.4557877029426435E-3</v>
      </c>
      <c r="AX524" s="26">
        <f t="shared" si="188"/>
        <v>0.92349726775956287</v>
      </c>
      <c r="AY524" s="24">
        <f t="shared" si="189"/>
        <v>0.90163934426229508</v>
      </c>
      <c r="AZ524" s="77" t="str">
        <f t="shared" si="199"/>
        <v>7,5 ≤ Alc. Bruta &lt; 10,0 mg/L</v>
      </c>
      <c r="BA524" s="77" t="str">
        <f t="shared" si="200"/>
        <v>10 ≤ Cor &lt;15 uC</v>
      </c>
      <c r="BB524" s="78" t="str">
        <f t="shared" si="201"/>
        <v>Turbidez &lt; 2,5 uT</v>
      </c>
      <c r="BC524" s="79" t="str">
        <f t="shared" si="202"/>
        <v>SM &gt; TOR &gt; BNN</v>
      </c>
      <c r="BD524" s="78" t="str">
        <f t="shared" si="203"/>
        <v>Tipo 1 (≤0,25) uT</v>
      </c>
      <c r="BE524" s="78" t="str">
        <f t="shared" si="190"/>
        <v>Tipo 1 (≤0,25) uT</v>
      </c>
      <c r="BF524" s="78" t="str">
        <f t="shared" si="204"/>
        <v>Tipo 1 (≤0,25) uT</v>
      </c>
      <c r="BG524" s="78" t="str">
        <f t="shared" si="191"/>
        <v>Tipo 1 (≤0,25) uT</v>
      </c>
      <c r="BH524" s="78" t="str">
        <f t="shared" si="205"/>
        <v>Tipo 1 (≤0,25) uT</v>
      </c>
    </row>
    <row r="525" spans="1:60" x14ac:dyDescent="0.2">
      <c r="A525" s="31">
        <v>46318</v>
      </c>
      <c r="B525" s="80">
        <v>6.25E-2</v>
      </c>
      <c r="C525" s="57">
        <v>601</v>
      </c>
      <c r="D525" s="57">
        <v>1283</v>
      </c>
      <c r="E525" s="57">
        <v>294</v>
      </c>
      <c r="F525" s="57">
        <v>2283</v>
      </c>
      <c r="G525" s="85" t="s">
        <v>34</v>
      </c>
      <c r="H525" s="63">
        <v>9.1999999999999993</v>
      </c>
      <c r="I525" s="57">
        <v>46</v>
      </c>
      <c r="J525" s="57">
        <v>90</v>
      </c>
      <c r="K525" s="57">
        <v>90</v>
      </c>
      <c r="L525" s="57">
        <v>90</v>
      </c>
      <c r="M525" s="57">
        <v>25.4</v>
      </c>
      <c r="N525" s="63">
        <v>6.4</v>
      </c>
      <c r="O525" s="36">
        <v>1.63</v>
      </c>
      <c r="P525" s="57">
        <v>15</v>
      </c>
      <c r="Q525" s="63">
        <v>7.4</v>
      </c>
      <c r="R525" s="36">
        <v>7.0000000000000007E-2</v>
      </c>
      <c r="S525" s="36">
        <v>22.36</v>
      </c>
      <c r="T525" s="36">
        <v>0.88</v>
      </c>
      <c r="U525" s="36">
        <v>0.7</v>
      </c>
      <c r="V525" s="42">
        <f t="shared" si="206"/>
        <v>1823.5462499999999</v>
      </c>
      <c r="W525" s="42">
        <f t="shared" si="207"/>
        <v>1566.9619679999996</v>
      </c>
      <c r="X525" s="42">
        <f t="shared" si="208"/>
        <v>0.85929378977911841</v>
      </c>
      <c r="Y525" s="57">
        <v>3</v>
      </c>
      <c r="Z525" s="57">
        <v>4</v>
      </c>
      <c r="AA525" s="63">
        <v>5.5</v>
      </c>
      <c r="AB525" s="57">
        <v>24</v>
      </c>
      <c r="AC525" s="63">
        <v>6.2</v>
      </c>
      <c r="AD525" s="63">
        <v>8.1999999999999993</v>
      </c>
      <c r="AE525" s="36">
        <v>0.16</v>
      </c>
      <c r="AF525" s="36">
        <v>0.2</v>
      </c>
      <c r="AG525" s="42">
        <f t="shared" si="194"/>
        <v>1823.5462499999999</v>
      </c>
      <c r="AH525" s="42">
        <f t="shared" si="209"/>
        <v>1979.8438399999998</v>
      </c>
      <c r="AI525" s="42">
        <f t="shared" si="210"/>
        <v>1.0857107901705263</v>
      </c>
      <c r="AJ525" s="57">
        <v>3</v>
      </c>
      <c r="AK525" s="57">
        <v>4</v>
      </c>
      <c r="AL525" s="63">
        <v>6.4</v>
      </c>
      <c r="AM525" s="57">
        <v>25</v>
      </c>
      <c r="AN525" s="63">
        <v>6.2</v>
      </c>
      <c r="AO525" s="63">
        <v>8.4</v>
      </c>
      <c r="AP525" s="36">
        <v>0.12</v>
      </c>
      <c r="AQ525" s="36">
        <v>0.13</v>
      </c>
      <c r="AR525" s="73">
        <f t="shared" si="195"/>
        <v>2178</v>
      </c>
      <c r="AS525" s="75">
        <f t="shared" si="196"/>
        <v>0.27594123048668501</v>
      </c>
      <c r="AT525" s="75">
        <f t="shared" si="197"/>
        <v>0.58907254361799821</v>
      </c>
      <c r="AU525" s="75">
        <f t="shared" si="198"/>
        <v>0.13498622589531681</v>
      </c>
      <c r="AV525" s="26">
        <f t="shared" si="192"/>
        <v>3.011103950167739E-3</v>
      </c>
      <c r="AW525" s="26">
        <f t="shared" si="211"/>
        <v>5.8969837048245839E-3</v>
      </c>
      <c r="AX525" s="26">
        <f t="shared" si="188"/>
        <v>0.92024539877300615</v>
      </c>
      <c r="AY525" s="24">
        <f t="shared" si="189"/>
        <v>0.87730061349693256</v>
      </c>
      <c r="AZ525" s="77" t="str">
        <f t="shared" si="199"/>
        <v>5,0 ≤ Alc. Bruta &lt; 7,5 mg/L</v>
      </c>
      <c r="BA525" s="77" t="str">
        <f t="shared" si="200"/>
        <v>15 ≤ Cor &lt; 30 uC</v>
      </c>
      <c r="BB525" s="78" t="str">
        <f t="shared" si="201"/>
        <v>Turbidez &lt; 2,5 uT</v>
      </c>
      <c r="BC525" s="79" t="str">
        <f t="shared" si="202"/>
        <v>SM &gt; TOR &gt; BNN</v>
      </c>
      <c r="BD525" s="78" t="str">
        <f t="shared" si="203"/>
        <v>Tipo 1 (≤0,25) uT</v>
      </c>
      <c r="BE525" s="78" t="str">
        <f t="shared" si="190"/>
        <v>Tipo 1 (≤0,25) uT</v>
      </c>
      <c r="BF525" s="78" t="str">
        <f t="shared" si="204"/>
        <v>Tipo 1 (≤0,25) uT</v>
      </c>
      <c r="BG525" s="78" t="str">
        <f t="shared" si="191"/>
        <v>Tipo 1 (≤0,25) uT</v>
      </c>
      <c r="BH525" s="78" t="str">
        <f t="shared" si="205"/>
        <v>Tipo 1 (≤0,25) uT</v>
      </c>
    </row>
    <row r="526" spans="1:60" x14ac:dyDescent="0.2">
      <c r="A526" s="31">
        <v>46318</v>
      </c>
      <c r="B526" s="80">
        <v>0.14583333333333334</v>
      </c>
      <c r="C526" s="57">
        <v>605</v>
      </c>
      <c r="D526" s="57">
        <v>1227</v>
      </c>
      <c r="E526" s="57">
        <v>294</v>
      </c>
      <c r="F526" s="57">
        <v>2291</v>
      </c>
      <c r="G526" s="85" t="s">
        <v>34</v>
      </c>
      <c r="H526" s="63">
        <v>9.1999999999999993</v>
      </c>
      <c r="I526" s="57">
        <v>26.1</v>
      </c>
      <c r="J526" s="57">
        <v>90</v>
      </c>
      <c r="K526" s="57">
        <v>90</v>
      </c>
      <c r="L526" s="57">
        <v>90</v>
      </c>
      <c r="M526" s="57">
        <v>25.3</v>
      </c>
      <c r="N526" s="63">
        <v>6.4</v>
      </c>
      <c r="O526" s="36">
        <v>1.71</v>
      </c>
      <c r="P526" s="57">
        <v>12</v>
      </c>
      <c r="Q526" s="63">
        <v>8.3000000000000007</v>
      </c>
      <c r="R526" s="36">
        <v>7.0000000000000007E-2</v>
      </c>
      <c r="S526" s="36">
        <v>22.36</v>
      </c>
      <c r="T526" s="36">
        <v>0.88</v>
      </c>
      <c r="U526" s="36">
        <v>0.7</v>
      </c>
      <c r="V526" s="42">
        <f t="shared" si="206"/>
        <v>1852.8462499999998</v>
      </c>
      <c r="W526" s="42">
        <f t="shared" si="207"/>
        <v>1566.9619679999996</v>
      </c>
      <c r="X526" s="42">
        <f t="shared" si="208"/>
        <v>0.84570534009500231</v>
      </c>
      <c r="Y526" s="57">
        <v>3</v>
      </c>
      <c r="Z526" s="57">
        <v>4</v>
      </c>
      <c r="AA526" s="63">
        <v>5.5</v>
      </c>
      <c r="AB526" s="57">
        <v>24</v>
      </c>
      <c r="AC526" s="63">
        <v>6.2</v>
      </c>
      <c r="AD526" s="63">
        <v>8</v>
      </c>
      <c r="AE526" s="36">
        <v>0.14000000000000001</v>
      </c>
      <c r="AF526" s="36">
        <v>0.19</v>
      </c>
      <c r="AG526" s="42">
        <f t="shared" si="194"/>
        <v>1852.8462499999998</v>
      </c>
      <c r="AH526" s="42">
        <f t="shared" si="209"/>
        <v>1979.8438399999998</v>
      </c>
      <c r="AI526" s="42">
        <f t="shared" si="210"/>
        <v>1.0685418933168362</v>
      </c>
      <c r="AJ526" s="57">
        <v>3</v>
      </c>
      <c r="AK526" s="57">
        <v>4</v>
      </c>
      <c r="AL526" s="63">
        <v>6.4</v>
      </c>
      <c r="AM526" s="57">
        <v>25</v>
      </c>
      <c r="AN526" s="63">
        <v>6.2</v>
      </c>
      <c r="AO526" s="63">
        <v>7.9</v>
      </c>
      <c r="AP526" s="36">
        <v>0.11</v>
      </c>
      <c r="AQ526" s="36">
        <v>0.43</v>
      </c>
      <c r="AR526" s="73">
        <f t="shared" si="195"/>
        <v>2126</v>
      </c>
      <c r="AS526" s="75">
        <f t="shared" si="196"/>
        <v>0.28457196613358421</v>
      </c>
      <c r="AT526" s="75">
        <f t="shared" si="197"/>
        <v>0.57714016933207901</v>
      </c>
      <c r="AU526" s="75">
        <f t="shared" si="198"/>
        <v>0.13828786453433678</v>
      </c>
      <c r="AV526" s="26">
        <f t="shared" si="192"/>
        <v>2.9531395551113133E-3</v>
      </c>
      <c r="AW526" s="26">
        <f t="shared" si="211"/>
        <v>5.783465507258302E-3</v>
      </c>
      <c r="AX526" s="26">
        <f t="shared" si="188"/>
        <v>0.74853801169590639</v>
      </c>
      <c r="AY526" s="24">
        <f t="shared" si="189"/>
        <v>0.88888888888888884</v>
      </c>
      <c r="AZ526" s="77" t="str">
        <f t="shared" si="199"/>
        <v>7,5 ≤ Alc. Bruta &lt; 10,0 mg/L</v>
      </c>
      <c r="BA526" s="77" t="str">
        <f t="shared" si="200"/>
        <v>10 ≤ Cor &lt;15 uC</v>
      </c>
      <c r="BB526" s="78" t="str">
        <f t="shared" si="201"/>
        <v>Turbidez &lt; 2,5 uT</v>
      </c>
      <c r="BC526" s="79" t="str">
        <f t="shared" si="202"/>
        <v>SM &gt; TOR &gt; BNN</v>
      </c>
      <c r="BD526" s="78" t="str">
        <f t="shared" si="203"/>
        <v>Tipo 1 (≤0,25) uT</v>
      </c>
      <c r="BE526" s="78" t="str">
        <f t="shared" si="190"/>
        <v>Tipo 1 (≤0,25) uT</v>
      </c>
      <c r="BF526" s="78" t="str">
        <f t="shared" si="204"/>
        <v>Tipo 1 (≤0,25) uT</v>
      </c>
      <c r="BG526" s="78" t="str">
        <f t="shared" si="191"/>
        <v>Tipo 2 (0,25-0,50) uT</v>
      </c>
      <c r="BH526" s="78" t="str">
        <f t="shared" si="205"/>
        <v>Tipo 1 (≤0,25) uT</v>
      </c>
    </row>
    <row r="527" spans="1:60" ht="15.75" thickBot="1" x14ac:dyDescent="0.25">
      <c r="A527" s="32">
        <v>46318</v>
      </c>
      <c r="B527" s="81">
        <v>0.22916666666666666</v>
      </c>
      <c r="C527" s="58">
        <v>600</v>
      </c>
      <c r="D527" s="58">
        <v>1271</v>
      </c>
      <c r="E527" s="58">
        <v>297</v>
      </c>
      <c r="F527" s="58">
        <v>2077</v>
      </c>
      <c r="G527" s="86" t="s">
        <v>34</v>
      </c>
      <c r="H527" s="64">
        <v>9.1999999999999993</v>
      </c>
      <c r="I527" s="58">
        <v>7.06</v>
      </c>
      <c r="J527" s="58">
        <v>90</v>
      </c>
      <c r="K527" s="58">
        <v>90</v>
      </c>
      <c r="L527" s="58">
        <v>90</v>
      </c>
      <c r="M527" s="58">
        <v>25</v>
      </c>
      <c r="N527" s="64">
        <v>6.4</v>
      </c>
      <c r="O527" s="37">
        <v>1.79</v>
      </c>
      <c r="P527" s="58">
        <v>12</v>
      </c>
      <c r="Q527" s="64">
        <v>7.9</v>
      </c>
      <c r="R527" s="37">
        <v>7.0000000000000007E-2</v>
      </c>
      <c r="S527" s="36">
        <v>22.36</v>
      </c>
      <c r="T527" s="36">
        <v>0.88</v>
      </c>
      <c r="U527" s="36">
        <v>0.7</v>
      </c>
      <c r="V527" s="42">
        <f t="shared" si="206"/>
        <v>1700.54375</v>
      </c>
      <c r="W527" s="42">
        <f t="shared" si="207"/>
        <v>1566.9619679999996</v>
      </c>
      <c r="X527" s="42">
        <f t="shared" si="208"/>
        <v>0.92144760639060275</v>
      </c>
      <c r="Y527" s="58">
        <v>3</v>
      </c>
      <c r="Z527" s="58">
        <v>4</v>
      </c>
      <c r="AA527" s="64">
        <v>5.5</v>
      </c>
      <c r="AB527" s="58">
        <v>24</v>
      </c>
      <c r="AC527" s="64">
        <v>6.2</v>
      </c>
      <c r="AD527" s="64">
        <v>7.9</v>
      </c>
      <c r="AE527" s="37">
        <v>0.13</v>
      </c>
      <c r="AF527" s="37">
        <v>0.18</v>
      </c>
      <c r="AG527" s="42">
        <f t="shared" si="194"/>
        <v>1700.54375</v>
      </c>
      <c r="AH527" s="42">
        <f t="shared" si="209"/>
        <v>1979.8438399999998</v>
      </c>
      <c r="AI527" s="42">
        <f t="shared" si="210"/>
        <v>1.1642416374174436</v>
      </c>
      <c r="AJ527" s="58">
        <v>3</v>
      </c>
      <c r="AK527" s="58">
        <v>4</v>
      </c>
      <c r="AL527" s="64">
        <v>6.4</v>
      </c>
      <c r="AM527" s="58">
        <v>25</v>
      </c>
      <c r="AN527" s="64">
        <v>6.1</v>
      </c>
      <c r="AO527" s="64">
        <v>7.6</v>
      </c>
      <c r="AP527" s="37">
        <v>0.13</v>
      </c>
      <c r="AQ527" s="37">
        <v>0.13</v>
      </c>
      <c r="AR527" s="73">
        <f t="shared" si="195"/>
        <v>2168</v>
      </c>
      <c r="AS527" s="75">
        <f t="shared" si="196"/>
        <v>0.2767527675276753</v>
      </c>
      <c r="AT527" s="75">
        <f t="shared" si="197"/>
        <v>0.58625461254612543</v>
      </c>
      <c r="AU527" s="75">
        <f t="shared" si="198"/>
        <v>0.13699261992619927</v>
      </c>
      <c r="AV527" s="26">
        <f t="shared" si="192"/>
        <v>3.5491482191260574E-3</v>
      </c>
      <c r="AW527" s="26">
        <f t="shared" si="211"/>
        <v>6.8385883372618248E-3</v>
      </c>
      <c r="AX527" s="26">
        <f t="shared" si="188"/>
        <v>0.92737430167597767</v>
      </c>
      <c r="AY527" s="24">
        <f t="shared" si="189"/>
        <v>0.8994413407821229</v>
      </c>
      <c r="AZ527" s="77" t="str">
        <f t="shared" si="199"/>
        <v>7,5 ≤ Alc. Bruta &lt; 10,0 mg/L</v>
      </c>
      <c r="BA527" s="77" t="str">
        <f t="shared" si="200"/>
        <v>10 ≤ Cor &lt;15 uC</v>
      </c>
      <c r="BB527" s="78" t="str">
        <f t="shared" si="201"/>
        <v>Turbidez &lt; 2,5 uT</v>
      </c>
      <c r="BC527" s="79" t="str">
        <f t="shared" si="202"/>
        <v>SM &gt; TOR &gt; BNN</v>
      </c>
      <c r="BD527" s="78" t="str">
        <f t="shared" si="203"/>
        <v>Tipo 1 (≤0,25) uT</v>
      </c>
      <c r="BE527" s="78" t="str">
        <f t="shared" si="190"/>
        <v>Tipo 1 (≤0,25) uT</v>
      </c>
      <c r="BF527" s="78" t="str">
        <f t="shared" si="204"/>
        <v>Tipo 1 (≤0,25) uT</v>
      </c>
      <c r="BG527" s="78" t="str">
        <f t="shared" si="191"/>
        <v>Tipo 1 (≤0,25) uT</v>
      </c>
      <c r="BH527" s="78" t="str">
        <f t="shared" si="205"/>
        <v>Tipo 1 (≤0,25) uT</v>
      </c>
    </row>
    <row r="528" spans="1:60" x14ac:dyDescent="0.2">
      <c r="A528" s="30">
        <v>46317</v>
      </c>
      <c r="B528" s="82">
        <v>0.3125</v>
      </c>
      <c r="C528" s="59">
        <v>591</v>
      </c>
      <c r="D528" s="59">
        <v>1823</v>
      </c>
      <c r="E528" s="59">
        <v>0</v>
      </c>
      <c r="F528" s="59">
        <v>2435</v>
      </c>
      <c r="G528" s="87" t="s">
        <v>34</v>
      </c>
      <c r="H528" s="65">
        <v>9.1999999999999993</v>
      </c>
      <c r="I528" s="59">
        <v>-95</v>
      </c>
      <c r="J528" s="59">
        <v>90</v>
      </c>
      <c r="K528" s="59">
        <v>90</v>
      </c>
      <c r="L528" s="59">
        <v>90</v>
      </c>
      <c r="M528" s="59">
        <v>26.1</v>
      </c>
      <c r="N528" s="65">
        <v>6.6</v>
      </c>
      <c r="O528" s="38">
        <v>2.46</v>
      </c>
      <c r="P528" s="59">
        <v>12</v>
      </c>
      <c r="Q528" s="65">
        <v>9.4</v>
      </c>
      <c r="R528" s="38">
        <v>0.31</v>
      </c>
      <c r="S528" s="36">
        <v>22.36</v>
      </c>
      <c r="T528" s="36">
        <v>0.88</v>
      </c>
      <c r="U528" s="36">
        <v>0.7</v>
      </c>
      <c r="V528" s="42">
        <f t="shared" si="206"/>
        <v>2197.5875000000001</v>
      </c>
      <c r="W528" s="42">
        <f t="shared" si="207"/>
        <v>1678.1913407999996</v>
      </c>
      <c r="X528" s="42">
        <f t="shared" si="208"/>
        <v>0.76365165928546619</v>
      </c>
      <c r="Y528" s="57">
        <v>3</v>
      </c>
      <c r="Z528" s="57">
        <v>4</v>
      </c>
      <c r="AA528" s="63">
        <v>5.8</v>
      </c>
      <c r="AB528" s="91">
        <v>24</v>
      </c>
      <c r="AC528" s="65">
        <v>6.6</v>
      </c>
      <c r="AD528" s="65">
        <v>8.1999999999999993</v>
      </c>
      <c r="AE528" s="38">
        <v>0.13</v>
      </c>
      <c r="AF528" s="38">
        <v>0.23</v>
      </c>
      <c r="AG528" s="42">
        <f t="shared" si="194"/>
        <v>2197.5875000000001</v>
      </c>
      <c r="AH528" s="42">
        <f t="shared" si="209"/>
        <v>1979.8438399999998</v>
      </c>
      <c r="AI528" s="42">
        <f t="shared" si="210"/>
        <v>0.90091695552509277</v>
      </c>
      <c r="AJ528" s="57">
        <v>6.4</v>
      </c>
      <c r="AK528" s="59">
        <v>4</v>
      </c>
      <c r="AL528" s="63">
        <v>6.4</v>
      </c>
      <c r="AM528" s="57">
        <v>25</v>
      </c>
      <c r="AN528" s="65">
        <v>6.5</v>
      </c>
      <c r="AO528" s="65">
        <v>8.1</v>
      </c>
      <c r="AP528" s="42">
        <v>0.18</v>
      </c>
      <c r="AQ528" s="38">
        <v>0.32</v>
      </c>
      <c r="AR528" s="73">
        <f t="shared" si="195"/>
        <v>2414</v>
      </c>
      <c r="AS528" s="75">
        <f t="shared" si="196"/>
        <v>0.2448218724109362</v>
      </c>
      <c r="AT528" s="75">
        <f t="shared" si="197"/>
        <v>0.75517812758906377</v>
      </c>
      <c r="AU528" s="75">
        <f t="shared" si="198"/>
        <v>0</v>
      </c>
      <c r="AV528" s="26">
        <f t="shared" si="192"/>
        <v>2.5089171557633387E-3</v>
      </c>
      <c r="AW528" s="26">
        <f t="shared" si="211"/>
        <v>4.8098235818588115E-3</v>
      </c>
      <c r="AX528" s="26">
        <f t="shared" si="188"/>
        <v>0.86991869918699183</v>
      </c>
      <c r="AY528" s="24">
        <f t="shared" si="189"/>
        <v>0.9065040650406504</v>
      </c>
      <c r="AZ528" s="77" t="str">
        <f t="shared" si="199"/>
        <v>7,5 ≤ Alc. Bruta &lt; 10,0 mg/L</v>
      </c>
      <c r="BA528" s="77" t="str">
        <f t="shared" si="200"/>
        <v>10 ≤ Cor &lt;15 uC</v>
      </c>
      <c r="BB528" s="78" t="str">
        <f t="shared" si="201"/>
        <v>Turbidez &lt; 2,5 uT</v>
      </c>
      <c r="BC528" s="79" t="str">
        <f t="shared" si="202"/>
        <v>SM &gt; TOR &gt; BNN</v>
      </c>
      <c r="BD528" s="78" t="str">
        <f t="shared" si="203"/>
        <v>Tipo 1 (≤0,25) uT</v>
      </c>
      <c r="BE528" s="78" t="str">
        <f t="shared" si="190"/>
        <v>Tipo 1 (≤0,25) uT</v>
      </c>
      <c r="BF528" s="78" t="str">
        <f t="shared" si="204"/>
        <v>Tipo 1 (≤0,25) uT</v>
      </c>
      <c r="BG528" s="78" t="str">
        <f t="shared" si="191"/>
        <v>Tipo 2 (0,25-0,50) uT</v>
      </c>
      <c r="BH528" s="78" t="str">
        <f t="shared" si="205"/>
        <v>Tipo 2 (0,25-0,50) uT</v>
      </c>
    </row>
    <row r="529" spans="1:60" x14ac:dyDescent="0.2">
      <c r="A529" s="31">
        <v>46317</v>
      </c>
      <c r="B529" s="80">
        <v>0.64583333333333337</v>
      </c>
      <c r="C529" s="57">
        <v>603</v>
      </c>
      <c r="D529" s="57">
        <v>1810</v>
      </c>
      <c r="E529" s="57">
        <v>0</v>
      </c>
      <c r="F529" s="57">
        <v>2390</v>
      </c>
      <c r="G529" s="85" t="s">
        <v>34</v>
      </c>
      <c r="H529" s="63">
        <v>9.1999999999999993</v>
      </c>
      <c r="I529" s="57">
        <v>34</v>
      </c>
      <c r="J529" s="57">
        <v>90</v>
      </c>
      <c r="K529" s="57">
        <v>90</v>
      </c>
      <c r="L529" s="57">
        <v>90</v>
      </c>
      <c r="M529" s="57">
        <v>27</v>
      </c>
      <c r="N529" s="63">
        <v>6.2</v>
      </c>
      <c r="O529" s="36">
        <v>1.67</v>
      </c>
      <c r="P529" s="57">
        <v>11</v>
      </c>
      <c r="Q529" s="63">
        <v>8</v>
      </c>
      <c r="R529" s="36">
        <v>0.11</v>
      </c>
      <c r="S529" s="36">
        <v>22.36</v>
      </c>
      <c r="T529" s="36">
        <v>0.88</v>
      </c>
      <c r="U529" s="36">
        <v>0.7</v>
      </c>
      <c r="V529" s="42">
        <f t="shared" si="206"/>
        <v>1920.9624999999999</v>
      </c>
      <c r="W529" s="42">
        <f t="shared" si="207"/>
        <v>1641.1148831999999</v>
      </c>
      <c r="X529" s="42">
        <f t="shared" si="208"/>
        <v>0.85431906307384975</v>
      </c>
      <c r="Y529" s="57">
        <v>3</v>
      </c>
      <c r="Z529" s="57">
        <v>4</v>
      </c>
      <c r="AA529" s="63">
        <v>5.7</v>
      </c>
      <c r="AB529" s="57">
        <v>24</v>
      </c>
      <c r="AC529" s="63">
        <v>5.9</v>
      </c>
      <c r="AD529" s="63">
        <v>4</v>
      </c>
      <c r="AE529" s="36">
        <v>0.16</v>
      </c>
      <c r="AF529" s="36">
        <v>0.21</v>
      </c>
      <c r="AG529" s="42">
        <f t="shared" si="194"/>
        <v>1920.9624999999999</v>
      </c>
      <c r="AH529" s="42">
        <f t="shared" si="209"/>
        <v>1900.6500864</v>
      </c>
      <c r="AI529" s="42">
        <f t="shared" si="210"/>
        <v>0.9894259187256389</v>
      </c>
      <c r="AJ529" s="57">
        <v>6.4</v>
      </c>
      <c r="AK529" s="57">
        <v>4</v>
      </c>
      <c r="AL529" s="63">
        <v>6.4</v>
      </c>
      <c r="AM529" s="57">
        <v>24</v>
      </c>
      <c r="AN529" s="63">
        <v>6</v>
      </c>
      <c r="AO529" s="63">
        <v>3.7</v>
      </c>
      <c r="AP529" s="36">
        <v>0.15</v>
      </c>
      <c r="AQ529" s="36">
        <v>0.1</v>
      </c>
      <c r="AR529" s="73">
        <f t="shared" si="195"/>
        <v>2413</v>
      </c>
      <c r="AS529" s="75">
        <f t="shared" si="196"/>
        <v>0.24989639452963117</v>
      </c>
      <c r="AT529" s="75">
        <f t="shared" si="197"/>
        <v>0.75010360547036881</v>
      </c>
      <c r="AU529" s="75">
        <f t="shared" si="198"/>
        <v>0</v>
      </c>
      <c r="AV529" s="26">
        <f t="shared" si="192"/>
        <v>2.8596453994103755E-3</v>
      </c>
      <c r="AW529" s="26">
        <f t="shared" si="211"/>
        <v>4.9678288806308223E-3</v>
      </c>
      <c r="AX529" s="26">
        <f t="shared" si="188"/>
        <v>0.94011976047904189</v>
      </c>
      <c r="AY529" s="24">
        <f t="shared" si="189"/>
        <v>0.87425149700598803</v>
      </c>
      <c r="AZ529" s="77" t="str">
        <f t="shared" si="199"/>
        <v>7,5 ≤ Alc. Bruta &lt; 10,0 mg/L</v>
      </c>
      <c r="BA529" s="77" t="str">
        <f t="shared" si="200"/>
        <v>10 ≤ Cor &lt;15 uC</v>
      </c>
      <c r="BB529" s="78" t="str">
        <f t="shared" si="201"/>
        <v>Turbidez &lt; 2,5 uT</v>
      </c>
      <c r="BC529" s="79" t="str">
        <f t="shared" si="202"/>
        <v>SM &gt; TOR &gt; BNN</v>
      </c>
      <c r="BD529" s="78" t="str">
        <f t="shared" si="203"/>
        <v>Tipo 1 (≤0,25) uT</v>
      </c>
      <c r="BE529" s="78" t="str">
        <f t="shared" si="190"/>
        <v>Tipo 1 (≤0,25) uT</v>
      </c>
      <c r="BF529" s="78" t="str">
        <f t="shared" si="204"/>
        <v>Tipo 1 (≤0,25) uT</v>
      </c>
      <c r="BG529" s="78" t="str">
        <f t="shared" si="191"/>
        <v>Tipo 1 (≤0,25) uT</v>
      </c>
      <c r="BH529" s="78" t="str">
        <f t="shared" si="205"/>
        <v>Tipo 1 (≤0,25) uT</v>
      </c>
    </row>
    <row r="530" spans="1:60" x14ac:dyDescent="0.2">
      <c r="A530" s="31">
        <v>46317</v>
      </c>
      <c r="B530" s="80">
        <v>0.72916666666666663</v>
      </c>
      <c r="C530" s="57">
        <v>588</v>
      </c>
      <c r="D530" s="57">
        <v>1833</v>
      </c>
      <c r="E530" s="57">
        <v>0</v>
      </c>
      <c r="F530" s="57">
        <v>2440</v>
      </c>
      <c r="G530" s="85" t="s">
        <v>34</v>
      </c>
      <c r="H530" s="63">
        <v>9.1999999999999993</v>
      </c>
      <c r="I530" s="57">
        <v>117</v>
      </c>
      <c r="J530" s="57">
        <v>90</v>
      </c>
      <c r="K530" s="57">
        <v>90</v>
      </c>
      <c r="L530" s="57">
        <v>90</v>
      </c>
      <c r="M530" s="57">
        <v>26.1</v>
      </c>
      <c r="N530" s="63">
        <v>6.1</v>
      </c>
      <c r="O530" s="36">
        <v>1.75</v>
      </c>
      <c r="P530" s="57">
        <v>11</v>
      </c>
      <c r="Q530" s="63">
        <v>6.3</v>
      </c>
      <c r="R530" s="36">
        <v>0.09</v>
      </c>
      <c r="S530" s="36">
        <v>22.36</v>
      </c>
      <c r="T530" s="36">
        <v>0.88</v>
      </c>
      <c r="U530" s="36">
        <v>0.7</v>
      </c>
      <c r="V530" s="42">
        <f t="shared" si="206"/>
        <v>1985.55</v>
      </c>
      <c r="W530" s="42">
        <f t="shared" si="207"/>
        <v>1604.0384255999998</v>
      </c>
      <c r="X530" s="42">
        <f t="shared" si="208"/>
        <v>0.80785597219913863</v>
      </c>
      <c r="Y530" s="57">
        <v>3</v>
      </c>
      <c r="Z530" s="57">
        <v>4</v>
      </c>
      <c r="AA530" s="63">
        <v>5.6</v>
      </c>
      <c r="AB530" s="57">
        <v>24</v>
      </c>
      <c r="AC530" s="63">
        <v>6</v>
      </c>
      <c r="AD530" s="63">
        <v>3.7</v>
      </c>
      <c r="AE530" s="36">
        <v>0.1</v>
      </c>
      <c r="AF530" s="36">
        <v>0.16</v>
      </c>
      <c r="AG530" s="42">
        <f t="shared" si="194"/>
        <v>1985.55</v>
      </c>
      <c r="AH530" s="42">
        <f t="shared" si="209"/>
        <v>1900.6500864</v>
      </c>
      <c r="AI530" s="42">
        <f t="shared" si="210"/>
        <v>0.95724111022134928</v>
      </c>
      <c r="AJ530" s="57">
        <v>6.4</v>
      </c>
      <c r="AK530" s="57">
        <v>4</v>
      </c>
      <c r="AL530" s="63">
        <v>6.4</v>
      </c>
      <c r="AM530" s="57">
        <v>24</v>
      </c>
      <c r="AN530" s="63">
        <v>5.9</v>
      </c>
      <c r="AO530" s="63">
        <v>3.2</v>
      </c>
      <c r="AP530" s="36">
        <v>0.18</v>
      </c>
      <c r="AQ530" s="36">
        <v>0.11</v>
      </c>
      <c r="AR530" s="73">
        <f t="shared" si="195"/>
        <v>2421</v>
      </c>
      <c r="AS530" s="75">
        <f t="shared" si="196"/>
        <v>0.24287484510532836</v>
      </c>
      <c r="AT530" s="75">
        <f t="shared" si="197"/>
        <v>0.75712515489467158</v>
      </c>
      <c r="AU530" s="75">
        <f t="shared" si="198"/>
        <v>0</v>
      </c>
      <c r="AV530" s="26">
        <f t="shared" si="192"/>
        <v>2.6487081055709461E-3</v>
      </c>
      <c r="AW530" s="26">
        <f t="shared" si="211"/>
        <v>4.6292807789393127E-3</v>
      </c>
      <c r="AX530" s="26">
        <f t="shared" si="188"/>
        <v>0.93714285714285717</v>
      </c>
      <c r="AY530" s="24">
        <f t="shared" si="189"/>
        <v>0.90857142857142859</v>
      </c>
      <c r="AZ530" s="77" t="str">
        <f t="shared" si="199"/>
        <v>5,0 ≤ Alc. Bruta &lt; 7,5 mg/L</v>
      </c>
      <c r="BA530" s="77" t="str">
        <f t="shared" si="200"/>
        <v>10 ≤ Cor &lt;15 uC</v>
      </c>
      <c r="BB530" s="78" t="str">
        <f t="shared" si="201"/>
        <v>Turbidez &lt; 2,5 uT</v>
      </c>
      <c r="BC530" s="79" t="str">
        <f t="shared" si="202"/>
        <v>SM &gt; TOR &gt; BNN</v>
      </c>
      <c r="BD530" s="78" t="str">
        <f t="shared" si="203"/>
        <v>Tipo 1 (≤0,25) uT</v>
      </c>
      <c r="BE530" s="78" t="str">
        <f t="shared" si="190"/>
        <v>Tipo 1 (≤0,25) uT</v>
      </c>
      <c r="BF530" s="78" t="str">
        <f t="shared" si="204"/>
        <v>Tipo 1 (≤0,25) uT</v>
      </c>
      <c r="BG530" s="78" t="str">
        <f t="shared" si="191"/>
        <v>Tipo 1 (≤0,25) uT</v>
      </c>
      <c r="BH530" s="78" t="str">
        <f t="shared" si="205"/>
        <v>Tipo 1 (≤0,25) uT</v>
      </c>
    </row>
    <row r="531" spans="1:60" x14ac:dyDescent="0.2">
      <c r="A531" s="31">
        <v>46317</v>
      </c>
      <c r="B531" s="80">
        <v>0.8125</v>
      </c>
      <c r="C531" s="57">
        <v>600</v>
      </c>
      <c r="D531" s="57">
        <v>1811</v>
      </c>
      <c r="E531" s="57">
        <v>294</v>
      </c>
      <c r="F531" s="57">
        <v>2367</v>
      </c>
      <c r="G531" s="85" t="s">
        <v>34</v>
      </c>
      <c r="H531" s="63">
        <v>9.1999999999999993</v>
      </c>
      <c r="I531" s="57">
        <v>81</v>
      </c>
      <c r="J531" s="57">
        <v>90</v>
      </c>
      <c r="K531" s="57">
        <v>90</v>
      </c>
      <c r="L531" s="57">
        <v>90</v>
      </c>
      <c r="M531" s="57">
        <v>26.4</v>
      </c>
      <c r="N531" s="63">
        <v>6.2</v>
      </c>
      <c r="O531" s="36">
        <v>1.66</v>
      </c>
      <c r="P531" s="57">
        <v>10</v>
      </c>
      <c r="Q531" s="63">
        <v>8.1</v>
      </c>
      <c r="R531" s="36">
        <v>0.09</v>
      </c>
      <c r="S531" s="36">
        <v>22.36</v>
      </c>
      <c r="T531" s="36">
        <v>0.88</v>
      </c>
      <c r="U531" s="36">
        <v>0.7</v>
      </c>
      <c r="V531" s="42">
        <f t="shared" si="206"/>
        <v>1899.5174999999999</v>
      </c>
      <c r="W531" s="42">
        <f t="shared" si="207"/>
        <v>1604.0384255999998</v>
      </c>
      <c r="X531" s="42">
        <f t="shared" si="208"/>
        <v>0.84444519495082293</v>
      </c>
      <c r="Y531" s="57">
        <v>3</v>
      </c>
      <c r="Z531" s="57">
        <v>4</v>
      </c>
      <c r="AA531" s="63">
        <v>5.6</v>
      </c>
      <c r="AB531" s="57">
        <v>24</v>
      </c>
      <c r="AC531" s="63">
        <v>6.1</v>
      </c>
      <c r="AD531" s="63">
        <v>7.5</v>
      </c>
      <c r="AE531" s="36">
        <v>0.09</v>
      </c>
      <c r="AF531" s="36">
        <v>0.12</v>
      </c>
      <c r="AG531" s="42">
        <f t="shared" si="194"/>
        <v>1899.5174999999999</v>
      </c>
      <c r="AH531" s="42">
        <f t="shared" si="209"/>
        <v>1900.6500864</v>
      </c>
      <c r="AI531" s="42">
        <f t="shared" si="210"/>
        <v>1.0005962495212599</v>
      </c>
      <c r="AJ531" s="57">
        <v>6.4</v>
      </c>
      <c r="AK531" s="57">
        <v>4</v>
      </c>
      <c r="AL531" s="63">
        <v>6.4</v>
      </c>
      <c r="AM531" s="57">
        <v>24</v>
      </c>
      <c r="AN531" s="63">
        <v>6.1</v>
      </c>
      <c r="AO531" s="63">
        <v>7.8</v>
      </c>
      <c r="AP531" s="36">
        <v>0.09</v>
      </c>
      <c r="AQ531" s="36">
        <v>0.16</v>
      </c>
      <c r="AR531" s="73">
        <f t="shared" si="195"/>
        <v>2705</v>
      </c>
      <c r="AS531" s="75">
        <f t="shared" si="196"/>
        <v>0.22181146025878004</v>
      </c>
      <c r="AT531" s="75">
        <f t="shared" si="197"/>
        <v>0.66950092421441776</v>
      </c>
      <c r="AU531" s="75">
        <f t="shared" si="198"/>
        <v>0.10868761552680221</v>
      </c>
      <c r="AV531" s="26">
        <f t="shared" si="192"/>
        <v>2.8540606504463811E-3</v>
      </c>
      <c r="AW531" s="26">
        <f t="shared" si="211"/>
        <v>5.1572768247399115E-3</v>
      </c>
      <c r="AX531" s="26">
        <f t="shared" si="188"/>
        <v>0.90361445783132532</v>
      </c>
      <c r="AY531" s="24">
        <f t="shared" si="189"/>
        <v>0.92771084337349397</v>
      </c>
      <c r="AZ531" s="77" t="str">
        <f t="shared" si="199"/>
        <v>7,5 ≤ Alc. Bruta &lt; 10,0 mg/L</v>
      </c>
      <c r="BA531" s="77" t="str">
        <f t="shared" si="200"/>
        <v>10 ≤ Cor &lt;15 uC</v>
      </c>
      <c r="BB531" s="78" t="str">
        <f t="shared" si="201"/>
        <v>Turbidez &lt; 2,5 uT</v>
      </c>
      <c r="BC531" s="79" t="str">
        <f t="shared" si="202"/>
        <v>SM &gt; TOR &gt; BNN</v>
      </c>
      <c r="BD531" s="78" t="str">
        <f t="shared" si="203"/>
        <v>Tipo 1 (≤0,25) uT</v>
      </c>
      <c r="BE531" s="78" t="str">
        <f t="shared" si="190"/>
        <v>Tipo 1 (≤0,25) uT</v>
      </c>
      <c r="BF531" s="78" t="str">
        <f t="shared" si="204"/>
        <v>Tipo 1 (≤0,25) uT</v>
      </c>
      <c r="BG531" s="78" t="str">
        <f t="shared" si="191"/>
        <v>Tipo 1 (≤0,25) uT</v>
      </c>
      <c r="BH531" s="78" t="str">
        <f t="shared" si="205"/>
        <v>Tipo 1 (≤0,25) uT</v>
      </c>
    </row>
    <row r="532" spans="1:60" x14ac:dyDescent="0.2">
      <c r="A532" s="31">
        <v>46317</v>
      </c>
      <c r="B532" s="80">
        <v>0.89583333333333337</v>
      </c>
      <c r="C532" s="57">
        <v>610</v>
      </c>
      <c r="D532" s="57">
        <v>1274</v>
      </c>
      <c r="E532" s="57">
        <v>293</v>
      </c>
      <c r="F532" s="57">
        <v>2290</v>
      </c>
      <c r="G532" s="85" t="s">
        <v>34</v>
      </c>
      <c r="H532" s="63">
        <v>9.1999999999999993</v>
      </c>
      <c r="I532" s="57">
        <v>77</v>
      </c>
      <c r="J532" s="57">
        <v>90</v>
      </c>
      <c r="K532" s="57">
        <v>90</v>
      </c>
      <c r="L532" s="57">
        <v>90</v>
      </c>
      <c r="M532" s="57">
        <v>25.1</v>
      </c>
      <c r="N532" s="63">
        <v>6.4</v>
      </c>
      <c r="O532" s="36">
        <v>1.83</v>
      </c>
      <c r="P532" s="57">
        <v>12</v>
      </c>
      <c r="Q532" s="63">
        <v>7.9</v>
      </c>
      <c r="R532" s="36">
        <v>0.08</v>
      </c>
      <c r="S532" s="36">
        <v>22.36</v>
      </c>
      <c r="T532" s="36">
        <v>0.88</v>
      </c>
      <c r="U532" s="36">
        <v>0.7</v>
      </c>
      <c r="V532" s="42">
        <f t="shared" si="206"/>
        <v>1886.3875</v>
      </c>
      <c r="W532" s="42">
        <f t="shared" si="207"/>
        <v>1604.0384255999998</v>
      </c>
      <c r="X532" s="42">
        <f t="shared" si="208"/>
        <v>0.85032286611313934</v>
      </c>
      <c r="Y532" s="57">
        <v>3</v>
      </c>
      <c r="Z532" s="57">
        <v>4</v>
      </c>
      <c r="AA532" s="63">
        <v>5.6</v>
      </c>
      <c r="AB532" s="57">
        <v>24</v>
      </c>
      <c r="AC532" s="63">
        <v>6.2</v>
      </c>
      <c r="AD532" s="63">
        <v>7.3</v>
      </c>
      <c r="AE532" s="36">
        <v>0.11</v>
      </c>
      <c r="AF532" s="36">
        <v>0.18</v>
      </c>
      <c r="AG532" s="42">
        <f t="shared" si="194"/>
        <v>1886.3875</v>
      </c>
      <c r="AH532" s="42">
        <f t="shared" si="209"/>
        <v>1900.6500864</v>
      </c>
      <c r="AI532" s="42">
        <f t="shared" si="210"/>
        <v>1.0075607935273108</v>
      </c>
      <c r="AJ532" s="57">
        <v>6.4</v>
      </c>
      <c r="AK532" s="57">
        <v>4</v>
      </c>
      <c r="AL532" s="63">
        <v>6.4</v>
      </c>
      <c r="AM532" s="57">
        <v>24</v>
      </c>
      <c r="AN532" s="63">
        <v>6.2</v>
      </c>
      <c r="AO532" s="63">
        <v>7.6</v>
      </c>
      <c r="AP532" s="36">
        <v>0.21</v>
      </c>
      <c r="AQ532" s="36">
        <v>0.14000000000000001</v>
      </c>
      <c r="AR532" s="73">
        <f t="shared" si="195"/>
        <v>2177</v>
      </c>
      <c r="AS532" s="75">
        <f t="shared" si="196"/>
        <v>0.28020211299954068</v>
      </c>
      <c r="AT532" s="75">
        <f t="shared" si="197"/>
        <v>0.58520900321543412</v>
      </c>
      <c r="AU532" s="75">
        <f t="shared" si="198"/>
        <v>0.13458888378502526</v>
      </c>
      <c r="AV532" s="26">
        <f t="shared" si="192"/>
        <v>2.9705602309629325E-3</v>
      </c>
      <c r="AW532" s="26">
        <f t="shared" si="211"/>
        <v>5.4557877029426435E-3</v>
      </c>
      <c r="AX532" s="26">
        <f t="shared" si="188"/>
        <v>0.92349726775956287</v>
      </c>
      <c r="AY532" s="24">
        <f t="shared" si="189"/>
        <v>0.90163934426229508</v>
      </c>
      <c r="AZ532" s="77" t="str">
        <f t="shared" si="199"/>
        <v>7,5 ≤ Alc. Bruta &lt; 10,0 mg/L</v>
      </c>
      <c r="BA532" s="77" t="str">
        <f t="shared" si="200"/>
        <v>10 ≤ Cor &lt;15 uC</v>
      </c>
      <c r="BB532" s="78" t="str">
        <f t="shared" si="201"/>
        <v>Turbidez &lt; 2,5 uT</v>
      </c>
      <c r="BC532" s="79" t="str">
        <f t="shared" si="202"/>
        <v>SM &gt; TOR &gt; BNN</v>
      </c>
      <c r="BD532" s="78" t="str">
        <f t="shared" si="203"/>
        <v>Tipo 1 (≤0,25) uT</v>
      </c>
      <c r="BE532" s="78" t="str">
        <f t="shared" si="190"/>
        <v>Tipo 1 (≤0,25) uT</v>
      </c>
      <c r="BF532" s="78" t="str">
        <f t="shared" si="204"/>
        <v>Tipo 1 (≤0,25) uT</v>
      </c>
      <c r="BG532" s="78" t="str">
        <f t="shared" si="191"/>
        <v>Tipo 1 (≤0,25) uT</v>
      </c>
      <c r="BH532" s="78" t="str">
        <f t="shared" si="205"/>
        <v>Tipo 1 (≤0,25) uT</v>
      </c>
    </row>
    <row r="533" spans="1:60" x14ac:dyDescent="0.2">
      <c r="A533" s="31">
        <v>46318</v>
      </c>
      <c r="B533" s="80">
        <v>6.25E-2</v>
      </c>
      <c r="C533" s="57">
        <v>601</v>
      </c>
      <c r="D533" s="57">
        <v>1283</v>
      </c>
      <c r="E533" s="57">
        <v>294</v>
      </c>
      <c r="F533" s="57">
        <v>2283</v>
      </c>
      <c r="G533" s="85" t="s">
        <v>34</v>
      </c>
      <c r="H533" s="63">
        <v>9.1999999999999993</v>
      </c>
      <c r="I533" s="57">
        <v>46</v>
      </c>
      <c r="J533" s="57">
        <v>90</v>
      </c>
      <c r="K533" s="57">
        <v>90</v>
      </c>
      <c r="L533" s="57">
        <v>90</v>
      </c>
      <c r="M533" s="57">
        <v>25.4</v>
      </c>
      <c r="N533" s="63">
        <v>6.4</v>
      </c>
      <c r="O533" s="36">
        <v>1.63</v>
      </c>
      <c r="P533" s="57">
        <v>15</v>
      </c>
      <c r="Q533" s="63">
        <v>7.4</v>
      </c>
      <c r="R533" s="36">
        <v>7.0000000000000007E-2</v>
      </c>
      <c r="S533" s="36">
        <v>22.36</v>
      </c>
      <c r="T533" s="36">
        <v>0.88</v>
      </c>
      <c r="U533" s="36">
        <v>0.7</v>
      </c>
      <c r="V533" s="42">
        <f t="shared" si="206"/>
        <v>1823.5462499999999</v>
      </c>
      <c r="W533" s="42">
        <f t="shared" si="207"/>
        <v>1566.9619679999996</v>
      </c>
      <c r="X533" s="42">
        <f t="shared" si="208"/>
        <v>0.85929378977911841</v>
      </c>
      <c r="Y533" s="57">
        <v>3</v>
      </c>
      <c r="Z533" s="57">
        <v>4</v>
      </c>
      <c r="AA533" s="63">
        <v>5.5</v>
      </c>
      <c r="AB533" s="57">
        <v>24</v>
      </c>
      <c r="AC533" s="63">
        <v>6.2</v>
      </c>
      <c r="AD533" s="63">
        <v>8.1999999999999993</v>
      </c>
      <c r="AE533" s="36">
        <v>0.16</v>
      </c>
      <c r="AF533" s="36">
        <v>0.2</v>
      </c>
      <c r="AG533" s="42">
        <f t="shared" si="194"/>
        <v>1823.5462499999999</v>
      </c>
      <c r="AH533" s="42">
        <f t="shared" si="209"/>
        <v>1979.8438399999998</v>
      </c>
      <c r="AI533" s="42">
        <f t="shared" si="210"/>
        <v>1.0857107901705263</v>
      </c>
      <c r="AJ533" s="57">
        <v>6.4</v>
      </c>
      <c r="AK533" s="57">
        <v>4</v>
      </c>
      <c r="AL533" s="63">
        <v>6.4</v>
      </c>
      <c r="AM533" s="57">
        <v>25</v>
      </c>
      <c r="AN533" s="63">
        <v>6.2</v>
      </c>
      <c r="AO533" s="63">
        <v>8.4</v>
      </c>
      <c r="AP533" s="36">
        <v>0.12</v>
      </c>
      <c r="AQ533" s="36">
        <v>0.13</v>
      </c>
      <c r="AR533" s="73">
        <f t="shared" si="195"/>
        <v>2178</v>
      </c>
      <c r="AS533" s="75">
        <f t="shared" si="196"/>
        <v>0.27594123048668501</v>
      </c>
      <c r="AT533" s="75">
        <f t="shared" si="197"/>
        <v>0.58907254361799821</v>
      </c>
      <c r="AU533" s="75">
        <f t="shared" si="198"/>
        <v>0.13498622589531681</v>
      </c>
      <c r="AV533" s="26">
        <f t="shared" si="192"/>
        <v>3.011103950167739E-3</v>
      </c>
      <c r="AW533" s="26">
        <f t="shared" si="211"/>
        <v>5.8969837048245839E-3</v>
      </c>
      <c r="AX533" s="26">
        <f t="shared" si="188"/>
        <v>0.92024539877300615</v>
      </c>
      <c r="AY533" s="24">
        <f t="shared" si="189"/>
        <v>0.87730061349693256</v>
      </c>
      <c r="AZ533" s="77" t="str">
        <f t="shared" si="199"/>
        <v>5,0 ≤ Alc. Bruta &lt; 7,5 mg/L</v>
      </c>
      <c r="BA533" s="77" t="str">
        <f t="shared" si="200"/>
        <v>15 ≤ Cor &lt; 30 uC</v>
      </c>
      <c r="BB533" s="78" t="str">
        <f t="shared" si="201"/>
        <v>Turbidez &lt; 2,5 uT</v>
      </c>
      <c r="BC533" s="79" t="str">
        <f t="shared" si="202"/>
        <v>SM &gt; TOR &gt; BNN</v>
      </c>
      <c r="BD533" s="78" t="str">
        <f t="shared" si="203"/>
        <v>Tipo 1 (≤0,25) uT</v>
      </c>
      <c r="BE533" s="78" t="str">
        <f t="shared" si="190"/>
        <v>Tipo 1 (≤0,25) uT</v>
      </c>
      <c r="BF533" s="78" t="str">
        <f t="shared" si="204"/>
        <v>Tipo 1 (≤0,25) uT</v>
      </c>
      <c r="BG533" s="78" t="str">
        <f t="shared" si="191"/>
        <v>Tipo 1 (≤0,25) uT</v>
      </c>
      <c r="BH533" s="78" t="str">
        <f t="shared" si="205"/>
        <v>Tipo 1 (≤0,25) uT</v>
      </c>
    </row>
    <row r="534" spans="1:60" x14ac:dyDescent="0.2">
      <c r="A534" s="31">
        <v>46318</v>
      </c>
      <c r="B534" s="80">
        <v>0.14583333333333334</v>
      </c>
      <c r="C534" s="57">
        <v>605</v>
      </c>
      <c r="D534" s="57">
        <v>1227</v>
      </c>
      <c r="E534" s="57">
        <v>294</v>
      </c>
      <c r="F534" s="57">
        <v>2291</v>
      </c>
      <c r="G534" s="85" t="s">
        <v>34</v>
      </c>
      <c r="H534" s="63">
        <v>9.1999999999999993</v>
      </c>
      <c r="I534" s="57">
        <v>26.1</v>
      </c>
      <c r="J534" s="57">
        <v>90</v>
      </c>
      <c r="K534" s="57">
        <v>90</v>
      </c>
      <c r="L534" s="57">
        <v>90</v>
      </c>
      <c r="M534" s="57">
        <v>25.3</v>
      </c>
      <c r="N534" s="63">
        <v>6.4</v>
      </c>
      <c r="O534" s="36">
        <v>1.71</v>
      </c>
      <c r="P534" s="57">
        <v>12</v>
      </c>
      <c r="Q534" s="63">
        <v>8.3000000000000007</v>
      </c>
      <c r="R534" s="36">
        <v>7.0000000000000007E-2</v>
      </c>
      <c r="S534" s="36">
        <v>22.36</v>
      </c>
      <c r="T534" s="36">
        <v>0.88</v>
      </c>
      <c r="U534" s="36">
        <v>0.7</v>
      </c>
      <c r="V534" s="42">
        <f t="shared" si="206"/>
        <v>1852.8462499999998</v>
      </c>
      <c r="W534" s="42">
        <f t="shared" si="207"/>
        <v>1566.9619679999996</v>
      </c>
      <c r="X534" s="42">
        <f t="shared" si="208"/>
        <v>0.84570534009500231</v>
      </c>
      <c r="Y534" s="57">
        <v>3</v>
      </c>
      <c r="Z534" s="57">
        <v>4</v>
      </c>
      <c r="AA534" s="63">
        <v>5.5</v>
      </c>
      <c r="AB534" s="57">
        <v>24</v>
      </c>
      <c r="AC534" s="63">
        <v>6.2</v>
      </c>
      <c r="AD534" s="63">
        <v>8</v>
      </c>
      <c r="AE534" s="36">
        <v>0.14000000000000001</v>
      </c>
      <c r="AF534" s="36">
        <v>0.19</v>
      </c>
      <c r="AG534" s="42">
        <f t="shared" si="194"/>
        <v>1852.8462499999998</v>
      </c>
      <c r="AH534" s="42">
        <f t="shared" si="209"/>
        <v>1979.8438399999998</v>
      </c>
      <c r="AI534" s="42">
        <f t="shared" si="210"/>
        <v>1.0685418933168362</v>
      </c>
      <c r="AJ534" s="57">
        <v>6.4</v>
      </c>
      <c r="AK534" s="57">
        <v>4</v>
      </c>
      <c r="AL534" s="63">
        <v>6.4</v>
      </c>
      <c r="AM534" s="57">
        <v>25</v>
      </c>
      <c r="AN534" s="63">
        <v>6.2</v>
      </c>
      <c r="AO534" s="63">
        <v>7.9</v>
      </c>
      <c r="AP534" s="36">
        <v>0.11</v>
      </c>
      <c r="AQ534" s="36">
        <v>0.43</v>
      </c>
      <c r="AR534" s="73">
        <f t="shared" si="195"/>
        <v>2126</v>
      </c>
      <c r="AS534" s="75">
        <f t="shared" si="196"/>
        <v>0.28457196613358421</v>
      </c>
      <c r="AT534" s="75">
        <f t="shared" si="197"/>
        <v>0.57714016933207901</v>
      </c>
      <c r="AU534" s="75">
        <f t="shared" si="198"/>
        <v>0.13828786453433678</v>
      </c>
      <c r="AV534" s="26">
        <f t="shared" si="192"/>
        <v>2.9531395551113133E-3</v>
      </c>
      <c r="AW534" s="26">
        <f t="shared" si="211"/>
        <v>5.783465507258302E-3</v>
      </c>
      <c r="AX534" s="26">
        <f t="shared" si="188"/>
        <v>0.74853801169590639</v>
      </c>
      <c r="AY534" s="24">
        <f t="shared" si="189"/>
        <v>0.88888888888888884</v>
      </c>
      <c r="AZ534" s="77" t="str">
        <f t="shared" si="199"/>
        <v>7,5 ≤ Alc. Bruta &lt; 10,0 mg/L</v>
      </c>
      <c r="BA534" s="77" t="str">
        <f t="shared" si="200"/>
        <v>10 ≤ Cor &lt;15 uC</v>
      </c>
      <c r="BB534" s="78" t="str">
        <f t="shared" si="201"/>
        <v>Turbidez &lt; 2,5 uT</v>
      </c>
      <c r="BC534" s="79" t="str">
        <f t="shared" si="202"/>
        <v>SM &gt; TOR &gt; BNN</v>
      </c>
      <c r="BD534" s="78" t="str">
        <f t="shared" si="203"/>
        <v>Tipo 1 (≤0,25) uT</v>
      </c>
      <c r="BE534" s="78" t="str">
        <f t="shared" si="190"/>
        <v>Tipo 1 (≤0,25) uT</v>
      </c>
      <c r="BF534" s="78" t="str">
        <f t="shared" si="204"/>
        <v>Tipo 1 (≤0,25) uT</v>
      </c>
      <c r="BG534" s="78" t="str">
        <f t="shared" si="191"/>
        <v>Tipo 2 (0,25-0,50) uT</v>
      </c>
      <c r="BH534" s="78" t="str">
        <f t="shared" si="205"/>
        <v>Tipo 1 (≤0,25) uT</v>
      </c>
    </row>
    <row r="535" spans="1:60" ht="15.75" thickBot="1" x14ac:dyDescent="0.25">
      <c r="A535" s="32">
        <v>46318</v>
      </c>
      <c r="B535" s="81">
        <v>0.22916666666666666</v>
      </c>
      <c r="C535" s="58">
        <v>600</v>
      </c>
      <c r="D535" s="58">
        <v>1271</v>
      </c>
      <c r="E535" s="58">
        <v>297</v>
      </c>
      <c r="F535" s="58">
        <v>2077</v>
      </c>
      <c r="G535" s="86" t="s">
        <v>34</v>
      </c>
      <c r="H535" s="64">
        <v>9.1999999999999993</v>
      </c>
      <c r="I535" s="58">
        <v>7.06</v>
      </c>
      <c r="J535" s="58">
        <v>90</v>
      </c>
      <c r="K535" s="58">
        <v>90</v>
      </c>
      <c r="L535" s="58">
        <v>90</v>
      </c>
      <c r="M535" s="58">
        <v>25</v>
      </c>
      <c r="N535" s="64">
        <v>6.4</v>
      </c>
      <c r="O535" s="37">
        <v>1.79</v>
      </c>
      <c r="P535" s="58">
        <v>12</v>
      </c>
      <c r="Q535" s="64">
        <v>7.9</v>
      </c>
      <c r="R535" s="37">
        <v>7.0000000000000007E-2</v>
      </c>
      <c r="S535" s="36">
        <v>22.36</v>
      </c>
      <c r="T535" s="36">
        <v>0.88</v>
      </c>
      <c r="U535" s="36">
        <v>0.7</v>
      </c>
      <c r="V535" s="42">
        <f t="shared" si="206"/>
        <v>1700.54375</v>
      </c>
      <c r="W535" s="42">
        <f t="shared" si="207"/>
        <v>1566.9619679999996</v>
      </c>
      <c r="X535" s="42">
        <f t="shared" si="208"/>
        <v>0.92144760639060275</v>
      </c>
      <c r="Y535" s="58">
        <v>3</v>
      </c>
      <c r="Z535" s="58">
        <v>4</v>
      </c>
      <c r="AA535" s="64">
        <v>5.5</v>
      </c>
      <c r="AB535" s="58">
        <v>24</v>
      </c>
      <c r="AC535" s="64">
        <v>6.2</v>
      </c>
      <c r="AD535" s="64">
        <v>7.9</v>
      </c>
      <c r="AE535" s="37">
        <v>0.13</v>
      </c>
      <c r="AF535" s="37">
        <v>0.18</v>
      </c>
      <c r="AG535" s="42">
        <f t="shared" si="194"/>
        <v>1700.54375</v>
      </c>
      <c r="AH535" s="42">
        <f t="shared" si="209"/>
        <v>1979.8438399999998</v>
      </c>
      <c r="AI535" s="42">
        <f t="shared" si="210"/>
        <v>1.1642416374174436</v>
      </c>
      <c r="AJ535" s="58">
        <v>6.4</v>
      </c>
      <c r="AK535" s="58">
        <v>4</v>
      </c>
      <c r="AL535" s="64">
        <v>6.4</v>
      </c>
      <c r="AM535" s="58">
        <v>25</v>
      </c>
      <c r="AN535" s="64">
        <v>6.1</v>
      </c>
      <c r="AO535" s="64">
        <v>7.6</v>
      </c>
      <c r="AP535" s="37">
        <v>0.13</v>
      </c>
      <c r="AQ535" s="37">
        <v>0.13</v>
      </c>
      <c r="AR535" s="73">
        <f t="shared" si="195"/>
        <v>2168</v>
      </c>
      <c r="AS535" s="75">
        <f t="shared" si="196"/>
        <v>0.2767527675276753</v>
      </c>
      <c r="AT535" s="75">
        <f t="shared" si="197"/>
        <v>0.58625461254612543</v>
      </c>
      <c r="AU535" s="75">
        <f t="shared" si="198"/>
        <v>0.13699261992619927</v>
      </c>
      <c r="AV535" s="26">
        <f t="shared" si="192"/>
        <v>3.5491482191260574E-3</v>
      </c>
      <c r="AW535" s="26">
        <f t="shared" si="211"/>
        <v>6.8385883372618248E-3</v>
      </c>
      <c r="AX535" s="26">
        <f t="shared" si="188"/>
        <v>0.92737430167597767</v>
      </c>
      <c r="AY535" s="24">
        <f t="shared" si="189"/>
        <v>0.8994413407821229</v>
      </c>
      <c r="AZ535" s="77" t="str">
        <f t="shared" si="199"/>
        <v>7,5 ≤ Alc. Bruta &lt; 10,0 mg/L</v>
      </c>
      <c r="BA535" s="77" t="str">
        <f t="shared" si="200"/>
        <v>10 ≤ Cor &lt;15 uC</v>
      </c>
      <c r="BB535" s="78" t="str">
        <f t="shared" si="201"/>
        <v>Turbidez &lt; 2,5 uT</v>
      </c>
      <c r="BC535" s="79" t="str">
        <f t="shared" si="202"/>
        <v>SM &gt; TOR &gt; BNN</v>
      </c>
      <c r="BD535" s="78" t="str">
        <f t="shared" si="203"/>
        <v>Tipo 1 (≤0,25) uT</v>
      </c>
      <c r="BE535" s="78" t="str">
        <f t="shared" si="190"/>
        <v>Tipo 1 (≤0,25) uT</v>
      </c>
      <c r="BF535" s="78" t="str">
        <f t="shared" si="204"/>
        <v>Tipo 1 (≤0,25) uT</v>
      </c>
      <c r="BG535" s="78" t="str">
        <f t="shared" si="191"/>
        <v>Tipo 1 (≤0,25) uT</v>
      </c>
      <c r="BH535" s="78" t="str">
        <f t="shared" si="205"/>
        <v>Tipo 1 (≤0,25) uT</v>
      </c>
    </row>
    <row r="536" spans="1:60" x14ac:dyDescent="0.2">
      <c r="A536" s="30">
        <v>46318</v>
      </c>
      <c r="B536" s="82">
        <v>0.3125</v>
      </c>
      <c r="C536" s="59">
        <v>603</v>
      </c>
      <c r="D536" s="59">
        <v>1246</v>
      </c>
      <c r="E536" s="59">
        <v>293</v>
      </c>
      <c r="F536" s="59">
        <v>2362</v>
      </c>
      <c r="G536" s="87" t="s">
        <v>34</v>
      </c>
      <c r="H536" s="65">
        <v>9.1999999999999993</v>
      </c>
      <c r="I536" s="59">
        <v>-11</v>
      </c>
      <c r="J536" s="59">
        <v>90</v>
      </c>
      <c r="K536" s="59">
        <v>90</v>
      </c>
      <c r="L536" s="59">
        <v>90</v>
      </c>
      <c r="M536" s="59">
        <v>25.4</v>
      </c>
      <c r="N536" s="65">
        <v>6.5</v>
      </c>
      <c r="O536" s="38">
        <v>1.56</v>
      </c>
      <c r="P536" s="59">
        <v>10</v>
      </c>
      <c r="Q536" s="65">
        <v>8</v>
      </c>
      <c r="R536" s="38">
        <v>7.0000000000000007E-2</v>
      </c>
      <c r="S536" s="36">
        <v>22.36</v>
      </c>
      <c r="T536" s="36">
        <v>0.88</v>
      </c>
      <c r="U536" s="36">
        <v>0.7</v>
      </c>
      <c r="V536" s="42">
        <f t="shared" si="206"/>
        <v>1865.98</v>
      </c>
      <c r="W536" s="42">
        <f t="shared" si="207"/>
        <v>1529.8855103999999</v>
      </c>
      <c r="X536" s="42">
        <f t="shared" si="208"/>
        <v>0.81988312329178226</v>
      </c>
      <c r="Y536" s="60">
        <v>3</v>
      </c>
      <c r="Z536" s="88">
        <v>4</v>
      </c>
      <c r="AA536" s="89">
        <v>5.4</v>
      </c>
      <c r="AB536" s="88">
        <v>24</v>
      </c>
      <c r="AC536" s="65">
        <v>6.3</v>
      </c>
      <c r="AD536" s="65">
        <v>5.6</v>
      </c>
      <c r="AE536" s="38">
        <v>0.2</v>
      </c>
      <c r="AF536" s="38">
        <v>0.17</v>
      </c>
      <c r="AG536" s="42">
        <f t="shared" si="194"/>
        <v>1865.98</v>
      </c>
      <c r="AH536" s="42">
        <f t="shared" si="209"/>
        <v>1979.8438399999998</v>
      </c>
      <c r="AI536" s="42">
        <f t="shared" si="210"/>
        <v>1.0610209327002431</v>
      </c>
      <c r="AJ536" s="59">
        <v>6.4</v>
      </c>
      <c r="AK536" s="57">
        <v>4</v>
      </c>
      <c r="AL536" s="65">
        <v>6.4</v>
      </c>
      <c r="AM536" s="59">
        <v>25</v>
      </c>
      <c r="AN536" s="65">
        <v>6.3</v>
      </c>
      <c r="AO536" s="65">
        <v>6.1</v>
      </c>
      <c r="AP536" s="38">
        <v>0.19</v>
      </c>
      <c r="AQ536" s="38">
        <v>0.12</v>
      </c>
      <c r="AR536" s="73">
        <f t="shared" si="195"/>
        <v>2142</v>
      </c>
      <c r="AS536" s="75">
        <f t="shared" si="196"/>
        <v>0.28151260504201681</v>
      </c>
      <c r="AT536" s="75">
        <f t="shared" si="197"/>
        <v>0.5816993464052288</v>
      </c>
      <c r="AU536" s="75">
        <f t="shared" si="198"/>
        <v>0.13678804855275445</v>
      </c>
      <c r="AV536" s="26">
        <f t="shared" si="192"/>
        <v>2.7769115098790252E-3</v>
      </c>
      <c r="AW536" s="26">
        <f t="shared" si="211"/>
        <v>5.6599761862925748E-3</v>
      </c>
      <c r="AX536" s="26">
        <f t="shared" si="188"/>
        <v>0.92307692307692313</v>
      </c>
      <c r="AY536" s="24">
        <f t="shared" si="189"/>
        <v>0.89102564102564097</v>
      </c>
      <c r="AZ536" s="77" t="str">
        <f t="shared" si="199"/>
        <v>7,5 ≤ Alc. Bruta &lt; 10,0 mg/L</v>
      </c>
      <c r="BA536" s="77" t="str">
        <f t="shared" si="200"/>
        <v>10 ≤ Cor &lt;15 uC</v>
      </c>
      <c r="BB536" s="78" t="str">
        <f t="shared" si="201"/>
        <v>Turbidez &lt; 2,5 uT</v>
      </c>
      <c r="BC536" s="79" t="str">
        <f t="shared" si="202"/>
        <v>SM &gt; TOR &gt; BNN</v>
      </c>
      <c r="BD536" s="78" t="str">
        <f t="shared" si="203"/>
        <v>Tipo 1 (≤0,25) uT</v>
      </c>
      <c r="BE536" s="78" t="str">
        <f t="shared" si="190"/>
        <v>Tipo 1 (≤0,25) uT</v>
      </c>
      <c r="BF536" s="78" t="str">
        <f t="shared" si="204"/>
        <v>Tipo 1 (≤0,25) uT</v>
      </c>
      <c r="BG536" s="78" t="str">
        <f t="shared" si="191"/>
        <v>Tipo 1 (≤0,25) uT</v>
      </c>
      <c r="BH536" s="78" t="str">
        <f t="shared" si="205"/>
        <v>Tipo 1 (≤0,25) uT</v>
      </c>
    </row>
    <row r="537" spans="1:60" x14ac:dyDescent="0.2">
      <c r="A537" s="31">
        <v>46318</v>
      </c>
      <c r="B537" s="80">
        <v>0.39583333333333331</v>
      </c>
      <c r="C537" s="57">
        <v>617</v>
      </c>
      <c r="D537" s="57">
        <v>1307</v>
      </c>
      <c r="E537" s="57">
        <v>293</v>
      </c>
      <c r="F537" s="57">
        <v>2358</v>
      </c>
      <c r="G537" s="85" t="s">
        <v>34</v>
      </c>
      <c r="H537" s="63">
        <v>8.5</v>
      </c>
      <c r="I537" s="57">
        <v>-499</v>
      </c>
      <c r="J537" s="57">
        <v>90</v>
      </c>
      <c r="K537" s="57">
        <v>90</v>
      </c>
      <c r="L537" s="57">
        <v>90</v>
      </c>
      <c r="M537" s="57">
        <v>25.6</v>
      </c>
      <c r="N537" s="63">
        <v>6.5</v>
      </c>
      <c r="O537" s="36">
        <v>1.67</v>
      </c>
      <c r="P537" s="57">
        <v>11</v>
      </c>
      <c r="Q537" s="63">
        <v>7.6</v>
      </c>
      <c r="R537" s="36">
        <v>7.0000000000000007E-2</v>
      </c>
      <c r="S537" s="36">
        <v>22.36</v>
      </c>
      <c r="T537" s="36">
        <v>0.88</v>
      </c>
      <c r="U537" s="36">
        <v>0.7</v>
      </c>
      <c r="V537" s="42">
        <f t="shared" si="206"/>
        <v>2444.46</v>
      </c>
      <c r="W537" s="42">
        <f t="shared" si="207"/>
        <v>1566.9619679999996</v>
      </c>
      <c r="X537" s="42">
        <f t="shared" si="208"/>
        <v>0.64102581674480241</v>
      </c>
      <c r="Y537" s="57">
        <v>3</v>
      </c>
      <c r="Z537" s="57">
        <v>3</v>
      </c>
      <c r="AA537" s="63">
        <v>5.5</v>
      </c>
      <c r="AB537" s="57">
        <v>24</v>
      </c>
      <c r="AC537" s="63">
        <v>6.3</v>
      </c>
      <c r="AD537" s="63">
        <v>6.2</v>
      </c>
      <c r="AE537" s="36">
        <v>0.21</v>
      </c>
      <c r="AF537" s="36">
        <v>0.17</v>
      </c>
      <c r="AG537" s="42">
        <f t="shared" si="194"/>
        <v>1833.345</v>
      </c>
      <c r="AH537" s="42">
        <f t="shared" si="209"/>
        <v>1979.8438399999998</v>
      </c>
      <c r="AI537" s="42">
        <f t="shared" si="210"/>
        <v>1.0799079496766837</v>
      </c>
      <c r="AJ537" s="57">
        <v>6.4</v>
      </c>
      <c r="AK537" s="57">
        <v>4</v>
      </c>
      <c r="AL537" s="63">
        <v>6.4</v>
      </c>
      <c r="AM537" s="57">
        <v>25</v>
      </c>
      <c r="AN537" s="63">
        <v>6.2</v>
      </c>
      <c r="AO537" s="63">
        <v>6.3</v>
      </c>
      <c r="AP537" s="36">
        <v>0.21</v>
      </c>
      <c r="AQ537" s="36">
        <v>0.14000000000000001</v>
      </c>
      <c r="AR537" s="73">
        <f t="shared" si="195"/>
        <v>2217</v>
      </c>
      <c r="AS537" s="75">
        <f t="shared" si="196"/>
        <v>0.27830401443391972</v>
      </c>
      <c r="AT537" s="75">
        <f t="shared" si="197"/>
        <v>0.58953540820929184</v>
      </c>
      <c r="AU537" s="75">
        <f t="shared" si="198"/>
        <v>0.13216057735678846</v>
      </c>
      <c r="AV537" s="26">
        <f t="shared" si="192"/>
        <v>1.6311089484600571E-3</v>
      </c>
      <c r="AW537" s="26">
        <f t="shared" si="211"/>
        <v>5.6789052485118219E-3</v>
      </c>
      <c r="AX537" s="26">
        <f t="shared" si="188"/>
        <v>0.91616766467065869</v>
      </c>
      <c r="AY537" s="24">
        <f t="shared" si="189"/>
        <v>0.89820359281437123</v>
      </c>
      <c r="AZ537" s="77" t="str">
        <f t="shared" si="199"/>
        <v>7,5 ≤ Alc. Bruta &lt; 10,0 mg/L</v>
      </c>
      <c r="BA537" s="77" t="str">
        <f t="shared" si="200"/>
        <v>10 ≤ Cor &lt;15 uC</v>
      </c>
      <c r="BB537" s="78" t="str">
        <f t="shared" si="201"/>
        <v>Turbidez &lt; 2,5 uT</v>
      </c>
      <c r="BC537" s="79" t="str">
        <f t="shared" si="202"/>
        <v>SM &gt; TOR &gt; BNN</v>
      </c>
      <c r="BD537" s="78" t="str">
        <f t="shared" si="203"/>
        <v>Tipo 1 (≤0,25) uT</v>
      </c>
      <c r="BE537" s="78" t="str">
        <f t="shared" si="190"/>
        <v>Tipo 1 (≤0,25) uT</v>
      </c>
      <c r="BF537" s="78" t="str">
        <f t="shared" si="204"/>
        <v>Tipo 1 (≤0,25) uT</v>
      </c>
      <c r="BG537" s="78" t="str">
        <f t="shared" si="191"/>
        <v>Tipo 1 (≤0,25) uT</v>
      </c>
      <c r="BH537" s="78" t="str">
        <f t="shared" si="205"/>
        <v>Tipo 1 (≤0,25) uT</v>
      </c>
    </row>
    <row r="538" spans="1:60" x14ac:dyDescent="0.2">
      <c r="A538" s="31">
        <v>46318</v>
      </c>
      <c r="B538" s="80">
        <v>0.64583333333333337</v>
      </c>
      <c r="C538" s="57">
        <v>618</v>
      </c>
      <c r="D538" s="57">
        <v>1264</v>
      </c>
      <c r="E538" s="57">
        <v>293</v>
      </c>
      <c r="F538" s="57">
        <v>2359</v>
      </c>
      <c r="G538" s="85" t="s">
        <v>34</v>
      </c>
      <c r="H538" s="63">
        <v>8</v>
      </c>
      <c r="I538" s="57">
        <v>-6.9</v>
      </c>
      <c r="J538" s="57">
        <v>90</v>
      </c>
      <c r="K538" s="57">
        <v>90</v>
      </c>
      <c r="L538" s="57">
        <v>90</v>
      </c>
      <c r="M538" s="57">
        <v>26.5</v>
      </c>
      <c r="N538" s="63">
        <v>6.5</v>
      </c>
      <c r="O538" s="36">
        <v>1.55</v>
      </c>
      <c r="P538" s="57">
        <v>12</v>
      </c>
      <c r="Q538" s="63">
        <v>8.4</v>
      </c>
      <c r="R538" s="36">
        <v>0.09</v>
      </c>
      <c r="S538" s="36">
        <v>22.36</v>
      </c>
      <c r="T538" s="36">
        <v>0.88</v>
      </c>
      <c r="U538" s="36">
        <v>0.7</v>
      </c>
      <c r="V538" s="42">
        <f t="shared" si="206"/>
        <v>2339.3416666666667</v>
      </c>
      <c r="W538" s="42">
        <f t="shared" si="207"/>
        <v>1748.1159799999996</v>
      </c>
      <c r="X538" s="42">
        <f t="shared" si="208"/>
        <v>0.74726834686396792</v>
      </c>
      <c r="Y538" s="57">
        <v>3</v>
      </c>
      <c r="Z538" s="57">
        <v>3</v>
      </c>
      <c r="AA538" s="63">
        <v>5.8</v>
      </c>
      <c r="AB538" s="57">
        <v>25</v>
      </c>
      <c r="AC538" s="63">
        <v>6.3</v>
      </c>
      <c r="AD538" s="63">
        <v>7.1</v>
      </c>
      <c r="AE538" s="36">
        <v>0.13</v>
      </c>
      <c r="AF538" s="36">
        <v>0.17</v>
      </c>
      <c r="AG538" s="42">
        <f t="shared" si="194"/>
        <v>1754.5062500000001</v>
      </c>
      <c r="AH538" s="42">
        <f t="shared" si="209"/>
        <v>1979.8438399999998</v>
      </c>
      <c r="AI538" s="42">
        <f t="shared" si="210"/>
        <v>1.1284336205698895</v>
      </c>
      <c r="AJ538" s="57">
        <v>6.4</v>
      </c>
      <c r="AK538" s="57">
        <v>4</v>
      </c>
      <c r="AL538" s="63">
        <v>6.4</v>
      </c>
      <c r="AM538" s="57">
        <v>25</v>
      </c>
      <c r="AN538" s="63">
        <v>6.4</v>
      </c>
      <c r="AO538" s="63">
        <v>7.5</v>
      </c>
      <c r="AP538" s="36">
        <v>0.18</v>
      </c>
      <c r="AQ538" s="36">
        <v>0.12</v>
      </c>
      <c r="AR538" s="73">
        <f t="shared" si="195"/>
        <v>2175</v>
      </c>
      <c r="AS538" s="75">
        <f t="shared" si="196"/>
        <v>0.28413793103448276</v>
      </c>
      <c r="AT538" s="75">
        <f t="shared" si="197"/>
        <v>0.58114942528735636</v>
      </c>
      <c r="AU538" s="75">
        <f t="shared" si="198"/>
        <v>0.13471264367816091</v>
      </c>
      <c r="AV538" s="26">
        <f t="shared" si="192"/>
        <v>1.9006401361525253E-3</v>
      </c>
      <c r="AW538" s="26">
        <f t="shared" si="211"/>
        <v>6.1229123964792647E-3</v>
      </c>
      <c r="AX538" s="26">
        <f t="shared" si="188"/>
        <v>0.92258064516129035</v>
      </c>
      <c r="AY538" s="24">
        <f t="shared" si="189"/>
        <v>0.89032258064516134</v>
      </c>
      <c r="AZ538" s="77" t="str">
        <f t="shared" si="199"/>
        <v>7,5 ≤ Alc. Bruta &lt; 10,0 mg/L</v>
      </c>
      <c r="BA538" s="77" t="str">
        <f t="shared" si="200"/>
        <v>10 ≤ Cor &lt;15 uC</v>
      </c>
      <c r="BB538" s="78" t="str">
        <f t="shared" si="201"/>
        <v>Turbidez &lt; 2,5 uT</v>
      </c>
      <c r="BC538" s="79" t="str">
        <f t="shared" si="202"/>
        <v>SM &gt; TOR &gt; BNN</v>
      </c>
      <c r="BD538" s="78" t="str">
        <f t="shared" si="203"/>
        <v>Tipo 1 (≤0,25) uT</v>
      </c>
      <c r="BE538" s="78" t="str">
        <f t="shared" si="190"/>
        <v>Tipo 1 (≤0,25) uT</v>
      </c>
      <c r="BF538" s="78" t="str">
        <f t="shared" si="204"/>
        <v>Tipo 1 (≤0,25) uT</v>
      </c>
      <c r="BG538" s="78" t="str">
        <f t="shared" si="191"/>
        <v>Tipo 1 (≤0,25) uT</v>
      </c>
      <c r="BH538" s="78" t="str">
        <f t="shared" si="205"/>
        <v>Tipo 1 (≤0,25) uT</v>
      </c>
    </row>
    <row r="539" spans="1:60" x14ac:dyDescent="0.2">
      <c r="A539" s="31">
        <v>46318</v>
      </c>
      <c r="B539" s="80">
        <v>0.72916666666666663</v>
      </c>
      <c r="C539" s="57">
        <v>619</v>
      </c>
      <c r="D539" s="57">
        <v>1289</v>
      </c>
      <c r="E539" s="57">
        <v>293</v>
      </c>
      <c r="F539" s="57">
        <v>2362</v>
      </c>
      <c r="G539" s="85" t="s">
        <v>34</v>
      </c>
      <c r="H539" s="63">
        <v>8</v>
      </c>
      <c r="I539" s="57">
        <v>-9.8000000000000007</v>
      </c>
      <c r="J539" s="57">
        <v>90</v>
      </c>
      <c r="K539" s="57">
        <v>90</v>
      </c>
      <c r="L539" s="57">
        <v>90</v>
      </c>
      <c r="M539" s="57">
        <v>26.2</v>
      </c>
      <c r="N539" s="63">
        <v>6.5</v>
      </c>
      <c r="O539" s="36">
        <v>2.0699999999999998</v>
      </c>
      <c r="P539" s="57">
        <v>12</v>
      </c>
      <c r="Q539" s="63">
        <v>7.5</v>
      </c>
      <c r="R539" s="36">
        <v>0.12</v>
      </c>
      <c r="S539" s="36">
        <v>22.36</v>
      </c>
      <c r="T539" s="36">
        <v>0.88</v>
      </c>
      <c r="U539" s="36">
        <v>0.7</v>
      </c>
      <c r="V539" s="42">
        <f t="shared" si="206"/>
        <v>2547.0233333333335</v>
      </c>
      <c r="W539" s="42">
        <f t="shared" si="207"/>
        <v>1748.1159799999996</v>
      </c>
      <c r="X539" s="42">
        <f t="shared" si="208"/>
        <v>0.68633685334645522</v>
      </c>
      <c r="Y539" s="57">
        <v>3</v>
      </c>
      <c r="Z539" s="57">
        <v>3</v>
      </c>
      <c r="AA539" s="63">
        <v>5.8</v>
      </c>
      <c r="AB539" s="57">
        <v>25</v>
      </c>
      <c r="AC539" s="63">
        <v>6.4</v>
      </c>
      <c r="AD539" s="63">
        <v>5.8</v>
      </c>
      <c r="AE539" s="36">
        <v>0.08</v>
      </c>
      <c r="AF539" s="36">
        <v>0.17</v>
      </c>
      <c r="AG539" s="42">
        <f t="shared" si="194"/>
        <v>1910.2674999999999</v>
      </c>
      <c r="AH539" s="42">
        <f t="shared" si="209"/>
        <v>1979.8438399999998</v>
      </c>
      <c r="AI539" s="42">
        <f t="shared" si="210"/>
        <v>1.0364223021121386</v>
      </c>
      <c r="AJ539" s="57">
        <v>6.4</v>
      </c>
      <c r="AK539" s="57">
        <v>4</v>
      </c>
      <c r="AL539" s="63">
        <v>6.4</v>
      </c>
      <c r="AM539" s="57">
        <v>25</v>
      </c>
      <c r="AN539" s="63">
        <v>6.4</v>
      </c>
      <c r="AO539" s="63">
        <v>6.5</v>
      </c>
      <c r="AP539" s="36">
        <v>0.15</v>
      </c>
      <c r="AQ539" s="36">
        <v>0.13</v>
      </c>
      <c r="AR539" s="73">
        <f t="shared" si="195"/>
        <v>2201</v>
      </c>
      <c r="AS539" s="75">
        <f t="shared" si="196"/>
        <v>0.28123580190822356</v>
      </c>
      <c r="AT539" s="75">
        <f t="shared" si="197"/>
        <v>0.58564288959563837</v>
      </c>
      <c r="AU539" s="75">
        <f t="shared" si="198"/>
        <v>0.13312130849613812</v>
      </c>
      <c r="AV539" s="26">
        <f t="shared" si="192"/>
        <v>1.7434467062145348E-3</v>
      </c>
      <c r="AW539" s="26">
        <f t="shared" si="211"/>
        <v>5.6165137455695914E-3</v>
      </c>
      <c r="AX539" s="26">
        <f t="shared" si="188"/>
        <v>0.93719806763285018</v>
      </c>
      <c r="AY539" s="24">
        <f t="shared" si="189"/>
        <v>0.91787439613526567</v>
      </c>
      <c r="AZ539" s="77" t="str">
        <f t="shared" si="199"/>
        <v>7,5 ≤ Alc. Bruta &lt; 10,0 mg/L</v>
      </c>
      <c r="BA539" s="77" t="str">
        <f t="shared" si="200"/>
        <v>10 ≤ Cor &lt;15 uC</v>
      </c>
      <c r="BB539" s="78" t="str">
        <f t="shared" si="201"/>
        <v>Turbidez &lt; 2,5 uT</v>
      </c>
      <c r="BC539" s="79" t="str">
        <f t="shared" si="202"/>
        <v>SM &gt; TOR &gt; BNN</v>
      </c>
      <c r="BD539" s="78" t="str">
        <f t="shared" si="203"/>
        <v>Tipo 1 (≤0,25) uT</v>
      </c>
      <c r="BE539" s="78" t="str">
        <f t="shared" si="190"/>
        <v>Tipo 1 (≤0,25) uT</v>
      </c>
      <c r="BF539" s="78" t="str">
        <f t="shared" si="204"/>
        <v>Tipo 1 (≤0,25) uT</v>
      </c>
      <c r="BG539" s="78" t="str">
        <f t="shared" si="191"/>
        <v>Tipo 1 (≤0,25) uT</v>
      </c>
      <c r="BH539" s="78" t="str">
        <f t="shared" si="205"/>
        <v>Tipo 1 (≤0,25) uT</v>
      </c>
    </row>
    <row r="540" spans="1:60" x14ac:dyDescent="0.2">
      <c r="A540" s="31">
        <v>46318</v>
      </c>
      <c r="B540" s="80">
        <v>0.8125</v>
      </c>
      <c r="C540" s="57">
        <v>526</v>
      </c>
      <c r="D540" s="57">
        <v>1287</v>
      </c>
      <c r="E540" s="57">
        <v>293</v>
      </c>
      <c r="F540" s="57">
        <v>2318</v>
      </c>
      <c r="G540" s="85" t="s">
        <v>34</v>
      </c>
      <c r="H540" s="63">
        <v>8</v>
      </c>
      <c r="I540" s="57">
        <v>-3.8</v>
      </c>
      <c r="J540" s="57">
        <v>90</v>
      </c>
      <c r="K540" s="57">
        <v>90</v>
      </c>
      <c r="L540" s="57">
        <v>90</v>
      </c>
      <c r="M540" s="57">
        <v>26</v>
      </c>
      <c r="N540" s="63">
        <v>6.5</v>
      </c>
      <c r="O540" s="36">
        <v>1.88</v>
      </c>
      <c r="P540" s="57">
        <v>11</v>
      </c>
      <c r="Q540" s="63">
        <v>7.2</v>
      </c>
      <c r="R540" s="36">
        <v>7.0000000000000007E-2</v>
      </c>
      <c r="S540" s="36">
        <v>22.36</v>
      </c>
      <c r="T540" s="36">
        <v>0.88</v>
      </c>
      <c r="U540" s="36">
        <v>0.7</v>
      </c>
      <c r="V540" s="42">
        <f t="shared" si="206"/>
        <v>2426.1733333333332</v>
      </c>
      <c r="W540" s="42">
        <f t="shared" si="207"/>
        <v>1748.1159799999996</v>
      </c>
      <c r="X540" s="42">
        <f t="shared" si="208"/>
        <v>0.72052394442826273</v>
      </c>
      <c r="Y540" s="57">
        <v>3</v>
      </c>
      <c r="Z540" s="57">
        <v>3</v>
      </c>
      <c r="AA540" s="63">
        <v>5.8</v>
      </c>
      <c r="AB540" s="57">
        <v>25</v>
      </c>
      <c r="AC540" s="63">
        <v>6.3</v>
      </c>
      <c r="AD540" s="63">
        <v>6.2</v>
      </c>
      <c r="AE540" s="36">
        <v>0.16</v>
      </c>
      <c r="AF540" s="36">
        <v>0.17</v>
      </c>
      <c r="AG540" s="42">
        <f t="shared" si="194"/>
        <v>1819.6299999999999</v>
      </c>
      <c r="AH540" s="42">
        <f t="shared" si="209"/>
        <v>1979.8438399999998</v>
      </c>
      <c r="AI540" s="42">
        <f t="shared" si="210"/>
        <v>1.0880474821804431</v>
      </c>
      <c r="AJ540" s="57">
        <v>6.4</v>
      </c>
      <c r="AK540" s="57">
        <v>4</v>
      </c>
      <c r="AL540" s="63">
        <v>6.4</v>
      </c>
      <c r="AM540" s="57">
        <v>25</v>
      </c>
      <c r="AN540" s="63">
        <v>6.4</v>
      </c>
      <c r="AO540" s="63">
        <v>7.2</v>
      </c>
      <c r="AP540" s="36">
        <v>0.14000000000000001</v>
      </c>
      <c r="AQ540" s="36">
        <v>0.12</v>
      </c>
      <c r="AR540" s="73">
        <f t="shared" si="195"/>
        <v>2106</v>
      </c>
      <c r="AS540" s="75">
        <f t="shared" si="196"/>
        <v>0.24976258309591642</v>
      </c>
      <c r="AT540" s="75">
        <f t="shared" si="197"/>
        <v>0.61111111111111116</v>
      </c>
      <c r="AU540" s="75">
        <f t="shared" si="198"/>
        <v>0.13912630579297247</v>
      </c>
      <c r="AV540" s="26">
        <f t="shared" si="192"/>
        <v>1.8650317802284629E-3</v>
      </c>
      <c r="AW540" s="26">
        <f t="shared" si="211"/>
        <v>6.0082000741629301E-3</v>
      </c>
      <c r="AX540" s="26">
        <f t="shared" si="188"/>
        <v>0.93617021276595747</v>
      </c>
      <c r="AY540" s="24">
        <f t="shared" si="189"/>
        <v>0.90957446808510634</v>
      </c>
      <c r="AZ540" s="77" t="str">
        <f t="shared" si="199"/>
        <v>5,0 ≤ Alc. Bruta &lt; 7,5 mg/L</v>
      </c>
      <c r="BA540" s="77" t="str">
        <f t="shared" si="200"/>
        <v>10 ≤ Cor &lt;15 uC</v>
      </c>
      <c r="BB540" s="78" t="str">
        <f t="shared" si="201"/>
        <v>Turbidez &lt; 2,5 uT</v>
      </c>
      <c r="BC540" s="79" t="str">
        <f t="shared" si="202"/>
        <v>SM &gt; TOR &gt; BNN</v>
      </c>
      <c r="BD540" s="78" t="str">
        <f t="shared" si="203"/>
        <v>Tipo 1 (≤0,25) uT</v>
      </c>
      <c r="BE540" s="78" t="str">
        <f t="shared" si="190"/>
        <v>Tipo 1 (≤0,25) uT</v>
      </c>
      <c r="BF540" s="78" t="str">
        <f t="shared" si="204"/>
        <v>Tipo 1 (≤0,25) uT</v>
      </c>
      <c r="BG540" s="78" t="str">
        <f t="shared" si="191"/>
        <v>Tipo 1 (≤0,25) uT</v>
      </c>
      <c r="BH540" s="78" t="str">
        <f t="shared" si="205"/>
        <v>Tipo 1 (≤0,25) uT</v>
      </c>
    </row>
    <row r="541" spans="1:60" x14ac:dyDescent="0.2">
      <c r="A541" s="31">
        <v>46318</v>
      </c>
      <c r="B541" s="80">
        <v>0.89583333333333337</v>
      </c>
      <c r="C541" s="57">
        <v>393</v>
      </c>
      <c r="D541" s="57">
        <v>1530</v>
      </c>
      <c r="E541" s="57">
        <v>250</v>
      </c>
      <c r="F541" s="57">
        <v>2220</v>
      </c>
      <c r="G541" s="85" t="s">
        <v>34</v>
      </c>
      <c r="H541" s="63">
        <v>8</v>
      </c>
      <c r="I541" s="57">
        <v>-25</v>
      </c>
      <c r="J541" s="57">
        <v>90</v>
      </c>
      <c r="K541" s="57">
        <v>90</v>
      </c>
      <c r="L541" s="57">
        <v>90</v>
      </c>
      <c r="M541" s="57">
        <v>24.4</v>
      </c>
      <c r="N541" s="63">
        <v>6.4</v>
      </c>
      <c r="O541" s="36">
        <v>1.67</v>
      </c>
      <c r="P541" s="57">
        <v>10</v>
      </c>
      <c r="Q541" s="63">
        <v>6.6</v>
      </c>
      <c r="R541" s="36">
        <v>0.09</v>
      </c>
      <c r="S541" s="36">
        <v>22.36</v>
      </c>
      <c r="T541" s="36">
        <v>0.88</v>
      </c>
      <c r="U541" s="36">
        <v>0.7</v>
      </c>
      <c r="V541" s="42">
        <f t="shared" si="206"/>
        <v>2245.9</v>
      </c>
      <c r="W541" s="42">
        <f t="shared" si="207"/>
        <v>1678.1913407999996</v>
      </c>
      <c r="X541" s="42">
        <f t="shared" si="208"/>
        <v>0.74722442708936265</v>
      </c>
      <c r="Y541" s="57">
        <v>3</v>
      </c>
      <c r="Z541" s="57">
        <v>3</v>
      </c>
      <c r="AA541" s="63">
        <v>5.8</v>
      </c>
      <c r="AB541" s="57">
        <v>24</v>
      </c>
      <c r="AC541" s="63">
        <v>6.4</v>
      </c>
      <c r="AD541" s="63">
        <v>5.5</v>
      </c>
      <c r="AE541" s="36">
        <v>0.15</v>
      </c>
      <c r="AF541" s="36">
        <v>0.15</v>
      </c>
      <c r="AG541" s="42">
        <f t="shared" si="194"/>
        <v>1684.4250000000002</v>
      </c>
      <c r="AH541" s="42">
        <f t="shared" si="209"/>
        <v>1941.2225299999996</v>
      </c>
      <c r="AI541" s="42">
        <f t="shared" si="210"/>
        <v>1.1524541193582376</v>
      </c>
      <c r="AJ541" s="57">
        <v>6.3</v>
      </c>
      <c r="AK541" s="57">
        <v>4</v>
      </c>
      <c r="AL541" s="63">
        <v>6.3</v>
      </c>
      <c r="AM541" s="57">
        <v>25</v>
      </c>
      <c r="AN541" s="63">
        <v>6.3</v>
      </c>
      <c r="AO541" s="63">
        <v>6.4</v>
      </c>
      <c r="AP541" s="36">
        <v>0.21</v>
      </c>
      <c r="AQ541" s="36">
        <v>0.11</v>
      </c>
      <c r="AR541" s="73">
        <f t="shared" si="195"/>
        <v>2173</v>
      </c>
      <c r="AS541" s="75">
        <f t="shared" si="196"/>
        <v>0.18085595950299124</v>
      </c>
      <c r="AT541" s="75">
        <f t="shared" si="197"/>
        <v>0.70409572020248501</v>
      </c>
      <c r="AU541" s="75">
        <f t="shared" si="198"/>
        <v>0.11504832029452371</v>
      </c>
      <c r="AV541" s="26">
        <f t="shared" si="192"/>
        <v>2.0195254786198988E-3</v>
      </c>
      <c r="AW541" s="26">
        <f t="shared" si="211"/>
        <v>6.540955812573781E-3</v>
      </c>
      <c r="AX541" s="26">
        <f t="shared" si="188"/>
        <v>0.93413173652694614</v>
      </c>
      <c r="AY541" s="24">
        <f t="shared" si="189"/>
        <v>0.91017964071856283</v>
      </c>
      <c r="AZ541" s="77" t="str">
        <f t="shared" si="199"/>
        <v>5,0 ≤ Alc. Bruta &lt; 7,5 mg/L</v>
      </c>
      <c r="BA541" s="77" t="str">
        <f t="shared" si="200"/>
        <v>10 ≤ Cor &lt;15 uC</v>
      </c>
      <c r="BB541" s="78" t="str">
        <f t="shared" si="201"/>
        <v>Turbidez &lt; 2,5 uT</v>
      </c>
      <c r="BC541" s="79" t="str">
        <f t="shared" si="202"/>
        <v>SM &gt; TOR &gt; BNN</v>
      </c>
      <c r="BD541" s="78" t="str">
        <f t="shared" si="203"/>
        <v>Tipo 1 (≤0,25) uT</v>
      </c>
      <c r="BE541" s="78" t="str">
        <f t="shared" si="190"/>
        <v>Tipo 1 (≤0,25) uT</v>
      </c>
      <c r="BF541" s="78" t="str">
        <f t="shared" si="204"/>
        <v>Tipo 1 (≤0,25) uT</v>
      </c>
      <c r="BG541" s="78" t="str">
        <f t="shared" si="191"/>
        <v>Tipo 1 (≤0,25) uT</v>
      </c>
      <c r="BH541" s="78" t="str">
        <f t="shared" si="205"/>
        <v>Tipo 1 (≤0,25) uT</v>
      </c>
    </row>
    <row r="542" spans="1:60" x14ac:dyDescent="0.2">
      <c r="A542" s="31">
        <v>46318</v>
      </c>
      <c r="B542" s="80">
        <v>0.97916666666666663</v>
      </c>
      <c r="C542" s="57">
        <v>390</v>
      </c>
      <c r="D542" s="57">
        <v>1534</v>
      </c>
      <c r="E542" s="57">
        <v>250</v>
      </c>
      <c r="F542" s="57">
        <v>2185</v>
      </c>
      <c r="G542" s="85" t="s">
        <v>34</v>
      </c>
      <c r="H542" s="63">
        <v>8</v>
      </c>
      <c r="I542" s="57">
        <v>-44</v>
      </c>
      <c r="J542" s="57">
        <v>90</v>
      </c>
      <c r="K542" s="57">
        <v>90</v>
      </c>
      <c r="L542" s="57">
        <v>90</v>
      </c>
      <c r="M542" s="57">
        <v>24.8</v>
      </c>
      <c r="N542" s="63">
        <v>6.5</v>
      </c>
      <c r="O542" s="36">
        <v>1.72</v>
      </c>
      <c r="P542" s="57">
        <v>11</v>
      </c>
      <c r="Q542" s="63">
        <v>6.8</v>
      </c>
      <c r="R542" s="36">
        <v>0.09</v>
      </c>
      <c r="S542" s="36">
        <v>22.36</v>
      </c>
      <c r="T542" s="36">
        <v>0.88</v>
      </c>
      <c r="U542" s="36">
        <v>0.7</v>
      </c>
      <c r="V542" s="42">
        <f t="shared" si="206"/>
        <v>2228.7000000000003</v>
      </c>
      <c r="W542" s="42">
        <f t="shared" si="207"/>
        <v>1748.1159799999996</v>
      </c>
      <c r="X542" s="42">
        <f t="shared" si="208"/>
        <v>0.78436576479562048</v>
      </c>
      <c r="Y542" s="57">
        <v>3</v>
      </c>
      <c r="Z542" s="57">
        <v>3</v>
      </c>
      <c r="AA542" s="63">
        <v>5.8</v>
      </c>
      <c r="AB542" s="57">
        <v>25</v>
      </c>
      <c r="AC542" s="63">
        <v>6.4</v>
      </c>
      <c r="AD542" s="63">
        <v>5.7</v>
      </c>
      <c r="AE542" s="36">
        <v>0.19</v>
      </c>
      <c r="AF542" s="36">
        <v>0.16</v>
      </c>
      <c r="AG542" s="42">
        <f t="shared" si="194"/>
        <v>1671.5250000000001</v>
      </c>
      <c r="AH542" s="42">
        <f t="shared" si="209"/>
        <v>1979.8438399999998</v>
      </c>
      <c r="AI542" s="42">
        <f t="shared" si="210"/>
        <v>1.1844536216927655</v>
      </c>
      <c r="AJ542" s="57">
        <v>6.4</v>
      </c>
      <c r="AK542" s="57">
        <v>4</v>
      </c>
      <c r="AL542" s="63">
        <v>6.4</v>
      </c>
      <c r="AM542" s="57">
        <v>25</v>
      </c>
      <c r="AN542" s="63">
        <v>6.3</v>
      </c>
      <c r="AO542" s="63">
        <v>6.6</v>
      </c>
      <c r="AP542" s="36">
        <v>0.17</v>
      </c>
      <c r="AQ542" s="36">
        <v>0.11</v>
      </c>
      <c r="AR542" s="73">
        <f t="shared" si="195"/>
        <v>2174</v>
      </c>
      <c r="AS542" s="75">
        <f t="shared" si="196"/>
        <v>0.17939282428702852</v>
      </c>
      <c r="AT542" s="75">
        <f t="shared" si="197"/>
        <v>0.7056117755289788</v>
      </c>
      <c r="AU542" s="75">
        <f t="shared" si="198"/>
        <v>0.11499540018399264</v>
      </c>
      <c r="AV542" s="26">
        <f t="shared" si="192"/>
        <v>2.1538648003541069E-3</v>
      </c>
      <c r="AW542" s="26">
        <f t="shared" si="211"/>
        <v>6.8302588710887156E-3</v>
      </c>
      <c r="AX542" s="26">
        <f t="shared" si="188"/>
        <v>0.93604651162790697</v>
      </c>
      <c r="AY542" s="24">
        <f t="shared" si="189"/>
        <v>0.90697674418604657</v>
      </c>
      <c r="AZ542" s="77" t="str">
        <f t="shared" si="199"/>
        <v>5,0 ≤ Alc. Bruta &lt; 7,5 mg/L</v>
      </c>
      <c r="BA542" s="77" t="str">
        <f t="shared" si="200"/>
        <v>10 ≤ Cor &lt;15 uC</v>
      </c>
      <c r="BB542" s="78" t="str">
        <f t="shared" si="201"/>
        <v>Turbidez &lt; 2,5 uT</v>
      </c>
      <c r="BC542" s="79" t="str">
        <f t="shared" si="202"/>
        <v>SM &gt; TOR &gt; BNN</v>
      </c>
      <c r="BD542" s="78" t="str">
        <f t="shared" si="203"/>
        <v>Tipo 1 (≤0,25) uT</v>
      </c>
      <c r="BE542" s="78" t="str">
        <f t="shared" si="190"/>
        <v>Tipo 1 (≤0,25) uT</v>
      </c>
      <c r="BF542" s="78" t="str">
        <f t="shared" si="204"/>
        <v>Tipo 1 (≤0,25) uT</v>
      </c>
      <c r="BG542" s="78" t="str">
        <f t="shared" si="191"/>
        <v>Tipo 1 (≤0,25) uT</v>
      </c>
      <c r="BH542" s="78" t="str">
        <f t="shared" si="205"/>
        <v>Tipo 1 (≤0,25) uT</v>
      </c>
    </row>
    <row r="543" spans="1:60" x14ac:dyDescent="0.2">
      <c r="A543" s="31">
        <v>46319</v>
      </c>
      <c r="B543" s="80">
        <v>0.14583333333333334</v>
      </c>
      <c r="C543" s="57">
        <v>385</v>
      </c>
      <c r="D543" s="57">
        <v>1548</v>
      </c>
      <c r="E543" s="57">
        <v>245</v>
      </c>
      <c r="F543" s="57">
        <v>2239</v>
      </c>
      <c r="G543" s="85" t="s">
        <v>34</v>
      </c>
      <c r="H543" s="63">
        <v>8</v>
      </c>
      <c r="I543" s="57">
        <v>-60</v>
      </c>
      <c r="J543" s="57">
        <v>90</v>
      </c>
      <c r="K543" s="57">
        <v>90</v>
      </c>
      <c r="L543" s="57">
        <v>90</v>
      </c>
      <c r="M543" s="57">
        <v>24.5</v>
      </c>
      <c r="N543" s="63">
        <v>6.5</v>
      </c>
      <c r="O543" s="36">
        <v>1.7</v>
      </c>
      <c r="P543" s="57">
        <v>12</v>
      </c>
      <c r="Q543" s="63">
        <v>6.6</v>
      </c>
      <c r="R543" s="36">
        <v>0.13</v>
      </c>
      <c r="S543" s="36">
        <v>22.36</v>
      </c>
      <c r="T543" s="36">
        <v>0.88</v>
      </c>
      <c r="U543" s="36">
        <v>0.7</v>
      </c>
      <c r="V543" s="42">
        <f t="shared" si="206"/>
        <v>2276.3166666666666</v>
      </c>
      <c r="W543" s="42">
        <f t="shared" si="207"/>
        <v>1678.1913407999996</v>
      </c>
      <c r="X543" s="42">
        <f t="shared" si="208"/>
        <v>0.73723984249408747</v>
      </c>
      <c r="Y543" s="57">
        <v>3</v>
      </c>
      <c r="Z543" s="57">
        <v>3</v>
      </c>
      <c r="AA543" s="63">
        <v>5.8</v>
      </c>
      <c r="AB543" s="57">
        <v>24</v>
      </c>
      <c r="AC543" s="63">
        <v>6.2</v>
      </c>
      <c r="AD543" s="63">
        <v>5.6</v>
      </c>
      <c r="AE543" s="36">
        <v>0.16</v>
      </c>
      <c r="AF543" s="36">
        <v>0.15</v>
      </c>
      <c r="AG543" s="42">
        <f t="shared" si="194"/>
        <v>1707.2375</v>
      </c>
      <c r="AH543" s="42">
        <f t="shared" si="209"/>
        <v>1979.8438399999998</v>
      </c>
      <c r="AI543" s="42">
        <f t="shared" si="210"/>
        <v>1.1596768697969673</v>
      </c>
      <c r="AJ543" s="57">
        <v>6.4</v>
      </c>
      <c r="AK543" s="57">
        <v>4</v>
      </c>
      <c r="AL543" s="63">
        <v>6.4</v>
      </c>
      <c r="AM543" s="57">
        <v>25</v>
      </c>
      <c r="AN543" s="63">
        <v>6.4</v>
      </c>
      <c r="AO543" s="63">
        <v>6.8</v>
      </c>
      <c r="AP543" s="36">
        <v>0.18</v>
      </c>
      <c r="AQ543" s="36">
        <v>0.17</v>
      </c>
      <c r="AR543" s="73">
        <f t="shared" si="195"/>
        <v>2178</v>
      </c>
      <c r="AS543" s="75">
        <f t="shared" si="196"/>
        <v>0.17676767676767677</v>
      </c>
      <c r="AT543" s="75">
        <f t="shared" si="197"/>
        <v>0.71074380165289253</v>
      </c>
      <c r="AU543" s="75">
        <f t="shared" si="198"/>
        <v>0.11248852157943066</v>
      </c>
      <c r="AV543" s="26">
        <f t="shared" si="192"/>
        <v>1.9756315564825929E-3</v>
      </c>
      <c r="AW543" s="26">
        <f t="shared" si="211"/>
        <v>6.6296846509161156E-3</v>
      </c>
      <c r="AX543" s="26">
        <f t="shared" si="188"/>
        <v>0.9</v>
      </c>
      <c r="AY543" s="24">
        <f t="shared" si="189"/>
        <v>0.91176470588235292</v>
      </c>
      <c r="AZ543" s="77" t="str">
        <f t="shared" si="199"/>
        <v>5,0 ≤ Alc. Bruta &lt; 7,5 mg/L</v>
      </c>
      <c r="BA543" s="77" t="str">
        <f t="shared" si="200"/>
        <v>10 ≤ Cor &lt;15 uC</v>
      </c>
      <c r="BB543" s="78" t="str">
        <f t="shared" si="201"/>
        <v>Turbidez &lt; 2,5 uT</v>
      </c>
      <c r="BC543" s="79" t="str">
        <f t="shared" si="202"/>
        <v>SM &gt; TOR &gt; BNN</v>
      </c>
      <c r="BD543" s="78" t="str">
        <f t="shared" si="203"/>
        <v>Tipo 1 (≤0,25) uT</v>
      </c>
      <c r="BE543" s="78" t="str">
        <f t="shared" si="190"/>
        <v>Tipo 1 (≤0,25) uT</v>
      </c>
      <c r="BF543" s="78" t="str">
        <f t="shared" si="204"/>
        <v>Tipo 1 (≤0,25) uT</v>
      </c>
      <c r="BG543" s="78" t="str">
        <f t="shared" si="191"/>
        <v>Tipo 1 (≤0,25) uT</v>
      </c>
      <c r="BH543" s="78" t="str">
        <f t="shared" si="205"/>
        <v>Tipo 1 (≤0,25) uT</v>
      </c>
    </row>
    <row r="544" spans="1:60" ht="15.75" thickBot="1" x14ac:dyDescent="0.25">
      <c r="A544" s="32">
        <v>46319</v>
      </c>
      <c r="B544" s="81">
        <v>0.22916666666666666</v>
      </c>
      <c r="C544" s="58">
        <v>389</v>
      </c>
      <c r="D544" s="58">
        <v>1515</v>
      </c>
      <c r="E544" s="58">
        <v>249</v>
      </c>
      <c r="F544" s="58">
        <v>2262</v>
      </c>
      <c r="G544" s="86" t="s">
        <v>34</v>
      </c>
      <c r="H544" s="64">
        <v>8</v>
      </c>
      <c r="I544" s="58">
        <v>-76</v>
      </c>
      <c r="J544" s="58">
        <v>90</v>
      </c>
      <c r="K544" s="58">
        <v>90</v>
      </c>
      <c r="L544" s="58">
        <v>90</v>
      </c>
      <c r="M544" s="58">
        <v>24.3</v>
      </c>
      <c r="N544" s="64">
        <v>6.4</v>
      </c>
      <c r="O544" s="37">
        <v>1.65</v>
      </c>
      <c r="P544" s="58">
        <v>12</v>
      </c>
      <c r="Q544" s="64">
        <v>6.5</v>
      </c>
      <c r="R544" s="37">
        <v>0.14000000000000001</v>
      </c>
      <c r="S544" s="36">
        <v>22.36</v>
      </c>
      <c r="T544" s="36">
        <v>0.88</v>
      </c>
      <c r="U544" s="36">
        <v>0.7</v>
      </c>
      <c r="V544" s="42">
        <f t="shared" si="206"/>
        <v>2280.85</v>
      </c>
      <c r="W544" s="42">
        <f t="shared" si="207"/>
        <v>1678.1913407999996</v>
      </c>
      <c r="X544" s="42">
        <f t="shared" si="208"/>
        <v>0.73577453177543439</v>
      </c>
      <c r="Y544" s="58">
        <v>3</v>
      </c>
      <c r="Z544" s="58">
        <v>3</v>
      </c>
      <c r="AA544" s="64">
        <v>5.8</v>
      </c>
      <c r="AB544" s="58">
        <v>24</v>
      </c>
      <c r="AC544" s="64">
        <v>6.3</v>
      </c>
      <c r="AD544" s="64">
        <v>6.4</v>
      </c>
      <c r="AE544" s="37">
        <v>0.15</v>
      </c>
      <c r="AF544" s="37">
        <v>0.15</v>
      </c>
      <c r="AG544" s="42">
        <f t="shared" si="194"/>
        <v>1710.6375</v>
      </c>
      <c r="AH544" s="42">
        <f t="shared" si="209"/>
        <v>1979.8438399999998</v>
      </c>
      <c r="AI544" s="42">
        <f t="shared" si="210"/>
        <v>1.1573719388239763</v>
      </c>
      <c r="AJ544" s="58">
        <v>6.4</v>
      </c>
      <c r="AK544" s="58">
        <v>4</v>
      </c>
      <c r="AL544" s="64">
        <v>6.4</v>
      </c>
      <c r="AM544" s="58">
        <v>25</v>
      </c>
      <c r="AN544" s="64">
        <v>6.2</v>
      </c>
      <c r="AO544" s="64">
        <v>5.7</v>
      </c>
      <c r="AP544" s="37">
        <v>0.19</v>
      </c>
      <c r="AQ544" s="37">
        <v>0.18</v>
      </c>
      <c r="AR544" s="73">
        <f t="shared" si="195"/>
        <v>2153</v>
      </c>
      <c r="AS544" s="75">
        <f t="shared" si="196"/>
        <v>0.18067812354853693</v>
      </c>
      <c r="AT544" s="75">
        <f t="shared" si="197"/>
        <v>0.70366929865304229</v>
      </c>
      <c r="AU544" s="75">
        <f t="shared" si="198"/>
        <v>0.11565257779842081</v>
      </c>
      <c r="AV544" s="26">
        <f t="shared" si="192"/>
        <v>1.9516565829587121E-3</v>
      </c>
      <c r="AW544" s="26">
        <f t="shared" si="211"/>
        <v>6.3445676575673319E-3</v>
      </c>
      <c r="AX544" s="26">
        <f t="shared" si="188"/>
        <v>0.89090909090909087</v>
      </c>
      <c r="AY544" s="24">
        <f t="shared" si="189"/>
        <v>0.90909090909090906</v>
      </c>
      <c r="AZ544" s="77" t="str">
        <f t="shared" si="199"/>
        <v>5,0 ≤ Alc. Bruta &lt; 7,5 mg/L</v>
      </c>
      <c r="BA544" s="77" t="str">
        <f t="shared" si="200"/>
        <v>10 ≤ Cor &lt;15 uC</v>
      </c>
      <c r="BB544" s="78" t="str">
        <f t="shared" si="201"/>
        <v>Turbidez &lt; 2,5 uT</v>
      </c>
      <c r="BC544" s="79" t="str">
        <f t="shared" si="202"/>
        <v>SM &gt; TOR &gt; BNN</v>
      </c>
      <c r="BD544" s="78" t="str">
        <f t="shared" si="203"/>
        <v>Tipo 1 (≤0,25) uT</v>
      </c>
      <c r="BE544" s="78" t="str">
        <f t="shared" si="190"/>
        <v>Tipo 1 (≤0,25) uT</v>
      </c>
      <c r="BF544" s="78" t="str">
        <f t="shared" si="204"/>
        <v>Tipo 1 (≤0,25) uT</v>
      </c>
      <c r="BG544" s="78" t="str">
        <f t="shared" si="191"/>
        <v>Tipo 1 (≤0,25) uT</v>
      </c>
      <c r="BH544" s="78" t="str">
        <f t="shared" si="205"/>
        <v>Tipo 1 (≤0,25) uT</v>
      </c>
    </row>
    <row r="545" spans="1:60" x14ac:dyDescent="0.2">
      <c r="A545" s="30">
        <v>46319</v>
      </c>
      <c r="B545" s="82">
        <v>0.3125</v>
      </c>
      <c r="C545" s="59">
        <v>385</v>
      </c>
      <c r="D545" s="59">
        <v>1481</v>
      </c>
      <c r="E545" s="59">
        <v>250</v>
      </c>
      <c r="F545" s="59">
        <v>2310</v>
      </c>
      <c r="G545" s="87" t="s">
        <v>34</v>
      </c>
      <c r="H545" s="65">
        <v>8</v>
      </c>
      <c r="I545" s="59">
        <v>-35</v>
      </c>
      <c r="J545" s="59">
        <v>90</v>
      </c>
      <c r="K545" s="59">
        <v>90</v>
      </c>
      <c r="L545" s="59">
        <v>90</v>
      </c>
      <c r="M545" s="59">
        <v>23.7</v>
      </c>
      <c r="N545" s="65">
        <v>6.7</v>
      </c>
      <c r="O545" s="38">
        <v>1.78</v>
      </c>
      <c r="P545" s="59">
        <v>11</v>
      </c>
      <c r="Q545" s="65">
        <v>6.8</v>
      </c>
      <c r="R545" s="38">
        <v>0.15</v>
      </c>
      <c r="S545" s="36">
        <v>22.36</v>
      </c>
      <c r="T545" s="36">
        <v>0.88</v>
      </c>
      <c r="U545" s="36">
        <v>0.7</v>
      </c>
      <c r="V545" s="42">
        <f t="shared" si="206"/>
        <v>2379.2999999999997</v>
      </c>
      <c r="W545" s="42">
        <f t="shared" si="207"/>
        <v>1555.0094299999996</v>
      </c>
      <c r="X545" s="42">
        <f t="shared" si="208"/>
        <v>0.65355752952549062</v>
      </c>
      <c r="Y545" s="60">
        <v>3</v>
      </c>
      <c r="Z545" s="88">
        <v>3</v>
      </c>
      <c r="AA545" s="89">
        <v>5.3</v>
      </c>
      <c r="AB545" s="88">
        <v>25</v>
      </c>
      <c r="AC545" s="65">
        <v>6.5</v>
      </c>
      <c r="AD545" s="65">
        <v>6</v>
      </c>
      <c r="AE545" s="38">
        <v>0.16</v>
      </c>
      <c r="AF545" s="38">
        <v>0.18</v>
      </c>
      <c r="AG545" s="42">
        <f t="shared" si="194"/>
        <v>1784.4749999999999</v>
      </c>
      <c r="AH545" s="42">
        <f t="shared" si="209"/>
        <v>1979.8438399999998</v>
      </c>
      <c r="AI545" s="42">
        <f t="shared" si="210"/>
        <v>1.109482531276706</v>
      </c>
      <c r="AJ545" s="59">
        <v>6.4</v>
      </c>
      <c r="AK545" s="57">
        <v>4</v>
      </c>
      <c r="AL545" s="65">
        <v>6.4</v>
      </c>
      <c r="AM545" s="59">
        <v>25</v>
      </c>
      <c r="AN545" s="65">
        <v>6.4</v>
      </c>
      <c r="AO545" s="65">
        <v>5.8</v>
      </c>
      <c r="AP545" s="42">
        <v>0.14000000000000001</v>
      </c>
      <c r="AQ545" s="38">
        <v>0.15</v>
      </c>
      <c r="AR545" s="73">
        <f t="shared" si="195"/>
        <v>2116</v>
      </c>
      <c r="AS545" s="75">
        <f t="shared" si="196"/>
        <v>0.18194706994328921</v>
      </c>
      <c r="AT545" s="75">
        <f t="shared" si="197"/>
        <v>0.69990548204158787</v>
      </c>
      <c r="AU545" s="75">
        <f t="shared" si="198"/>
        <v>0.11814744801512288</v>
      </c>
      <c r="AV545" s="26">
        <f t="shared" si="192"/>
        <v>1.6975520247415341E-3</v>
      </c>
      <c r="AW545" s="26">
        <f t="shared" si="211"/>
        <v>6.1477819914899732E-3</v>
      </c>
      <c r="AX545" s="26">
        <f t="shared" si="188"/>
        <v>0.9157303370786517</v>
      </c>
      <c r="AY545" s="24">
        <f t="shared" si="189"/>
        <v>0.898876404494382</v>
      </c>
      <c r="AZ545" s="77" t="str">
        <f t="shared" si="199"/>
        <v>5,0 ≤ Alc. Bruta &lt; 7,5 mg/L</v>
      </c>
      <c r="BA545" s="77" t="str">
        <f t="shared" si="200"/>
        <v>10 ≤ Cor &lt;15 uC</v>
      </c>
      <c r="BB545" s="78" t="str">
        <f t="shared" si="201"/>
        <v>Turbidez &lt; 2,5 uT</v>
      </c>
      <c r="BC545" s="79" t="str">
        <f t="shared" si="202"/>
        <v>SM &gt; TOR &gt; BNN</v>
      </c>
      <c r="BD545" s="78" t="str">
        <f t="shared" si="203"/>
        <v>Tipo 1 (≤0,25) uT</v>
      </c>
      <c r="BE545" s="78" t="str">
        <f t="shared" si="190"/>
        <v>Tipo 1 (≤0,25) uT</v>
      </c>
      <c r="BF545" s="78" t="str">
        <f t="shared" si="204"/>
        <v>Tipo 1 (≤0,25) uT</v>
      </c>
      <c r="BG545" s="78" t="str">
        <f t="shared" si="191"/>
        <v>Tipo 1 (≤0,25) uT</v>
      </c>
      <c r="BH545" s="78" t="str">
        <f t="shared" si="205"/>
        <v>Tipo 1 (≤0,25) uT</v>
      </c>
    </row>
    <row r="546" spans="1:60" x14ac:dyDescent="0.2">
      <c r="A546" s="31">
        <v>46319</v>
      </c>
      <c r="B546" s="80">
        <v>0.39583333333333331</v>
      </c>
      <c r="C546" s="57">
        <v>391</v>
      </c>
      <c r="D546" s="57">
        <v>1492</v>
      </c>
      <c r="E546" s="57">
        <v>250</v>
      </c>
      <c r="F546" s="57">
        <v>2231</v>
      </c>
      <c r="G546" s="85" t="s">
        <v>78</v>
      </c>
      <c r="H546" s="63">
        <v>8</v>
      </c>
      <c r="I546" s="57">
        <v>-22</v>
      </c>
      <c r="J546" s="57">
        <v>90</v>
      </c>
      <c r="K546" s="57">
        <v>90</v>
      </c>
      <c r="L546" s="57">
        <v>90</v>
      </c>
      <c r="M546" s="57">
        <v>24</v>
      </c>
      <c r="N546" s="63">
        <v>6.4</v>
      </c>
      <c r="O546" s="36">
        <v>1.81</v>
      </c>
      <c r="P546" s="57">
        <v>12</v>
      </c>
      <c r="Q546" s="63">
        <v>6.6</v>
      </c>
      <c r="R546" s="36">
        <v>0.13</v>
      </c>
      <c r="S546" s="36">
        <v>22.36</v>
      </c>
      <c r="T546" s="36">
        <v>0.88</v>
      </c>
      <c r="U546" s="36">
        <v>0.7</v>
      </c>
      <c r="V546" s="42">
        <f t="shared" si="206"/>
        <v>2309.085</v>
      </c>
      <c r="W546" s="42">
        <f t="shared" si="207"/>
        <v>1555.0094299999996</v>
      </c>
      <c r="X546" s="42">
        <f t="shared" si="208"/>
        <v>0.67343100405571887</v>
      </c>
      <c r="Y546" s="57">
        <v>3</v>
      </c>
      <c r="Z546" s="57">
        <v>3</v>
      </c>
      <c r="AA546" s="63">
        <v>5.3</v>
      </c>
      <c r="AB546" s="57">
        <v>25</v>
      </c>
      <c r="AC546" s="63">
        <v>6.3</v>
      </c>
      <c r="AD546" s="63">
        <v>5.82</v>
      </c>
      <c r="AE546" s="36">
        <v>0.19</v>
      </c>
      <c r="AF546" s="36">
        <v>0.18</v>
      </c>
      <c r="AG546" s="42">
        <f t="shared" si="194"/>
        <v>1731.81375</v>
      </c>
      <c r="AH546" s="42">
        <f t="shared" si="209"/>
        <v>1979.8438399999998</v>
      </c>
      <c r="AI546" s="42">
        <f t="shared" si="210"/>
        <v>1.1432198410481496</v>
      </c>
      <c r="AJ546" s="57">
        <v>6.4</v>
      </c>
      <c r="AK546" s="57">
        <v>4</v>
      </c>
      <c r="AL546" s="63">
        <v>6.4</v>
      </c>
      <c r="AM546" s="57">
        <v>25</v>
      </c>
      <c r="AN546" s="63">
        <v>6.3</v>
      </c>
      <c r="AO546" s="63">
        <v>5.7</v>
      </c>
      <c r="AP546" s="36">
        <v>0.2</v>
      </c>
      <c r="AQ546" s="36">
        <v>0.14000000000000001</v>
      </c>
      <c r="AR546" s="73">
        <f t="shared" si="195"/>
        <v>2133</v>
      </c>
      <c r="AS546" s="75">
        <f t="shared" si="196"/>
        <v>0.18330989217065166</v>
      </c>
      <c r="AT546" s="75">
        <f t="shared" si="197"/>
        <v>0.69948429442100324</v>
      </c>
      <c r="AU546" s="75">
        <f t="shared" si="198"/>
        <v>0.11720581340834506</v>
      </c>
      <c r="AV546" s="26">
        <f t="shared" si="192"/>
        <v>1.8111098271332644E-3</v>
      </c>
      <c r="AW546" s="26">
        <f t="shared" si="211"/>
        <v>6.4565531139429335E-3</v>
      </c>
      <c r="AX546" s="26">
        <f t="shared" si="188"/>
        <v>0.92265193370165743</v>
      </c>
      <c r="AY546" s="24">
        <f t="shared" si="189"/>
        <v>0.90055248618784534</v>
      </c>
      <c r="AZ546" s="77" t="str">
        <f t="shared" si="199"/>
        <v>5,0 ≤ Alc. Bruta &lt; 7,5 mg/L</v>
      </c>
      <c r="BA546" s="77" t="str">
        <f t="shared" si="200"/>
        <v>10 ≤ Cor &lt;15 uC</v>
      </c>
      <c r="BB546" s="78" t="str">
        <f t="shared" si="201"/>
        <v>Turbidez &lt; 2,5 uT</v>
      </c>
      <c r="BC546" s="79" t="str">
        <f t="shared" si="202"/>
        <v>SM &gt; TOR &gt; BNN</v>
      </c>
      <c r="BD546" s="78" t="str">
        <f t="shared" si="203"/>
        <v>Tipo 1 (≤0,25) uT</v>
      </c>
      <c r="BE546" s="78" t="str">
        <f t="shared" si="190"/>
        <v>Tipo 1 (≤0,25) uT</v>
      </c>
      <c r="BF546" s="78" t="str">
        <f t="shared" si="204"/>
        <v>Tipo 1 (≤0,25) uT</v>
      </c>
      <c r="BG546" s="78" t="str">
        <f t="shared" si="191"/>
        <v>Tipo 1 (≤0,25) uT</v>
      </c>
      <c r="BH546" s="78" t="str">
        <f t="shared" si="205"/>
        <v>Tipo 1 (≤0,25) uT</v>
      </c>
    </row>
    <row r="547" spans="1:60" x14ac:dyDescent="0.2">
      <c r="A547" s="31">
        <v>46319</v>
      </c>
      <c r="B547" s="80">
        <v>0.5625</v>
      </c>
      <c r="C547" s="57">
        <v>376</v>
      </c>
      <c r="D547" s="57">
        <v>1545</v>
      </c>
      <c r="E547" s="57">
        <v>250</v>
      </c>
      <c r="F547" s="57">
        <v>2151</v>
      </c>
      <c r="G547" s="85" t="s">
        <v>78</v>
      </c>
      <c r="H547" s="63">
        <v>8</v>
      </c>
      <c r="I547" s="57">
        <v>-29</v>
      </c>
      <c r="J547" s="57">
        <v>90</v>
      </c>
      <c r="K547" s="57">
        <v>90</v>
      </c>
      <c r="L547" s="57">
        <v>90</v>
      </c>
      <c r="M547" s="57">
        <v>25.4</v>
      </c>
      <c r="N547" s="63">
        <v>6.5</v>
      </c>
      <c r="O547" s="36">
        <v>1.55</v>
      </c>
      <c r="P547" s="57">
        <v>11</v>
      </c>
      <c r="Q547" s="63">
        <v>6.3</v>
      </c>
      <c r="R547" s="36">
        <v>0.1</v>
      </c>
      <c r="S547" s="36">
        <v>22.36</v>
      </c>
      <c r="T547" s="36">
        <v>0.88</v>
      </c>
      <c r="U547" s="36">
        <v>0.7</v>
      </c>
      <c r="V547" s="42">
        <f t="shared" si="206"/>
        <v>2133.0750000000003</v>
      </c>
      <c r="W547" s="42">
        <f t="shared" si="207"/>
        <v>1555.0094299999996</v>
      </c>
      <c r="X547" s="42">
        <f t="shared" si="208"/>
        <v>0.72899894752880201</v>
      </c>
      <c r="Y547" s="57">
        <v>3</v>
      </c>
      <c r="Z547" s="57">
        <v>3</v>
      </c>
      <c r="AA547" s="63">
        <v>5.3</v>
      </c>
      <c r="AB547" s="57">
        <v>25</v>
      </c>
      <c r="AC547" s="63">
        <v>6.2</v>
      </c>
      <c r="AD547" s="63">
        <v>4.5999999999999996</v>
      </c>
      <c r="AE547" s="36">
        <v>0.15</v>
      </c>
      <c r="AF547" s="36">
        <v>0.18</v>
      </c>
      <c r="AG547" s="42">
        <f t="shared" si="194"/>
        <v>1599.8062500000001</v>
      </c>
      <c r="AH547" s="42">
        <f t="shared" si="209"/>
        <v>1979.8438399999998</v>
      </c>
      <c r="AI547" s="42">
        <f t="shared" si="210"/>
        <v>1.2375522598439652</v>
      </c>
      <c r="AJ547" s="57">
        <v>6.4</v>
      </c>
      <c r="AK547" s="57">
        <v>4</v>
      </c>
      <c r="AL547" s="63">
        <v>6.4</v>
      </c>
      <c r="AM547" s="57">
        <v>25</v>
      </c>
      <c r="AN547" s="63">
        <v>6.2</v>
      </c>
      <c r="AO547" s="63">
        <v>4.9000000000000004</v>
      </c>
      <c r="AP547" s="36">
        <v>0.13</v>
      </c>
      <c r="AQ547" s="36">
        <v>0.11</v>
      </c>
      <c r="AR547" s="73">
        <f t="shared" si="195"/>
        <v>2171</v>
      </c>
      <c r="AS547" s="75">
        <f t="shared" si="196"/>
        <v>0.17319207738369416</v>
      </c>
      <c r="AT547" s="75">
        <f t="shared" si="197"/>
        <v>0.71165361584523257</v>
      </c>
      <c r="AU547" s="75">
        <f t="shared" si="198"/>
        <v>0.11515430677107324</v>
      </c>
      <c r="AV547" s="26">
        <f t="shared" si="192"/>
        <v>2.0334698675838273E-3</v>
      </c>
      <c r="AW547" s="26">
        <f t="shared" si="211"/>
        <v>7.134192478877345E-3</v>
      </c>
      <c r="AX547" s="26">
        <f t="shared" ref="AX547:AX572" si="212">IF(AND(AQ547&lt;&gt;"",1-(AQ547/O547)&gt;0),1-(AQ547/O547),"")</f>
        <v>0.92903225806451617</v>
      </c>
      <c r="AY547" s="24">
        <f t="shared" ref="AY547:AY572" si="213">IF(AND(AF547&lt;&gt;"",1-(AF547/O547)&gt;0),1-(AF547/O547),"")</f>
        <v>0.88387096774193552</v>
      </c>
      <c r="AZ547" s="77" t="str">
        <f t="shared" si="199"/>
        <v>5,0 ≤ Alc. Bruta &lt; 7,5 mg/L</v>
      </c>
      <c r="BA547" s="77" t="str">
        <f t="shared" si="200"/>
        <v>10 ≤ Cor &lt;15 uC</v>
      </c>
      <c r="BB547" s="78" t="str">
        <f t="shared" si="201"/>
        <v>Turbidez &lt; 2,5 uT</v>
      </c>
      <c r="BC547" s="79" t="str">
        <f t="shared" si="202"/>
        <v>SM &gt; TOR &gt; BNN</v>
      </c>
      <c r="BD547" s="78" t="str">
        <f t="shared" si="203"/>
        <v>Tipo 1 (≤0,25) uT</v>
      </c>
      <c r="BE547" s="78" t="str">
        <f t="shared" si="190"/>
        <v>Tipo 1 (≤0,25) uT</v>
      </c>
      <c r="BF547" s="78" t="str">
        <f t="shared" si="204"/>
        <v>Tipo 1 (≤0,25) uT</v>
      </c>
      <c r="BG547" s="78" t="str">
        <f t="shared" si="191"/>
        <v>Tipo 1 (≤0,25) uT</v>
      </c>
      <c r="BH547" s="78" t="str">
        <f t="shared" si="205"/>
        <v>Tipo 1 (≤0,25) uT</v>
      </c>
    </row>
    <row r="548" spans="1:60" x14ac:dyDescent="0.2">
      <c r="A548" s="31">
        <v>46319</v>
      </c>
      <c r="B548" s="80">
        <v>0.64583333333333337</v>
      </c>
      <c r="C548" s="57">
        <v>365</v>
      </c>
      <c r="D548" s="57">
        <v>1485</v>
      </c>
      <c r="E548" s="57">
        <v>230</v>
      </c>
      <c r="F548" s="57">
        <v>2161</v>
      </c>
      <c r="G548" s="85" t="s">
        <v>78</v>
      </c>
      <c r="H548" s="63">
        <v>8</v>
      </c>
      <c r="I548" s="57">
        <v>-22</v>
      </c>
      <c r="J548" s="57">
        <v>90</v>
      </c>
      <c r="K548" s="57">
        <v>90</v>
      </c>
      <c r="L548" s="57">
        <v>90</v>
      </c>
      <c r="M548" s="57">
        <v>25.7</v>
      </c>
      <c r="N548" s="63">
        <v>6.4</v>
      </c>
      <c r="O548" s="36">
        <v>1.7</v>
      </c>
      <c r="P548" s="57">
        <v>11</v>
      </c>
      <c r="Q548" s="63">
        <v>6.5</v>
      </c>
      <c r="R548" s="36">
        <v>0.1</v>
      </c>
      <c r="S548" s="36">
        <v>22.36</v>
      </c>
      <c r="T548" s="36">
        <v>0.88</v>
      </c>
      <c r="U548" s="36">
        <v>0.7</v>
      </c>
      <c r="V548" s="42">
        <f t="shared" si="206"/>
        <v>2197.0166666666669</v>
      </c>
      <c r="W548" s="42">
        <f t="shared" si="207"/>
        <v>1555.0094299999996</v>
      </c>
      <c r="X548" s="42">
        <f t="shared" si="208"/>
        <v>0.70778226382746279</v>
      </c>
      <c r="Y548" s="57">
        <v>3</v>
      </c>
      <c r="Z548" s="57">
        <v>3</v>
      </c>
      <c r="AA548" s="63">
        <v>5.3</v>
      </c>
      <c r="AB548" s="57">
        <v>25</v>
      </c>
      <c r="AC548" s="63">
        <v>6.2</v>
      </c>
      <c r="AD548" s="63">
        <v>4.5</v>
      </c>
      <c r="AE548" s="36">
        <v>0.11</v>
      </c>
      <c r="AF548" s="36"/>
      <c r="AG548" s="42">
        <f t="shared" si="194"/>
        <v>1647.7624999999998</v>
      </c>
      <c r="AH548" s="42">
        <f t="shared" si="209"/>
        <v>1979.8438399999998</v>
      </c>
      <c r="AI548" s="42">
        <f t="shared" si="210"/>
        <v>1.2015347114647894</v>
      </c>
      <c r="AJ548" s="57">
        <v>6.4</v>
      </c>
      <c r="AK548" s="57">
        <v>4</v>
      </c>
      <c r="AL548" s="63">
        <v>6.4</v>
      </c>
      <c r="AM548" s="57">
        <v>25</v>
      </c>
      <c r="AN548" s="63">
        <v>6.2</v>
      </c>
      <c r="AO548" s="63">
        <v>5</v>
      </c>
      <c r="AP548" s="36">
        <v>0.12</v>
      </c>
      <c r="AQ548" s="36">
        <v>0.12</v>
      </c>
      <c r="AR548" s="73">
        <f t="shared" si="195"/>
        <v>2080</v>
      </c>
      <c r="AS548" s="75">
        <f t="shared" si="196"/>
        <v>0.17548076923076922</v>
      </c>
      <c r="AT548" s="75">
        <f t="shared" si="197"/>
        <v>0.71394230769230771</v>
      </c>
      <c r="AU548" s="75">
        <f t="shared" si="198"/>
        <v>0.11057692307692307</v>
      </c>
      <c r="AV548" s="26">
        <f t="shared" si="192"/>
        <v>1.9651520513488093E-3</v>
      </c>
      <c r="AW548" s="26">
        <f t="shared" si="211"/>
        <v>6.8945073679608461E-3</v>
      </c>
      <c r="AX548" s="26">
        <f t="shared" si="212"/>
        <v>0.92941176470588238</v>
      </c>
      <c r="AY548" s="24" t="str">
        <f t="shared" si="213"/>
        <v/>
      </c>
      <c r="AZ548" s="77" t="str">
        <f t="shared" si="199"/>
        <v>5,0 ≤ Alc. Bruta &lt; 7,5 mg/L</v>
      </c>
      <c r="BA548" s="77" t="str">
        <f t="shared" si="200"/>
        <v>10 ≤ Cor &lt;15 uC</v>
      </c>
      <c r="BB548" s="78" t="str">
        <f t="shared" si="201"/>
        <v>Turbidez &lt; 2,5 uT</v>
      </c>
      <c r="BC548" s="79" t="str">
        <f t="shared" si="202"/>
        <v>SM &gt; TOR &gt; BNN</v>
      </c>
      <c r="BD548" s="78" t="str">
        <f t="shared" si="203"/>
        <v>Tipo 1 (≤0,25) uT</v>
      </c>
      <c r="BE548" s="78" t="str">
        <f t="shared" si="190"/>
        <v>Tipo 1 (≤0,25) uT</v>
      </c>
      <c r="BF548" s="78" t="str">
        <f t="shared" si="204"/>
        <v/>
      </c>
      <c r="BG548" s="78" t="str">
        <f t="shared" si="191"/>
        <v>Tipo 1 (≤0,25) uT</v>
      </c>
      <c r="BH548" s="78" t="str">
        <f t="shared" si="205"/>
        <v>Tipo 1 (≤0,25) uT</v>
      </c>
    </row>
    <row r="549" spans="1:60" x14ac:dyDescent="0.2">
      <c r="A549" s="31">
        <v>46319</v>
      </c>
      <c r="B549" s="80">
        <v>0.72916666666666663</v>
      </c>
      <c r="C549" s="57">
        <v>381</v>
      </c>
      <c r="D549" s="57">
        <v>1501</v>
      </c>
      <c r="E549" s="57">
        <v>250</v>
      </c>
      <c r="F549" s="57">
        <v>2210</v>
      </c>
      <c r="G549" s="85" t="s">
        <v>78</v>
      </c>
      <c r="H549" s="63">
        <v>8</v>
      </c>
      <c r="I549" s="57">
        <v>-17</v>
      </c>
      <c r="J549" s="57">
        <v>90</v>
      </c>
      <c r="K549" s="57">
        <v>90</v>
      </c>
      <c r="L549" s="57">
        <v>90</v>
      </c>
      <c r="M549" s="57">
        <v>25.6</v>
      </c>
      <c r="N549" s="63">
        <v>6.4</v>
      </c>
      <c r="O549" s="36">
        <v>1.75</v>
      </c>
      <c r="P549" s="57">
        <v>11</v>
      </c>
      <c r="Q549" s="63">
        <v>6.7</v>
      </c>
      <c r="R549" s="36">
        <v>0.1</v>
      </c>
      <c r="S549" s="36">
        <v>22.36</v>
      </c>
      <c r="T549" s="36">
        <v>0.88</v>
      </c>
      <c r="U549" s="36">
        <v>0.7</v>
      </c>
      <c r="V549" s="42">
        <f t="shared" si="206"/>
        <v>2265.25</v>
      </c>
      <c r="W549" s="42">
        <f t="shared" si="207"/>
        <v>1555.0094299999996</v>
      </c>
      <c r="X549" s="42">
        <f t="shared" si="208"/>
        <v>0.68646261119081764</v>
      </c>
      <c r="Y549" s="57">
        <v>3</v>
      </c>
      <c r="Z549" s="57">
        <v>3</v>
      </c>
      <c r="AA549" s="63">
        <v>5.3</v>
      </c>
      <c r="AB549" s="57">
        <v>25</v>
      </c>
      <c r="AC549" s="63">
        <v>6.1</v>
      </c>
      <c r="AD549" s="63">
        <v>4.3</v>
      </c>
      <c r="AE549" s="36">
        <v>0.09</v>
      </c>
      <c r="AF549" s="36"/>
      <c r="AG549" s="42">
        <f t="shared" si="194"/>
        <v>1698.9375</v>
      </c>
      <c r="AH549" s="42">
        <f t="shared" si="209"/>
        <v>1979.8438399999998</v>
      </c>
      <c r="AI549" s="42">
        <f t="shared" si="210"/>
        <v>1.1653423625059778</v>
      </c>
      <c r="AJ549" s="57">
        <v>6.4</v>
      </c>
      <c r="AK549" s="57">
        <v>4</v>
      </c>
      <c r="AL549" s="63">
        <v>6.4</v>
      </c>
      <c r="AM549" s="57">
        <v>25</v>
      </c>
      <c r="AN549" s="63">
        <v>6.2</v>
      </c>
      <c r="AO549" s="63">
        <v>5.0999999999999996</v>
      </c>
      <c r="AP549" s="36">
        <v>0.12</v>
      </c>
      <c r="AQ549" s="36">
        <v>0.11</v>
      </c>
      <c r="AR549" s="73">
        <f t="shared" si="195"/>
        <v>2132</v>
      </c>
      <c r="AS549" s="75">
        <f t="shared" si="196"/>
        <v>0.17870544090056284</v>
      </c>
      <c r="AT549" s="75">
        <f t="shared" si="197"/>
        <v>0.70403377110694187</v>
      </c>
      <c r="AU549" s="75">
        <f t="shared" si="198"/>
        <v>0.11726078799249531</v>
      </c>
      <c r="AV549" s="26">
        <f t="shared" si="192"/>
        <v>1.8636993968981475E-3</v>
      </c>
      <c r="AW549" s="26">
        <f t="shared" si="211"/>
        <v>6.5385725317077485E-3</v>
      </c>
      <c r="AX549" s="26">
        <f t="shared" si="212"/>
        <v>0.93714285714285717</v>
      </c>
      <c r="AY549" s="24" t="str">
        <f t="shared" si="213"/>
        <v/>
      </c>
      <c r="AZ549" s="77" t="str">
        <f t="shared" si="199"/>
        <v>5,0 ≤ Alc. Bruta &lt; 7,5 mg/L</v>
      </c>
      <c r="BA549" s="77" t="str">
        <f t="shared" si="200"/>
        <v>10 ≤ Cor &lt;15 uC</v>
      </c>
      <c r="BB549" s="78" t="str">
        <f t="shared" si="201"/>
        <v>Turbidez &lt; 2,5 uT</v>
      </c>
      <c r="BC549" s="79" t="str">
        <f t="shared" si="202"/>
        <v>SM &gt; TOR &gt; BNN</v>
      </c>
      <c r="BD549" s="78" t="str">
        <f t="shared" si="203"/>
        <v>Tipo 1 (≤0,25) uT</v>
      </c>
      <c r="BE549" s="78" t="str">
        <f t="shared" si="190"/>
        <v>Tipo 1 (≤0,25) uT</v>
      </c>
      <c r="BF549" s="78" t="str">
        <f t="shared" si="204"/>
        <v/>
      </c>
      <c r="BG549" s="78" t="str">
        <f t="shared" si="191"/>
        <v>Tipo 1 (≤0,25) uT</v>
      </c>
      <c r="BH549" s="78" t="str">
        <f t="shared" si="205"/>
        <v>Tipo 1 (≤0,25) uT</v>
      </c>
    </row>
    <row r="550" spans="1:60" x14ac:dyDescent="0.2">
      <c r="A550" s="31">
        <v>46319</v>
      </c>
      <c r="B550" s="80">
        <v>0.89583333333333337</v>
      </c>
      <c r="C550" s="57">
        <v>301</v>
      </c>
      <c r="D550" s="57">
        <v>1023</v>
      </c>
      <c r="E550" s="57">
        <v>250</v>
      </c>
      <c r="F550" s="57">
        <v>1746</v>
      </c>
      <c r="G550" s="85" t="s">
        <v>78</v>
      </c>
      <c r="H550" s="63">
        <v>8</v>
      </c>
      <c r="I550" s="57">
        <v>7</v>
      </c>
      <c r="J550" s="57">
        <v>90</v>
      </c>
      <c r="K550" s="57">
        <v>90</v>
      </c>
      <c r="L550" s="57">
        <v>90</v>
      </c>
      <c r="M550" s="57">
        <v>25.6</v>
      </c>
      <c r="N550" s="63">
        <v>6.3</v>
      </c>
      <c r="O550" s="36">
        <v>1.92</v>
      </c>
      <c r="P550" s="57">
        <v>10</v>
      </c>
      <c r="Q550" s="63">
        <v>8.1999999999999993</v>
      </c>
      <c r="R550" s="36">
        <v>0.09</v>
      </c>
      <c r="S550" s="36">
        <v>22.36</v>
      </c>
      <c r="T550" s="36">
        <v>0.88</v>
      </c>
      <c r="U550" s="36">
        <v>0.7</v>
      </c>
      <c r="V550" s="42">
        <f t="shared" si="206"/>
        <v>2758.6800000000003</v>
      </c>
      <c r="W550" s="42">
        <f t="shared" si="207"/>
        <v>1670.8733599999998</v>
      </c>
      <c r="X550" s="42">
        <f t="shared" si="208"/>
        <v>0.6056785709107253</v>
      </c>
      <c r="Y550" s="57">
        <v>2</v>
      </c>
      <c r="Z550" s="57">
        <v>2</v>
      </c>
      <c r="AA550" s="63">
        <v>5.6</v>
      </c>
      <c r="AB550" s="57">
        <v>25</v>
      </c>
      <c r="AC550" s="63">
        <v>6.1</v>
      </c>
      <c r="AD550" s="63">
        <v>4.2</v>
      </c>
      <c r="AE550" s="36">
        <v>0.21</v>
      </c>
      <c r="AF550" s="36">
        <v>0.31</v>
      </c>
      <c r="AG550" s="42">
        <f t="shared" si="194"/>
        <v>1379.3400000000001</v>
      </c>
      <c r="AH550" s="42">
        <f t="shared" si="209"/>
        <v>1941.2225299999996</v>
      </c>
      <c r="AI550" s="42">
        <f t="shared" si="210"/>
        <v>1.4073560760943635</v>
      </c>
      <c r="AJ550" s="57">
        <v>6.3</v>
      </c>
      <c r="AK550" s="57">
        <v>4</v>
      </c>
      <c r="AL550" s="63">
        <v>6.3</v>
      </c>
      <c r="AM550" s="57">
        <v>25</v>
      </c>
      <c r="AN550" s="63">
        <v>6.2</v>
      </c>
      <c r="AO550" s="63">
        <v>5.2</v>
      </c>
      <c r="AP550" s="36">
        <v>0.14000000000000001</v>
      </c>
      <c r="AQ550" s="36">
        <v>0.11</v>
      </c>
      <c r="AR550" s="73">
        <f t="shared" si="195"/>
        <v>1574</v>
      </c>
      <c r="AS550" s="75">
        <f t="shared" si="196"/>
        <v>0.19123252858958067</v>
      </c>
      <c r="AT550" s="75">
        <f t="shared" si="197"/>
        <v>0.64993646759847523</v>
      </c>
      <c r="AU550" s="75">
        <f t="shared" si="198"/>
        <v>0.15883100381194409</v>
      </c>
      <c r="AV550" s="26">
        <f t="shared" si="192"/>
        <v>1.3875797729913522E-3</v>
      </c>
      <c r="AW550" s="26">
        <f t="shared" si="211"/>
        <v>9.9949686962028123E-3</v>
      </c>
      <c r="AX550" s="26">
        <f t="shared" si="212"/>
        <v>0.94270833333333337</v>
      </c>
      <c r="AY550" s="24">
        <f t="shared" si="213"/>
        <v>0.83854166666666663</v>
      </c>
      <c r="AZ550" s="77" t="str">
        <f t="shared" si="199"/>
        <v>7,5 ≤ Alc. Bruta &lt; 10,0 mg/L</v>
      </c>
      <c r="BA550" s="77" t="str">
        <f t="shared" si="200"/>
        <v>10 ≤ Cor &lt;15 uC</v>
      </c>
      <c r="BB550" s="78" t="str">
        <f t="shared" si="201"/>
        <v>Turbidez &lt; 2,5 uT</v>
      </c>
      <c r="BC550" s="79" t="str">
        <f t="shared" si="202"/>
        <v>SM &gt; TOR &gt; BNN</v>
      </c>
      <c r="BD550" s="78" t="str">
        <f t="shared" si="203"/>
        <v>Tipo 1 (≤0,25) uT</v>
      </c>
      <c r="BE550" s="78" t="str">
        <f t="shared" si="190"/>
        <v>Tipo 1 (≤0,25) uT</v>
      </c>
      <c r="BF550" s="78" t="str">
        <f t="shared" si="204"/>
        <v>Tipo 2 (0,25-0,50) uT</v>
      </c>
      <c r="BG550" s="78" t="str">
        <f t="shared" si="191"/>
        <v>Tipo 1 (≤0,25) uT</v>
      </c>
      <c r="BH550" s="78" t="str">
        <f t="shared" si="205"/>
        <v>Tipo 1 (≤0,25) uT</v>
      </c>
    </row>
    <row r="551" spans="1:60" x14ac:dyDescent="0.2">
      <c r="A551" s="31">
        <v>46320</v>
      </c>
      <c r="B551" s="80">
        <v>6.25E-2</v>
      </c>
      <c r="C551" s="57">
        <v>300</v>
      </c>
      <c r="D551" s="57">
        <v>1015</v>
      </c>
      <c r="E551" s="57">
        <v>250</v>
      </c>
      <c r="F551" s="57">
        <v>1697</v>
      </c>
      <c r="G551" s="85" t="s">
        <v>78</v>
      </c>
      <c r="H551" s="63">
        <v>8</v>
      </c>
      <c r="I551" s="57">
        <v>29</v>
      </c>
      <c r="J551" s="57">
        <v>90</v>
      </c>
      <c r="K551" s="57">
        <v>90</v>
      </c>
      <c r="L551" s="57">
        <v>90</v>
      </c>
      <c r="M551" s="57">
        <v>25.4</v>
      </c>
      <c r="N551" s="63">
        <v>6.3</v>
      </c>
      <c r="O551" s="36">
        <v>1.79</v>
      </c>
      <c r="P551" s="57">
        <v>12</v>
      </c>
      <c r="Q551" s="63">
        <v>8.1999999999999993</v>
      </c>
      <c r="R551" s="36">
        <v>0.08</v>
      </c>
      <c r="S551" s="36">
        <v>22.36</v>
      </c>
      <c r="T551" s="36">
        <v>0.88</v>
      </c>
      <c r="U551" s="36">
        <v>0.7</v>
      </c>
      <c r="V551" s="42">
        <f t="shared" si="206"/>
        <v>2626.1074999999996</v>
      </c>
      <c r="W551" s="42">
        <f t="shared" si="207"/>
        <v>1670.8733599999998</v>
      </c>
      <c r="X551" s="42">
        <f t="shared" si="208"/>
        <v>0.63625474585484409</v>
      </c>
      <c r="Y551" s="57">
        <v>2</v>
      </c>
      <c r="Z551" s="57">
        <v>2</v>
      </c>
      <c r="AA551" s="63">
        <v>5.6</v>
      </c>
      <c r="AB551" s="57">
        <v>25</v>
      </c>
      <c r="AC551" s="63">
        <v>6.3</v>
      </c>
      <c r="AD551" s="63">
        <v>7.9</v>
      </c>
      <c r="AE551" s="36">
        <v>0.12</v>
      </c>
      <c r="AF551" s="36">
        <v>0.36</v>
      </c>
      <c r="AG551" s="42">
        <f t="shared" si="194"/>
        <v>1313.0537499999998</v>
      </c>
      <c r="AH551" s="42">
        <f t="shared" si="209"/>
        <v>1941.2225299999996</v>
      </c>
      <c r="AI551" s="42">
        <f t="shared" si="210"/>
        <v>1.4784029442816029</v>
      </c>
      <c r="AJ551" s="57">
        <v>6.3</v>
      </c>
      <c r="AK551" s="57">
        <v>4</v>
      </c>
      <c r="AL551" s="63">
        <v>6.3</v>
      </c>
      <c r="AM551" s="57">
        <v>25</v>
      </c>
      <c r="AN551" s="63">
        <v>6.2</v>
      </c>
      <c r="AO551" s="63">
        <v>6.7</v>
      </c>
      <c r="AP551" s="36">
        <v>0.11</v>
      </c>
      <c r="AQ551" s="36">
        <v>0.1</v>
      </c>
      <c r="AR551" s="73">
        <f t="shared" si="195"/>
        <v>1565</v>
      </c>
      <c r="AS551" s="75">
        <f t="shared" si="196"/>
        <v>0.19169329073482427</v>
      </c>
      <c r="AT551" s="75">
        <f t="shared" si="197"/>
        <v>0.6485623003194888</v>
      </c>
      <c r="AU551" s="75">
        <f t="shared" si="198"/>
        <v>0.15974440894568689</v>
      </c>
      <c r="AV551" s="26">
        <f t="shared" si="192"/>
        <v>1.4997165488623313E-3</v>
      </c>
      <c r="AW551" s="26">
        <f t="shared" si="211"/>
        <v>1.0802708608775413E-2</v>
      </c>
      <c r="AX551" s="26">
        <f t="shared" si="212"/>
        <v>0.94413407821229045</v>
      </c>
      <c r="AY551" s="24">
        <f t="shared" si="213"/>
        <v>0.7988826815642458</v>
      </c>
      <c r="AZ551" s="77" t="str">
        <f t="shared" si="199"/>
        <v>7,5 ≤ Alc. Bruta &lt; 10,0 mg/L</v>
      </c>
      <c r="BA551" s="77" t="str">
        <f t="shared" si="200"/>
        <v>10 ≤ Cor &lt;15 uC</v>
      </c>
      <c r="BB551" s="78" t="str">
        <f t="shared" si="201"/>
        <v>Turbidez &lt; 2,5 uT</v>
      </c>
      <c r="BC551" s="79" t="str">
        <f t="shared" si="202"/>
        <v>SM &gt; TOR &gt; BNN</v>
      </c>
      <c r="BD551" s="78" t="str">
        <f t="shared" si="203"/>
        <v>Tipo 1 (≤0,25) uT</v>
      </c>
      <c r="BE551" s="78" t="str">
        <f t="shared" si="190"/>
        <v>Tipo 1 (≤0,25) uT</v>
      </c>
      <c r="BF551" s="78" t="str">
        <f t="shared" si="204"/>
        <v>Tipo 2 (0,25-0,50) uT</v>
      </c>
      <c r="BG551" s="78" t="str">
        <f t="shared" si="191"/>
        <v>Tipo 1 (≤0,25) uT</v>
      </c>
      <c r="BH551" s="78" t="str">
        <f t="shared" si="205"/>
        <v>Tipo 1 (≤0,25) uT</v>
      </c>
    </row>
    <row r="552" spans="1:60" x14ac:dyDescent="0.2">
      <c r="A552" s="31">
        <v>46320</v>
      </c>
      <c r="B552" s="80">
        <v>0.14583333333333334</v>
      </c>
      <c r="C552" s="57">
        <v>304</v>
      </c>
      <c r="D552" s="57">
        <v>1029</v>
      </c>
      <c r="E552" s="57">
        <v>250</v>
      </c>
      <c r="F552" s="57">
        <v>1692</v>
      </c>
      <c r="G552" s="85" t="s">
        <v>78</v>
      </c>
      <c r="H552" s="63">
        <v>8</v>
      </c>
      <c r="I552" s="57">
        <v>35</v>
      </c>
      <c r="J552" s="57">
        <v>90</v>
      </c>
      <c r="K552" s="57">
        <v>90</v>
      </c>
      <c r="L552" s="57">
        <v>90</v>
      </c>
      <c r="M552" s="57">
        <v>25.2</v>
      </c>
      <c r="N552" s="63">
        <v>6.4</v>
      </c>
      <c r="O552" s="36">
        <v>1.82</v>
      </c>
      <c r="P552" s="57">
        <v>13</v>
      </c>
      <c r="Q552" s="63">
        <v>7.6</v>
      </c>
      <c r="R552" s="36">
        <v>0.08</v>
      </c>
      <c r="S552" s="36">
        <v>22.36</v>
      </c>
      <c r="T552" s="36">
        <v>0.88</v>
      </c>
      <c r="U552" s="36">
        <v>0.7</v>
      </c>
      <c r="V552" s="42">
        <f t="shared" si="206"/>
        <v>2631.06</v>
      </c>
      <c r="W552" s="42">
        <f t="shared" si="207"/>
        <v>1632.2520499999996</v>
      </c>
      <c r="X552" s="42">
        <f t="shared" si="208"/>
        <v>0.62037811756478367</v>
      </c>
      <c r="Y552" s="57">
        <v>2</v>
      </c>
      <c r="Z552" s="57">
        <v>2</v>
      </c>
      <c r="AA552" s="63">
        <v>5.5</v>
      </c>
      <c r="AB552" s="57">
        <v>25</v>
      </c>
      <c r="AC552" s="63">
        <v>6.1</v>
      </c>
      <c r="AD552" s="63">
        <v>5.4</v>
      </c>
      <c r="AE552" s="36">
        <v>0.12</v>
      </c>
      <c r="AF552" s="36">
        <v>0.26</v>
      </c>
      <c r="AG552" s="42">
        <f t="shared" si="194"/>
        <v>1315.53</v>
      </c>
      <c r="AH552" s="42">
        <f t="shared" si="209"/>
        <v>1979.8438399999998</v>
      </c>
      <c r="AI552" s="42">
        <f t="shared" si="210"/>
        <v>1.5049781000813358</v>
      </c>
      <c r="AJ552" s="57">
        <v>6.4</v>
      </c>
      <c r="AK552" s="57">
        <v>4</v>
      </c>
      <c r="AL552" s="63">
        <v>6.4</v>
      </c>
      <c r="AM552" s="57">
        <v>25</v>
      </c>
      <c r="AN552" s="63">
        <v>6.1</v>
      </c>
      <c r="AO552" s="63">
        <v>6</v>
      </c>
      <c r="AP552" s="36">
        <v>0.15</v>
      </c>
      <c r="AQ552" s="36">
        <v>0.09</v>
      </c>
      <c r="AR552" s="73">
        <f t="shared" si="195"/>
        <v>1583</v>
      </c>
      <c r="AS552" s="75">
        <f t="shared" si="196"/>
        <v>0.19204042956411876</v>
      </c>
      <c r="AT552" s="75">
        <f t="shared" si="197"/>
        <v>0.65003158559696783</v>
      </c>
      <c r="AU552" s="75">
        <f t="shared" si="198"/>
        <v>0.15792798483891346</v>
      </c>
      <c r="AV552" s="26">
        <f t="shared" si="192"/>
        <v>1.4666149351413326E-3</v>
      </c>
      <c r="AW552" s="26">
        <f t="shared" si="211"/>
        <v>1.0851496939120743E-2</v>
      </c>
      <c r="AX552" s="26">
        <f t="shared" si="212"/>
        <v>0.9505494505494505</v>
      </c>
      <c r="AY552" s="24">
        <f t="shared" si="213"/>
        <v>0.85714285714285721</v>
      </c>
      <c r="AZ552" s="77" t="str">
        <f t="shared" si="199"/>
        <v>7,5 ≤ Alc. Bruta &lt; 10,0 mg/L</v>
      </c>
      <c r="BA552" s="77" t="str">
        <f t="shared" si="200"/>
        <v>10 ≤ Cor &lt;15 uC</v>
      </c>
      <c r="BB552" s="78" t="str">
        <f t="shared" si="201"/>
        <v>Turbidez &lt; 2,5 uT</v>
      </c>
      <c r="BC552" s="79" t="str">
        <f t="shared" si="202"/>
        <v>SM &gt; TOR &gt; BNN</v>
      </c>
      <c r="BD552" s="78" t="str">
        <f t="shared" si="203"/>
        <v>Tipo 1 (≤0,25) uT</v>
      </c>
      <c r="BE552" s="78" t="str">
        <f t="shared" si="190"/>
        <v>Tipo 1 (≤0,25) uT</v>
      </c>
      <c r="BF552" s="78" t="str">
        <f t="shared" si="204"/>
        <v>Tipo 2 (0,25-0,50) uT</v>
      </c>
      <c r="BG552" s="78" t="str">
        <f t="shared" si="191"/>
        <v>Tipo 1 (≤0,25) uT</v>
      </c>
      <c r="BH552" s="78" t="str">
        <f t="shared" si="205"/>
        <v>Tipo 1 (≤0,25) uT</v>
      </c>
    </row>
    <row r="553" spans="1:60" ht="15.75" thickBot="1" x14ac:dyDescent="0.25">
      <c r="A553" s="32">
        <v>46320</v>
      </c>
      <c r="B553" s="81">
        <v>0.22916666666666666</v>
      </c>
      <c r="C553" s="58">
        <v>306</v>
      </c>
      <c r="D553" s="58">
        <v>1021</v>
      </c>
      <c r="E553" s="58">
        <v>249</v>
      </c>
      <c r="F553" s="58">
        <v>1694</v>
      </c>
      <c r="G553" s="86" t="s">
        <v>78</v>
      </c>
      <c r="H553" s="64">
        <v>8</v>
      </c>
      <c r="I553" s="58">
        <v>54</v>
      </c>
      <c r="J553" s="58">
        <v>90</v>
      </c>
      <c r="K553" s="58">
        <v>90</v>
      </c>
      <c r="L553" s="58">
        <v>90</v>
      </c>
      <c r="M553" s="58">
        <v>24.9</v>
      </c>
      <c r="N553" s="64">
        <v>6.4</v>
      </c>
      <c r="O553" s="37">
        <v>1.66</v>
      </c>
      <c r="P553" s="58">
        <v>12</v>
      </c>
      <c r="Q553" s="64">
        <v>7.5</v>
      </c>
      <c r="R553" s="37">
        <v>7.0000000000000007E-2</v>
      </c>
      <c r="S553" s="36">
        <v>22.36</v>
      </c>
      <c r="T553" s="36">
        <v>0.88</v>
      </c>
      <c r="U553" s="36">
        <v>0.7</v>
      </c>
      <c r="V553" s="42">
        <f t="shared" si="206"/>
        <v>2566.41</v>
      </c>
      <c r="W553" s="42">
        <f t="shared" si="207"/>
        <v>1632.2520499999996</v>
      </c>
      <c r="X553" s="42">
        <f t="shared" si="208"/>
        <v>0.63600595773863089</v>
      </c>
      <c r="Y553" s="58">
        <v>2</v>
      </c>
      <c r="Z553" s="58">
        <v>2</v>
      </c>
      <c r="AA553" s="64">
        <v>5.5</v>
      </c>
      <c r="AB553" s="58">
        <v>25</v>
      </c>
      <c r="AC553" s="64">
        <v>6.1</v>
      </c>
      <c r="AD553" s="64">
        <v>5.3</v>
      </c>
      <c r="AE553" s="37">
        <v>0.13</v>
      </c>
      <c r="AF553" s="37">
        <v>0.36</v>
      </c>
      <c r="AG553" s="42">
        <f t="shared" si="194"/>
        <v>1283.2049999999999</v>
      </c>
      <c r="AH553" s="42">
        <f t="shared" si="209"/>
        <v>1979.8438399999998</v>
      </c>
      <c r="AI553" s="42">
        <f t="shared" si="210"/>
        <v>1.5428897487151312</v>
      </c>
      <c r="AJ553" s="58">
        <v>6.4</v>
      </c>
      <c r="AK553" s="58">
        <v>4</v>
      </c>
      <c r="AL553" s="64">
        <v>6.4</v>
      </c>
      <c r="AM553" s="58">
        <v>25</v>
      </c>
      <c r="AN553" s="64">
        <v>6.2</v>
      </c>
      <c r="AO553" s="64">
        <v>5.5</v>
      </c>
      <c r="AP553" s="37">
        <v>0.11</v>
      </c>
      <c r="AQ553" s="37">
        <v>0.1</v>
      </c>
      <c r="AR553" s="73">
        <f t="shared" si="195"/>
        <v>1576</v>
      </c>
      <c r="AS553" s="75">
        <f t="shared" si="196"/>
        <v>0.19416243654822335</v>
      </c>
      <c r="AT553" s="75">
        <f t="shared" si="197"/>
        <v>0.64784263959390864</v>
      </c>
      <c r="AU553" s="75">
        <f t="shared" si="198"/>
        <v>0.15799492385786801</v>
      </c>
      <c r="AV553" s="26">
        <f t="shared" si="192"/>
        <v>1.5017850241762242E-3</v>
      </c>
      <c r="AW553" s="26">
        <f t="shared" si="211"/>
        <v>1.1293880096852199E-2</v>
      </c>
      <c r="AX553" s="26">
        <f t="shared" si="212"/>
        <v>0.93975903614457834</v>
      </c>
      <c r="AY553" s="24">
        <f t="shared" si="213"/>
        <v>0.7831325301204819</v>
      </c>
      <c r="AZ553" s="77" t="str">
        <f t="shared" si="199"/>
        <v>7,5 ≤ Alc. Bruta &lt; 10,0 mg/L</v>
      </c>
      <c r="BA553" s="77" t="str">
        <f t="shared" si="200"/>
        <v>10 ≤ Cor &lt;15 uC</v>
      </c>
      <c r="BB553" s="78" t="str">
        <f t="shared" si="201"/>
        <v>Turbidez &lt; 2,5 uT</v>
      </c>
      <c r="BC553" s="79" t="str">
        <f t="shared" si="202"/>
        <v>SM &gt; TOR &gt; BNN</v>
      </c>
      <c r="BD553" s="78" t="str">
        <f t="shared" si="203"/>
        <v>Tipo 1 (≤0,25) uT</v>
      </c>
      <c r="BE553" s="78" t="str">
        <f t="shared" si="190"/>
        <v>Tipo 1 (≤0,25) uT</v>
      </c>
      <c r="BF553" s="78" t="str">
        <f t="shared" si="204"/>
        <v>Tipo 2 (0,25-0,50) uT</v>
      </c>
      <c r="BG553" s="78" t="str">
        <f t="shared" si="191"/>
        <v>Tipo 1 (≤0,25) uT</v>
      </c>
      <c r="BH553" s="78" t="str">
        <f t="shared" si="205"/>
        <v>Tipo 1 (≤0,25) uT</v>
      </c>
    </row>
    <row r="554" spans="1:60" x14ac:dyDescent="0.2">
      <c r="A554" s="30">
        <v>46320</v>
      </c>
      <c r="B554" s="82">
        <v>0.3125</v>
      </c>
      <c r="C554" s="59">
        <v>300</v>
      </c>
      <c r="D554" s="59">
        <v>1059</v>
      </c>
      <c r="E554" s="59">
        <v>249</v>
      </c>
      <c r="F554" s="59">
        <v>1746</v>
      </c>
      <c r="G554" s="87" t="s">
        <v>78</v>
      </c>
      <c r="H554" s="65">
        <v>8</v>
      </c>
      <c r="I554" s="59">
        <v>31</v>
      </c>
      <c r="J554" s="59">
        <v>90</v>
      </c>
      <c r="K554" s="59">
        <v>90</v>
      </c>
      <c r="L554" s="59">
        <v>90</v>
      </c>
      <c r="M554" s="59">
        <v>25.2</v>
      </c>
      <c r="N554" s="65">
        <v>6.4</v>
      </c>
      <c r="O554" s="38">
        <v>1.73</v>
      </c>
      <c r="P554" s="59">
        <v>12</v>
      </c>
      <c r="Q554" s="65">
        <v>7.3</v>
      </c>
      <c r="R554" s="38">
        <v>0.08</v>
      </c>
      <c r="S554" s="36">
        <v>22.36</v>
      </c>
      <c r="T554" s="36">
        <v>0.88</v>
      </c>
      <c r="U554" s="36">
        <v>0.7</v>
      </c>
      <c r="V554" s="42">
        <f t="shared" si="206"/>
        <v>2675.7449999999999</v>
      </c>
      <c r="W554" s="42">
        <f t="shared" si="207"/>
        <v>1632.2520499999996</v>
      </c>
      <c r="X554" s="42">
        <f t="shared" si="208"/>
        <v>0.6100177894380816</v>
      </c>
      <c r="Y554" s="60">
        <v>2</v>
      </c>
      <c r="Z554" s="88">
        <v>2</v>
      </c>
      <c r="AA554" s="89">
        <v>5.5</v>
      </c>
      <c r="AB554" s="88">
        <v>25</v>
      </c>
      <c r="AC554" s="65">
        <v>6.3</v>
      </c>
      <c r="AD554" s="65">
        <v>5.3</v>
      </c>
      <c r="AE554" s="38">
        <v>0.23</v>
      </c>
      <c r="AF554" s="38">
        <v>0.16</v>
      </c>
      <c r="AG554" s="42">
        <f t="shared" si="194"/>
        <v>1337.8724999999999</v>
      </c>
      <c r="AH554" s="42">
        <f t="shared" si="209"/>
        <v>1979.8438399999998</v>
      </c>
      <c r="AI554" s="42">
        <f t="shared" si="210"/>
        <v>1.4798449329065362</v>
      </c>
      <c r="AJ554" s="59">
        <v>6.4</v>
      </c>
      <c r="AK554" s="59">
        <v>4</v>
      </c>
      <c r="AL554" s="65">
        <v>6.4</v>
      </c>
      <c r="AM554" s="59">
        <v>25</v>
      </c>
      <c r="AN554" s="65">
        <v>6.2</v>
      </c>
      <c r="AO554" s="65">
        <v>6</v>
      </c>
      <c r="AP554" s="38">
        <v>0.18</v>
      </c>
      <c r="AQ554" s="38">
        <v>0.09</v>
      </c>
      <c r="AR554" s="73">
        <f t="shared" si="195"/>
        <v>1608</v>
      </c>
      <c r="AS554" s="75">
        <f t="shared" si="196"/>
        <v>0.18656716417910449</v>
      </c>
      <c r="AT554" s="75">
        <f t="shared" si="197"/>
        <v>0.65858208955223885</v>
      </c>
      <c r="AU554" s="75">
        <f t="shared" si="198"/>
        <v>0.15485074626865672</v>
      </c>
      <c r="AV554" s="26">
        <f t="shared" si="192"/>
        <v>1.3975207089074035E-3</v>
      </c>
      <c r="AW554" s="26">
        <f t="shared" si="211"/>
        <v>1.050978073770965E-2</v>
      </c>
      <c r="AX554" s="26">
        <f t="shared" si="212"/>
        <v>0.94797687861271673</v>
      </c>
      <c r="AY554" s="24">
        <f t="shared" si="213"/>
        <v>0.90751445086705207</v>
      </c>
      <c r="AZ554" s="77" t="str">
        <f t="shared" si="199"/>
        <v>5,0 ≤ Alc. Bruta &lt; 7,5 mg/L</v>
      </c>
      <c r="BA554" s="77" t="str">
        <f t="shared" si="200"/>
        <v>10 ≤ Cor &lt;15 uC</v>
      </c>
      <c r="BB554" s="78" t="str">
        <f t="shared" si="201"/>
        <v>Turbidez &lt; 2,5 uT</v>
      </c>
      <c r="BC554" s="79" t="str">
        <f t="shared" si="202"/>
        <v>SM &gt; TOR &gt; BNN</v>
      </c>
      <c r="BD554" s="78" t="str">
        <f t="shared" si="203"/>
        <v>Tipo 1 (≤0,25) uT</v>
      </c>
      <c r="BE554" s="78" t="str">
        <f t="shared" si="190"/>
        <v>Tipo 1 (≤0,25) uT</v>
      </c>
      <c r="BF554" s="78" t="str">
        <f t="shared" si="204"/>
        <v>Tipo 1 (≤0,25) uT</v>
      </c>
      <c r="BG554" s="78" t="str">
        <f t="shared" si="191"/>
        <v>Tipo 1 (≤0,25) uT</v>
      </c>
      <c r="BH554" s="78" t="str">
        <f t="shared" si="205"/>
        <v>Tipo 1 (≤0,25) uT</v>
      </c>
    </row>
    <row r="555" spans="1:60" x14ac:dyDescent="0.2">
      <c r="A555" s="31">
        <v>46320</v>
      </c>
      <c r="B555" s="80">
        <v>0.39583333333333331</v>
      </c>
      <c r="C555" s="57">
        <v>297</v>
      </c>
      <c r="D555" s="57">
        <v>1030</v>
      </c>
      <c r="E555" s="57">
        <v>304</v>
      </c>
      <c r="F555" s="57">
        <v>1699</v>
      </c>
      <c r="G555" s="85" t="s">
        <v>78</v>
      </c>
      <c r="H555" s="63">
        <v>8</v>
      </c>
      <c r="I555" s="57">
        <v>48</v>
      </c>
      <c r="J555" s="57">
        <v>90</v>
      </c>
      <c r="K555" s="57">
        <v>90</v>
      </c>
      <c r="L555" s="57">
        <v>90</v>
      </c>
      <c r="M555" s="57">
        <v>25.4</v>
      </c>
      <c r="N555" s="63">
        <v>6.5</v>
      </c>
      <c r="O555" s="36">
        <v>1.73</v>
      </c>
      <c r="P555" s="57">
        <v>13</v>
      </c>
      <c r="Q555" s="63">
        <v>7</v>
      </c>
      <c r="R555" s="36">
        <v>7.0000000000000007E-2</v>
      </c>
      <c r="S555" s="36">
        <v>22.36</v>
      </c>
      <c r="T555" s="36">
        <v>0.88</v>
      </c>
      <c r="U555" s="36">
        <v>0.7</v>
      </c>
      <c r="V555" s="42">
        <f t="shared" si="206"/>
        <v>2603.7174999999997</v>
      </c>
      <c r="W555" s="42">
        <f t="shared" si="207"/>
        <v>1732.6674560000001</v>
      </c>
      <c r="X555" s="42">
        <f t="shared" si="208"/>
        <v>0.66545908148637489</v>
      </c>
      <c r="Y555" s="57">
        <v>2</v>
      </c>
      <c r="Z555" s="57">
        <v>2</v>
      </c>
      <c r="AA555" s="63">
        <v>5.76</v>
      </c>
      <c r="AB555" s="57">
        <v>25</v>
      </c>
      <c r="AC555" s="63">
        <v>6.2</v>
      </c>
      <c r="AD555" s="63">
        <v>5.4</v>
      </c>
      <c r="AE555" s="36">
        <v>0.2</v>
      </c>
      <c r="AF555" s="36">
        <v>0.16</v>
      </c>
      <c r="AG555" s="42">
        <f t="shared" si="194"/>
        <v>1301.8587499999999</v>
      </c>
      <c r="AH555" s="42">
        <f t="shared" si="209"/>
        <v>1979.8438399999998</v>
      </c>
      <c r="AI555" s="42">
        <f t="shared" si="210"/>
        <v>1.5207823736638095</v>
      </c>
      <c r="AJ555" s="57">
        <v>6.4</v>
      </c>
      <c r="AK555" s="57">
        <v>4</v>
      </c>
      <c r="AL555" s="63">
        <v>6.4</v>
      </c>
      <c r="AM555" s="57">
        <v>25</v>
      </c>
      <c r="AN555" s="63">
        <v>6.2</v>
      </c>
      <c r="AO555" s="63">
        <v>5.8</v>
      </c>
      <c r="AP555" s="36">
        <v>0.15</v>
      </c>
      <c r="AQ555" s="36">
        <v>0.08</v>
      </c>
      <c r="AR555" s="73">
        <f t="shared" si="195"/>
        <v>1631</v>
      </c>
      <c r="AS555" s="75">
        <f t="shared" si="196"/>
        <v>0.18209687308399755</v>
      </c>
      <c r="AT555" s="75">
        <f t="shared" si="197"/>
        <v>0.63151440833844263</v>
      </c>
      <c r="AU555" s="75">
        <f t="shared" si="198"/>
        <v>0.18638871857755979</v>
      </c>
      <c r="AV555" s="26">
        <f t="shared" si="192"/>
        <v>1.5667076668307825E-3</v>
      </c>
      <c r="AW555" s="26">
        <f t="shared" si="211"/>
        <v>1.1099294545868886E-2</v>
      </c>
      <c r="AX555" s="26">
        <f t="shared" si="212"/>
        <v>0.95375722543352603</v>
      </c>
      <c r="AY555" s="24">
        <f t="shared" si="213"/>
        <v>0.90751445086705207</v>
      </c>
      <c r="AZ555" s="77" t="str">
        <f t="shared" si="199"/>
        <v>5,0 ≤ Alc. Bruta &lt; 7,5 mg/L</v>
      </c>
      <c r="BA555" s="77" t="str">
        <f t="shared" si="200"/>
        <v>10 ≤ Cor &lt;15 uC</v>
      </c>
      <c r="BB555" s="78" t="str">
        <f t="shared" si="201"/>
        <v>Turbidez &lt; 2,5 uT</v>
      </c>
      <c r="BC555" s="79" t="str">
        <f t="shared" si="202"/>
        <v>SM &gt; BNN &gt; TOR</v>
      </c>
      <c r="BD555" s="78" t="str">
        <f t="shared" si="203"/>
        <v>Tipo 1 (≤0,25) uT</v>
      </c>
      <c r="BE555" s="78" t="str">
        <f t="shared" si="190"/>
        <v>Tipo 1 (≤0,25) uT</v>
      </c>
      <c r="BF555" s="78" t="str">
        <f t="shared" si="204"/>
        <v>Tipo 1 (≤0,25) uT</v>
      </c>
      <c r="BG555" s="78" t="str">
        <f t="shared" si="191"/>
        <v>Tipo 1 (≤0,25) uT</v>
      </c>
      <c r="BH555" s="78" t="str">
        <f t="shared" si="205"/>
        <v>Tipo 1 (≤0,25) uT</v>
      </c>
    </row>
    <row r="556" spans="1:60" x14ac:dyDescent="0.2">
      <c r="A556" s="31">
        <v>46320</v>
      </c>
      <c r="B556" s="80">
        <v>0.47916666666666669</v>
      </c>
      <c r="C556" s="57">
        <v>285</v>
      </c>
      <c r="D556" s="57">
        <v>1590</v>
      </c>
      <c r="E556" s="57">
        <v>215</v>
      </c>
      <c r="F556" s="57">
        <v>2275</v>
      </c>
      <c r="G556" s="85" t="s">
        <v>78</v>
      </c>
      <c r="H556" s="63">
        <v>8</v>
      </c>
      <c r="I556" s="57">
        <v>15</v>
      </c>
      <c r="J556" s="57">
        <v>90</v>
      </c>
      <c r="K556" s="57">
        <v>90</v>
      </c>
      <c r="L556" s="57">
        <v>90</v>
      </c>
      <c r="M556" s="57">
        <v>26.1</v>
      </c>
      <c r="N556" s="63">
        <v>6.6</v>
      </c>
      <c r="O556" s="36">
        <v>1.88</v>
      </c>
      <c r="P556" s="57">
        <v>12</v>
      </c>
      <c r="Q556" s="63">
        <v>6.9</v>
      </c>
      <c r="R556" s="36">
        <v>0.08</v>
      </c>
      <c r="S556" s="36">
        <v>22.36</v>
      </c>
      <c r="T556" s="36">
        <v>0.88</v>
      </c>
      <c r="U556" s="36">
        <v>0.7</v>
      </c>
      <c r="V556" s="42">
        <f t="shared" si="206"/>
        <v>1785.8749999999998</v>
      </c>
      <c r="W556" s="42">
        <f t="shared" si="207"/>
        <v>1559.5466764799999</v>
      </c>
      <c r="X556" s="42">
        <f t="shared" si="208"/>
        <v>0.87326754474977253</v>
      </c>
      <c r="Y556" s="57">
        <v>3</v>
      </c>
      <c r="Z556" s="57">
        <v>4</v>
      </c>
      <c r="AA556" s="63">
        <v>5.48</v>
      </c>
      <c r="AB556" s="57">
        <v>24</v>
      </c>
      <c r="AC556" s="63">
        <v>6.2</v>
      </c>
      <c r="AD556" s="63">
        <v>5.2</v>
      </c>
      <c r="AE556" s="36">
        <v>0.2</v>
      </c>
      <c r="AF556" s="36">
        <v>0.16</v>
      </c>
      <c r="AG556" s="42">
        <f t="shared" si="194"/>
        <v>1785.8749999999998</v>
      </c>
      <c r="AH556" s="42">
        <f t="shared" si="209"/>
        <v>1979.8438399999998</v>
      </c>
      <c r="AI556" s="42">
        <f t="shared" si="210"/>
        <v>1.1086127752502275</v>
      </c>
      <c r="AJ556" s="57">
        <v>6.4</v>
      </c>
      <c r="AK556" s="57">
        <v>4</v>
      </c>
      <c r="AL556" s="63">
        <v>6.4</v>
      </c>
      <c r="AM556" s="57">
        <v>25</v>
      </c>
      <c r="AN556" s="63">
        <v>6.2</v>
      </c>
      <c r="AO556" s="63">
        <v>5.8</v>
      </c>
      <c r="AP556" s="36">
        <v>0.15</v>
      </c>
      <c r="AQ556" s="36">
        <v>0.08</v>
      </c>
      <c r="AR556" s="73">
        <f t="shared" si="195"/>
        <v>2090</v>
      </c>
      <c r="AS556" s="75">
        <f t="shared" si="196"/>
        <v>0.13636363636363635</v>
      </c>
      <c r="AT556" s="75">
        <f t="shared" si="197"/>
        <v>0.76076555023923442</v>
      </c>
      <c r="AU556" s="75">
        <f t="shared" si="198"/>
        <v>0.10287081339712918</v>
      </c>
      <c r="AV556" s="26">
        <f t="shared" si="192"/>
        <v>3.0708309265926065E-3</v>
      </c>
      <c r="AW556" s="26">
        <f t="shared" si="211"/>
        <v>6.042548753012229E-3</v>
      </c>
      <c r="AX556" s="26">
        <f t="shared" si="212"/>
        <v>0.95744680851063824</v>
      </c>
      <c r="AY556" s="24">
        <f t="shared" si="213"/>
        <v>0.91489361702127658</v>
      </c>
      <c r="AZ556" s="77" t="str">
        <f t="shared" si="199"/>
        <v>5,0 ≤ Alc. Bruta &lt; 7,5 mg/L</v>
      </c>
      <c r="BA556" s="77" t="str">
        <f t="shared" si="200"/>
        <v>10 ≤ Cor &lt;15 uC</v>
      </c>
      <c r="BB556" s="78" t="str">
        <f t="shared" si="201"/>
        <v>Turbidez &lt; 2,5 uT</v>
      </c>
      <c r="BC556" s="79" t="str">
        <f t="shared" si="202"/>
        <v>SM &gt; TOR &gt; BNN</v>
      </c>
      <c r="BD556" s="78" t="str">
        <f t="shared" si="203"/>
        <v>Tipo 1 (≤0,25) uT</v>
      </c>
      <c r="BE556" s="78" t="str">
        <f t="shared" si="190"/>
        <v>Tipo 1 (≤0,25) uT</v>
      </c>
      <c r="BF556" s="78" t="str">
        <f t="shared" si="204"/>
        <v>Tipo 1 (≤0,25) uT</v>
      </c>
      <c r="BG556" s="78" t="str">
        <f t="shared" si="191"/>
        <v>Tipo 1 (≤0,25) uT</v>
      </c>
      <c r="BH556" s="78" t="str">
        <f t="shared" si="205"/>
        <v>Tipo 1 (≤0,25) uT</v>
      </c>
    </row>
    <row r="557" spans="1:60" x14ac:dyDescent="0.2">
      <c r="A557" s="31">
        <v>46320</v>
      </c>
      <c r="B557" s="80">
        <v>0.64583333333333337</v>
      </c>
      <c r="C557" s="57">
        <v>276</v>
      </c>
      <c r="D557" s="57">
        <v>1786</v>
      </c>
      <c r="E557" s="57">
        <v>215</v>
      </c>
      <c r="F557" s="57">
        <v>2280</v>
      </c>
      <c r="G557" s="85" t="s">
        <v>78</v>
      </c>
      <c r="H557" s="63">
        <v>8</v>
      </c>
      <c r="I557" s="57">
        <v>-88</v>
      </c>
      <c r="J557" s="57">
        <v>90</v>
      </c>
      <c r="K557" s="57">
        <v>90</v>
      </c>
      <c r="L557" s="57">
        <v>90</v>
      </c>
      <c r="M557" s="57">
        <v>26.9</v>
      </c>
      <c r="N557" s="63">
        <v>6.5</v>
      </c>
      <c r="O557" s="36">
        <v>1.6</v>
      </c>
      <c r="P557" s="57">
        <v>11</v>
      </c>
      <c r="Q557" s="63">
        <v>7.2</v>
      </c>
      <c r="R557" s="36">
        <v>0.1</v>
      </c>
      <c r="S557" s="36">
        <v>22.36</v>
      </c>
      <c r="T557" s="36">
        <v>0.88</v>
      </c>
      <c r="U557" s="36">
        <v>0.7</v>
      </c>
      <c r="V557" s="42">
        <f t="shared" si="206"/>
        <v>1710</v>
      </c>
      <c r="W557" s="42">
        <f t="shared" si="207"/>
        <v>1639.976312</v>
      </c>
      <c r="X557" s="42">
        <f t="shared" si="208"/>
        <v>0.95905047485380113</v>
      </c>
      <c r="Y557" s="57">
        <v>3</v>
      </c>
      <c r="Z557" s="57">
        <v>4</v>
      </c>
      <c r="AA557" s="63">
        <v>5.52</v>
      </c>
      <c r="AB557" s="57">
        <v>25</v>
      </c>
      <c r="AC557" s="63">
        <v>6.2</v>
      </c>
      <c r="AD557" s="63">
        <v>5.5</v>
      </c>
      <c r="AE557" s="36">
        <v>0.8</v>
      </c>
      <c r="AF557" s="36">
        <v>0.53</v>
      </c>
      <c r="AG557" s="42">
        <f t="shared" si="194"/>
        <v>1710</v>
      </c>
      <c r="AH557" s="42">
        <f t="shared" si="209"/>
        <v>1979.8438399999998</v>
      </c>
      <c r="AI557" s="42">
        <f t="shared" si="210"/>
        <v>1.1578034152046783</v>
      </c>
      <c r="AJ557" s="57">
        <v>6.4</v>
      </c>
      <c r="AK557" s="57">
        <v>4</v>
      </c>
      <c r="AL557" s="63">
        <v>6.4</v>
      </c>
      <c r="AM557" s="57">
        <v>25</v>
      </c>
      <c r="AN557" s="63">
        <v>6.1</v>
      </c>
      <c r="AO557" s="63">
        <v>6.2</v>
      </c>
      <c r="AP557" s="36">
        <v>0.13</v>
      </c>
      <c r="AQ557" s="36">
        <v>0.08</v>
      </c>
      <c r="AR557" s="73">
        <f t="shared" si="195"/>
        <v>2277</v>
      </c>
      <c r="AS557" s="75">
        <f t="shared" si="196"/>
        <v>0.12121212121212122</v>
      </c>
      <c r="AT557" s="75">
        <f t="shared" si="197"/>
        <v>0.78436539306104525</v>
      </c>
      <c r="AU557" s="75">
        <f t="shared" si="198"/>
        <v>9.4422485726833552E-2</v>
      </c>
      <c r="AV557" s="26">
        <f t="shared" si="192"/>
        <v>3.3650893854519333E-3</v>
      </c>
      <c r="AW557" s="26">
        <f t="shared" si="211"/>
        <v>6.1952638883759096E-3</v>
      </c>
      <c r="AX557" s="26">
        <f t="shared" si="212"/>
        <v>0.95</v>
      </c>
      <c r="AY557" s="24">
        <f t="shared" si="213"/>
        <v>0.66874999999999996</v>
      </c>
      <c r="AZ557" s="77" t="str">
        <f t="shared" si="199"/>
        <v>5,0 ≤ Alc. Bruta &lt; 7,5 mg/L</v>
      </c>
      <c r="BA557" s="77" t="str">
        <f t="shared" si="200"/>
        <v>10 ≤ Cor &lt;15 uC</v>
      </c>
      <c r="BB557" s="78" t="str">
        <f t="shared" si="201"/>
        <v>Turbidez &lt; 2,5 uT</v>
      </c>
      <c r="BC557" s="79" t="str">
        <f t="shared" si="202"/>
        <v>SM &gt; TOR &gt; BNN</v>
      </c>
      <c r="BD557" s="78" t="str">
        <f t="shared" si="203"/>
        <v>Tipo 4 (&gt;0,75) uT</v>
      </c>
      <c r="BE557" s="78" t="str">
        <f t="shared" si="190"/>
        <v>Tipo 1 (≤0,25) uT</v>
      </c>
      <c r="BF557" s="78" t="str">
        <f t="shared" si="204"/>
        <v>Tipo 3 (0,50-0,75) uT</v>
      </c>
      <c r="BG557" s="78" t="str">
        <f t="shared" si="191"/>
        <v>Tipo 1 (≤0,25) uT</v>
      </c>
      <c r="BH557" s="78" t="str">
        <f t="shared" si="205"/>
        <v>Tipo 1 (≤0,25) uT</v>
      </c>
    </row>
    <row r="558" spans="1:60" x14ac:dyDescent="0.2">
      <c r="A558" s="31">
        <v>46320</v>
      </c>
      <c r="B558" s="80">
        <v>0.72916666666666663</v>
      </c>
      <c r="C558" s="57">
        <v>299</v>
      </c>
      <c r="D558" s="57">
        <v>1039</v>
      </c>
      <c r="E558" s="57">
        <v>245</v>
      </c>
      <c r="F558" s="57">
        <v>1723</v>
      </c>
      <c r="G558" s="85" t="s">
        <v>78</v>
      </c>
      <c r="H558" s="63">
        <v>8</v>
      </c>
      <c r="I558" s="57">
        <v>-70</v>
      </c>
      <c r="J558" s="57">
        <v>90</v>
      </c>
      <c r="K558" s="57">
        <v>90</v>
      </c>
      <c r="L558" s="57">
        <v>90</v>
      </c>
      <c r="M558" s="57">
        <v>26.4</v>
      </c>
      <c r="N558" s="63">
        <v>6.7</v>
      </c>
      <c r="O558" s="36">
        <v>1.6</v>
      </c>
      <c r="P558" s="57">
        <v>11</v>
      </c>
      <c r="Q558" s="63">
        <v>8.1</v>
      </c>
      <c r="R558" s="36">
        <v>0.16</v>
      </c>
      <c r="S558" s="36">
        <v>22.36</v>
      </c>
      <c r="T558" s="36">
        <v>0.88</v>
      </c>
      <c r="U558" s="36">
        <v>0.7</v>
      </c>
      <c r="V558" s="42">
        <f t="shared" si="206"/>
        <v>1292.25</v>
      </c>
      <c r="W558" s="42">
        <f t="shared" si="207"/>
        <v>1761.8079918399999</v>
      </c>
      <c r="X558" s="42">
        <f t="shared" si="208"/>
        <v>1.3633646677036175</v>
      </c>
      <c r="Y558" s="57">
        <v>3</v>
      </c>
      <c r="Z558" s="57">
        <v>4</v>
      </c>
      <c r="AA558" s="63">
        <v>5.66</v>
      </c>
      <c r="AB558" s="57">
        <v>26</v>
      </c>
      <c r="AC558" s="63">
        <v>6.3</v>
      </c>
      <c r="AD558" s="63">
        <v>4.5</v>
      </c>
      <c r="AE558" s="36">
        <v>0.18</v>
      </c>
      <c r="AF558" s="36">
        <v>0.17</v>
      </c>
      <c r="AG558" s="42">
        <f t="shared" si="194"/>
        <v>1292.25</v>
      </c>
      <c r="AH558" s="42">
        <f t="shared" si="209"/>
        <v>1979.8438399999998</v>
      </c>
      <c r="AI558" s="42">
        <f t="shared" si="210"/>
        <v>1.5320904159411877</v>
      </c>
      <c r="AJ558" s="57">
        <v>6.4</v>
      </c>
      <c r="AK558" s="57">
        <v>4</v>
      </c>
      <c r="AL558" s="63">
        <v>6.4</v>
      </c>
      <c r="AM558" s="57">
        <v>25</v>
      </c>
      <c r="AN558" s="63">
        <v>6.3</v>
      </c>
      <c r="AO558" s="63">
        <v>4.9000000000000004</v>
      </c>
      <c r="AP558" s="36">
        <v>0.2</v>
      </c>
      <c r="AQ558" s="36">
        <v>0.12</v>
      </c>
      <c r="AR558" s="73">
        <f t="shared" si="195"/>
        <v>1583</v>
      </c>
      <c r="AS558" s="75">
        <f t="shared" si="196"/>
        <v>0.18888186986734049</v>
      </c>
      <c r="AT558" s="75">
        <f t="shared" si="197"/>
        <v>0.65634870499052433</v>
      </c>
      <c r="AU558" s="75">
        <f t="shared" si="198"/>
        <v>0.15476942514213518</v>
      </c>
      <c r="AV558" s="26">
        <f t="shared" si="192"/>
        <v>6.3301899835339183E-3</v>
      </c>
      <c r="AW558" s="26">
        <f t="shared" si="211"/>
        <v>1.1203911341183381E-2</v>
      </c>
      <c r="AX558" s="26">
        <f t="shared" si="212"/>
        <v>0.92500000000000004</v>
      </c>
      <c r="AY558" s="24">
        <f t="shared" si="213"/>
        <v>0.89375000000000004</v>
      </c>
      <c r="AZ558" s="77" t="str">
        <f t="shared" si="199"/>
        <v>7,5 ≤ Alc. Bruta &lt; 10,0 mg/L</v>
      </c>
      <c r="BA558" s="77" t="str">
        <f t="shared" si="200"/>
        <v>10 ≤ Cor &lt;15 uC</v>
      </c>
      <c r="BB558" s="78" t="str">
        <f t="shared" si="201"/>
        <v>Turbidez &lt; 2,5 uT</v>
      </c>
      <c r="BC558" s="79" t="str">
        <f t="shared" si="202"/>
        <v>SM &gt; TOR &gt; BNN</v>
      </c>
      <c r="BD558" s="78" t="str">
        <f t="shared" si="203"/>
        <v>Tipo 1 (≤0,25) uT</v>
      </c>
      <c r="BE558" s="78" t="str">
        <f t="shared" si="190"/>
        <v>Tipo 1 (≤0,25) uT</v>
      </c>
      <c r="BF558" s="78" t="str">
        <f t="shared" si="204"/>
        <v>Tipo 1 (≤0,25) uT</v>
      </c>
      <c r="BG558" s="78" t="str">
        <f t="shared" si="191"/>
        <v>Tipo 1 (≤0,25) uT</v>
      </c>
      <c r="BH558" s="78" t="str">
        <f t="shared" si="205"/>
        <v>Tipo 1 (≤0,25) uT</v>
      </c>
    </row>
    <row r="559" spans="1:60" x14ac:dyDescent="0.2">
      <c r="A559" s="31">
        <v>46320</v>
      </c>
      <c r="B559" s="80">
        <v>0.8125</v>
      </c>
      <c r="C559" s="57">
        <v>302</v>
      </c>
      <c r="D559" s="57">
        <v>1057</v>
      </c>
      <c r="E559" s="57">
        <v>303</v>
      </c>
      <c r="F559" s="57">
        <v>1685</v>
      </c>
      <c r="G559" s="85" t="s">
        <v>78</v>
      </c>
      <c r="H559" s="63">
        <v>8</v>
      </c>
      <c r="I559" s="57">
        <v>-87</v>
      </c>
      <c r="J559" s="57">
        <v>90</v>
      </c>
      <c r="K559" s="57">
        <v>90</v>
      </c>
      <c r="L559" s="57">
        <v>90</v>
      </c>
      <c r="M559" s="57">
        <v>26.3</v>
      </c>
      <c r="N559" s="63">
        <v>6.7</v>
      </c>
      <c r="O559" s="36">
        <v>1.75</v>
      </c>
      <c r="P559" s="57">
        <v>12</v>
      </c>
      <c r="Q559" s="63">
        <v>8.4</v>
      </c>
      <c r="R559" s="36">
        <v>0.23</v>
      </c>
      <c r="S559" s="36">
        <v>22.36</v>
      </c>
      <c r="T559" s="36">
        <v>0.88</v>
      </c>
      <c r="U559" s="36">
        <v>0.7</v>
      </c>
      <c r="V559" s="42">
        <f t="shared" si="206"/>
        <v>2590.6875</v>
      </c>
      <c r="W559" s="42">
        <f t="shared" si="207"/>
        <v>1670.8733599999998</v>
      </c>
      <c r="X559" s="42">
        <f t="shared" si="208"/>
        <v>0.64495365033412944</v>
      </c>
      <c r="Y559" s="57">
        <v>2</v>
      </c>
      <c r="Z559" s="57">
        <v>2</v>
      </c>
      <c r="AA559" s="63">
        <v>5.6</v>
      </c>
      <c r="AB559" s="57">
        <v>25</v>
      </c>
      <c r="AC559" s="63">
        <v>6.3</v>
      </c>
      <c r="AD559" s="63">
        <v>6.1</v>
      </c>
      <c r="AE559" s="36">
        <v>0.15</v>
      </c>
      <c r="AF559" s="36">
        <v>0.16</v>
      </c>
      <c r="AG559" s="42">
        <f t="shared" si="194"/>
        <v>1295.34375</v>
      </c>
      <c r="AH559" s="42">
        <f t="shared" si="209"/>
        <v>1979.8438399999998</v>
      </c>
      <c r="AI559" s="42">
        <f t="shared" si="210"/>
        <v>1.5284312291621431</v>
      </c>
      <c r="AJ559" s="57">
        <v>6.4</v>
      </c>
      <c r="AK559" s="57">
        <v>4</v>
      </c>
      <c r="AL559" s="63">
        <v>6.4</v>
      </c>
      <c r="AM559" s="57">
        <v>25</v>
      </c>
      <c r="AN559" s="63">
        <v>6.3</v>
      </c>
      <c r="AO559" s="63">
        <v>6.2</v>
      </c>
      <c r="AP559" s="36">
        <v>0.15</v>
      </c>
      <c r="AQ559" s="36">
        <v>0.24</v>
      </c>
      <c r="AR559" s="73">
        <f t="shared" si="195"/>
        <v>1662</v>
      </c>
      <c r="AS559" s="75">
        <f t="shared" si="196"/>
        <v>0.18170878459687123</v>
      </c>
      <c r="AT559" s="75">
        <f t="shared" si="197"/>
        <v>0.63598074608904931</v>
      </c>
      <c r="AU559" s="75">
        <f t="shared" si="198"/>
        <v>0.18231046931407943</v>
      </c>
      <c r="AV559" s="26">
        <f t="shared" si="192"/>
        <v>1.5310472411492685E-3</v>
      </c>
      <c r="AW559" s="26">
        <f t="shared" si="211"/>
        <v>1.1429218686909794E-2</v>
      </c>
      <c r="AX559" s="26">
        <f t="shared" si="212"/>
        <v>0.86285714285714288</v>
      </c>
      <c r="AY559" s="24">
        <f t="shared" si="213"/>
        <v>0.90857142857142859</v>
      </c>
      <c r="AZ559" s="77" t="str">
        <f t="shared" si="199"/>
        <v>7,5 ≤ Alc. Bruta &lt; 10,0 mg/L</v>
      </c>
      <c r="BA559" s="77" t="str">
        <f t="shared" si="200"/>
        <v>10 ≤ Cor &lt;15 uC</v>
      </c>
      <c r="BB559" s="78" t="str">
        <f t="shared" si="201"/>
        <v>Turbidez &lt; 2,5 uT</v>
      </c>
      <c r="BC559" s="79" t="str">
        <f t="shared" si="202"/>
        <v>SM &gt; BNN &gt; TOR</v>
      </c>
      <c r="BD559" s="78" t="str">
        <f t="shared" si="203"/>
        <v>Tipo 1 (≤0,25) uT</v>
      </c>
      <c r="BE559" s="78" t="str">
        <f t="shared" si="190"/>
        <v>Tipo 1 (≤0,25) uT</v>
      </c>
      <c r="BF559" s="78" t="str">
        <f t="shared" si="204"/>
        <v>Tipo 1 (≤0,25) uT</v>
      </c>
      <c r="BG559" s="78" t="str">
        <f t="shared" si="191"/>
        <v>Tipo 1 (≤0,25) uT</v>
      </c>
      <c r="BH559" s="78" t="str">
        <f t="shared" si="205"/>
        <v>Tipo 1 (≤0,25) uT</v>
      </c>
    </row>
    <row r="560" spans="1:60" x14ac:dyDescent="0.2">
      <c r="A560" s="31">
        <v>46320</v>
      </c>
      <c r="B560" s="80">
        <v>0.89583333333333337</v>
      </c>
      <c r="C560" s="57">
        <v>284</v>
      </c>
      <c r="D560" s="57">
        <v>1051</v>
      </c>
      <c r="E560" s="57">
        <v>302</v>
      </c>
      <c r="F560" s="57">
        <v>1745</v>
      </c>
      <c r="G560" s="85" t="s">
        <v>78</v>
      </c>
      <c r="H560" s="63">
        <v>8.5</v>
      </c>
      <c r="I560" s="57">
        <v>-60</v>
      </c>
      <c r="J560" s="57">
        <v>90</v>
      </c>
      <c r="K560" s="57">
        <v>90</v>
      </c>
      <c r="L560" s="57">
        <v>90</v>
      </c>
      <c r="M560" s="57">
        <v>26.2</v>
      </c>
      <c r="N560" s="63">
        <v>6.7</v>
      </c>
      <c r="O560" s="36">
        <v>1.79</v>
      </c>
      <c r="P560" s="57">
        <v>12</v>
      </c>
      <c r="Q560" s="63">
        <v>8.8000000000000007</v>
      </c>
      <c r="R560" s="36">
        <v>0.12</v>
      </c>
      <c r="S560" s="36">
        <v>22.36</v>
      </c>
      <c r="T560" s="36">
        <v>0.88</v>
      </c>
      <c r="U560" s="36">
        <v>0.7</v>
      </c>
      <c r="V560" s="42">
        <f t="shared" si="206"/>
        <v>2765.8249999999998</v>
      </c>
      <c r="W560" s="42">
        <f t="shared" si="207"/>
        <v>1769.8412243199998</v>
      </c>
      <c r="X560" s="42">
        <f t="shared" si="208"/>
        <v>0.63989631459691043</v>
      </c>
      <c r="Y560" s="57">
        <v>2</v>
      </c>
      <c r="Z560" s="57">
        <v>2</v>
      </c>
      <c r="AA560" s="63">
        <v>5.68</v>
      </c>
      <c r="AB560" s="57">
        <v>26</v>
      </c>
      <c r="AC560" s="63">
        <v>6.4</v>
      </c>
      <c r="AD560" s="63">
        <v>7.3</v>
      </c>
      <c r="AE560" s="36">
        <v>0.15</v>
      </c>
      <c r="AF560" s="36">
        <v>0.15</v>
      </c>
      <c r="AG560" s="42">
        <f t="shared" si="194"/>
        <v>1382.9124999999999</v>
      </c>
      <c r="AH560" s="42">
        <f t="shared" si="209"/>
        <v>1979.8438399999998</v>
      </c>
      <c r="AI560" s="42">
        <f t="shared" si="210"/>
        <v>1.4316479459112561</v>
      </c>
      <c r="AJ560" s="57">
        <v>6.4</v>
      </c>
      <c r="AK560" s="57">
        <v>4</v>
      </c>
      <c r="AL560" s="63">
        <v>6.4</v>
      </c>
      <c r="AM560" s="57">
        <v>25</v>
      </c>
      <c r="AN560" s="63">
        <v>6.3</v>
      </c>
      <c r="AO560" s="63">
        <v>6.5</v>
      </c>
      <c r="AP560" s="36">
        <v>0.13</v>
      </c>
      <c r="AQ560" s="36">
        <v>0.13</v>
      </c>
      <c r="AR560" s="73">
        <f t="shared" si="195"/>
        <v>1637</v>
      </c>
      <c r="AS560" s="75">
        <f t="shared" si="196"/>
        <v>0.17348808796579107</v>
      </c>
      <c r="AT560" s="75">
        <f t="shared" si="197"/>
        <v>0.64202810018326206</v>
      </c>
      <c r="AU560" s="75">
        <f t="shared" si="198"/>
        <v>0.18448381185094687</v>
      </c>
      <c r="AV560" s="26">
        <f t="shared" si="192"/>
        <v>1.4668110363252962E-3</v>
      </c>
      <c r="AW560" s="26">
        <f t="shared" si="211"/>
        <v>1.0337400640963796E-2</v>
      </c>
      <c r="AX560" s="26">
        <f t="shared" si="212"/>
        <v>0.92737430167597767</v>
      </c>
      <c r="AY560" s="24">
        <f t="shared" si="213"/>
        <v>0.91620111731843579</v>
      </c>
      <c r="AZ560" s="77" t="str">
        <f t="shared" si="199"/>
        <v>7,5 ≤ Alc. Bruta &lt; 10,0 mg/L</v>
      </c>
      <c r="BA560" s="77" t="str">
        <f t="shared" si="200"/>
        <v>10 ≤ Cor &lt;15 uC</v>
      </c>
      <c r="BB560" s="78" t="str">
        <f t="shared" si="201"/>
        <v>Turbidez &lt; 2,5 uT</v>
      </c>
      <c r="BC560" s="79" t="str">
        <f t="shared" si="202"/>
        <v>SM &gt; BNN &gt; TOR</v>
      </c>
      <c r="BD560" s="78" t="str">
        <f t="shared" si="203"/>
        <v>Tipo 1 (≤0,25) uT</v>
      </c>
      <c r="BE560" s="78" t="str">
        <f t="shared" si="190"/>
        <v>Tipo 1 (≤0,25) uT</v>
      </c>
      <c r="BF560" s="78" t="str">
        <f t="shared" si="204"/>
        <v>Tipo 1 (≤0,25) uT</v>
      </c>
      <c r="BG560" s="78" t="str">
        <f t="shared" si="191"/>
        <v>Tipo 1 (≤0,25) uT</v>
      </c>
      <c r="BH560" s="78" t="str">
        <f t="shared" si="205"/>
        <v>Tipo 1 (≤0,25) uT</v>
      </c>
    </row>
    <row r="561" spans="1:60" x14ac:dyDescent="0.2">
      <c r="A561" s="31">
        <v>46321</v>
      </c>
      <c r="B561" s="80">
        <v>6.25E-2</v>
      </c>
      <c r="C561" s="57">
        <v>297</v>
      </c>
      <c r="D561" s="57">
        <v>1056</v>
      </c>
      <c r="E561" s="57">
        <v>303</v>
      </c>
      <c r="F561" s="57">
        <v>1733</v>
      </c>
      <c r="G561" s="85" t="s">
        <v>78</v>
      </c>
      <c r="H561" s="63">
        <v>8.5</v>
      </c>
      <c r="I561" s="57">
        <v>123</v>
      </c>
      <c r="J561" s="57">
        <v>90</v>
      </c>
      <c r="K561" s="57">
        <v>90</v>
      </c>
      <c r="L561" s="57">
        <v>90</v>
      </c>
      <c r="M561" s="57">
        <v>25.3</v>
      </c>
      <c r="N561" s="63">
        <v>6.4</v>
      </c>
      <c r="O561" s="36">
        <v>1.91</v>
      </c>
      <c r="P561" s="57">
        <v>12</v>
      </c>
      <c r="Q561" s="63">
        <v>9.1</v>
      </c>
      <c r="R561" s="36">
        <v>0.08</v>
      </c>
      <c r="S561" s="36">
        <v>22.36</v>
      </c>
      <c r="T561" s="36">
        <v>0.88</v>
      </c>
      <c r="U561" s="36">
        <v>0.7</v>
      </c>
      <c r="V561" s="42">
        <f t="shared" si="206"/>
        <v>2798.7950000000001</v>
      </c>
      <c r="W561" s="42">
        <f t="shared" si="207"/>
        <v>1777.8744567999997</v>
      </c>
      <c r="X561" s="42">
        <f t="shared" si="208"/>
        <v>0.63522853828165327</v>
      </c>
      <c r="Y561" s="57">
        <v>2</v>
      </c>
      <c r="Z561" s="57">
        <v>2</v>
      </c>
      <c r="AA561" s="63">
        <v>5.7</v>
      </c>
      <c r="AB561" s="57">
        <v>26</v>
      </c>
      <c r="AC561" s="63">
        <v>6.2</v>
      </c>
      <c r="AD561" s="63">
        <v>5.3</v>
      </c>
      <c r="AE561" s="36">
        <v>0.09</v>
      </c>
      <c r="AF561" s="36">
        <v>0.14000000000000001</v>
      </c>
      <c r="AG561" s="42">
        <f t="shared" si="194"/>
        <v>1399.3975</v>
      </c>
      <c r="AH561" s="42">
        <f t="shared" si="209"/>
        <v>1979.8438399999998</v>
      </c>
      <c r="AI561" s="42">
        <f t="shared" si="210"/>
        <v>1.4147830334125935</v>
      </c>
      <c r="AJ561" s="57">
        <v>6.4</v>
      </c>
      <c r="AK561" s="57">
        <v>4</v>
      </c>
      <c r="AL561" s="63">
        <v>6.4</v>
      </c>
      <c r="AM561" s="57">
        <v>25</v>
      </c>
      <c r="AN561" s="63">
        <v>6.2</v>
      </c>
      <c r="AO561" s="63">
        <v>6.3</v>
      </c>
      <c r="AP561" s="36">
        <v>0.13</v>
      </c>
      <c r="AQ561" s="36">
        <v>0.09</v>
      </c>
      <c r="AR561" s="73">
        <f t="shared" si="195"/>
        <v>1656</v>
      </c>
      <c r="AS561" s="75">
        <f t="shared" si="196"/>
        <v>0.17934782608695651</v>
      </c>
      <c r="AT561" s="75">
        <f t="shared" si="197"/>
        <v>0.6376811594202898</v>
      </c>
      <c r="AU561" s="75">
        <f t="shared" si="198"/>
        <v>0.18297101449275363</v>
      </c>
      <c r="AV561" s="26">
        <f t="shared" si="192"/>
        <v>1.4661939717983919E-3</v>
      </c>
      <c r="AW561" s="26">
        <f t="shared" si="211"/>
        <v>1.0123086909588089E-2</v>
      </c>
      <c r="AX561" s="26">
        <f t="shared" si="212"/>
        <v>0.95287958115183247</v>
      </c>
      <c r="AY561" s="24">
        <f t="shared" si="213"/>
        <v>0.92670157068062831</v>
      </c>
      <c r="AZ561" s="77" t="str">
        <f t="shared" si="199"/>
        <v>7,5 ≤ Alc. Bruta &lt; 10,0 mg/L</v>
      </c>
      <c r="BA561" s="77" t="str">
        <f t="shared" si="200"/>
        <v>10 ≤ Cor &lt;15 uC</v>
      </c>
      <c r="BB561" s="78" t="str">
        <f t="shared" si="201"/>
        <v>Turbidez &lt; 2,5 uT</v>
      </c>
      <c r="BC561" s="79" t="str">
        <f t="shared" si="202"/>
        <v>SM &gt; BNN &gt; TOR</v>
      </c>
      <c r="BD561" s="78" t="str">
        <f t="shared" si="203"/>
        <v>Tipo 1 (≤0,25) uT</v>
      </c>
      <c r="BE561" s="78" t="str">
        <f t="shared" si="190"/>
        <v>Tipo 1 (≤0,25) uT</v>
      </c>
      <c r="BF561" s="78" t="str">
        <f t="shared" si="204"/>
        <v>Tipo 1 (≤0,25) uT</v>
      </c>
      <c r="BG561" s="78" t="str">
        <f t="shared" si="191"/>
        <v>Tipo 1 (≤0,25) uT</v>
      </c>
      <c r="BH561" s="78" t="str">
        <f t="shared" si="205"/>
        <v>Tipo 1 (≤0,25) uT</v>
      </c>
    </row>
    <row r="562" spans="1:60" x14ac:dyDescent="0.2">
      <c r="A562" s="31">
        <v>46321</v>
      </c>
      <c r="B562" s="80">
        <v>0.14583333333333334</v>
      </c>
      <c r="C562" s="57">
        <v>302</v>
      </c>
      <c r="D562" s="57">
        <v>1067</v>
      </c>
      <c r="E562" s="57">
        <v>303</v>
      </c>
      <c r="F562" s="57">
        <v>1728</v>
      </c>
      <c r="G562" s="85" t="s">
        <v>78</v>
      </c>
      <c r="H562" s="63">
        <v>8.5</v>
      </c>
      <c r="I562" s="57">
        <v>121</v>
      </c>
      <c r="J562" s="57">
        <v>90</v>
      </c>
      <c r="K562" s="57">
        <v>40</v>
      </c>
      <c r="L562" s="57">
        <v>40</v>
      </c>
      <c r="M562" s="57">
        <v>25.2</v>
      </c>
      <c r="N562" s="63">
        <v>6.4</v>
      </c>
      <c r="O562" s="36">
        <v>1.8</v>
      </c>
      <c r="P562" s="57">
        <v>11</v>
      </c>
      <c r="Q562" s="63">
        <v>8.9</v>
      </c>
      <c r="R562" s="36">
        <v>7.0000000000000007E-2</v>
      </c>
      <c r="S562" s="36">
        <v>22.36</v>
      </c>
      <c r="T562" s="36">
        <v>0.88</v>
      </c>
      <c r="U562" s="36">
        <v>0.7</v>
      </c>
      <c r="V562" s="42">
        <f t="shared" si="206"/>
        <v>2743.2</v>
      </c>
      <c r="W562" s="42">
        <f t="shared" si="207"/>
        <v>1709.4946699999998</v>
      </c>
      <c r="X562" s="42">
        <f t="shared" si="208"/>
        <v>0.62317536818314379</v>
      </c>
      <c r="Y562" s="57">
        <v>2</v>
      </c>
      <c r="Z562" s="57">
        <v>2</v>
      </c>
      <c r="AA562" s="63">
        <v>5.7</v>
      </c>
      <c r="AB562" s="57">
        <v>25</v>
      </c>
      <c r="AC562" s="63">
        <v>6.2</v>
      </c>
      <c r="AD562" s="63">
        <v>5.9</v>
      </c>
      <c r="AE562" s="36">
        <v>0.1</v>
      </c>
      <c r="AF562" s="36">
        <v>0.18</v>
      </c>
      <c r="AG562" s="42">
        <f t="shared" si="194"/>
        <v>1371.6</v>
      </c>
      <c r="AH562" s="42">
        <f t="shared" si="209"/>
        <v>1900.6500864</v>
      </c>
      <c r="AI562" s="42">
        <f t="shared" si="210"/>
        <v>1.3857174733158355</v>
      </c>
      <c r="AJ562" s="57">
        <v>6.4</v>
      </c>
      <c r="AK562" s="57">
        <v>4</v>
      </c>
      <c r="AL562" s="63">
        <v>6.4</v>
      </c>
      <c r="AM562" s="57">
        <v>24</v>
      </c>
      <c r="AN562" s="63">
        <v>6.2</v>
      </c>
      <c r="AO562" s="63">
        <v>6</v>
      </c>
      <c r="AP562" s="36">
        <v>0.1</v>
      </c>
      <c r="AQ562" s="36">
        <v>0.08</v>
      </c>
      <c r="AR562" s="73">
        <f t="shared" si="195"/>
        <v>1672</v>
      </c>
      <c r="AS562" s="75">
        <f t="shared" si="196"/>
        <v>0.18062200956937799</v>
      </c>
      <c r="AT562" s="75">
        <f t="shared" si="197"/>
        <v>0.63815789473684215</v>
      </c>
      <c r="AU562" s="75">
        <f t="shared" si="198"/>
        <v>0.18122009569377989</v>
      </c>
      <c r="AV562" s="26">
        <f t="shared" si="192"/>
        <v>1.4425355744980179E-3</v>
      </c>
      <c r="AW562" s="26">
        <f t="shared" si="211"/>
        <v>9.9438059427756718E-3</v>
      </c>
      <c r="AX562" s="26">
        <f t="shared" si="212"/>
        <v>0.9555555555555556</v>
      </c>
      <c r="AY562" s="24">
        <f t="shared" si="213"/>
        <v>0.9</v>
      </c>
      <c r="AZ562" s="77" t="str">
        <f t="shared" si="199"/>
        <v>7,5 ≤ Alc. Bruta &lt; 10,0 mg/L</v>
      </c>
      <c r="BA562" s="77" t="str">
        <f t="shared" si="200"/>
        <v>10 ≤ Cor &lt;15 uC</v>
      </c>
      <c r="BB562" s="78" t="str">
        <f t="shared" si="201"/>
        <v>Turbidez &lt; 2,5 uT</v>
      </c>
      <c r="BC562" s="79" t="str">
        <f t="shared" si="202"/>
        <v>SM &gt; BNN &gt; TOR</v>
      </c>
      <c r="BD562" s="78" t="str">
        <f t="shared" si="203"/>
        <v>Tipo 1 (≤0,25) uT</v>
      </c>
      <c r="BE562" s="78" t="str">
        <f t="shared" si="190"/>
        <v>Tipo 1 (≤0,25) uT</v>
      </c>
      <c r="BF562" s="78" t="str">
        <f t="shared" si="204"/>
        <v>Tipo 1 (≤0,25) uT</v>
      </c>
      <c r="BG562" s="78" t="str">
        <f t="shared" si="191"/>
        <v>Tipo 1 (≤0,25) uT</v>
      </c>
      <c r="BH562" s="78" t="str">
        <f t="shared" si="205"/>
        <v>Tipo 1 (≤0,25) uT</v>
      </c>
    </row>
    <row r="563" spans="1:60" ht="15.75" thickBot="1" x14ac:dyDescent="0.25">
      <c r="A563" s="32">
        <v>46321</v>
      </c>
      <c r="B563" s="81">
        <v>0.22916666666666666</v>
      </c>
      <c r="C563" s="58">
        <v>303</v>
      </c>
      <c r="D563" s="58">
        <v>1068</v>
      </c>
      <c r="E563" s="58">
        <v>304</v>
      </c>
      <c r="F563" s="58">
        <v>1731</v>
      </c>
      <c r="G563" s="86" t="s">
        <v>78</v>
      </c>
      <c r="H563" s="64">
        <v>8.5</v>
      </c>
      <c r="I563" s="58">
        <v>123</v>
      </c>
      <c r="J563" s="58">
        <v>90</v>
      </c>
      <c r="K563" s="58">
        <v>90</v>
      </c>
      <c r="L563" s="58">
        <v>90</v>
      </c>
      <c r="M563" s="58">
        <v>25.2</v>
      </c>
      <c r="N563" s="64">
        <v>6.4</v>
      </c>
      <c r="O563" s="37">
        <v>1.67</v>
      </c>
      <c r="P563" s="58">
        <v>10</v>
      </c>
      <c r="Q563" s="64">
        <v>8.5</v>
      </c>
      <c r="R563" s="37">
        <v>7.0000000000000007E-2</v>
      </c>
      <c r="S563" s="36">
        <v>22.36</v>
      </c>
      <c r="T563" s="36">
        <v>0.88</v>
      </c>
      <c r="U563" s="36">
        <v>0.7</v>
      </c>
      <c r="V563" s="42">
        <f t="shared" si="206"/>
        <v>2691.7049999999999</v>
      </c>
      <c r="W563" s="42">
        <f t="shared" si="207"/>
        <v>1709.4946699999998</v>
      </c>
      <c r="X563" s="42">
        <f t="shared" si="208"/>
        <v>0.63509733421753123</v>
      </c>
      <c r="Y563" s="58">
        <v>2</v>
      </c>
      <c r="Z563" s="58">
        <v>2</v>
      </c>
      <c r="AA563" s="64">
        <v>5.7</v>
      </c>
      <c r="AB563" s="58">
        <v>25</v>
      </c>
      <c r="AC563" s="64">
        <v>6.2</v>
      </c>
      <c r="AD563" s="64">
        <v>6</v>
      </c>
      <c r="AE563" s="37">
        <v>0.11</v>
      </c>
      <c r="AF563" s="37">
        <v>0.18</v>
      </c>
      <c r="AG563" s="42">
        <f t="shared" si="194"/>
        <v>1345.8525</v>
      </c>
      <c r="AH563" s="42">
        <f t="shared" si="209"/>
        <v>1979.8438399999998</v>
      </c>
      <c r="AI563" s="42">
        <f t="shared" si="210"/>
        <v>1.4710704479131256</v>
      </c>
      <c r="AJ563" s="58">
        <v>6.4</v>
      </c>
      <c r="AK563" s="58">
        <v>4</v>
      </c>
      <c r="AL563" s="64">
        <v>6.4</v>
      </c>
      <c r="AM563" s="58">
        <v>25</v>
      </c>
      <c r="AN563" s="64">
        <v>6.1</v>
      </c>
      <c r="AO563" s="64">
        <v>6.1</v>
      </c>
      <c r="AP563" s="37">
        <v>0.1</v>
      </c>
      <c r="AQ563" s="37">
        <v>0.08</v>
      </c>
      <c r="AR563" s="73">
        <f t="shared" si="195"/>
        <v>1675</v>
      </c>
      <c r="AS563" s="75">
        <f t="shared" si="196"/>
        <v>0.1808955223880597</v>
      </c>
      <c r="AT563" s="75">
        <f t="shared" si="197"/>
        <v>0.63761194029850743</v>
      </c>
      <c r="AU563" s="75">
        <f t="shared" si="198"/>
        <v>0.18149253731343284</v>
      </c>
      <c r="AV563" s="26">
        <f t="shared" si="192"/>
        <v>1.4675848277701472E-3</v>
      </c>
      <c r="AW563" s="26">
        <f t="shared" si="211"/>
        <v>1.0368029731103484E-2</v>
      </c>
      <c r="AX563" s="26">
        <f t="shared" si="212"/>
        <v>0.95209580838323349</v>
      </c>
      <c r="AY563" s="24">
        <f t="shared" si="213"/>
        <v>0.89221556886227549</v>
      </c>
      <c r="AZ563" s="77" t="str">
        <f t="shared" si="199"/>
        <v>7,5 ≤ Alc. Bruta &lt; 10,0 mg/L</v>
      </c>
      <c r="BA563" s="77" t="str">
        <f t="shared" si="200"/>
        <v>10 ≤ Cor &lt;15 uC</v>
      </c>
      <c r="BB563" s="78" t="str">
        <f t="shared" si="201"/>
        <v>Turbidez &lt; 2,5 uT</v>
      </c>
      <c r="BC563" s="79" t="str">
        <f t="shared" si="202"/>
        <v>SM &gt; BNN &gt; TOR</v>
      </c>
      <c r="BD563" s="78" t="str">
        <f t="shared" si="203"/>
        <v>Tipo 1 (≤0,25) uT</v>
      </c>
      <c r="BE563" s="78" t="str">
        <f t="shared" si="190"/>
        <v>Tipo 1 (≤0,25) uT</v>
      </c>
      <c r="BF563" s="78" t="str">
        <f t="shared" si="204"/>
        <v>Tipo 1 (≤0,25) uT</v>
      </c>
      <c r="BG563" s="78" t="str">
        <f t="shared" si="191"/>
        <v>Tipo 1 (≤0,25) uT</v>
      </c>
      <c r="BH563" s="78" t="str">
        <f t="shared" si="205"/>
        <v>Tipo 1 (≤0,25) uT</v>
      </c>
    </row>
    <row r="564" spans="1:60" ht="15.75" thickBot="1" x14ac:dyDescent="0.25">
      <c r="A564" s="30">
        <v>46321</v>
      </c>
      <c r="B564" s="82">
        <v>0.3125</v>
      </c>
      <c r="C564" s="59">
        <v>280</v>
      </c>
      <c r="D564" s="59">
        <v>1603</v>
      </c>
      <c r="E564" s="59">
        <v>293</v>
      </c>
      <c r="F564" s="59">
        <v>2202</v>
      </c>
      <c r="G564" s="87" t="s">
        <v>78</v>
      </c>
      <c r="H564" s="65">
        <v>8.5</v>
      </c>
      <c r="I564" s="59">
        <v>31</v>
      </c>
      <c r="J564" s="59">
        <v>90</v>
      </c>
      <c r="K564" s="59">
        <v>90</v>
      </c>
      <c r="L564" s="59">
        <v>90</v>
      </c>
      <c r="M564" s="59">
        <v>25.4</v>
      </c>
      <c r="N564" s="65">
        <v>6.3</v>
      </c>
      <c r="O564" s="38">
        <v>1.6</v>
      </c>
      <c r="P564" s="59">
        <v>10</v>
      </c>
      <c r="Q564" s="65">
        <v>7.5</v>
      </c>
      <c r="R564" s="38">
        <v>0.12</v>
      </c>
      <c r="S564" s="36">
        <v>22.36</v>
      </c>
      <c r="T564" s="36">
        <v>0.88</v>
      </c>
      <c r="U564" s="36">
        <v>0.7</v>
      </c>
      <c r="V564" s="42">
        <f t="shared" si="206"/>
        <v>1692.7875000000001</v>
      </c>
      <c r="W564" s="42">
        <f t="shared" si="207"/>
        <v>1559.5466764799999</v>
      </c>
      <c r="X564" s="42">
        <f t="shared" si="208"/>
        <v>0.92128910243016315</v>
      </c>
      <c r="Y564" s="60">
        <v>3</v>
      </c>
      <c r="Z564" s="88">
        <v>4</v>
      </c>
      <c r="AA564" s="89">
        <v>5.48</v>
      </c>
      <c r="AB564" s="88">
        <v>24</v>
      </c>
      <c r="AC564" s="65">
        <v>6.2</v>
      </c>
      <c r="AD564" s="65">
        <v>5.6</v>
      </c>
      <c r="AE564" s="38">
        <v>0.1</v>
      </c>
      <c r="AF564" s="38">
        <v>0.27</v>
      </c>
      <c r="AG564" s="42">
        <f t="shared" si="194"/>
        <v>1692.7875000000001</v>
      </c>
      <c r="AH564" s="42">
        <f t="shared" si="209"/>
        <v>1916.259967986</v>
      </c>
      <c r="AI564" s="42">
        <f t="shared" si="210"/>
        <v>1.1320144837943331</v>
      </c>
      <c r="AJ564" s="59">
        <v>6.41</v>
      </c>
      <c r="AK564" s="59">
        <v>4</v>
      </c>
      <c r="AL564" s="65">
        <v>6.41</v>
      </c>
      <c r="AM564" s="59">
        <v>24.15</v>
      </c>
      <c r="AN564" s="65">
        <v>6.2</v>
      </c>
      <c r="AO564" s="65">
        <v>6.3</v>
      </c>
      <c r="AP564" s="38">
        <v>0.13</v>
      </c>
      <c r="AQ564" s="38">
        <v>0.16</v>
      </c>
      <c r="AR564" s="73">
        <f t="shared" si="195"/>
        <v>2176</v>
      </c>
      <c r="AS564" s="75">
        <f t="shared" si="196"/>
        <v>0.12867647058823528</v>
      </c>
      <c r="AT564" s="75">
        <f t="shared" si="197"/>
        <v>0.73667279411764708</v>
      </c>
      <c r="AU564" s="75">
        <f t="shared" si="198"/>
        <v>0.13465073529411764</v>
      </c>
      <c r="AV564" s="26">
        <f t="shared" si="192"/>
        <v>3.3470993730432817E-3</v>
      </c>
      <c r="AW564" s="26">
        <f t="shared" si="211"/>
        <v>6.3746501358082335E-3</v>
      </c>
      <c r="AX564" s="26">
        <f t="shared" si="212"/>
        <v>0.9</v>
      </c>
      <c r="AY564" s="24">
        <f t="shared" si="213"/>
        <v>0.83125000000000004</v>
      </c>
      <c r="AZ564" s="77" t="str">
        <f t="shared" si="199"/>
        <v>7,5 ≤ Alc. Bruta &lt; 10,0 mg/L</v>
      </c>
      <c r="BA564" s="77" t="str">
        <f t="shared" si="200"/>
        <v>10 ≤ Cor &lt;15 uC</v>
      </c>
      <c r="BB564" s="78" t="str">
        <f t="shared" si="201"/>
        <v>Turbidez &lt; 2,5 uT</v>
      </c>
      <c r="BC564" s="79" t="str">
        <f t="shared" si="202"/>
        <v>SM &gt; BNN &gt; TOR</v>
      </c>
      <c r="BD564" s="78" t="str">
        <f t="shared" si="203"/>
        <v>Tipo 1 (≤0,25) uT</v>
      </c>
      <c r="BE564" s="78" t="str">
        <f t="shared" si="190"/>
        <v>Tipo 1 (≤0,25) uT</v>
      </c>
      <c r="BF564" s="78" t="str">
        <f t="shared" si="204"/>
        <v>Tipo 2 (0,25-0,50) uT</v>
      </c>
      <c r="BG564" s="78" t="str">
        <f t="shared" si="191"/>
        <v>Tipo 1 (≤0,25) uT</v>
      </c>
      <c r="BH564" s="78" t="str">
        <f t="shared" si="205"/>
        <v>Tipo 1 (≤0,25) uT</v>
      </c>
    </row>
    <row r="565" spans="1:60" ht="15.75" thickBot="1" x14ac:dyDescent="0.25">
      <c r="A565" s="31">
        <v>46321</v>
      </c>
      <c r="B565" s="80">
        <v>0.47916666666666669</v>
      </c>
      <c r="C565" s="57">
        <v>272</v>
      </c>
      <c r="D565" s="57">
        <v>1630</v>
      </c>
      <c r="E565" s="57">
        <v>296</v>
      </c>
      <c r="F565" s="57">
        <v>2200</v>
      </c>
      <c r="G565" s="87" t="s">
        <v>78</v>
      </c>
      <c r="H565" s="63">
        <v>8.5</v>
      </c>
      <c r="I565" s="57">
        <v>-23</v>
      </c>
      <c r="J565" s="57">
        <v>90</v>
      </c>
      <c r="K565" s="57">
        <v>90</v>
      </c>
      <c r="L565" s="57">
        <v>90</v>
      </c>
      <c r="M565" s="57">
        <v>25.8</v>
      </c>
      <c r="N565" s="63">
        <v>6.2</v>
      </c>
      <c r="O565" s="36">
        <v>1.58</v>
      </c>
      <c r="P565" s="57">
        <v>10</v>
      </c>
      <c r="Q565" s="63">
        <v>7.6</v>
      </c>
      <c r="R565" s="36">
        <v>0.13</v>
      </c>
      <c r="S565" s="36">
        <v>22.36</v>
      </c>
      <c r="T565" s="36">
        <v>0.88</v>
      </c>
      <c r="U565" s="36">
        <v>0.7</v>
      </c>
      <c r="V565" s="42">
        <f t="shared" si="206"/>
        <v>1685.75</v>
      </c>
      <c r="W565" s="42">
        <f t="shared" si="207"/>
        <v>1566.044787632</v>
      </c>
      <c r="X565" s="42">
        <f t="shared" si="208"/>
        <v>0.92898993779148742</v>
      </c>
      <c r="Y565" s="57">
        <v>3</v>
      </c>
      <c r="Z565" s="57">
        <v>4</v>
      </c>
      <c r="AA565" s="63">
        <v>5.48</v>
      </c>
      <c r="AB565" s="57">
        <v>24.1</v>
      </c>
      <c r="AC565" s="63">
        <v>6.2</v>
      </c>
      <c r="AD565" s="63">
        <v>5.8</v>
      </c>
      <c r="AE565" s="36">
        <v>0.11</v>
      </c>
      <c r="AF565" s="36">
        <v>0.26</v>
      </c>
      <c r="AG565" s="42">
        <f t="shared" si="194"/>
        <v>1685.75</v>
      </c>
      <c r="AH565" s="42">
        <f t="shared" si="209"/>
        <v>1911.7372119039999</v>
      </c>
      <c r="AI565" s="42">
        <f t="shared" si="210"/>
        <v>1.134057370253003</v>
      </c>
      <c r="AJ565" s="57">
        <v>6.4</v>
      </c>
      <c r="AK565" s="57">
        <v>4</v>
      </c>
      <c r="AL565" s="63">
        <v>6.4</v>
      </c>
      <c r="AM565" s="57">
        <v>24.14</v>
      </c>
      <c r="AN565" s="63">
        <v>6.2</v>
      </c>
      <c r="AO565" s="63">
        <v>6.2</v>
      </c>
      <c r="AP565" s="36">
        <v>0.14000000000000001</v>
      </c>
      <c r="AQ565" s="36">
        <v>0.15</v>
      </c>
      <c r="AR565" s="73">
        <f t="shared" si="195"/>
        <v>2198</v>
      </c>
      <c r="AS565" s="75">
        <f t="shared" si="196"/>
        <v>0.12374886260236578</v>
      </c>
      <c r="AT565" s="75">
        <f t="shared" si="197"/>
        <v>0.74158325750682441</v>
      </c>
      <c r="AU565" s="75">
        <f t="shared" si="198"/>
        <v>0.13466787989080983</v>
      </c>
      <c r="AV565" s="26">
        <f t="shared" si="192"/>
        <v>3.3781452283326813E-3</v>
      </c>
      <c r="AW565" s="26">
        <f t="shared" si="211"/>
        <v>6.3919597232441989E-3</v>
      </c>
      <c r="AX565" s="26">
        <f t="shared" si="212"/>
        <v>0.90506329113924056</v>
      </c>
      <c r="AY565" s="24">
        <f t="shared" si="213"/>
        <v>0.83544303797468356</v>
      </c>
      <c r="AZ565" s="77" t="str">
        <f t="shared" si="199"/>
        <v>7,5 ≤ Alc. Bruta &lt; 10,0 mg/L</v>
      </c>
      <c r="BA565" s="77" t="str">
        <f t="shared" si="200"/>
        <v>10 ≤ Cor &lt;15 uC</v>
      </c>
      <c r="BB565" s="78" t="str">
        <f t="shared" si="201"/>
        <v>Turbidez &lt; 2,5 uT</v>
      </c>
      <c r="BC565" s="79" t="str">
        <f t="shared" si="202"/>
        <v>SM &gt; BNN &gt; TOR</v>
      </c>
      <c r="BD565" s="78" t="str">
        <f t="shared" si="203"/>
        <v>Tipo 1 (≤0,25) uT</v>
      </c>
      <c r="BE565" s="78" t="str">
        <f t="shared" si="190"/>
        <v>Tipo 1 (≤0,25) uT</v>
      </c>
      <c r="BF565" s="78" t="str">
        <f t="shared" si="204"/>
        <v>Tipo 2 (0,25-0,50) uT</v>
      </c>
      <c r="BG565" s="78" t="str">
        <f t="shared" si="191"/>
        <v>Tipo 1 (≤0,25) uT</v>
      </c>
      <c r="BH565" s="78" t="str">
        <f t="shared" si="205"/>
        <v>Tipo 1 (≤0,25) uT</v>
      </c>
    </row>
    <row r="566" spans="1:60" ht="15.75" thickBot="1" x14ac:dyDescent="0.25">
      <c r="A566" s="31">
        <v>46321</v>
      </c>
      <c r="B566" s="80">
        <v>0.64583333333333337</v>
      </c>
      <c r="C566" s="57">
        <v>271</v>
      </c>
      <c r="D566" s="57">
        <v>1615</v>
      </c>
      <c r="E566" s="57">
        <v>291</v>
      </c>
      <c r="F566" s="57">
        <v>2215</v>
      </c>
      <c r="G566" s="87" t="s">
        <v>78</v>
      </c>
      <c r="H566" s="63">
        <v>8.5</v>
      </c>
      <c r="I566" s="57">
        <v>23</v>
      </c>
      <c r="J566" s="57">
        <v>90</v>
      </c>
      <c r="K566" s="57">
        <v>90</v>
      </c>
      <c r="L566" s="57">
        <v>90</v>
      </c>
      <c r="M566" s="57">
        <v>25.9</v>
      </c>
      <c r="N566" s="63">
        <v>6.5</v>
      </c>
      <c r="O566" s="36">
        <v>1.52</v>
      </c>
      <c r="P566" s="57">
        <v>10</v>
      </c>
      <c r="Q566" s="63">
        <v>8.5</v>
      </c>
      <c r="R566" s="36">
        <v>0.14000000000000001</v>
      </c>
      <c r="S566" s="36">
        <v>22.36</v>
      </c>
      <c r="T566" s="36">
        <v>0.88</v>
      </c>
      <c r="U566" s="36">
        <v>0.7</v>
      </c>
      <c r="V566" s="42">
        <f t="shared" si="206"/>
        <v>1680.6312500000001</v>
      </c>
      <c r="W566" s="42">
        <f t="shared" si="207"/>
        <v>1559.5466764799999</v>
      </c>
      <c r="X566" s="42">
        <f t="shared" si="208"/>
        <v>0.92795292035656229</v>
      </c>
      <c r="Y566" s="57">
        <v>3</v>
      </c>
      <c r="Z566" s="57">
        <v>4</v>
      </c>
      <c r="AA566" s="63">
        <v>5.48</v>
      </c>
      <c r="AB566" s="57">
        <v>24</v>
      </c>
      <c r="AC566" s="63">
        <v>6.2</v>
      </c>
      <c r="AD566" s="63">
        <v>6.3</v>
      </c>
      <c r="AE566" s="36">
        <v>0.12</v>
      </c>
      <c r="AF566" s="36">
        <v>0.13</v>
      </c>
      <c r="AG566" s="42">
        <f t="shared" si="194"/>
        <v>1680.6312500000001</v>
      </c>
      <c r="AH566" s="42">
        <f t="shared" si="209"/>
        <v>1908.56946176</v>
      </c>
      <c r="AI566" s="42">
        <f t="shared" si="210"/>
        <v>1.1356265461325914</v>
      </c>
      <c r="AJ566" s="57">
        <v>6.4</v>
      </c>
      <c r="AK566" s="57">
        <v>4</v>
      </c>
      <c r="AL566" s="63">
        <v>6.4</v>
      </c>
      <c r="AM566" s="57">
        <v>24.1</v>
      </c>
      <c r="AN566" s="63">
        <v>6.2</v>
      </c>
      <c r="AO566" s="63">
        <v>6.5</v>
      </c>
      <c r="AP566" s="36">
        <v>0.15</v>
      </c>
      <c r="AQ566" s="36">
        <v>0.2</v>
      </c>
      <c r="AR566" s="73">
        <f t="shared" si="195"/>
        <v>2177</v>
      </c>
      <c r="AS566" s="75">
        <f t="shared" si="196"/>
        <v>0.12448323380799264</v>
      </c>
      <c r="AT566" s="75">
        <f t="shared" si="197"/>
        <v>0.74184657785943964</v>
      </c>
      <c r="AU566" s="75">
        <f t="shared" si="198"/>
        <v>0.13367018833256775</v>
      </c>
      <c r="AV566" s="26">
        <f t="shared" si="192"/>
        <v>3.3515229629130917E-3</v>
      </c>
      <c r="AW566" s="26">
        <f t="shared" si="211"/>
        <v>6.3574578654826781E-3</v>
      </c>
      <c r="AX566" s="26">
        <f t="shared" si="212"/>
        <v>0.86842105263157898</v>
      </c>
      <c r="AY566" s="24">
        <f t="shared" si="213"/>
        <v>0.91447368421052633</v>
      </c>
      <c r="AZ566" s="77" t="str">
        <f t="shared" si="199"/>
        <v>7,5 ≤ Alc. Bruta &lt; 10,0 mg/L</v>
      </c>
      <c r="BA566" s="77" t="str">
        <f t="shared" si="200"/>
        <v>10 ≤ Cor &lt;15 uC</v>
      </c>
      <c r="BB566" s="78" t="str">
        <f t="shared" si="201"/>
        <v>Turbidez &lt; 2,5 uT</v>
      </c>
      <c r="BC566" s="79" t="str">
        <f t="shared" si="202"/>
        <v>SM &gt; BNN &gt; TOR</v>
      </c>
      <c r="BD566" s="78" t="str">
        <f t="shared" si="203"/>
        <v>Tipo 1 (≤0,25) uT</v>
      </c>
      <c r="BE566" s="78" t="str">
        <f t="shared" si="190"/>
        <v>Tipo 1 (≤0,25) uT</v>
      </c>
      <c r="BF566" s="78" t="str">
        <f t="shared" si="204"/>
        <v>Tipo 1 (≤0,25) uT</v>
      </c>
      <c r="BG566" s="78" t="str">
        <f t="shared" si="191"/>
        <v>Tipo 1 (≤0,25) uT</v>
      </c>
      <c r="BH566" s="78" t="str">
        <f t="shared" si="205"/>
        <v>Tipo 1 (≤0,25) uT</v>
      </c>
    </row>
    <row r="567" spans="1:60" ht="15.75" thickBot="1" x14ac:dyDescent="0.25">
      <c r="A567" s="31">
        <v>46321</v>
      </c>
      <c r="B567" s="80">
        <v>0.72916666666666663</v>
      </c>
      <c r="C567" s="57">
        <v>270</v>
      </c>
      <c r="D567" s="57">
        <v>1620</v>
      </c>
      <c r="E567" s="57">
        <v>270</v>
      </c>
      <c r="F567" s="57">
        <v>2215</v>
      </c>
      <c r="G567" s="87" t="s">
        <v>78</v>
      </c>
      <c r="H567" s="63">
        <v>8.5</v>
      </c>
      <c r="I567" s="57">
        <v>13.12</v>
      </c>
      <c r="J567" s="57">
        <v>90</v>
      </c>
      <c r="K567" s="57">
        <v>90</v>
      </c>
      <c r="L567" s="57">
        <v>90</v>
      </c>
      <c r="M567" s="57">
        <v>25.8</v>
      </c>
      <c r="N567" s="63">
        <v>6.5</v>
      </c>
      <c r="O567" s="36">
        <v>1.56</v>
      </c>
      <c r="P567" s="57">
        <v>10</v>
      </c>
      <c r="Q567" s="63">
        <v>8.5</v>
      </c>
      <c r="R567" s="36">
        <v>0.13</v>
      </c>
      <c r="S567" s="36">
        <v>22.36</v>
      </c>
      <c r="T567" s="36">
        <v>0.88</v>
      </c>
      <c r="U567" s="36">
        <v>0.7</v>
      </c>
      <c r="V567" s="42">
        <f t="shared" si="206"/>
        <v>1691.70625</v>
      </c>
      <c r="W567" s="42">
        <f t="shared" si="207"/>
        <v>1559.5466764799999</v>
      </c>
      <c r="X567" s="42">
        <f t="shared" si="208"/>
        <v>0.92187794215455543</v>
      </c>
      <c r="Y567" s="57">
        <v>3</v>
      </c>
      <c r="Z567" s="57">
        <v>4</v>
      </c>
      <c r="AA567" s="63">
        <v>5.48</v>
      </c>
      <c r="AB567" s="57">
        <v>24</v>
      </c>
      <c r="AC567" s="63">
        <v>6.3</v>
      </c>
      <c r="AD567" s="63">
        <v>6.4</v>
      </c>
      <c r="AE567" s="36">
        <v>0.12</v>
      </c>
      <c r="AF567" s="36">
        <v>0.14000000000000001</v>
      </c>
      <c r="AG567" s="42">
        <f t="shared" si="194"/>
        <v>1691.70625</v>
      </c>
      <c r="AH567" s="42">
        <f t="shared" si="209"/>
        <v>1908.56946176</v>
      </c>
      <c r="AI567" s="42">
        <f t="shared" si="210"/>
        <v>1.1281920024590557</v>
      </c>
      <c r="AJ567" s="57">
        <v>6.4</v>
      </c>
      <c r="AK567" s="57">
        <v>4</v>
      </c>
      <c r="AL567" s="63">
        <v>6.4</v>
      </c>
      <c r="AM567" s="57">
        <v>24.1</v>
      </c>
      <c r="AN567" s="63">
        <v>6.2</v>
      </c>
      <c r="AO567" s="63">
        <v>6.5</v>
      </c>
      <c r="AP567" s="36">
        <v>0.15</v>
      </c>
      <c r="AQ567" s="36">
        <v>0.2</v>
      </c>
      <c r="AR567" s="73">
        <f t="shared" si="195"/>
        <v>2160</v>
      </c>
      <c r="AS567" s="75">
        <f t="shared" si="196"/>
        <v>0.125</v>
      </c>
      <c r="AT567" s="75">
        <f t="shared" si="197"/>
        <v>0.75</v>
      </c>
      <c r="AU567" s="75">
        <f t="shared" si="198"/>
        <v>0.125</v>
      </c>
      <c r="AV567" s="26">
        <f t="shared" si="192"/>
        <v>3.3295817323866564E-3</v>
      </c>
      <c r="AW567" s="26">
        <f t="shared" si="211"/>
        <v>6.3158378467233827E-3</v>
      </c>
      <c r="AX567" s="26">
        <f t="shared" si="212"/>
        <v>0.87179487179487181</v>
      </c>
      <c r="AY567" s="24">
        <f t="shared" si="213"/>
        <v>0.91025641025641024</v>
      </c>
      <c r="AZ567" s="77" t="str">
        <f t="shared" si="199"/>
        <v>7,5 ≤ Alc. Bruta &lt; 10,0 mg/L</v>
      </c>
      <c r="BA567" s="77" t="str">
        <f t="shared" si="200"/>
        <v>10 ≤ Cor &lt;15 uC</v>
      </c>
      <c r="BB567" s="78" t="str">
        <f t="shared" si="201"/>
        <v>Turbidez &lt; 2,5 uT</v>
      </c>
      <c r="BC567" s="79" t="str">
        <f t="shared" si="202"/>
        <v>Comb. diferentes</v>
      </c>
      <c r="BD567" s="78" t="str">
        <f t="shared" si="203"/>
        <v>Tipo 1 (≤0,25) uT</v>
      </c>
      <c r="BE567" s="78" t="str">
        <f t="shared" si="190"/>
        <v>Tipo 1 (≤0,25) uT</v>
      </c>
      <c r="BF567" s="78" t="str">
        <f t="shared" si="204"/>
        <v>Tipo 1 (≤0,25) uT</v>
      </c>
      <c r="BG567" s="78" t="str">
        <f t="shared" si="191"/>
        <v>Tipo 1 (≤0,25) uT</v>
      </c>
      <c r="BH567" s="78" t="str">
        <f t="shared" si="205"/>
        <v>Tipo 1 (≤0,25) uT</v>
      </c>
    </row>
    <row r="568" spans="1:60" ht="15.75" thickBot="1" x14ac:dyDescent="0.25">
      <c r="A568" s="31">
        <v>46321</v>
      </c>
      <c r="B568" s="80">
        <v>0.8125</v>
      </c>
      <c r="C568" s="57">
        <v>0</v>
      </c>
      <c r="D568" s="57">
        <v>1355</v>
      </c>
      <c r="E568" s="57">
        <v>301</v>
      </c>
      <c r="F568" s="57">
        <v>1765</v>
      </c>
      <c r="G568" s="87" t="s">
        <v>78</v>
      </c>
      <c r="H568" s="63">
        <v>8.5</v>
      </c>
      <c r="I568" s="57">
        <v>7.8</v>
      </c>
      <c r="J568" s="57">
        <v>90</v>
      </c>
      <c r="K568" s="57">
        <v>90</v>
      </c>
      <c r="L568" s="57">
        <v>90</v>
      </c>
      <c r="M568" s="57">
        <v>25.7</v>
      </c>
      <c r="N568" s="63">
        <v>6.4</v>
      </c>
      <c r="O568" s="36">
        <v>1.37</v>
      </c>
      <c r="P568" s="57">
        <v>11</v>
      </c>
      <c r="Q568" s="63">
        <v>8.1999999999999993</v>
      </c>
      <c r="R568" s="36">
        <v>0.08</v>
      </c>
      <c r="S568" s="36">
        <v>22.36</v>
      </c>
      <c r="T568" s="36">
        <v>0.88</v>
      </c>
      <c r="U568" s="36">
        <v>0.7</v>
      </c>
      <c r="V568" s="42">
        <f t="shared" si="206"/>
        <v>1741.4666666666667</v>
      </c>
      <c r="W568" s="42">
        <f t="shared" si="207"/>
        <v>1751.9781109999997</v>
      </c>
      <c r="X568" s="42">
        <f t="shared" si="208"/>
        <v>1.0060359721690526</v>
      </c>
      <c r="Y568" s="57">
        <v>2</v>
      </c>
      <c r="Z568" s="57">
        <v>3</v>
      </c>
      <c r="AA568" s="63">
        <v>5.81</v>
      </c>
      <c r="AB568" s="57">
        <v>25</v>
      </c>
      <c r="AC568" s="63">
        <v>6.1</v>
      </c>
      <c r="AD568" s="63">
        <v>5.9</v>
      </c>
      <c r="AE568" s="36">
        <v>0.12</v>
      </c>
      <c r="AF568" s="36">
        <v>0.12</v>
      </c>
      <c r="AG568" s="42">
        <f t="shared" si="194"/>
        <v>1492.6857142857143</v>
      </c>
      <c r="AH568" s="42">
        <f t="shared" si="209"/>
        <v>1956.0857139199998</v>
      </c>
      <c r="AI568" s="42">
        <f t="shared" si="210"/>
        <v>1.3104471324400886</v>
      </c>
      <c r="AJ568" s="57">
        <v>6.4</v>
      </c>
      <c r="AK568" s="57">
        <v>3.5</v>
      </c>
      <c r="AL568" s="63">
        <v>6.4</v>
      </c>
      <c r="AM568" s="57">
        <v>24.7</v>
      </c>
      <c r="AN568" s="63">
        <v>6.3</v>
      </c>
      <c r="AO568" s="63">
        <v>5.5</v>
      </c>
      <c r="AP568" s="36">
        <v>0.11</v>
      </c>
      <c r="AQ568" s="36">
        <v>0.2</v>
      </c>
      <c r="AR568" s="73">
        <f t="shared" si="195"/>
        <v>1656</v>
      </c>
      <c r="AS568" s="75">
        <f t="shared" si="196"/>
        <v>0</v>
      </c>
      <c r="AT568" s="75">
        <f t="shared" si="197"/>
        <v>0.81823671497584538</v>
      </c>
      <c r="AU568" s="75">
        <f t="shared" si="198"/>
        <v>0.18176328502415459</v>
      </c>
      <c r="AV568" s="26">
        <f t="shared" si="192"/>
        <v>3.4199523133225584E-3</v>
      </c>
      <c r="AW568" s="26">
        <f t="shared" si="211"/>
        <v>9.3550333533966665E-3</v>
      </c>
      <c r="AX568" s="26">
        <f t="shared" si="212"/>
        <v>0.85401459854014594</v>
      </c>
      <c r="AY568" s="24">
        <f t="shared" si="213"/>
        <v>0.91240875912408759</v>
      </c>
      <c r="AZ568" s="77" t="str">
        <f t="shared" si="199"/>
        <v>7,5 ≤ Alc. Bruta &lt; 10,0 mg/L</v>
      </c>
      <c r="BA568" s="77" t="str">
        <f t="shared" si="200"/>
        <v>10 ≤ Cor &lt;15 uC</v>
      </c>
      <c r="BB568" s="78" t="str">
        <f t="shared" si="201"/>
        <v>Turbidez &lt; 2,5 uT</v>
      </c>
      <c r="BC568" s="79" t="str">
        <f t="shared" si="202"/>
        <v>SM &gt; BNN &gt; TOR</v>
      </c>
      <c r="BD568" s="78" t="str">
        <f t="shared" si="203"/>
        <v>Tipo 1 (≤0,25) uT</v>
      </c>
      <c r="BE568" s="78" t="str">
        <f t="shared" si="190"/>
        <v>Tipo 1 (≤0,25) uT</v>
      </c>
      <c r="BF568" s="78" t="str">
        <f t="shared" si="204"/>
        <v>Tipo 1 (≤0,25) uT</v>
      </c>
      <c r="BG568" s="78" t="str">
        <f t="shared" si="191"/>
        <v>Tipo 1 (≤0,25) uT</v>
      </c>
      <c r="BH568" s="78" t="str">
        <f t="shared" si="205"/>
        <v>Tipo 1 (≤0,25) uT</v>
      </c>
    </row>
    <row r="569" spans="1:60" ht="15.75" thickBot="1" x14ac:dyDescent="0.25">
      <c r="A569" s="31">
        <v>46321</v>
      </c>
      <c r="B569" s="80">
        <v>0.89583333333333337</v>
      </c>
      <c r="C569" s="57">
        <v>0</v>
      </c>
      <c r="D569" s="57">
        <v>1325</v>
      </c>
      <c r="E569" s="57">
        <v>302</v>
      </c>
      <c r="F569" s="57">
        <v>1779</v>
      </c>
      <c r="G569" s="87" t="s">
        <v>78</v>
      </c>
      <c r="H569" s="63">
        <v>8.5</v>
      </c>
      <c r="I569" s="57">
        <v>-47</v>
      </c>
      <c r="J569" s="57">
        <v>90</v>
      </c>
      <c r="K569" s="57">
        <v>90</v>
      </c>
      <c r="L569" s="57">
        <v>90</v>
      </c>
      <c r="M569" s="57">
        <v>23.6</v>
      </c>
      <c r="N569" s="63">
        <v>6.6</v>
      </c>
      <c r="O569" s="36">
        <v>1.54</v>
      </c>
      <c r="P569" s="57">
        <v>12</v>
      </c>
      <c r="Q569" s="63">
        <v>7.8</v>
      </c>
      <c r="R569" s="36">
        <v>0.1</v>
      </c>
      <c r="S569" s="36">
        <v>22.36</v>
      </c>
      <c r="T569" s="36">
        <v>0.88</v>
      </c>
      <c r="U569" s="36">
        <v>0.7</v>
      </c>
      <c r="V569" s="42">
        <f t="shared" si="206"/>
        <v>1805.6849999999999</v>
      </c>
      <c r="W569" s="42">
        <f t="shared" si="207"/>
        <v>1544.218881946</v>
      </c>
      <c r="X569" s="42">
        <f t="shared" si="208"/>
        <v>0.85519837731719539</v>
      </c>
      <c r="Y569" s="57">
        <v>2</v>
      </c>
      <c r="Z569" s="57">
        <v>3</v>
      </c>
      <c r="AA569" s="63">
        <v>5.43</v>
      </c>
      <c r="AB569" s="57">
        <v>24.05</v>
      </c>
      <c r="AC569" s="63">
        <v>6.4</v>
      </c>
      <c r="AD569" s="63">
        <v>6.8</v>
      </c>
      <c r="AE569" s="36">
        <v>0.09</v>
      </c>
      <c r="AF569" s="36">
        <v>0.15</v>
      </c>
      <c r="AG569" s="42">
        <f t="shared" si="194"/>
        <v>1354.2637500000001</v>
      </c>
      <c r="AH569" s="42">
        <f t="shared" si="209"/>
        <v>1962.421214208</v>
      </c>
      <c r="AI569" s="42">
        <f t="shared" si="210"/>
        <v>1.449068701874358</v>
      </c>
      <c r="AJ569" s="57">
        <v>6.4</v>
      </c>
      <c r="AK569" s="57">
        <v>4</v>
      </c>
      <c r="AL569" s="63">
        <v>6.4</v>
      </c>
      <c r="AM569" s="57">
        <v>24.78</v>
      </c>
      <c r="AN569" s="63">
        <v>6.4</v>
      </c>
      <c r="AO569" s="63">
        <v>6.7</v>
      </c>
      <c r="AP569" s="36">
        <v>0.12</v>
      </c>
      <c r="AQ569" s="36">
        <v>0.2</v>
      </c>
      <c r="AR569" s="73">
        <f t="shared" si="195"/>
        <v>1627</v>
      </c>
      <c r="AS569" s="75">
        <f t="shared" si="196"/>
        <v>0</v>
      </c>
      <c r="AT569" s="75">
        <f t="shared" si="197"/>
        <v>0.81438229870928092</v>
      </c>
      <c r="AU569" s="75">
        <f t="shared" si="198"/>
        <v>0.18561770129071911</v>
      </c>
      <c r="AV569" s="26">
        <f t="shared" si="192"/>
        <v>2.8843115592485512E-3</v>
      </c>
      <c r="AW569" s="26">
        <f t="shared" si="211"/>
        <v>1.0426126691395044E-2</v>
      </c>
      <c r="AX569" s="26">
        <f t="shared" si="212"/>
        <v>0.87012987012987009</v>
      </c>
      <c r="AY569" s="24">
        <f t="shared" si="213"/>
        <v>0.90259740259740262</v>
      </c>
      <c r="AZ569" s="77" t="str">
        <f t="shared" si="199"/>
        <v>7,5 ≤ Alc. Bruta &lt; 10,0 mg/L</v>
      </c>
      <c r="BA569" s="77" t="str">
        <f t="shared" si="200"/>
        <v>10 ≤ Cor &lt;15 uC</v>
      </c>
      <c r="BB569" s="78" t="str">
        <f t="shared" si="201"/>
        <v>Turbidez &lt; 2,5 uT</v>
      </c>
      <c r="BC569" s="79" t="str">
        <f t="shared" si="202"/>
        <v>SM &gt; BNN &gt; TOR</v>
      </c>
      <c r="BD569" s="78" t="str">
        <f t="shared" si="203"/>
        <v>Tipo 1 (≤0,25) uT</v>
      </c>
      <c r="BE569" s="78" t="str">
        <f t="shared" si="190"/>
        <v>Tipo 1 (≤0,25) uT</v>
      </c>
      <c r="BF569" s="78" t="str">
        <f t="shared" si="204"/>
        <v>Tipo 1 (≤0,25) uT</v>
      </c>
      <c r="BG569" s="78" t="str">
        <f t="shared" si="191"/>
        <v>Tipo 1 (≤0,25) uT</v>
      </c>
      <c r="BH569" s="78" t="str">
        <f t="shared" si="205"/>
        <v>Tipo 1 (≤0,25) uT</v>
      </c>
    </row>
    <row r="570" spans="1:60" ht="15.75" thickBot="1" x14ac:dyDescent="0.25">
      <c r="A570" s="31">
        <v>46322</v>
      </c>
      <c r="B570" s="80">
        <v>6.25E-2</v>
      </c>
      <c r="C570" s="57">
        <v>603</v>
      </c>
      <c r="D570" s="57">
        <v>1263</v>
      </c>
      <c r="E570" s="57">
        <v>249</v>
      </c>
      <c r="F570" s="57">
        <v>2302</v>
      </c>
      <c r="G570" s="87" t="s">
        <v>78</v>
      </c>
      <c r="H570" s="63">
        <v>8.5</v>
      </c>
      <c r="I570" s="57">
        <v>13</v>
      </c>
      <c r="J570" s="57">
        <v>90</v>
      </c>
      <c r="K570" s="57">
        <v>90</v>
      </c>
      <c r="L570" s="57">
        <v>90</v>
      </c>
      <c r="M570" s="57">
        <v>24.6</v>
      </c>
      <c r="N570" s="63">
        <v>6.7</v>
      </c>
      <c r="O570" s="36">
        <v>1.76</v>
      </c>
      <c r="P570" s="57">
        <v>12</v>
      </c>
      <c r="Q570" s="63">
        <v>8.3000000000000007</v>
      </c>
      <c r="R570" s="36">
        <v>0.09</v>
      </c>
      <c r="S570" s="36">
        <v>22.36</v>
      </c>
      <c r="T570" s="36">
        <v>0.88</v>
      </c>
      <c r="U570" s="36">
        <v>0.7</v>
      </c>
      <c r="V570" s="42">
        <f t="shared" si="206"/>
        <v>1815.7024999999999</v>
      </c>
      <c r="W570" s="42">
        <f t="shared" si="207"/>
        <v>1555.0142007295997</v>
      </c>
      <c r="X570" s="42">
        <f t="shared" si="208"/>
        <v>0.85642565383348856</v>
      </c>
      <c r="Y570" s="57">
        <v>3</v>
      </c>
      <c r="Z570" s="57">
        <v>4</v>
      </c>
      <c r="AA570" s="63">
        <v>5.44</v>
      </c>
      <c r="AB570" s="57">
        <v>24.16</v>
      </c>
      <c r="AC570" s="63">
        <v>6.3</v>
      </c>
      <c r="AD570" s="63">
        <v>6.2</v>
      </c>
      <c r="AE570" s="36">
        <v>0.1</v>
      </c>
      <c r="AF570" s="36">
        <v>0.12</v>
      </c>
      <c r="AG570" s="42">
        <f t="shared" si="194"/>
        <v>1815.7024999999999</v>
      </c>
      <c r="AH570" s="42">
        <f t="shared" si="209"/>
        <v>1956.0857139199998</v>
      </c>
      <c r="AI570" s="42">
        <f t="shared" si="210"/>
        <v>1.0773161979564383</v>
      </c>
      <c r="AJ570" s="57">
        <v>6.4</v>
      </c>
      <c r="AK570" s="57">
        <v>4</v>
      </c>
      <c r="AL570" s="63">
        <v>6.4</v>
      </c>
      <c r="AM570" s="57">
        <v>24.7</v>
      </c>
      <c r="AN570" s="63">
        <v>6.3</v>
      </c>
      <c r="AO570" s="63">
        <v>6</v>
      </c>
      <c r="AP570" s="36">
        <v>0.12</v>
      </c>
      <c r="AQ570" s="36">
        <v>0.16</v>
      </c>
      <c r="AR570" s="73">
        <f t="shared" si="195"/>
        <v>2115</v>
      </c>
      <c r="AS570" s="75">
        <f t="shared" si="196"/>
        <v>0.28510638297872343</v>
      </c>
      <c r="AT570" s="75">
        <f t="shared" si="197"/>
        <v>0.59716312056737586</v>
      </c>
      <c r="AU570" s="75">
        <f t="shared" si="198"/>
        <v>0.11773049645390071</v>
      </c>
      <c r="AV570" s="26">
        <f t="shared" si="192"/>
        <v>2.976283766580325E-3</v>
      </c>
      <c r="AW570" s="26">
        <f t="shared" si="211"/>
        <v>5.896691613488758E-3</v>
      </c>
      <c r="AX570" s="26">
        <f t="shared" si="212"/>
        <v>0.90909090909090906</v>
      </c>
      <c r="AY570" s="24">
        <f t="shared" si="213"/>
        <v>0.93181818181818188</v>
      </c>
      <c r="AZ570" s="77" t="str">
        <f t="shared" si="199"/>
        <v>7,5 ≤ Alc. Bruta &lt; 10,0 mg/L</v>
      </c>
      <c r="BA570" s="77" t="str">
        <f t="shared" si="200"/>
        <v>10 ≤ Cor &lt;15 uC</v>
      </c>
      <c r="BB570" s="78" t="str">
        <f t="shared" si="201"/>
        <v>Turbidez &lt; 2,5 uT</v>
      </c>
      <c r="BC570" s="79" t="str">
        <f t="shared" si="202"/>
        <v>SM &gt; TOR &gt; BNN</v>
      </c>
      <c r="BD570" s="78" t="str">
        <f t="shared" si="203"/>
        <v>Tipo 1 (≤0,25) uT</v>
      </c>
      <c r="BE570" s="78" t="str">
        <f t="shared" si="190"/>
        <v>Tipo 1 (≤0,25) uT</v>
      </c>
      <c r="BF570" s="78" t="str">
        <f t="shared" si="204"/>
        <v>Tipo 1 (≤0,25) uT</v>
      </c>
      <c r="BG570" s="78" t="str">
        <f t="shared" si="191"/>
        <v>Tipo 1 (≤0,25) uT</v>
      </c>
      <c r="BH570" s="78" t="str">
        <f t="shared" si="205"/>
        <v>Tipo 1 (≤0,25) uT</v>
      </c>
    </row>
    <row r="571" spans="1:60" ht="15.75" thickBot="1" x14ac:dyDescent="0.25">
      <c r="A571" s="31">
        <v>46322</v>
      </c>
      <c r="B571" s="80">
        <v>0.14583333333333334</v>
      </c>
      <c r="C571" s="57">
        <v>609</v>
      </c>
      <c r="D571" s="57">
        <v>1311</v>
      </c>
      <c r="E571" s="57">
        <v>250</v>
      </c>
      <c r="F571" s="57">
        <v>2300</v>
      </c>
      <c r="G571" s="87" t="s">
        <v>78</v>
      </c>
      <c r="H571" s="63">
        <v>8.5</v>
      </c>
      <c r="I571" s="57">
        <v>75</v>
      </c>
      <c r="J571" s="57">
        <v>90</v>
      </c>
      <c r="K571" s="57">
        <v>90</v>
      </c>
      <c r="L571" s="57">
        <v>90</v>
      </c>
      <c r="M571" s="57">
        <v>24.2</v>
      </c>
      <c r="N571" s="63">
        <v>6.4</v>
      </c>
      <c r="O571" s="36">
        <v>1.68</v>
      </c>
      <c r="P571" s="57">
        <v>12</v>
      </c>
      <c r="Q571" s="63">
        <v>7.5</v>
      </c>
      <c r="R571" s="36">
        <v>7.0000000000000007E-2</v>
      </c>
      <c r="S571" s="36">
        <v>22.36</v>
      </c>
      <c r="T571" s="36">
        <v>0.88</v>
      </c>
      <c r="U571" s="36">
        <v>0.7</v>
      </c>
      <c r="V571" s="42">
        <f t="shared" si="206"/>
        <v>1791.1249999999998</v>
      </c>
      <c r="W571" s="42">
        <f t="shared" si="207"/>
        <v>1552.7630706119999</v>
      </c>
      <c r="X571" s="42">
        <f t="shared" si="208"/>
        <v>0.86692055027538562</v>
      </c>
      <c r="Y571" s="57">
        <v>3</v>
      </c>
      <c r="Z571" s="57">
        <v>4</v>
      </c>
      <c r="AA571" s="63">
        <v>5.41</v>
      </c>
      <c r="AB571" s="57">
        <v>24.3</v>
      </c>
      <c r="AC571" s="63">
        <v>6.2</v>
      </c>
      <c r="AD571" s="63">
        <v>6.5</v>
      </c>
      <c r="AE571" s="36">
        <v>0.1</v>
      </c>
      <c r="AF571" s="36">
        <v>0.12</v>
      </c>
      <c r="AG571" s="42">
        <f t="shared" si="194"/>
        <v>1791.1249999999998</v>
      </c>
      <c r="AH571" s="42">
        <f t="shared" si="209"/>
        <v>1964.00508928</v>
      </c>
      <c r="AI571" s="42">
        <f t="shared" si="210"/>
        <v>1.0965203932053877</v>
      </c>
      <c r="AJ571" s="57">
        <v>6.4</v>
      </c>
      <c r="AK571" s="57">
        <v>4</v>
      </c>
      <c r="AL571" s="63">
        <v>6.4</v>
      </c>
      <c r="AM571" s="57">
        <v>24.8</v>
      </c>
      <c r="AN571" s="63">
        <v>6.2</v>
      </c>
      <c r="AO571" s="63">
        <v>6.6</v>
      </c>
      <c r="AP571" s="36">
        <v>0.12</v>
      </c>
      <c r="AQ571" s="36">
        <v>0.17</v>
      </c>
      <c r="AR571" s="73">
        <f t="shared" si="195"/>
        <v>2170</v>
      </c>
      <c r="AS571" s="75">
        <f t="shared" si="196"/>
        <v>0.28064516129032258</v>
      </c>
      <c r="AT571" s="75">
        <f t="shared" si="197"/>
        <v>0.60414746543778797</v>
      </c>
      <c r="AU571" s="75">
        <f t="shared" si="198"/>
        <v>0.1152073732718894</v>
      </c>
      <c r="AV571" s="26">
        <f t="shared" si="192"/>
        <v>3.0153758270448192E-3</v>
      </c>
      <c r="AW571" s="26">
        <f t="shared" si="211"/>
        <v>5.9116751633681774E-3</v>
      </c>
      <c r="AX571" s="26">
        <f t="shared" si="212"/>
        <v>0.89880952380952384</v>
      </c>
      <c r="AY571" s="24">
        <f t="shared" si="213"/>
        <v>0.9285714285714286</v>
      </c>
      <c r="AZ571" s="77" t="str">
        <f t="shared" si="199"/>
        <v>7,5 ≤ Alc. Bruta &lt; 10,0 mg/L</v>
      </c>
      <c r="BA571" s="77" t="str">
        <f t="shared" si="200"/>
        <v>10 ≤ Cor &lt;15 uC</v>
      </c>
      <c r="BB571" s="78" t="str">
        <f t="shared" si="201"/>
        <v>Turbidez &lt; 2,5 uT</v>
      </c>
      <c r="BC571" s="79" t="str">
        <f t="shared" si="202"/>
        <v>SM &gt; TOR &gt; BNN</v>
      </c>
      <c r="BD571" s="78" t="str">
        <f t="shared" si="203"/>
        <v>Tipo 1 (≤0,25) uT</v>
      </c>
      <c r="BE571" s="78" t="str">
        <f t="shared" si="190"/>
        <v>Tipo 1 (≤0,25) uT</v>
      </c>
      <c r="BF571" s="78" t="str">
        <f t="shared" si="204"/>
        <v>Tipo 1 (≤0,25) uT</v>
      </c>
      <c r="BG571" s="78" t="str">
        <f t="shared" si="191"/>
        <v>Tipo 1 (≤0,25) uT</v>
      </c>
      <c r="BH571" s="78" t="str">
        <f t="shared" si="205"/>
        <v>Tipo 1 (≤0,25) uT</v>
      </c>
    </row>
    <row r="572" spans="1:60" ht="15.75" thickBot="1" x14ac:dyDescent="0.25">
      <c r="A572" s="32">
        <v>46322</v>
      </c>
      <c r="B572" s="81">
        <v>0.22916666666666666</v>
      </c>
      <c r="C572" s="58">
        <v>607</v>
      </c>
      <c r="D572" s="58">
        <v>1267</v>
      </c>
      <c r="E572" s="58">
        <v>249</v>
      </c>
      <c r="F572" s="58">
        <v>2298</v>
      </c>
      <c r="G572" s="87" t="s">
        <v>78</v>
      </c>
      <c r="H572" s="64">
        <v>8.5</v>
      </c>
      <c r="I572" s="58">
        <v>96</v>
      </c>
      <c r="J572" s="58">
        <v>90</v>
      </c>
      <c r="K572" s="58">
        <v>90</v>
      </c>
      <c r="L572" s="58">
        <v>90</v>
      </c>
      <c r="M572" s="58">
        <v>24.4</v>
      </c>
      <c r="N572" s="64">
        <v>6.2</v>
      </c>
      <c r="O572" s="37">
        <v>1.7</v>
      </c>
      <c r="P572" s="58">
        <v>15</v>
      </c>
      <c r="Q572" s="64">
        <v>6.2</v>
      </c>
      <c r="R572" s="37">
        <v>7.0000000000000007E-2</v>
      </c>
      <c r="S572" s="36">
        <v>22.36</v>
      </c>
      <c r="T572" s="36">
        <v>0.88</v>
      </c>
      <c r="U572" s="36">
        <v>0.7</v>
      </c>
      <c r="V572" s="42">
        <f t="shared" si="206"/>
        <v>1795.3125</v>
      </c>
      <c r="W572" s="42">
        <f t="shared" si="207"/>
        <v>1446.9057705439998</v>
      </c>
      <c r="X572" s="42">
        <f t="shared" si="208"/>
        <v>0.80593532911067001</v>
      </c>
      <c r="Y572" s="58">
        <v>3</v>
      </c>
      <c r="Z572" s="58">
        <v>4</v>
      </c>
      <c r="AA572" s="64">
        <v>5.16</v>
      </c>
      <c r="AB572" s="58">
        <v>24.1</v>
      </c>
      <c r="AC572" s="64">
        <v>6.1</v>
      </c>
      <c r="AD572" s="64">
        <v>6.7</v>
      </c>
      <c r="AE572" s="37">
        <v>0.13</v>
      </c>
      <c r="AF572" s="37">
        <v>0.13</v>
      </c>
      <c r="AG572" s="42">
        <f t="shared" si="194"/>
        <v>1795.3125</v>
      </c>
      <c r="AH572" s="42">
        <f t="shared" si="209"/>
        <v>1956.0857139199998</v>
      </c>
      <c r="AI572" s="42">
        <f t="shared" si="210"/>
        <v>1.089551659624717</v>
      </c>
      <c r="AJ572" s="58">
        <v>6.4</v>
      </c>
      <c r="AK572" s="58">
        <v>4</v>
      </c>
      <c r="AL572" s="64">
        <v>6.4</v>
      </c>
      <c r="AM572" s="58">
        <v>24.7</v>
      </c>
      <c r="AN572" s="64">
        <v>6.2</v>
      </c>
      <c r="AO572" s="64">
        <v>5.9</v>
      </c>
      <c r="AP572" s="37">
        <v>0.14000000000000001</v>
      </c>
      <c r="AQ572" s="37">
        <v>0.18</v>
      </c>
      <c r="AR572" s="73">
        <f t="shared" si="195"/>
        <v>2123</v>
      </c>
      <c r="AS572" s="75">
        <f t="shared" si="196"/>
        <v>0.28591615638247764</v>
      </c>
      <c r="AT572" s="75">
        <f t="shared" si="197"/>
        <v>0.59679698539802162</v>
      </c>
      <c r="AU572" s="75">
        <f t="shared" si="198"/>
        <v>0.1172868582195007</v>
      </c>
      <c r="AV572" s="26">
        <f t="shared" si="192"/>
        <v>2.8056930517342733E-3</v>
      </c>
      <c r="AW572" s="26">
        <f t="shared" si="211"/>
        <v>5.8792169622917719E-3</v>
      </c>
      <c r="AX572" s="26">
        <f t="shared" si="212"/>
        <v>0.89411764705882357</v>
      </c>
      <c r="AY572" s="24">
        <f t="shared" si="213"/>
        <v>0.92352941176470593</v>
      </c>
      <c r="AZ572" s="77" t="str">
        <f t="shared" si="199"/>
        <v>5,0 ≤ Alc. Bruta &lt; 7,5 mg/L</v>
      </c>
      <c r="BA572" s="77" t="str">
        <f t="shared" si="200"/>
        <v>15 ≤ Cor &lt; 30 uC</v>
      </c>
      <c r="BB572" s="78" t="str">
        <f t="shared" si="201"/>
        <v>Turbidez &lt; 2,5 uT</v>
      </c>
      <c r="BC572" s="79" t="str">
        <f t="shared" si="202"/>
        <v>SM &gt; TOR &gt; BNN</v>
      </c>
      <c r="BD572" s="78" t="str">
        <f t="shared" si="203"/>
        <v>Tipo 1 (≤0,25) uT</v>
      </c>
      <c r="BE572" s="78" t="str">
        <f t="shared" si="190"/>
        <v>Tipo 1 (≤0,25) uT</v>
      </c>
      <c r="BF572" s="78" t="str">
        <f t="shared" si="204"/>
        <v>Tipo 1 (≤0,25) uT</v>
      </c>
      <c r="BG572" s="78" t="str">
        <f t="shared" si="191"/>
        <v>Tipo 1 (≤0,25) uT</v>
      </c>
      <c r="BH572" s="78" t="str">
        <f t="shared" si="205"/>
        <v>Tipo 1 (≤0,25) uT</v>
      </c>
    </row>
    <row r="573" spans="1:60" x14ac:dyDescent="0.2">
      <c r="A573" s="30">
        <v>46322</v>
      </c>
      <c r="B573" s="82">
        <v>0.3125</v>
      </c>
      <c r="C573" s="59">
        <v>610</v>
      </c>
      <c r="D573" s="59">
        <v>1270</v>
      </c>
      <c r="E573" s="59">
        <v>250</v>
      </c>
      <c r="F573" s="59">
        <v>2160</v>
      </c>
      <c r="G573" s="87" t="s">
        <v>78</v>
      </c>
      <c r="H573" s="65">
        <v>8.5</v>
      </c>
      <c r="I573" s="59">
        <v>72</v>
      </c>
      <c r="J573" s="59">
        <v>90</v>
      </c>
      <c r="K573" s="59">
        <v>90</v>
      </c>
      <c r="L573" s="59">
        <v>90</v>
      </c>
      <c r="M573" s="59">
        <v>24.2</v>
      </c>
      <c r="N573" s="65">
        <v>6.4</v>
      </c>
      <c r="O573" s="38">
        <v>1.74</v>
      </c>
      <c r="P573" s="59">
        <v>12</v>
      </c>
      <c r="Q573" s="65">
        <v>6.4</v>
      </c>
      <c r="R573" s="38">
        <v>7.0000000000000007E-2</v>
      </c>
      <c r="S573" s="36">
        <v>22.36</v>
      </c>
      <c r="T573" s="36">
        <v>0.88</v>
      </c>
      <c r="U573" s="36">
        <v>0.7</v>
      </c>
      <c r="V573" s="42">
        <f t="shared" si="206"/>
        <v>1698.3</v>
      </c>
      <c r="W573" s="42">
        <f t="shared" si="207"/>
        <v>1529.8855103999999</v>
      </c>
      <c r="X573" s="42">
        <f t="shared" si="208"/>
        <v>0.90083348666313368</v>
      </c>
      <c r="Y573" s="60">
        <v>3</v>
      </c>
      <c r="Z573" s="88">
        <v>4</v>
      </c>
      <c r="AA573" s="89">
        <v>5.4</v>
      </c>
      <c r="AB573" s="88">
        <v>24</v>
      </c>
      <c r="AC573" s="65">
        <v>6.2</v>
      </c>
      <c r="AD573" s="65">
        <v>6.7</v>
      </c>
      <c r="AE573" s="38">
        <v>0.14000000000000001</v>
      </c>
      <c r="AF573" s="38">
        <v>0.14000000000000001</v>
      </c>
      <c r="AG573" s="42">
        <f t="shared" si="194"/>
        <v>1698.3</v>
      </c>
      <c r="AH573" s="42">
        <f t="shared" si="209"/>
        <v>1900.6500864</v>
      </c>
      <c r="AI573" s="42">
        <f t="shared" si="210"/>
        <v>1.1191486111994347</v>
      </c>
      <c r="AJ573" s="59">
        <v>3</v>
      </c>
      <c r="AK573" s="59">
        <v>4</v>
      </c>
      <c r="AL573" s="65">
        <v>6.4</v>
      </c>
      <c r="AM573" s="59">
        <v>24</v>
      </c>
      <c r="AN573" s="65">
        <v>6.2</v>
      </c>
      <c r="AO573" s="65">
        <v>6.1</v>
      </c>
      <c r="AP573" s="38">
        <v>0.13</v>
      </c>
      <c r="AQ573" s="38">
        <v>0.19</v>
      </c>
      <c r="AR573" s="73">
        <f t="shared" si="195"/>
        <v>2130</v>
      </c>
      <c r="AS573" s="75">
        <f t="shared" ref="AS573:AS578" si="214">C573/AR573</f>
        <v>0.28638497652582162</v>
      </c>
      <c r="AT573" s="75">
        <f t="shared" ref="AT573:AT578" si="215">D573/AR573</f>
        <v>0.59624413145539901</v>
      </c>
      <c r="AU573" s="75">
        <f t="shared" ref="AU573:AU578" si="216">E573/AR573</f>
        <v>0.11737089201877934</v>
      </c>
      <c r="AV573" s="26">
        <f t="shared" ref="AV573:AV578" si="217">IF(AND(F573&lt;&gt;"",X573&lt;&gt;""),Z573/(F573/2/X573),"")</f>
        <v>3.3364203209745691E-3</v>
      </c>
      <c r="AW573" s="26">
        <f t="shared" ref="AW573:AW578" si="218">IF(AND(F573&lt;&gt;"",AI573&lt;&gt;""),AN573/(F573/2/AI573),"")</f>
        <v>6.4247420272560141E-3</v>
      </c>
      <c r="AX573" s="26">
        <f t="shared" ref="AX573:AX578" si="219">IF(AND(AQ573&lt;&gt;"",1-(AQ573/O573)&gt;0),1-(AQ573/O573),"")</f>
        <v>0.89080459770114939</v>
      </c>
      <c r="AY573" s="24">
        <f t="shared" ref="AY573:AY578" si="220">IF(AND(AF573&lt;&gt;"",1-(AF573/O573)&gt;0),1-(AF573/O573),"")</f>
        <v>0.91954022988505746</v>
      </c>
      <c r="AZ573" s="77" t="str">
        <f t="shared" ref="AZ573:AZ578" si="221">IF(Q573="","",IF(Q573&lt;2.5,"Alc. Bruta &lt; 2,5 mg/L",IF(Q573&lt;5,"2,5 ≤ Alc. Bruta &lt; 5,0 mg/L",IF(Q573&lt;7.5,"5,0 ≤ Alc. Bruta &lt; 7,5 mg/L",IF(Q573&lt;10,"7,5 ≤ Alc. Bruta &lt; 10,0 mg/L",IF(Q573&lt;15,"10,0 ≤ Alca. Bruta &lt; 15,0 mg/L","Alc. Bruta &gt; 15 mg/L"))))))</f>
        <v>5,0 ≤ Alc. Bruta &lt; 7,5 mg/L</v>
      </c>
      <c r="BA573" s="77" t="str">
        <f t="shared" ref="BA573:BA578" si="222">IF(P573="","",IF(P573&lt;5,"Cor &lt;5 uC",IF(P573&lt;10,"5 ≤ Cor &lt; 10 uC",IF(P573&lt;15,"10 ≤ Cor &lt;15 uC",IF(P573&lt;30,"15 ≤ Cor &lt; 30 uC",IF(P573&lt;50,"30 ≤ Cor &lt; 50 uC","Cor &gt; 50 uC"))))))</f>
        <v>10 ≤ Cor &lt;15 uC</v>
      </c>
      <c r="BB573" s="78" t="str">
        <f t="shared" ref="BB573:BB578" si="223">IF(O573="","",IF(O573&lt;2.5,"Turbidez &lt; 2,5 uT",IF(O573&lt;5,"2,5 ≤ Turb &lt; 5,0 uT",IF(O573&lt;7.5,"5,0 ≤ Turb &lt; 7,5 uT",IF(O573&lt;10,"7,5 ≤ Turb &lt; 10,0 uT",IF(O573&lt;15,"10,0 ≤ Turb &lt; 15,0 uT","Turb &gt; 15 uT"))))))</f>
        <v>Turbidez &lt; 2,5 uT</v>
      </c>
      <c r="BC573" s="79" t="str">
        <f t="shared" ref="BC573:BC578" si="224">IF(AND(C573&gt;D573,D573&gt;E573),"TOR &gt; SM &gt; BNN",IF(AND(C573&gt;E573,E573&gt;D573),"TOR &gt; BNN &gt; SM",IF(AND(D573&gt;C573,C573&gt;E573),"SM &gt; TOR &gt; BNN",IF(AND(D573&gt;E573,E573&gt;C573),"SM &gt; BNN &gt; TOR",IF(AND(C573=D573,D573=E573),"TOR = SM = BNN","Comb. diferentes")))))</f>
        <v>SM &gt; TOR &gt; BNN</v>
      </c>
      <c r="BD573" s="78" t="str">
        <f t="shared" ref="BD573:BD578" si="225">IF(OR(AE573="",AQ573="-"),"",IF(AE573&lt;=0.25,"Tipo 1 (≤0,25) uT",IF(AE573&lt;=0.5,"Tipo 2 (0,25-0,50) uT",IF(AE573&lt;=0.75,"Tipo 3 (0,50-0,75) uT","Tipo 4 (&gt;0,75) uT"))))</f>
        <v>Tipo 1 (≤0,25) uT</v>
      </c>
      <c r="BE573" s="78" t="str">
        <f t="shared" ref="BE573:BE578" si="226">IF(OR(AP573="",AZ573="-"),"",IF(AP573&lt;=0.25,"Tipo 1 (≤0,25) uT",IF(AP573&lt;=0.5,"Tipo 2 (0,25-0,50) uT",IF(AP573&lt;=0.75,"Tipo 3 (0,50-0,75) uT","Tipo 4 (&gt;0,75) uT"))))</f>
        <v>Tipo 1 (≤0,25) uT</v>
      </c>
      <c r="BF573" s="78" t="str">
        <f t="shared" ref="BF573:BF578" si="227">IF(OR(AF573="",AQ573="-"),"",IF(AF573&lt;=0.25,"Tipo 1 (≤0,25) uT",IF(AF573&lt;=0.5,"Tipo 2 (0,25-0,50) uT",IF(AF573&lt;=0.75,"Tipo 3 (0,50-0,75) uT","Tipo 4 (&gt;0,75) uT"))))</f>
        <v>Tipo 1 (≤0,25) uT</v>
      </c>
      <c r="BG573" s="78" t="str">
        <f t="shared" ref="BG573:BG578" si="228">IF(OR(AQ573="",AQ573="-"),"",IF(AQ573&lt;=0.25,"Tipo 1 (≤0,25) uT",IF(AQ573&lt;=0.5,"Tipo 2 (0,25-0,50) uT",IF(AQ573&lt;=0.75,"Tipo 3 (0,50-0,75) uT","Tipo 4 (&gt;0,75) uT"))))</f>
        <v>Tipo 1 (≤0,25) uT</v>
      </c>
      <c r="BH573" s="78" t="str">
        <f t="shared" si="205"/>
        <v>Tipo 1 (≤0,25) uT</v>
      </c>
    </row>
    <row r="574" spans="1:60" x14ac:dyDescent="0.2">
      <c r="A574" s="31">
        <v>46322</v>
      </c>
      <c r="B574" s="80">
        <v>0.64583333333333337</v>
      </c>
      <c r="C574" s="57">
        <v>571</v>
      </c>
      <c r="D574" s="57">
        <v>1290</v>
      </c>
      <c r="E574" s="57">
        <v>250</v>
      </c>
      <c r="F574" s="57">
        <v>2218</v>
      </c>
      <c r="G574" s="85" t="s">
        <v>78</v>
      </c>
      <c r="H574" s="63">
        <v>8.5</v>
      </c>
      <c r="I574" s="57">
        <v>98</v>
      </c>
      <c r="J574" s="57">
        <v>90</v>
      </c>
      <c r="K574" s="57">
        <v>90</v>
      </c>
      <c r="L574" s="57">
        <v>90</v>
      </c>
      <c r="M574" s="57">
        <v>26.1</v>
      </c>
      <c r="N574" s="63">
        <v>6.3</v>
      </c>
      <c r="O574" s="36">
        <v>2.21</v>
      </c>
      <c r="P574" s="57">
        <v>15</v>
      </c>
      <c r="Q574" s="63">
        <v>5.5</v>
      </c>
      <c r="R574" s="36">
        <v>0.1</v>
      </c>
      <c r="S574" s="36">
        <v>22.36</v>
      </c>
      <c r="T574" s="36">
        <v>0.88</v>
      </c>
      <c r="U574" s="36">
        <v>0.7</v>
      </c>
      <c r="V574" s="42">
        <f t="shared" si="206"/>
        <v>1874.21</v>
      </c>
      <c r="W574" s="42">
        <f t="shared" si="207"/>
        <v>1529.8855103999999</v>
      </c>
      <c r="X574" s="42">
        <f t="shared" si="208"/>
        <v>0.81628286606090028</v>
      </c>
      <c r="Y574" s="57">
        <v>3</v>
      </c>
      <c r="Z574" s="57">
        <v>4</v>
      </c>
      <c r="AA574" s="63">
        <v>5.4</v>
      </c>
      <c r="AB574" s="57">
        <v>24</v>
      </c>
      <c r="AC574" s="63">
        <v>6.2</v>
      </c>
      <c r="AD574" s="63">
        <v>4.5999999999999996</v>
      </c>
      <c r="AE574" s="36">
        <v>0.13</v>
      </c>
      <c r="AF574" s="36">
        <v>0.13</v>
      </c>
      <c r="AG574" s="42">
        <f t="shared" si="194"/>
        <v>2498.9466666666667</v>
      </c>
      <c r="AH574" s="42">
        <f t="shared" si="209"/>
        <v>1979.8438399999998</v>
      </c>
      <c r="AI574" s="42">
        <f t="shared" si="210"/>
        <v>0.79227134632725249</v>
      </c>
      <c r="AJ574" s="57">
        <v>3</v>
      </c>
      <c r="AK574" s="57">
        <v>3</v>
      </c>
      <c r="AL574" s="63">
        <v>6.4</v>
      </c>
      <c r="AM574" s="57">
        <v>25</v>
      </c>
      <c r="AN574" s="63">
        <v>6.2</v>
      </c>
      <c r="AO574" s="63">
        <v>4.2</v>
      </c>
      <c r="AP574" s="36">
        <v>0.11</v>
      </c>
      <c r="AQ574" s="36">
        <v>0.21</v>
      </c>
      <c r="AR574" s="73">
        <f t="shared" si="195"/>
        <v>2111</v>
      </c>
      <c r="AS574" s="75">
        <f t="shared" si="214"/>
        <v>0.27048792041686404</v>
      </c>
      <c r="AT574" s="75">
        <f t="shared" si="215"/>
        <v>0.61108479393652293</v>
      </c>
      <c r="AU574" s="75">
        <f t="shared" si="216"/>
        <v>0.11842728564661298</v>
      </c>
      <c r="AV574" s="26">
        <f t="shared" si="217"/>
        <v>2.9442123212295771E-3</v>
      </c>
      <c r="AW574" s="26">
        <f t="shared" si="218"/>
        <v>4.4292897630558749E-3</v>
      </c>
      <c r="AX574" s="26">
        <f t="shared" si="219"/>
        <v>0.90497737556561086</v>
      </c>
      <c r="AY574" s="24">
        <f t="shared" si="220"/>
        <v>0.94117647058823528</v>
      </c>
      <c r="AZ574" s="77" t="str">
        <f t="shared" si="221"/>
        <v>5,0 ≤ Alc. Bruta &lt; 7,5 mg/L</v>
      </c>
      <c r="BA574" s="77" t="str">
        <f t="shared" si="222"/>
        <v>15 ≤ Cor &lt; 30 uC</v>
      </c>
      <c r="BB574" s="78" t="str">
        <f t="shared" si="223"/>
        <v>Turbidez &lt; 2,5 uT</v>
      </c>
      <c r="BC574" s="79" t="str">
        <f t="shared" si="224"/>
        <v>SM &gt; TOR &gt; BNN</v>
      </c>
      <c r="BD574" s="78" t="str">
        <f t="shared" si="225"/>
        <v>Tipo 1 (≤0,25) uT</v>
      </c>
      <c r="BE574" s="78" t="str">
        <f t="shared" si="226"/>
        <v>Tipo 1 (≤0,25) uT</v>
      </c>
      <c r="BF574" s="78" t="str">
        <f t="shared" si="227"/>
        <v>Tipo 1 (≤0,25) uT</v>
      </c>
      <c r="BG574" s="78" t="str">
        <f t="shared" si="228"/>
        <v>Tipo 1 (≤0,25) uT</v>
      </c>
      <c r="BH574" s="78" t="str">
        <f t="shared" si="205"/>
        <v>Tipo 1 (≤0,25) uT</v>
      </c>
    </row>
    <row r="575" spans="1:60" x14ac:dyDescent="0.2">
      <c r="A575" s="31">
        <v>46322</v>
      </c>
      <c r="B575" s="80">
        <v>0.8125</v>
      </c>
      <c r="C575" s="57">
        <v>279</v>
      </c>
      <c r="D575" s="57">
        <v>1638</v>
      </c>
      <c r="E575" s="57">
        <v>200</v>
      </c>
      <c r="F575" s="57">
        <v>2220</v>
      </c>
      <c r="G575" s="85" t="s">
        <v>78</v>
      </c>
      <c r="H575" s="63">
        <v>8.5</v>
      </c>
      <c r="I575" s="57">
        <v>61</v>
      </c>
      <c r="J575" s="57">
        <v>90</v>
      </c>
      <c r="K575" s="57">
        <v>90</v>
      </c>
      <c r="L575" s="57">
        <v>90</v>
      </c>
      <c r="M575" s="57">
        <v>25.8</v>
      </c>
      <c r="N575" s="63">
        <v>6.3</v>
      </c>
      <c r="O575" s="36">
        <v>2.66</v>
      </c>
      <c r="P575" s="57">
        <v>15</v>
      </c>
      <c r="Q575" s="63">
        <v>6.8</v>
      </c>
      <c r="R575" s="36">
        <v>0.14000000000000001</v>
      </c>
      <c r="S575" s="36">
        <v>22.36</v>
      </c>
      <c r="T575" s="36">
        <v>0.88</v>
      </c>
      <c r="U575" s="36">
        <v>0.7</v>
      </c>
      <c r="V575" s="42">
        <f t="shared" si="206"/>
        <v>2000.7750000000001</v>
      </c>
      <c r="W575" s="42">
        <f t="shared" si="207"/>
        <v>1600.3307798399999</v>
      </c>
      <c r="X575" s="42">
        <f t="shared" si="208"/>
        <v>0.79985544593470026</v>
      </c>
      <c r="Y575" s="57">
        <v>3</v>
      </c>
      <c r="Z575" s="57">
        <v>4</v>
      </c>
      <c r="AA575" s="63">
        <v>5.59</v>
      </c>
      <c r="AB575" s="57">
        <v>24</v>
      </c>
      <c r="AC575" s="63">
        <v>6.2</v>
      </c>
      <c r="AD575" s="63">
        <v>5.6</v>
      </c>
      <c r="AE575" s="36">
        <v>0.14000000000000001</v>
      </c>
      <c r="AF575" s="36">
        <v>0.13</v>
      </c>
      <c r="AG575" s="42">
        <f t="shared" si="194"/>
        <v>2667.7</v>
      </c>
      <c r="AH575" s="42">
        <f t="shared" si="209"/>
        <v>1987.311194544</v>
      </c>
      <c r="AI575" s="42">
        <f t="shared" si="210"/>
        <v>0.74495302865539614</v>
      </c>
      <c r="AJ575" s="57">
        <v>3</v>
      </c>
      <c r="AK575" s="57">
        <v>3</v>
      </c>
      <c r="AL575" s="63">
        <v>6.44</v>
      </c>
      <c r="AM575" s="57">
        <v>24.9</v>
      </c>
      <c r="AN575" s="63">
        <v>6.2</v>
      </c>
      <c r="AO575" s="63">
        <v>5.7</v>
      </c>
      <c r="AP575" s="36">
        <v>0.12</v>
      </c>
      <c r="AQ575" s="36">
        <v>0.25</v>
      </c>
      <c r="AR575" s="73">
        <f t="shared" si="195"/>
        <v>2117</v>
      </c>
      <c r="AS575" s="75">
        <f t="shared" si="214"/>
        <v>0.13179026924893716</v>
      </c>
      <c r="AT575" s="75">
        <f t="shared" si="215"/>
        <v>0.77373641946150218</v>
      </c>
      <c r="AU575" s="75">
        <f t="shared" si="216"/>
        <v>9.4473311289560699E-2</v>
      </c>
      <c r="AV575" s="26">
        <f t="shared" si="217"/>
        <v>2.8823619673322529E-3</v>
      </c>
      <c r="AW575" s="26">
        <f t="shared" si="218"/>
        <v>4.1609988987959066E-3</v>
      </c>
      <c r="AX575" s="26">
        <f t="shared" si="219"/>
        <v>0.90601503759398494</v>
      </c>
      <c r="AY575" s="24">
        <f t="shared" si="220"/>
        <v>0.95112781954887216</v>
      </c>
      <c r="AZ575" s="77" t="str">
        <f t="shared" si="221"/>
        <v>5,0 ≤ Alc. Bruta &lt; 7,5 mg/L</v>
      </c>
      <c r="BA575" s="77" t="str">
        <f t="shared" si="222"/>
        <v>15 ≤ Cor &lt; 30 uC</v>
      </c>
      <c r="BB575" s="78" t="str">
        <f t="shared" si="223"/>
        <v>2,5 ≤ Turb &lt; 5,0 uT</v>
      </c>
      <c r="BC575" s="79" t="str">
        <f t="shared" si="224"/>
        <v>SM &gt; TOR &gt; BNN</v>
      </c>
      <c r="BD575" s="78" t="str">
        <f t="shared" si="225"/>
        <v>Tipo 1 (≤0,25) uT</v>
      </c>
      <c r="BE575" s="78" t="str">
        <f t="shared" si="226"/>
        <v>Tipo 1 (≤0,25) uT</v>
      </c>
      <c r="BF575" s="78" t="str">
        <f t="shared" si="227"/>
        <v>Tipo 1 (≤0,25) uT</v>
      </c>
      <c r="BG575" s="78" t="str">
        <f t="shared" si="228"/>
        <v>Tipo 1 (≤0,25) uT</v>
      </c>
      <c r="BH575" s="78" t="str">
        <f t="shared" si="205"/>
        <v>Tipo 1 (≤0,25) uT</v>
      </c>
    </row>
    <row r="576" spans="1:60" x14ac:dyDescent="0.2">
      <c r="A576" s="31">
        <v>46322</v>
      </c>
      <c r="B576" s="80">
        <v>0.89583333333333337</v>
      </c>
      <c r="C576" s="57">
        <v>274</v>
      </c>
      <c r="D576" s="57">
        <v>1680</v>
      </c>
      <c r="E576" s="57">
        <v>200</v>
      </c>
      <c r="F576" s="57">
        <v>2218</v>
      </c>
      <c r="G576" s="85" t="s">
        <v>78</v>
      </c>
      <c r="H576" s="63">
        <v>8.5</v>
      </c>
      <c r="I576" s="57">
        <v>44</v>
      </c>
      <c r="J576" s="57">
        <v>90</v>
      </c>
      <c r="K576" s="57">
        <v>90</v>
      </c>
      <c r="L576" s="57">
        <v>90</v>
      </c>
      <c r="M576" s="57">
        <v>25.5</v>
      </c>
      <c r="N576" s="63">
        <v>6.3</v>
      </c>
      <c r="O576" s="36">
        <v>1.84</v>
      </c>
      <c r="P576" s="57">
        <v>12</v>
      </c>
      <c r="Q576" s="63">
        <v>7.3</v>
      </c>
      <c r="R576" s="36">
        <v>0.11</v>
      </c>
      <c r="S576" s="36">
        <v>22.36</v>
      </c>
      <c r="T576" s="36">
        <v>0.88</v>
      </c>
      <c r="U576" s="36">
        <v>0.7</v>
      </c>
      <c r="V576" s="42">
        <f t="shared" si="206"/>
        <v>1771.6274999999998</v>
      </c>
      <c r="W576" s="42">
        <f t="shared" si="207"/>
        <v>1555.8390307199998</v>
      </c>
      <c r="X576" s="42">
        <f t="shared" si="208"/>
        <v>0.87819760684455395</v>
      </c>
      <c r="Y576" s="57">
        <v>3</v>
      </c>
      <c r="Z576" s="57">
        <v>4</v>
      </c>
      <c r="AA576" s="63">
        <v>5.47</v>
      </c>
      <c r="AB576" s="57">
        <v>24</v>
      </c>
      <c r="AC576" s="63">
        <v>6.2</v>
      </c>
      <c r="AD576" s="63">
        <v>5.9</v>
      </c>
      <c r="AE576" s="36">
        <v>0.16</v>
      </c>
      <c r="AF576" s="36">
        <v>0.14000000000000001</v>
      </c>
      <c r="AG576" s="42">
        <f t="shared" si="194"/>
        <v>2362.17</v>
      </c>
      <c r="AH576" s="42">
        <f t="shared" si="209"/>
        <v>1979.8438399999998</v>
      </c>
      <c r="AI576" s="42">
        <f t="shared" si="210"/>
        <v>0.8381462130159979</v>
      </c>
      <c r="AJ576" s="57">
        <v>3</v>
      </c>
      <c r="AK576" s="57">
        <v>3</v>
      </c>
      <c r="AL576" s="63">
        <v>6.4</v>
      </c>
      <c r="AM576" s="57">
        <v>25</v>
      </c>
      <c r="AN576" s="63">
        <v>6.2</v>
      </c>
      <c r="AO576" s="63">
        <v>5.9</v>
      </c>
      <c r="AP576" s="36">
        <v>0.16</v>
      </c>
      <c r="AQ576" s="36">
        <v>0.28000000000000003</v>
      </c>
      <c r="AR576" s="73">
        <f t="shared" si="195"/>
        <v>2154</v>
      </c>
      <c r="AS576" s="75">
        <f t="shared" si="214"/>
        <v>0.12720519962859797</v>
      </c>
      <c r="AT576" s="75">
        <f t="shared" si="215"/>
        <v>0.77994428969359331</v>
      </c>
      <c r="AU576" s="75">
        <f t="shared" si="216"/>
        <v>9.2850510677808723E-2</v>
      </c>
      <c r="AV576" s="26">
        <f t="shared" si="217"/>
        <v>3.167529691053396E-3</v>
      </c>
      <c r="AW576" s="26">
        <f t="shared" si="218"/>
        <v>4.6857588103689698E-3</v>
      </c>
      <c r="AX576" s="26">
        <f t="shared" si="219"/>
        <v>0.84782608695652173</v>
      </c>
      <c r="AY576" s="24">
        <f t="shared" si="220"/>
        <v>0.92391304347826086</v>
      </c>
      <c r="AZ576" s="77" t="str">
        <f t="shared" si="221"/>
        <v>5,0 ≤ Alc. Bruta &lt; 7,5 mg/L</v>
      </c>
      <c r="BA576" s="77" t="str">
        <f t="shared" si="222"/>
        <v>10 ≤ Cor &lt;15 uC</v>
      </c>
      <c r="BB576" s="78" t="str">
        <f t="shared" si="223"/>
        <v>Turbidez &lt; 2,5 uT</v>
      </c>
      <c r="BC576" s="79" t="str">
        <f t="shared" si="224"/>
        <v>SM &gt; TOR &gt; BNN</v>
      </c>
      <c r="BD576" s="78" t="str">
        <f t="shared" si="225"/>
        <v>Tipo 1 (≤0,25) uT</v>
      </c>
      <c r="BE576" s="78" t="str">
        <f t="shared" si="226"/>
        <v>Tipo 1 (≤0,25) uT</v>
      </c>
      <c r="BF576" s="78" t="str">
        <f t="shared" si="227"/>
        <v>Tipo 1 (≤0,25) uT</v>
      </c>
      <c r="BG576" s="78" t="str">
        <f t="shared" si="228"/>
        <v>Tipo 2 (0,25-0,50) uT</v>
      </c>
      <c r="BH576" s="78" t="str">
        <f t="shared" si="205"/>
        <v>Tipo 1 (≤0,25) uT</v>
      </c>
    </row>
    <row r="577" spans="1:60" x14ac:dyDescent="0.2">
      <c r="A577" s="31">
        <v>46322</v>
      </c>
      <c r="B577" s="80">
        <v>0.97916666666666663</v>
      </c>
      <c r="C577" s="57">
        <v>271</v>
      </c>
      <c r="D577" s="57">
        <v>1651</v>
      </c>
      <c r="E577" s="57">
        <v>200</v>
      </c>
      <c r="F577" s="57">
        <v>2280</v>
      </c>
      <c r="G577" s="85" t="s">
        <v>78</v>
      </c>
      <c r="H577" s="63">
        <v>8.5</v>
      </c>
      <c r="I577" s="57">
        <v>37</v>
      </c>
      <c r="J577" s="57">
        <v>90</v>
      </c>
      <c r="K577" s="57">
        <v>90</v>
      </c>
      <c r="L577" s="57">
        <v>90</v>
      </c>
      <c r="M577" s="57">
        <v>25.4</v>
      </c>
      <c r="N577" s="63">
        <v>6.3</v>
      </c>
      <c r="O577" s="36">
        <v>1.7</v>
      </c>
      <c r="P577" s="57">
        <v>13</v>
      </c>
      <c r="Q577" s="63">
        <v>7.1</v>
      </c>
      <c r="R577" s="36">
        <v>0.11</v>
      </c>
      <c r="S577" s="36">
        <v>22.36</v>
      </c>
      <c r="T577" s="36">
        <v>0.88</v>
      </c>
      <c r="U577" s="36">
        <v>0.7</v>
      </c>
      <c r="V577" s="42">
        <f t="shared" si="206"/>
        <v>1781.25</v>
      </c>
      <c r="W577" s="42">
        <f t="shared" si="207"/>
        <v>1570.6696137599999</v>
      </c>
      <c r="X577" s="42">
        <f t="shared" si="208"/>
        <v>0.88177943228631572</v>
      </c>
      <c r="Y577" s="57">
        <v>3</v>
      </c>
      <c r="Z577" s="57">
        <v>4</v>
      </c>
      <c r="AA577" s="63">
        <v>5.51</v>
      </c>
      <c r="AB577" s="57">
        <v>24</v>
      </c>
      <c r="AC577" s="63">
        <v>6.2</v>
      </c>
      <c r="AD577" s="63">
        <v>6.1</v>
      </c>
      <c r="AE577" s="36">
        <v>0.14000000000000001</v>
      </c>
      <c r="AF577" s="36">
        <v>0.15</v>
      </c>
      <c r="AG577" s="42">
        <f t="shared" si="194"/>
        <v>2375</v>
      </c>
      <c r="AH577" s="42">
        <f t="shared" si="209"/>
        <v>1979.8438399999998</v>
      </c>
      <c r="AI577" s="42">
        <f t="shared" si="210"/>
        <v>0.8336184589473683</v>
      </c>
      <c r="AJ577" s="57">
        <v>3</v>
      </c>
      <c r="AK577" s="57">
        <v>3</v>
      </c>
      <c r="AL577" s="63">
        <v>6.4</v>
      </c>
      <c r="AM577" s="57">
        <v>25</v>
      </c>
      <c r="AN577" s="63">
        <v>6.2</v>
      </c>
      <c r="AO577" s="63">
        <v>6.3</v>
      </c>
      <c r="AP577" s="36">
        <v>0.2</v>
      </c>
      <c r="AQ577" s="36">
        <v>0.19</v>
      </c>
      <c r="AR577" s="73">
        <f t="shared" si="195"/>
        <v>2122</v>
      </c>
      <c r="AS577" s="75">
        <f t="shared" si="214"/>
        <v>0.12770970782280866</v>
      </c>
      <c r="AT577" s="75">
        <f t="shared" si="215"/>
        <v>0.77803958529688977</v>
      </c>
      <c r="AU577" s="75">
        <f t="shared" si="216"/>
        <v>9.4250706880301599E-2</v>
      </c>
      <c r="AV577" s="26">
        <f t="shared" si="217"/>
        <v>3.0939629203028621E-3</v>
      </c>
      <c r="AW577" s="26">
        <f t="shared" si="218"/>
        <v>4.5337144258541084E-3</v>
      </c>
      <c r="AX577" s="26">
        <f t="shared" si="219"/>
        <v>0.88823529411764701</v>
      </c>
      <c r="AY577" s="24">
        <f t="shared" si="220"/>
        <v>0.91176470588235292</v>
      </c>
      <c r="AZ577" s="77" t="str">
        <f t="shared" si="221"/>
        <v>5,0 ≤ Alc. Bruta &lt; 7,5 mg/L</v>
      </c>
      <c r="BA577" s="77" t="str">
        <f t="shared" si="222"/>
        <v>10 ≤ Cor &lt;15 uC</v>
      </c>
      <c r="BB577" s="78" t="str">
        <f t="shared" si="223"/>
        <v>Turbidez &lt; 2,5 uT</v>
      </c>
      <c r="BC577" s="79" t="str">
        <f t="shared" si="224"/>
        <v>SM &gt; TOR &gt; BNN</v>
      </c>
      <c r="BD577" s="78" t="str">
        <f t="shared" si="225"/>
        <v>Tipo 1 (≤0,25) uT</v>
      </c>
      <c r="BE577" s="78" t="str">
        <f t="shared" si="226"/>
        <v>Tipo 1 (≤0,25) uT</v>
      </c>
      <c r="BF577" s="78" t="str">
        <f t="shared" si="227"/>
        <v>Tipo 1 (≤0,25) uT</v>
      </c>
      <c r="BG577" s="78" t="str">
        <f t="shared" si="228"/>
        <v>Tipo 1 (≤0,25) uT</v>
      </c>
      <c r="BH577" s="78" t="str">
        <f t="shared" si="205"/>
        <v>Tipo 1 (≤0,25) uT</v>
      </c>
    </row>
    <row r="578" spans="1:60" x14ac:dyDescent="0.2">
      <c r="A578" s="31">
        <v>46323</v>
      </c>
      <c r="B578" s="80">
        <v>0.14583333333333334</v>
      </c>
      <c r="C578" s="57">
        <v>0</v>
      </c>
      <c r="D578" s="57">
        <v>1230</v>
      </c>
      <c r="E578" s="57">
        <v>0</v>
      </c>
      <c r="F578" s="57">
        <v>1230</v>
      </c>
      <c r="G578" s="85" t="s">
        <v>78</v>
      </c>
      <c r="H578" s="63">
        <v>8.5</v>
      </c>
      <c r="I578" s="57">
        <v>40</v>
      </c>
      <c r="J578" s="57">
        <v>90</v>
      </c>
      <c r="K578" s="57">
        <v>90</v>
      </c>
      <c r="L578" s="57">
        <v>90</v>
      </c>
      <c r="M578" s="57">
        <v>25.4</v>
      </c>
      <c r="N578" s="63">
        <v>6.3</v>
      </c>
      <c r="O578" s="36">
        <v>1.78</v>
      </c>
      <c r="P578" s="57">
        <v>13</v>
      </c>
      <c r="Q578" s="63">
        <v>7.2</v>
      </c>
      <c r="R578" s="36">
        <v>0.12</v>
      </c>
      <c r="S578" s="36">
        <v>22.36</v>
      </c>
      <c r="T578" s="36">
        <v>0.88</v>
      </c>
      <c r="U578" s="36">
        <v>0.7</v>
      </c>
      <c r="V578" s="42">
        <f t="shared" si="206"/>
        <v>1946.4749999999999</v>
      </c>
      <c r="W578" s="42">
        <f t="shared" si="207"/>
        <v>1748.6183600080001</v>
      </c>
      <c r="X578" s="42">
        <f t="shared" si="208"/>
        <v>0.89835130685367148</v>
      </c>
      <c r="Y578" s="57">
        <v>1</v>
      </c>
      <c r="Z578" s="57">
        <v>2</v>
      </c>
      <c r="AA578" s="63">
        <v>5.73</v>
      </c>
      <c r="AB578" s="57">
        <v>25.4</v>
      </c>
      <c r="AC578" s="63">
        <v>6.2</v>
      </c>
      <c r="AD578" s="63">
        <v>6.2</v>
      </c>
      <c r="AE578" s="36">
        <v>0.18</v>
      </c>
      <c r="AF578" s="36">
        <v>0.13</v>
      </c>
      <c r="AG578" s="42">
        <f t="shared" ref="AG578" si="229">(O578+0.3*H578+2)*(F578/2/AK578)</f>
        <v>1297.6500000000001</v>
      </c>
      <c r="AH578" s="42">
        <f t="shared" si="209"/>
        <v>1979.8438399999998</v>
      </c>
      <c r="AI578" s="42">
        <f t="shared" si="210"/>
        <v>1.525714822949177</v>
      </c>
      <c r="AJ578" s="57">
        <v>1</v>
      </c>
      <c r="AK578" s="57">
        <v>3</v>
      </c>
      <c r="AL578" s="63">
        <v>6.4</v>
      </c>
      <c r="AM578" s="57">
        <v>25</v>
      </c>
      <c r="AN578" s="63">
        <v>6.2</v>
      </c>
      <c r="AO578" s="63">
        <v>6.3</v>
      </c>
      <c r="AP578" s="36">
        <v>0.19</v>
      </c>
      <c r="AQ578" s="36">
        <v>0.16</v>
      </c>
      <c r="AR578" s="73">
        <f t="shared" ref="AR578" si="230">SUM(C578:E578)</f>
        <v>1230</v>
      </c>
      <c r="AS578" s="75">
        <f t="shared" si="214"/>
        <v>0</v>
      </c>
      <c r="AT578" s="75">
        <f t="shared" si="215"/>
        <v>1</v>
      </c>
      <c r="AU578" s="75">
        <f t="shared" si="216"/>
        <v>0</v>
      </c>
      <c r="AV578" s="26">
        <f t="shared" si="217"/>
        <v>2.9214676645647852E-3</v>
      </c>
      <c r="AW578" s="26">
        <f t="shared" si="218"/>
        <v>1.5381190085016094E-2</v>
      </c>
      <c r="AX578" s="26">
        <f t="shared" si="219"/>
        <v>0.9101123595505618</v>
      </c>
      <c r="AY578" s="24">
        <f t="shared" si="220"/>
        <v>0.9269662921348315</v>
      </c>
      <c r="AZ578" s="77" t="str">
        <f t="shared" si="221"/>
        <v>5,0 ≤ Alc. Bruta &lt; 7,5 mg/L</v>
      </c>
      <c r="BA578" s="77" t="str">
        <f t="shared" si="222"/>
        <v>10 ≤ Cor &lt;15 uC</v>
      </c>
      <c r="BB578" s="78" t="str">
        <f t="shared" si="223"/>
        <v>Turbidez &lt; 2,5 uT</v>
      </c>
      <c r="BC578" s="79" t="str">
        <f t="shared" si="224"/>
        <v>Comb. diferentes</v>
      </c>
      <c r="BD578" s="78" t="str">
        <f t="shared" si="225"/>
        <v>Tipo 1 (≤0,25) uT</v>
      </c>
      <c r="BE578" s="78" t="str">
        <f t="shared" si="226"/>
        <v>Tipo 1 (≤0,25) uT</v>
      </c>
      <c r="BF578" s="78" t="str">
        <f t="shared" si="227"/>
        <v>Tipo 1 (≤0,25) uT</v>
      </c>
      <c r="BG578" s="78" t="str">
        <f t="shared" si="228"/>
        <v>Tipo 1 (≤0,25) uT</v>
      </c>
      <c r="BH578" s="78" t="str">
        <f t="shared" ref="BH578" si="231">IF(OR(R578="",R578="-"),"",IF(R578&lt;=0.25,"Tipo 1 (≤0,25) uT",IF(R578&lt;=0.5,"Tipo 2 (0,25-0,50) uT",IF(R578&lt;=0.75,"Tipo 3 (0,50-0,75) uT","Tipo 4 (&gt;0,75) uT"))))</f>
        <v>Tipo 1 (≤0,25) uT</v>
      </c>
    </row>
  </sheetData>
  <autoFilter ref="A1:BH572" xr:uid="{DFF5E3E3-7810-4FE4-98E4-2F4B293F5DD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E3E3-7810-4FE4-98E4-2F4B293F5DD5}">
  <dimension ref="A1:BG531"/>
  <sheetViews>
    <sheetView zoomScaleNormal="100" workbookViewId="0"/>
  </sheetViews>
  <sheetFormatPr defaultRowHeight="15" x14ac:dyDescent="0.2"/>
  <cols>
    <col min="1" max="1" width="10.76171875" style="22" bestFit="1" customWidth="1"/>
    <col min="2" max="2" width="8.875" style="55"/>
    <col min="3" max="3" width="9.953125" style="61" customWidth="1"/>
    <col min="4" max="4" width="9.01171875" style="61" customWidth="1"/>
    <col min="5" max="5" width="10.76171875" style="61" customWidth="1"/>
    <col min="6" max="6" width="9.68359375" style="61" customWidth="1"/>
    <col min="7" max="7" width="5.51171875" customWidth="1"/>
    <col min="8" max="8" width="8.875" style="28"/>
    <col min="9" max="9" width="8.609375" style="61" customWidth="1"/>
    <col min="10" max="11" width="8.875" style="61"/>
    <col min="12" max="13" width="8.875" style="28"/>
    <col min="14" max="14" width="8.875" style="40"/>
    <col min="15" max="15" width="8.875" style="61"/>
    <col min="16" max="16" width="8.875" style="28"/>
    <col min="17" max="18" width="8.875" style="40"/>
    <col min="19" max="19" width="8.875" style="40" customWidth="1"/>
    <col min="20" max="20" width="8.875" style="40"/>
    <col min="21" max="21" width="15.33203125" style="40" customWidth="1"/>
    <col min="22" max="22" width="15.73828125" style="40" customWidth="1"/>
    <col min="23" max="23" width="12.10546875" style="40" customWidth="1"/>
    <col min="24" max="25" width="8.875" style="61"/>
    <col min="26" max="26" width="10.0859375" style="28" customWidth="1"/>
    <col min="27" max="27" width="10.22265625" style="61" customWidth="1"/>
    <col min="28" max="28" width="11.8359375" style="28" customWidth="1"/>
    <col min="29" max="29" width="12.23828125" style="28" customWidth="1"/>
    <col min="30" max="30" width="13.44921875" customWidth="1"/>
    <col min="31" max="34" width="14.390625" style="40" customWidth="1"/>
    <col min="35" max="36" width="8.875" style="61"/>
    <col min="37" max="37" width="12.10546875" style="40" customWidth="1"/>
    <col min="38" max="38" width="11.8359375" style="40" customWidth="1"/>
    <col min="39" max="39" width="11.97265625" style="28" customWidth="1"/>
    <col min="40" max="40" width="12.10546875" style="28" customWidth="1"/>
    <col min="41" max="41" width="13.31640625" style="40" customWidth="1"/>
    <col min="42" max="42" width="13.85546875" style="40" customWidth="1"/>
    <col min="43" max="43" width="13.85546875" style="61" customWidth="1"/>
    <col min="44" max="46" width="13.85546875" style="25" customWidth="1"/>
    <col min="47" max="48" width="13.98828125" style="25" customWidth="1"/>
    <col min="49" max="49" width="18.0234375" style="25" customWidth="1"/>
    <col min="50" max="50" width="17.08203125" style="25" customWidth="1"/>
    <col min="51" max="51" width="25.828125" style="29" customWidth="1"/>
    <col min="52" max="52" width="18.0234375" style="29" customWidth="1"/>
    <col min="53" max="53" width="20.04296875" style="29" customWidth="1"/>
    <col min="54" max="54" width="19.37109375" style="29" customWidth="1"/>
    <col min="55" max="55" width="19.7734375" style="29" customWidth="1"/>
    <col min="56" max="56" width="21.1171875" style="29" customWidth="1"/>
    <col min="57" max="57" width="24.34765625" style="29" customWidth="1"/>
    <col min="58" max="58" width="24.75" style="29" customWidth="1"/>
    <col min="59" max="59" width="18.83203125" style="29" customWidth="1"/>
  </cols>
  <sheetData>
    <row r="1" spans="1:59" ht="111" customHeight="1" x14ac:dyDescent="0.2">
      <c r="A1" s="20" t="s">
        <v>47</v>
      </c>
      <c r="B1" s="47" t="s">
        <v>0</v>
      </c>
      <c r="C1" s="56" t="s">
        <v>48</v>
      </c>
      <c r="D1" s="56" t="s">
        <v>49</v>
      </c>
      <c r="E1" s="56" t="s">
        <v>50</v>
      </c>
      <c r="F1" s="56" t="s">
        <v>51</v>
      </c>
      <c r="G1" s="5" t="s">
        <v>52</v>
      </c>
      <c r="H1" s="62" t="s">
        <v>53</v>
      </c>
      <c r="I1" s="56" t="s">
        <v>97</v>
      </c>
      <c r="J1" s="56" t="s">
        <v>54</v>
      </c>
      <c r="K1" s="56" t="s">
        <v>55</v>
      </c>
      <c r="L1" s="62" t="s">
        <v>56</v>
      </c>
      <c r="M1" s="62" t="s">
        <v>57</v>
      </c>
      <c r="N1" s="35" t="s">
        <v>58</v>
      </c>
      <c r="O1" s="56" t="s">
        <v>59</v>
      </c>
      <c r="P1" s="62" t="s">
        <v>60</v>
      </c>
      <c r="Q1" s="35" t="s">
        <v>61</v>
      </c>
      <c r="R1" s="35" t="s">
        <v>105</v>
      </c>
      <c r="S1" s="35" t="s">
        <v>106</v>
      </c>
      <c r="T1" s="35" t="s">
        <v>107</v>
      </c>
      <c r="U1" s="35" t="s">
        <v>111</v>
      </c>
      <c r="V1" s="43" t="s">
        <v>109</v>
      </c>
      <c r="W1" s="35" t="s">
        <v>108</v>
      </c>
      <c r="X1" s="56" t="s">
        <v>62</v>
      </c>
      <c r="Y1" s="56" t="s">
        <v>63</v>
      </c>
      <c r="Z1" s="62" t="s">
        <v>68</v>
      </c>
      <c r="AA1" s="56" t="s">
        <v>69</v>
      </c>
      <c r="AB1" s="62" t="s">
        <v>66</v>
      </c>
      <c r="AC1" s="62" t="s">
        <v>67</v>
      </c>
      <c r="AD1" s="5" t="s">
        <v>70</v>
      </c>
      <c r="AE1" s="35" t="s">
        <v>71</v>
      </c>
      <c r="AF1" s="35" t="s">
        <v>112</v>
      </c>
      <c r="AG1" s="67" t="s">
        <v>110</v>
      </c>
      <c r="AH1" s="35" t="s">
        <v>113</v>
      </c>
      <c r="AI1" s="56" t="s">
        <v>64</v>
      </c>
      <c r="AJ1" s="56" t="s">
        <v>65</v>
      </c>
      <c r="AK1" s="35" t="s">
        <v>72</v>
      </c>
      <c r="AL1" s="35" t="s">
        <v>73</v>
      </c>
      <c r="AM1" s="62" t="s">
        <v>74</v>
      </c>
      <c r="AN1" s="62" t="s">
        <v>75</v>
      </c>
      <c r="AO1" s="35" t="s">
        <v>76</v>
      </c>
      <c r="AP1" s="35" t="s">
        <v>77</v>
      </c>
      <c r="AQ1" s="72" t="s">
        <v>92</v>
      </c>
      <c r="AR1" s="74" t="s">
        <v>93</v>
      </c>
      <c r="AS1" s="74" t="s">
        <v>94</v>
      </c>
      <c r="AT1" s="74" t="s">
        <v>95</v>
      </c>
      <c r="AU1" s="74" t="s">
        <v>90</v>
      </c>
      <c r="AV1" s="74" t="s">
        <v>91</v>
      </c>
      <c r="AW1" s="23" t="s">
        <v>89</v>
      </c>
      <c r="AX1" s="23" t="s">
        <v>88</v>
      </c>
      <c r="AY1" s="76" t="s">
        <v>83</v>
      </c>
      <c r="AZ1" s="76" t="s">
        <v>82</v>
      </c>
      <c r="BA1" s="76" t="s">
        <v>80</v>
      </c>
      <c r="BB1" s="76" t="s">
        <v>81</v>
      </c>
      <c r="BC1" s="76" t="s">
        <v>86</v>
      </c>
      <c r="BD1" s="76" t="s">
        <v>87</v>
      </c>
      <c r="BE1" s="76" t="s">
        <v>85</v>
      </c>
      <c r="BF1" s="76" t="s">
        <v>84</v>
      </c>
      <c r="BG1" s="76" t="s">
        <v>79</v>
      </c>
    </row>
    <row r="2" spans="1:59" x14ac:dyDescent="0.2">
      <c r="A2" s="21">
        <v>46128</v>
      </c>
      <c r="B2" s="48">
        <v>0.39583333333333331</v>
      </c>
      <c r="C2" s="57">
        <v>1180</v>
      </c>
      <c r="D2" s="57">
        <v>80</v>
      </c>
      <c r="E2" s="57">
        <v>500</v>
      </c>
      <c r="F2" s="57">
        <v>1874</v>
      </c>
      <c r="G2" s="10" t="s">
        <v>34</v>
      </c>
      <c r="H2" s="63">
        <v>4.7</v>
      </c>
      <c r="I2" s="57">
        <v>90</v>
      </c>
      <c r="J2" s="57">
        <v>75</v>
      </c>
      <c r="K2" s="57">
        <v>37.5</v>
      </c>
      <c r="L2" s="63">
        <v>23.8</v>
      </c>
      <c r="M2" s="63">
        <v>6.8</v>
      </c>
      <c r="N2" s="36">
        <v>4.4800000000000004</v>
      </c>
      <c r="O2" s="57">
        <v>20</v>
      </c>
      <c r="P2" s="63">
        <v>6.4</v>
      </c>
      <c r="Q2" s="36">
        <v>0.51</v>
      </c>
      <c r="R2" s="36">
        <v>22.36</v>
      </c>
      <c r="S2" s="36">
        <v>0.88</v>
      </c>
      <c r="T2" s="36">
        <v>0.7</v>
      </c>
      <c r="U2" s="42"/>
      <c r="V2" s="36"/>
      <c r="W2" s="36"/>
      <c r="X2" s="57"/>
      <c r="Y2" s="57"/>
      <c r="Z2" s="63"/>
      <c r="AA2" s="57"/>
      <c r="AB2" s="63">
        <v>6.9</v>
      </c>
      <c r="AC2" s="63">
        <v>7.3</v>
      </c>
      <c r="AD2" s="10">
        <v>0.12</v>
      </c>
      <c r="AE2" s="36"/>
      <c r="AF2" s="36"/>
      <c r="AG2" s="36"/>
      <c r="AH2" s="36"/>
      <c r="AI2" s="57"/>
      <c r="AJ2" s="57"/>
      <c r="AK2" s="36"/>
      <c r="AL2" s="36"/>
      <c r="AM2" s="63">
        <v>6.8</v>
      </c>
      <c r="AN2" s="63">
        <v>7.8</v>
      </c>
      <c r="AO2" s="36">
        <v>0.2</v>
      </c>
      <c r="AP2" s="68"/>
      <c r="AQ2" s="73">
        <f t="shared" ref="AQ2:AQ65" si="0">SUM(C2:E2)</f>
        <v>1760</v>
      </c>
      <c r="AR2" s="75">
        <f t="shared" ref="AR2:AR65" si="1">C2/AQ2</f>
        <v>0.67045454545454541</v>
      </c>
      <c r="AS2" s="75">
        <f t="shared" ref="AS2:AS65" si="2">D2/AQ2</f>
        <v>4.5454545454545456E-2</v>
      </c>
      <c r="AT2" s="75">
        <f t="shared" ref="AT2:AT65" si="3">E2/AQ2</f>
        <v>0.28409090909090912</v>
      </c>
      <c r="AU2" s="26" t="str">
        <f t="shared" ref="AU2:AU65" si="4">IF(AND(F2&lt;&gt;"",Y2&lt;&gt;""),AA2/(F2/2/Y2),"")</f>
        <v/>
      </c>
      <c r="AV2" s="26" t="str">
        <f t="shared" ref="AV2:AV65" si="5">IF(AND(F2&lt;&gt;"",AJ2&lt;&gt;""),AL2/(F2/2/AJ2),"")</f>
        <v/>
      </c>
      <c r="AW2" s="24" t="str">
        <f t="shared" ref="AW2:AW65" si="6">IF(AND(AP2&lt;&gt;"",1-(AP2/N2)&gt;0),1-(AP2/N2),"")</f>
        <v/>
      </c>
      <c r="AX2" s="24" t="str">
        <f t="shared" ref="AX2:AX65" si="7">IF(AND(AE2&lt;&gt;"",1-(AE2/N2)&gt;0),1-(AE2/N2),"")</f>
        <v/>
      </c>
      <c r="AY2" s="77" t="str">
        <f t="shared" ref="AY2:AY65" si="8">IF(P2="","",IF(P2&lt;2.5,"Alc. Bruta &lt; 2,5 mg/L",IF(P2&lt;5,"2,5 ≤ Alc. Bruta &lt; 5,0 mg/L",IF(P2&lt;7.5,"5,0 ≤ Alc. Bruta &lt; 7,5 mg/L",IF(P2&lt;10,"7,5 ≤ Alc. Bruta &lt; 10,0 mg/L",IF(P2&lt;15,"10,0 ≤ Alca. Bruta &lt; 15,0 mg/L","Alc. Bruta &gt; 15 mg/L"))))))</f>
        <v>5,0 ≤ Alc. Bruta &lt; 7,5 mg/L</v>
      </c>
      <c r="AZ2" s="77" t="str">
        <f t="shared" ref="AZ2:AZ65" si="9">IF(O2="","",IF(O2&lt;5,"Cor &lt;5 uC",IF(O2&lt;10,"5 ≤ Cor &lt; 10 uC",IF(O2&lt;15,"10 ≤ Cor &lt;15 uC",IF(O2&lt;30,"15 ≤ Cor &lt; 30 uC",IF(O2&lt;50,"30 ≤ Cor &lt; 50 uC","Cor &gt; 50 uC"))))))</f>
        <v>15 ≤ Cor &lt; 30 uC</v>
      </c>
      <c r="BA2" s="78" t="str">
        <f t="shared" ref="BA2:BA65" si="10">IF(N2="","",IF(N2&lt;2.5,"Turbidez &lt; 2,5 uT",IF(N2&lt;5,"2,5 ≤ Turb &lt; 5,0 uT",IF(N2&lt;7.5,"5,0 ≤ Turb &lt; 7,5 uT",IF(N2&lt;10,"7,5 ≤ Turb &lt; 10,0 uT",IF(N2&lt;15,"10,0 ≤ Turb &lt; 15,0 uT","Turb &gt; 15 uT"))))))</f>
        <v>2,5 ≤ Turb &lt; 5,0 uT</v>
      </c>
      <c r="BB2" s="79" t="str">
        <f t="shared" ref="BB2:BB65" si="11">IF(AND(C2&gt;D2,D2&gt;E2),"TOR &gt; SM &gt; BNN",IF(AND(C2&gt;E2,E2&gt;D2),"TOR &gt; BNN &gt; SM",IF(AND(D2&gt;C2,C2&gt;E2),"SM &gt; TOR &gt; BNN",IF(AND(D2&gt;E2,E2&gt;C2),"SM &gt; BNN &gt; TOR",IF(AND(C2=D2,D2=E2),"TOR = SM = BNN","Comb. diferentes")))))</f>
        <v>TOR &gt; BNN &gt; SM</v>
      </c>
      <c r="BC2" s="78" t="str">
        <f t="shared" ref="BC2:BC65" si="12">IF(OR(AD2="",AP2="-"),"",IF(AD2&lt;=0.25,"Tipo 1 (≤0,25) uT",IF(AD2&lt;=0.5,"Tipo 2 (0,25-0,50) uT",IF(AD2&lt;=0.75,"Tipo 3 (0,50-0,75) uT","Tipo 4 (&gt;0,75) uT"))))</f>
        <v>Tipo 1 (≤0,25) uT</v>
      </c>
      <c r="BD2" s="78" t="str">
        <f t="shared" ref="BD2:BD65" si="13">IF(OR(AO2="",AY2="-"),"",IF(AO2&lt;=0.25,"Tipo 1 (≤0,25) uT",IF(AO2&lt;=0.5,"Tipo 2 (0,25-0,50) uT",IF(AO2&lt;=0.75,"Tipo 3 (0,50-0,75) uT","Tipo 4 (&gt;0,75) uT"))))</f>
        <v>Tipo 1 (≤0,25) uT</v>
      </c>
      <c r="BE2" s="78" t="str">
        <f t="shared" ref="BE2:BE65" si="14">IF(OR(AE2="",AP2="-"),"",IF(AE2&lt;=0.25,"Tipo 1 (≤0,25) uT",IF(AE2&lt;=0.5,"Tipo 2 (0,25-0,50) uT",IF(AE2&lt;=0.75,"Tipo 3 (0,50-0,75) uT","Tipo 4 (&gt;0,75) uT"))))</f>
        <v/>
      </c>
      <c r="BF2" s="78" t="str">
        <f t="shared" ref="BF2:BF65" si="15">IF(OR(AP2="",AP2="-"),"",IF(AP2&lt;=0.25,"Tipo 1 (≤0,25) uT",IF(AP2&lt;=0.5,"Tipo 2 (0,25-0,50) uT",IF(AP2&lt;=0.75,"Tipo 3 (0,50-0,75) uT","Tipo 4 (&gt;0,75) uT"))))</f>
        <v/>
      </c>
      <c r="BG2" s="78" t="str">
        <f t="shared" ref="BG2:BG65" si="16">IF(OR(Q2="",Q2="-"),"",IF(Q2&lt;=0.25,"Tipo 1 (≤0,25) uT",IF(Q2&lt;=0.5,"Tipo 2 (0,25-0,50) uT",IF(Q2&lt;=0.75,"Tipo 3 (0,50-0,75) uT","Tipo 4 (&gt;0,75) uT"))))</f>
        <v>Tipo 3 (0,50-0,75) uT</v>
      </c>
    </row>
    <row r="3" spans="1:59" x14ac:dyDescent="0.2">
      <c r="A3" s="21">
        <v>46128</v>
      </c>
      <c r="B3" s="49">
        <v>0.4375</v>
      </c>
      <c r="C3" s="57">
        <v>1154</v>
      </c>
      <c r="D3" s="57">
        <v>84</v>
      </c>
      <c r="E3" s="57">
        <v>500</v>
      </c>
      <c r="F3" s="57">
        <v>1871</v>
      </c>
      <c r="G3" s="10" t="s">
        <v>34</v>
      </c>
      <c r="H3" s="63">
        <v>4.5999999999999996</v>
      </c>
      <c r="I3" s="57">
        <v>90</v>
      </c>
      <c r="J3" s="57">
        <v>75</v>
      </c>
      <c r="K3" s="57">
        <v>37.5</v>
      </c>
      <c r="L3" s="63">
        <v>23.8</v>
      </c>
      <c r="M3" s="63">
        <v>6.7</v>
      </c>
      <c r="N3" s="36">
        <v>4.9400000000000004</v>
      </c>
      <c r="O3" s="57">
        <v>16</v>
      </c>
      <c r="P3" s="63">
        <v>8.9</v>
      </c>
      <c r="Q3" s="36">
        <v>0.44</v>
      </c>
      <c r="R3" s="36">
        <v>22.36</v>
      </c>
      <c r="S3" s="36">
        <v>0.88</v>
      </c>
      <c r="T3" s="36">
        <v>0.7</v>
      </c>
      <c r="U3" s="42"/>
      <c r="V3" s="36"/>
      <c r="W3" s="36"/>
      <c r="X3" s="57"/>
      <c r="Y3" s="57"/>
      <c r="Z3" s="63"/>
      <c r="AA3" s="57"/>
      <c r="AB3" s="63">
        <v>6.7</v>
      </c>
      <c r="AC3" s="63">
        <v>8.1</v>
      </c>
      <c r="AD3" s="10">
        <v>0.1</v>
      </c>
      <c r="AE3" s="36"/>
      <c r="AF3" s="36"/>
      <c r="AG3" s="36"/>
      <c r="AH3" s="36"/>
      <c r="AI3" s="57"/>
      <c r="AJ3" s="57"/>
      <c r="AK3" s="36"/>
      <c r="AL3" s="36"/>
      <c r="AM3" s="63">
        <v>6.7</v>
      </c>
      <c r="AN3" s="63">
        <v>8.4</v>
      </c>
      <c r="AO3" s="36">
        <v>0.28999999999999998</v>
      </c>
      <c r="AP3" s="68"/>
      <c r="AQ3" s="73">
        <f t="shared" si="0"/>
        <v>1738</v>
      </c>
      <c r="AR3" s="75">
        <f t="shared" si="1"/>
        <v>0.66398158803222096</v>
      </c>
      <c r="AS3" s="75">
        <f t="shared" si="2"/>
        <v>4.8331415420023012E-2</v>
      </c>
      <c r="AT3" s="75">
        <f t="shared" si="3"/>
        <v>0.28768699654775604</v>
      </c>
      <c r="AU3" s="26" t="str">
        <f t="shared" si="4"/>
        <v/>
      </c>
      <c r="AV3" s="26" t="str">
        <f t="shared" si="5"/>
        <v/>
      </c>
      <c r="AW3" s="24" t="str">
        <f t="shared" si="6"/>
        <v/>
      </c>
      <c r="AX3" s="24" t="str">
        <f t="shared" si="7"/>
        <v/>
      </c>
      <c r="AY3" s="77" t="str">
        <f t="shared" si="8"/>
        <v>7,5 ≤ Alc. Bruta &lt; 10,0 mg/L</v>
      </c>
      <c r="AZ3" s="77" t="str">
        <f t="shared" si="9"/>
        <v>15 ≤ Cor &lt; 30 uC</v>
      </c>
      <c r="BA3" s="78" t="str">
        <f t="shared" si="10"/>
        <v>2,5 ≤ Turb &lt; 5,0 uT</v>
      </c>
      <c r="BB3" s="79" t="str">
        <f t="shared" si="11"/>
        <v>TOR &gt; BNN &gt; SM</v>
      </c>
      <c r="BC3" s="78" t="str">
        <f t="shared" si="12"/>
        <v>Tipo 1 (≤0,25) uT</v>
      </c>
      <c r="BD3" s="78" t="str">
        <f t="shared" si="13"/>
        <v>Tipo 2 (0,25-0,50) uT</v>
      </c>
      <c r="BE3" s="78" t="str">
        <f t="shared" si="14"/>
        <v/>
      </c>
      <c r="BF3" s="78" t="str">
        <f t="shared" si="15"/>
        <v/>
      </c>
      <c r="BG3" s="78" t="str">
        <f t="shared" si="16"/>
        <v>Tipo 2 (0,25-0,50) uT</v>
      </c>
    </row>
    <row r="4" spans="1:59" x14ac:dyDescent="0.2">
      <c r="A4" s="21">
        <v>46128</v>
      </c>
      <c r="B4" s="48">
        <v>0.47916666666666669</v>
      </c>
      <c r="C4" s="57">
        <v>1130</v>
      </c>
      <c r="D4" s="57">
        <v>83</v>
      </c>
      <c r="E4" s="57">
        <v>500</v>
      </c>
      <c r="F4" s="57">
        <v>1888</v>
      </c>
      <c r="G4" s="10" t="s">
        <v>34</v>
      </c>
      <c r="H4" s="63">
        <v>4.5</v>
      </c>
      <c r="I4" s="57">
        <v>90</v>
      </c>
      <c r="J4" s="57">
        <v>75</v>
      </c>
      <c r="K4" s="57">
        <v>37.5</v>
      </c>
      <c r="L4" s="63">
        <v>24</v>
      </c>
      <c r="M4" s="63">
        <v>6.7</v>
      </c>
      <c r="N4" s="36">
        <v>4.05</v>
      </c>
      <c r="O4" s="57">
        <v>18</v>
      </c>
      <c r="P4" s="63">
        <v>6.9</v>
      </c>
      <c r="Q4" s="36">
        <v>0.5</v>
      </c>
      <c r="R4" s="36">
        <v>22.36</v>
      </c>
      <c r="S4" s="36">
        <v>0.88</v>
      </c>
      <c r="T4" s="36">
        <v>0.7</v>
      </c>
      <c r="U4" s="42"/>
      <c r="V4" s="36"/>
      <c r="W4" s="36"/>
      <c r="X4" s="57"/>
      <c r="Y4" s="57"/>
      <c r="Z4" s="63"/>
      <c r="AA4" s="57"/>
      <c r="AB4" s="63">
        <v>6.8</v>
      </c>
      <c r="AC4" s="63">
        <v>9.4</v>
      </c>
      <c r="AD4" s="10">
        <v>0.11</v>
      </c>
      <c r="AE4" s="36"/>
      <c r="AF4" s="36"/>
      <c r="AG4" s="36"/>
      <c r="AH4" s="36"/>
      <c r="AI4" s="57"/>
      <c r="AJ4" s="57"/>
      <c r="AK4" s="36"/>
      <c r="AL4" s="36"/>
      <c r="AM4" s="63">
        <v>6.7</v>
      </c>
      <c r="AN4" s="63">
        <v>9.4</v>
      </c>
      <c r="AO4" s="36">
        <v>0.27</v>
      </c>
      <c r="AP4" s="68"/>
      <c r="AQ4" s="73">
        <f t="shared" si="0"/>
        <v>1713</v>
      </c>
      <c r="AR4" s="75">
        <f t="shared" si="1"/>
        <v>0.65966141272621137</v>
      </c>
      <c r="AS4" s="75">
        <f t="shared" si="2"/>
        <v>4.8453006421482779E-2</v>
      </c>
      <c r="AT4" s="75">
        <f t="shared" si="3"/>
        <v>0.29188558085230587</v>
      </c>
      <c r="AU4" s="26" t="str">
        <f t="shared" si="4"/>
        <v/>
      </c>
      <c r="AV4" s="26" t="str">
        <f t="shared" si="5"/>
        <v/>
      </c>
      <c r="AW4" s="24" t="str">
        <f t="shared" si="6"/>
        <v/>
      </c>
      <c r="AX4" s="24" t="str">
        <f t="shared" si="7"/>
        <v/>
      </c>
      <c r="AY4" s="77" t="str">
        <f t="shared" si="8"/>
        <v>5,0 ≤ Alc. Bruta &lt; 7,5 mg/L</v>
      </c>
      <c r="AZ4" s="77" t="str">
        <f t="shared" si="9"/>
        <v>15 ≤ Cor &lt; 30 uC</v>
      </c>
      <c r="BA4" s="78" t="str">
        <f t="shared" si="10"/>
        <v>2,5 ≤ Turb &lt; 5,0 uT</v>
      </c>
      <c r="BB4" s="79" t="str">
        <f t="shared" si="11"/>
        <v>TOR &gt; BNN &gt; SM</v>
      </c>
      <c r="BC4" s="78" t="str">
        <f t="shared" si="12"/>
        <v>Tipo 1 (≤0,25) uT</v>
      </c>
      <c r="BD4" s="78" t="str">
        <f t="shared" si="13"/>
        <v>Tipo 2 (0,25-0,50) uT</v>
      </c>
      <c r="BE4" s="78" t="str">
        <f t="shared" si="14"/>
        <v/>
      </c>
      <c r="BF4" s="78" t="str">
        <f t="shared" si="15"/>
        <v/>
      </c>
      <c r="BG4" s="78" t="str">
        <f t="shared" si="16"/>
        <v>Tipo 2 (0,25-0,50) uT</v>
      </c>
    </row>
    <row r="5" spans="1:59" x14ac:dyDescent="0.2">
      <c r="A5" s="21">
        <v>46128</v>
      </c>
      <c r="B5" s="49">
        <v>0.60416666666666663</v>
      </c>
      <c r="C5" s="57">
        <v>1139</v>
      </c>
      <c r="D5" s="57">
        <v>84</v>
      </c>
      <c r="E5" s="57">
        <v>499</v>
      </c>
      <c r="F5" s="57">
        <v>1785</v>
      </c>
      <c r="G5" s="10" t="s">
        <v>34</v>
      </c>
      <c r="H5" s="63">
        <v>4.4000000000000004</v>
      </c>
      <c r="I5" s="57">
        <v>90</v>
      </c>
      <c r="J5" s="57">
        <v>75</v>
      </c>
      <c r="K5" s="57">
        <v>37.5</v>
      </c>
      <c r="L5" s="63">
        <v>24</v>
      </c>
      <c r="M5" s="63">
        <v>6.8</v>
      </c>
      <c r="N5" s="36">
        <v>5.66</v>
      </c>
      <c r="O5" s="57">
        <v>21</v>
      </c>
      <c r="P5" s="63">
        <v>8.6999999999999993</v>
      </c>
      <c r="Q5" s="36">
        <v>0.52</v>
      </c>
      <c r="R5" s="36">
        <v>22.36</v>
      </c>
      <c r="S5" s="36">
        <v>0.88</v>
      </c>
      <c r="T5" s="36">
        <v>0.7</v>
      </c>
      <c r="U5" s="42"/>
      <c r="V5" s="36"/>
      <c r="W5" s="36"/>
      <c r="X5" s="57"/>
      <c r="Y5" s="57"/>
      <c r="Z5" s="63"/>
      <c r="AA5" s="57"/>
      <c r="AB5" s="63">
        <v>6.8</v>
      </c>
      <c r="AC5" s="63">
        <v>7.2</v>
      </c>
      <c r="AD5" s="10">
        <v>0.17</v>
      </c>
      <c r="AE5" s="36"/>
      <c r="AF5" s="36"/>
      <c r="AG5" s="36"/>
      <c r="AH5" s="36"/>
      <c r="AI5" s="57"/>
      <c r="AJ5" s="57"/>
      <c r="AK5" s="36"/>
      <c r="AL5" s="36"/>
      <c r="AM5" s="63">
        <v>6.8</v>
      </c>
      <c r="AN5" s="63">
        <v>8.1999999999999993</v>
      </c>
      <c r="AO5" s="36">
        <v>0.25</v>
      </c>
      <c r="AP5" s="68"/>
      <c r="AQ5" s="73">
        <f t="shared" si="0"/>
        <v>1722</v>
      </c>
      <c r="AR5" s="75">
        <f t="shared" si="1"/>
        <v>0.66144018583042974</v>
      </c>
      <c r="AS5" s="75">
        <f t="shared" si="2"/>
        <v>4.878048780487805E-2</v>
      </c>
      <c r="AT5" s="75">
        <f t="shared" si="3"/>
        <v>0.28977932636469222</v>
      </c>
      <c r="AU5" s="26" t="str">
        <f t="shared" si="4"/>
        <v/>
      </c>
      <c r="AV5" s="26" t="str">
        <f t="shared" si="5"/>
        <v/>
      </c>
      <c r="AW5" s="24" t="str">
        <f t="shared" si="6"/>
        <v/>
      </c>
      <c r="AX5" s="24" t="str">
        <f t="shared" si="7"/>
        <v/>
      </c>
      <c r="AY5" s="77" t="str">
        <f t="shared" si="8"/>
        <v>7,5 ≤ Alc. Bruta &lt; 10,0 mg/L</v>
      </c>
      <c r="AZ5" s="77" t="str">
        <f t="shared" si="9"/>
        <v>15 ≤ Cor &lt; 30 uC</v>
      </c>
      <c r="BA5" s="78" t="str">
        <f t="shared" si="10"/>
        <v>5,0 ≤ Turb &lt; 7,5 uT</v>
      </c>
      <c r="BB5" s="79" t="str">
        <f t="shared" si="11"/>
        <v>TOR &gt; BNN &gt; SM</v>
      </c>
      <c r="BC5" s="78" t="str">
        <f t="shared" si="12"/>
        <v>Tipo 1 (≤0,25) uT</v>
      </c>
      <c r="BD5" s="78" t="str">
        <f t="shared" si="13"/>
        <v>Tipo 1 (≤0,25) uT</v>
      </c>
      <c r="BE5" s="78" t="str">
        <f t="shared" si="14"/>
        <v/>
      </c>
      <c r="BF5" s="78" t="str">
        <f t="shared" si="15"/>
        <v/>
      </c>
      <c r="BG5" s="78" t="str">
        <f t="shared" si="16"/>
        <v>Tipo 3 (0,50-0,75) uT</v>
      </c>
    </row>
    <row r="6" spans="1:59" x14ac:dyDescent="0.2">
      <c r="A6" s="21">
        <v>46128</v>
      </c>
      <c r="B6" s="49">
        <v>0.6875</v>
      </c>
      <c r="C6" s="57">
        <v>1239</v>
      </c>
      <c r="D6" s="57">
        <v>81</v>
      </c>
      <c r="E6" s="57">
        <v>500</v>
      </c>
      <c r="F6" s="57">
        <v>1845</v>
      </c>
      <c r="G6" s="10" t="s">
        <v>34</v>
      </c>
      <c r="H6" s="63">
        <v>4.4000000000000004</v>
      </c>
      <c r="I6" s="57">
        <v>90</v>
      </c>
      <c r="J6" s="57">
        <v>75</v>
      </c>
      <c r="K6" s="57">
        <v>37.5</v>
      </c>
      <c r="L6" s="63">
        <v>24.6</v>
      </c>
      <c r="M6" s="63">
        <v>6.8</v>
      </c>
      <c r="N6" s="36">
        <v>7.04</v>
      </c>
      <c r="O6" s="57">
        <v>15</v>
      </c>
      <c r="P6" s="63">
        <v>8.8000000000000007</v>
      </c>
      <c r="Q6" s="36">
        <v>1.96</v>
      </c>
      <c r="R6" s="36">
        <v>22.36</v>
      </c>
      <c r="S6" s="36">
        <v>0.88</v>
      </c>
      <c r="T6" s="36">
        <v>0.7</v>
      </c>
      <c r="U6" s="42"/>
      <c r="V6" s="36"/>
      <c r="W6" s="36"/>
      <c r="X6" s="57"/>
      <c r="Y6" s="57"/>
      <c r="Z6" s="63"/>
      <c r="AA6" s="57"/>
      <c r="AB6" s="63">
        <v>6.8</v>
      </c>
      <c r="AC6" s="63">
        <v>8.3000000000000007</v>
      </c>
      <c r="AD6" s="10">
        <v>0.18</v>
      </c>
      <c r="AE6" s="36"/>
      <c r="AF6" s="36"/>
      <c r="AG6" s="36"/>
      <c r="AH6" s="36"/>
      <c r="AI6" s="57"/>
      <c r="AJ6" s="57"/>
      <c r="AK6" s="36"/>
      <c r="AL6" s="36"/>
      <c r="AM6" s="63">
        <v>6.7</v>
      </c>
      <c r="AN6" s="63">
        <v>8.4</v>
      </c>
      <c r="AO6" s="36">
        <v>0.25</v>
      </c>
      <c r="AP6" s="68"/>
      <c r="AQ6" s="73">
        <f t="shared" si="0"/>
        <v>1820</v>
      </c>
      <c r="AR6" s="75">
        <f t="shared" si="1"/>
        <v>0.68076923076923079</v>
      </c>
      <c r="AS6" s="75">
        <f t="shared" si="2"/>
        <v>4.4505494505494507E-2</v>
      </c>
      <c r="AT6" s="75">
        <f t="shared" si="3"/>
        <v>0.27472527472527475</v>
      </c>
      <c r="AU6" s="26" t="str">
        <f t="shared" si="4"/>
        <v/>
      </c>
      <c r="AV6" s="26" t="str">
        <f t="shared" si="5"/>
        <v/>
      </c>
      <c r="AW6" s="24" t="str">
        <f t="shared" si="6"/>
        <v/>
      </c>
      <c r="AX6" s="24" t="str">
        <f t="shared" si="7"/>
        <v/>
      </c>
      <c r="AY6" s="77" t="str">
        <f t="shared" si="8"/>
        <v>7,5 ≤ Alc. Bruta &lt; 10,0 mg/L</v>
      </c>
      <c r="AZ6" s="77" t="str">
        <f t="shared" si="9"/>
        <v>15 ≤ Cor &lt; 30 uC</v>
      </c>
      <c r="BA6" s="78" t="str">
        <f t="shared" si="10"/>
        <v>5,0 ≤ Turb &lt; 7,5 uT</v>
      </c>
      <c r="BB6" s="79" t="str">
        <f t="shared" si="11"/>
        <v>TOR &gt; BNN &gt; SM</v>
      </c>
      <c r="BC6" s="78" t="str">
        <f t="shared" si="12"/>
        <v>Tipo 1 (≤0,25) uT</v>
      </c>
      <c r="BD6" s="78" t="str">
        <f t="shared" si="13"/>
        <v>Tipo 1 (≤0,25) uT</v>
      </c>
      <c r="BE6" s="78" t="str">
        <f t="shared" si="14"/>
        <v/>
      </c>
      <c r="BF6" s="78" t="str">
        <f t="shared" si="15"/>
        <v/>
      </c>
      <c r="BG6" s="78" t="str">
        <f t="shared" si="16"/>
        <v>Tipo 4 (&gt;0,75) uT</v>
      </c>
    </row>
    <row r="7" spans="1:59" x14ac:dyDescent="0.2">
      <c r="A7" s="21">
        <v>46128</v>
      </c>
      <c r="B7" s="48">
        <v>0.72916666666666663</v>
      </c>
      <c r="C7" s="57">
        <v>1212</v>
      </c>
      <c r="D7" s="57">
        <v>70</v>
      </c>
      <c r="E7" s="57">
        <v>500</v>
      </c>
      <c r="F7" s="57">
        <v>1876</v>
      </c>
      <c r="G7" s="10" t="s">
        <v>34</v>
      </c>
      <c r="H7" s="63">
        <v>4.4000000000000004</v>
      </c>
      <c r="I7" s="57">
        <v>90</v>
      </c>
      <c r="J7" s="57">
        <v>75</v>
      </c>
      <c r="K7" s="57">
        <v>37.5</v>
      </c>
      <c r="L7" s="63">
        <v>24.4</v>
      </c>
      <c r="M7" s="63">
        <v>6.7</v>
      </c>
      <c r="N7" s="36">
        <v>3.36</v>
      </c>
      <c r="O7" s="57">
        <v>18</v>
      </c>
      <c r="P7" s="63">
        <v>8.4</v>
      </c>
      <c r="Q7" s="36">
        <v>0.43</v>
      </c>
      <c r="R7" s="36">
        <v>22.36</v>
      </c>
      <c r="S7" s="36">
        <v>0.88</v>
      </c>
      <c r="T7" s="36">
        <v>0.7</v>
      </c>
      <c r="U7" s="42"/>
      <c r="V7" s="36"/>
      <c r="W7" s="36"/>
      <c r="X7" s="57"/>
      <c r="Y7" s="57"/>
      <c r="Z7" s="63"/>
      <c r="AA7" s="57"/>
      <c r="AB7" s="63">
        <v>6.7</v>
      </c>
      <c r="AC7" s="63">
        <v>8.1</v>
      </c>
      <c r="AD7" s="10">
        <v>0.12</v>
      </c>
      <c r="AE7" s="36"/>
      <c r="AF7" s="36"/>
      <c r="AG7" s="36"/>
      <c r="AH7" s="36"/>
      <c r="AI7" s="57"/>
      <c r="AJ7" s="57"/>
      <c r="AK7" s="36"/>
      <c r="AL7" s="36"/>
      <c r="AM7" s="63">
        <v>6.6</v>
      </c>
      <c r="AN7" s="63">
        <v>8.8000000000000007</v>
      </c>
      <c r="AO7" s="36">
        <v>0.19</v>
      </c>
      <c r="AP7" s="68"/>
      <c r="AQ7" s="73">
        <f t="shared" si="0"/>
        <v>1782</v>
      </c>
      <c r="AR7" s="75">
        <f t="shared" si="1"/>
        <v>0.68013468013468015</v>
      </c>
      <c r="AS7" s="75">
        <f t="shared" si="2"/>
        <v>3.9281705948372617E-2</v>
      </c>
      <c r="AT7" s="75">
        <f t="shared" si="3"/>
        <v>0.28058361391694725</v>
      </c>
      <c r="AU7" s="26" t="str">
        <f t="shared" si="4"/>
        <v/>
      </c>
      <c r="AV7" s="26" t="str">
        <f t="shared" si="5"/>
        <v/>
      </c>
      <c r="AW7" s="24" t="str">
        <f t="shared" si="6"/>
        <v/>
      </c>
      <c r="AX7" s="24" t="str">
        <f t="shared" si="7"/>
        <v/>
      </c>
      <c r="AY7" s="77" t="str">
        <f t="shared" si="8"/>
        <v>7,5 ≤ Alc. Bruta &lt; 10,0 mg/L</v>
      </c>
      <c r="AZ7" s="77" t="str">
        <f t="shared" si="9"/>
        <v>15 ≤ Cor &lt; 30 uC</v>
      </c>
      <c r="BA7" s="78" t="str">
        <f t="shared" si="10"/>
        <v>2,5 ≤ Turb &lt; 5,0 uT</v>
      </c>
      <c r="BB7" s="79" t="str">
        <f t="shared" si="11"/>
        <v>TOR &gt; BNN &gt; SM</v>
      </c>
      <c r="BC7" s="78" t="str">
        <f t="shared" si="12"/>
        <v>Tipo 1 (≤0,25) uT</v>
      </c>
      <c r="BD7" s="78" t="str">
        <f t="shared" si="13"/>
        <v>Tipo 1 (≤0,25) uT</v>
      </c>
      <c r="BE7" s="78" t="str">
        <f t="shared" si="14"/>
        <v/>
      </c>
      <c r="BF7" s="78" t="str">
        <f t="shared" si="15"/>
        <v/>
      </c>
      <c r="BG7" s="78" t="str">
        <f t="shared" si="16"/>
        <v>Tipo 2 (0,25-0,50) uT</v>
      </c>
    </row>
    <row r="8" spans="1:59" x14ac:dyDescent="0.2">
      <c r="A8" s="21">
        <v>46128</v>
      </c>
      <c r="B8" s="48">
        <v>0.8125</v>
      </c>
      <c r="C8" s="57">
        <v>1173</v>
      </c>
      <c r="D8" s="57">
        <v>82</v>
      </c>
      <c r="E8" s="57">
        <v>499</v>
      </c>
      <c r="F8" s="57">
        <v>1884</v>
      </c>
      <c r="G8" s="10" t="s">
        <v>34</v>
      </c>
      <c r="H8" s="63">
        <v>4.4000000000000004</v>
      </c>
      <c r="I8" s="57">
        <v>90</v>
      </c>
      <c r="J8" s="57">
        <v>75</v>
      </c>
      <c r="K8" s="57">
        <v>37.5</v>
      </c>
      <c r="L8" s="63">
        <v>24.6</v>
      </c>
      <c r="M8" s="63">
        <v>6.8</v>
      </c>
      <c r="N8" s="36">
        <v>3.85</v>
      </c>
      <c r="O8" s="57">
        <v>15</v>
      </c>
      <c r="P8" s="63">
        <v>9.6999999999999993</v>
      </c>
      <c r="Q8" s="36">
        <v>0.41</v>
      </c>
      <c r="R8" s="36">
        <v>22.36</v>
      </c>
      <c r="S8" s="36">
        <v>0.88</v>
      </c>
      <c r="T8" s="36">
        <v>0.7</v>
      </c>
      <c r="U8" s="42"/>
      <c r="V8" s="36"/>
      <c r="W8" s="36"/>
      <c r="X8" s="57"/>
      <c r="Y8" s="57"/>
      <c r="Z8" s="63"/>
      <c r="AA8" s="57"/>
      <c r="AB8" s="63">
        <v>7</v>
      </c>
      <c r="AC8" s="63">
        <v>9.6</v>
      </c>
      <c r="AD8" s="10">
        <v>0.12</v>
      </c>
      <c r="AE8" s="36"/>
      <c r="AF8" s="36"/>
      <c r="AG8" s="36"/>
      <c r="AH8" s="36"/>
      <c r="AI8" s="57"/>
      <c r="AJ8" s="57"/>
      <c r="AK8" s="36"/>
      <c r="AL8" s="36"/>
      <c r="AM8" s="63">
        <v>7</v>
      </c>
      <c r="AN8" s="63">
        <v>8.8000000000000007</v>
      </c>
      <c r="AO8" s="36">
        <v>0.11</v>
      </c>
      <c r="AP8" s="68"/>
      <c r="AQ8" s="73">
        <f t="shared" si="0"/>
        <v>1754</v>
      </c>
      <c r="AR8" s="75">
        <f t="shared" si="1"/>
        <v>0.66875712656784492</v>
      </c>
      <c r="AS8" s="75">
        <f t="shared" si="2"/>
        <v>4.6750285062713795E-2</v>
      </c>
      <c r="AT8" s="75">
        <f t="shared" si="3"/>
        <v>0.2844925883694413</v>
      </c>
      <c r="AU8" s="26" t="str">
        <f t="shared" si="4"/>
        <v/>
      </c>
      <c r="AV8" s="26" t="str">
        <f t="shared" si="5"/>
        <v/>
      </c>
      <c r="AW8" s="24" t="str">
        <f t="shared" si="6"/>
        <v/>
      </c>
      <c r="AX8" s="24" t="str">
        <f t="shared" si="7"/>
        <v/>
      </c>
      <c r="AY8" s="77" t="str">
        <f t="shared" si="8"/>
        <v>7,5 ≤ Alc. Bruta &lt; 10,0 mg/L</v>
      </c>
      <c r="AZ8" s="77" t="str">
        <f t="shared" si="9"/>
        <v>15 ≤ Cor &lt; 30 uC</v>
      </c>
      <c r="BA8" s="78" t="str">
        <f t="shared" si="10"/>
        <v>2,5 ≤ Turb &lt; 5,0 uT</v>
      </c>
      <c r="BB8" s="79" t="str">
        <f t="shared" si="11"/>
        <v>TOR &gt; BNN &gt; SM</v>
      </c>
      <c r="BC8" s="78" t="str">
        <f t="shared" si="12"/>
        <v>Tipo 1 (≤0,25) uT</v>
      </c>
      <c r="BD8" s="78" t="str">
        <f t="shared" si="13"/>
        <v>Tipo 1 (≤0,25) uT</v>
      </c>
      <c r="BE8" s="78" t="str">
        <f t="shared" si="14"/>
        <v/>
      </c>
      <c r="BF8" s="78" t="str">
        <f t="shared" si="15"/>
        <v/>
      </c>
      <c r="BG8" s="78" t="str">
        <f t="shared" si="16"/>
        <v>Tipo 2 (0,25-0,50) uT</v>
      </c>
    </row>
    <row r="9" spans="1:59" ht="15.75" thickBot="1" x14ac:dyDescent="0.25">
      <c r="A9" s="21">
        <v>46128</v>
      </c>
      <c r="B9" s="50">
        <v>0.85416666666666663</v>
      </c>
      <c r="C9" s="58">
        <v>1183</v>
      </c>
      <c r="D9" s="58">
        <v>82</v>
      </c>
      <c r="E9" s="58">
        <v>499</v>
      </c>
      <c r="F9" s="58">
        <v>1809</v>
      </c>
      <c r="G9" s="10" t="s">
        <v>34</v>
      </c>
      <c r="H9" s="64">
        <v>4.4000000000000004</v>
      </c>
      <c r="I9" s="57">
        <v>90</v>
      </c>
      <c r="J9" s="57">
        <v>75</v>
      </c>
      <c r="K9" s="57">
        <v>37.5</v>
      </c>
      <c r="L9" s="64">
        <v>24.7</v>
      </c>
      <c r="M9" s="64">
        <v>6.8</v>
      </c>
      <c r="N9" s="37">
        <v>3.4</v>
      </c>
      <c r="O9" s="58">
        <v>14</v>
      </c>
      <c r="P9" s="64">
        <v>10</v>
      </c>
      <c r="Q9" s="37">
        <v>0.38</v>
      </c>
      <c r="R9" s="36">
        <v>22.36</v>
      </c>
      <c r="S9" s="36">
        <v>0.88</v>
      </c>
      <c r="T9" s="36">
        <v>0.7</v>
      </c>
      <c r="U9" s="42"/>
      <c r="V9" s="41"/>
      <c r="W9" s="37"/>
      <c r="X9" s="58"/>
      <c r="Y9" s="58"/>
      <c r="Z9" s="64"/>
      <c r="AA9" s="58"/>
      <c r="AB9" s="64">
        <v>7</v>
      </c>
      <c r="AC9" s="64">
        <v>9.1</v>
      </c>
      <c r="AD9" s="11">
        <v>0.12</v>
      </c>
      <c r="AE9" s="37"/>
      <c r="AF9" s="37"/>
      <c r="AG9" s="37"/>
      <c r="AH9" s="37"/>
      <c r="AI9" s="58"/>
      <c r="AJ9" s="58"/>
      <c r="AK9" s="37"/>
      <c r="AL9" s="37"/>
      <c r="AM9" s="64">
        <v>6.9</v>
      </c>
      <c r="AN9" s="64">
        <v>8.3000000000000007</v>
      </c>
      <c r="AO9" s="37">
        <v>0.16</v>
      </c>
      <c r="AP9" s="69"/>
      <c r="AQ9" s="73">
        <f t="shared" si="0"/>
        <v>1764</v>
      </c>
      <c r="AR9" s="75">
        <f t="shared" si="1"/>
        <v>0.67063492063492058</v>
      </c>
      <c r="AS9" s="75">
        <f t="shared" si="2"/>
        <v>4.6485260770975055E-2</v>
      </c>
      <c r="AT9" s="75">
        <f t="shared" si="3"/>
        <v>0.28287981859410433</v>
      </c>
      <c r="AU9" s="26" t="str">
        <f t="shared" si="4"/>
        <v/>
      </c>
      <c r="AV9" s="26" t="str">
        <f t="shared" si="5"/>
        <v/>
      </c>
      <c r="AW9" s="24" t="str">
        <f t="shared" si="6"/>
        <v/>
      </c>
      <c r="AX9" s="24" t="str">
        <f t="shared" si="7"/>
        <v/>
      </c>
      <c r="AY9" s="77" t="str">
        <f t="shared" si="8"/>
        <v>10,0 ≤ Alca. Bruta &lt; 15,0 mg/L</v>
      </c>
      <c r="AZ9" s="77" t="str">
        <f t="shared" si="9"/>
        <v>10 ≤ Cor &lt;15 uC</v>
      </c>
      <c r="BA9" s="78" t="str">
        <f t="shared" si="10"/>
        <v>2,5 ≤ Turb &lt; 5,0 uT</v>
      </c>
      <c r="BB9" s="79" t="str">
        <f t="shared" si="11"/>
        <v>TOR &gt; BNN &gt; SM</v>
      </c>
      <c r="BC9" s="78" t="str">
        <f t="shared" si="12"/>
        <v>Tipo 1 (≤0,25) uT</v>
      </c>
      <c r="BD9" s="78" t="str">
        <f t="shared" si="13"/>
        <v>Tipo 1 (≤0,25) uT</v>
      </c>
      <c r="BE9" s="78" t="str">
        <f t="shared" si="14"/>
        <v/>
      </c>
      <c r="BF9" s="78" t="str">
        <f t="shared" si="15"/>
        <v/>
      </c>
      <c r="BG9" s="78" t="str">
        <f t="shared" si="16"/>
        <v>Tipo 2 (0,25-0,50) uT</v>
      </c>
    </row>
    <row r="10" spans="1:59" x14ac:dyDescent="0.2">
      <c r="A10" s="21">
        <v>46129</v>
      </c>
      <c r="B10" s="48">
        <v>0.39583333333333331</v>
      </c>
      <c r="C10" s="57">
        <v>1746</v>
      </c>
      <c r="D10" s="57">
        <v>0</v>
      </c>
      <c r="E10" s="57">
        <v>500</v>
      </c>
      <c r="F10" s="57">
        <v>2256</v>
      </c>
      <c r="G10" s="10" t="s">
        <v>34</v>
      </c>
      <c r="H10" s="63">
        <v>4.5999999999999996</v>
      </c>
      <c r="I10" s="57">
        <v>90</v>
      </c>
      <c r="J10" s="57">
        <v>90</v>
      </c>
      <c r="K10" s="57">
        <v>90</v>
      </c>
      <c r="L10" s="63">
        <v>24.7</v>
      </c>
      <c r="M10" s="63">
        <v>6.7</v>
      </c>
      <c r="N10" s="36">
        <v>5.21</v>
      </c>
      <c r="O10" s="57">
        <v>16</v>
      </c>
      <c r="P10" s="63">
        <v>6.2</v>
      </c>
      <c r="Q10" s="36">
        <v>0.75</v>
      </c>
      <c r="R10" s="36">
        <v>22.36</v>
      </c>
      <c r="S10" s="36">
        <v>0.88</v>
      </c>
      <c r="T10" s="36">
        <v>0.7</v>
      </c>
      <c r="U10" s="42"/>
      <c r="V10" s="36"/>
      <c r="W10" s="36"/>
      <c r="X10" s="57"/>
      <c r="Y10" s="57"/>
      <c r="Z10" s="63"/>
      <c r="AA10" s="57"/>
      <c r="AB10" s="63">
        <v>6.7</v>
      </c>
      <c r="AC10" s="63">
        <v>5.6</v>
      </c>
      <c r="AD10" s="10">
        <v>0.28999999999999998</v>
      </c>
      <c r="AE10" s="36">
        <v>2.2400000000000002</v>
      </c>
      <c r="AF10" s="36"/>
      <c r="AG10" s="36"/>
      <c r="AH10" s="36"/>
      <c r="AI10" s="57"/>
      <c r="AJ10" s="57"/>
      <c r="AK10" s="36"/>
      <c r="AL10" s="36"/>
      <c r="AM10" s="63">
        <v>6.8</v>
      </c>
      <c r="AN10" s="63">
        <v>6</v>
      </c>
      <c r="AO10" s="36">
        <v>0.28000000000000003</v>
      </c>
      <c r="AP10" s="68">
        <v>1.37</v>
      </c>
      <c r="AQ10" s="73">
        <f t="shared" si="0"/>
        <v>2246</v>
      </c>
      <c r="AR10" s="75">
        <f t="shared" si="1"/>
        <v>0.77738201246660732</v>
      </c>
      <c r="AS10" s="75">
        <f t="shared" si="2"/>
        <v>0</v>
      </c>
      <c r="AT10" s="75">
        <f t="shared" si="3"/>
        <v>0.22261798753339271</v>
      </c>
      <c r="AU10" s="26" t="str">
        <f t="shared" si="4"/>
        <v/>
      </c>
      <c r="AV10" s="26" t="str">
        <f t="shared" si="5"/>
        <v/>
      </c>
      <c r="AW10" s="24">
        <f t="shared" si="6"/>
        <v>0.73704414587332057</v>
      </c>
      <c r="AX10" s="24">
        <f t="shared" si="7"/>
        <v>0.5700575815738963</v>
      </c>
      <c r="AY10" s="77" t="str">
        <f t="shared" si="8"/>
        <v>5,0 ≤ Alc. Bruta &lt; 7,5 mg/L</v>
      </c>
      <c r="AZ10" s="77" t="str">
        <f t="shared" si="9"/>
        <v>15 ≤ Cor &lt; 30 uC</v>
      </c>
      <c r="BA10" s="78" t="str">
        <f t="shared" si="10"/>
        <v>5,0 ≤ Turb &lt; 7,5 uT</v>
      </c>
      <c r="BB10" s="79" t="str">
        <f t="shared" si="11"/>
        <v>TOR &gt; BNN &gt; SM</v>
      </c>
      <c r="BC10" s="78" t="str">
        <f t="shared" si="12"/>
        <v>Tipo 2 (0,25-0,50) uT</v>
      </c>
      <c r="BD10" s="78" t="str">
        <f t="shared" si="13"/>
        <v>Tipo 2 (0,25-0,50) uT</v>
      </c>
      <c r="BE10" s="78" t="str">
        <f t="shared" si="14"/>
        <v>Tipo 4 (&gt;0,75) uT</v>
      </c>
      <c r="BF10" s="78" t="str">
        <f t="shared" si="15"/>
        <v>Tipo 4 (&gt;0,75) uT</v>
      </c>
      <c r="BG10" s="78" t="str">
        <f t="shared" si="16"/>
        <v>Tipo 3 (0,50-0,75) uT</v>
      </c>
    </row>
    <row r="11" spans="1:59" x14ac:dyDescent="0.2">
      <c r="A11" s="21">
        <v>46129</v>
      </c>
      <c r="B11" s="48">
        <v>0.47916666666666669</v>
      </c>
      <c r="C11" s="57">
        <v>1528</v>
      </c>
      <c r="D11" s="57">
        <v>0</v>
      </c>
      <c r="E11" s="57">
        <v>499</v>
      </c>
      <c r="F11" s="57">
        <v>2257</v>
      </c>
      <c r="G11" s="10" t="s">
        <v>34</v>
      </c>
      <c r="H11" s="63">
        <v>4.5999999999999996</v>
      </c>
      <c r="I11" s="57">
        <v>90</v>
      </c>
      <c r="J11" s="57">
        <v>90</v>
      </c>
      <c r="K11" s="57">
        <v>90</v>
      </c>
      <c r="L11" s="63">
        <v>23.8</v>
      </c>
      <c r="M11" s="63">
        <v>6.7</v>
      </c>
      <c r="N11" s="36">
        <v>4.49</v>
      </c>
      <c r="O11" s="57">
        <v>16</v>
      </c>
      <c r="P11" s="63">
        <v>6.4</v>
      </c>
      <c r="Q11" s="36">
        <v>0.55000000000000004</v>
      </c>
      <c r="R11" s="36">
        <v>22.36</v>
      </c>
      <c r="S11" s="36">
        <v>0.88</v>
      </c>
      <c r="T11" s="36">
        <v>0.7</v>
      </c>
      <c r="U11" s="42"/>
      <c r="V11" s="36"/>
      <c r="W11" s="36"/>
      <c r="X11" s="57"/>
      <c r="Y11" s="57"/>
      <c r="Z11" s="63"/>
      <c r="AA11" s="57"/>
      <c r="AB11" s="63">
        <v>6.8</v>
      </c>
      <c r="AC11" s="63">
        <v>6.4</v>
      </c>
      <c r="AD11" s="10">
        <v>0.28999999999999998</v>
      </c>
      <c r="AE11" s="36">
        <v>1.95</v>
      </c>
      <c r="AF11" s="36"/>
      <c r="AG11" s="36"/>
      <c r="AH11" s="36"/>
      <c r="AI11" s="57"/>
      <c r="AJ11" s="57"/>
      <c r="AK11" s="36"/>
      <c r="AL11" s="36"/>
      <c r="AM11" s="63">
        <v>6.7</v>
      </c>
      <c r="AN11" s="63">
        <v>6.6</v>
      </c>
      <c r="AO11" s="36">
        <v>0.21</v>
      </c>
      <c r="AP11" s="68">
        <v>1.25</v>
      </c>
      <c r="AQ11" s="73">
        <f t="shared" si="0"/>
        <v>2027</v>
      </c>
      <c r="AR11" s="75">
        <f t="shared" si="1"/>
        <v>0.75382338431179086</v>
      </c>
      <c r="AS11" s="75">
        <f t="shared" si="2"/>
        <v>0</v>
      </c>
      <c r="AT11" s="75">
        <f t="shared" si="3"/>
        <v>0.24617661568820917</v>
      </c>
      <c r="AU11" s="26" t="str">
        <f t="shared" si="4"/>
        <v/>
      </c>
      <c r="AV11" s="26" t="str">
        <f t="shared" si="5"/>
        <v/>
      </c>
      <c r="AW11" s="24">
        <f t="shared" si="6"/>
        <v>0.72160356347438759</v>
      </c>
      <c r="AX11" s="24">
        <f t="shared" si="7"/>
        <v>0.5657015590200446</v>
      </c>
      <c r="AY11" s="77" t="str">
        <f t="shared" si="8"/>
        <v>5,0 ≤ Alc. Bruta &lt; 7,5 mg/L</v>
      </c>
      <c r="AZ11" s="77" t="str">
        <f t="shared" si="9"/>
        <v>15 ≤ Cor &lt; 30 uC</v>
      </c>
      <c r="BA11" s="78" t="str">
        <f t="shared" si="10"/>
        <v>2,5 ≤ Turb &lt; 5,0 uT</v>
      </c>
      <c r="BB11" s="79" t="str">
        <f t="shared" si="11"/>
        <v>TOR &gt; BNN &gt; SM</v>
      </c>
      <c r="BC11" s="78" t="str">
        <f t="shared" si="12"/>
        <v>Tipo 2 (0,25-0,50) uT</v>
      </c>
      <c r="BD11" s="78" t="str">
        <f t="shared" si="13"/>
        <v>Tipo 1 (≤0,25) uT</v>
      </c>
      <c r="BE11" s="78" t="str">
        <f t="shared" si="14"/>
        <v>Tipo 4 (&gt;0,75) uT</v>
      </c>
      <c r="BF11" s="78" t="str">
        <f t="shared" si="15"/>
        <v>Tipo 4 (&gt;0,75) uT</v>
      </c>
      <c r="BG11" s="78" t="str">
        <f t="shared" si="16"/>
        <v>Tipo 3 (0,50-0,75) uT</v>
      </c>
    </row>
    <row r="12" spans="1:59" x14ac:dyDescent="0.2">
      <c r="A12" s="21">
        <v>46129</v>
      </c>
      <c r="B12" s="48">
        <v>0.5625</v>
      </c>
      <c r="C12" s="57">
        <v>1621</v>
      </c>
      <c r="D12" s="57">
        <v>0</v>
      </c>
      <c r="E12" s="57">
        <v>501</v>
      </c>
      <c r="F12" s="57">
        <v>2243</v>
      </c>
      <c r="G12" s="10" t="s">
        <v>34</v>
      </c>
      <c r="H12" s="63">
        <v>4.5999999999999996</v>
      </c>
      <c r="I12" s="57">
        <v>90</v>
      </c>
      <c r="J12" s="57">
        <v>90</v>
      </c>
      <c r="K12" s="57">
        <v>90</v>
      </c>
      <c r="L12" s="63">
        <v>24.1</v>
      </c>
      <c r="M12" s="63">
        <v>6.7</v>
      </c>
      <c r="N12" s="36">
        <v>4.29</v>
      </c>
      <c r="O12" s="57">
        <v>16</v>
      </c>
      <c r="P12" s="63">
        <v>6.6</v>
      </c>
      <c r="Q12" s="36">
        <v>0.6</v>
      </c>
      <c r="R12" s="36">
        <v>22.36</v>
      </c>
      <c r="S12" s="36">
        <v>0.88</v>
      </c>
      <c r="T12" s="36">
        <v>0.7</v>
      </c>
      <c r="U12" s="42"/>
      <c r="V12" s="36"/>
      <c r="W12" s="36"/>
      <c r="X12" s="57"/>
      <c r="Y12" s="57"/>
      <c r="Z12" s="63"/>
      <c r="AA12" s="57"/>
      <c r="AB12" s="63">
        <v>6.8</v>
      </c>
      <c r="AC12" s="63">
        <v>6.2</v>
      </c>
      <c r="AD12" s="10">
        <v>0.37</v>
      </c>
      <c r="AE12" s="36">
        <v>1.94</v>
      </c>
      <c r="AF12" s="36"/>
      <c r="AG12" s="36"/>
      <c r="AH12" s="36"/>
      <c r="AI12" s="57"/>
      <c r="AJ12" s="57"/>
      <c r="AK12" s="36"/>
      <c r="AL12" s="36"/>
      <c r="AM12" s="63">
        <v>6.7</v>
      </c>
      <c r="AN12" s="63">
        <v>6.1</v>
      </c>
      <c r="AO12" s="36">
        <v>0.21</v>
      </c>
      <c r="AP12" s="68">
        <v>1.0900000000000001</v>
      </c>
      <c r="AQ12" s="73">
        <f t="shared" si="0"/>
        <v>2122</v>
      </c>
      <c r="AR12" s="75">
        <f t="shared" si="1"/>
        <v>0.76390197926484449</v>
      </c>
      <c r="AS12" s="75">
        <f t="shared" si="2"/>
        <v>0</v>
      </c>
      <c r="AT12" s="75">
        <f t="shared" si="3"/>
        <v>0.23609802073515551</v>
      </c>
      <c r="AU12" s="26" t="str">
        <f t="shared" si="4"/>
        <v/>
      </c>
      <c r="AV12" s="26" t="str">
        <f t="shared" si="5"/>
        <v/>
      </c>
      <c r="AW12" s="24">
        <f t="shared" si="6"/>
        <v>0.74592074592074598</v>
      </c>
      <c r="AX12" s="24">
        <f t="shared" si="7"/>
        <v>0.54778554778554778</v>
      </c>
      <c r="AY12" s="77" t="str">
        <f t="shared" si="8"/>
        <v>5,0 ≤ Alc. Bruta &lt; 7,5 mg/L</v>
      </c>
      <c r="AZ12" s="77" t="str">
        <f t="shared" si="9"/>
        <v>15 ≤ Cor &lt; 30 uC</v>
      </c>
      <c r="BA12" s="78" t="str">
        <f t="shared" si="10"/>
        <v>2,5 ≤ Turb &lt; 5,0 uT</v>
      </c>
      <c r="BB12" s="79" t="str">
        <f t="shared" si="11"/>
        <v>TOR &gt; BNN &gt; SM</v>
      </c>
      <c r="BC12" s="78" t="str">
        <f t="shared" si="12"/>
        <v>Tipo 2 (0,25-0,50) uT</v>
      </c>
      <c r="BD12" s="78" t="str">
        <f t="shared" si="13"/>
        <v>Tipo 1 (≤0,25) uT</v>
      </c>
      <c r="BE12" s="78" t="str">
        <f t="shared" si="14"/>
        <v>Tipo 4 (&gt;0,75) uT</v>
      </c>
      <c r="BF12" s="78" t="str">
        <f t="shared" si="15"/>
        <v>Tipo 4 (&gt;0,75) uT</v>
      </c>
      <c r="BG12" s="78" t="str">
        <f t="shared" si="16"/>
        <v>Tipo 3 (0,50-0,75) uT</v>
      </c>
    </row>
    <row r="13" spans="1:59" x14ac:dyDescent="0.2">
      <c r="A13" s="21">
        <v>46129</v>
      </c>
      <c r="B13" s="48">
        <v>0.64583333333333337</v>
      </c>
      <c r="C13" s="57">
        <v>1510</v>
      </c>
      <c r="D13" s="57">
        <v>0</v>
      </c>
      <c r="E13" s="57">
        <v>499</v>
      </c>
      <c r="F13" s="57">
        <v>2220</v>
      </c>
      <c r="G13" s="10" t="s">
        <v>34</v>
      </c>
      <c r="H13" s="63">
        <v>4</v>
      </c>
      <c r="I13" s="57">
        <v>90</v>
      </c>
      <c r="J13" s="57">
        <v>90</v>
      </c>
      <c r="K13" s="57">
        <v>90</v>
      </c>
      <c r="L13" s="63">
        <v>24.6</v>
      </c>
      <c r="M13" s="63">
        <v>6.7</v>
      </c>
      <c r="N13" s="36">
        <v>3.97</v>
      </c>
      <c r="O13" s="57">
        <v>15</v>
      </c>
      <c r="P13" s="63">
        <v>6</v>
      </c>
      <c r="Q13" s="36">
        <v>0.54</v>
      </c>
      <c r="R13" s="36">
        <v>22.36</v>
      </c>
      <c r="S13" s="36">
        <v>0.88</v>
      </c>
      <c r="T13" s="36">
        <v>0.7</v>
      </c>
      <c r="U13" s="42"/>
      <c r="V13" s="36"/>
      <c r="W13" s="36"/>
      <c r="X13" s="57"/>
      <c r="Y13" s="57"/>
      <c r="Z13" s="63"/>
      <c r="AA13" s="57"/>
      <c r="AB13" s="63">
        <v>6.8</v>
      </c>
      <c r="AC13" s="63">
        <v>5.9</v>
      </c>
      <c r="AD13" s="10">
        <v>0.26</v>
      </c>
      <c r="AE13" s="36">
        <v>1.59</v>
      </c>
      <c r="AF13" s="36"/>
      <c r="AG13" s="36"/>
      <c r="AH13" s="36"/>
      <c r="AI13" s="57"/>
      <c r="AJ13" s="57"/>
      <c r="AK13" s="36"/>
      <c r="AL13" s="36"/>
      <c r="AM13" s="63">
        <v>6.8</v>
      </c>
      <c r="AN13" s="63">
        <v>6</v>
      </c>
      <c r="AO13" s="36">
        <v>0.12</v>
      </c>
      <c r="AP13" s="68">
        <v>0.95</v>
      </c>
      <c r="AQ13" s="73">
        <f t="shared" si="0"/>
        <v>2009</v>
      </c>
      <c r="AR13" s="75">
        <f t="shared" si="1"/>
        <v>0.75161772025883522</v>
      </c>
      <c r="AS13" s="75">
        <f t="shared" si="2"/>
        <v>0</v>
      </c>
      <c r="AT13" s="75">
        <f t="shared" si="3"/>
        <v>0.24838227974116475</v>
      </c>
      <c r="AU13" s="26" t="str">
        <f t="shared" si="4"/>
        <v/>
      </c>
      <c r="AV13" s="26" t="str">
        <f t="shared" si="5"/>
        <v/>
      </c>
      <c r="AW13" s="24">
        <f t="shared" si="6"/>
        <v>0.76070528967254414</v>
      </c>
      <c r="AX13" s="24">
        <f t="shared" si="7"/>
        <v>0.59949622166246852</v>
      </c>
      <c r="AY13" s="77" t="str">
        <f t="shared" si="8"/>
        <v>5,0 ≤ Alc. Bruta &lt; 7,5 mg/L</v>
      </c>
      <c r="AZ13" s="77" t="str">
        <f t="shared" si="9"/>
        <v>15 ≤ Cor &lt; 30 uC</v>
      </c>
      <c r="BA13" s="78" t="str">
        <f t="shared" si="10"/>
        <v>2,5 ≤ Turb &lt; 5,0 uT</v>
      </c>
      <c r="BB13" s="79" t="str">
        <f t="shared" si="11"/>
        <v>TOR &gt; BNN &gt; SM</v>
      </c>
      <c r="BC13" s="78" t="str">
        <f t="shared" si="12"/>
        <v>Tipo 2 (0,25-0,50) uT</v>
      </c>
      <c r="BD13" s="78" t="str">
        <f t="shared" si="13"/>
        <v>Tipo 1 (≤0,25) uT</v>
      </c>
      <c r="BE13" s="78" t="str">
        <f t="shared" si="14"/>
        <v>Tipo 4 (&gt;0,75) uT</v>
      </c>
      <c r="BF13" s="78" t="str">
        <f t="shared" si="15"/>
        <v>Tipo 4 (&gt;0,75) uT</v>
      </c>
      <c r="BG13" s="78" t="str">
        <f t="shared" si="16"/>
        <v>Tipo 3 (0,50-0,75) uT</v>
      </c>
    </row>
    <row r="14" spans="1:59" x14ac:dyDescent="0.2">
      <c r="A14" s="21">
        <v>46129</v>
      </c>
      <c r="B14" s="48">
        <v>0.72916666666666663</v>
      </c>
      <c r="C14" s="57">
        <v>1770</v>
      </c>
      <c r="D14" s="57">
        <v>0</v>
      </c>
      <c r="E14" s="57">
        <v>500</v>
      </c>
      <c r="F14" s="57">
        <v>2330</v>
      </c>
      <c r="G14" s="10" t="s">
        <v>34</v>
      </c>
      <c r="H14" s="63">
        <v>4</v>
      </c>
      <c r="I14" s="57">
        <v>90</v>
      </c>
      <c r="J14" s="57">
        <v>90</v>
      </c>
      <c r="K14" s="57">
        <v>90</v>
      </c>
      <c r="L14" s="63">
        <v>25</v>
      </c>
      <c r="M14" s="63">
        <v>6.7</v>
      </c>
      <c r="N14" s="36">
        <v>4.54</v>
      </c>
      <c r="O14" s="57">
        <v>15</v>
      </c>
      <c r="P14" s="63">
        <v>5.9</v>
      </c>
      <c r="Q14" s="36">
        <v>1.83</v>
      </c>
      <c r="R14" s="36">
        <v>22.36</v>
      </c>
      <c r="S14" s="36">
        <v>0.88</v>
      </c>
      <c r="T14" s="36">
        <v>0.7</v>
      </c>
      <c r="U14" s="42"/>
      <c r="V14" s="36"/>
      <c r="W14" s="36"/>
      <c r="X14" s="57"/>
      <c r="Y14" s="57"/>
      <c r="Z14" s="63"/>
      <c r="AA14" s="57"/>
      <c r="AB14" s="63">
        <v>6.8</v>
      </c>
      <c r="AC14" s="63">
        <v>6.1</v>
      </c>
      <c r="AD14" s="10">
        <v>0.49</v>
      </c>
      <c r="AE14" s="36">
        <v>0.74</v>
      </c>
      <c r="AF14" s="36"/>
      <c r="AG14" s="36"/>
      <c r="AH14" s="36"/>
      <c r="AI14" s="57"/>
      <c r="AJ14" s="57"/>
      <c r="AK14" s="36"/>
      <c r="AL14" s="36"/>
      <c r="AM14" s="63">
        <v>6.7</v>
      </c>
      <c r="AN14" s="63">
        <v>5.8</v>
      </c>
      <c r="AO14" s="36">
        <v>0.19</v>
      </c>
      <c r="AP14" s="68">
        <v>1.83</v>
      </c>
      <c r="AQ14" s="73">
        <f t="shared" si="0"/>
        <v>2270</v>
      </c>
      <c r="AR14" s="75">
        <f t="shared" si="1"/>
        <v>0.77973568281938321</v>
      </c>
      <c r="AS14" s="75">
        <f t="shared" si="2"/>
        <v>0</v>
      </c>
      <c r="AT14" s="75">
        <f t="shared" si="3"/>
        <v>0.22026431718061673</v>
      </c>
      <c r="AU14" s="26" t="str">
        <f t="shared" si="4"/>
        <v/>
      </c>
      <c r="AV14" s="26" t="str">
        <f t="shared" si="5"/>
        <v/>
      </c>
      <c r="AW14" s="24">
        <f t="shared" si="6"/>
        <v>0.59691629955947134</v>
      </c>
      <c r="AX14" s="24">
        <f t="shared" si="7"/>
        <v>0.83700440528634368</v>
      </c>
      <c r="AY14" s="77" t="str">
        <f t="shared" si="8"/>
        <v>5,0 ≤ Alc. Bruta &lt; 7,5 mg/L</v>
      </c>
      <c r="AZ14" s="77" t="str">
        <f t="shared" si="9"/>
        <v>15 ≤ Cor &lt; 30 uC</v>
      </c>
      <c r="BA14" s="78" t="str">
        <f t="shared" si="10"/>
        <v>2,5 ≤ Turb &lt; 5,0 uT</v>
      </c>
      <c r="BB14" s="79" t="str">
        <f t="shared" si="11"/>
        <v>TOR &gt; BNN &gt; SM</v>
      </c>
      <c r="BC14" s="78" t="str">
        <f t="shared" si="12"/>
        <v>Tipo 2 (0,25-0,50) uT</v>
      </c>
      <c r="BD14" s="78" t="str">
        <f t="shared" si="13"/>
        <v>Tipo 1 (≤0,25) uT</v>
      </c>
      <c r="BE14" s="78" t="str">
        <f t="shared" si="14"/>
        <v>Tipo 3 (0,50-0,75) uT</v>
      </c>
      <c r="BF14" s="78" t="str">
        <f t="shared" si="15"/>
        <v>Tipo 4 (&gt;0,75) uT</v>
      </c>
      <c r="BG14" s="78" t="str">
        <f t="shared" si="16"/>
        <v>Tipo 4 (&gt;0,75) uT</v>
      </c>
    </row>
    <row r="15" spans="1:59" x14ac:dyDescent="0.2">
      <c r="A15" s="21">
        <v>46129</v>
      </c>
      <c r="B15" s="48">
        <v>0.8125</v>
      </c>
      <c r="C15" s="57">
        <v>1140</v>
      </c>
      <c r="D15" s="57">
        <v>0</v>
      </c>
      <c r="E15" s="57">
        <v>500</v>
      </c>
      <c r="F15" s="57">
        <v>1884</v>
      </c>
      <c r="G15" s="10" t="s">
        <v>34</v>
      </c>
      <c r="H15" s="63">
        <v>4</v>
      </c>
      <c r="I15" s="57">
        <v>90</v>
      </c>
      <c r="J15" s="57">
        <v>90</v>
      </c>
      <c r="K15" s="57">
        <v>90</v>
      </c>
      <c r="L15" s="63">
        <v>24.7</v>
      </c>
      <c r="M15" s="63">
        <v>6.7</v>
      </c>
      <c r="N15" s="36">
        <v>4.45</v>
      </c>
      <c r="O15" s="57">
        <v>16</v>
      </c>
      <c r="P15" s="63">
        <v>5.0999999999999996</v>
      </c>
      <c r="Q15" s="36">
        <v>0.62</v>
      </c>
      <c r="R15" s="36">
        <v>22.36</v>
      </c>
      <c r="S15" s="36">
        <v>0.88</v>
      </c>
      <c r="T15" s="36">
        <v>0.7</v>
      </c>
      <c r="U15" s="42"/>
      <c r="V15" s="36"/>
      <c r="W15" s="36"/>
      <c r="X15" s="57"/>
      <c r="Y15" s="57"/>
      <c r="Z15" s="63"/>
      <c r="AA15" s="57"/>
      <c r="AB15" s="63">
        <v>6.6</v>
      </c>
      <c r="AC15" s="63">
        <v>5.4</v>
      </c>
      <c r="AD15" s="10">
        <v>0.12</v>
      </c>
      <c r="AE15" s="36">
        <v>0.44</v>
      </c>
      <c r="AF15" s="36"/>
      <c r="AG15" s="36"/>
      <c r="AH15" s="36"/>
      <c r="AI15" s="57"/>
      <c r="AJ15" s="57"/>
      <c r="AK15" s="36"/>
      <c r="AL15" s="36"/>
      <c r="AM15" s="63">
        <v>6.7</v>
      </c>
      <c r="AN15" s="63">
        <v>5.3</v>
      </c>
      <c r="AO15" s="36">
        <v>0.15</v>
      </c>
      <c r="AP15" s="68">
        <v>1.8</v>
      </c>
      <c r="AQ15" s="73">
        <f t="shared" si="0"/>
        <v>1640</v>
      </c>
      <c r="AR15" s="75">
        <f t="shared" si="1"/>
        <v>0.69512195121951215</v>
      </c>
      <c r="AS15" s="75">
        <f t="shared" si="2"/>
        <v>0</v>
      </c>
      <c r="AT15" s="75">
        <f t="shared" si="3"/>
        <v>0.3048780487804878</v>
      </c>
      <c r="AU15" s="26" t="str">
        <f t="shared" si="4"/>
        <v/>
      </c>
      <c r="AV15" s="26" t="str">
        <f t="shared" si="5"/>
        <v/>
      </c>
      <c r="AW15" s="24">
        <f t="shared" si="6"/>
        <v>0.5955056179775281</v>
      </c>
      <c r="AX15" s="24">
        <f t="shared" si="7"/>
        <v>0.90112359550561794</v>
      </c>
      <c r="AY15" s="77" t="str">
        <f t="shared" si="8"/>
        <v>5,0 ≤ Alc. Bruta &lt; 7,5 mg/L</v>
      </c>
      <c r="AZ15" s="77" t="str">
        <f t="shared" si="9"/>
        <v>15 ≤ Cor &lt; 30 uC</v>
      </c>
      <c r="BA15" s="78" t="str">
        <f t="shared" si="10"/>
        <v>2,5 ≤ Turb &lt; 5,0 uT</v>
      </c>
      <c r="BB15" s="79" t="str">
        <f t="shared" si="11"/>
        <v>TOR &gt; BNN &gt; SM</v>
      </c>
      <c r="BC15" s="78" t="str">
        <f t="shared" si="12"/>
        <v>Tipo 1 (≤0,25) uT</v>
      </c>
      <c r="BD15" s="78" t="str">
        <f t="shared" si="13"/>
        <v>Tipo 1 (≤0,25) uT</v>
      </c>
      <c r="BE15" s="78" t="str">
        <f t="shared" si="14"/>
        <v>Tipo 2 (0,25-0,50) uT</v>
      </c>
      <c r="BF15" s="78" t="str">
        <f t="shared" si="15"/>
        <v>Tipo 4 (&gt;0,75) uT</v>
      </c>
      <c r="BG15" s="78" t="str">
        <f t="shared" si="16"/>
        <v>Tipo 3 (0,50-0,75) uT</v>
      </c>
    </row>
    <row r="16" spans="1:59" x14ac:dyDescent="0.2">
      <c r="A16" s="21">
        <v>46129</v>
      </c>
      <c r="B16" s="48">
        <v>0.89583333333333337</v>
      </c>
      <c r="C16" s="57">
        <v>1114</v>
      </c>
      <c r="D16" s="57">
        <v>0</v>
      </c>
      <c r="E16" s="57">
        <v>500</v>
      </c>
      <c r="F16" s="57">
        <v>1887</v>
      </c>
      <c r="G16" s="10" t="s">
        <v>34</v>
      </c>
      <c r="H16" s="63">
        <v>4</v>
      </c>
      <c r="I16" s="57">
        <v>90</v>
      </c>
      <c r="J16" s="57">
        <v>90</v>
      </c>
      <c r="K16" s="57">
        <v>90</v>
      </c>
      <c r="L16" s="63">
        <v>24.5</v>
      </c>
      <c r="M16" s="63">
        <v>6.7</v>
      </c>
      <c r="N16" s="36">
        <v>4.3099999999999996</v>
      </c>
      <c r="O16" s="57">
        <v>22</v>
      </c>
      <c r="P16" s="63">
        <v>6.6</v>
      </c>
      <c r="Q16" s="36">
        <v>0.55000000000000004</v>
      </c>
      <c r="R16" s="36">
        <v>22.36</v>
      </c>
      <c r="S16" s="36">
        <v>0.88</v>
      </c>
      <c r="T16" s="36">
        <v>0.7</v>
      </c>
      <c r="U16" s="42"/>
      <c r="V16" s="36"/>
      <c r="W16" s="36"/>
      <c r="X16" s="57"/>
      <c r="Y16" s="57"/>
      <c r="Z16" s="63"/>
      <c r="AA16" s="57"/>
      <c r="AB16" s="63">
        <v>6.8</v>
      </c>
      <c r="AC16" s="63">
        <v>6.5</v>
      </c>
      <c r="AD16" s="10">
        <v>0.19</v>
      </c>
      <c r="AE16" s="36">
        <v>0.45</v>
      </c>
      <c r="AF16" s="36"/>
      <c r="AG16" s="36"/>
      <c r="AH16" s="36"/>
      <c r="AI16" s="57"/>
      <c r="AJ16" s="57"/>
      <c r="AK16" s="36"/>
      <c r="AL16" s="36"/>
      <c r="AM16" s="63">
        <v>6.7</v>
      </c>
      <c r="AN16" s="63">
        <v>6.3</v>
      </c>
      <c r="AO16" s="36">
        <v>0.13</v>
      </c>
      <c r="AP16" s="68">
        <v>1.99</v>
      </c>
      <c r="AQ16" s="73">
        <f t="shared" si="0"/>
        <v>1614</v>
      </c>
      <c r="AR16" s="75">
        <f t="shared" si="1"/>
        <v>0.69021065675340765</v>
      </c>
      <c r="AS16" s="75">
        <f t="shared" si="2"/>
        <v>0</v>
      </c>
      <c r="AT16" s="75">
        <f t="shared" si="3"/>
        <v>0.3097893432465923</v>
      </c>
      <c r="AU16" s="26" t="str">
        <f t="shared" si="4"/>
        <v/>
      </c>
      <c r="AV16" s="26" t="str">
        <f t="shared" si="5"/>
        <v/>
      </c>
      <c r="AW16" s="24">
        <f t="shared" si="6"/>
        <v>0.53828306264501158</v>
      </c>
      <c r="AX16" s="24">
        <f t="shared" si="7"/>
        <v>0.89559164733178653</v>
      </c>
      <c r="AY16" s="77" t="str">
        <f t="shared" si="8"/>
        <v>5,0 ≤ Alc. Bruta &lt; 7,5 mg/L</v>
      </c>
      <c r="AZ16" s="77" t="str">
        <f t="shared" si="9"/>
        <v>15 ≤ Cor &lt; 30 uC</v>
      </c>
      <c r="BA16" s="78" t="str">
        <f t="shared" si="10"/>
        <v>2,5 ≤ Turb &lt; 5,0 uT</v>
      </c>
      <c r="BB16" s="79" t="str">
        <f t="shared" si="11"/>
        <v>TOR &gt; BNN &gt; SM</v>
      </c>
      <c r="BC16" s="78" t="str">
        <f t="shared" si="12"/>
        <v>Tipo 1 (≤0,25) uT</v>
      </c>
      <c r="BD16" s="78" t="str">
        <f t="shared" si="13"/>
        <v>Tipo 1 (≤0,25) uT</v>
      </c>
      <c r="BE16" s="78" t="str">
        <f t="shared" si="14"/>
        <v>Tipo 2 (0,25-0,50) uT</v>
      </c>
      <c r="BF16" s="78" t="str">
        <f t="shared" si="15"/>
        <v>Tipo 4 (&gt;0,75) uT</v>
      </c>
      <c r="BG16" s="78" t="str">
        <f t="shared" si="16"/>
        <v>Tipo 3 (0,50-0,75) uT</v>
      </c>
    </row>
    <row r="17" spans="1:59" x14ac:dyDescent="0.2">
      <c r="A17" s="21">
        <v>46129</v>
      </c>
      <c r="B17" s="48">
        <v>0.97916666666666663</v>
      </c>
      <c r="C17" s="57">
        <v>1083</v>
      </c>
      <c r="D17" s="57">
        <v>0</v>
      </c>
      <c r="E17" s="57">
        <v>500</v>
      </c>
      <c r="F17" s="57">
        <v>1888</v>
      </c>
      <c r="G17" s="10" t="s">
        <v>34</v>
      </c>
      <c r="H17" s="63">
        <v>4</v>
      </c>
      <c r="I17" s="57">
        <v>90</v>
      </c>
      <c r="J17" s="57">
        <v>90</v>
      </c>
      <c r="K17" s="57">
        <v>90</v>
      </c>
      <c r="L17" s="63">
        <v>24</v>
      </c>
      <c r="M17" s="63">
        <v>6.7</v>
      </c>
      <c r="N17" s="36">
        <v>4.34</v>
      </c>
      <c r="O17" s="57">
        <v>22</v>
      </c>
      <c r="P17" s="63">
        <v>6.5</v>
      </c>
      <c r="Q17" s="36">
        <v>0.48</v>
      </c>
      <c r="R17" s="36">
        <v>22.36</v>
      </c>
      <c r="S17" s="36">
        <v>0.88</v>
      </c>
      <c r="T17" s="36">
        <v>0.7</v>
      </c>
      <c r="U17" s="42"/>
      <c r="V17" s="36"/>
      <c r="W17" s="36"/>
      <c r="X17" s="57"/>
      <c r="Y17" s="57"/>
      <c r="Z17" s="63"/>
      <c r="AA17" s="57"/>
      <c r="AB17" s="63">
        <v>6.8</v>
      </c>
      <c r="AC17" s="63">
        <v>9</v>
      </c>
      <c r="AD17" s="10">
        <v>0.12</v>
      </c>
      <c r="AE17" s="36">
        <v>0.48</v>
      </c>
      <c r="AF17" s="36"/>
      <c r="AG17" s="36"/>
      <c r="AH17" s="36"/>
      <c r="AI17" s="57"/>
      <c r="AJ17" s="57"/>
      <c r="AK17" s="36"/>
      <c r="AL17" s="36"/>
      <c r="AM17" s="63">
        <v>6.7</v>
      </c>
      <c r="AN17" s="63">
        <v>7.5</v>
      </c>
      <c r="AO17" s="36">
        <v>0.2</v>
      </c>
      <c r="AP17" s="68">
        <v>1.02</v>
      </c>
      <c r="AQ17" s="73">
        <f t="shared" si="0"/>
        <v>1583</v>
      </c>
      <c r="AR17" s="75">
        <f t="shared" si="1"/>
        <v>0.68414403032217308</v>
      </c>
      <c r="AS17" s="75">
        <f t="shared" si="2"/>
        <v>0</v>
      </c>
      <c r="AT17" s="75">
        <f t="shared" si="3"/>
        <v>0.31585596967782692</v>
      </c>
      <c r="AU17" s="26" t="str">
        <f t="shared" si="4"/>
        <v/>
      </c>
      <c r="AV17" s="26" t="str">
        <f t="shared" si="5"/>
        <v/>
      </c>
      <c r="AW17" s="24">
        <f t="shared" si="6"/>
        <v>0.76497695852534564</v>
      </c>
      <c r="AX17" s="24">
        <f t="shared" si="7"/>
        <v>0.88940092165898621</v>
      </c>
      <c r="AY17" s="77" t="str">
        <f t="shared" si="8"/>
        <v>5,0 ≤ Alc. Bruta &lt; 7,5 mg/L</v>
      </c>
      <c r="AZ17" s="77" t="str">
        <f t="shared" si="9"/>
        <v>15 ≤ Cor &lt; 30 uC</v>
      </c>
      <c r="BA17" s="78" t="str">
        <f t="shared" si="10"/>
        <v>2,5 ≤ Turb &lt; 5,0 uT</v>
      </c>
      <c r="BB17" s="79" t="str">
        <f t="shared" si="11"/>
        <v>TOR &gt; BNN &gt; SM</v>
      </c>
      <c r="BC17" s="78" t="str">
        <f t="shared" si="12"/>
        <v>Tipo 1 (≤0,25) uT</v>
      </c>
      <c r="BD17" s="78" t="str">
        <f t="shared" si="13"/>
        <v>Tipo 1 (≤0,25) uT</v>
      </c>
      <c r="BE17" s="78" t="str">
        <f t="shared" si="14"/>
        <v>Tipo 2 (0,25-0,50) uT</v>
      </c>
      <c r="BF17" s="78" t="str">
        <f t="shared" si="15"/>
        <v>Tipo 4 (&gt;0,75) uT</v>
      </c>
      <c r="BG17" s="78" t="str">
        <f t="shared" si="16"/>
        <v>Tipo 2 (0,25-0,50) uT</v>
      </c>
    </row>
    <row r="18" spans="1:59" x14ac:dyDescent="0.2">
      <c r="A18" s="21">
        <v>46130</v>
      </c>
      <c r="B18" s="48">
        <v>6.25E-2</v>
      </c>
      <c r="C18" s="57">
        <v>1123</v>
      </c>
      <c r="D18" s="57">
        <v>0</v>
      </c>
      <c r="E18" s="57">
        <v>500</v>
      </c>
      <c r="F18" s="57">
        <v>1887</v>
      </c>
      <c r="G18" s="10" t="s">
        <v>34</v>
      </c>
      <c r="H18" s="63">
        <v>4</v>
      </c>
      <c r="I18" s="57">
        <v>90</v>
      </c>
      <c r="J18" s="57">
        <v>90</v>
      </c>
      <c r="K18" s="57">
        <v>90</v>
      </c>
      <c r="L18" s="63">
        <v>24</v>
      </c>
      <c r="M18" s="63">
        <v>6.7</v>
      </c>
      <c r="N18" s="36">
        <v>4.83</v>
      </c>
      <c r="O18" s="57">
        <v>20</v>
      </c>
      <c r="P18" s="63">
        <v>6.6</v>
      </c>
      <c r="Q18" s="36">
        <v>0.36</v>
      </c>
      <c r="R18" s="36">
        <v>22.36</v>
      </c>
      <c r="S18" s="36">
        <v>0.88</v>
      </c>
      <c r="T18" s="36">
        <v>0.7</v>
      </c>
      <c r="U18" s="42"/>
      <c r="V18" s="36"/>
      <c r="W18" s="36"/>
      <c r="X18" s="57"/>
      <c r="Y18" s="57"/>
      <c r="Z18" s="63"/>
      <c r="AA18" s="57"/>
      <c r="AB18" s="63">
        <v>6.8</v>
      </c>
      <c r="AC18" s="63">
        <v>7.7</v>
      </c>
      <c r="AD18" s="10">
        <v>0.09</v>
      </c>
      <c r="AE18" s="36">
        <v>0.49</v>
      </c>
      <c r="AF18" s="36"/>
      <c r="AG18" s="36"/>
      <c r="AH18" s="36"/>
      <c r="AI18" s="57"/>
      <c r="AJ18" s="57"/>
      <c r="AK18" s="36"/>
      <c r="AL18" s="36"/>
      <c r="AM18" s="63">
        <v>6.7</v>
      </c>
      <c r="AN18" s="63">
        <v>9.6999999999999993</v>
      </c>
      <c r="AO18" s="36">
        <v>0.08</v>
      </c>
      <c r="AP18" s="68">
        <v>1.54</v>
      </c>
      <c r="AQ18" s="73">
        <f t="shared" si="0"/>
        <v>1623</v>
      </c>
      <c r="AR18" s="75">
        <f t="shared" si="1"/>
        <v>0.69192852741836108</v>
      </c>
      <c r="AS18" s="75">
        <f t="shared" si="2"/>
        <v>0</v>
      </c>
      <c r="AT18" s="75">
        <f t="shared" si="3"/>
        <v>0.30807147258163892</v>
      </c>
      <c r="AU18" s="26" t="str">
        <f t="shared" si="4"/>
        <v/>
      </c>
      <c r="AV18" s="26" t="str">
        <f t="shared" si="5"/>
        <v/>
      </c>
      <c r="AW18" s="24">
        <f t="shared" si="6"/>
        <v>0.68115942028985499</v>
      </c>
      <c r="AX18" s="24">
        <f t="shared" si="7"/>
        <v>0.89855072463768115</v>
      </c>
      <c r="AY18" s="77" t="str">
        <f t="shared" si="8"/>
        <v>5,0 ≤ Alc. Bruta &lt; 7,5 mg/L</v>
      </c>
      <c r="AZ18" s="77" t="str">
        <f t="shared" si="9"/>
        <v>15 ≤ Cor &lt; 30 uC</v>
      </c>
      <c r="BA18" s="78" t="str">
        <f t="shared" si="10"/>
        <v>2,5 ≤ Turb &lt; 5,0 uT</v>
      </c>
      <c r="BB18" s="79" t="str">
        <f t="shared" si="11"/>
        <v>TOR &gt; BNN &gt; SM</v>
      </c>
      <c r="BC18" s="78" t="str">
        <f t="shared" si="12"/>
        <v>Tipo 1 (≤0,25) uT</v>
      </c>
      <c r="BD18" s="78" t="str">
        <f t="shared" si="13"/>
        <v>Tipo 1 (≤0,25) uT</v>
      </c>
      <c r="BE18" s="78" t="str">
        <f t="shared" si="14"/>
        <v>Tipo 2 (0,25-0,50) uT</v>
      </c>
      <c r="BF18" s="78" t="str">
        <f t="shared" si="15"/>
        <v>Tipo 4 (&gt;0,75) uT</v>
      </c>
      <c r="BG18" s="78" t="str">
        <f t="shared" si="16"/>
        <v>Tipo 2 (0,25-0,50) uT</v>
      </c>
    </row>
    <row r="19" spans="1:59" x14ac:dyDescent="0.2">
      <c r="A19" s="21">
        <v>46130</v>
      </c>
      <c r="B19" s="48">
        <v>0.14583333333333334</v>
      </c>
      <c r="C19" s="57">
        <v>1088</v>
      </c>
      <c r="D19" s="57">
        <v>0</v>
      </c>
      <c r="E19" s="57">
        <v>498.7</v>
      </c>
      <c r="F19" s="57">
        <v>1889</v>
      </c>
      <c r="G19" s="10" t="s">
        <v>34</v>
      </c>
      <c r="H19" s="63">
        <v>4</v>
      </c>
      <c r="I19" s="57">
        <v>90</v>
      </c>
      <c r="J19" s="57">
        <v>90</v>
      </c>
      <c r="K19" s="57">
        <v>90</v>
      </c>
      <c r="L19" s="63">
        <v>23.8</v>
      </c>
      <c r="M19" s="63">
        <v>6.7</v>
      </c>
      <c r="N19" s="36">
        <v>4.5999999999999996</v>
      </c>
      <c r="O19" s="57">
        <v>10</v>
      </c>
      <c r="P19" s="63">
        <v>6.2</v>
      </c>
      <c r="Q19" s="36">
        <v>0.36</v>
      </c>
      <c r="R19" s="36">
        <v>22.36</v>
      </c>
      <c r="S19" s="36">
        <v>0.88</v>
      </c>
      <c r="T19" s="36">
        <v>0.7</v>
      </c>
      <c r="U19" s="42"/>
      <c r="V19" s="36"/>
      <c r="W19" s="36"/>
      <c r="X19" s="57"/>
      <c r="Y19" s="57"/>
      <c r="Z19" s="63"/>
      <c r="AA19" s="57"/>
      <c r="AB19" s="63">
        <v>6.8</v>
      </c>
      <c r="AC19" s="63">
        <v>5.7</v>
      </c>
      <c r="AD19" s="10">
        <v>0.09</v>
      </c>
      <c r="AE19" s="36">
        <v>0.5</v>
      </c>
      <c r="AF19" s="36"/>
      <c r="AG19" s="36"/>
      <c r="AH19" s="36"/>
      <c r="AI19" s="57"/>
      <c r="AJ19" s="57"/>
      <c r="AK19" s="36"/>
      <c r="AL19" s="36"/>
      <c r="AM19" s="63">
        <v>6.7</v>
      </c>
      <c r="AN19" s="63">
        <v>7.1</v>
      </c>
      <c r="AO19" s="36">
        <v>7.0000000000000007E-2</v>
      </c>
      <c r="AP19" s="68">
        <v>0.78</v>
      </c>
      <c r="AQ19" s="73">
        <f t="shared" si="0"/>
        <v>1586.7</v>
      </c>
      <c r="AR19" s="75">
        <f t="shared" si="1"/>
        <v>0.68569988025461648</v>
      </c>
      <c r="AS19" s="75">
        <f t="shared" si="2"/>
        <v>0</v>
      </c>
      <c r="AT19" s="75">
        <f t="shared" si="3"/>
        <v>0.31430011974538347</v>
      </c>
      <c r="AU19" s="26" t="str">
        <f t="shared" si="4"/>
        <v/>
      </c>
      <c r="AV19" s="26" t="str">
        <f t="shared" si="5"/>
        <v/>
      </c>
      <c r="AW19" s="24">
        <f t="shared" si="6"/>
        <v>0.83043478260869563</v>
      </c>
      <c r="AX19" s="24">
        <f t="shared" si="7"/>
        <v>0.89130434782608692</v>
      </c>
      <c r="AY19" s="77" t="str">
        <f t="shared" si="8"/>
        <v>5,0 ≤ Alc. Bruta &lt; 7,5 mg/L</v>
      </c>
      <c r="AZ19" s="77" t="str">
        <f t="shared" si="9"/>
        <v>10 ≤ Cor &lt;15 uC</v>
      </c>
      <c r="BA19" s="78" t="str">
        <f t="shared" si="10"/>
        <v>2,5 ≤ Turb &lt; 5,0 uT</v>
      </c>
      <c r="BB19" s="79" t="str">
        <f t="shared" si="11"/>
        <v>TOR &gt; BNN &gt; SM</v>
      </c>
      <c r="BC19" s="78" t="str">
        <f t="shared" si="12"/>
        <v>Tipo 1 (≤0,25) uT</v>
      </c>
      <c r="BD19" s="78" t="str">
        <f t="shared" si="13"/>
        <v>Tipo 1 (≤0,25) uT</v>
      </c>
      <c r="BE19" s="78" t="str">
        <f t="shared" si="14"/>
        <v>Tipo 2 (0,25-0,50) uT</v>
      </c>
      <c r="BF19" s="78" t="str">
        <f t="shared" si="15"/>
        <v>Tipo 4 (&gt;0,75) uT</v>
      </c>
      <c r="BG19" s="78" t="str">
        <f t="shared" si="16"/>
        <v>Tipo 2 (0,25-0,50) uT</v>
      </c>
    </row>
    <row r="20" spans="1:59" ht="15.75" thickBot="1" x14ac:dyDescent="0.25">
      <c r="A20" s="21">
        <v>46130</v>
      </c>
      <c r="B20" s="51">
        <v>0.22916666666666666</v>
      </c>
      <c r="C20" s="58">
        <v>1200</v>
      </c>
      <c r="D20" s="57">
        <v>0</v>
      </c>
      <c r="E20" s="58">
        <v>499.3</v>
      </c>
      <c r="F20" s="58">
        <v>1889</v>
      </c>
      <c r="G20" s="11" t="s">
        <v>34</v>
      </c>
      <c r="H20" s="64">
        <v>3.6</v>
      </c>
      <c r="I20" s="58">
        <v>90</v>
      </c>
      <c r="J20" s="58">
        <v>90</v>
      </c>
      <c r="K20" s="58">
        <v>90</v>
      </c>
      <c r="L20" s="64">
        <v>23.2</v>
      </c>
      <c r="M20" s="64">
        <v>6.7</v>
      </c>
      <c r="N20" s="37">
        <v>4.0199999999999996</v>
      </c>
      <c r="O20" s="58">
        <v>8</v>
      </c>
      <c r="P20" s="64">
        <v>6.2</v>
      </c>
      <c r="Q20" s="37">
        <v>0.52</v>
      </c>
      <c r="R20" s="36">
        <v>22.36</v>
      </c>
      <c r="S20" s="36">
        <v>0.88</v>
      </c>
      <c r="T20" s="36">
        <v>0.7</v>
      </c>
      <c r="U20" s="42"/>
      <c r="V20" s="41"/>
      <c r="W20" s="37"/>
      <c r="X20" s="58"/>
      <c r="Y20" s="58"/>
      <c r="Z20" s="64"/>
      <c r="AA20" s="58"/>
      <c r="AB20" s="64">
        <v>6.7</v>
      </c>
      <c r="AC20" s="64">
        <v>5.9</v>
      </c>
      <c r="AD20" s="11">
        <v>0.15</v>
      </c>
      <c r="AE20" s="37">
        <v>0.52</v>
      </c>
      <c r="AF20" s="37"/>
      <c r="AG20" s="37"/>
      <c r="AH20" s="37"/>
      <c r="AI20" s="58"/>
      <c r="AJ20" s="58"/>
      <c r="AK20" s="37"/>
      <c r="AL20" s="37"/>
      <c r="AM20" s="64">
        <v>6.7</v>
      </c>
      <c r="AN20" s="64">
        <v>6.6</v>
      </c>
      <c r="AO20" s="37">
        <v>0.15</v>
      </c>
      <c r="AP20" s="69">
        <v>0.82</v>
      </c>
      <c r="AQ20" s="73">
        <f t="shared" si="0"/>
        <v>1699.3</v>
      </c>
      <c r="AR20" s="75">
        <f t="shared" si="1"/>
        <v>0.70617313011239924</v>
      </c>
      <c r="AS20" s="75">
        <f t="shared" si="2"/>
        <v>0</v>
      </c>
      <c r="AT20" s="75">
        <f t="shared" si="3"/>
        <v>0.29382686988760082</v>
      </c>
      <c r="AU20" s="26" t="str">
        <f t="shared" si="4"/>
        <v/>
      </c>
      <c r="AV20" s="26" t="str">
        <f t="shared" si="5"/>
        <v/>
      </c>
      <c r="AW20" s="24">
        <f t="shared" si="6"/>
        <v>0.79601990049751237</v>
      </c>
      <c r="AX20" s="24">
        <f t="shared" si="7"/>
        <v>0.87064676616915415</v>
      </c>
      <c r="AY20" s="77" t="str">
        <f t="shared" si="8"/>
        <v>5,0 ≤ Alc. Bruta &lt; 7,5 mg/L</v>
      </c>
      <c r="AZ20" s="77" t="str">
        <f t="shared" si="9"/>
        <v>5 ≤ Cor &lt; 10 uC</v>
      </c>
      <c r="BA20" s="78" t="str">
        <f t="shared" si="10"/>
        <v>2,5 ≤ Turb &lt; 5,0 uT</v>
      </c>
      <c r="BB20" s="79" t="str">
        <f t="shared" si="11"/>
        <v>TOR &gt; BNN &gt; SM</v>
      </c>
      <c r="BC20" s="78" t="str">
        <f t="shared" si="12"/>
        <v>Tipo 1 (≤0,25) uT</v>
      </c>
      <c r="BD20" s="78" t="str">
        <f t="shared" si="13"/>
        <v>Tipo 1 (≤0,25) uT</v>
      </c>
      <c r="BE20" s="78" t="str">
        <f t="shared" si="14"/>
        <v>Tipo 3 (0,50-0,75) uT</v>
      </c>
      <c r="BF20" s="78" t="str">
        <f t="shared" si="15"/>
        <v>Tipo 4 (&gt;0,75) uT</v>
      </c>
      <c r="BG20" s="78" t="str">
        <f t="shared" si="16"/>
        <v>Tipo 3 (0,50-0,75) uT</v>
      </c>
    </row>
    <row r="21" spans="1:59" x14ac:dyDescent="0.2">
      <c r="A21" s="21">
        <v>46130</v>
      </c>
      <c r="B21" s="52">
        <v>0.3125</v>
      </c>
      <c r="C21" s="59">
        <v>1192</v>
      </c>
      <c r="D21" s="59">
        <v>80</v>
      </c>
      <c r="E21" s="59">
        <v>499</v>
      </c>
      <c r="F21" s="59">
        <v>1814</v>
      </c>
      <c r="G21" s="9" t="s">
        <v>34</v>
      </c>
      <c r="H21" s="65">
        <v>3.6</v>
      </c>
      <c r="I21" s="57">
        <v>90</v>
      </c>
      <c r="J21" s="57">
        <v>90</v>
      </c>
      <c r="K21" s="57">
        <v>90</v>
      </c>
      <c r="L21" s="65">
        <v>23.3</v>
      </c>
      <c r="M21" s="65">
        <v>6.7</v>
      </c>
      <c r="N21" s="38">
        <v>4.0599999999999996</v>
      </c>
      <c r="O21" s="59">
        <v>10</v>
      </c>
      <c r="P21" s="65">
        <v>8</v>
      </c>
      <c r="Q21" s="38">
        <v>0.3</v>
      </c>
      <c r="R21" s="36">
        <v>22.36</v>
      </c>
      <c r="S21" s="36">
        <v>0.88</v>
      </c>
      <c r="T21" s="36">
        <v>0.7</v>
      </c>
      <c r="U21" s="42"/>
      <c r="V21" s="39"/>
      <c r="W21" s="38"/>
      <c r="X21" s="59"/>
      <c r="Y21" s="59"/>
      <c r="Z21" s="65"/>
      <c r="AA21" s="59"/>
      <c r="AB21" s="65">
        <v>6.7</v>
      </c>
      <c r="AC21" s="65">
        <v>8.4</v>
      </c>
      <c r="AD21" s="9">
        <v>0.17</v>
      </c>
      <c r="AE21" s="38">
        <v>3.97</v>
      </c>
      <c r="AF21" s="38"/>
      <c r="AG21" s="38"/>
      <c r="AH21" s="38"/>
      <c r="AI21" s="59"/>
      <c r="AJ21" s="59"/>
      <c r="AK21" s="38"/>
      <c r="AL21" s="38"/>
      <c r="AM21" s="65">
        <v>6.6</v>
      </c>
      <c r="AN21" s="65">
        <v>8.5</v>
      </c>
      <c r="AO21" s="38">
        <v>0.17</v>
      </c>
      <c r="AP21" s="70">
        <v>4.03</v>
      </c>
      <c r="AQ21" s="73">
        <f t="shared" si="0"/>
        <v>1771</v>
      </c>
      <c r="AR21" s="75">
        <f t="shared" si="1"/>
        <v>0.67306606437041216</v>
      </c>
      <c r="AS21" s="75">
        <f t="shared" si="2"/>
        <v>4.517221908526256E-2</v>
      </c>
      <c r="AT21" s="75">
        <f t="shared" si="3"/>
        <v>0.28176171654432525</v>
      </c>
      <c r="AU21" s="26" t="str">
        <f t="shared" si="4"/>
        <v/>
      </c>
      <c r="AV21" s="26" t="str">
        <f t="shared" si="5"/>
        <v/>
      </c>
      <c r="AW21" s="24">
        <f t="shared" si="6"/>
        <v>7.3891625615761791E-3</v>
      </c>
      <c r="AX21" s="24">
        <f t="shared" si="7"/>
        <v>2.216748768472887E-2</v>
      </c>
      <c r="AY21" s="77" t="str">
        <f t="shared" si="8"/>
        <v>7,5 ≤ Alc. Bruta &lt; 10,0 mg/L</v>
      </c>
      <c r="AZ21" s="77" t="str">
        <f t="shared" si="9"/>
        <v>10 ≤ Cor &lt;15 uC</v>
      </c>
      <c r="BA21" s="78" t="str">
        <f t="shared" si="10"/>
        <v>2,5 ≤ Turb &lt; 5,0 uT</v>
      </c>
      <c r="BB21" s="79" t="str">
        <f t="shared" si="11"/>
        <v>TOR &gt; BNN &gt; SM</v>
      </c>
      <c r="BC21" s="78" t="str">
        <f t="shared" si="12"/>
        <v>Tipo 1 (≤0,25) uT</v>
      </c>
      <c r="BD21" s="78" t="str">
        <f t="shared" si="13"/>
        <v>Tipo 1 (≤0,25) uT</v>
      </c>
      <c r="BE21" s="78" t="str">
        <f t="shared" si="14"/>
        <v>Tipo 4 (&gt;0,75) uT</v>
      </c>
      <c r="BF21" s="78" t="str">
        <f t="shared" si="15"/>
        <v>Tipo 4 (&gt;0,75) uT</v>
      </c>
      <c r="BG21" s="78" t="str">
        <f t="shared" si="16"/>
        <v>Tipo 2 (0,25-0,50) uT</v>
      </c>
    </row>
    <row r="22" spans="1:59" x14ac:dyDescent="0.2">
      <c r="A22" s="21">
        <v>46130</v>
      </c>
      <c r="B22" s="48">
        <v>0.39583333333333331</v>
      </c>
      <c r="C22" s="57">
        <v>1160</v>
      </c>
      <c r="D22" s="57">
        <v>81</v>
      </c>
      <c r="E22" s="57">
        <v>500</v>
      </c>
      <c r="F22" s="57">
        <v>1863</v>
      </c>
      <c r="G22" s="10" t="s">
        <v>34</v>
      </c>
      <c r="H22" s="63">
        <v>3.6</v>
      </c>
      <c r="I22" s="57">
        <v>90</v>
      </c>
      <c r="J22" s="57">
        <v>90</v>
      </c>
      <c r="K22" s="57">
        <v>90</v>
      </c>
      <c r="L22" s="63">
        <v>23.3</v>
      </c>
      <c r="M22" s="63">
        <v>6.7</v>
      </c>
      <c r="N22" s="36">
        <v>4.0999999999999996</v>
      </c>
      <c r="O22" s="57">
        <v>18</v>
      </c>
      <c r="P22" s="63">
        <v>9.1999999999999993</v>
      </c>
      <c r="Q22" s="36">
        <v>0.31</v>
      </c>
      <c r="R22" s="36">
        <v>22.36</v>
      </c>
      <c r="S22" s="36">
        <v>0.88</v>
      </c>
      <c r="T22" s="36">
        <v>0.7</v>
      </c>
      <c r="U22" s="42"/>
      <c r="V22" s="36"/>
      <c r="W22" s="36"/>
      <c r="X22" s="57"/>
      <c r="Y22" s="57"/>
      <c r="Z22" s="63"/>
      <c r="AA22" s="57"/>
      <c r="AB22" s="63">
        <v>6.7</v>
      </c>
      <c r="AC22" s="63">
        <v>9.3000000000000007</v>
      </c>
      <c r="AD22" s="10">
        <v>0.11</v>
      </c>
      <c r="AE22" s="36">
        <v>4.1399999999999997</v>
      </c>
      <c r="AF22" s="36"/>
      <c r="AG22" s="36"/>
      <c r="AH22" s="36"/>
      <c r="AI22" s="57"/>
      <c r="AJ22" s="57"/>
      <c r="AK22" s="36"/>
      <c r="AL22" s="36"/>
      <c r="AM22" s="63">
        <v>6.7</v>
      </c>
      <c r="AN22" s="63">
        <v>8.6999999999999993</v>
      </c>
      <c r="AO22" s="36">
        <v>0.15</v>
      </c>
      <c r="AP22" s="68">
        <v>3.83</v>
      </c>
      <c r="AQ22" s="73">
        <f t="shared" si="0"/>
        <v>1741</v>
      </c>
      <c r="AR22" s="75">
        <f t="shared" si="1"/>
        <v>0.66628374497415277</v>
      </c>
      <c r="AS22" s="75">
        <f t="shared" si="2"/>
        <v>4.6524985640436528E-2</v>
      </c>
      <c r="AT22" s="75">
        <f t="shared" si="3"/>
        <v>0.28719126938541067</v>
      </c>
      <c r="AU22" s="26" t="str">
        <f t="shared" si="4"/>
        <v/>
      </c>
      <c r="AV22" s="26" t="str">
        <f t="shared" si="5"/>
        <v/>
      </c>
      <c r="AW22" s="24">
        <f t="shared" si="6"/>
        <v>6.5853658536585313E-2</v>
      </c>
      <c r="AX22" s="24" t="str">
        <f t="shared" si="7"/>
        <v/>
      </c>
      <c r="AY22" s="77" t="str">
        <f t="shared" si="8"/>
        <v>7,5 ≤ Alc. Bruta &lt; 10,0 mg/L</v>
      </c>
      <c r="AZ22" s="77" t="str">
        <f t="shared" si="9"/>
        <v>15 ≤ Cor &lt; 30 uC</v>
      </c>
      <c r="BA22" s="78" t="str">
        <f t="shared" si="10"/>
        <v>2,5 ≤ Turb &lt; 5,0 uT</v>
      </c>
      <c r="BB22" s="79" t="str">
        <f t="shared" si="11"/>
        <v>TOR &gt; BNN &gt; SM</v>
      </c>
      <c r="BC22" s="78" t="str">
        <f t="shared" si="12"/>
        <v>Tipo 1 (≤0,25) uT</v>
      </c>
      <c r="BD22" s="78" t="str">
        <f t="shared" si="13"/>
        <v>Tipo 1 (≤0,25) uT</v>
      </c>
      <c r="BE22" s="78" t="str">
        <f t="shared" si="14"/>
        <v>Tipo 4 (&gt;0,75) uT</v>
      </c>
      <c r="BF22" s="78" t="str">
        <f t="shared" si="15"/>
        <v>Tipo 4 (&gt;0,75) uT</v>
      </c>
      <c r="BG22" s="78" t="str">
        <f t="shared" si="16"/>
        <v>Tipo 2 (0,25-0,50) uT</v>
      </c>
    </row>
    <row r="23" spans="1:59" x14ac:dyDescent="0.2">
      <c r="A23" s="21">
        <v>46130</v>
      </c>
      <c r="B23" s="48">
        <v>0.47916666666666669</v>
      </c>
      <c r="C23" s="57">
        <v>1197</v>
      </c>
      <c r="D23" s="57">
        <v>82</v>
      </c>
      <c r="E23" s="57">
        <v>499</v>
      </c>
      <c r="F23" s="57">
        <v>1749</v>
      </c>
      <c r="G23" s="10" t="s">
        <v>34</v>
      </c>
      <c r="H23" s="63">
        <v>3.6</v>
      </c>
      <c r="I23" s="57">
        <v>90</v>
      </c>
      <c r="J23" s="57">
        <v>90</v>
      </c>
      <c r="K23" s="57">
        <v>90</v>
      </c>
      <c r="L23" s="63">
        <v>24.3</v>
      </c>
      <c r="M23" s="63">
        <v>6.7</v>
      </c>
      <c r="N23" s="36">
        <v>4.66</v>
      </c>
      <c r="O23" s="57">
        <v>18</v>
      </c>
      <c r="P23" s="63">
        <v>8.1999999999999993</v>
      </c>
      <c r="Q23" s="36">
        <v>0.38</v>
      </c>
      <c r="R23" s="36">
        <v>22.36</v>
      </c>
      <c r="S23" s="36">
        <v>0.88</v>
      </c>
      <c r="T23" s="36">
        <v>0.7</v>
      </c>
      <c r="U23" s="42"/>
      <c r="V23" s="36"/>
      <c r="W23" s="36"/>
      <c r="X23" s="57"/>
      <c r="Y23" s="57"/>
      <c r="Z23" s="63"/>
      <c r="AA23" s="57"/>
      <c r="AB23" s="63">
        <v>6.7</v>
      </c>
      <c r="AC23" s="63">
        <v>8.6</v>
      </c>
      <c r="AD23" s="10">
        <v>0.25</v>
      </c>
      <c r="AE23" s="36">
        <v>5.46</v>
      </c>
      <c r="AF23" s="36"/>
      <c r="AG23" s="36"/>
      <c r="AH23" s="36"/>
      <c r="AI23" s="57"/>
      <c r="AJ23" s="57"/>
      <c r="AK23" s="36"/>
      <c r="AL23" s="36"/>
      <c r="AM23" s="63">
        <v>6.6</v>
      </c>
      <c r="AN23" s="63">
        <v>8.8000000000000007</v>
      </c>
      <c r="AO23" s="36">
        <v>0.36</v>
      </c>
      <c r="AP23" s="68">
        <v>5.8</v>
      </c>
      <c r="AQ23" s="73">
        <f t="shared" si="0"/>
        <v>1778</v>
      </c>
      <c r="AR23" s="75">
        <f t="shared" si="1"/>
        <v>0.67322834645669294</v>
      </c>
      <c r="AS23" s="75">
        <f t="shared" si="2"/>
        <v>4.6119235095613047E-2</v>
      </c>
      <c r="AT23" s="75">
        <f t="shared" si="3"/>
        <v>0.28065241844769406</v>
      </c>
      <c r="AU23" s="26" t="str">
        <f t="shared" si="4"/>
        <v/>
      </c>
      <c r="AV23" s="26" t="str">
        <f t="shared" si="5"/>
        <v/>
      </c>
      <c r="AW23" s="24" t="str">
        <f t="shared" si="6"/>
        <v/>
      </c>
      <c r="AX23" s="24" t="str">
        <f t="shared" si="7"/>
        <v/>
      </c>
      <c r="AY23" s="77" t="str">
        <f t="shared" si="8"/>
        <v>7,5 ≤ Alc. Bruta &lt; 10,0 mg/L</v>
      </c>
      <c r="AZ23" s="77" t="str">
        <f t="shared" si="9"/>
        <v>15 ≤ Cor &lt; 30 uC</v>
      </c>
      <c r="BA23" s="78" t="str">
        <f t="shared" si="10"/>
        <v>2,5 ≤ Turb &lt; 5,0 uT</v>
      </c>
      <c r="BB23" s="79" t="str">
        <f t="shared" si="11"/>
        <v>TOR &gt; BNN &gt; SM</v>
      </c>
      <c r="BC23" s="78" t="str">
        <f t="shared" si="12"/>
        <v>Tipo 1 (≤0,25) uT</v>
      </c>
      <c r="BD23" s="78" t="str">
        <f t="shared" si="13"/>
        <v>Tipo 2 (0,25-0,50) uT</v>
      </c>
      <c r="BE23" s="78" t="str">
        <f t="shared" si="14"/>
        <v>Tipo 4 (&gt;0,75) uT</v>
      </c>
      <c r="BF23" s="78" t="str">
        <f t="shared" si="15"/>
        <v>Tipo 4 (&gt;0,75) uT</v>
      </c>
      <c r="BG23" s="78" t="str">
        <f t="shared" si="16"/>
        <v>Tipo 2 (0,25-0,50) uT</v>
      </c>
    </row>
    <row r="24" spans="1:59" x14ac:dyDescent="0.2">
      <c r="A24" s="21">
        <v>46130</v>
      </c>
      <c r="B24" s="48">
        <v>0.64583333333333337</v>
      </c>
      <c r="C24" s="57">
        <v>1060</v>
      </c>
      <c r="D24" s="57">
        <v>85</v>
      </c>
      <c r="E24" s="57">
        <v>499</v>
      </c>
      <c r="F24" s="57">
        <v>1743</v>
      </c>
      <c r="G24" s="10" t="s">
        <v>34</v>
      </c>
      <c r="H24" s="63">
        <v>3.6</v>
      </c>
      <c r="I24" s="57">
        <v>90</v>
      </c>
      <c r="J24" s="57">
        <v>90</v>
      </c>
      <c r="K24" s="57">
        <v>90</v>
      </c>
      <c r="L24" s="63">
        <v>25</v>
      </c>
      <c r="M24" s="63">
        <v>6.7</v>
      </c>
      <c r="N24" s="36">
        <v>4.0999999999999996</v>
      </c>
      <c r="O24" s="57">
        <v>16</v>
      </c>
      <c r="P24" s="63">
        <v>7.2</v>
      </c>
      <c r="Q24" s="36">
        <v>0.39</v>
      </c>
      <c r="R24" s="36">
        <v>22.36</v>
      </c>
      <c r="S24" s="36">
        <v>0.88</v>
      </c>
      <c r="T24" s="36">
        <v>0.7</v>
      </c>
      <c r="U24" s="42"/>
      <c r="V24" s="36"/>
      <c r="W24" s="36"/>
      <c r="X24" s="57"/>
      <c r="Y24" s="57"/>
      <c r="Z24" s="63"/>
      <c r="AA24" s="57"/>
      <c r="AB24" s="63">
        <v>6.7</v>
      </c>
      <c r="AC24" s="63">
        <v>6.7</v>
      </c>
      <c r="AD24" s="10">
        <v>0.13</v>
      </c>
      <c r="AE24" s="36">
        <v>4.13</v>
      </c>
      <c r="AF24" s="36"/>
      <c r="AG24" s="36"/>
      <c r="AH24" s="36"/>
      <c r="AI24" s="57"/>
      <c r="AJ24" s="57"/>
      <c r="AK24" s="36"/>
      <c r="AL24" s="36"/>
      <c r="AM24" s="63">
        <v>6.7</v>
      </c>
      <c r="AN24" s="63">
        <v>7.1</v>
      </c>
      <c r="AO24" s="36">
        <v>0.15</v>
      </c>
      <c r="AP24" s="68">
        <v>3.98</v>
      </c>
      <c r="AQ24" s="73">
        <f t="shared" si="0"/>
        <v>1644</v>
      </c>
      <c r="AR24" s="75">
        <f t="shared" si="1"/>
        <v>0.64476885644768855</v>
      </c>
      <c r="AS24" s="75">
        <f t="shared" si="2"/>
        <v>5.1703163017031629E-2</v>
      </c>
      <c r="AT24" s="75">
        <f t="shared" si="3"/>
        <v>0.3035279805352798</v>
      </c>
      <c r="AU24" s="26" t="str">
        <f t="shared" si="4"/>
        <v/>
      </c>
      <c r="AV24" s="26" t="str">
        <f t="shared" si="5"/>
        <v/>
      </c>
      <c r="AW24" s="24">
        <f t="shared" si="6"/>
        <v>2.9268292682926744E-2</v>
      </c>
      <c r="AX24" s="24" t="str">
        <f t="shared" si="7"/>
        <v/>
      </c>
      <c r="AY24" s="77" t="str">
        <f t="shared" si="8"/>
        <v>5,0 ≤ Alc. Bruta &lt; 7,5 mg/L</v>
      </c>
      <c r="AZ24" s="77" t="str">
        <f t="shared" si="9"/>
        <v>15 ≤ Cor &lt; 30 uC</v>
      </c>
      <c r="BA24" s="78" t="str">
        <f t="shared" si="10"/>
        <v>2,5 ≤ Turb &lt; 5,0 uT</v>
      </c>
      <c r="BB24" s="79" t="str">
        <f t="shared" si="11"/>
        <v>TOR &gt; BNN &gt; SM</v>
      </c>
      <c r="BC24" s="78" t="str">
        <f t="shared" si="12"/>
        <v>Tipo 1 (≤0,25) uT</v>
      </c>
      <c r="BD24" s="78" t="str">
        <f t="shared" si="13"/>
        <v>Tipo 1 (≤0,25) uT</v>
      </c>
      <c r="BE24" s="78" t="str">
        <f t="shared" si="14"/>
        <v>Tipo 4 (&gt;0,75) uT</v>
      </c>
      <c r="BF24" s="78" t="str">
        <f t="shared" si="15"/>
        <v>Tipo 4 (&gt;0,75) uT</v>
      </c>
      <c r="BG24" s="78" t="str">
        <f t="shared" si="16"/>
        <v>Tipo 2 (0,25-0,50) uT</v>
      </c>
    </row>
    <row r="25" spans="1:59" x14ac:dyDescent="0.2">
      <c r="A25" s="21">
        <v>46130</v>
      </c>
      <c r="B25" s="48">
        <v>0.72916666666666663</v>
      </c>
      <c r="C25" s="57">
        <v>1173</v>
      </c>
      <c r="D25" s="57">
        <v>81</v>
      </c>
      <c r="E25" s="57">
        <v>500</v>
      </c>
      <c r="F25" s="57">
        <v>1781</v>
      </c>
      <c r="G25" s="10" t="s">
        <v>34</v>
      </c>
      <c r="H25" s="63">
        <v>3.6</v>
      </c>
      <c r="I25" s="57">
        <v>90</v>
      </c>
      <c r="J25" s="57">
        <v>90</v>
      </c>
      <c r="K25" s="57">
        <v>90</v>
      </c>
      <c r="L25" s="63">
        <v>25</v>
      </c>
      <c r="M25" s="63">
        <v>6.7</v>
      </c>
      <c r="N25" s="36">
        <v>4.05</v>
      </c>
      <c r="O25" s="57">
        <v>15</v>
      </c>
      <c r="P25" s="63">
        <v>7.5</v>
      </c>
      <c r="Q25" s="36">
        <v>0.28000000000000003</v>
      </c>
      <c r="R25" s="36">
        <v>22.36</v>
      </c>
      <c r="S25" s="36">
        <v>0.88</v>
      </c>
      <c r="T25" s="36">
        <v>0.7</v>
      </c>
      <c r="U25" s="42"/>
      <c r="V25" s="36"/>
      <c r="W25" s="36"/>
      <c r="X25" s="57"/>
      <c r="Y25" s="57"/>
      <c r="Z25" s="63"/>
      <c r="AA25" s="57"/>
      <c r="AB25" s="63">
        <v>6.8</v>
      </c>
      <c r="AC25" s="63">
        <v>6.9</v>
      </c>
      <c r="AD25" s="10">
        <v>0.13</v>
      </c>
      <c r="AE25" s="36">
        <v>4.17</v>
      </c>
      <c r="AF25" s="36"/>
      <c r="AG25" s="36"/>
      <c r="AH25" s="36"/>
      <c r="AI25" s="57"/>
      <c r="AJ25" s="57"/>
      <c r="AK25" s="36"/>
      <c r="AL25" s="36"/>
      <c r="AM25" s="63">
        <v>6.7</v>
      </c>
      <c r="AN25" s="63">
        <v>7.2</v>
      </c>
      <c r="AO25" s="36">
        <v>0.17</v>
      </c>
      <c r="AP25" s="68">
        <v>4.05</v>
      </c>
      <c r="AQ25" s="73">
        <f t="shared" si="0"/>
        <v>1754</v>
      </c>
      <c r="AR25" s="75">
        <f t="shared" si="1"/>
        <v>0.66875712656784492</v>
      </c>
      <c r="AS25" s="75">
        <f t="shared" si="2"/>
        <v>4.6180159635119726E-2</v>
      </c>
      <c r="AT25" s="75">
        <f t="shared" si="3"/>
        <v>0.28506271379703535</v>
      </c>
      <c r="AU25" s="26" t="str">
        <f t="shared" si="4"/>
        <v/>
      </c>
      <c r="AV25" s="26" t="str">
        <f t="shared" si="5"/>
        <v/>
      </c>
      <c r="AW25" s="24" t="str">
        <f t="shared" si="6"/>
        <v/>
      </c>
      <c r="AX25" s="24" t="str">
        <f t="shared" si="7"/>
        <v/>
      </c>
      <c r="AY25" s="77" t="str">
        <f t="shared" si="8"/>
        <v>7,5 ≤ Alc. Bruta &lt; 10,0 mg/L</v>
      </c>
      <c r="AZ25" s="77" t="str">
        <f t="shared" si="9"/>
        <v>15 ≤ Cor &lt; 30 uC</v>
      </c>
      <c r="BA25" s="78" t="str">
        <f t="shared" si="10"/>
        <v>2,5 ≤ Turb &lt; 5,0 uT</v>
      </c>
      <c r="BB25" s="79" t="str">
        <f t="shared" si="11"/>
        <v>TOR &gt; BNN &gt; SM</v>
      </c>
      <c r="BC25" s="78" t="str">
        <f t="shared" si="12"/>
        <v>Tipo 1 (≤0,25) uT</v>
      </c>
      <c r="BD25" s="78" t="str">
        <f t="shared" si="13"/>
        <v>Tipo 1 (≤0,25) uT</v>
      </c>
      <c r="BE25" s="78" t="str">
        <f t="shared" si="14"/>
        <v>Tipo 4 (&gt;0,75) uT</v>
      </c>
      <c r="BF25" s="78" t="str">
        <f t="shared" si="15"/>
        <v>Tipo 4 (&gt;0,75) uT</v>
      </c>
      <c r="BG25" s="78" t="str">
        <f t="shared" si="16"/>
        <v>Tipo 2 (0,25-0,50) uT</v>
      </c>
    </row>
    <row r="26" spans="1:59" x14ac:dyDescent="0.2">
      <c r="A26" s="21">
        <v>46130</v>
      </c>
      <c r="B26" s="48">
        <v>0.8125</v>
      </c>
      <c r="C26" s="57">
        <v>1191</v>
      </c>
      <c r="D26" s="57">
        <v>81</v>
      </c>
      <c r="E26" s="57">
        <v>500</v>
      </c>
      <c r="F26" s="57">
        <v>1895</v>
      </c>
      <c r="G26" s="10" t="s">
        <v>34</v>
      </c>
      <c r="H26" s="63">
        <v>3.6</v>
      </c>
      <c r="I26" s="57">
        <v>90</v>
      </c>
      <c r="J26" s="57">
        <v>90</v>
      </c>
      <c r="K26" s="57">
        <v>90</v>
      </c>
      <c r="L26" s="63">
        <v>25.1</v>
      </c>
      <c r="M26" s="63">
        <v>6.7</v>
      </c>
      <c r="N26" s="36">
        <v>3.99</v>
      </c>
      <c r="O26" s="57">
        <v>17</v>
      </c>
      <c r="P26" s="63">
        <v>9.1999999999999993</v>
      </c>
      <c r="Q26" s="36">
        <v>0.31</v>
      </c>
      <c r="R26" s="36">
        <v>22.36</v>
      </c>
      <c r="S26" s="36">
        <v>0.88</v>
      </c>
      <c r="T26" s="36">
        <v>0.7</v>
      </c>
      <c r="U26" s="42"/>
      <c r="V26" s="36"/>
      <c r="W26" s="36"/>
      <c r="X26" s="57"/>
      <c r="Y26" s="57"/>
      <c r="Z26" s="63"/>
      <c r="AA26" s="57"/>
      <c r="AB26" s="63">
        <v>6.7</v>
      </c>
      <c r="AC26" s="63">
        <v>12</v>
      </c>
      <c r="AD26" s="10">
        <v>0.12</v>
      </c>
      <c r="AE26" s="36">
        <v>4.7699999999999996</v>
      </c>
      <c r="AF26" s="36"/>
      <c r="AG26" s="36"/>
      <c r="AH26" s="36"/>
      <c r="AI26" s="57"/>
      <c r="AJ26" s="57"/>
      <c r="AK26" s="36"/>
      <c r="AL26" s="36"/>
      <c r="AM26" s="63">
        <v>6.8</v>
      </c>
      <c r="AN26" s="63">
        <v>10</v>
      </c>
      <c r="AO26" s="36">
        <v>0.1</v>
      </c>
      <c r="AP26" s="68">
        <v>6.87</v>
      </c>
      <c r="AQ26" s="73">
        <f t="shared" si="0"/>
        <v>1772</v>
      </c>
      <c r="AR26" s="75">
        <f t="shared" si="1"/>
        <v>0.67212189616252827</v>
      </c>
      <c r="AS26" s="75">
        <f t="shared" si="2"/>
        <v>4.5711060948081264E-2</v>
      </c>
      <c r="AT26" s="75">
        <f t="shared" si="3"/>
        <v>0.28216704288939054</v>
      </c>
      <c r="AU26" s="26" t="str">
        <f t="shared" si="4"/>
        <v/>
      </c>
      <c r="AV26" s="26" t="str">
        <f t="shared" si="5"/>
        <v/>
      </c>
      <c r="AW26" s="24" t="str">
        <f t="shared" si="6"/>
        <v/>
      </c>
      <c r="AX26" s="24" t="str">
        <f t="shared" si="7"/>
        <v/>
      </c>
      <c r="AY26" s="77" t="str">
        <f t="shared" si="8"/>
        <v>7,5 ≤ Alc. Bruta &lt; 10,0 mg/L</v>
      </c>
      <c r="AZ26" s="77" t="str">
        <f t="shared" si="9"/>
        <v>15 ≤ Cor &lt; 30 uC</v>
      </c>
      <c r="BA26" s="78" t="str">
        <f t="shared" si="10"/>
        <v>2,5 ≤ Turb &lt; 5,0 uT</v>
      </c>
      <c r="BB26" s="79" t="str">
        <f t="shared" si="11"/>
        <v>TOR &gt; BNN &gt; SM</v>
      </c>
      <c r="BC26" s="78" t="str">
        <f t="shared" si="12"/>
        <v>Tipo 1 (≤0,25) uT</v>
      </c>
      <c r="BD26" s="78" t="str">
        <f t="shared" si="13"/>
        <v>Tipo 1 (≤0,25) uT</v>
      </c>
      <c r="BE26" s="78" t="str">
        <f t="shared" si="14"/>
        <v>Tipo 4 (&gt;0,75) uT</v>
      </c>
      <c r="BF26" s="78" t="str">
        <f t="shared" si="15"/>
        <v>Tipo 4 (&gt;0,75) uT</v>
      </c>
      <c r="BG26" s="78" t="str">
        <f t="shared" si="16"/>
        <v>Tipo 2 (0,25-0,50) uT</v>
      </c>
    </row>
    <row r="27" spans="1:59" x14ac:dyDescent="0.2">
      <c r="A27" s="21">
        <v>46130</v>
      </c>
      <c r="B27" s="48">
        <v>0.89583333333333337</v>
      </c>
      <c r="C27" s="57">
        <v>1099</v>
      </c>
      <c r="D27" s="57">
        <v>81</v>
      </c>
      <c r="E27" s="57">
        <v>498</v>
      </c>
      <c r="F27" s="57">
        <v>1903</v>
      </c>
      <c r="G27" s="10" t="s">
        <v>34</v>
      </c>
      <c r="H27" s="63">
        <v>3.6</v>
      </c>
      <c r="I27" s="57">
        <v>90</v>
      </c>
      <c r="J27" s="57">
        <v>90</v>
      </c>
      <c r="K27" s="57">
        <v>90</v>
      </c>
      <c r="L27" s="63">
        <v>24.7</v>
      </c>
      <c r="M27" s="63">
        <v>6.7</v>
      </c>
      <c r="N27" s="36">
        <v>4.46</v>
      </c>
      <c r="O27" s="57">
        <v>17</v>
      </c>
      <c r="P27" s="63">
        <v>7</v>
      </c>
      <c r="Q27" s="36">
        <v>0.32</v>
      </c>
      <c r="R27" s="36">
        <v>22.36</v>
      </c>
      <c r="S27" s="36">
        <v>0.88</v>
      </c>
      <c r="T27" s="36">
        <v>0.7</v>
      </c>
      <c r="U27" s="42"/>
      <c r="V27" s="36"/>
      <c r="W27" s="36"/>
      <c r="X27" s="57"/>
      <c r="Y27" s="57"/>
      <c r="Z27" s="63"/>
      <c r="AA27" s="57"/>
      <c r="AB27" s="63">
        <v>6.8</v>
      </c>
      <c r="AC27" s="63">
        <v>6.9</v>
      </c>
      <c r="AD27" s="10">
        <v>0.17</v>
      </c>
      <c r="AE27" s="36">
        <v>1.74</v>
      </c>
      <c r="AF27" s="36"/>
      <c r="AG27" s="36"/>
      <c r="AH27" s="36"/>
      <c r="AI27" s="57"/>
      <c r="AJ27" s="57"/>
      <c r="AK27" s="36"/>
      <c r="AL27" s="36"/>
      <c r="AM27" s="63">
        <v>6.8</v>
      </c>
      <c r="AN27" s="63">
        <v>6.7</v>
      </c>
      <c r="AO27" s="36">
        <v>0.18</v>
      </c>
      <c r="AP27" s="68">
        <v>1.44</v>
      </c>
      <c r="AQ27" s="73">
        <f t="shared" si="0"/>
        <v>1678</v>
      </c>
      <c r="AR27" s="75">
        <f t="shared" si="1"/>
        <v>0.65494636471990464</v>
      </c>
      <c r="AS27" s="75">
        <f t="shared" si="2"/>
        <v>4.8271752085816445E-2</v>
      </c>
      <c r="AT27" s="75">
        <f t="shared" si="3"/>
        <v>0.29678188319427889</v>
      </c>
      <c r="AU27" s="26" t="str">
        <f t="shared" si="4"/>
        <v/>
      </c>
      <c r="AV27" s="26" t="str">
        <f t="shared" si="5"/>
        <v/>
      </c>
      <c r="AW27" s="24">
        <f t="shared" si="6"/>
        <v>0.67713004484304928</v>
      </c>
      <c r="AX27" s="24">
        <f t="shared" si="7"/>
        <v>0.60986547085201792</v>
      </c>
      <c r="AY27" s="77" t="str">
        <f t="shared" si="8"/>
        <v>5,0 ≤ Alc. Bruta &lt; 7,5 mg/L</v>
      </c>
      <c r="AZ27" s="77" t="str">
        <f t="shared" si="9"/>
        <v>15 ≤ Cor &lt; 30 uC</v>
      </c>
      <c r="BA27" s="78" t="str">
        <f t="shared" si="10"/>
        <v>2,5 ≤ Turb &lt; 5,0 uT</v>
      </c>
      <c r="BB27" s="79" t="str">
        <f t="shared" si="11"/>
        <v>TOR &gt; BNN &gt; SM</v>
      </c>
      <c r="BC27" s="78" t="str">
        <f t="shared" si="12"/>
        <v>Tipo 1 (≤0,25) uT</v>
      </c>
      <c r="BD27" s="78" t="str">
        <f t="shared" si="13"/>
        <v>Tipo 1 (≤0,25) uT</v>
      </c>
      <c r="BE27" s="78" t="str">
        <f t="shared" si="14"/>
        <v>Tipo 4 (&gt;0,75) uT</v>
      </c>
      <c r="BF27" s="78" t="str">
        <f t="shared" si="15"/>
        <v>Tipo 4 (&gt;0,75) uT</v>
      </c>
      <c r="BG27" s="78" t="str">
        <f t="shared" si="16"/>
        <v>Tipo 2 (0,25-0,50) uT</v>
      </c>
    </row>
    <row r="28" spans="1:59" x14ac:dyDescent="0.2">
      <c r="A28" s="21">
        <v>46130</v>
      </c>
      <c r="B28" s="48">
        <v>0.97916666666666663</v>
      </c>
      <c r="C28" s="57">
        <v>1172</v>
      </c>
      <c r="D28" s="57">
        <v>88</v>
      </c>
      <c r="E28" s="57">
        <v>500</v>
      </c>
      <c r="F28" s="57">
        <v>1892</v>
      </c>
      <c r="G28" s="10" t="s">
        <v>34</v>
      </c>
      <c r="H28" s="63">
        <v>3.6</v>
      </c>
      <c r="I28" s="57">
        <v>90</v>
      </c>
      <c r="J28" s="57">
        <v>90</v>
      </c>
      <c r="K28" s="57">
        <v>90</v>
      </c>
      <c r="L28" s="63">
        <v>24.3</v>
      </c>
      <c r="M28" s="63">
        <v>6.8</v>
      </c>
      <c r="N28" s="36">
        <v>4.3899999999999997</v>
      </c>
      <c r="O28" s="57">
        <v>16</v>
      </c>
      <c r="P28" s="63">
        <v>7.1</v>
      </c>
      <c r="Q28" s="36">
        <v>0.31</v>
      </c>
      <c r="R28" s="36">
        <v>22.36</v>
      </c>
      <c r="S28" s="36">
        <v>0.88</v>
      </c>
      <c r="T28" s="36">
        <v>0.7</v>
      </c>
      <c r="U28" s="42"/>
      <c r="V28" s="36"/>
      <c r="W28" s="36"/>
      <c r="X28" s="57"/>
      <c r="Y28" s="57"/>
      <c r="Z28" s="63"/>
      <c r="AA28" s="57"/>
      <c r="AB28" s="63">
        <v>6.7</v>
      </c>
      <c r="AC28" s="63">
        <v>6.9</v>
      </c>
      <c r="AD28" s="10">
        <v>0.15</v>
      </c>
      <c r="AE28" s="36">
        <v>1.02</v>
      </c>
      <c r="AF28" s="36"/>
      <c r="AG28" s="36"/>
      <c r="AH28" s="36"/>
      <c r="AI28" s="57"/>
      <c r="AJ28" s="57"/>
      <c r="AK28" s="36"/>
      <c r="AL28" s="36"/>
      <c r="AM28" s="63">
        <v>6.7</v>
      </c>
      <c r="AN28" s="63">
        <v>6.8</v>
      </c>
      <c r="AO28" s="36">
        <v>0.14000000000000001</v>
      </c>
      <c r="AP28" s="68">
        <v>1.07</v>
      </c>
      <c r="AQ28" s="73">
        <f t="shared" si="0"/>
        <v>1760</v>
      </c>
      <c r="AR28" s="75">
        <f t="shared" si="1"/>
        <v>0.66590909090909089</v>
      </c>
      <c r="AS28" s="75">
        <f t="shared" si="2"/>
        <v>0.05</v>
      </c>
      <c r="AT28" s="75">
        <f t="shared" si="3"/>
        <v>0.28409090909090912</v>
      </c>
      <c r="AU28" s="26" t="str">
        <f t="shared" si="4"/>
        <v/>
      </c>
      <c r="AV28" s="26" t="str">
        <f t="shared" si="5"/>
        <v/>
      </c>
      <c r="AW28" s="24">
        <f t="shared" si="6"/>
        <v>0.75626423690205002</v>
      </c>
      <c r="AX28" s="24">
        <f t="shared" si="7"/>
        <v>0.76765375854214124</v>
      </c>
      <c r="AY28" s="77" t="str">
        <f t="shared" si="8"/>
        <v>5,0 ≤ Alc. Bruta &lt; 7,5 mg/L</v>
      </c>
      <c r="AZ28" s="77" t="str">
        <f t="shared" si="9"/>
        <v>15 ≤ Cor &lt; 30 uC</v>
      </c>
      <c r="BA28" s="78" t="str">
        <f t="shared" si="10"/>
        <v>2,5 ≤ Turb &lt; 5,0 uT</v>
      </c>
      <c r="BB28" s="79" t="str">
        <f t="shared" si="11"/>
        <v>TOR &gt; BNN &gt; SM</v>
      </c>
      <c r="BC28" s="78" t="str">
        <f t="shared" si="12"/>
        <v>Tipo 1 (≤0,25) uT</v>
      </c>
      <c r="BD28" s="78" t="str">
        <f t="shared" si="13"/>
        <v>Tipo 1 (≤0,25) uT</v>
      </c>
      <c r="BE28" s="78" t="str">
        <f t="shared" si="14"/>
        <v>Tipo 4 (&gt;0,75) uT</v>
      </c>
      <c r="BF28" s="78" t="str">
        <f t="shared" si="15"/>
        <v>Tipo 4 (&gt;0,75) uT</v>
      </c>
      <c r="BG28" s="78" t="str">
        <f t="shared" si="16"/>
        <v>Tipo 2 (0,25-0,50) uT</v>
      </c>
    </row>
    <row r="29" spans="1:59" x14ac:dyDescent="0.2">
      <c r="A29" s="21">
        <v>46131</v>
      </c>
      <c r="B29" s="48">
        <v>6.25E-2</v>
      </c>
      <c r="C29" s="57">
        <v>548</v>
      </c>
      <c r="D29" s="57">
        <v>85</v>
      </c>
      <c r="E29" s="57">
        <v>527</v>
      </c>
      <c r="F29" s="57">
        <v>1214</v>
      </c>
      <c r="G29" s="10" t="s">
        <v>34</v>
      </c>
      <c r="H29" s="63">
        <v>3.6</v>
      </c>
      <c r="I29" s="57">
        <v>90</v>
      </c>
      <c r="J29" s="57">
        <v>90</v>
      </c>
      <c r="K29" s="57">
        <v>90</v>
      </c>
      <c r="L29" s="63">
        <v>23.8</v>
      </c>
      <c r="M29" s="63">
        <v>6.9</v>
      </c>
      <c r="N29" s="36">
        <v>3.96</v>
      </c>
      <c r="O29" s="57">
        <v>16</v>
      </c>
      <c r="P29" s="63">
        <v>9.9</v>
      </c>
      <c r="Q29" s="36">
        <v>0.37</v>
      </c>
      <c r="R29" s="36">
        <v>22.36</v>
      </c>
      <c r="S29" s="36">
        <v>0.88</v>
      </c>
      <c r="T29" s="36">
        <v>0.7</v>
      </c>
      <c r="U29" s="42"/>
      <c r="V29" s="36"/>
      <c r="W29" s="36"/>
      <c r="X29" s="57"/>
      <c r="Y29" s="57"/>
      <c r="Z29" s="63"/>
      <c r="AA29" s="57"/>
      <c r="AB29" s="63">
        <v>6.9</v>
      </c>
      <c r="AC29" s="63">
        <v>10.199999999999999</v>
      </c>
      <c r="AD29" s="10">
        <v>0.17</v>
      </c>
      <c r="AE29" s="36">
        <v>0.82</v>
      </c>
      <c r="AF29" s="36"/>
      <c r="AG29" s="36"/>
      <c r="AH29" s="36"/>
      <c r="AI29" s="57"/>
      <c r="AJ29" s="57"/>
      <c r="AK29" s="36"/>
      <c r="AL29" s="36"/>
      <c r="AM29" s="63">
        <v>6.9</v>
      </c>
      <c r="AN29" s="63">
        <v>11</v>
      </c>
      <c r="AO29" s="36">
        <v>0.18</v>
      </c>
      <c r="AP29" s="68">
        <v>0.92</v>
      </c>
      <c r="AQ29" s="73">
        <f t="shared" si="0"/>
        <v>1160</v>
      </c>
      <c r="AR29" s="75">
        <f t="shared" si="1"/>
        <v>0.47241379310344828</v>
      </c>
      <c r="AS29" s="75">
        <f t="shared" si="2"/>
        <v>7.3275862068965511E-2</v>
      </c>
      <c r="AT29" s="75">
        <f t="shared" si="3"/>
        <v>0.4543103448275862</v>
      </c>
      <c r="AU29" s="26" t="str">
        <f t="shared" si="4"/>
        <v/>
      </c>
      <c r="AV29" s="26" t="str">
        <f t="shared" si="5"/>
        <v/>
      </c>
      <c r="AW29" s="24">
        <f t="shared" si="6"/>
        <v>0.76767676767676762</v>
      </c>
      <c r="AX29" s="24">
        <f t="shared" si="7"/>
        <v>0.79292929292929293</v>
      </c>
      <c r="AY29" s="77" t="str">
        <f t="shared" si="8"/>
        <v>7,5 ≤ Alc. Bruta &lt; 10,0 mg/L</v>
      </c>
      <c r="AZ29" s="77" t="str">
        <f t="shared" si="9"/>
        <v>15 ≤ Cor &lt; 30 uC</v>
      </c>
      <c r="BA29" s="78" t="str">
        <f t="shared" si="10"/>
        <v>2,5 ≤ Turb &lt; 5,0 uT</v>
      </c>
      <c r="BB29" s="79" t="str">
        <f t="shared" si="11"/>
        <v>TOR &gt; BNN &gt; SM</v>
      </c>
      <c r="BC29" s="78" t="str">
        <f t="shared" si="12"/>
        <v>Tipo 1 (≤0,25) uT</v>
      </c>
      <c r="BD29" s="78" t="str">
        <f t="shared" si="13"/>
        <v>Tipo 1 (≤0,25) uT</v>
      </c>
      <c r="BE29" s="78" t="str">
        <f t="shared" si="14"/>
        <v>Tipo 4 (&gt;0,75) uT</v>
      </c>
      <c r="BF29" s="78" t="str">
        <f t="shared" si="15"/>
        <v>Tipo 4 (&gt;0,75) uT</v>
      </c>
      <c r="BG29" s="78" t="str">
        <f t="shared" si="16"/>
        <v>Tipo 2 (0,25-0,50) uT</v>
      </c>
    </row>
    <row r="30" spans="1:59" x14ac:dyDescent="0.2">
      <c r="A30" s="21">
        <v>46131</v>
      </c>
      <c r="B30" s="48">
        <v>0.14583333333333334</v>
      </c>
      <c r="C30" s="57">
        <v>544</v>
      </c>
      <c r="D30" s="57">
        <v>86</v>
      </c>
      <c r="E30" s="57">
        <v>528</v>
      </c>
      <c r="F30" s="57">
        <v>1215</v>
      </c>
      <c r="G30" s="10" t="s">
        <v>34</v>
      </c>
      <c r="H30" s="63">
        <v>3.6</v>
      </c>
      <c r="I30" s="57">
        <v>90</v>
      </c>
      <c r="J30" s="57">
        <v>90</v>
      </c>
      <c r="K30" s="57">
        <v>90</v>
      </c>
      <c r="L30" s="63">
        <v>23.8</v>
      </c>
      <c r="M30" s="63">
        <v>6.8</v>
      </c>
      <c r="N30" s="36">
        <v>4.1100000000000003</v>
      </c>
      <c r="O30" s="57">
        <v>16</v>
      </c>
      <c r="P30" s="63">
        <v>13.3</v>
      </c>
      <c r="Q30" s="36">
        <v>0.32</v>
      </c>
      <c r="R30" s="36">
        <v>22.36</v>
      </c>
      <c r="S30" s="36">
        <v>0.88</v>
      </c>
      <c r="T30" s="36">
        <v>0.7</v>
      </c>
      <c r="U30" s="42"/>
      <c r="V30" s="36"/>
      <c r="W30" s="36"/>
      <c r="X30" s="57"/>
      <c r="Y30" s="57"/>
      <c r="Z30" s="63"/>
      <c r="AA30" s="57"/>
      <c r="AB30" s="63">
        <v>6.9</v>
      </c>
      <c r="AC30" s="63">
        <v>11.8</v>
      </c>
      <c r="AD30" s="10">
        <v>0.13</v>
      </c>
      <c r="AE30" s="36">
        <v>0.84</v>
      </c>
      <c r="AF30" s="36"/>
      <c r="AG30" s="36"/>
      <c r="AH30" s="36"/>
      <c r="AI30" s="57"/>
      <c r="AJ30" s="57"/>
      <c r="AK30" s="36"/>
      <c r="AL30" s="36"/>
      <c r="AM30" s="63">
        <v>6.9</v>
      </c>
      <c r="AN30" s="63">
        <v>15.4</v>
      </c>
      <c r="AO30" s="36">
        <v>0.17</v>
      </c>
      <c r="AP30" s="68">
        <v>0.89</v>
      </c>
      <c r="AQ30" s="73">
        <f t="shared" si="0"/>
        <v>1158</v>
      </c>
      <c r="AR30" s="75">
        <f t="shared" si="1"/>
        <v>0.46977547495682209</v>
      </c>
      <c r="AS30" s="75">
        <f t="shared" si="2"/>
        <v>7.426597582037997E-2</v>
      </c>
      <c r="AT30" s="75">
        <f t="shared" si="3"/>
        <v>0.45595854922279794</v>
      </c>
      <c r="AU30" s="26" t="str">
        <f t="shared" si="4"/>
        <v/>
      </c>
      <c r="AV30" s="26" t="str">
        <f t="shared" si="5"/>
        <v/>
      </c>
      <c r="AW30" s="24">
        <f t="shared" si="6"/>
        <v>0.78345498783454992</v>
      </c>
      <c r="AX30" s="24">
        <f t="shared" si="7"/>
        <v>0.79562043795620441</v>
      </c>
      <c r="AY30" s="77" t="str">
        <f t="shared" si="8"/>
        <v>10,0 ≤ Alca. Bruta &lt; 15,0 mg/L</v>
      </c>
      <c r="AZ30" s="77" t="str">
        <f t="shared" si="9"/>
        <v>15 ≤ Cor &lt; 30 uC</v>
      </c>
      <c r="BA30" s="78" t="str">
        <f t="shared" si="10"/>
        <v>2,5 ≤ Turb &lt; 5,0 uT</v>
      </c>
      <c r="BB30" s="79" t="str">
        <f t="shared" si="11"/>
        <v>TOR &gt; BNN &gt; SM</v>
      </c>
      <c r="BC30" s="78" t="str">
        <f t="shared" si="12"/>
        <v>Tipo 1 (≤0,25) uT</v>
      </c>
      <c r="BD30" s="78" t="str">
        <f t="shared" si="13"/>
        <v>Tipo 1 (≤0,25) uT</v>
      </c>
      <c r="BE30" s="78" t="str">
        <f t="shared" si="14"/>
        <v>Tipo 4 (&gt;0,75) uT</v>
      </c>
      <c r="BF30" s="78" t="str">
        <f t="shared" si="15"/>
        <v>Tipo 4 (&gt;0,75) uT</v>
      </c>
      <c r="BG30" s="78" t="str">
        <f t="shared" si="16"/>
        <v>Tipo 2 (0,25-0,50) uT</v>
      </c>
    </row>
    <row r="31" spans="1:59" ht="15.75" thickBot="1" x14ac:dyDescent="0.25">
      <c r="A31" s="21">
        <v>46131</v>
      </c>
      <c r="B31" s="51">
        <v>0.22916666666666666</v>
      </c>
      <c r="C31" s="58">
        <v>532</v>
      </c>
      <c r="D31" s="58">
        <v>82</v>
      </c>
      <c r="E31" s="58">
        <v>527</v>
      </c>
      <c r="F31" s="58">
        <v>1269</v>
      </c>
      <c r="G31" s="11" t="s">
        <v>34</v>
      </c>
      <c r="H31" s="64">
        <v>3.6</v>
      </c>
      <c r="I31" s="57">
        <v>90</v>
      </c>
      <c r="J31" s="57">
        <v>90</v>
      </c>
      <c r="K31" s="57">
        <v>90</v>
      </c>
      <c r="L31" s="64">
        <v>23.8</v>
      </c>
      <c r="M31" s="64">
        <v>6.8</v>
      </c>
      <c r="N31" s="37">
        <v>4.33</v>
      </c>
      <c r="O31" s="58">
        <v>16</v>
      </c>
      <c r="P31" s="64">
        <v>6.1</v>
      </c>
      <c r="Q31" s="37">
        <v>0.85</v>
      </c>
      <c r="R31" s="36">
        <v>22.36</v>
      </c>
      <c r="S31" s="36">
        <v>0.88</v>
      </c>
      <c r="T31" s="36">
        <v>0.7</v>
      </c>
      <c r="U31" s="42"/>
      <c r="V31" s="41"/>
      <c r="W31" s="37"/>
      <c r="X31" s="58"/>
      <c r="Y31" s="58"/>
      <c r="Z31" s="64"/>
      <c r="AA31" s="58"/>
      <c r="AB31" s="64">
        <v>6.9</v>
      </c>
      <c r="AC31" s="64">
        <v>8.1</v>
      </c>
      <c r="AD31" s="11">
        <v>0.26</v>
      </c>
      <c r="AE31" s="37">
        <v>0.66</v>
      </c>
      <c r="AF31" s="37"/>
      <c r="AG31" s="37"/>
      <c r="AH31" s="37"/>
      <c r="AI31" s="58"/>
      <c r="AJ31" s="58"/>
      <c r="AK31" s="37"/>
      <c r="AL31" s="37"/>
      <c r="AM31" s="64">
        <v>7</v>
      </c>
      <c r="AN31" s="64">
        <v>8.4</v>
      </c>
      <c r="AO31" s="37">
        <v>0.16</v>
      </c>
      <c r="AP31" s="69">
        <v>1.68</v>
      </c>
      <c r="AQ31" s="73">
        <f t="shared" si="0"/>
        <v>1141</v>
      </c>
      <c r="AR31" s="75">
        <f t="shared" si="1"/>
        <v>0.46625766871165641</v>
      </c>
      <c r="AS31" s="75">
        <f t="shared" si="2"/>
        <v>7.1866783523225244E-2</v>
      </c>
      <c r="AT31" s="75">
        <f t="shared" si="3"/>
        <v>0.4618755477651183</v>
      </c>
      <c r="AU31" s="26" t="str">
        <f t="shared" si="4"/>
        <v/>
      </c>
      <c r="AV31" s="26" t="str">
        <f t="shared" si="5"/>
        <v/>
      </c>
      <c r="AW31" s="24">
        <f t="shared" si="6"/>
        <v>0.61200923787528871</v>
      </c>
      <c r="AX31" s="24">
        <f t="shared" si="7"/>
        <v>0.84757505773672048</v>
      </c>
      <c r="AY31" s="77" t="str">
        <f t="shared" si="8"/>
        <v>5,0 ≤ Alc. Bruta &lt; 7,5 mg/L</v>
      </c>
      <c r="AZ31" s="77" t="str">
        <f t="shared" si="9"/>
        <v>15 ≤ Cor &lt; 30 uC</v>
      </c>
      <c r="BA31" s="78" t="str">
        <f t="shared" si="10"/>
        <v>2,5 ≤ Turb &lt; 5,0 uT</v>
      </c>
      <c r="BB31" s="79" t="str">
        <f t="shared" si="11"/>
        <v>TOR &gt; BNN &gt; SM</v>
      </c>
      <c r="BC31" s="78" t="str">
        <f t="shared" si="12"/>
        <v>Tipo 2 (0,25-0,50) uT</v>
      </c>
      <c r="BD31" s="78" t="str">
        <f t="shared" si="13"/>
        <v>Tipo 1 (≤0,25) uT</v>
      </c>
      <c r="BE31" s="78" t="str">
        <f t="shared" si="14"/>
        <v>Tipo 3 (0,50-0,75) uT</v>
      </c>
      <c r="BF31" s="78" t="str">
        <f t="shared" si="15"/>
        <v>Tipo 4 (&gt;0,75) uT</v>
      </c>
      <c r="BG31" s="78" t="str">
        <f t="shared" si="16"/>
        <v>Tipo 4 (&gt;0,75) uT</v>
      </c>
    </row>
    <row r="32" spans="1:59" x14ac:dyDescent="0.2">
      <c r="A32" s="21">
        <v>46131</v>
      </c>
      <c r="B32" s="52">
        <v>0.3125</v>
      </c>
      <c r="C32" s="59">
        <v>560</v>
      </c>
      <c r="D32" s="59">
        <v>87</v>
      </c>
      <c r="E32" s="59">
        <v>525</v>
      </c>
      <c r="F32" s="59">
        <v>1210</v>
      </c>
      <c r="G32" s="9" t="s">
        <v>34</v>
      </c>
      <c r="H32" s="65">
        <v>3.6</v>
      </c>
      <c r="I32" s="59">
        <v>90</v>
      </c>
      <c r="J32" s="59">
        <v>90</v>
      </c>
      <c r="K32" s="59">
        <v>90</v>
      </c>
      <c r="L32" s="65">
        <v>23.6</v>
      </c>
      <c r="M32" s="65">
        <v>6.8</v>
      </c>
      <c r="N32" s="38">
        <v>4.2699999999999996</v>
      </c>
      <c r="O32" s="59">
        <v>20</v>
      </c>
      <c r="P32" s="65">
        <v>9.1999999999999993</v>
      </c>
      <c r="Q32" s="38">
        <v>0.26</v>
      </c>
      <c r="R32" s="36">
        <v>22.36</v>
      </c>
      <c r="S32" s="36">
        <v>0.88</v>
      </c>
      <c r="T32" s="36">
        <v>0.7</v>
      </c>
      <c r="U32" s="42"/>
      <c r="V32" s="39"/>
      <c r="W32" s="38"/>
      <c r="X32" s="59"/>
      <c r="Y32" s="59"/>
      <c r="Z32" s="65"/>
      <c r="AA32" s="59"/>
      <c r="AB32" s="65">
        <v>6.9</v>
      </c>
      <c r="AC32" s="65">
        <v>10.8</v>
      </c>
      <c r="AD32" s="9">
        <v>0.18</v>
      </c>
      <c r="AE32" s="38">
        <v>0.83</v>
      </c>
      <c r="AF32" s="38"/>
      <c r="AG32" s="38"/>
      <c r="AH32" s="38"/>
      <c r="AI32" s="59"/>
      <c r="AJ32" s="59"/>
      <c r="AK32" s="38"/>
      <c r="AL32" s="38"/>
      <c r="AM32" s="65">
        <v>6.9</v>
      </c>
      <c r="AN32" s="65">
        <v>10.199999999999999</v>
      </c>
      <c r="AO32" s="38">
        <v>0.13</v>
      </c>
      <c r="AP32" s="70">
        <v>0.99</v>
      </c>
      <c r="AQ32" s="73">
        <f t="shared" si="0"/>
        <v>1172</v>
      </c>
      <c r="AR32" s="75">
        <f t="shared" si="1"/>
        <v>0.47781569965870307</v>
      </c>
      <c r="AS32" s="75">
        <f t="shared" si="2"/>
        <v>7.4232081911262793E-2</v>
      </c>
      <c r="AT32" s="75">
        <f t="shared" si="3"/>
        <v>0.44795221843003413</v>
      </c>
      <c r="AU32" s="26" t="str">
        <f t="shared" si="4"/>
        <v/>
      </c>
      <c r="AV32" s="26" t="str">
        <f t="shared" si="5"/>
        <v/>
      </c>
      <c r="AW32" s="24">
        <f t="shared" si="6"/>
        <v>0.76814988290398123</v>
      </c>
      <c r="AX32" s="24">
        <f t="shared" si="7"/>
        <v>0.80562060889929743</v>
      </c>
      <c r="AY32" s="77" t="str">
        <f t="shared" si="8"/>
        <v>7,5 ≤ Alc. Bruta &lt; 10,0 mg/L</v>
      </c>
      <c r="AZ32" s="77" t="str">
        <f t="shared" si="9"/>
        <v>15 ≤ Cor &lt; 30 uC</v>
      </c>
      <c r="BA32" s="78" t="str">
        <f t="shared" si="10"/>
        <v>2,5 ≤ Turb &lt; 5,0 uT</v>
      </c>
      <c r="BB32" s="79" t="str">
        <f t="shared" si="11"/>
        <v>TOR &gt; BNN &gt; SM</v>
      </c>
      <c r="BC32" s="78" t="str">
        <f t="shared" si="12"/>
        <v>Tipo 1 (≤0,25) uT</v>
      </c>
      <c r="BD32" s="78" t="str">
        <f t="shared" si="13"/>
        <v>Tipo 1 (≤0,25) uT</v>
      </c>
      <c r="BE32" s="78" t="str">
        <f t="shared" si="14"/>
        <v>Tipo 4 (&gt;0,75) uT</v>
      </c>
      <c r="BF32" s="78" t="str">
        <f t="shared" si="15"/>
        <v>Tipo 4 (&gt;0,75) uT</v>
      </c>
      <c r="BG32" s="78" t="str">
        <f t="shared" si="16"/>
        <v>Tipo 2 (0,25-0,50) uT</v>
      </c>
    </row>
    <row r="33" spans="1:59" x14ac:dyDescent="0.2">
      <c r="A33" s="21">
        <v>46131</v>
      </c>
      <c r="B33" s="48">
        <v>0.39583333333333331</v>
      </c>
      <c r="C33" s="57">
        <v>530</v>
      </c>
      <c r="D33" s="57">
        <v>82</v>
      </c>
      <c r="E33" s="57">
        <v>528</v>
      </c>
      <c r="F33" s="57">
        <v>1166</v>
      </c>
      <c r="G33" s="10" t="s">
        <v>34</v>
      </c>
      <c r="H33" s="63">
        <v>3.6</v>
      </c>
      <c r="I33" s="57">
        <v>90</v>
      </c>
      <c r="J33" s="57">
        <v>90</v>
      </c>
      <c r="K33" s="57">
        <v>90</v>
      </c>
      <c r="L33" s="63">
        <v>23.8</v>
      </c>
      <c r="M33" s="63">
        <v>6.8</v>
      </c>
      <c r="N33" s="36">
        <v>4.76</v>
      </c>
      <c r="O33" s="57">
        <v>17</v>
      </c>
      <c r="P33" s="63">
        <v>14.1</v>
      </c>
      <c r="Q33" s="36">
        <v>0.25</v>
      </c>
      <c r="R33" s="36">
        <v>22.36</v>
      </c>
      <c r="S33" s="36">
        <v>0.88</v>
      </c>
      <c r="T33" s="36">
        <v>0.7</v>
      </c>
      <c r="U33" s="42"/>
      <c r="V33" s="36"/>
      <c r="W33" s="36"/>
      <c r="X33" s="57"/>
      <c r="Y33" s="57"/>
      <c r="Z33" s="63"/>
      <c r="AA33" s="57"/>
      <c r="AB33" s="63">
        <v>7</v>
      </c>
      <c r="AC33" s="63">
        <v>15</v>
      </c>
      <c r="AD33" s="10">
        <v>0.15</v>
      </c>
      <c r="AE33" s="36">
        <v>0.77</v>
      </c>
      <c r="AF33" s="36"/>
      <c r="AG33" s="36"/>
      <c r="AH33" s="36"/>
      <c r="AI33" s="57"/>
      <c r="AJ33" s="57"/>
      <c r="AK33" s="36"/>
      <c r="AL33" s="36"/>
      <c r="AM33" s="63">
        <v>7</v>
      </c>
      <c r="AN33" s="63">
        <v>10.5</v>
      </c>
      <c r="AO33" s="36">
        <v>0.13</v>
      </c>
      <c r="AP33" s="68">
        <v>0.84</v>
      </c>
      <c r="AQ33" s="73">
        <f t="shared" si="0"/>
        <v>1140</v>
      </c>
      <c r="AR33" s="75">
        <f t="shared" si="1"/>
        <v>0.46491228070175439</v>
      </c>
      <c r="AS33" s="75">
        <f t="shared" si="2"/>
        <v>7.192982456140351E-2</v>
      </c>
      <c r="AT33" s="75">
        <f t="shared" si="3"/>
        <v>0.4631578947368421</v>
      </c>
      <c r="AU33" s="26" t="str">
        <f t="shared" si="4"/>
        <v/>
      </c>
      <c r="AV33" s="26" t="str">
        <f t="shared" si="5"/>
        <v/>
      </c>
      <c r="AW33" s="24">
        <f t="shared" si="6"/>
        <v>0.82352941176470584</v>
      </c>
      <c r="AX33" s="24">
        <f t="shared" si="7"/>
        <v>0.83823529411764708</v>
      </c>
      <c r="AY33" s="77" t="str">
        <f t="shared" si="8"/>
        <v>10,0 ≤ Alca. Bruta &lt; 15,0 mg/L</v>
      </c>
      <c r="AZ33" s="77" t="str">
        <f t="shared" si="9"/>
        <v>15 ≤ Cor &lt; 30 uC</v>
      </c>
      <c r="BA33" s="78" t="str">
        <f t="shared" si="10"/>
        <v>2,5 ≤ Turb &lt; 5,0 uT</v>
      </c>
      <c r="BB33" s="79" t="str">
        <f t="shared" si="11"/>
        <v>TOR &gt; BNN &gt; SM</v>
      </c>
      <c r="BC33" s="78" t="str">
        <f t="shared" si="12"/>
        <v>Tipo 1 (≤0,25) uT</v>
      </c>
      <c r="BD33" s="78" t="str">
        <f t="shared" si="13"/>
        <v>Tipo 1 (≤0,25) uT</v>
      </c>
      <c r="BE33" s="78" t="str">
        <f t="shared" si="14"/>
        <v>Tipo 4 (&gt;0,75) uT</v>
      </c>
      <c r="BF33" s="78" t="str">
        <f t="shared" si="15"/>
        <v>Tipo 4 (&gt;0,75) uT</v>
      </c>
      <c r="BG33" s="78" t="str">
        <f t="shared" si="16"/>
        <v>Tipo 1 (≤0,25) uT</v>
      </c>
    </row>
    <row r="34" spans="1:59" x14ac:dyDescent="0.2">
      <c r="A34" s="21">
        <v>46131</v>
      </c>
      <c r="B34" s="48">
        <v>0.47916666666666669</v>
      </c>
      <c r="C34" s="57">
        <v>551</v>
      </c>
      <c r="D34" s="57">
        <v>82</v>
      </c>
      <c r="E34" s="57">
        <v>528</v>
      </c>
      <c r="F34" s="57">
        <v>1164</v>
      </c>
      <c r="G34" s="10" t="s">
        <v>34</v>
      </c>
      <c r="H34" s="63">
        <v>3.6</v>
      </c>
      <c r="I34" s="57">
        <v>90</v>
      </c>
      <c r="J34" s="57">
        <v>90</v>
      </c>
      <c r="K34" s="57">
        <v>90</v>
      </c>
      <c r="L34" s="63">
        <v>24.2</v>
      </c>
      <c r="M34" s="63">
        <v>6.8</v>
      </c>
      <c r="N34" s="36">
        <v>3.85</v>
      </c>
      <c r="O34" s="57">
        <v>15</v>
      </c>
      <c r="P34" s="63">
        <v>12.2</v>
      </c>
      <c r="Q34" s="36">
        <v>0.21</v>
      </c>
      <c r="R34" s="36">
        <v>22.36</v>
      </c>
      <c r="S34" s="36">
        <v>0.88</v>
      </c>
      <c r="T34" s="36">
        <v>0.7</v>
      </c>
      <c r="U34" s="42"/>
      <c r="V34" s="36"/>
      <c r="W34" s="36"/>
      <c r="X34" s="57"/>
      <c r="Y34" s="57"/>
      <c r="Z34" s="63"/>
      <c r="AA34" s="57"/>
      <c r="AB34" s="63">
        <v>6.9</v>
      </c>
      <c r="AC34" s="63">
        <v>15</v>
      </c>
      <c r="AD34" s="10">
        <v>0.18</v>
      </c>
      <c r="AE34" s="36">
        <v>0.72</v>
      </c>
      <c r="AF34" s="36"/>
      <c r="AG34" s="36"/>
      <c r="AH34" s="36"/>
      <c r="AI34" s="57"/>
      <c r="AJ34" s="57"/>
      <c r="AK34" s="36"/>
      <c r="AL34" s="36"/>
      <c r="AM34" s="63">
        <v>6.9</v>
      </c>
      <c r="AN34" s="63">
        <v>13.2</v>
      </c>
      <c r="AO34" s="36">
        <v>0.19</v>
      </c>
      <c r="AP34" s="68">
        <v>0.75</v>
      </c>
      <c r="AQ34" s="73">
        <f t="shared" si="0"/>
        <v>1161</v>
      </c>
      <c r="AR34" s="75">
        <f t="shared" si="1"/>
        <v>0.47459086993970717</v>
      </c>
      <c r="AS34" s="75">
        <f t="shared" si="2"/>
        <v>7.0628768303186915E-2</v>
      </c>
      <c r="AT34" s="75">
        <f t="shared" si="3"/>
        <v>0.45478036175710596</v>
      </c>
      <c r="AU34" s="26" t="str">
        <f t="shared" si="4"/>
        <v/>
      </c>
      <c r="AV34" s="26" t="str">
        <f t="shared" si="5"/>
        <v/>
      </c>
      <c r="AW34" s="24">
        <f t="shared" si="6"/>
        <v>0.80519480519480524</v>
      </c>
      <c r="AX34" s="24">
        <f t="shared" si="7"/>
        <v>0.81298701298701304</v>
      </c>
      <c r="AY34" s="77" t="str">
        <f t="shared" si="8"/>
        <v>10,0 ≤ Alca. Bruta &lt; 15,0 mg/L</v>
      </c>
      <c r="AZ34" s="77" t="str">
        <f t="shared" si="9"/>
        <v>15 ≤ Cor &lt; 30 uC</v>
      </c>
      <c r="BA34" s="78" t="str">
        <f t="shared" si="10"/>
        <v>2,5 ≤ Turb &lt; 5,0 uT</v>
      </c>
      <c r="BB34" s="79" t="str">
        <f t="shared" si="11"/>
        <v>TOR &gt; BNN &gt; SM</v>
      </c>
      <c r="BC34" s="78" t="str">
        <f t="shared" si="12"/>
        <v>Tipo 1 (≤0,25) uT</v>
      </c>
      <c r="BD34" s="78" t="str">
        <f t="shared" si="13"/>
        <v>Tipo 1 (≤0,25) uT</v>
      </c>
      <c r="BE34" s="78" t="str">
        <f t="shared" si="14"/>
        <v>Tipo 3 (0,50-0,75) uT</v>
      </c>
      <c r="BF34" s="78" t="str">
        <f t="shared" si="15"/>
        <v>Tipo 3 (0,50-0,75) uT</v>
      </c>
      <c r="BG34" s="78" t="str">
        <f t="shared" si="16"/>
        <v>Tipo 1 (≤0,25) uT</v>
      </c>
    </row>
    <row r="35" spans="1:59" x14ac:dyDescent="0.2">
      <c r="A35" s="21">
        <v>46131</v>
      </c>
      <c r="B35" s="48">
        <v>0.64583333333333337</v>
      </c>
      <c r="C35" s="57">
        <v>542</v>
      </c>
      <c r="D35" s="57">
        <v>89</v>
      </c>
      <c r="E35" s="57">
        <v>528</v>
      </c>
      <c r="F35" s="57">
        <v>1249</v>
      </c>
      <c r="G35" s="10" t="s">
        <v>34</v>
      </c>
      <c r="H35" s="63">
        <v>3.6</v>
      </c>
      <c r="I35" s="57">
        <v>90</v>
      </c>
      <c r="J35" s="57">
        <v>90</v>
      </c>
      <c r="K35" s="57">
        <v>90</v>
      </c>
      <c r="L35" s="63">
        <v>26.1</v>
      </c>
      <c r="M35" s="63">
        <v>6.9</v>
      </c>
      <c r="N35" s="36">
        <v>4.41</v>
      </c>
      <c r="O35" s="57">
        <v>16</v>
      </c>
      <c r="P35" s="63">
        <v>9.8000000000000007</v>
      </c>
      <c r="Q35" s="36">
        <v>0.25</v>
      </c>
      <c r="R35" s="36">
        <v>22.36</v>
      </c>
      <c r="S35" s="36">
        <v>0.88</v>
      </c>
      <c r="T35" s="36">
        <v>0.7</v>
      </c>
      <c r="U35" s="42"/>
      <c r="V35" s="36"/>
      <c r="W35" s="36"/>
      <c r="X35" s="57"/>
      <c r="Y35" s="57"/>
      <c r="Z35" s="63"/>
      <c r="AA35" s="57"/>
      <c r="AB35" s="63">
        <v>6.9</v>
      </c>
      <c r="AC35" s="63">
        <v>10.3</v>
      </c>
      <c r="AD35" s="10">
        <v>0.36</v>
      </c>
      <c r="AE35" s="36">
        <v>0.7</v>
      </c>
      <c r="AF35" s="36"/>
      <c r="AG35" s="36"/>
      <c r="AH35" s="36"/>
      <c r="AI35" s="57"/>
      <c r="AJ35" s="57"/>
      <c r="AK35" s="36"/>
      <c r="AL35" s="36"/>
      <c r="AM35" s="63">
        <v>7</v>
      </c>
      <c r="AN35" s="63">
        <v>10.4</v>
      </c>
      <c r="AO35" s="36">
        <v>0.34</v>
      </c>
      <c r="AP35" s="68">
        <v>0.68</v>
      </c>
      <c r="AQ35" s="73">
        <f t="shared" si="0"/>
        <v>1159</v>
      </c>
      <c r="AR35" s="75">
        <f t="shared" si="1"/>
        <v>0.46764452113891286</v>
      </c>
      <c r="AS35" s="75">
        <f t="shared" si="2"/>
        <v>7.6790336496980152E-2</v>
      </c>
      <c r="AT35" s="75">
        <f t="shared" si="3"/>
        <v>0.455565142364107</v>
      </c>
      <c r="AU35" s="26" t="str">
        <f t="shared" si="4"/>
        <v/>
      </c>
      <c r="AV35" s="26" t="str">
        <f t="shared" si="5"/>
        <v/>
      </c>
      <c r="AW35" s="24">
        <f t="shared" si="6"/>
        <v>0.8458049886621315</v>
      </c>
      <c r="AX35" s="24">
        <f t="shared" si="7"/>
        <v>0.84126984126984128</v>
      </c>
      <c r="AY35" s="77" t="str">
        <f t="shared" si="8"/>
        <v>7,5 ≤ Alc. Bruta &lt; 10,0 mg/L</v>
      </c>
      <c r="AZ35" s="77" t="str">
        <f t="shared" si="9"/>
        <v>15 ≤ Cor &lt; 30 uC</v>
      </c>
      <c r="BA35" s="78" t="str">
        <f t="shared" si="10"/>
        <v>2,5 ≤ Turb &lt; 5,0 uT</v>
      </c>
      <c r="BB35" s="79" t="str">
        <f t="shared" si="11"/>
        <v>TOR &gt; BNN &gt; SM</v>
      </c>
      <c r="BC35" s="78" t="str">
        <f t="shared" si="12"/>
        <v>Tipo 2 (0,25-0,50) uT</v>
      </c>
      <c r="BD35" s="78" t="str">
        <f t="shared" si="13"/>
        <v>Tipo 2 (0,25-0,50) uT</v>
      </c>
      <c r="BE35" s="78" t="str">
        <f t="shared" si="14"/>
        <v>Tipo 3 (0,50-0,75) uT</v>
      </c>
      <c r="BF35" s="78" t="str">
        <f t="shared" si="15"/>
        <v>Tipo 3 (0,50-0,75) uT</v>
      </c>
      <c r="BG35" s="78" t="str">
        <f t="shared" si="16"/>
        <v>Tipo 1 (≤0,25) uT</v>
      </c>
    </row>
    <row r="36" spans="1:59" x14ac:dyDescent="0.2">
      <c r="A36" s="21">
        <v>46131</v>
      </c>
      <c r="B36" s="48">
        <v>0.72916666666666663</v>
      </c>
      <c r="C36" s="57">
        <v>1270</v>
      </c>
      <c r="D36" s="57">
        <v>82</v>
      </c>
      <c r="E36" s="57">
        <v>500</v>
      </c>
      <c r="F36" s="57">
        <v>1818</v>
      </c>
      <c r="G36" s="10" t="s">
        <v>34</v>
      </c>
      <c r="H36" s="63">
        <v>3.6</v>
      </c>
      <c r="I36" s="57">
        <v>90</v>
      </c>
      <c r="J36" s="57">
        <v>90</v>
      </c>
      <c r="K36" s="57">
        <v>90</v>
      </c>
      <c r="L36" s="63">
        <v>25.5</v>
      </c>
      <c r="M36" s="63">
        <v>6.8</v>
      </c>
      <c r="N36" s="36">
        <v>4.2</v>
      </c>
      <c r="O36" s="57">
        <v>17</v>
      </c>
      <c r="P36" s="63">
        <v>4.7</v>
      </c>
      <c r="Q36" s="36">
        <v>0.28000000000000003</v>
      </c>
      <c r="R36" s="36">
        <v>22.36</v>
      </c>
      <c r="S36" s="36">
        <v>0.88</v>
      </c>
      <c r="T36" s="36">
        <v>0.7</v>
      </c>
      <c r="U36" s="42"/>
      <c r="V36" s="36"/>
      <c r="W36" s="36"/>
      <c r="X36" s="57"/>
      <c r="Y36" s="57"/>
      <c r="Z36" s="63"/>
      <c r="AA36" s="57"/>
      <c r="AB36" s="63">
        <v>6.7</v>
      </c>
      <c r="AC36" s="63">
        <v>6.9</v>
      </c>
      <c r="AD36" s="10">
        <v>0.28000000000000003</v>
      </c>
      <c r="AE36" s="36">
        <v>0.75</v>
      </c>
      <c r="AF36" s="36"/>
      <c r="AG36" s="36"/>
      <c r="AH36" s="36"/>
      <c r="AI36" s="57"/>
      <c r="AJ36" s="57"/>
      <c r="AK36" s="36"/>
      <c r="AL36" s="36"/>
      <c r="AM36" s="63">
        <v>6.7</v>
      </c>
      <c r="AN36" s="63">
        <v>7.8</v>
      </c>
      <c r="AO36" s="36">
        <v>0.15</v>
      </c>
      <c r="AP36" s="68">
        <v>0.76</v>
      </c>
      <c r="AQ36" s="73">
        <f t="shared" si="0"/>
        <v>1852</v>
      </c>
      <c r="AR36" s="75">
        <f t="shared" si="1"/>
        <v>0.68574514038876888</v>
      </c>
      <c r="AS36" s="75">
        <f t="shared" si="2"/>
        <v>4.4276457883369327E-2</v>
      </c>
      <c r="AT36" s="75">
        <f t="shared" si="3"/>
        <v>0.26997840172786175</v>
      </c>
      <c r="AU36" s="26" t="str">
        <f t="shared" si="4"/>
        <v/>
      </c>
      <c r="AV36" s="26" t="str">
        <f t="shared" si="5"/>
        <v/>
      </c>
      <c r="AW36" s="24">
        <f t="shared" si="6"/>
        <v>0.81904761904761902</v>
      </c>
      <c r="AX36" s="24">
        <f t="shared" si="7"/>
        <v>0.8214285714285714</v>
      </c>
      <c r="AY36" s="77" t="str">
        <f t="shared" si="8"/>
        <v>2,5 ≤ Alc. Bruta &lt; 5,0 mg/L</v>
      </c>
      <c r="AZ36" s="77" t="str">
        <f t="shared" si="9"/>
        <v>15 ≤ Cor &lt; 30 uC</v>
      </c>
      <c r="BA36" s="78" t="str">
        <f t="shared" si="10"/>
        <v>2,5 ≤ Turb &lt; 5,0 uT</v>
      </c>
      <c r="BB36" s="79" t="str">
        <f t="shared" si="11"/>
        <v>TOR &gt; BNN &gt; SM</v>
      </c>
      <c r="BC36" s="78" t="str">
        <f t="shared" si="12"/>
        <v>Tipo 2 (0,25-0,50) uT</v>
      </c>
      <c r="BD36" s="78" t="str">
        <f t="shared" si="13"/>
        <v>Tipo 1 (≤0,25) uT</v>
      </c>
      <c r="BE36" s="78" t="str">
        <f t="shared" si="14"/>
        <v>Tipo 3 (0,50-0,75) uT</v>
      </c>
      <c r="BF36" s="78" t="str">
        <f t="shared" si="15"/>
        <v>Tipo 4 (&gt;0,75) uT</v>
      </c>
      <c r="BG36" s="78" t="str">
        <f t="shared" si="16"/>
        <v>Tipo 2 (0,25-0,50) uT</v>
      </c>
    </row>
    <row r="37" spans="1:59" x14ac:dyDescent="0.2">
      <c r="A37" s="21">
        <v>46131</v>
      </c>
      <c r="B37" s="48">
        <v>0.8125</v>
      </c>
      <c r="C37" s="57">
        <v>1234</v>
      </c>
      <c r="D37" s="57">
        <v>82</v>
      </c>
      <c r="E37" s="57">
        <v>500</v>
      </c>
      <c r="F37" s="57">
        <v>1814</v>
      </c>
      <c r="G37" s="10" t="s">
        <v>34</v>
      </c>
      <c r="H37" s="63">
        <v>3.6</v>
      </c>
      <c r="I37" s="57">
        <v>90</v>
      </c>
      <c r="J37" s="57">
        <v>90</v>
      </c>
      <c r="K37" s="57">
        <v>90</v>
      </c>
      <c r="L37" s="63">
        <v>24.9</v>
      </c>
      <c r="M37" s="63">
        <v>6.7</v>
      </c>
      <c r="N37" s="36">
        <v>4.07</v>
      </c>
      <c r="O37" s="57">
        <v>16</v>
      </c>
      <c r="P37" s="63">
        <v>8</v>
      </c>
      <c r="Q37" s="36">
        <v>0.26</v>
      </c>
      <c r="R37" s="36">
        <v>22.36</v>
      </c>
      <c r="S37" s="36">
        <v>0.88</v>
      </c>
      <c r="T37" s="36">
        <v>0.7</v>
      </c>
      <c r="U37" s="42"/>
      <c r="V37" s="36"/>
      <c r="W37" s="36"/>
      <c r="X37" s="57"/>
      <c r="Y37" s="57"/>
      <c r="Z37" s="63"/>
      <c r="AA37" s="57"/>
      <c r="AB37" s="63">
        <v>7.1</v>
      </c>
      <c r="AC37" s="63">
        <v>6.8</v>
      </c>
      <c r="AD37" s="10">
        <v>0.17</v>
      </c>
      <c r="AE37" s="36">
        <v>0.66</v>
      </c>
      <c r="AF37" s="36"/>
      <c r="AG37" s="36"/>
      <c r="AH37" s="36"/>
      <c r="AI37" s="57"/>
      <c r="AJ37" s="57"/>
      <c r="AK37" s="36"/>
      <c r="AL37" s="36"/>
      <c r="AM37" s="63">
        <v>6.7</v>
      </c>
      <c r="AN37" s="63">
        <v>7.5</v>
      </c>
      <c r="AO37" s="36">
        <v>0.24</v>
      </c>
      <c r="AP37" s="68">
        <v>0.75</v>
      </c>
      <c r="AQ37" s="73">
        <f t="shared" si="0"/>
        <v>1816</v>
      </c>
      <c r="AR37" s="75">
        <f t="shared" si="1"/>
        <v>0.67951541850220265</v>
      </c>
      <c r="AS37" s="75">
        <f t="shared" si="2"/>
        <v>4.5154185022026429E-2</v>
      </c>
      <c r="AT37" s="75">
        <f t="shared" si="3"/>
        <v>0.2753303964757709</v>
      </c>
      <c r="AU37" s="26" t="str">
        <f t="shared" si="4"/>
        <v/>
      </c>
      <c r="AV37" s="26" t="str">
        <f t="shared" si="5"/>
        <v/>
      </c>
      <c r="AW37" s="24">
        <f t="shared" si="6"/>
        <v>0.8157248157248157</v>
      </c>
      <c r="AX37" s="24">
        <f t="shared" si="7"/>
        <v>0.83783783783783783</v>
      </c>
      <c r="AY37" s="77" t="str">
        <f t="shared" si="8"/>
        <v>7,5 ≤ Alc. Bruta &lt; 10,0 mg/L</v>
      </c>
      <c r="AZ37" s="77" t="str">
        <f t="shared" si="9"/>
        <v>15 ≤ Cor &lt; 30 uC</v>
      </c>
      <c r="BA37" s="78" t="str">
        <f t="shared" si="10"/>
        <v>2,5 ≤ Turb &lt; 5,0 uT</v>
      </c>
      <c r="BB37" s="79" t="str">
        <f t="shared" si="11"/>
        <v>TOR &gt; BNN &gt; SM</v>
      </c>
      <c r="BC37" s="78" t="str">
        <f t="shared" si="12"/>
        <v>Tipo 1 (≤0,25) uT</v>
      </c>
      <c r="BD37" s="78" t="str">
        <f t="shared" si="13"/>
        <v>Tipo 1 (≤0,25) uT</v>
      </c>
      <c r="BE37" s="78" t="str">
        <f t="shared" si="14"/>
        <v>Tipo 3 (0,50-0,75) uT</v>
      </c>
      <c r="BF37" s="78" t="str">
        <f t="shared" si="15"/>
        <v>Tipo 3 (0,50-0,75) uT</v>
      </c>
      <c r="BG37" s="78" t="str">
        <f t="shared" si="16"/>
        <v>Tipo 2 (0,25-0,50) uT</v>
      </c>
    </row>
    <row r="38" spans="1:59" x14ac:dyDescent="0.2">
      <c r="A38" s="21">
        <v>46131</v>
      </c>
      <c r="B38" s="48">
        <v>0.89583333333333337</v>
      </c>
      <c r="C38" s="57">
        <v>1159</v>
      </c>
      <c r="D38" s="57">
        <v>90</v>
      </c>
      <c r="E38" s="57">
        <v>498</v>
      </c>
      <c r="F38" s="57">
        <v>1821</v>
      </c>
      <c r="G38" s="10" t="s">
        <v>34</v>
      </c>
      <c r="H38" s="63">
        <v>3.6</v>
      </c>
      <c r="I38" s="57">
        <v>90</v>
      </c>
      <c r="J38" s="57">
        <v>90</v>
      </c>
      <c r="K38" s="57">
        <v>90</v>
      </c>
      <c r="L38" s="63">
        <v>24.6</v>
      </c>
      <c r="M38" s="63">
        <v>6.8</v>
      </c>
      <c r="N38" s="36">
        <v>5.7</v>
      </c>
      <c r="O38" s="57">
        <v>19</v>
      </c>
      <c r="P38" s="63">
        <v>8.4</v>
      </c>
      <c r="Q38" s="36">
        <v>0.18</v>
      </c>
      <c r="R38" s="36">
        <v>22.36</v>
      </c>
      <c r="S38" s="36">
        <v>0.88</v>
      </c>
      <c r="T38" s="36">
        <v>0.7</v>
      </c>
      <c r="U38" s="42"/>
      <c r="V38" s="36"/>
      <c r="W38" s="36"/>
      <c r="X38" s="57"/>
      <c r="Y38" s="57"/>
      <c r="Z38" s="63"/>
      <c r="AA38" s="57"/>
      <c r="AB38" s="63">
        <v>6.8</v>
      </c>
      <c r="AC38" s="63">
        <v>8.1</v>
      </c>
      <c r="AD38" s="10">
        <v>0.3</v>
      </c>
      <c r="AE38" s="36">
        <v>0.65</v>
      </c>
      <c r="AF38" s="36"/>
      <c r="AG38" s="36"/>
      <c r="AH38" s="36"/>
      <c r="AI38" s="57"/>
      <c r="AJ38" s="57"/>
      <c r="AK38" s="36"/>
      <c r="AL38" s="36"/>
      <c r="AM38" s="63">
        <v>6.7</v>
      </c>
      <c r="AN38" s="63">
        <v>7.9</v>
      </c>
      <c r="AO38" s="36">
        <v>0.15</v>
      </c>
      <c r="AP38" s="68">
        <v>1.27</v>
      </c>
      <c r="AQ38" s="73">
        <f t="shared" si="0"/>
        <v>1747</v>
      </c>
      <c r="AR38" s="75">
        <f t="shared" si="1"/>
        <v>0.66342301087578703</v>
      </c>
      <c r="AS38" s="75">
        <f t="shared" si="2"/>
        <v>5.1516886090440757E-2</v>
      </c>
      <c r="AT38" s="75">
        <f t="shared" si="3"/>
        <v>0.28506010303377216</v>
      </c>
      <c r="AU38" s="26" t="str">
        <f t="shared" si="4"/>
        <v/>
      </c>
      <c r="AV38" s="26" t="str">
        <f t="shared" si="5"/>
        <v/>
      </c>
      <c r="AW38" s="24">
        <f t="shared" si="6"/>
        <v>0.77719298245614032</v>
      </c>
      <c r="AX38" s="24">
        <f t="shared" si="7"/>
        <v>0.88596491228070173</v>
      </c>
      <c r="AY38" s="77" t="str">
        <f t="shared" si="8"/>
        <v>7,5 ≤ Alc. Bruta &lt; 10,0 mg/L</v>
      </c>
      <c r="AZ38" s="77" t="str">
        <f t="shared" si="9"/>
        <v>15 ≤ Cor &lt; 30 uC</v>
      </c>
      <c r="BA38" s="78" t="str">
        <f t="shared" si="10"/>
        <v>5,0 ≤ Turb &lt; 7,5 uT</v>
      </c>
      <c r="BB38" s="79" t="str">
        <f t="shared" si="11"/>
        <v>TOR &gt; BNN &gt; SM</v>
      </c>
      <c r="BC38" s="78" t="str">
        <f t="shared" si="12"/>
        <v>Tipo 2 (0,25-0,50) uT</v>
      </c>
      <c r="BD38" s="78" t="str">
        <f t="shared" si="13"/>
        <v>Tipo 1 (≤0,25) uT</v>
      </c>
      <c r="BE38" s="78" t="str">
        <f t="shared" si="14"/>
        <v>Tipo 3 (0,50-0,75) uT</v>
      </c>
      <c r="BF38" s="78" t="str">
        <f t="shared" si="15"/>
        <v>Tipo 4 (&gt;0,75) uT</v>
      </c>
      <c r="BG38" s="78" t="str">
        <f t="shared" si="16"/>
        <v>Tipo 1 (≤0,25) uT</v>
      </c>
    </row>
    <row r="39" spans="1:59" x14ac:dyDescent="0.2">
      <c r="A39" s="21">
        <v>46131</v>
      </c>
      <c r="B39" s="48">
        <v>0.97916666666666663</v>
      </c>
      <c r="C39" s="57">
        <v>1148</v>
      </c>
      <c r="D39" s="57">
        <v>80</v>
      </c>
      <c r="E39" s="57">
        <v>500</v>
      </c>
      <c r="F39" s="57">
        <v>1826</v>
      </c>
      <c r="G39" s="10" t="s">
        <v>34</v>
      </c>
      <c r="H39" s="63">
        <v>3.6</v>
      </c>
      <c r="I39" s="57">
        <v>90</v>
      </c>
      <c r="J39" s="57">
        <v>90</v>
      </c>
      <c r="K39" s="57">
        <v>90</v>
      </c>
      <c r="L39" s="63">
        <v>24</v>
      </c>
      <c r="M39" s="63">
        <v>6.8</v>
      </c>
      <c r="N39" s="36">
        <v>3.68</v>
      </c>
      <c r="O39" s="57">
        <v>15</v>
      </c>
      <c r="P39" s="63">
        <v>9.4</v>
      </c>
      <c r="Q39" s="36">
        <v>0.16</v>
      </c>
      <c r="R39" s="36">
        <v>22.36</v>
      </c>
      <c r="S39" s="36">
        <v>0.88</v>
      </c>
      <c r="T39" s="36">
        <v>0.7</v>
      </c>
      <c r="U39" s="42"/>
      <c r="V39" s="36"/>
      <c r="W39" s="36"/>
      <c r="X39" s="57"/>
      <c r="Y39" s="57"/>
      <c r="Z39" s="63"/>
      <c r="AA39" s="57"/>
      <c r="AB39" s="63">
        <v>6.7</v>
      </c>
      <c r="AC39" s="63">
        <v>8.8000000000000007</v>
      </c>
      <c r="AD39" s="10">
        <v>0.14000000000000001</v>
      </c>
      <c r="AE39" s="36">
        <v>0.6</v>
      </c>
      <c r="AF39" s="36"/>
      <c r="AG39" s="36"/>
      <c r="AH39" s="36"/>
      <c r="AI39" s="57"/>
      <c r="AJ39" s="57"/>
      <c r="AK39" s="36"/>
      <c r="AL39" s="36"/>
      <c r="AM39" s="63">
        <v>6.6</v>
      </c>
      <c r="AN39" s="63">
        <v>8.3000000000000007</v>
      </c>
      <c r="AO39" s="36">
        <v>0.19</v>
      </c>
      <c r="AP39" s="68">
        <v>0.75</v>
      </c>
      <c r="AQ39" s="73">
        <f t="shared" si="0"/>
        <v>1728</v>
      </c>
      <c r="AR39" s="75">
        <f t="shared" si="1"/>
        <v>0.66435185185185186</v>
      </c>
      <c r="AS39" s="75">
        <f t="shared" si="2"/>
        <v>4.6296296296296294E-2</v>
      </c>
      <c r="AT39" s="75">
        <f t="shared" si="3"/>
        <v>0.28935185185185186</v>
      </c>
      <c r="AU39" s="26" t="str">
        <f t="shared" si="4"/>
        <v/>
      </c>
      <c r="AV39" s="26" t="str">
        <f t="shared" si="5"/>
        <v/>
      </c>
      <c r="AW39" s="24">
        <f t="shared" si="6"/>
        <v>0.79619565217391308</v>
      </c>
      <c r="AX39" s="24">
        <f t="shared" si="7"/>
        <v>0.83695652173913049</v>
      </c>
      <c r="AY39" s="77" t="str">
        <f t="shared" si="8"/>
        <v>7,5 ≤ Alc. Bruta &lt; 10,0 mg/L</v>
      </c>
      <c r="AZ39" s="77" t="str">
        <f t="shared" si="9"/>
        <v>15 ≤ Cor &lt; 30 uC</v>
      </c>
      <c r="BA39" s="78" t="str">
        <f t="shared" si="10"/>
        <v>2,5 ≤ Turb &lt; 5,0 uT</v>
      </c>
      <c r="BB39" s="79" t="str">
        <f t="shared" si="11"/>
        <v>TOR &gt; BNN &gt; SM</v>
      </c>
      <c r="BC39" s="78" t="str">
        <f t="shared" si="12"/>
        <v>Tipo 1 (≤0,25) uT</v>
      </c>
      <c r="BD39" s="78" t="str">
        <f t="shared" si="13"/>
        <v>Tipo 1 (≤0,25) uT</v>
      </c>
      <c r="BE39" s="78" t="str">
        <f t="shared" si="14"/>
        <v>Tipo 3 (0,50-0,75) uT</v>
      </c>
      <c r="BF39" s="78" t="str">
        <f t="shared" si="15"/>
        <v>Tipo 3 (0,50-0,75) uT</v>
      </c>
      <c r="BG39" s="78" t="str">
        <f t="shared" si="16"/>
        <v>Tipo 1 (≤0,25) uT</v>
      </c>
    </row>
    <row r="40" spans="1:59" x14ac:dyDescent="0.2">
      <c r="A40" s="21">
        <v>46132</v>
      </c>
      <c r="B40" s="48">
        <v>6.25E-2</v>
      </c>
      <c r="C40" s="57">
        <v>1146</v>
      </c>
      <c r="D40" s="57">
        <v>88</v>
      </c>
      <c r="E40" s="57">
        <v>500</v>
      </c>
      <c r="F40" s="57">
        <v>1814</v>
      </c>
      <c r="G40" s="10" t="s">
        <v>34</v>
      </c>
      <c r="H40" s="63">
        <v>3.6</v>
      </c>
      <c r="I40" s="57">
        <v>90</v>
      </c>
      <c r="J40" s="57">
        <v>90</v>
      </c>
      <c r="K40" s="57">
        <v>90</v>
      </c>
      <c r="L40" s="63">
        <v>24.1</v>
      </c>
      <c r="M40" s="63">
        <v>6.7</v>
      </c>
      <c r="N40" s="36">
        <v>4.57</v>
      </c>
      <c r="O40" s="57">
        <v>17</v>
      </c>
      <c r="P40" s="63">
        <v>7.2</v>
      </c>
      <c r="Q40" s="36">
        <v>0.16</v>
      </c>
      <c r="R40" s="36">
        <v>22.36</v>
      </c>
      <c r="S40" s="36">
        <v>0.88</v>
      </c>
      <c r="T40" s="36">
        <v>0.7</v>
      </c>
      <c r="U40" s="42"/>
      <c r="V40" s="36"/>
      <c r="W40" s="36"/>
      <c r="X40" s="57"/>
      <c r="Y40" s="57"/>
      <c r="Z40" s="63"/>
      <c r="AA40" s="57"/>
      <c r="AB40" s="63">
        <v>6.7</v>
      </c>
      <c r="AC40" s="63">
        <v>7.7</v>
      </c>
      <c r="AD40" s="10">
        <v>0.22</v>
      </c>
      <c r="AE40" s="36">
        <v>0.65</v>
      </c>
      <c r="AF40" s="36"/>
      <c r="AG40" s="36"/>
      <c r="AH40" s="36"/>
      <c r="AI40" s="57"/>
      <c r="AJ40" s="57"/>
      <c r="AK40" s="36"/>
      <c r="AL40" s="36"/>
      <c r="AM40" s="63">
        <v>6.6</v>
      </c>
      <c r="AN40" s="63">
        <v>7.5</v>
      </c>
      <c r="AO40" s="36">
        <v>0.21</v>
      </c>
      <c r="AP40" s="68">
        <v>0.79</v>
      </c>
      <c r="AQ40" s="73">
        <f t="shared" si="0"/>
        <v>1734</v>
      </c>
      <c r="AR40" s="75">
        <f t="shared" si="1"/>
        <v>0.66089965397923878</v>
      </c>
      <c r="AS40" s="75">
        <f t="shared" si="2"/>
        <v>5.0749711649365627E-2</v>
      </c>
      <c r="AT40" s="75">
        <f t="shared" si="3"/>
        <v>0.28835063437139563</v>
      </c>
      <c r="AU40" s="26" t="str">
        <f t="shared" si="4"/>
        <v/>
      </c>
      <c r="AV40" s="26" t="str">
        <f t="shared" si="5"/>
        <v/>
      </c>
      <c r="AW40" s="24">
        <f t="shared" si="6"/>
        <v>0.82713347921225377</v>
      </c>
      <c r="AX40" s="24">
        <f t="shared" si="7"/>
        <v>0.85776805251641142</v>
      </c>
      <c r="AY40" s="77" t="str">
        <f t="shared" si="8"/>
        <v>5,0 ≤ Alc. Bruta &lt; 7,5 mg/L</v>
      </c>
      <c r="AZ40" s="77" t="str">
        <f t="shared" si="9"/>
        <v>15 ≤ Cor &lt; 30 uC</v>
      </c>
      <c r="BA40" s="78" t="str">
        <f t="shared" si="10"/>
        <v>2,5 ≤ Turb &lt; 5,0 uT</v>
      </c>
      <c r="BB40" s="79" t="str">
        <f t="shared" si="11"/>
        <v>TOR &gt; BNN &gt; SM</v>
      </c>
      <c r="BC40" s="78" t="str">
        <f t="shared" si="12"/>
        <v>Tipo 1 (≤0,25) uT</v>
      </c>
      <c r="BD40" s="78" t="str">
        <f t="shared" si="13"/>
        <v>Tipo 1 (≤0,25) uT</v>
      </c>
      <c r="BE40" s="78" t="str">
        <f t="shared" si="14"/>
        <v>Tipo 3 (0,50-0,75) uT</v>
      </c>
      <c r="BF40" s="78" t="str">
        <f t="shared" si="15"/>
        <v>Tipo 4 (&gt;0,75) uT</v>
      </c>
      <c r="BG40" s="78" t="str">
        <f t="shared" si="16"/>
        <v>Tipo 1 (≤0,25) uT</v>
      </c>
    </row>
    <row r="41" spans="1:59" x14ac:dyDescent="0.2">
      <c r="A41" s="21">
        <v>46132</v>
      </c>
      <c r="B41" s="48">
        <v>0.14583333333333334</v>
      </c>
      <c r="C41" s="57">
        <v>1089</v>
      </c>
      <c r="D41" s="57">
        <v>87</v>
      </c>
      <c r="E41" s="57">
        <v>500</v>
      </c>
      <c r="F41" s="57">
        <v>1830</v>
      </c>
      <c r="G41" s="10" t="s">
        <v>34</v>
      </c>
      <c r="H41" s="63">
        <v>3.6</v>
      </c>
      <c r="I41" s="57">
        <v>90</v>
      </c>
      <c r="J41" s="57">
        <v>90</v>
      </c>
      <c r="K41" s="57">
        <v>90</v>
      </c>
      <c r="L41" s="63">
        <v>24</v>
      </c>
      <c r="M41" s="63">
        <v>6.7</v>
      </c>
      <c r="N41" s="36">
        <v>6.79</v>
      </c>
      <c r="O41" s="57">
        <v>15</v>
      </c>
      <c r="P41" s="63">
        <v>9.1999999999999993</v>
      </c>
      <c r="Q41" s="36">
        <v>0.24</v>
      </c>
      <c r="R41" s="36">
        <v>22.36</v>
      </c>
      <c r="S41" s="36">
        <v>0.88</v>
      </c>
      <c r="T41" s="36">
        <v>0.7</v>
      </c>
      <c r="U41" s="42"/>
      <c r="V41" s="36"/>
      <c r="W41" s="36"/>
      <c r="X41" s="57"/>
      <c r="Y41" s="57"/>
      <c r="Z41" s="63"/>
      <c r="AA41" s="57"/>
      <c r="AB41" s="63">
        <v>6.7</v>
      </c>
      <c r="AC41" s="63">
        <v>9.5</v>
      </c>
      <c r="AD41" s="10">
        <v>0.18</v>
      </c>
      <c r="AE41" s="36">
        <v>0.79</v>
      </c>
      <c r="AF41" s="36"/>
      <c r="AG41" s="36"/>
      <c r="AH41" s="36"/>
      <c r="AI41" s="57"/>
      <c r="AJ41" s="57"/>
      <c r="AK41" s="36"/>
      <c r="AL41" s="36"/>
      <c r="AM41" s="63">
        <v>6.6</v>
      </c>
      <c r="AN41" s="63">
        <v>9.6</v>
      </c>
      <c r="AO41" s="36">
        <v>0.21</v>
      </c>
      <c r="AP41" s="68">
        <v>1</v>
      </c>
      <c r="AQ41" s="73">
        <f t="shared" si="0"/>
        <v>1676</v>
      </c>
      <c r="AR41" s="75">
        <f t="shared" si="1"/>
        <v>0.64976133651551315</v>
      </c>
      <c r="AS41" s="75">
        <f t="shared" si="2"/>
        <v>5.190930787589499E-2</v>
      </c>
      <c r="AT41" s="75">
        <f t="shared" si="3"/>
        <v>0.29832935560859186</v>
      </c>
      <c r="AU41" s="26" t="str">
        <f t="shared" si="4"/>
        <v/>
      </c>
      <c r="AV41" s="26" t="str">
        <f t="shared" si="5"/>
        <v/>
      </c>
      <c r="AW41" s="24">
        <f t="shared" si="6"/>
        <v>0.8527245949926362</v>
      </c>
      <c r="AX41" s="24">
        <f t="shared" si="7"/>
        <v>0.88365243004418259</v>
      </c>
      <c r="AY41" s="77" t="str">
        <f t="shared" si="8"/>
        <v>7,5 ≤ Alc. Bruta &lt; 10,0 mg/L</v>
      </c>
      <c r="AZ41" s="77" t="str">
        <f t="shared" si="9"/>
        <v>15 ≤ Cor &lt; 30 uC</v>
      </c>
      <c r="BA41" s="78" t="str">
        <f t="shared" si="10"/>
        <v>5,0 ≤ Turb &lt; 7,5 uT</v>
      </c>
      <c r="BB41" s="79" t="str">
        <f t="shared" si="11"/>
        <v>TOR &gt; BNN &gt; SM</v>
      </c>
      <c r="BC41" s="78" t="str">
        <f t="shared" si="12"/>
        <v>Tipo 1 (≤0,25) uT</v>
      </c>
      <c r="BD41" s="78" t="str">
        <f t="shared" si="13"/>
        <v>Tipo 1 (≤0,25) uT</v>
      </c>
      <c r="BE41" s="78" t="str">
        <f t="shared" si="14"/>
        <v>Tipo 4 (&gt;0,75) uT</v>
      </c>
      <c r="BF41" s="78" t="str">
        <f t="shared" si="15"/>
        <v>Tipo 4 (&gt;0,75) uT</v>
      </c>
      <c r="BG41" s="78" t="str">
        <f t="shared" si="16"/>
        <v>Tipo 1 (≤0,25) uT</v>
      </c>
    </row>
    <row r="42" spans="1:59" ht="15.75" thickBot="1" x14ac:dyDescent="0.25">
      <c r="A42" s="21">
        <v>46132</v>
      </c>
      <c r="B42" s="51">
        <v>0.22916666666666666</v>
      </c>
      <c r="C42" s="58">
        <v>1215</v>
      </c>
      <c r="D42" s="58">
        <v>86</v>
      </c>
      <c r="E42" s="58">
        <v>499</v>
      </c>
      <c r="F42" s="58">
        <v>1809</v>
      </c>
      <c r="G42" s="11" t="s">
        <v>34</v>
      </c>
      <c r="H42" s="64">
        <v>3.6</v>
      </c>
      <c r="I42" s="58">
        <v>90</v>
      </c>
      <c r="J42" s="58">
        <v>90</v>
      </c>
      <c r="K42" s="58">
        <v>90</v>
      </c>
      <c r="L42" s="64">
        <v>23.5</v>
      </c>
      <c r="M42" s="64">
        <v>6.6</v>
      </c>
      <c r="N42" s="37">
        <v>3.65</v>
      </c>
      <c r="O42" s="58">
        <v>17</v>
      </c>
      <c r="P42" s="64">
        <v>8.1</v>
      </c>
      <c r="Q42" s="37">
        <v>0.23</v>
      </c>
      <c r="R42" s="36">
        <v>22.36</v>
      </c>
      <c r="S42" s="36">
        <v>0.88</v>
      </c>
      <c r="T42" s="36">
        <v>0.7</v>
      </c>
      <c r="U42" s="42"/>
      <c r="V42" s="41"/>
      <c r="W42" s="37"/>
      <c r="X42" s="58"/>
      <c r="Y42" s="58"/>
      <c r="Z42" s="64"/>
      <c r="AA42" s="58"/>
      <c r="AB42" s="64">
        <v>6.7</v>
      </c>
      <c r="AC42" s="64">
        <v>7.5</v>
      </c>
      <c r="AD42" s="11">
        <v>0.15</v>
      </c>
      <c r="AE42" s="37">
        <v>0.72</v>
      </c>
      <c r="AF42" s="37"/>
      <c r="AG42" s="37"/>
      <c r="AH42" s="37"/>
      <c r="AI42" s="58"/>
      <c r="AJ42" s="58"/>
      <c r="AK42" s="37"/>
      <c r="AL42" s="37"/>
      <c r="AM42" s="64">
        <v>6.7</v>
      </c>
      <c r="AN42" s="64">
        <v>7.9</v>
      </c>
      <c r="AO42" s="37">
        <v>0.19</v>
      </c>
      <c r="AP42" s="69">
        <v>1.21</v>
      </c>
      <c r="AQ42" s="73">
        <f t="shared" si="0"/>
        <v>1800</v>
      </c>
      <c r="AR42" s="75">
        <f t="shared" si="1"/>
        <v>0.67500000000000004</v>
      </c>
      <c r="AS42" s="75">
        <f t="shared" si="2"/>
        <v>4.777777777777778E-2</v>
      </c>
      <c r="AT42" s="75">
        <f t="shared" si="3"/>
        <v>0.2772222222222222</v>
      </c>
      <c r="AU42" s="26" t="str">
        <f t="shared" si="4"/>
        <v/>
      </c>
      <c r="AV42" s="26" t="str">
        <f t="shared" si="5"/>
        <v/>
      </c>
      <c r="AW42" s="24">
        <f t="shared" si="6"/>
        <v>0.66849315068493143</v>
      </c>
      <c r="AX42" s="24">
        <f t="shared" si="7"/>
        <v>0.80273972602739729</v>
      </c>
      <c r="AY42" s="77" t="str">
        <f t="shared" si="8"/>
        <v>7,5 ≤ Alc. Bruta &lt; 10,0 mg/L</v>
      </c>
      <c r="AZ42" s="77" t="str">
        <f t="shared" si="9"/>
        <v>15 ≤ Cor &lt; 30 uC</v>
      </c>
      <c r="BA42" s="78" t="str">
        <f t="shared" si="10"/>
        <v>2,5 ≤ Turb &lt; 5,0 uT</v>
      </c>
      <c r="BB42" s="79" t="str">
        <f t="shared" si="11"/>
        <v>TOR &gt; BNN &gt; SM</v>
      </c>
      <c r="BC42" s="78" t="str">
        <f t="shared" si="12"/>
        <v>Tipo 1 (≤0,25) uT</v>
      </c>
      <c r="BD42" s="78" t="str">
        <f t="shared" si="13"/>
        <v>Tipo 1 (≤0,25) uT</v>
      </c>
      <c r="BE42" s="78" t="str">
        <f t="shared" si="14"/>
        <v>Tipo 3 (0,50-0,75) uT</v>
      </c>
      <c r="BF42" s="78" t="str">
        <f t="shared" si="15"/>
        <v>Tipo 4 (&gt;0,75) uT</v>
      </c>
      <c r="BG42" s="78" t="str">
        <f t="shared" si="16"/>
        <v>Tipo 1 (≤0,25) uT</v>
      </c>
    </row>
    <row r="43" spans="1:59" x14ac:dyDescent="0.2">
      <c r="A43" s="21">
        <v>46132</v>
      </c>
      <c r="B43" s="52">
        <v>0.3125</v>
      </c>
      <c r="C43" s="59">
        <v>1080</v>
      </c>
      <c r="D43" s="59">
        <v>0</v>
      </c>
      <c r="E43" s="59">
        <v>500.2</v>
      </c>
      <c r="F43" s="59">
        <v>1877</v>
      </c>
      <c r="G43" s="9" t="s">
        <v>34</v>
      </c>
      <c r="H43" s="65">
        <v>3.6</v>
      </c>
      <c r="I43" s="59">
        <v>90</v>
      </c>
      <c r="J43" s="59">
        <v>90</v>
      </c>
      <c r="K43" s="59">
        <v>90</v>
      </c>
      <c r="L43" s="65">
        <v>23.3</v>
      </c>
      <c r="M43" s="65">
        <v>6.8</v>
      </c>
      <c r="N43" s="38">
        <v>3.71</v>
      </c>
      <c r="O43" s="59">
        <v>15</v>
      </c>
      <c r="P43" s="65">
        <v>6.5</v>
      </c>
      <c r="Q43" s="38">
        <v>0.27</v>
      </c>
      <c r="R43" s="36">
        <v>22.36</v>
      </c>
      <c r="S43" s="36">
        <v>0.88</v>
      </c>
      <c r="T43" s="36">
        <v>0.7</v>
      </c>
      <c r="U43" s="42"/>
      <c r="V43" s="39"/>
      <c r="W43" s="38"/>
      <c r="X43" s="59"/>
      <c r="Y43" s="59"/>
      <c r="Z43" s="65"/>
      <c r="AA43" s="59"/>
      <c r="AB43" s="65">
        <v>6.8</v>
      </c>
      <c r="AC43" s="65">
        <v>6.5</v>
      </c>
      <c r="AD43" s="9">
        <v>0.12</v>
      </c>
      <c r="AE43" s="38">
        <v>0.76</v>
      </c>
      <c r="AF43" s="38"/>
      <c r="AG43" s="38"/>
      <c r="AH43" s="38"/>
      <c r="AI43" s="59"/>
      <c r="AJ43" s="59"/>
      <c r="AK43" s="38"/>
      <c r="AL43" s="38"/>
      <c r="AM43" s="65">
        <v>6.6</v>
      </c>
      <c r="AN43" s="65">
        <v>6.8</v>
      </c>
      <c r="AO43" s="38">
        <v>0.14000000000000001</v>
      </c>
      <c r="AP43" s="70">
        <v>1.05</v>
      </c>
      <c r="AQ43" s="73">
        <f t="shared" si="0"/>
        <v>1580.2</v>
      </c>
      <c r="AR43" s="75">
        <f t="shared" si="1"/>
        <v>0.68345779015314512</v>
      </c>
      <c r="AS43" s="75">
        <f t="shared" si="2"/>
        <v>0</v>
      </c>
      <c r="AT43" s="75">
        <f t="shared" si="3"/>
        <v>0.31654220984685483</v>
      </c>
      <c r="AU43" s="26" t="str">
        <f t="shared" si="4"/>
        <v/>
      </c>
      <c r="AV43" s="26" t="str">
        <f t="shared" si="5"/>
        <v/>
      </c>
      <c r="AW43" s="24">
        <f t="shared" si="6"/>
        <v>0.71698113207547176</v>
      </c>
      <c r="AX43" s="24">
        <f t="shared" si="7"/>
        <v>0.79514824797843664</v>
      </c>
      <c r="AY43" s="77" t="str">
        <f t="shared" si="8"/>
        <v>5,0 ≤ Alc. Bruta &lt; 7,5 mg/L</v>
      </c>
      <c r="AZ43" s="77" t="str">
        <f t="shared" si="9"/>
        <v>15 ≤ Cor &lt; 30 uC</v>
      </c>
      <c r="BA43" s="78" t="str">
        <f t="shared" si="10"/>
        <v>2,5 ≤ Turb &lt; 5,0 uT</v>
      </c>
      <c r="BB43" s="79" t="str">
        <f t="shared" si="11"/>
        <v>TOR &gt; BNN &gt; SM</v>
      </c>
      <c r="BC43" s="78" t="str">
        <f t="shared" si="12"/>
        <v>Tipo 1 (≤0,25) uT</v>
      </c>
      <c r="BD43" s="78" t="str">
        <f t="shared" si="13"/>
        <v>Tipo 1 (≤0,25) uT</v>
      </c>
      <c r="BE43" s="78" t="str">
        <f t="shared" si="14"/>
        <v>Tipo 4 (&gt;0,75) uT</v>
      </c>
      <c r="BF43" s="78" t="str">
        <f t="shared" si="15"/>
        <v>Tipo 4 (&gt;0,75) uT</v>
      </c>
      <c r="BG43" s="78" t="str">
        <f t="shared" si="16"/>
        <v>Tipo 2 (0,25-0,50) uT</v>
      </c>
    </row>
    <row r="44" spans="1:59" x14ac:dyDescent="0.2">
      <c r="A44" s="21">
        <v>46132</v>
      </c>
      <c r="B44" s="48">
        <v>0.39583333333333331</v>
      </c>
      <c r="C44" s="57">
        <v>1191.3</v>
      </c>
      <c r="D44" s="57">
        <v>0</v>
      </c>
      <c r="E44" s="57">
        <v>500.7</v>
      </c>
      <c r="F44" s="57">
        <v>1878</v>
      </c>
      <c r="G44" s="10" t="s">
        <v>34</v>
      </c>
      <c r="H44" s="63">
        <v>3.2</v>
      </c>
      <c r="I44" s="57">
        <v>90</v>
      </c>
      <c r="J44" s="57">
        <v>90</v>
      </c>
      <c r="K44" s="57">
        <v>90</v>
      </c>
      <c r="L44" s="63">
        <v>23.6</v>
      </c>
      <c r="M44" s="63">
        <v>6.8</v>
      </c>
      <c r="N44" s="36">
        <v>4.58</v>
      </c>
      <c r="O44" s="57">
        <v>21</v>
      </c>
      <c r="P44" s="63">
        <v>6.2</v>
      </c>
      <c r="Q44" s="36">
        <v>0.34</v>
      </c>
      <c r="R44" s="36">
        <v>22.36</v>
      </c>
      <c r="S44" s="36">
        <v>0.88</v>
      </c>
      <c r="T44" s="36">
        <v>0.7</v>
      </c>
      <c r="U44" s="42"/>
      <c r="V44" s="36"/>
      <c r="W44" s="36"/>
      <c r="X44" s="57"/>
      <c r="Y44" s="57"/>
      <c r="Z44" s="63"/>
      <c r="AA44" s="57"/>
      <c r="AB44" s="63">
        <v>6.7</v>
      </c>
      <c r="AC44" s="63">
        <v>8.1</v>
      </c>
      <c r="AD44" s="10">
        <v>0.17</v>
      </c>
      <c r="AE44" s="36">
        <v>0.86</v>
      </c>
      <c r="AF44" s="36"/>
      <c r="AG44" s="36"/>
      <c r="AH44" s="36"/>
      <c r="AI44" s="57"/>
      <c r="AJ44" s="57"/>
      <c r="AK44" s="36"/>
      <c r="AL44" s="36"/>
      <c r="AM44" s="63">
        <v>6.7</v>
      </c>
      <c r="AN44" s="63">
        <v>7.3</v>
      </c>
      <c r="AO44" s="36">
        <v>0.25</v>
      </c>
      <c r="AP44" s="68">
        <v>1.21</v>
      </c>
      <c r="AQ44" s="73">
        <f t="shared" si="0"/>
        <v>1692</v>
      </c>
      <c r="AR44" s="75">
        <f t="shared" si="1"/>
        <v>0.70407801418439708</v>
      </c>
      <c r="AS44" s="75">
        <f t="shared" si="2"/>
        <v>0</v>
      </c>
      <c r="AT44" s="75">
        <f t="shared" si="3"/>
        <v>0.29592198581560281</v>
      </c>
      <c r="AU44" s="26" t="str">
        <f t="shared" si="4"/>
        <v/>
      </c>
      <c r="AV44" s="26" t="str">
        <f t="shared" si="5"/>
        <v/>
      </c>
      <c r="AW44" s="24">
        <f t="shared" si="6"/>
        <v>0.73580786026200873</v>
      </c>
      <c r="AX44" s="24">
        <f t="shared" si="7"/>
        <v>0.81222707423580787</v>
      </c>
      <c r="AY44" s="77" t="str">
        <f t="shared" si="8"/>
        <v>5,0 ≤ Alc. Bruta &lt; 7,5 mg/L</v>
      </c>
      <c r="AZ44" s="77" t="str">
        <f t="shared" si="9"/>
        <v>15 ≤ Cor &lt; 30 uC</v>
      </c>
      <c r="BA44" s="78" t="str">
        <f t="shared" si="10"/>
        <v>2,5 ≤ Turb &lt; 5,0 uT</v>
      </c>
      <c r="BB44" s="79" t="str">
        <f t="shared" si="11"/>
        <v>TOR &gt; BNN &gt; SM</v>
      </c>
      <c r="BC44" s="78" t="str">
        <f t="shared" si="12"/>
        <v>Tipo 1 (≤0,25) uT</v>
      </c>
      <c r="BD44" s="78" t="str">
        <f t="shared" si="13"/>
        <v>Tipo 1 (≤0,25) uT</v>
      </c>
      <c r="BE44" s="78" t="str">
        <f t="shared" si="14"/>
        <v>Tipo 4 (&gt;0,75) uT</v>
      </c>
      <c r="BF44" s="78" t="str">
        <f t="shared" si="15"/>
        <v>Tipo 4 (&gt;0,75) uT</v>
      </c>
      <c r="BG44" s="78" t="str">
        <f t="shared" si="16"/>
        <v>Tipo 2 (0,25-0,50) uT</v>
      </c>
    </row>
    <row r="45" spans="1:59" x14ac:dyDescent="0.2">
      <c r="A45" s="21">
        <v>46132</v>
      </c>
      <c r="B45" s="48">
        <v>0.47916666666666669</v>
      </c>
      <c r="C45" s="57">
        <v>1191</v>
      </c>
      <c r="D45" s="57">
        <v>0</v>
      </c>
      <c r="E45" s="57">
        <v>500</v>
      </c>
      <c r="F45" s="57">
        <v>1889</v>
      </c>
      <c r="G45" s="10" t="s">
        <v>78</v>
      </c>
      <c r="H45" s="63">
        <v>3.2</v>
      </c>
      <c r="I45" s="57">
        <v>90</v>
      </c>
      <c r="J45" s="57">
        <v>90</v>
      </c>
      <c r="K45" s="57">
        <v>90</v>
      </c>
      <c r="L45" s="63">
        <v>24.2</v>
      </c>
      <c r="M45" s="63">
        <v>6.7</v>
      </c>
      <c r="N45" s="36">
        <v>4.37</v>
      </c>
      <c r="O45" s="57">
        <v>16</v>
      </c>
      <c r="P45" s="63">
        <v>6.2</v>
      </c>
      <c r="Q45" s="36">
        <v>0.36</v>
      </c>
      <c r="R45" s="36">
        <v>22.36</v>
      </c>
      <c r="S45" s="36">
        <v>0.88</v>
      </c>
      <c r="T45" s="36">
        <v>0.7</v>
      </c>
      <c r="U45" s="42"/>
      <c r="V45" s="36"/>
      <c r="W45" s="36"/>
      <c r="X45" s="57"/>
      <c r="Y45" s="57"/>
      <c r="Z45" s="63"/>
      <c r="AA45" s="57"/>
      <c r="AB45" s="63">
        <v>6.7</v>
      </c>
      <c r="AC45" s="63">
        <v>5.4</v>
      </c>
      <c r="AD45" s="10">
        <v>0.15</v>
      </c>
      <c r="AE45" s="36">
        <v>1.1000000000000001</v>
      </c>
      <c r="AF45" s="36"/>
      <c r="AG45" s="36"/>
      <c r="AH45" s="36"/>
      <c r="AI45" s="57"/>
      <c r="AJ45" s="57"/>
      <c r="AK45" s="36"/>
      <c r="AL45" s="36"/>
      <c r="AM45" s="63">
        <v>6.7</v>
      </c>
      <c r="AN45" s="63">
        <v>6.1</v>
      </c>
      <c r="AO45" s="36">
        <v>0.19</v>
      </c>
      <c r="AP45" s="68">
        <v>1.18</v>
      </c>
      <c r="AQ45" s="73">
        <f t="shared" si="0"/>
        <v>1691</v>
      </c>
      <c r="AR45" s="75">
        <f t="shared" si="1"/>
        <v>0.70431697220579537</v>
      </c>
      <c r="AS45" s="75">
        <f t="shared" si="2"/>
        <v>0</v>
      </c>
      <c r="AT45" s="75">
        <f t="shared" si="3"/>
        <v>0.29568302779420463</v>
      </c>
      <c r="AU45" s="26" t="str">
        <f t="shared" si="4"/>
        <v/>
      </c>
      <c r="AV45" s="26" t="str">
        <f t="shared" si="5"/>
        <v/>
      </c>
      <c r="AW45" s="24">
        <f t="shared" si="6"/>
        <v>0.72997711670480547</v>
      </c>
      <c r="AX45" s="24">
        <f t="shared" si="7"/>
        <v>0.74828375286041182</v>
      </c>
      <c r="AY45" s="77" t="str">
        <f t="shared" si="8"/>
        <v>5,0 ≤ Alc. Bruta &lt; 7,5 mg/L</v>
      </c>
      <c r="AZ45" s="77" t="str">
        <f t="shared" si="9"/>
        <v>15 ≤ Cor &lt; 30 uC</v>
      </c>
      <c r="BA45" s="78" t="str">
        <f t="shared" si="10"/>
        <v>2,5 ≤ Turb &lt; 5,0 uT</v>
      </c>
      <c r="BB45" s="79" t="str">
        <f t="shared" si="11"/>
        <v>TOR &gt; BNN &gt; SM</v>
      </c>
      <c r="BC45" s="78" t="str">
        <f t="shared" si="12"/>
        <v>Tipo 1 (≤0,25) uT</v>
      </c>
      <c r="BD45" s="78" t="str">
        <f t="shared" si="13"/>
        <v>Tipo 1 (≤0,25) uT</v>
      </c>
      <c r="BE45" s="78" t="str">
        <f t="shared" si="14"/>
        <v>Tipo 4 (&gt;0,75) uT</v>
      </c>
      <c r="BF45" s="78" t="str">
        <f t="shared" si="15"/>
        <v>Tipo 4 (&gt;0,75) uT</v>
      </c>
      <c r="BG45" s="78" t="str">
        <f t="shared" si="16"/>
        <v>Tipo 2 (0,25-0,50) uT</v>
      </c>
    </row>
    <row r="46" spans="1:59" x14ac:dyDescent="0.2">
      <c r="A46" s="21">
        <v>46132</v>
      </c>
      <c r="B46" s="48">
        <v>0.5625</v>
      </c>
      <c r="C46" s="57">
        <v>1236.4000000000001</v>
      </c>
      <c r="D46" s="57">
        <v>0</v>
      </c>
      <c r="E46" s="57">
        <v>499.4</v>
      </c>
      <c r="F46" s="57">
        <v>1881</v>
      </c>
      <c r="G46" s="10" t="s">
        <v>34</v>
      </c>
      <c r="H46" s="63">
        <v>3.4</v>
      </c>
      <c r="I46" s="57">
        <v>90</v>
      </c>
      <c r="J46" s="57">
        <v>90</v>
      </c>
      <c r="K46" s="57">
        <v>90</v>
      </c>
      <c r="L46" s="63">
        <v>24.7</v>
      </c>
      <c r="M46" s="63">
        <v>6.8</v>
      </c>
      <c r="N46" s="36">
        <v>4.6100000000000003</v>
      </c>
      <c r="O46" s="57">
        <v>16</v>
      </c>
      <c r="P46" s="63">
        <v>6.4</v>
      </c>
      <c r="Q46" s="36">
        <v>0.66</v>
      </c>
      <c r="R46" s="36">
        <v>22.36</v>
      </c>
      <c r="S46" s="36">
        <v>0.88</v>
      </c>
      <c r="T46" s="36">
        <v>0.7</v>
      </c>
      <c r="U46" s="42"/>
      <c r="V46" s="36"/>
      <c r="W46" s="36"/>
      <c r="X46" s="57"/>
      <c r="Y46" s="57"/>
      <c r="Z46" s="63"/>
      <c r="AA46" s="57"/>
      <c r="AB46" s="63">
        <v>6.8</v>
      </c>
      <c r="AC46" s="63">
        <v>7.3</v>
      </c>
      <c r="AD46" s="10">
        <v>0.32</v>
      </c>
      <c r="AE46" s="36">
        <v>1.38</v>
      </c>
      <c r="AF46" s="36"/>
      <c r="AG46" s="36"/>
      <c r="AH46" s="36"/>
      <c r="AI46" s="57"/>
      <c r="AJ46" s="57"/>
      <c r="AK46" s="36"/>
      <c r="AL46" s="36"/>
      <c r="AM46" s="63">
        <v>6.7</v>
      </c>
      <c r="AN46" s="63">
        <v>6.8</v>
      </c>
      <c r="AO46" s="36">
        <v>0.23</v>
      </c>
      <c r="AP46" s="68">
        <v>2.48</v>
      </c>
      <c r="AQ46" s="73">
        <f t="shared" si="0"/>
        <v>1735.8000000000002</v>
      </c>
      <c r="AR46" s="75">
        <f t="shared" si="1"/>
        <v>0.7122940430925222</v>
      </c>
      <c r="AS46" s="75">
        <f t="shared" si="2"/>
        <v>0</v>
      </c>
      <c r="AT46" s="75">
        <f t="shared" si="3"/>
        <v>0.2877059569074778</v>
      </c>
      <c r="AU46" s="26" t="str">
        <f t="shared" si="4"/>
        <v/>
      </c>
      <c r="AV46" s="26" t="str">
        <f t="shared" si="5"/>
        <v/>
      </c>
      <c r="AW46" s="24">
        <f t="shared" si="6"/>
        <v>0.46203904555314534</v>
      </c>
      <c r="AX46" s="24">
        <f t="shared" si="7"/>
        <v>0.70065075921908893</v>
      </c>
      <c r="AY46" s="77" t="str">
        <f t="shared" si="8"/>
        <v>5,0 ≤ Alc. Bruta &lt; 7,5 mg/L</v>
      </c>
      <c r="AZ46" s="77" t="str">
        <f t="shared" si="9"/>
        <v>15 ≤ Cor &lt; 30 uC</v>
      </c>
      <c r="BA46" s="78" t="str">
        <f t="shared" si="10"/>
        <v>2,5 ≤ Turb &lt; 5,0 uT</v>
      </c>
      <c r="BB46" s="79" t="str">
        <f t="shared" si="11"/>
        <v>TOR &gt; BNN &gt; SM</v>
      </c>
      <c r="BC46" s="78" t="str">
        <f t="shared" si="12"/>
        <v>Tipo 2 (0,25-0,50) uT</v>
      </c>
      <c r="BD46" s="78" t="str">
        <f t="shared" si="13"/>
        <v>Tipo 1 (≤0,25) uT</v>
      </c>
      <c r="BE46" s="78" t="str">
        <f t="shared" si="14"/>
        <v>Tipo 4 (&gt;0,75) uT</v>
      </c>
      <c r="BF46" s="78" t="str">
        <f t="shared" si="15"/>
        <v>Tipo 4 (&gt;0,75) uT</v>
      </c>
      <c r="BG46" s="78" t="str">
        <f t="shared" si="16"/>
        <v>Tipo 3 (0,50-0,75) uT</v>
      </c>
    </row>
    <row r="47" spans="1:59" x14ac:dyDescent="0.2">
      <c r="A47" s="21">
        <v>46132</v>
      </c>
      <c r="B47" s="48">
        <v>0.64583333333333337</v>
      </c>
      <c r="C47" s="57">
        <v>1768</v>
      </c>
      <c r="D47" s="57">
        <v>0</v>
      </c>
      <c r="E47" s="57">
        <v>499.9</v>
      </c>
      <c r="F47" s="57">
        <v>2364</v>
      </c>
      <c r="G47" s="10" t="s">
        <v>34</v>
      </c>
      <c r="H47" s="63">
        <v>3.4</v>
      </c>
      <c r="I47" s="57">
        <v>90</v>
      </c>
      <c r="J47" s="57">
        <v>90</v>
      </c>
      <c r="K47" s="57">
        <v>90</v>
      </c>
      <c r="L47" s="63">
        <v>25.2</v>
      </c>
      <c r="M47" s="63">
        <v>6.7</v>
      </c>
      <c r="N47" s="36">
        <v>3.95</v>
      </c>
      <c r="O47" s="57">
        <v>19</v>
      </c>
      <c r="P47" s="63">
        <v>6.6</v>
      </c>
      <c r="Q47" s="36">
        <v>0.3</v>
      </c>
      <c r="R47" s="36">
        <v>22.36</v>
      </c>
      <c r="S47" s="36">
        <v>0.88</v>
      </c>
      <c r="T47" s="36">
        <v>0.7</v>
      </c>
      <c r="U47" s="42"/>
      <c r="V47" s="36"/>
      <c r="W47" s="36"/>
      <c r="X47" s="57"/>
      <c r="Y47" s="57"/>
      <c r="Z47" s="63"/>
      <c r="AA47" s="57"/>
      <c r="AB47" s="63">
        <v>6.7</v>
      </c>
      <c r="AC47" s="63">
        <v>6.5</v>
      </c>
      <c r="AD47" s="10">
        <v>0.25</v>
      </c>
      <c r="AE47" s="36">
        <v>0.97</v>
      </c>
      <c r="AF47" s="36"/>
      <c r="AG47" s="36"/>
      <c r="AH47" s="36"/>
      <c r="AI47" s="57"/>
      <c r="AJ47" s="57"/>
      <c r="AK47" s="36"/>
      <c r="AL47" s="36"/>
      <c r="AM47" s="63">
        <v>6.7</v>
      </c>
      <c r="AN47" s="63">
        <v>7.3</v>
      </c>
      <c r="AO47" s="36">
        <v>0.34</v>
      </c>
      <c r="AP47" s="68">
        <v>1.39</v>
      </c>
      <c r="AQ47" s="73">
        <f t="shared" si="0"/>
        <v>2267.9</v>
      </c>
      <c r="AR47" s="75">
        <f t="shared" si="1"/>
        <v>0.77957581903964013</v>
      </c>
      <c r="AS47" s="75">
        <f t="shared" si="2"/>
        <v>0</v>
      </c>
      <c r="AT47" s="75">
        <f t="shared" si="3"/>
        <v>0.22042418096035979</v>
      </c>
      <c r="AU47" s="26" t="str">
        <f t="shared" si="4"/>
        <v/>
      </c>
      <c r="AV47" s="26" t="str">
        <f t="shared" si="5"/>
        <v/>
      </c>
      <c r="AW47" s="24">
        <f t="shared" si="6"/>
        <v>0.64810126582278493</v>
      </c>
      <c r="AX47" s="24">
        <f t="shared" si="7"/>
        <v>0.75443037974683547</v>
      </c>
      <c r="AY47" s="77" t="str">
        <f t="shared" si="8"/>
        <v>5,0 ≤ Alc. Bruta &lt; 7,5 mg/L</v>
      </c>
      <c r="AZ47" s="77" t="str">
        <f t="shared" si="9"/>
        <v>15 ≤ Cor &lt; 30 uC</v>
      </c>
      <c r="BA47" s="78" t="str">
        <f t="shared" si="10"/>
        <v>2,5 ≤ Turb &lt; 5,0 uT</v>
      </c>
      <c r="BB47" s="79" t="str">
        <f t="shared" si="11"/>
        <v>TOR &gt; BNN &gt; SM</v>
      </c>
      <c r="BC47" s="78" t="str">
        <f t="shared" si="12"/>
        <v>Tipo 1 (≤0,25) uT</v>
      </c>
      <c r="BD47" s="78" t="str">
        <f t="shared" si="13"/>
        <v>Tipo 2 (0,25-0,50) uT</v>
      </c>
      <c r="BE47" s="78" t="str">
        <f t="shared" si="14"/>
        <v>Tipo 4 (&gt;0,75) uT</v>
      </c>
      <c r="BF47" s="78" t="str">
        <f t="shared" si="15"/>
        <v>Tipo 4 (&gt;0,75) uT</v>
      </c>
      <c r="BG47" s="78" t="str">
        <f t="shared" si="16"/>
        <v>Tipo 2 (0,25-0,50) uT</v>
      </c>
    </row>
    <row r="48" spans="1:59" x14ac:dyDescent="0.2">
      <c r="A48" s="21">
        <v>46132</v>
      </c>
      <c r="B48" s="48">
        <v>0.72916666666666663</v>
      </c>
      <c r="C48" s="57">
        <v>1602</v>
      </c>
      <c r="D48" s="57">
        <v>0</v>
      </c>
      <c r="E48" s="57">
        <v>500</v>
      </c>
      <c r="F48" s="57">
        <v>2370</v>
      </c>
      <c r="G48" s="10" t="s">
        <v>34</v>
      </c>
      <c r="H48" s="63">
        <v>3.4</v>
      </c>
      <c r="I48" s="57">
        <v>90</v>
      </c>
      <c r="J48" s="57">
        <v>90</v>
      </c>
      <c r="K48" s="57">
        <v>90</v>
      </c>
      <c r="L48" s="63">
        <v>25.1</v>
      </c>
      <c r="M48" s="63">
        <v>6.7</v>
      </c>
      <c r="N48" s="36">
        <v>3.54</v>
      </c>
      <c r="O48" s="57">
        <v>18</v>
      </c>
      <c r="P48" s="63">
        <v>6.2</v>
      </c>
      <c r="Q48" s="36">
        <v>0.36</v>
      </c>
      <c r="R48" s="36">
        <v>22.36</v>
      </c>
      <c r="S48" s="36">
        <v>0.88</v>
      </c>
      <c r="T48" s="36">
        <v>0.7</v>
      </c>
      <c r="U48" s="42"/>
      <c r="V48" s="36"/>
      <c r="W48" s="36"/>
      <c r="X48" s="57"/>
      <c r="Y48" s="57"/>
      <c r="Z48" s="63"/>
      <c r="AA48" s="57"/>
      <c r="AB48" s="63">
        <v>6.8</v>
      </c>
      <c r="AC48" s="63">
        <v>7</v>
      </c>
      <c r="AD48" s="10">
        <v>0.2</v>
      </c>
      <c r="AE48" s="36">
        <v>0.94</v>
      </c>
      <c r="AF48" s="36"/>
      <c r="AG48" s="36"/>
      <c r="AH48" s="36"/>
      <c r="AI48" s="57"/>
      <c r="AJ48" s="57"/>
      <c r="AK48" s="36"/>
      <c r="AL48" s="36"/>
      <c r="AM48" s="63">
        <v>6.7</v>
      </c>
      <c r="AN48" s="63">
        <v>6.9</v>
      </c>
      <c r="AO48" s="36">
        <v>0.2</v>
      </c>
      <c r="AP48" s="68">
        <v>1.36</v>
      </c>
      <c r="AQ48" s="73">
        <f t="shared" si="0"/>
        <v>2102</v>
      </c>
      <c r="AR48" s="75">
        <f t="shared" si="1"/>
        <v>0.76213130352045666</v>
      </c>
      <c r="AS48" s="75">
        <f t="shared" si="2"/>
        <v>0</v>
      </c>
      <c r="AT48" s="75">
        <f t="shared" si="3"/>
        <v>0.23786869647954328</v>
      </c>
      <c r="AU48" s="26" t="str">
        <f t="shared" si="4"/>
        <v/>
      </c>
      <c r="AV48" s="26" t="str">
        <f t="shared" si="5"/>
        <v/>
      </c>
      <c r="AW48" s="24">
        <f t="shared" si="6"/>
        <v>0.61581920903954801</v>
      </c>
      <c r="AX48" s="24">
        <f t="shared" si="7"/>
        <v>0.7344632768361582</v>
      </c>
      <c r="AY48" s="77" t="str">
        <f t="shared" si="8"/>
        <v>5,0 ≤ Alc. Bruta &lt; 7,5 mg/L</v>
      </c>
      <c r="AZ48" s="77" t="str">
        <f t="shared" si="9"/>
        <v>15 ≤ Cor &lt; 30 uC</v>
      </c>
      <c r="BA48" s="78" t="str">
        <f t="shared" si="10"/>
        <v>2,5 ≤ Turb &lt; 5,0 uT</v>
      </c>
      <c r="BB48" s="79" t="str">
        <f t="shared" si="11"/>
        <v>TOR &gt; BNN &gt; SM</v>
      </c>
      <c r="BC48" s="78" t="str">
        <f t="shared" si="12"/>
        <v>Tipo 1 (≤0,25) uT</v>
      </c>
      <c r="BD48" s="78" t="str">
        <f t="shared" si="13"/>
        <v>Tipo 1 (≤0,25) uT</v>
      </c>
      <c r="BE48" s="78" t="str">
        <f t="shared" si="14"/>
        <v>Tipo 4 (&gt;0,75) uT</v>
      </c>
      <c r="BF48" s="78" t="str">
        <f t="shared" si="15"/>
        <v>Tipo 4 (&gt;0,75) uT</v>
      </c>
      <c r="BG48" s="78" t="str">
        <f t="shared" si="16"/>
        <v>Tipo 2 (0,25-0,50) uT</v>
      </c>
    </row>
    <row r="49" spans="1:59" x14ac:dyDescent="0.2">
      <c r="A49" s="21">
        <v>46132</v>
      </c>
      <c r="B49" s="48">
        <v>0.8125</v>
      </c>
      <c r="C49" s="57">
        <v>1540</v>
      </c>
      <c r="D49" s="57">
        <v>70</v>
      </c>
      <c r="E49" s="57">
        <v>500</v>
      </c>
      <c r="F49" s="57">
        <v>2375</v>
      </c>
      <c r="G49" s="10" t="s">
        <v>34</v>
      </c>
      <c r="H49" s="63">
        <v>3.4</v>
      </c>
      <c r="I49" s="57">
        <v>90</v>
      </c>
      <c r="J49" s="57">
        <v>90</v>
      </c>
      <c r="K49" s="57">
        <v>90</v>
      </c>
      <c r="L49" s="63">
        <v>25.1</v>
      </c>
      <c r="M49" s="63">
        <v>6</v>
      </c>
      <c r="N49" s="36">
        <v>3.49</v>
      </c>
      <c r="O49" s="57">
        <v>16</v>
      </c>
      <c r="P49" s="63">
        <v>8.4</v>
      </c>
      <c r="Q49" s="36">
        <v>0.63</v>
      </c>
      <c r="R49" s="36">
        <v>22.36</v>
      </c>
      <c r="S49" s="36">
        <v>0.88</v>
      </c>
      <c r="T49" s="36">
        <v>0.7</v>
      </c>
      <c r="U49" s="42"/>
      <c r="V49" s="36"/>
      <c r="W49" s="36"/>
      <c r="X49" s="57"/>
      <c r="Y49" s="57"/>
      <c r="Z49" s="63"/>
      <c r="AA49" s="57"/>
      <c r="AB49" s="63">
        <v>6.8</v>
      </c>
      <c r="AC49" s="63">
        <v>9.3000000000000007</v>
      </c>
      <c r="AD49" s="10">
        <v>0.18</v>
      </c>
      <c r="AE49" s="36">
        <v>0.92</v>
      </c>
      <c r="AF49" s="36"/>
      <c r="AG49" s="36"/>
      <c r="AH49" s="36"/>
      <c r="AI49" s="57"/>
      <c r="AJ49" s="57"/>
      <c r="AK49" s="36"/>
      <c r="AL49" s="36"/>
      <c r="AM49" s="63">
        <v>6.9</v>
      </c>
      <c r="AN49" s="63">
        <v>8.6999999999999993</v>
      </c>
      <c r="AO49" s="36">
        <v>0.17</v>
      </c>
      <c r="AP49" s="68">
        <v>1.23</v>
      </c>
      <c r="AQ49" s="73">
        <f t="shared" si="0"/>
        <v>2110</v>
      </c>
      <c r="AR49" s="75">
        <f t="shared" si="1"/>
        <v>0.72985781990521326</v>
      </c>
      <c r="AS49" s="75">
        <f t="shared" si="2"/>
        <v>3.3175355450236969E-2</v>
      </c>
      <c r="AT49" s="75">
        <f t="shared" si="3"/>
        <v>0.23696682464454977</v>
      </c>
      <c r="AU49" s="26" t="str">
        <f t="shared" si="4"/>
        <v/>
      </c>
      <c r="AV49" s="26" t="str">
        <f t="shared" si="5"/>
        <v/>
      </c>
      <c r="AW49" s="24">
        <f t="shared" si="6"/>
        <v>0.64756446991404015</v>
      </c>
      <c r="AX49" s="24">
        <f t="shared" si="7"/>
        <v>0.73638968481375366</v>
      </c>
      <c r="AY49" s="77" t="str">
        <f t="shared" si="8"/>
        <v>7,5 ≤ Alc. Bruta &lt; 10,0 mg/L</v>
      </c>
      <c r="AZ49" s="77" t="str">
        <f t="shared" si="9"/>
        <v>15 ≤ Cor &lt; 30 uC</v>
      </c>
      <c r="BA49" s="78" t="str">
        <f t="shared" si="10"/>
        <v>2,5 ≤ Turb &lt; 5,0 uT</v>
      </c>
      <c r="BB49" s="79" t="str">
        <f t="shared" si="11"/>
        <v>TOR &gt; BNN &gt; SM</v>
      </c>
      <c r="BC49" s="78" t="str">
        <f t="shared" si="12"/>
        <v>Tipo 1 (≤0,25) uT</v>
      </c>
      <c r="BD49" s="78" t="str">
        <f t="shared" si="13"/>
        <v>Tipo 1 (≤0,25) uT</v>
      </c>
      <c r="BE49" s="78" t="str">
        <f t="shared" si="14"/>
        <v>Tipo 4 (&gt;0,75) uT</v>
      </c>
      <c r="BF49" s="78" t="str">
        <f t="shared" si="15"/>
        <v>Tipo 4 (&gt;0,75) uT</v>
      </c>
      <c r="BG49" s="78" t="str">
        <f t="shared" si="16"/>
        <v>Tipo 3 (0,50-0,75) uT</v>
      </c>
    </row>
    <row r="50" spans="1:59" x14ac:dyDescent="0.2">
      <c r="A50" s="21">
        <v>46132</v>
      </c>
      <c r="B50" s="48">
        <v>0.89583333333333337</v>
      </c>
      <c r="C50" s="57">
        <v>1600</v>
      </c>
      <c r="D50" s="57">
        <v>80</v>
      </c>
      <c r="E50" s="57">
        <v>500</v>
      </c>
      <c r="F50" s="57">
        <v>2364</v>
      </c>
      <c r="G50" s="10" t="s">
        <v>34</v>
      </c>
      <c r="H50" s="63">
        <v>3.11</v>
      </c>
      <c r="I50" s="57">
        <v>90</v>
      </c>
      <c r="J50" s="57">
        <v>90</v>
      </c>
      <c r="K50" s="57">
        <v>90</v>
      </c>
      <c r="L50" s="63">
        <v>24.9</v>
      </c>
      <c r="M50" s="63">
        <v>6.8</v>
      </c>
      <c r="N50" s="36">
        <v>3.58</v>
      </c>
      <c r="O50" s="57">
        <v>15</v>
      </c>
      <c r="P50" s="63">
        <v>10.6</v>
      </c>
      <c r="Q50" s="36">
        <v>0.42</v>
      </c>
      <c r="R50" s="36">
        <v>22.36</v>
      </c>
      <c r="S50" s="36">
        <v>0.88</v>
      </c>
      <c r="T50" s="36">
        <v>0.7</v>
      </c>
      <c r="U50" s="42"/>
      <c r="V50" s="36"/>
      <c r="W50" s="36"/>
      <c r="X50" s="57"/>
      <c r="Y50" s="57"/>
      <c r="Z50" s="63"/>
      <c r="AA50" s="57"/>
      <c r="AB50" s="63">
        <v>6.8</v>
      </c>
      <c r="AC50" s="63">
        <v>8.4</v>
      </c>
      <c r="AD50" s="10">
        <v>0.31</v>
      </c>
      <c r="AE50" s="36">
        <v>0.96</v>
      </c>
      <c r="AF50" s="36"/>
      <c r="AG50" s="36"/>
      <c r="AH50" s="36"/>
      <c r="AI50" s="57"/>
      <c r="AJ50" s="57"/>
      <c r="AK50" s="36"/>
      <c r="AL50" s="36"/>
      <c r="AM50" s="63">
        <v>6.8</v>
      </c>
      <c r="AN50" s="63">
        <v>9.6</v>
      </c>
      <c r="AO50" s="36">
        <v>0.2</v>
      </c>
      <c r="AP50" s="68">
        <v>1.1599999999999999</v>
      </c>
      <c r="AQ50" s="73">
        <f t="shared" si="0"/>
        <v>2180</v>
      </c>
      <c r="AR50" s="75">
        <f t="shared" si="1"/>
        <v>0.73394495412844041</v>
      </c>
      <c r="AS50" s="75">
        <f t="shared" si="2"/>
        <v>3.669724770642202E-2</v>
      </c>
      <c r="AT50" s="75">
        <f t="shared" si="3"/>
        <v>0.22935779816513763</v>
      </c>
      <c r="AU50" s="26" t="str">
        <f t="shared" si="4"/>
        <v/>
      </c>
      <c r="AV50" s="26" t="str">
        <f t="shared" si="5"/>
        <v/>
      </c>
      <c r="AW50" s="24">
        <f t="shared" si="6"/>
        <v>0.67597765363128492</v>
      </c>
      <c r="AX50" s="24">
        <f t="shared" si="7"/>
        <v>0.73184357541899447</v>
      </c>
      <c r="AY50" s="77" t="str">
        <f t="shared" si="8"/>
        <v>10,0 ≤ Alca. Bruta &lt; 15,0 mg/L</v>
      </c>
      <c r="AZ50" s="77" t="str">
        <f t="shared" si="9"/>
        <v>15 ≤ Cor &lt; 30 uC</v>
      </c>
      <c r="BA50" s="78" t="str">
        <f t="shared" si="10"/>
        <v>2,5 ≤ Turb &lt; 5,0 uT</v>
      </c>
      <c r="BB50" s="79" t="str">
        <f t="shared" si="11"/>
        <v>TOR &gt; BNN &gt; SM</v>
      </c>
      <c r="BC50" s="78" t="str">
        <f t="shared" si="12"/>
        <v>Tipo 2 (0,25-0,50) uT</v>
      </c>
      <c r="BD50" s="78" t="str">
        <f t="shared" si="13"/>
        <v>Tipo 1 (≤0,25) uT</v>
      </c>
      <c r="BE50" s="78" t="str">
        <f t="shared" si="14"/>
        <v>Tipo 4 (&gt;0,75) uT</v>
      </c>
      <c r="BF50" s="78" t="str">
        <f t="shared" si="15"/>
        <v>Tipo 4 (&gt;0,75) uT</v>
      </c>
      <c r="BG50" s="78" t="str">
        <f t="shared" si="16"/>
        <v>Tipo 2 (0,25-0,50) uT</v>
      </c>
    </row>
    <row r="51" spans="1:59" x14ac:dyDescent="0.2">
      <c r="A51" s="21">
        <v>46133</v>
      </c>
      <c r="B51" s="48">
        <v>6.25E-2</v>
      </c>
      <c r="C51" s="57">
        <v>1150</v>
      </c>
      <c r="D51" s="57">
        <v>90</v>
      </c>
      <c r="E51" s="57">
        <v>500</v>
      </c>
      <c r="F51" s="57">
        <v>1822</v>
      </c>
      <c r="G51" s="10" t="s">
        <v>34</v>
      </c>
      <c r="H51" s="63">
        <v>3.4</v>
      </c>
      <c r="I51" s="57">
        <v>90</v>
      </c>
      <c r="J51" s="57">
        <v>90</v>
      </c>
      <c r="K51" s="57">
        <v>90</v>
      </c>
      <c r="L51" s="63">
        <v>24.5</v>
      </c>
      <c r="M51" s="63">
        <v>6.8</v>
      </c>
      <c r="N51" s="36">
        <v>3.61</v>
      </c>
      <c r="O51" s="57">
        <v>14</v>
      </c>
      <c r="P51" s="63">
        <v>7.3</v>
      </c>
      <c r="Q51" s="36">
        <v>0.37</v>
      </c>
      <c r="R51" s="36">
        <v>22.36</v>
      </c>
      <c r="S51" s="36">
        <v>0.88</v>
      </c>
      <c r="T51" s="36">
        <v>0.7</v>
      </c>
      <c r="U51" s="42"/>
      <c r="V51" s="36"/>
      <c r="W51" s="36"/>
      <c r="X51" s="57"/>
      <c r="Y51" s="57"/>
      <c r="Z51" s="63"/>
      <c r="AA51" s="57"/>
      <c r="AB51" s="63">
        <v>6.9</v>
      </c>
      <c r="AC51" s="63">
        <v>9.9</v>
      </c>
      <c r="AD51" s="10">
        <v>0.17</v>
      </c>
      <c r="AE51" s="36">
        <v>1.18</v>
      </c>
      <c r="AF51" s="36"/>
      <c r="AG51" s="36"/>
      <c r="AH51" s="36"/>
      <c r="AI51" s="57"/>
      <c r="AJ51" s="57"/>
      <c r="AK51" s="36"/>
      <c r="AL51" s="36"/>
      <c r="AM51" s="63">
        <v>6.9</v>
      </c>
      <c r="AN51" s="63">
        <v>9</v>
      </c>
      <c r="AO51" s="36">
        <v>0.16</v>
      </c>
      <c r="AP51" s="68">
        <v>1.1000000000000001</v>
      </c>
      <c r="AQ51" s="73">
        <f t="shared" si="0"/>
        <v>1740</v>
      </c>
      <c r="AR51" s="75">
        <f t="shared" si="1"/>
        <v>0.66091954022988508</v>
      </c>
      <c r="AS51" s="75">
        <f t="shared" si="2"/>
        <v>5.1724137931034482E-2</v>
      </c>
      <c r="AT51" s="75">
        <f t="shared" si="3"/>
        <v>0.28735632183908044</v>
      </c>
      <c r="AU51" s="26" t="str">
        <f t="shared" si="4"/>
        <v/>
      </c>
      <c r="AV51" s="26" t="str">
        <f t="shared" si="5"/>
        <v/>
      </c>
      <c r="AW51" s="24">
        <f t="shared" si="6"/>
        <v>0.6952908587257618</v>
      </c>
      <c r="AX51" s="24">
        <f t="shared" si="7"/>
        <v>0.67313019390581719</v>
      </c>
      <c r="AY51" s="77" t="str">
        <f t="shared" si="8"/>
        <v>5,0 ≤ Alc. Bruta &lt; 7,5 mg/L</v>
      </c>
      <c r="AZ51" s="77" t="str">
        <f t="shared" si="9"/>
        <v>10 ≤ Cor &lt;15 uC</v>
      </c>
      <c r="BA51" s="78" t="str">
        <f t="shared" si="10"/>
        <v>2,5 ≤ Turb &lt; 5,0 uT</v>
      </c>
      <c r="BB51" s="79" t="str">
        <f t="shared" si="11"/>
        <v>TOR &gt; BNN &gt; SM</v>
      </c>
      <c r="BC51" s="78" t="str">
        <f t="shared" si="12"/>
        <v>Tipo 1 (≤0,25) uT</v>
      </c>
      <c r="BD51" s="78" t="str">
        <f t="shared" si="13"/>
        <v>Tipo 1 (≤0,25) uT</v>
      </c>
      <c r="BE51" s="78" t="str">
        <f t="shared" si="14"/>
        <v>Tipo 4 (&gt;0,75) uT</v>
      </c>
      <c r="BF51" s="78" t="str">
        <f t="shared" si="15"/>
        <v>Tipo 4 (&gt;0,75) uT</v>
      </c>
      <c r="BG51" s="78" t="str">
        <f t="shared" si="16"/>
        <v>Tipo 2 (0,25-0,50) uT</v>
      </c>
    </row>
    <row r="52" spans="1:59" x14ac:dyDescent="0.2">
      <c r="A52" s="21">
        <v>46133</v>
      </c>
      <c r="B52" s="48">
        <v>0.14583333333333334</v>
      </c>
      <c r="C52" s="57">
        <v>1167</v>
      </c>
      <c r="D52" s="57">
        <v>0</v>
      </c>
      <c r="E52" s="57">
        <v>500</v>
      </c>
      <c r="F52" s="57">
        <v>1833</v>
      </c>
      <c r="G52" s="10" t="s">
        <v>34</v>
      </c>
      <c r="H52" s="63">
        <v>3.4</v>
      </c>
      <c r="I52" s="57">
        <v>90</v>
      </c>
      <c r="J52" s="57">
        <v>90</v>
      </c>
      <c r="K52" s="57">
        <v>90</v>
      </c>
      <c r="L52" s="63">
        <v>23.6</v>
      </c>
      <c r="M52" s="63">
        <v>6.8</v>
      </c>
      <c r="N52" s="36">
        <v>3.87</v>
      </c>
      <c r="O52" s="57">
        <v>16</v>
      </c>
      <c r="P52" s="63">
        <v>10.5</v>
      </c>
      <c r="Q52" s="36">
        <v>0.44</v>
      </c>
      <c r="R52" s="36">
        <v>22.36</v>
      </c>
      <c r="S52" s="36">
        <v>0.88</v>
      </c>
      <c r="T52" s="36">
        <v>0.7</v>
      </c>
      <c r="U52" s="42"/>
      <c r="V52" s="36"/>
      <c r="W52" s="36"/>
      <c r="X52" s="57"/>
      <c r="Y52" s="57"/>
      <c r="Z52" s="63"/>
      <c r="AA52" s="57"/>
      <c r="AB52" s="63">
        <v>7</v>
      </c>
      <c r="AC52" s="63">
        <v>10.7</v>
      </c>
      <c r="AD52" s="10">
        <v>0.21</v>
      </c>
      <c r="AE52" s="36">
        <v>0.83</v>
      </c>
      <c r="AF52" s="36"/>
      <c r="AG52" s="36"/>
      <c r="AH52" s="36"/>
      <c r="AI52" s="57"/>
      <c r="AJ52" s="57"/>
      <c r="AK52" s="36"/>
      <c r="AL52" s="36"/>
      <c r="AM52" s="63">
        <v>7</v>
      </c>
      <c r="AN52" s="63">
        <v>10.6</v>
      </c>
      <c r="AO52" s="36">
        <v>0.19</v>
      </c>
      <c r="AP52" s="68">
        <v>0.83</v>
      </c>
      <c r="AQ52" s="73">
        <f t="shared" si="0"/>
        <v>1667</v>
      </c>
      <c r="AR52" s="75">
        <f t="shared" si="1"/>
        <v>0.70005998800239955</v>
      </c>
      <c r="AS52" s="75">
        <f t="shared" si="2"/>
        <v>0</v>
      </c>
      <c r="AT52" s="75">
        <f t="shared" si="3"/>
        <v>0.29994001199760045</v>
      </c>
      <c r="AU52" s="26" t="str">
        <f t="shared" si="4"/>
        <v/>
      </c>
      <c r="AV52" s="26" t="str">
        <f t="shared" si="5"/>
        <v/>
      </c>
      <c r="AW52" s="24">
        <f t="shared" si="6"/>
        <v>0.78552971576227393</v>
      </c>
      <c r="AX52" s="24">
        <f t="shared" si="7"/>
        <v>0.78552971576227393</v>
      </c>
      <c r="AY52" s="77" t="str">
        <f t="shared" si="8"/>
        <v>10,0 ≤ Alca. Bruta &lt; 15,0 mg/L</v>
      </c>
      <c r="AZ52" s="77" t="str">
        <f t="shared" si="9"/>
        <v>15 ≤ Cor &lt; 30 uC</v>
      </c>
      <c r="BA52" s="78" t="str">
        <f t="shared" si="10"/>
        <v>2,5 ≤ Turb &lt; 5,0 uT</v>
      </c>
      <c r="BB52" s="79" t="str">
        <f t="shared" si="11"/>
        <v>TOR &gt; BNN &gt; SM</v>
      </c>
      <c r="BC52" s="78" t="str">
        <f t="shared" si="12"/>
        <v>Tipo 1 (≤0,25) uT</v>
      </c>
      <c r="BD52" s="78" t="str">
        <f t="shared" si="13"/>
        <v>Tipo 1 (≤0,25) uT</v>
      </c>
      <c r="BE52" s="78" t="str">
        <f t="shared" si="14"/>
        <v>Tipo 4 (&gt;0,75) uT</v>
      </c>
      <c r="BF52" s="78" t="str">
        <f t="shared" si="15"/>
        <v>Tipo 4 (&gt;0,75) uT</v>
      </c>
      <c r="BG52" s="78" t="str">
        <f t="shared" si="16"/>
        <v>Tipo 2 (0,25-0,50) uT</v>
      </c>
    </row>
    <row r="53" spans="1:59" ht="15.75" thickBot="1" x14ac:dyDescent="0.25">
      <c r="A53" s="21">
        <v>46133</v>
      </c>
      <c r="B53" s="51">
        <v>0.22916666666666666</v>
      </c>
      <c r="C53" s="58">
        <v>1156</v>
      </c>
      <c r="D53" s="58">
        <v>0</v>
      </c>
      <c r="E53" s="58">
        <v>500</v>
      </c>
      <c r="F53" s="58">
        <v>1830</v>
      </c>
      <c r="G53" s="11" t="s">
        <v>34</v>
      </c>
      <c r="H53" s="64">
        <v>3.4</v>
      </c>
      <c r="I53" s="58">
        <v>90</v>
      </c>
      <c r="J53" s="58">
        <v>90</v>
      </c>
      <c r="K53" s="58">
        <v>90</v>
      </c>
      <c r="L53" s="64">
        <v>23.3</v>
      </c>
      <c r="M53" s="64">
        <v>6.8</v>
      </c>
      <c r="N53" s="37">
        <v>3.76</v>
      </c>
      <c r="O53" s="58">
        <v>15</v>
      </c>
      <c r="P53" s="64">
        <v>9.9</v>
      </c>
      <c r="Q53" s="37">
        <v>0.33</v>
      </c>
      <c r="R53" s="36">
        <v>22.36</v>
      </c>
      <c r="S53" s="36">
        <v>0.88</v>
      </c>
      <c r="T53" s="36">
        <v>0.7</v>
      </c>
      <c r="U53" s="42"/>
      <c r="V53" s="41"/>
      <c r="W53" s="37"/>
      <c r="X53" s="58"/>
      <c r="Y53" s="58"/>
      <c r="Z53" s="64"/>
      <c r="AA53" s="58"/>
      <c r="AB53" s="64">
        <v>6.9</v>
      </c>
      <c r="AC53" s="64">
        <v>11.4</v>
      </c>
      <c r="AD53" s="11">
        <v>0.21</v>
      </c>
      <c r="AE53" s="37">
        <v>0.91</v>
      </c>
      <c r="AF53" s="37"/>
      <c r="AG53" s="37"/>
      <c r="AH53" s="37"/>
      <c r="AI53" s="58"/>
      <c r="AJ53" s="58"/>
      <c r="AK53" s="37"/>
      <c r="AL53" s="37"/>
      <c r="AM53" s="64">
        <v>7</v>
      </c>
      <c r="AN53" s="64">
        <v>12.6</v>
      </c>
      <c r="AO53" s="37">
        <v>0.28999999999999998</v>
      </c>
      <c r="AP53" s="69">
        <v>1.1299999999999999</v>
      </c>
      <c r="AQ53" s="73">
        <f t="shared" si="0"/>
        <v>1656</v>
      </c>
      <c r="AR53" s="75">
        <f t="shared" si="1"/>
        <v>0.69806763285024154</v>
      </c>
      <c r="AS53" s="75">
        <f t="shared" si="2"/>
        <v>0</v>
      </c>
      <c r="AT53" s="75">
        <f t="shared" si="3"/>
        <v>0.30193236714975846</v>
      </c>
      <c r="AU53" s="26" t="str">
        <f t="shared" si="4"/>
        <v/>
      </c>
      <c r="AV53" s="26" t="str">
        <f t="shared" si="5"/>
        <v/>
      </c>
      <c r="AW53" s="24">
        <f t="shared" si="6"/>
        <v>0.69946808510638303</v>
      </c>
      <c r="AX53" s="24">
        <f t="shared" si="7"/>
        <v>0.75797872340425532</v>
      </c>
      <c r="AY53" s="77" t="str">
        <f t="shared" si="8"/>
        <v>7,5 ≤ Alc. Bruta &lt; 10,0 mg/L</v>
      </c>
      <c r="AZ53" s="77" t="str">
        <f t="shared" si="9"/>
        <v>15 ≤ Cor &lt; 30 uC</v>
      </c>
      <c r="BA53" s="78" t="str">
        <f t="shared" si="10"/>
        <v>2,5 ≤ Turb &lt; 5,0 uT</v>
      </c>
      <c r="BB53" s="79" t="str">
        <f t="shared" si="11"/>
        <v>TOR &gt; BNN &gt; SM</v>
      </c>
      <c r="BC53" s="78" t="str">
        <f t="shared" si="12"/>
        <v>Tipo 1 (≤0,25) uT</v>
      </c>
      <c r="BD53" s="78" t="str">
        <f t="shared" si="13"/>
        <v>Tipo 2 (0,25-0,50) uT</v>
      </c>
      <c r="BE53" s="78" t="str">
        <f t="shared" si="14"/>
        <v>Tipo 4 (&gt;0,75) uT</v>
      </c>
      <c r="BF53" s="78" t="str">
        <f t="shared" si="15"/>
        <v>Tipo 4 (&gt;0,75) uT</v>
      </c>
      <c r="BG53" s="78" t="str">
        <f t="shared" si="16"/>
        <v>Tipo 2 (0,25-0,50) uT</v>
      </c>
    </row>
    <row r="54" spans="1:59" x14ac:dyDescent="0.2">
      <c r="A54" s="21">
        <v>46133</v>
      </c>
      <c r="B54" s="52">
        <v>0.3125</v>
      </c>
      <c r="C54" s="59">
        <v>1918</v>
      </c>
      <c r="D54" s="57">
        <v>0</v>
      </c>
      <c r="E54" s="59">
        <v>500</v>
      </c>
      <c r="F54" s="59">
        <v>1996</v>
      </c>
      <c r="G54" s="9" t="s">
        <v>34</v>
      </c>
      <c r="H54" s="65">
        <v>3.4</v>
      </c>
      <c r="I54" s="59">
        <v>90</v>
      </c>
      <c r="J54" s="59">
        <v>90</v>
      </c>
      <c r="K54" s="59">
        <v>90</v>
      </c>
      <c r="L54" s="65">
        <v>23.3</v>
      </c>
      <c r="M54" s="65">
        <v>6.8</v>
      </c>
      <c r="N54" s="38">
        <v>3.84</v>
      </c>
      <c r="O54" s="59">
        <v>16</v>
      </c>
      <c r="P54" s="65">
        <v>7.1</v>
      </c>
      <c r="Q54" s="38">
        <v>0.28000000000000003</v>
      </c>
      <c r="R54" s="36">
        <v>22.36</v>
      </c>
      <c r="S54" s="36">
        <v>0.88</v>
      </c>
      <c r="T54" s="36">
        <v>0.7</v>
      </c>
      <c r="U54" s="42"/>
      <c r="V54" s="39"/>
      <c r="W54" s="38"/>
      <c r="X54" s="59"/>
      <c r="Y54" s="59"/>
      <c r="Z54" s="65"/>
      <c r="AA54" s="59"/>
      <c r="AB54" s="65">
        <v>6.8</v>
      </c>
      <c r="AC54" s="65">
        <v>8.1</v>
      </c>
      <c r="AD54" s="9">
        <v>0.14000000000000001</v>
      </c>
      <c r="AE54" s="38">
        <v>0.86</v>
      </c>
      <c r="AF54" s="38"/>
      <c r="AG54" s="38"/>
      <c r="AH54" s="38"/>
      <c r="AI54" s="59"/>
      <c r="AJ54" s="59"/>
      <c r="AK54" s="38"/>
      <c r="AL54" s="38"/>
      <c r="AM54" s="65">
        <v>6.9</v>
      </c>
      <c r="AN54" s="65">
        <v>7.4</v>
      </c>
      <c r="AO54" s="38">
        <v>0.14000000000000001</v>
      </c>
      <c r="AP54" s="70">
        <v>0.87</v>
      </c>
      <c r="AQ54" s="73">
        <f t="shared" si="0"/>
        <v>2418</v>
      </c>
      <c r="AR54" s="75">
        <f t="shared" si="1"/>
        <v>0.79321753515301907</v>
      </c>
      <c r="AS54" s="75">
        <f t="shared" si="2"/>
        <v>0</v>
      </c>
      <c r="AT54" s="75">
        <f t="shared" si="3"/>
        <v>0.20678246484698098</v>
      </c>
      <c r="AU54" s="26" t="str">
        <f t="shared" si="4"/>
        <v/>
      </c>
      <c r="AV54" s="26" t="str">
        <f t="shared" si="5"/>
        <v/>
      </c>
      <c r="AW54" s="24">
        <f t="shared" si="6"/>
        <v>0.7734375</v>
      </c>
      <c r="AX54" s="24">
        <f t="shared" si="7"/>
        <v>0.77604166666666663</v>
      </c>
      <c r="AY54" s="77" t="str">
        <f t="shared" si="8"/>
        <v>5,0 ≤ Alc. Bruta &lt; 7,5 mg/L</v>
      </c>
      <c r="AZ54" s="77" t="str">
        <f t="shared" si="9"/>
        <v>15 ≤ Cor &lt; 30 uC</v>
      </c>
      <c r="BA54" s="78" t="str">
        <f t="shared" si="10"/>
        <v>2,5 ≤ Turb &lt; 5,0 uT</v>
      </c>
      <c r="BB54" s="79" t="str">
        <f t="shared" si="11"/>
        <v>TOR &gt; BNN &gt; SM</v>
      </c>
      <c r="BC54" s="78" t="str">
        <f t="shared" si="12"/>
        <v>Tipo 1 (≤0,25) uT</v>
      </c>
      <c r="BD54" s="78" t="str">
        <f t="shared" si="13"/>
        <v>Tipo 1 (≤0,25) uT</v>
      </c>
      <c r="BE54" s="78" t="str">
        <f t="shared" si="14"/>
        <v>Tipo 4 (&gt;0,75) uT</v>
      </c>
      <c r="BF54" s="78" t="str">
        <f t="shared" si="15"/>
        <v>Tipo 4 (&gt;0,75) uT</v>
      </c>
      <c r="BG54" s="78" t="str">
        <f t="shared" si="16"/>
        <v>Tipo 2 (0,25-0,50) uT</v>
      </c>
    </row>
    <row r="55" spans="1:59" x14ac:dyDescent="0.2">
      <c r="A55" s="21">
        <v>46133</v>
      </c>
      <c r="B55" s="48">
        <v>0.39583333333333331</v>
      </c>
      <c r="C55" s="57">
        <v>590</v>
      </c>
      <c r="D55" s="57">
        <v>0</v>
      </c>
      <c r="E55" s="57">
        <v>525</v>
      </c>
      <c r="F55" s="57">
        <v>1300</v>
      </c>
      <c r="G55" s="10" t="s">
        <v>34</v>
      </c>
      <c r="H55" s="63">
        <v>3.4</v>
      </c>
      <c r="I55" s="57">
        <v>90</v>
      </c>
      <c r="J55" s="57">
        <v>90</v>
      </c>
      <c r="K55" s="57">
        <v>90</v>
      </c>
      <c r="L55" s="63">
        <v>23.6</v>
      </c>
      <c r="M55" s="63">
        <v>6.8</v>
      </c>
      <c r="N55" s="36">
        <v>3.59</v>
      </c>
      <c r="O55" s="57">
        <v>14</v>
      </c>
      <c r="P55" s="63">
        <v>7.2</v>
      </c>
      <c r="Q55" s="36">
        <v>0.39</v>
      </c>
      <c r="R55" s="36">
        <v>22.36</v>
      </c>
      <c r="S55" s="36">
        <v>0.88</v>
      </c>
      <c r="T55" s="36">
        <v>0.7</v>
      </c>
      <c r="U55" s="42"/>
      <c r="V55" s="36"/>
      <c r="W55" s="36"/>
      <c r="X55" s="57"/>
      <c r="Y55" s="57"/>
      <c r="Z55" s="63"/>
      <c r="AA55" s="57"/>
      <c r="AB55" s="63">
        <v>6.9</v>
      </c>
      <c r="AC55" s="63">
        <v>8</v>
      </c>
      <c r="AD55" s="10">
        <v>0.19</v>
      </c>
      <c r="AE55" s="36">
        <v>1.23</v>
      </c>
      <c r="AF55" s="36"/>
      <c r="AG55" s="36"/>
      <c r="AH55" s="36"/>
      <c r="AI55" s="57"/>
      <c r="AJ55" s="57"/>
      <c r="AK55" s="36"/>
      <c r="AL55" s="36"/>
      <c r="AM55" s="63">
        <v>6.9</v>
      </c>
      <c r="AN55" s="63">
        <v>6.8</v>
      </c>
      <c r="AO55" s="36">
        <v>0.2</v>
      </c>
      <c r="AP55" s="68">
        <v>1.62</v>
      </c>
      <c r="AQ55" s="73">
        <f t="shared" si="0"/>
        <v>1115</v>
      </c>
      <c r="AR55" s="75">
        <f t="shared" si="1"/>
        <v>0.52914798206278024</v>
      </c>
      <c r="AS55" s="75">
        <f t="shared" si="2"/>
        <v>0</v>
      </c>
      <c r="AT55" s="75">
        <f t="shared" si="3"/>
        <v>0.47085201793721976</v>
      </c>
      <c r="AU55" s="26" t="str">
        <f t="shared" si="4"/>
        <v/>
      </c>
      <c r="AV55" s="26" t="str">
        <f t="shared" si="5"/>
        <v/>
      </c>
      <c r="AW55" s="24">
        <f t="shared" si="6"/>
        <v>0.54874651810584951</v>
      </c>
      <c r="AX55" s="24">
        <f t="shared" si="7"/>
        <v>0.65738161559888586</v>
      </c>
      <c r="AY55" s="77" t="str">
        <f t="shared" si="8"/>
        <v>5,0 ≤ Alc. Bruta &lt; 7,5 mg/L</v>
      </c>
      <c r="AZ55" s="77" t="str">
        <f t="shared" si="9"/>
        <v>10 ≤ Cor &lt;15 uC</v>
      </c>
      <c r="BA55" s="78" t="str">
        <f t="shared" si="10"/>
        <v>2,5 ≤ Turb &lt; 5,0 uT</v>
      </c>
      <c r="BB55" s="79" t="str">
        <f t="shared" si="11"/>
        <v>TOR &gt; BNN &gt; SM</v>
      </c>
      <c r="BC55" s="78" t="str">
        <f t="shared" si="12"/>
        <v>Tipo 1 (≤0,25) uT</v>
      </c>
      <c r="BD55" s="78" t="str">
        <f t="shared" si="13"/>
        <v>Tipo 1 (≤0,25) uT</v>
      </c>
      <c r="BE55" s="78" t="str">
        <f t="shared" si="14"/>
        <v>Tipo 4 (&gt;0,75) uT</v>
      </c>
      <c r="BF55" s="78" t="str">
        <f t="shared" si="15"/>
        <v>Tipo 4 (&gt;0,75) uT</v>
      </c>
      <c r="BG55" s="78" t="str">
        <f t="shared" si="16"/>
        <v>Tipo 2 (0,25-0,50) uT</v>
      </c>
    </row>
    <row r="56" spans="1:59" x14ac:dyDescent="0.2">
      <c r="A56" s="21">
        <v>46133</v>
      </c>
      <c r="B56" s="48">
        <v>0.47916666666666669</v>
      </c>
      <c r="C56" s="57">
        <v>590</v>
      </c>
      <c r="D56" s="57">
        <v>0</v>
      </c>
      <c r="E56" s="57">
        <v>525</v>
      </c>
      <c r="F56" s="57">
        <v>1291</v>
      </c>
      <c r="G56" s="10" t="s">
        <v>34</v>
      </c>
      <c r="H56" s="63">
        <v>3.4</v>
      </c>
      <c r="I56" s="57">
        <v>90</v>
      </c>
      <c r="J56" s="57">
        <v>90</v>
      </c>
      <c r="K56" s="57">
        <v>90</v>
      </c>
      <c r="L56" s="63">
        <v>24.3</v>
      </c>
      <c r="M56" s="63">
        <v>6.7</v>
      </c>
      <c r="N56" s="36">
        <v>4.1500000000000004</v>
      </c>
      <c r="O56" s="57">
        <v>17</v>
      </c>
      <c r="P56" s="63">
        <v>7.4</v>
      </c>
      <c r="Q56" s="36">
        <v>0.99</v>
      </c>
      <c r="R56" s="36">
        <v>22.36</v>
      </c>
      <c r="S56" s="36">
        <v>0.88</v>
      </c>
      <c r="T56" s="36">
        <v>0.7</v>
      </c>
      <c r="U56" s="42"/>
      <c r="V56" s="36"/>
      <c r="W56" s="36"/>
      <c r="X56" s="57"/>
      <c r="Y56" s="57"/>
      <c r="Z56" s="63"/>
      <c r="AA56" s="57"/>
      <c r="AB56" s="63">
        <v>6.9</v>
      </c>
      <c r="AC56" s="63">
        <v>8.1999999999999993</v>
      </c>
      <c r="AD56" s="10">
        <v>0.16</v>
      </c>
      <c r="AE56" s="36">
        <v>1.52</v>
      </c>
      <c r="AF56" s="36"/>
      <c r="AG56" s="36"/>
      <c r="AH56" s="36"/>
      <c r="AI56" s="57"/>
      <c r="AJ56" s="57"/>
      <c r="AK56" s="36"/>
      <c r="AL56" s="36"/>
      <c r="AM56" s="63">
        <v>6.8</v>
      </c>
      <c r="AN56" s="63">
        <v>7.4</v>
      </c>
      <c r="AO56" s="36">
        <v>0.18</v>
      </c>
      <c r="AP56" s="68">
        <v>2.2000000000000002</v>
      </c>
      <c r="AQ56" s="73">
        <f t="shared" si="0"/>
        <v>1115</v>
      </c>
      <c r="AR56" s="75">
        <f t="shared" si="1"/>
        <v>0.52914798206278024</v>
      </c>
      <c r="AS56" s="75">
        <f t="shared" si="2"/>
        <v>0</v>
      </c>
      <c r="AT56" s="75">
        <f t="shared" si="3"/>
        <v>0.47085201793721976</v>
      </c>
      <c r="AU56" s="26" t="str">
        <f t="shared" si="4"/>
        <v/>
      </c>
      <c r="AV56" s="26" t="str">
        <f t="shared" si="5"/>
        <v/>
      </c>
      <c r="AW56" s="24">
        <f t="shared" si="6"/>
        <v>0.46987951807228912</v>
      </c>
      <c r="AX56" s="24">
        <f t="shared" si="7"/>
        <v>0.63373493975903616</v>
      </c>
      <c r="AY56" s="77" t="str">
        <f t="shared" si="8"/>
        <v>5,0 ≤ Alc. Bruta &lt; 7,5 mg/L</v>
      </c>
      <c r="AZ56" s="77" t="str">
        <f t="shared" si="9"/>
        <v>15 ≤ Cor &lt; 30 uC</v>
      </c>
      <c r="BA56" s="78" t="str">
        <f t="shared" si="10"/>
        <v>2,5 ≤ Turb &lt; 5,0 uT</v>
      </c>
      <c r="BB56" s="79" t="str">
        <f t="shared" si="11"/>
        <v>TOR &gt; BNN &gt; SM</v>
      </c>
      <c r="BC56" s="78" t="str">
        <f t="shared" si="12"/>
        <v>Tipo 1 (≤0,25) uT</v>
      </c>
      <c r="BD56" s="78" t="str">
        <f t="shared" si="13"/>
        <v>Tipo 1 (≤0,25) uT</v>
      </c>
      <c r="BE56" s="78" t="str">
        <f t="shared" si="14"/>
        <v>Tipo 4 (&gt;0,75) uT</v>
      </c>
      <c r="BF56" s="78" t="str">
        <f t="shared" si="15"/>
        <v>Tipo 4 (&gt;0,75) uT</v>
      </c>
      <c r="BG56" s="78" t="str">
        <f t="shared" si="16"/>
        <v>Tipo 4 (&gt;0,75) uT</v>
      </c>
    </row>
    <row r="57" spans="1:59" x14ac:dyDescent="0.2">
      <c r="A57" s="21">
        <v>46133</v>
      </c>
      <c r="B57" s="48">
        <v>0.5625</v>
      </c>
      <c r="C57" s="57">
        <v>590</v>
      </c>
      <c r="D57" s="57">
        <v>0</v>
      </c>
      <c r="E57" s="57">
        <v>525</v>
      </c>
      <c r="F57" s="57">
        <v>1219</v>
      </c>
      <c r="G57" s="10" t="s">
        <v>34</v>
      </c>
      <c r="H57" s="63">
        <v>3.4</v>
      </c>
      <c r="I57" s="57">
        <v>90</v>
      </c>
      <c r="J57" s="57">
        <v>90</v>
      </c>
      <c r="K57" s="57">
        <v>90</v>
      </c>
      <c r="L57" s="63">
        <v>24.8</v>
      </c>
      <c r="M57" s="63">
        <v>6.8</v>
      </c>
      <c r="N57" s="36">
        <v>4.68</v>
      </c>
      <c r="O57" s="57">
        <v>19</v>
      </c>
      <c r="P57" s="63">
        <v>7.9</v>
      </c>
      <c r="Q57" s="36">
        <v>0.5</v>
      </c>
      <c r="R57" s="36">
        <v>22.36</v>
      </c>
      <c r="S57" s="36">
        <v>0.88</v>
      </c>
      <c r="T57" s="36">
        <v>0.7</v>
      </c>
      <c r="U57" s="42"/>
      <c r="V57" s="36"/>
      <c r="W57" s="36"/>
      <c r="X57" s="57"/>
      <c r="Y57" s="57"/>
      <c r="Z57" s="63"/>
      <c r="AA57" s="57"/>
      <c r="AB57" s="63">
        <v>6.9</v>
      </c>
      <c r="AC57" s="63">
        <v>9.4</v>
      </c>
      <c r="AD57" s="10">
        <v>0.14000000000000001</v>
      </c>
      <c r="AE57" s="36">
        <v>1.64</v>
      </c>
      <c r="AF57" s="36"/>
      <c r="AG57" s="36"/>
      <c r="AH57" s="36"/>
      <c r="AI57" s="57"/>
      <c r="AJ57" s="57"/>
      <c r="AK57" s="36"/>
      <c r="AL57" s="36"/>
      <c r="AM57" s="63">
        <v>6.9</v>
      </c>
      <c r="AN57" s="63">
        <v>8.1</v>
      </c>
      <c r="AO57" s="36">
        <v>0.18</v>
      </c>
      <c r="AP57" s="68">
        <v>1.51</v>
      </c>
      <c r="AQ57" s="73">
        <f t="shared" si="0"/>
        <v>1115</v>
      </c>
      <c r="AR57" s="75">
        <f t="shared" si="1"/>
        <v>0.52914798206278024</v>
      </c>
      <c r="AS57" s="75">
        <f t="shared" si="2"/>
        <v>0</v>
      </c>
      <c r="AT57" s="75">
        <f t="shared" si="3"/>
        <v>0.47085201793721976</v>
      </c>
      <c r="AU57" s="26" t="str">
        <f t="shared" si="4"/>
        <v/>
      </c>
      <c r="AV57" s="26" t="str">
        <f t="shared" si="5"/>
        <v/>
      </c>
      <c r="AW57" s="24">
        <f t="shared" si="6"/>
        <v>0.67735042735042739</v>
      </c>
      <c r="AX57" s="24">
        <f t="shared" si="7"/>
        <v>0.6495726495726496</v>
      </c>
      <c r="AY57" s="77" t="str">
        <f t="shared" si="8"/>
        <v>7,5 ≤ Alc. Bruta &lt; 10,0 mg/L</v>
      </c>
      <c r="AZ57" s="77" t="str">
        <f t="shared" si="9"/>
        <v>15 ≤ Cor &lt; 30 uC</v>
      </c>
      <c r="BA57" s="78" t="str">
        <f t="shared" si="10"/>
        <v>2,5 ≤ Turb &lt; 5,0 uT</v>
      </c>
      <c r="BB57" s="79" t="str">
        <f t="shared" si="11"/>
        <v>TOR &gt; BNN &gt; SM</v>
      </c>
      <c r="BC57" s="78" t="str">
        <f t="shared" si="12"/>
        <v>Tipo 1 (≤0,25) uT</v>
      </c>
      <c r="BD57" s="78" t="str">
        <f t="shared" si="13"/>
        <v>Tipo 1 (≤0,25) uT</v>
      </c>
      <c r="BE57" s="78" t="str">
        <f t="shared" si="14"/>
        <v>Tipo 4 (&gt;0,75) uT</v>
      </c>
      <c r="BF57" s="78" t="str">
        <f t="shared" si="15"/>
        <v>Tipo 4 (&gt;0,75) uT</v>
      </c>
      <c r="BG57" s="78" t="str">
        <f t="shared" si="16"/>
        <v>Tipo 2 (0,25-0,50) uT</v>
      </c>
    </row>
    <row r="58" spans="1:59" x14ac:dyDescent="0.2">
      <c r="A58" s="21">
        <v>46133</v>
      </c>
      <c r="B58" s="48">
        <v>0.64583333333333337</v>
      </c>
      <c r="C58" s="57">
        <v>1240</v>
      </c>
      <c r="D58" s="57">
        <v>0</v>
      </c>
      <c r="E58" s="57">
        <v>500</v>
      </c>
      <c r="F58" s="57">
        <v>1980</v>
      </c>
      <c r="G58" s="10" t="s">
        <v>34</v>
      </c>
      <c r="H58" s="63">
        <v>3.4</v>
      </c>
      <c r="I58" s="57">
        <v>90</v>
      </c>
      <c r="J58" s="57">
        <v>90</v>
      </c>
      <c r="K58" s="57">
        <v>90</v>
      </c>
      <c r="L58" s="63">
        <v>25.4</v>
      </c>
      <c r="M58" s="63">
        <v>6.8</v>
      </c>
      <c r="N58" s="36">
        <v>4.08</v>
      </c>
      <c r="O58" s="57">
        <v>14</v>
      </c>
      <c r="P58" s="63">
        <v>6.9</v>
      </c>
      <c r="Q58" s="36">
        <v>0.43</v>
      </c>
      <c r="R58" s="36">
        <v>22.36</v>
      </c>
      <c r="S58" s="36">
        <v>0.88</v>
      </c>
      <c r="T58" s="36">
        <v>0.7</v>
      </c>
      <c r="U58" s="42"/>
      <c r="V58" s="36"/>
      <c r="W58" s="36"/>
      <c r="X58" s="57"/>
      <c r="Y58" s="57"/>
      <c r="Z58" s="63"/>
      <c r="AA58" s="57"/>
      <c r="AB58" s="63">
        <v>6.8</v>
      </c>
      <c r="AC58" s="63">
        <v>6.7</v>
      </c>
      <c r="AD58" s="10">
        <v>0.23</v>
      </c>
      <c r="AE58" s="36">
        <v>1.33</v>
      </c>
      <c r="AF58" s="36"/>
      <c r="AG58" s="36"/>
      <c r="AH58" s="36"/>
      <c r="AI58" s="57"/>
      <c r="AJ58" s="57"/>
      <c r="AK58" s="36"/>
      <c r="AL58" s="36"/>
      <c r="AM58" s="63">
        <v>6.7</v>
      </c>
      <c r="AN58" s="63">
        <v>7.3</v>
      </c>
      <c r="AO58" s="36">
        <v>0.25</v>
      </c>
      <c r="AP58" s="68">
        <v>1.56</v>
      </c>
      <c r="AQ58" s="73">
        <f t="shared" si="0"/>
        <v>1740</v>
      </c>
      <c r="AR58" s="75">
        <f t="shared" si="1"/>
        <v>0.71264367816091956</v>
      </c>
      <c r="AS58" s="75">
        <f t="shared" si="2"/>
        <v>0</v>
      </c>
      <c r="AT58" s="75">
        <f t="shared" si="3"/>
        <v>0.28735632183908044</v>
      </c>
      <c r="AU58" s="26" t="str">
        <f t="shared" si="4"/>
        <v/>
      </c>
      <c r="AV58" s="26" t="str">
        <f t="shared" si="5"/>
        <v/>
      </c>
      <c r="AW58" s="24">
        <f t="shared" si="6"/>
        <v>0.61764705882352944</v>
      </c>
      <c r="AX58" s="24">
        <f t="shared" si="7"/>
        <v>0.6740196078431373</v>
      </c>
      <c r="AY58" s="77" t="str">
        <f t="shared" si="8"/>
        <v>5,0 ≤ Alc. Bruta &lt; 7,5 mg/L</v>
      </c>
      <c r="AZ58" s="77" t="str">
        <f t="shared" si="9"/>
        <v>10 ≤ Cor &lt;15 uC</v>
      </c>
      <c r="BA58" s="78" t="str">
        <f t="shared" si="10"/>
        <v>2,5 ≤ Turb &lt; 5,0 uT</v>
      </c>
      <c r="BB58" s="79" t="str">
        <f t="shared" si="11"/>
        <v>TOR &gt; BNN &gt; SM</v>
      </c>
      <c r="BC58" s="78" t="str">
        <f t="shared" si="12"/>
        <v>Tipo 1 (≤0,25) uT</v>
      </c>
      <c r="BD58" s="78" t="str">
        <f t="shared" si="13"/>
        <v>Tipo 1 (≤0,25) uT</v>
      </c>
      <c r="BE58" s="78" t="str">
        <f t="shared" si="14"/>
        <v>Tipo 4 (&gt;0,75) uT</v>
      </c>
      <c r="BF58" s="78" t="str">
        <f t="shared" si="15"/>
        <v>Tipo 4 (&gt;0,75) uT</v>
      </c>
      <c r="BG58" s="78" t="str">
        <f t="shared" si="16"/>
        <v>Tipo 2 (0,25-0,50) uT</v>
      </c>
    </row>
    <row r="59" spans="1:59" x14ac:dyDescent="0.2">
      <c r="A59" s="21">
        <v>46133</v>
      </c>
      <c r="B59" s="48">
        <v>0.72916666666666663</v>
      </c>
      <c r="C59" s="57">
        <v>1201</v>
      </c>
      <c r="D59" s="57">
        <v>0</v>
      </c>
      <c r="E59" s="57">
        <v>499.2</v>
      </c>
      <c r="F59" s="57">
        <v>1906</v>
      </c>
      <c r="G59" s="10" t="s">
        <v>34</v>
      </c>
      <c r="H59" s="63">
        <v>3.4</v>
      </c>
      <c r="I59" s="57">
        <v>90</v>
      </c>
      <c r="J59" s="57">
        <v>90</v>
      </c>
      <c r="K59" s="57">
        <v>90</v>
      </c>
      <c r="L59" s="63">
        <v>25</v>
      </c>
      <c r="M59" s="63">
        <v>6.7</v>
      </c>
      <c r="N59" s="36">
        <v>4.4000000000000004</v>
      </c>
      <c r="O59" s="57">
        <v>16</v>
      </c>
      <c r="P59" s="63">
        <v>5.7</v>
      </c>
      <c r="Q59" s="36">
        <v>0.28999999999999998</v>
      </c>
      <c r="R59" s="36">
        <v>22.36</v>
      </c>
      <c r="S59" s="36">
        <v>0.88</v>
      </c>
      <c r="T59" s="36">
        <v>0.7</v>
      </c>
      <c r="U59" s="42"/>
      <c r="V59" s="36"/>
      <c r="W59" s="36"/>
      <c r="X59" s="57"/>
      <c r="Y59" s="57"/>
      <c r="Z59" s="63"/>
      <c r="AA59" s="57"/>
      <c r="AB59" s="63">
        <v>6.7</v>
      </c>
      <c r="AC59" s="63">
        <v>6</v>
      </c>
      <c r="AD59" s="10">
        <v>0.16</v>
      </c>
      <c r="AE59" s="36">
        <v>1.23</v>
      </c>
      <c r="AF59" s="36"/>
      <c r="AG59" s="36"/>
      <c r="AH59" s="36"/>
      <c r="AI59" s="57"/>
      <c r="AJ59" s="57"/>
      <c r="AK59" s="36"/>
      <c r="AL59" s="36"/>
      <c r="AM59" s="63">
        <v>6.7</v>
      </c>
      <c r="AN59" s="63">
        <v>5.5</v>
      </c>
      <c r="AO59" s="36">
        <v>0.21</v>
      </c>
      <c r="AP59" s="68">
        <v>1.68</v>
      </c>
      <c r="AQ59" s="73">
        <f t="shared" si="0"/>
        <v>1700.2</v>
      </c>
      <c r="AR59" s="75">
        <f t="shared" si="1"/>
        <v>0.70638748382543226</v>
      </c>
      <c r="AS59" s="75">
        <f t="shared" si="2"/>
        <v>0</v>
      </c>
      <c r="AT59" s="75">
        <f t="shared" si="3"/>
        <v>0.29361251617456768</v>
      </c>
      <c r="AU59" s="26" t="str">
        <f t="shared" si="4"/>
        <v/>
      </c>
      <c r="AV59" s="26" t="str">
        <f t="shared" si="5"/>
        <v/>
      </c>
      <c r="AW59" s="24">
        <f t="shared" si="6"/>
        <v>0.61818181818181817</v>
      </c>
      <c r="AX59" s="24">
        <f t="shared" si="7"/>
        <v>0.72045454545454546</v>
      </c>
      <c r="AY59" s="77" t="str">
        <f t="shared" si="8"/>
        <v>5,0 ≤ Alc. Bruta &lt; 7,5 mg/L</v>
      </c>
      <c r="AZ59" s="77" t="str">
        <f t="shared" si="9"/>
        <v>15 ≤ Cor &lt; 30 uC</v>
      </c>
      <c r="BA59" s="78" t="str">
        <f t="shared" si="10"/>
        <v>2,5 ≤ Turb &lt; 5,0 uT</v>
      </c>
      <c r="BB59" s="79" t="str">
        <f t="shared" si="11"/>
        <v>TOR &gt; BNN &gt; SM</v>
      </c>
      <c r="BC59" s="78" t="str">
        <f t="shared" si="12"/>
        <v>Tipo 1 (≤0,25) uT</v>
      </c>
      <c r="BD59" s="78" t="str">
        <f t="shared" si="13"/>
        <v>Tipo 1 (≤0,25) uT</v>
      </c>
      <c r="BE59" s="78" t="str">
        <f t="shared" si="14"/>
        <v>Tipo 4 (&gt;0,75) uT</v>
      </c>
      <c r="BF59" s="78" t="str">
        <f t="shared" si="15"/>
        <v>Tipo 4 (&gt;0,75) uT</v>
      </c>
      <c r="BG59" s="78" t="str">
        <f t="shared" si="16"/>
        <v>Tipo 2 (0,25-0,50) uT</v>
      </c>
    </row>
    <row r="60" spans="1:59" x14ac:dyDescent="0.2">
      <c r="A60" s="21">
        <v>46133</v>
      </c>
      <c r="B60" s="48">
        <v>0.8125</v>
      </c>
      <c r="C60" s="57">
        <v>1112</v>
      </c>
      <c r="D60" s="57">
        <v>86</v>
      </c>
      <c r="E60" s="57">
        <v>500</v>
      </c>
      <c r="F60" s="57">
        <v>1828</v>
      </c>
      <c r="G60" s="10" t="s">
        <v>34</v>
      </c>
      <c r="H60" s="63">
        <v>3.4</v>
      </c>
      <c r="I60" s="57">
        <v>90</v>
      </c>
      <c r="J60" s="57">
        <v>90</v>
      </c>
      <c r="K60" s="57">
        <v>90</v>
      </c>
      <c r="L60" s="63">
        <v>24.7</v>
      </c>
      <c r="M60" s="63">
        <v>6.8</v>
      </c>
      <c r="N60" s="36">
        <v>4.38</v>
      </c>
      <c r="O60" s="57">
        <v>15</v>
      </c>
      <c r="P60" s="63">
        <v>9.3000000000000007</v>
      </c>
      <c r="Q60" s="36">
        <v>0.34</v>
      </c>
      <c r="R60" s="36">
        <v>22.36</v>
      </c>
      <c r="S60" s="36">
        <v>0.88</v>
      </c>
      <c r="T60" s="36">
        <v>0.7</v>
      </c>
      <c r="U60" s="42"/>
      <c r="V60" s="36"/>
      <c r="W60" s="36"/>
      <c r="X60" s="57"/>
      <c r="Y60" s="57"/>
      <c r="Z60" s="63"/>
      <c r="AA60" s="57"/>
      <c r="AB60" s="63">
        <v>6.8</v>
      </c>
      <c r="AC60" s="63">
        <v>8.1</v>
      </c>
      <c r="AD60" s="10">
        <v>0.24</v>
      </c>
      <c r="AE60" s="36">
        <v>1.1100000000000001</v>
      </c>
      <c r="AF60" s="36"/>
      <c r="AG60" s="36"/>
      <c r="AH60" s="36"/>
      <c r="AI60" s="57"/>
      <c r="AJ60" s="57"/>
      <c r="AK60" s="36"/>
      <c r="AL60" s="36"/>
      <c r="AM60" s="63">
        <v>6.8</v>
      </c>
      <c r="AN60" s="63">
        <v>9.8000000000000007</v>
      </c>
      <c r="AO60" s="36">
        <v>0.28999999999999998</v>
      </c>
      <c r="AP60" s="68">
        <v>1.91</v>
      </c>
      <c r="AQ60" s="73">
        <f t="shared" si="0"/>
        <v>1698</v>
      </c>
      <c r="AR60" s="75">
        <f t="shared" si="1"/>
        <v>0.65488810365135453</v>
      </c>
      <c r="AS60" s="75">
        <f t="shared" si="2"/>
        <v>5.0647820965842166E-2</v>
      </c>
      <c r="AT60" s="75">
        <f t="shared" si="3"/>
        <v>0.29446407538280328</v>
      </c>
      <c r="AU60" s="26" t="str">
        <f t="shared" si="4"/>
        <v/>
      </c>
      <c r="AV60" s="26" t="str">
        <f t="shared" si="5"/>
        <v/>
      </c>
      <c r="AW60" s="24">
        <f t="shared" si="6"/>
        <v>0.5639269406392694</v>
      </c>
      <c r="AX60" s="24">
        <f t="shared" si="7"/>
        <v>0.74657534246575341</v>
      </c>
      <c r="AY60" s="77" t="str">
        <f t="shared" si="8"/>
        <v>7,5 ≤ Alc. Bruta &lt; 10,0 mg/L</v>
      </c>
      <c r="AZ60" s="77" t="str">
        <f t="shared" si="9"/>
        <v>15 ≤ Cor &lt; 30 uC</v>
      </c>
      <c r="BA60" s="78" t="str">
        <f t="shared" si="10"/>
        <v>2,5 ≤ Turb &lt; 5,0 uT</v>
      </c>
      <c r="BB60" s="79" t="str">
        <f t="shared" si="11"/>
        <v>TOR &gt; BNN &gt; SM</v>
      </c>
      <c r="BC60" s="78" t="str">
        <f t="shared" si="12"/>
        <v>Tipo 1 (≤0,25) uT</v>
      </c>
      <c r="BD60" s="78" t="str">
        <f t="shared" si="13"/>
        <v>Tipo 2 (0,25-0,50) uT</v>
      </c>
      <c r="BE60" s="78" t="str">
        <f t="shared" si="14"/>
        <v>Tipo 4 (&gt;0,75) uT</v>
      </c>
      <c r="BF60" s="78" t="str">
        <f t="shared" si="15"/>
        <v>Tipo 4 (&gt;0,75) uT</v>
      </c>
      <c r="BG60" s="78" t="str">
        <f t="shared" si="16"/>
        <v>Tipo 2 (0,25-0,50) uT</v>
      </c>
    </row>
    <row r="61" spans="1:59" x14ac:dyDescent="0.2">
      <c r="A61" s="21">
        <v>46133</v>
      </c>
      <c r="B61" s="48">
        <v>0.89583333333333337</v>
      </c>
      <c r="C61" s="57">
        <v>1232</v>
      </c>
      <c r="D61" s="57">
        <v>87</v>
      </c>
      <c r="E61" s="57">
        <v>500</v>
      </c>
      <c r="F61" s="57">
        <v>1845</v>
      </c>
      <c r="G61" s="10" t="s">
        <v>34</v>
      </c>
      <c r="H61" s="63">
        <v>3.4</v>
      </c>
      <c r="I61" s="57">
        <v>90</v>
      </c>
      <c r="J61" s="57">
        <v>90</v>
      </c>
      <c r="K61" s="57">
        <v>90</v>
      </c>
      <c r="L61" s="63">
        <v>24.5</v>
      </c>
      <c r="M61" s="63">
        <v>6.8</v>
      </c>
      <c r="N61" s="36">
        <v>4.21</v>
      </c>
      <c r="O61" s="57">
        <v>13</v>
      </c>
      <c r="P61" s="63">
        <v>8.6</v>
      </c>
      <c r="Q61" s="36">
        <v>0.32</v>
      </c>
      <c r="R61" s="36">
        <v>22.36</v>
      </c>
      <c r="S61" s="36">
        <v>0.88</v>
      </c>
      <c r="T61" s="36">
        <v>0.7</v>
      </c>
      <c r="U61" s="42"/>
      <c r="V61" s="36"/>
      <c r="W61" s="36"/>
      <c r="X61" s="57"/>
      <c r="Y61" s="57"/>
      <c r="Z61" s="63"/>
      <c r="AA61" s="57"/>
      <c r="AB61" s="63">
        <v>6.8</v>
      </c>
      <c r="AC61" s="63">
        <v>8.5</v>
      </c>
      <c r="AD61" s="10">
        <v>0.2</v>
      </c>
      <c r="AE61" s="36">
        <v>0.88</v>
      </c>
      <c r="AF61" s="36"/>
      <c r="AG61" s="36"/>
      <c r="AH61" s="36"/>
      <c r="AI61" s="57"/>
      <c r="AJ61" s="57"/>
      <c r="AK61" s="36"/>
      <c r="AL61" s="36"/>
      <c r="AM61" s="63">
        <v>6.8</v>
      </c>
      <c r="AN61" s="63">
        <v>8.6999999999999993</v>
      </c>
      <c r="AO61" s="36">
        <v>0.25</v>
      </c>
      <c r="AP61" s="68">
        <v>1.0900000000000001</v>
      </c>
      <c r="AQ61" s="73">
        <f t="shared" si="0"/>
        <v>1819</v>
      </c>
      <c r="AR61" s="75">
        <f t="shared" si="1"/>
        <v>0.67729521715228147</v>
      </c>
      <c r="AS61" s="75">
        <f t="shared" si="2"/>
        <v>4.782847718526663E-2</v>
      </c>
      <c r="AT61" s="75">
        <f t="shared" si="3"/>
        <v>0.27487630566245191</v>
      </c>
      <c r="AU61" s="26" t="str">
        <f t="shared" si="4"/>
        <v/>
      </c>
      <c r="AV61" s="26" t="str">
        <f t="shared" si="5"/>
        <v/>
      </c>
      <c r="AW61" s="24">
        <f t="shared" si="6"/>
        <v>0.74109263657957247</v>
      </c>
      <c r="AX61" s="24">
        <f t="shared" si="7"/>
        <v>0.79097387173396672</v>
      </c>
      <c r="AY61" s="77" t="str">
        <f t="shared" si="8"/>
        <v>7,5 ≤ Alc. Bruta &lt; 10,0 mg/L</v>
      </c>
      <c r="AZ61" s="77" t="str">
        <f t="shared" si="9"/>
        <v>10 ≤ Cor &lt;15 uC</v>
      </c>
      <c r="BA61" s="78" t="str">
        <f t="shared" si="10"/>
        <v>2,5 ≤ Turb &lt; 5,0 uT</v>
      </c>
      <c r="BB61" s="79" t="str">
        <f t="shared" si="11"/>
        <v>TOR &gt; BNN &gt; SM</v>
      </c>
      <c r="BC61" s="78" t="str">
        <f t="shared" si="12"/>
        <v>Tipo 1 (≤0,25) uT</v>
      </c>
      <c r="BD61" s="78" t="str">
        <f t="shared" si="13"/>
        <v>Tipo 1 (≤0,25) uT</v>
      </c>
      <c r="BE61" s="78" t="str">
        <f t="shared" si="14"/>
        <v>Tipo 4 (&gt;0,75) uT</v>
      </c>
      <c r="BF61" s="78" t="str">
        <f t="shared" si="15"/>
        <v>Tipo 4 (&gt;0,75) uT</v>
      </c>
      <c r="BG61" s="78" t="str">
        <f t="shared" si="16"/>
        <v>Tipo 2 (0,25-0,50) uT</v>
      </c>
    </row>
    <row r="62" spans="1:59" x14ac:dyDescent="0.2">
      <c r="A62" s="21">
        <v>46133</v>
      </c>
      <c r="B62" s="48">
        <v>0.97916666666666663</v>
      </c>
      <c r="C62" s="57">
        <v>1208</v>
      </c>
      <c r="D62" s="57">
        <v>85</v>
      </c>
      <c r="E62" s="57">
        <v>500</v>
      </c>
      <c r="F62" s="57">
        <v>1834</v>
      </c>
      <c r="G62" s="10" t="s">
        <v>34</v>
      </c>
      <c r="H62" s="63">
        <v>3.4</v>
      </c>
      <c r="I62" s="57">
        <v>90</v>
      </c>
      <c r="J62" s="57">
        <v>90</v>
      </c>
      <c r="K62" s="57">
        <v>90</v>
      </c>
      <c r="L62" s="63">
        <v>24.2</v>
      </c>
      <c r="M62" s="63">
        <v>6.7</v>
      </c>
      <c r="N62" s="36">
        <v>3.84</v>
      </c>
      <c r="O62" s="57">
        <v>15</v>
      </c>
      <c r="P62" s="63">
        <v>8.8000000000000007</v>
      </c>
      <c r="Q62" s="36">
        <v>0.23</v>
      </c>
      <c r="R62" s="36">
        <v>22.36</v>
      </c>
      <c r="S62" s="36">
        <v>0.88</v>
      </c>
      <c r="T62" s="36">
        <v>0.7</v>
      </c>
      <c r="U62" s="42"/>
      <c r="V62" s="36"/>
      <c r="W62" s="36"/>
      <c r="X62" s="57"/>
      <c r="Y62" s="57"/>
      <c r="Z62" s="63"/>
      <c r="AA62" s="57"/>
      <c r="AB62" s="63">
        <v>6.8</v>
      </c>
      <c r="AC62" s="63">
        <v>7.3</v>
      </c>
      <c r="AD62" s="10">
        <v>0.21</v>
      </c>
      <c r="AE62" s="36">
        <v>0.85</v>
      </c>
      <c r="AF62" s="36"/>
      <c r="AG62" s="36"/>
      <c r="AH62" s="36"/>
      <c r="AI62" s="57"/>
      <c r="AJ62" s="57"/>
      <c r="AK62" s="36"/>
      <c r="AL62" s="36"/>
      <c r="AM62" s="63">
        <v>6.8</v>
      </c>
      <c r="AN62" s="63">
        <v>6.9</v>
      </c>
      <c r="AO62" s="36">
        <v>0.17</v>
      </c>
      <c r="AP62" s="68">
        <v>0.78</v>
      </c>
      <c r="AQ62" s="73">
        <f t="shared" si="0"/>
        <v>1793</v>
      </c>
      <c r="AR62" s="75">
        <f t="shared" si="1"/>
        <v>0.67373117679866146</v>
      </c>
      <c r="AS62" s="75">
        <f t="shared" si="2"/>
        <v>4.7406581148912434E-2</v>
      </c>
      <c r="AT62" s="75">
        <f t="shared" si="3"/>
        <v>0.2788622420524261</v>
      </c>
      <c r="AU62" s="26" t="str">
        <f t="shared" si="4"/>
        <v/>
      </c>
      <c r="AV62" s="26" t="str">
        <f t="shared" si="5"/>
        <v/>
      </c>
      <c r="AW62" s="24">
        <f t="shared" si="6"/>
        <v>0.796875</v>
      </c>
      <c r="AX62" s="24">
        <f t="shared" si="7"/>
        <v>0.77864583333333337</v>
      </c>
      <c r="AY62" s="77" t="str">
        <f t="shared" si="8"/>
        <v>7,5 ≤ Alc. Bruta &lt; 10,0 mg/L</v>
      </c>
      <c r="AZ62" s="77" t="str">
        <f t="shared" si="9"/>
        <v>15 ≤ Cor &lt; 30 uC</v>
      </c>
      <c r="BA62" s="78" t="str">
        <f t="shared" si="10"/>
        <v>2,5 ≤ Turb &lt; 5,0 uT</v>
      </c>
      <c r="BB62" s="79" t="str">
        <f t="shared" si="11"/>
        <v>TOR &gt; BNN &gt; SM</v>
      </c>
      <c r="BC62" s="78" t="str">
        <f t="shared" si="12"/>
        <v>Tipo 1 (≤0,25) uT</v>
      </c>
      <c r="BD62" s="78" t="str">
        <f t="shared" si="13"/>
        <v>Tipo 1 (≤0,25) uT</v>
      </c>
      <c r="BE62" s="78" t="str">
        <f t="shared" si="14"/>
        <v>Tipo 4 (&gt;0,75) uT</v>
      </c>
      <c r="BF62" s="78" t="str">
        <f t="shared" si="15"/>
        <v>Tipo 4 (&gt;0,75) uT</v>
      </c>
      <c r="BG62" s="78" t="str">
        <f t="shared" si="16"/>
        <v>Tipo 1 (≤0,25) uT</v>
      </c>
    </row>
    <row r="63" spans="1:59" x14ac:dyDescent="0.2">
      <c r="A63" s="21">
        <v>46134</v>
      </c>
      <c r="B63" s="48">
        <v>6.25E-2</v>
      </c>
      <c r="C63" s="57">
        <v>1207</v>
      </c>
      <c r="D63" s="57">
        <v>88</v>
      </c>
      <c r="E63" s="57">
        <v>500</v>
      </c>
      <c r="F63" s="57">
        <v>1915</v>
      </c>
      <c r="G63" s="10" t="s">
        <v>34</v>
      </c>
      <c r="H63" s="63">
        <v>3.4</v>
      </c>
      <c r="I63" s="57">
        <v>90</v>
      </c>
      <c r="J63" s="57">
        <v>90</v>
      </c>
      <c r="K63" s="57">
        <v>90</v>
      </c>
      <c r="L63" s="63">
        <v>24.1</v>
      </c>
      <c r="M63" s="63">
        <v>6.8</v>
      </c>
      <c r="N63" s="36">
        <v>4.0199999999999996</v>
      </c>
      <c r="O63" s="57">
        <v>17</v>
      </c>
      <c r="P63" s="63">
        <v>9.4</v>
      </c>
      <c r="Q63" s="36">
        <v>0.26</v>
      </c>
      <c r="R63" s="36">
        <v>22.36</v>
      </c>
      <c r="S63" s="36">
        <v>0.88</v>
      </c>
      <c r="T63" s="36">
        <v>0.7</v>
      </c>
      <c r="U63" s="42"/>
      <c r="V63" s="36"/>
      <c r="W63" s="36"/>
      <c r="X63" s="57"/>
      <c r="Y63" s="57"/>
      <c r="Z63" s="63"/>
      <c r="AA63" s="57"/>
      <c r="AB63" s="63">
        <v>6.8</v>
      </c>
      <c r="AC63" s="63">
        <v>9.1</v>
      </c>
      <c r="AD63" s="10">
        <v>0.16</v>
      </c>
      <c r="AE63" s="36">
        <v>1.1399999999999999</v>
      </c>
      <c r="AF63" s="36"/>
      <c r="AG63" s="36"/>
      <c r="AH63" s="36"/>
      <c r="AI63" s="57"/>
      <c r="AJ63" s="57"/>
      <c r="AK63" s="36"/>
      <c r="AL63" s="36"/>
      <c r="AM63" s="63">
        <v>6.7</v>
      </c>
      <c r="AN63" s="63">
        <v>7.1</v>
      </c>
      <c r="AO63" s="36">
        <v>0.17</v>
      </c>
      <c r="AP63" s="68">
        <v>1.2</v>
      </c>
      <c r="AQ63" s="73">
        <f t="shared" si="0"/>
        <v>1795</v>
      </c>
      <c r="AR63" s="75">
        <f t="shared" si="1"/>
        <v>0.6724233983286908</v>
      </c>
      <c r="AS63" s="75">
        <f t="shared" si="2"/>
        <v>4.9025069637883008E-2</v>
      </c>
      <c r="AT63" s="75">
        <f t="shared" si="3"/>
        <v>0.2785515320334262</v>
      </c>
      <c r="AU63" s="26" t="str">
        <f t="shared" si="4"/>
        <v/>
      </c>
      <c r="AV63" s="26" t="str">
        <f t="shared" si="5"/>
        <v/>
      </c>
      <c r="AW63" s="24">
        <f t="shared" si="6"/>
        <v>0.70149253731343286</v>
      </c>
      <c r="AX63" s="24">
        <f t="shared" si="7"/>
        <v>0.71641791044776126</v>
      </c>
      <c r="AY63" s="77" t="str">
        <f t="shared" si="8"/>
        <v>7,5 ≤ Alc. Bruta &lt; 10,0 mg/L</v>
      </c>
      <c r="AZ63" s="77" t="str">
        <f t="shared" si="9"/>
        <v>15 ≤ Cor &lt; 30 uC</v>
      </c>
      <c r="BA63" s="78" t="str">
        <f t="shared" si="10"/>
        <v>2,5 ≤ Turb &lt; 5,0 uT</v>
      </c>
      <c r="BB63" s="79" t="str">
        <f t="shared" si="11"/>
        <v>TOR &gt; BNN &gt; SM</v>
      </c>
      <c r="BC63" s="78" t="str">
        <f t="shared" si="12"/>
        <v>Tipo 1 (≤0,25) uT</v>
      </c>
      <c r="BD63" s="78" t="str">
        <f t="shared" si="13"/>
        <v>Tipo 1 (≤0,25) uT</v>
      </c>
      <c r="BE63" s="78" t="str">
        <f t="shared" si="14"/>
        <v>Tipo 4 (&gt;0,75) uT</v>
      </c>
      <c r="BF63" s="78" t="str">
        <f t="shared" si="15"/>
        <v>Tipo 4 (&gt;0,75) uT</v>
      </c>
      <c r="BG63" s="78" t="str">
        <f t="shared" si="16"/>
        <v>Tipo 2 (0,25-0,50) uT</v>
      </c>
    </row>
    <row r="64" spans="1:59" x14ac:dyDescent="0.2">
      <c r="A64" s="21">
        <v>46134</v>
      </c>
      <c r="B64" s="48">
        <v>0.14583333333333334</v>
      </c>
      <c r="C64" s="57">
        <v>1229</v>
      </c>
      <c r="D64" s="57">
        <v>88</v>
      </c>
      <c r="E64" s="57">
        <v>500</v>
      </c>
      <c r="F64" s="57">
        <v>1824</v>
      </c>
      <c r="G64" s="10" t="s">
        <v>34</v>
      </c>
      <c r="H64" s="63">
        <v>3.4</v>
      </c>
      <c r="I64" s="57">
        <v>90</v>
      </c>
      <c r="J64" s="57">
        <v>90</v>
      </c>
      <c r="K64" s="57">
        <v>90</v>
      </c>
      <c r="L64" s="63">
        <v>23.9</v>
      </c>
      <c r="M64" s="63">
        <v>6.8</v>
      </c>
      <c r="N64" s="36">
        <v>3.98</v>
      </c>
      <c r="O64" s="57">
        <v>18</v>
      </c>
      <c r="P64" s="63">
        <v>9</v>
      </c>
      <c r="Q64" s="36">
        <v>0.27</v>
      </c>
      <c r="R64" s="36">
        <v>22.36</v>
      </c>
      <c r="S64" s="36">
        <v>0.88</v>
      </c>
      <c r="T64" s="36">
        <v>0.7</v>
      </c>
      <c r="U64" s="42"/>
      <c r="V64" s="36"/>
      <c r="W64" s="36"/>
      <c r="X64" s="57"/>
      <c r="Y64" s="57"/>
      <c r="Z64" s="63"/>
      <c r="AA64" s="57"/>
      <c r="AB64" s="63">
        <v>6.8</v>
      </c>
      <c r="AC64" s="63">
        <v>9.1999999999999993</v>
      </c>
      <c r="AD64" s="10">
        <v>0.18</v>
      </c>
      <c r="AE64" s="36">
        <v>0.97</v>
      </c>
      <c r="AF64" s="36"/>
      <c r="AG64" s="36"/>
      <c r="AH64" s="36"/>
      <c r="AI64" s="57"/>
      <c r="AJ64" s="57"/>
      <c r="AK64" s="36"/>
      <c r="AL64" s="36"/>
      <c r="AM64" s="63">
        <v>6.7</v>
      </c>
      <c r="AN64" s="63">
        <v>8.6999999999999993</v>
      </c>
      <c r="AO64" s="36">
        <v>0.21</v>
      </c>
      <c r="AP64" s="68">
        <v>1.1399999999999999</v>
      </c>
      <c r="AQ64" s="73">
        <f t="shared" si="0"/>
        <v>1817</v>
      </c>
      <c r="AR64" s="75">
        <f t="shared" si="1"/>
        <v>0.67638965327462852</v>
      </c>
      <c r="AS64" s="75">
        <f t="shared" si="2"/>
        <v>4.8431480462300495E-2</v>
      </c>
      <c r="AT64" s="75">
        <f t="shared" si="3"/>
        <v>0.27517886626307098</v>
      </c>
      <c r="AU64" s="26" t="str">
        <f t="shared" si="4"/>
        <v/>
      </c>
      <c r="AV64" s="26" t="str">
        <f t="shared" si="5"/>
        <v/>
      </c>
      <c r="AW64" s="24">
        <f t="shared" si="6"/>
        <v>0.71356783919597988</v>
      </c>
      <c r="AX64" s="24">
        <f t="shared" si="7"/>
        <v>0.75628140703517588</v>
      </c>
      <c r="AY64" s="77" t="str">
        <f t="shared" si="8"/>
        <v>7,5 ≤ Alc. Bruta &lt; 10,0 mg/L</v>
      </c>
      <c r="AZ64" s="77" t="str">
        <f t="shared" si="9"/>
        <v>15 ≤ Cor &lt; 30 uC</v>
      </c>
      <c r="BA64" s="78" t="str">
        <f t="shared" si="10"/>
        <v>2,5 ≤ Turb &lt; 5,0 uT</v>
      </c>
      <c r="BB64" s="79" t="str">
        <f t="shared" si="11"/>
        <v>TOR &gt; BNN &gt; SM</v>
      </c>
      <c r="BC64" s="78" t="str">
        <f t="shared" si="12"/>
        <v>Tipo 1 (≤0,25) uT</v>
      </c>
      <c r="BD64" s="78" t="str">
        <f t="shared" si="13"/>
        <v>Tipo 1 (≤0,25) uT</v>
      </c>
      <c r="BE64" s="78" t="str">
        <f t="shared" si="14"/>
        <v>Tipo 4 (&gt;0,75) uT</v>
      </c>
      <c r="BF64" s="78" t="str">
        <f t="shared" si="15"/>
        <v>Tipo 4 (&gt;0,75) uT</v>
      </c>
      <c r="BG64" s="78" t="str">
        <f t="shared" si="16"/>
        <v>Tipo 2 (0,25-0,50) uT</v>
      </c>
    </row>
    <row r="65" spans="1:59" ht="15.75" thickBot="1" x14ac:dyDescent="0.25">
      <c r="A65" s="21">
        <v>46134</v>
      </c>
      <c r="B65" s="51">
        <v>0.22916666666666666</v>
      </c>
      <c r="C65" s="58">
        <v>1104</v>
      </c>
      <c r="D65" s="58">
        <v>81</v>
      </c>
      <c r="E65" s="58">
        <v>499</v>
      </c>
      <c r="F65" s="58">
        <v>1919</v>
      </c>
      <c r="G65" s="11" t="s">
        <v>34</v>
      </c>
      <c r="H65" s="64">
        <v>3.4</v>
      </c>
      <c r="I65" s="58">
        <v>90</v>
      </c>
      <c r="J65" s="58">
        <v>90</v>
      </c>
      <c r="K65" s="58">
        <v>90</v>
      </c>
      <c r="L65" s="64">
        <v>23.4</v>
      </c>
      <c r="M65" s="64">
        <v>6.8</v>
      </c>
      <c r="N65" s="37">
        <v>4.88</v>
      </c>
      <c r="O65" s="58">
        <v>18</v>
      </c>
      <c r="P65" s="64">
        <v>8.9</v>
      </c>
      <c r="Q65" s="37">
        <v>0.25</v>
      </c>
      <c r="R65" s="36">
        <v>22.36</v>
      </c>
      <c r="S65" s="36">
        <v>0.88</v>
      </c>
      <c r="T65" s="36">
        <v>0.7</v>
      </c>
      <c r="U65" s="42"/>
      <c r="V65" s="41"/>
      <c r="W65" s="37"/>
      <c r="X65" s="58"/>
      <c r="Y65" s="58"/>
      <c r="Z65" s="64"/>
      <c r="AA65" s="58"/>
      <c r="AB65" s="64">
        <v>6.8</v>
      </c>
      <c r="AC65" s="64">
        <v>9.4</v>
      </c>
      <c r="AD65" s="11">
        <v>0.15</v>
      </c>
      <c r="AE65" s="37">
        <v>0.86</v>
      </c>
      <c r="AF65" s="37"/>
      <c r="AG65" s="37"/>
      <c r="AH65" s="37"/>
      <c r="AI65" s="58"/>
      <c r="AJ65" s="58"/>
      <c r="AK65" s="37"/>
      <c r="AL65" s="37"/>
      <c r="AM65" s="64">
        <v>6.8</v>
      </c>
      <c r="AN65" s="64">
        <v>7.8</v>
      </c>
      <c r="AO65" s="37">
        <v>0.21</v>
      </c>
      <c r="AP65" s="69">
        <v>1.01</v>
      </c>
      <c r="AQ65" s="73">
        <f t="shared" si="0"/>
        <v>1684</v>
      </c>
      <c r="AR65" s="75">
        <f t="shared" si="1"/>
        <v>0.6555819477434679</v>
      </c>
      <c r="AS65" s="75">
        <f t="shared" si="2"/>
        <v>4.8099762470308789E-2</v>
      </c>
      <c r="AT65" s="75">
        <f t="shared" si="3"/>
        <v>0.29631828978622327</v>
      </c>
      <c r="AU65" s="26" t="str">
        <f t="shared" si="4"/>
        <v/>
      </c>
      <c r="AV65" s="26" t="str">
        <f t="shared" si="5"/>
        <v/>
      </c>
      <c r="AW65" s="24">
        <f t="shared" si="6"/>
        <v>0.79303278688524592</v>
      </c>
      <c r="AX65" s="24">
        <f t="shared" si="7"/>
        <v>0.82377049180327866</v>
      </c>
      <c r="AY65" s="77" t="str">
        <f t="shared" si="8"/>
        <v>7,5 ≤ Alc. Bruta &lt; 10,0 mg/L</v>
      </c>
      <c r="AZ65" s="77" t="str">
        <f t="shared" si="9"/>
        <v>15 ≤ Cor &lt; 30 uC</v>
      </c>
      <c r="BA65" s="78" t="str">
        <f t="shared" si="10"/>
        <v>2,5 ≤ Turb &lt; 5,0 uT</v>
      </c>
      <c r="BB65" s="79" t="str">
        <f t="shared" si="11"/>
        <v>TOR &gt; BNN &gt; SM</v>
      </c>
      <c r="BC65" s="78" t="str">
        <f t="shared" si="12"/>
        <v>Tipo 1 (≤0,25) uT</v>
      </c>
      <c r="BD65" s="78" t="str">
        <f t="shared" si="13"/>
        <v>Tipo 1 (≤0,25) uT</v>
      </c>
      <c r="BE65" s="78" t="str">
        <f t="shared" si="14"/>
        <v>Tipo 4 (&gt;0,75) uT</v>
      </c>
      <c r="BF65" s="78" t="str">
        <f t="shared" si="15"/>
        <v>Tipo 4 (&gt;0,75) uT</v>
      </c>
      <c r="BG65" s="78" t="str">
        <f t="shared" si="16"/>
        <v>Tipo 1 (≤0,25) uT</v>
      </c>
    </row>
    <row r="66" spans="1:59" x14ac:dyDescent="0.2">
      <c r="A66" s="21">
        <v>46134</v>
      </c>
      <c r="B66" s="52">
        <v>0.3125</v>
      </c>
      <c r="C66" s="59">
        <v>1165</v>
      </c>
      <c r="D66" s="57">
        <v>81.400000000000006</v>
      </c>
      <c r="E66" s="59">
        <v>500</v>
      </c>
      <c r="F66" s="59">
        <v>1838</v>
      </c>
      <c r="G66" s="9" t="s">
        <v>34</v>
      </c>
      <c r="H66" s="65">
        <v>3.4</v>
      </c>
      <c r="I66" s="59">
        <v>90</v>
      </c>
      <c r="J66" s="59">
        <v>90</v>
      </c>
      <c r="K66" s="59">
        <v>90</v>
      </c>
      <c r="L66" s="65">
        <v>23.5</v>
      </c>
      <c r="M66" s="65">
        <v>6.8</v>
      </c>
      <c r="N66" s="38">
        <v>4.08</v>
      </c>
      <c r="O66" s="59">
        <v>16</v>
      </c>
      <c r="P66" s="65">
        <v>6.7</v>
      </c>
      <c r="Q66" s="38">
        <v>0.27</v>
      </c>
      <c r="R66" s="36">
        <v>22.36</v>
      </c>
      <c r="S66" s="36">
        <v>0.88</v>
      </c>
      <c r="T66" s="36">
        <v>0.7</v>
      </c>
      <c r="U66" s="42"/>
      <c r="V66" s="39"/>
      <c r="W66" s="38"/>
      <c r="X66" s="59"/>
      <c r="Y66" s="59"/>
      <c r="Z66" s="65"/>
      <c r="AA66" s="59"/>
      <c r="AB66" s="65">
        <v>6.8</v>
      </c>
      <c r="AC66" s="65">
        <v>6.3</v>
      </c>
      <c r="AD66" s="9">
        <v>0.25</v>
      </c>
      <c r="AE66" s="38">
        <v>0.99</v>
      </c>
      <c r="AF66" s="38"/>
      <c r="AG66" s="38"/>
      <c r="AH66" s="38"/>
      <c r="AI66" s="59"/>
      <c r="AJ66" s="59"/>
      <c r="AK66" s="38"/>
      <c r="AL66" s="38"/>
      <c r="AM66" s="65">
        <v>6.7</v>
      </c>
      <c r="AN66" s="65">
        <v>6.3</v>
      </c>
      <c r="AO66" s="38">
        <v>0.21</v>
      </c>
      <c r="AP66" s="70">
        <v>1.33</v>
      </c>
      <c r="AQ66" s="73">
        <f t="shared" ref="AQ66:AQ129" si="17">SUM(C66:E66)</f>
        <v>1746.4</v>
      </c>
      <c r="AR66" s="75">
        <f t="shared" ref="AR66:AR129" si="18">C66/AQ66</f>
        <v>0.66708657810352723</v>
      </c>
      <c r="AS66" s="75">
        <f t="shared" ref="AS66:AS129" si="19">D66/AQ66</f>
        <v>4.6610169491525424E-2</v>
      </c>
      <c r="AT66" s="75">
        <f t="shared" ref="AT66:AT129" si="20">E66/AQ66</f>
        <v>0.28630325240494731</v>
      </c>
      <c r="AU66" s="26" t="str">
        <f t="shared" ref="AU66:AU129" si="21">IF(AND(F66&lt;&gt;"",Y66&lt;&gt;""),AA66/(F66/2/Y66),"")</f>
        <v/>
      </c>
      <c r="AV66" s="26" t="str">
        <f t="shared" ref="AV66:AV129" si="22">IF(AND(F66&lt;&gt;"",AJ66&lt;&gt;""),AL66/(F66/2/AJ66),"")</f>
        <v/>
      </c>
      <c r="AW66" s="24">
        <f t="shared" ref="AW66:AW129" si="23">IF(AND(AP66&lt;&gt;"",1-(AP66/N66)&gt;0),1-(AP66/N66),"")</f>
        <v>0.6740196078431373</v>
      </c>
      <c r="AX66" s="24">
        <f t="shared" ref="AX66:AX129" si="24">IF(AND(AE66&lt;&gt;"",1-(AE66/N66)&gt;0),1-(AE66/N66),"")</f>
        <v>0.75735294117647056</v>
      </c>
      <c r="AY66" s="77" t="str">
        <f t="shared" ref="AY66:AY129" si="25">IF(P66="","",IF(P66&lt;2.5,"Alc. Bruta &lt; 2,5 mg/L",IF(P66&lt;5,"2,5 ≤ Alc. Bruta &lt; 5,0 mg/L",IF(P66&lt;7.5,"5,0 ≤ Alc. Bruta &lt; 7,5 mg/L",IF(P66&lt;10,"7,5 ≤ Alc. Bruta &lt; 10,0 mg/L",IF(P66&lt;15,"10,0 ≤ Alca. Bruta &lt; 15,0 mg/L","Alc. Bruta &gt; 15 mg/L"))))))</f>
        <v>5,0 ≤ Alc. Bruta &lt; 7,5 mg/L</v>
      </c>
      <c r="AZ66" s="77" t="str">
        <f t="shared" ref="AZ66:AZ129" si="26">IF(O66="","",IF(O66&lt;5,"Cor &lt;5 uC",IF(O66&lt;10,"5 ≤ Cor &lt; 10 uC",IF(O66&lt;15,"10 ≤ Cor &lt;15 uC",IF(O66&lt;30,"15 ≤ Cor &lt; 30 uC",IF(O66&lt;50,"30 ≤ Cor &lt; 50 uC","Cor &gt; 50 uC"))))))</f>
        <v>15 ≤ Cor &lt; 30 uC</v>
      </c>
      <c r="BA66" s="78" t="str">
        <f t="shared" ref="BA66:BA129" si="27">IF(N66="","",IF(N66&lt;2.5,"Turbidez &lt; 2,5 uT",IF(N66&lt;5,"2,5 ≤ Turb &lt; 5,0 uT",IF(N66&lt;7.5,"5,0 ≤ Turb &lt; 7,5 uT",IF(N66&lt;10,"7,5 ≤ Turb &lt; 10,0 uT",IF(N66&lt;15,"10,0 ≤ Turb &lt; 15,0 uT","Turb &gt; 15 uT"))))))</f>
        <v>2,5 ≤ Turb &lt; 5,0 uT</v>
      </c>
      <c r="BB66" s="79" t="str">
        <f t="shared" ref="BB66:BB129" si="28">IF(AND(C66&gt;D66,D66&gt;E66),"TOR &gt; SM &gt; BNN",IF(AND(C66&gt;E66,E66&gt;D66),"TOR &gt; BNN &gt; SM",IF(AND(D66&gt;C66,C66&gt;E66),"SM &gt; TOR &gt; BNN",IF(AND(D66&gt;E66,E66&gt;C66),"SM &gt; BNN &gt; TOR",IF(AND(C66=D66,D66=E66),"TOR = SM = BNN","Comb. diferentes")))))</f>
        <v>TOR &gt; BNN &gt; SM</v>
      </c>
      <c r="BC66" s="78" t="str">
        <f t="shared" ref="BC66:BC129" si="29">IF(OR(AD66="",AP66="-"),"",IF(AD66&lt;=0.25,"Tipo 1 (≤0,25) uT",IF(AD66&lt;=0.5,"Tipo 2 (0,25-0,50) uT",IF(AD66&lt;=0.75,"Tipo 3 (0,50-0,75) uT","Tipo 4 (&gt;0,75) uT"))))</f>
        <v>Tipo 1 (≤0,25) uT</v>
      </c>
      <c r="BD66" s="78" t="str">
        <f t="shared" ref="BD66:BD129" si="30">IF(OR(AO66="",AY66="-"),"",IF(AO66&lt;=0.25,"Tipo 1 (≤0,25) uT",IF(AO66&lt;=0.5,"Tipo 2 (0,25-0,50) uT",IF(AO66&lt;=0.75,"Tipo 3 (0,50-0,75) uT","Tipo 4 (&gt;0,75) uT"))))</f>
        <v>Tipo 1 (≤0,25) uT</v>
      </c>
      <c r="BE66" s="78" t="str">
        <f t="shared" ref="BE66:BE129" si="31">IF(OR(AE66="",AP66="-"),"",IF(AE66&lt;=0.25,"Tipo 1 (≤0,25) uT",IF(AE66&lt;=0.5,"Tipo 2 (0,25-0,50) uT",IF(AE66&lt;=0.75,"Tipo 3 (0,50-0,75) uT","Tipo 4 (&gt;0,75) uT"))))</f>
        <v>Tipo 4 (&gt;0,75) uT</v>
      </c>
      <c r="BF66" s="78" t="str">
        <f t="shared" ref="BF66:BF129" si="32">IF(OR(AP66="",AP66="-"),"",IF(AP66&lt;=0.25,"Tipo 1 (≤0,25) uT",IF(AP66&lt;=0.5,"Tipo 2 (0,25-0,50) uT",IF(AP66&lt;=0.75,"Tipo 3 (0,50-0,75) uT","Tipo 4 (&gt;0,75) uT"))))</f>
        <v>Tipo 4 (&gt;0,75) uT</v>
      </c>
      <c r="BG66" s="78" t="str">
        <f t="shared" ref="BG66:BG129" si="33">IF(OR(Q66="",Q66="-"),"",IF(Q66&lt;=0.25,"Tipo 1 (≤0,25) uT",IF(Q66&lt;=0.5,"Tipo 2 (0,25-0,50) uT",IF(Q66&lt;=0.75,"Tipo 3 (0,50-0,75) uT","Tipo 4 (&gt;0,75) uT"))))</f>
        <v>Tipo 2 (0,25-0,50) uT</v>
      </c>
    </row>
    <row r="67" spans="1:59" x14ac:dyDescent="0.2">
      <c r="A67" s="21">
        <v>46134</v>
      </c>
      <c r="B67" s="48">
        <v>0.39583333333333331</v>
      </c>
      <c r="C67" s="57">
        <v>1200</v>
      </c>
      <c r="D67" s="57">
        <v>87</v>
      </c>
      <c r="E67" s="57">
        <v>500</v>
      </c>
      <c r="F67" s="57">
        <v>1798</v>
      </c>
      <c r="G67" s="10" t="s">
        <v>34</v>
      </c>
      <c r="H67" s="63">
        <v>3.4</v>
      </c>
      <c r="I67" s="57">
        <v>100</v>
      </c>
      <c r="J67" s="57">
        <v>100</v>
      </c>
      <c r="K67" s="57">
        <v>100</v>
      </c>
      <c r="L67" s="63">
        <v>24</v>
      </c>
      <c r="M67" s="63">
        <v>6.8</v>
      </c>
      <c r="N67" s="36">
        <v>3.88</v>
      </c>
      <c r="O67" s="57">
        <v>16</v>
      </c>
      <c r="P67" s="63">
        <v>11.2</v>
      </c>
      <c r="Q67" s="36">
        <v>0.26</v>
      </c>
      <c r="R67" s="36">
        <v>22.36</v>
      </c>
      <c r="S67" s="36">
        <v>0.88</v>
      </c>
      <c r="T67" s="36">
        <v>0.7</v>
      </c>
      <c r="U67" s="42"/>
      <c r="V67" s="36"/>
      <c r="W67" s="36"/>
      <c r="X67" s="57"/>
      <c r="Y67" s="57"/>
      <c r="Z67" s="63"/>
      <c r="AA67" s="57"/>
      <c r="AB67" s="63">
        <v>6.9</v>
      </c>
      <c r="AC67" s="63">
        <v>7</v>
      </c>
      <c r="AD67" s="10">
        <v>0.17</v>
      </c>
      <c r="AE67" s="36">
        <v>1.1299999999999999</v>
      </c>
      <c r="AF67" s="36"/>
      <c r="AG67" s="36"/>
      <c r="AH67" s="36"/>
      <c r="AI67" s="57"/>
      <c r="AJ67" s="57"/>
      <c r="AK67" s="36"/>
      <c r="AL67" s="36"/>
      <c r="AM67" s="63">
        <v>6.8</v>
      </c>
      <c r="AN67" s="63">
        <v>12</v>
      </c>
      <c r="AO67" s="36">
        <v>0.21</v>
      </c>
      <c r="AP67" s="68">
        <v>2.82</v>
      </c>
      <c r="AQ67" s="73">
        <f t="shared" si="17"/>
        <v>1787</v>
      </c>
      <c r="AR67" s="75">
        <f t="shared" si="18"/>
        <v>0.67151650811415786</v>
      </c>
      <c r="AS67" s="75">
        <f t="shared" si="19"/>
        <v>4.8684946838276441E-2</v>
      </c>
      <c r="AT67" s="75">
        <f t="shared" si="20"/>
        <v>0.27979854504756574</v>
      </c>
      <c r="AU67" s="26" t="str">
        <f t="shared" si="21"/>
        <v/>
      </c>
      <c r="AV67" s="26" t="str">
        <f t="shared" si="22"/>
        <v/>
      </c>
      <c r="AW67" s="24">
        <f t="shared" si="23"/>
        <v>0.27319587628865982</v>
      </c>
      <c r="AX67" s="24">
        <f t="shared" si="24"/>
        <v>0.70876288659793818</v>
      </c>
      <c r="AY67" s="77" t="str">
        <f t="shared" si="25"/>
        <v>10,0 ≤ Alca. Bruta &lt; 15,0 mg/L</v>
      </c>
      <c r="AZ67" s="77" t="str">
        <f t="shared" si="26"/>
        <v>15 ≤ Cor &lt; 30 uC</v>
      </c>
      <c r="BA67" s="78" t="str">
        <f t="shared" si="27"/>
        <v>2,5 ≤ Turb &lt; 5,0 uT</v>
      </c>
      <c r="BB67" s="79" t="str">
        <f t="shared" si="28"/>
        <v>TOR &gt; BNN &gt; SM</v>
      </c>
      <c r="BC67" s="78" t="str">
        <f t="shared" si="29"/>
        <v>Tipo 1 (≤0,25) uT</v>
      </c>
      <c r="BD67" s="78" t="str">
        <f t="shared" si="30"/>
        <v>Tipo 1 (≤0,25) uT</v>
      </c>
      <c r="BE67" s="78" t="str">
        <f t="shared" si="31"/>
        <v>Tipo 4 (&gt;0,75) uT</v>
      </c>
      <c r="BF67" s="78" t="str">
        <f t="shared" si="32"/>
        <v>Tipo 4 (&gt;0,75) uT</v>
      </c>
      <c r="BG67" s="78" t="str">
        <f t="shared" si="33"/>
        <v>Tipo 2 (0,25-0,50) uT</v>
      </c>
    </row>
    <row r="68" spans="1:59" x14ac:dyDescent="0.2">
      <c r="A68" s="21">
        <v>46134</v>
      </c>
      <c r="B68" s="48">
        <v>0.47916666666666669</v>
      </c>
      <c r="C68" s="57">
        <v>1454</v>
      </c>
      <c r="D68" s="57">
        <v>80</v>
      </c>
      <c r="E68" s="57">
        <v>499</v>
      </c>
      <c r="F68" s="57">
        <v>2219</v>
      </c>
      <c r="G68" s="10" t="s">
        <v>34</v>
      </c>
      <c r="H68" s="63">
        <v>3.4</v>
      </c>
      <c r="I68" s="57">
        <v>100</v>
      </c>
      <c r="J68" s="57">
        <v>100</v>
      </c>
      <c r="K68" s="57">
        <v>100</v>
      </c>
      <c r="L68" s="63">
        <v>24.4</v>
      </c>
      <c r="M68" s="63">
        <v>6.8</v>
      </c>
      <c r="N68" s="36">
        <v>4</v>
      </c>
      <c r="O68" s="57">
        <v>15</v>
      </c>
      <c r="P68" s="63">
        <v>6.1</v>
      </c>
      <c r="Q68" s="36">
        <v>0.85</v>
      </c>
      <c r="R68" s="36">
        <v>22.36</v>
      </c>
      <c r="S68" s="36">
        <v>0.88</v>
      </c>
      <c r="T68" s="36">
        <v>0.7</v>
      </c>
      <c r="U68" s="42"/>
      <c r="V68" s="36"/>
      <c r="W68" s="36"/>
      <c r="X68" s="57"/>
      <c r="Y68" s="57"/>
      <c r="Z68" s="63"/>
      <c r="AA68" s="57"/>
      <c r="AB68" s="63">
        <v>6.9</v>
      </c>
      <c r="AC68" s="63">
        <v>7.6</v>
      </c>
      <c r="AD68" s="10">
        <v>0.39</v>
      </c>
      <c r="AE68" s="36">
        <v>1.44</v>
      </c>
      <c r="AF68" s="36"/>
      <c r="AG68" s="36"/>
      <c r="AH68" s="36"/>
      <c r="AI68" s="57"/>
      <c r="AJ68" s="57"/>
      <c r="AK68" s="36"/>
      <c r="AL68" s="36"/>
      <c r="AM68" s="63">
        <v>6.8</v>
      </c>
      <c r="AN68" s="63">
        <v>6.4</v>
      </c>
      <c r="AO68" s="36">
        <v>0.27</v>
      </c>
      <c r="AP68" s="68">
        <v>1.6</v>
      </c>
      <c r="AQ68" s="73">
        <f t="shared" si="17"/>
        <v>2033</v>
      </c>
      <c r="AR68" s="75">
        <f t="shared" si="18"/>
        <v>0.71519921298573541</v>
      </c>
      <c r="AS68" s="75">
        <f t="shared" si="19"/>
        <v>3.9350713231677326E-2</v>
      </c>
      <c r="AT68" s="75">
        <f t="shared" si="20"/>
        <v>0.24545007378258732</v>
      </c>
      <c r="AU68" s="26" t="str">
        <f t="shared" si="21"/>
        <v/>
      </c>
      <c r="AV68" s="26" t="str">
        <f t="shared" si="22"/>
        <v/>
      </c>
      <c r="AW68" s="24">
        <f t="shared" si="23"/>
        <v>0.6</v>
      </c>
      <c r="AX68" s="24">
        <f t="shared" si="24"/>
        <v>0.64</v>
      </c>
      <c r="AY68" s="77" t="str">
        <f t="shared" si="25"/>
        <v>5,0 ≤ Alc. Bruta &lt; 7,5 mg/L</v>
      </c>
      <c r="AZ68" s="77" t="str">
        <f t="shared" si="26"/>
        <v>15 ≤ Cor &lt; 30 uC</v>
      </c>
      <c r="BA68" s="78" t="str">
        <f t="shared" si="27"/>
        <v>2,5 ≤ Turb &lt; 5,0 uT</v>
      </c>
      <c r="BB68" s="79" t="str">
        <f t="shared" si="28"/>
        <v>TOR &gt; BNN &gt; SM</v>
      </c>
      <c r="BC68" s="78" t="str">
        <f t="shared" si="29"/>
        <v>Tipo 2 (0,25-0,50) uT</v>
      </c>
      <c r="BD68" s="78" t="str">
        <f t="shared" si="30"/>
        <v>Tipo 2 (0,25-0,50) uT</v>
      </c>
      <c r="BE68" s="78" t="str">
        <f t="shared" si="31"/>
        <v>Tipo 4 (&gt;0,75) uT</v>
      </c>
      <c r="BF68" s="78" t="str">
        <f t="shared" si="32"/>
        <v>Tipo 4 (&gt;0,75) uT</v>
      </c>
      <c r="BG68" s="78" t="str">
        <f t="shared" si="33"/>
        <v>Tipo 4 (&gt;0,75) uT</v>
      </c>
    </row>
    <row r="69" spans="1:59" x14ac:dyDescent="0.2">
      <c r="A69" s="21">
        <v>46134</v>
      </c>
      <c r="B69" s="48">
        <v>0.5625</v>
      </c>
      <c r="C69" s="57">
        <v>1489</v>
      </c>
      <c r="D69" s="57">
        <v>92</v>
      </c>
      <c r="E69" s="57">
        <v>501</v>
      </c>
      <c r="F69" s="57">
        <v>2226</v>
      </c>
      <c r="G69" s="10" t="s">
        <v>34</v>
      </c>
      <c r="H69" s="63">
        <v>3.4</v>
      </c>
      <c r="I69" s="57">
        <v>90</v>
      </c>
      <c r="J69" s="57">
        <v>90</v>
      </c>
      <c r="K69" s="57">
        <v>90</v>
      </c>
      <c r="L69" s="63">
        <v>25.4</v>
      </c>
      <c r="M69" s="63">
        <v>7</v>
      </c>
      <c r="N69" s="36">
        <v>3.85</v>
      </c>
      <c r="O69" s="57">
        <v>16</v>
      </c>
      <c r="P69" s="63">
        <v>8</v>
      </c>
      <c r="Q69" s="36">
        <v>0.77</v>
      </c>
      <c r="R69" s="36">
        <v>22.36</v>
      </c>
      <c r="S69" s="36">
        <v>0.88</v>
      </c>
      <c r="T69" s="36">
        <v>0.7</v>
      </c>
      <c r="U69" s="42"/>
      <c r="V69" s="36"/>
      <c r="W69" s="36"/>
      <c r="X69" s="57"/>
      <c r="Y69" s="57"/>
      <c r="Z69" s="63"/>
      <c r="AA69" s="57"/>
      <c r="AB69" s="63">
        <v>6.8</v>
      </c>
      <c r="AC69" s="63">
        <v>8.9</v>
      </c>
      <c r="AD69" s="10">
        <v>0.2</v>
      </c>
      <c r="AE69" s="36">
        <v>2.33</v>
      </c>
      <c r="AF69" s="36"/>
      <c r="AG69" s="36"/>
      <c r="AH69" s="36"/>
      <c r="AI69" s="57"/>
      <c r="AJ69" s="57"/>
      <c r="AK69" s="36"/>
      <c r="AL69" s="36"/>
      <c r="AM69" s="63">
        <v>6.8</v>
      </c>
      <c r="AN69" s="63">
        <v>9</v>
      </c>
      <c r="AO69" s="36">
        <v>0.27</v>
      </c>
      <c r="AP69" s="68">
        <v>1.27</v>
      </c>
      <c r="AQ69" s="73">
        <f t="shared" si="17"/>
        <v>2082</v>
      </c>
      <c r="AR69" s="75">
        <f t="shared" si="18"/>
        <v>0.71517771373679151</v>
      </c>
      <c r="AS69" s="75">
        <f t="shared" si="19"/>
        <v>4.4188280499519693E-2</v>
      </c>
      <c r="AT69" s="75">
        <f t="shared" si="20"/>
        <v>0.24063400576368876</v>
      </c>
      <c r="AU69" s="26" t="str">
        <f t="shared" si="21"/>
        <v/>
      </c>
      <c r="AV69" s="26" t="str">
        <f t="shared" si="22"/>
        <v/>
      </c>
      <c r="AW69" s="24">
        <f t="shared" si="23"/>
        <v>0.67012987012987013</v>
      </c>
      <c r="AX69" s="24">
        <f t="shared" si="24"/>
        <v>0.39480519480519483</v>
      </c>
      <c r="AY69" s="77" t="str">
        <f t="shared" si="25"/>
        <v>7,5 ≤ Alc. Bruta &lt; 10,0 mg/L</v>
      </c>
      <c r="AZ69" s="77" t="str">
        <f t="shared" si="26"/>
        <v>15 ≤ Cor &lt; 30 uC</v>
      </c>
      <c r="BA69" s="78" t="str">
        <f t="shared" si="27"/>
        <v>2,5 ≤ Turb &lt; 5,0 uT</v>
      </c>
      <c r="BB69" s="79" t="str">
        <f t="shared" si="28"/>
        <v>TOR &gt; BNN &gt; SM</v>
      </c>
      <c r="BC69" s="78" t="str">
        <f t="shared" si="29"/>
        <v>Tipo 1 (≤0,25) uT</v>
      </c>
      <c r="BD69" s="78" t="str">
        <f t="shared" si="30"/>
        <v>Tipo 2 (0,25-0,50) uT</v>
      </c>
      <c r="BE69" s="78" t="str">
        <f t="shared" si="31"/>
        <v>Tipo 4 (&gt;0,75) uT</v>
      </c>
      <c r="BF69" s="78" t="str">
        <f t="shared" si="32"/>
        <v>Tipo 4 (&gt;0,75) uT</v>
      </c>
      <c r="BG69" s="78" t="str">
        <f t="shared" si="33"/>
        <v>Tipo 4 (&gt;0,75) uT</v>
      </c>
    </row>
    <row r="70" spans="1:59" x14ac:dyDescent="0.2">
      <c r="A70" s="21">
        <v>46134</v>
      </c>
      <c r="B70" s="48">
        <v>0.64583333333333337</v>
      </c>
      <c r="C70" s="57">
        <v>1515</v>
      </c>
      <c r="D70" s="57">
        <v>89</v>
      </c>
      <c r="E70" s="57">
        <v>568</v>
      </c>
      <c r="F70" s="57">
        <v>2363</v>
      </c>
      <c r="G70" s="10" t="s">
        <v>34</v>
      </c>
      <c r="H70" s="63">
        <v>3.4</v>
      </c>
      <c r="I70" s="57">
        <v>90</v>
      </c>
      <c r="J70" s="57">
        <v>90</v>
      </c>
      <c r="K70" s="57">
        <v>90</v>
      </c>
      <c r="L70" s="63">
        <v>25.4</v>
      </c>
      <c r="M70" s="63">
        <v>6.7</v>
      </c>
      <c r="N70" s="36">
        <v>3.68</v>
      </c>
      <c r="O70" s="57">
        <v>14</v>
      </c>
      <c r="P70" s="63">
        <v>6.3</v>
      </c>
      <c r="Q70" s="36">
        <v>0.79</v>
      </c>
      <c r="R70" s="36">
        <v>22.36</v>
      </c>
      <c r="S70" s="36">
        <v>0.88</v>
      </c>
      <c r="T70" s="36">
        <v>0.7</v>
      </c>
      <c r="U70" s="42"/>
      <c r="V70" s="36"/>
      <c r="W70" s="36"/>
      <c r="X70" s="57"/>
      <c r="Y70" s="57"/>
      <c r="Z70" s="63"/>
      <c r="AA70" s="57"/>
      <c r="AB70" s="63">
        <v>6.8</v>
      </c>
      <c r="AC70" s="63">
        <v>6.3</v>
      </c>
      <c r="AD70" s="10">
        <v>0.17</v>
      </c>
      <c r="AE70" s="36">
        <v>1.04</v>
      </c>
      <c r="AF70" s="36"/>
      <c r="AG70" s="36"/>
      <c r="AH70" s="36"/>
      <c r="AI70" s="57"/>
      <c r="AJ70" s="57"/>
      <c r="AK70" s="36"/>
      <c r="AL70" s="36"/>
      <c r="AM70" s="63">
        <v>6.7</v>
      </c>
      <c r="AN70" s="63">
        <v>6.3</v>
      </c>
      <c r="AO70" s="36">
        <v>0.15</v>
      </c>
      <c r="AP70" s="68">
        <v>1.66</v>
      </c>
      <c r="AQ70" s="73">
        <f t="shared" si="17"/>
        <v>2172</v>
      </c>
      <c r="AR70" s="75">
        <f t="shared" si="18"/>
        <v>0.6975138121546961</v>
      </c>
      <c r="AS70" s="75">
        <f t="shared" si="19"/>
        <v>4.0976058931860036E-2</v>
      </c>
      <c r="AT70" s="75">
        <f t="shared" si="20"/>
        <v>0.26151012891344383</v>
      </c>
      <c r="AU70" s="26" t="str">
        <f t="shared" si="21"/>
        <v/>
      </c>
      <c r="AV70" s="26" t="str">
        <f t="shared" si="22"/>
        <v/>
      </c>
      <c r="AW70" s="24">
        <f t="shared" si="23"/>
        <v>0.54891304347826098</v>
      </c>
      <c r="AX70" s="24">
        <f t="shared" si="24"/>
        <v>0.71739130434782616</v>
      </c>
      <c r="AY70" s="77" t="str">
        <f t="shared" si="25"/>
        <v>5,0 ≤ Alc. Bruta &lt; 7,5 mg/L</v>
      </c>
      <c r="AZ70" s="77" t="str">
        <f t="shared" si="26"/>
        <v>10 ≤ Cor &lt;15 uC</v>
      </c>
      <c r="BA70" s="78" t="str">
        <f t="shared" si="27"/>
        <v>2,5 ≤ Turb &lt; 5,0 uT</v>
      </c>
      <c r="BB70" s="79" t="str">
        <f t="shared" si="28"/>
        <v>TOR &gt; BNN &gt; SM</v>
      </c>
      <c r="BC70" s="78" t="str">
        <f t="shared" si="29"/>
        <v>Tipo 1 (≤0,25) uT</v>
      </c>
      <c r="BD70" s="78" t="str">
        <f t="shared" si="30"/>
        <v>Tipo 1 (≤0,25) uT</v>
      </c>
      <c r="BE70" s="78" t="str">
        <f t="shared" si="31"/>
        <v>Tipo 4 (&gt;0,75) uT</v>
      </c>
      <c r="BF70" s="78" t="str">
        <f t="shared" si="32"/>
        <v>Tipo 4 (&gt;0,75) uT</v>
      </c>
      <c r="BG70" s="78" t="str">
        <f t="shared" si="33"/>
        <v>Tipo 4 (&gt;0,75) uT</v>
      </c>
    </row>
    <row r="71" spans="1:59" x14ac:dyDescent="0.2">
      <c r="A71" s="21">
        <v>46134</v>
      </c>
      <c r="B71" s="48">
        <v>0.72916666666666663</v>
      </c>
      <c r="C71" s="57">
        <v>1480</v>
      </c>
      <c r="D71" s="57">
        <v>89</v>
      </c>
      <c r="E71" s="57">
        <v>569</v>
      </c>
      <c r="F71" s="57">
        <v>2298</v>
      </c>
      <c r="G71" s="10" t="s">
        <v>34</v>
      </c>
      <c r="H71" s="63">
        <v>3.4</v>
      </c>
      <c r="I71" s="57">
        <v>90</v>
      </c>
      <c r="J71" s="57">
        <v>90</v>
      </c>
      <c r="K71" s="57">
        <v>90</v>
      </c>
      <c r="L71" s="63">
        <v>25.1</v>
      </c>
      <c r="M71" s="63">
        <v>6.8</v>
      </c>
      <c r="N71" s="36">
        <v>3.56</v>
      </c>
      <c r="O71" s="57">
        <v>16</v>
      </c>
      <c r="P71" s="63">
        <v>6.3</v>
      </c>
      <c r="Q71" s="36">
        <v>0.63</v>
      </c>
      <c r="R71" s="36">
        <v>22.36</v>
      </c>
      <c r="S71" s="36">
        <v>0.88</v>
      </c>
      <c r="T71" s="36">
        <v>0.7</v>
      </c>
      <c r="U71" s="42"/>
      <c r="V71" s="36"/>
      <c r="W71" s="36"/>
      <c r="X71" s="57"/>
      <c r="Y71" s="57"/>
      <c r="Z71" s="63"/>
      <c r="AA71" s="57"/>
      <c r="AB71" s="63">
        <v>6.9</v>
      </c>
      <c r="AC71" s="63">
        <v>5.6</v>
      </c>
      <c r="AD71" s="10">
        <v>0.28999999999999998</v>
      </c>
      <c r="AE71" s="36">
        <v>1.02</v>
      </c>
      <c r="AF71" s="36"/>
      <c r="AG71" s="36"/>
      <c r="AH71" s="36"/>
      <c r="AI71" s="57"/>
      <c r="AJ71" s="57"/>
      <c r="AK71" s="36"/>
      <c r="AL71" s="36"/>
      <c r="AM71" s="63">
        <v>6.7</v>
      </c>
      <c r="AN71" s="63">
        <v>5.8</v>
      </c>
      <c r="AO71" s="36">
        <v>0.22</v>
      </c>
      <c r="AP71" s="68">
        <v>1.49</v>
      </c>
      <c r="AQ71" s="73">
        <f t="shared" si="17"/>
        <v>2138</v>
      </c>
      <c r="AR71" s="75">
        <f t="shared" si="18"/>
        <v>0.6922357343311506</v>
      </c>
      <c r="AS71" s="75">
        <f t="shared" si="19"/>
        <v>4.1627689429373248E-2</v>
      </c>
      <c r="AT71" s="75">
        <f t="shared" si="20"/>
        <v>0.26613657623947612</v>
      </c>
      <c r="AU71" s="26" t="str">
        <f t="shared" si="21"/>
        <v/>
      </c>
      <c r="AV71" s="26" t="str">
        <f t="shared" si="22"/>
        <v/>
      </c>
      <c r="AW71" s="24">
        <f t="shared" si="23"/>
        <v>0.5814606741573034</v>
      </c>
      <c r="AX71" s="24">
        <f t="shared" si="24"/>
        <v>0.71348314606741581</v>
      </c>
      <c r="AY71" s="77" t="str">
        <f t="shared" si="25"/>
        <v>5,0 ≤ Alc. Bruta &lt; 7,5 mg/L</v>
      </c>
      <c r="AZ71" s="77" t="str">
        <f t="shared" si="26"/>
        <v>15 ≤ Cor &lt; 30 uC</v>
      </c>
      <c r="BA71" s="78" t="str">
        <f t="shared" si="27"/>
        <v>2,5 ≤ Turb &lt; 5,0 uT</v>
      </c>
      <c r="BB71" s="79" t="str">
        <f t="shared" si="28"/>
        <v>TOR &gt; BNN &gt; SM</v>
      </c>
      <c r="BC71" s="78" t="str">
        <f t="shared" si="29"/>
        <v>Tipo 2 (0,25-0,50) uT</v>
      </c>
      <c r="BD71" s="78" t="str">
        <f t="shared" si="30"/>
        <v>Tipo 1 (≤0,25) uT</v>
      </c>
      <c r="BE71" s="78" t="str">
        <f t="shared" si="31"/>
        <v>Tipo 4 (&gt;0,75) uT</v>
      </c>
      <c r="BF71" s="78" t="str">
        <f t="shared" si="32"/>
        <v>Tipo 4 (&gt;0,75) uT</v>
      </c>
      <c r="BG71" s="78" t="str">
        <f t="shared" si="33"/>
        <v>Tipo 3 (0,50-0,75) uT</v>
      </c>
    </row>
    <row r="72" spans="1:59" x14ac:dyDescent="0.2">
      <c r="A72" s="21">
        <v>46134</v>
      </c>
      <c r="B72" s="48">
        <v>0.8125</v>
      </c>
      <c r="C72" s="57">
        <v>1559</v>
      </c>
      <c r="D72" s="57">
        <v>74</v>
      </c>
      <c r="E72" s="57">
        <v>569</v>
      </c>
      <c r="F72" s="57">
        <v>2422</v>
      </c>
      <c r="G72" s="10" t="s">
        <v>34</v>
      </c>
      <c r="H72" s="63">
        <v>3.4</v>
      </c>
      <c r="I72" s="57">
        <v>90</v>
      </c>
      <c r="J72" s="57">
        <v>90</v>
      </c>
      <c r="K72" s="57">
        <v>90</v>
      </c>
      <c r="L72" s="63">
        <v>25.1</v>
      </c>
      <c r="M72" s="63">
        <v>6.7</v>
      </c>
      <c r="N72" s="36">
        <v>4.62</v>
      </c>
      <c r="O72" s="57">
        <v>14</v>
      </c>
      <c r="P72" s="63">
        <v>6.1</v>
      </c>
      <c r="Q72" s="36">
        <v>0.4</v>
      </c>
      <c r="R72" s="36">
        <v>22.36</v>
      </c>
      <c r="S72" s="36">
        <v>0.88</v>
      </c>
      <c r="T72" s="36">
        <v>0.7</v>
      </c>
      <c r="U72" s="42"/>
      <c r="V72" s="36"/>
      <c r="W72" s="36"/>
      <c r="X72" s="57"/>
      <c r="Y72" s="57"/>
      <c r="Z72" s="63"/>
      <c r="AA72" s="57"/>
      <c r="AB72" s="63">
        <v>6.8</v>
      </c>
      <c r="AC72" s="63">
        <v>7.4</v>
      </c>
      <c r="AD72" s="10">
        <v>0.18</v>
      </c>
      <c r="AE72" s="36">
        <v>0.83</v>
      </c>
      <c r="AF72" s="36"/>
      <c r="AG72" s="36"/>
      <c r="AH72" s="36"/>
      <c r="AI72" s="57"/>
      <c r="AJ72" s="57"/>
      <c r="AK72" s="36"/>
      <c r="AL72" s="36"/>
      <c r="AM72" s="63">
        <v>6.8</v>
      </c>
      <c r="AN72" s="63">
        <v>7.2</v>
      </c>
      <c r="AO72" s="36">
        <v>0.11</v>
      </c>
      <c r="AP72" s="68">
        <v>1.1200000000000001</v>
      </c>
      <c r="AQ72" s="73">
        <f t="shared" si="17"/>
        <v>2202</v>
      </c>
      <c r="AR72" s="75">
        <f t="shared" si="18"/>
        <v>0.70799273387829242</v>
      </c>
      <c r="AS72" s="75">
        <f t="shared" si="19"/>
        <v>3.3605812897366028E-2</v>
      </c>
      <c r="AT72" s="75">
        <f t="shared" si="20"/>
        <v>0.25840145322434149</v>
      </c>
      <c r="AU72" s="26" t="str">
        <f t="shared" si="21"/>
        <v/>
      </c>
      <c r="AV72" s="26" t="str">
        <f t="shared" si="22"/>
        <v/>
      </c>
      <c r="AW72" s="24">
        <f t="shared" si="23"/>
        <v>0.75757575757575757</v>
      </c>
      <c r="AX72" s="24">
        <f t="shared" si="24"/>
        <v>0.82034632034632038</v>
      </c>
      <c r="AY72" s="77" t="str">
        <f t="shared" si="25"/>
        <v>5,0 ≤ Alc. Bruta &lt; 7,5 mg/L</v>
      </c>
      <c r="AZ72" s="77" t="str">
        <f t="shared" si="26"/>
        <v>10 ≤ Cor &lt;15 uC</v>
      </c>
      <c r="BA72" s="78" t="str">
        <f t="shared" si="27"/>
        <v>2,5 ≤ Turb &lt; 5,0 uT</v>
      </c>
      <c r="BB72" s="79" t="str">
        <f t="shared" si="28"/>
        <v>TOR &gt; BNN &gt; SM</v>
      </c>
      <c r="BC72" s="78" t="str">
        <f t="shared" si="29"/>
        <v>Tipo 1 (≤0,25) uT</v>
      </c>
      <c r="BD72" s="78" t="str">
        <f t="shared" si="30"/>
        <v>Tipo 1 (≤0,25) uT</v>
      </c>
      <c r="BE72" s="78" t="str">
        <f t="shared" si="31"/>
        <v>Tipo 4 (&gt;0,75) uT</v>
      </c>
      <c r="BF72" s="78" t="str">
        <f t="shared" si="32"/>
        <v>Tipo 4 (&gt;0,75) uT</v>
      </c>
      <c r="BG72" s="78" t="str">
        <f t="shared" si="33"/>
        <v>Tipo 2 (0,25-0,50) uT</v>
      </c>
    </row>
    <row r="73" spans="1:59" x14ac:dyDescent="0.2">
      <c r="A73" s="21">
        <v>46134</v>
      </c>
      <c r="B73" s="48">
        <v>0.89583333333333337</v>
      </c>
      <c r="C73" s="57">
        <v>1527</v>
      </c>
      <c r="D73" s="57">
        <v>82</v>
      </c>
      <c r="E73" s="57">
        <v>570</v>
      </c>
      <c r="F73" s="57">
        <v>2418</v>
      </c>
      <c r="G73" s="10" t="s">
        <v>34</v>
      </c>
      <c r="H73" s="63">
        <v>3.4</v>
      </c>
      <c r="I73" s="57">
        <v>90</v>
      </c>
      <c r="J73" s="57">
        <v>90</v>
      </c>
      <c r="K73" s="57">
        <v>90</v>
      </c>
      <c r="L73" s="63">
        <v>24.6</v>
      </c>
      <c r="M73" s="63">
        <v>6.8</v>
      </c>
      <c r="N73" s="36">
        <v>3.77</v>
      </c>
      <c r="O73" s="57">
        <v>16</v>
      </c>
      <c r="P73" s="63">
        <v>6.2</v>
      </c>
      <c r="Q73" s="36">
        <v>0.56999999999999995</v>
      </c>
      <c r="R73" s="36">
        <v>22.36</v>
      </c>
      <c r="S73" s="36">
        <v>0.88</v>
      </c>
      <c r="T73" s="36">
        <v>0.7</v>
      </c>
      <c r="U73" s="42"/>
      <c r="V73" s="36"/>
      <c r="W73" s="36"/>
      <c r="X73" s="57"/>
      <c r="Y73" s="57"/>
      <c r="Z73" s="63"/>
      <c r="AA73" s="57"/>
      <c r="AB73" s="63">
        <v>6.9</v>
      </c>
      <c r="AC73" s="63">
        <v>6.2</v>
      </c>
      <c r="AD73" s="10">
        <v>0.14000000000000001</v>
      </c>
      <c r="AE73" s="36">
        <v>1.05</v>
      </c>
      <c r="AF73" s="36"/>
      <c r="AG73" s="36"/>
      <c r="AH73" s="36"/>
      <c r="AI73" s="57"/>
      <c r="AJ73" s="57"/>
      <c r="AK73" s="36"/>
      <c r="AL73" s="36"/>
      <c r="AM73" s="63">
        <v>6.8</v>
      </c>
      <c r="AN73" s="63">
        <v>6</v>
      </c>
      <c r="AO73" s="36">
        <v>0.2</v>
      </c>
      <c r="AP73" s="68">
        <v>1.79</v>
      </c>
      <c r="AQ73" s="73">
        <f t="shared" si="17"/>
        <v>2179</v>
      </c>
      <c r="AR73" s="75">
        <f t="shared" si="18"/>
        <v>0.70078017439192286</v>
      </c>
      <c r="AS73" s="75">
        <f t="shared" si="19"/>
        <v>3.763194125745755E-2</v>
      </c>
      <c r="AT73" s="75">
        <f t="shared" si="20"/>
        <v>0.26158788435061953</v>
      </c>
      <c r="AU73" s="26" t="str">
        <f t="shared" si="21"/>
        <v/>
      </c>
      <c r="AV73" s="26" t="str">
        <f t="shared" si="22"/>
        <v/>
      </c>
      <c r="AW73" s="24">
        <f t="shared" si="23"/>
        <v>0.5251989389920424</v>
      </c>
      <c r="AX73" s="24">
        <f t="shared" si="24"/>
        <v>0.72148541114058351</v>
      </c>
      <c r="AY73" s="77" t="str">
        <f t="shared" si="25"/>
        <v>5,0 ≤ Alc. Bruta &lt; 7,5 mg/L</v>
      </c>
      <c r="AZ73" s="77" t="str">
        <f t="shared" si="26"/>
        <v>15 ≤ Cor &lt; 30 uC</v>
      </c>
      <c r="BA73" s="78" t="str">
        <f t="shared" si="27"/>
        <v>2,5 ≤ Turb &lt; 5,0 uT</v>
      </c>
      <c r="BB73" s="79" t="str">
        <f t="shared" si="28"/>
        <v>TOR &gt; BNN &gt; SM</v>
      </c>
      <c r="BC73" s="78" t="str">
        <f t="shared" si="29"/>
        <v>Tipo 1 (≤0,25) uT</v>
      </c>
      <c r="BD73" s="78" t="str">
        <f t="shared" si="30"/>
        <v>Tipo 1 (≤0,25) uT</v>
      </c>
      <c r="BE73" s="78" t="str">
        <f t="shared" si="31"/>
        <v>Tipo 4 (&gt;0,75) uT</v>
      </c>
      <c r="BF73" s="78" t="str">
        <f t="shared" si="32"/>
        <v>Tipo 4 (&gt;0,75) uT</v>
      </c>
      <c r="BG73" s="78" t="str">
        <f t="shared" si="33"/>
        <v>Tipo 3 (0,50-0,75) uT</v>
      </c>
    </row>
    <row r="74" spans="1:59" x14ac:dyDescent="0.2">
      <c r="A74" s="21">
        <v>46134</v>
      </c>
      <c r="B74" s="48">
        <v>0.97916666666666663</v>
      </c>
      <c r="C74" s="57">
        <v>1529</v>
      </c>
      <c r="D74" s="57">
        <v>82</v>
      </c>
      <c r="E74" s="57">
        <v>570</v>
      </c>
      <c r="F74" s="57">
        <v>2423</v>
      </c>
      <c r="G74" s="10" t="s">
        <v>34</v>
      </c>
      <c r="H74" s="63">
        <v>3.4</v>
      </c>
      <c r="I74" s="57">
        <v>90</v>
      </c>
      <c r="J74" s="57">
        <v>90</v>
      </c>
      <c r="K74" s="57">
        <v>90</v>
      </c>
      <c r="L74" s="63">
        <v>24.4</v>
      </c>
      <c r="M74" s="63">
        <v>6.7</v>
      </c>
      <c r="N74" s="36">
        <v>4.03</v>
      </c>
      <c r="O74" s="57">
        <v>16</v>
      </c>
      <c r="P74" s="63">
        <v>6.5</v>
      </c>
      <c r="Q74" s="36">
        <v>0.39</v>
      </c>
      <c r="R74" s="36">
        <v>22.36</v>
      </c>
      <c r="S74" s="36">
        <v>0.88</v>
      </c>
      <c r="T74" s="36">
        <v>0.7</v>
      </c>
      <c r="U74" s="42"/>
      <c r="V74" s="36"/>
      <c r="W74" s="36"/>
      <c r="X74" s="57"/>
      <c r="Y74" s="57"/>
      <c r="Z74" s="63"/>
      <c r="AA74" s="57"/>
      <c r="AB74" s="63">
        <v>6.9</v>
      </c>
      <c r="AC74" s="63">
        <v>6.5</v>
      </c>
      <c r="AD74" s="10">
        <v>0.1</v>
      </c>
      <c r="AE74" s="36">
        <v>0.89</v>
      </c>
      <c r="AF74" s="36"/>
      <c r="AG74" s="36"/>
      <c r="AH74" s="36"/>
      <c r="AI74" s="57"/>
      <c r="AJ74" s="57"/>
      <c r="AK74" s="36"/>
      <c r="AL74" s="36"/>
      <c r="AM74" s="63">
        <v>6.8</v>
      </c>
      <c r="AN74" s="63">
        <v>6</v>
      </c>
      <c r="AO74" s="36">
        <v>0.1</v>
      </c>
      <c r="AP74" s="68">
        <v>1.24</v>
      </c>
      <c r="AQ74" s="73">
        <f t="shared" si="17"/>
        <v>2181</v>
      </c>
      <c r="AR74" s="75">
        <f t="shared" si="18"/>
        <v>0.70105456212746442</v>
      </c>
      <c r="AS74" s="75">
        <f t="shared" si="19"/>
        <v>3.7597432370472257E-2</v>
      </c>
      <c r="AT74" s="75">
        <f t="shared" si="20"/>
        <v>0.26134800550206327</v>
      </c>
      <c r="AU74" s="26" t="str">
        <f t="shared" si="21"/>
        <v/>
      </c>
      <c r="AV74" s="26" t="str">
        <f t="shared" si="22"/>
        <v/>
      </c>
      <c r="AW74" s="24">
        <f t="shared" si="23"/>
        <v>0.69230769230769229</v>
      </c>
      <c r="AX74" s="24">
        <f t="shared" si="24"/>
        <v>0.77915632754342434</v>
      </c>
      <c r="AY74" s="77" t="str">
        <f t="shared" si="25"/>
        <v>5,0 ≤ Alc. Bruta &lt; 7,5 mg/L</v>
      </c>
      <c r="AZ74" s="77" t="str">
        <f t="shared" si="26"/>
        <v>15 ≤ Cor &lt; 30 uC</v>
      </c>
      <c r="BA74" s="78" t="str">
        <f t="shared" si="27"/>
        <v>2,5 ≤ Turb &lt; 5,0 uT</v>
      </c>
      <c r="BB74" s="79" t="str">
        <f t="shared" si="28"/>
        <v>TOR &gt; BNN &gt; SM</v>
      </c>
      <c r="BC74" s="78" t="str">
        <f t="shared" si="29"/>
        <v>Tipo 1 (≤0,25) uT</v>
      </c>
      <c r="BD74" s="78" t="str">
        <f t="shared" si="30"/>
        <v>Tipo 1 (≤0,25) uT</v>
      </c>
      <c r="BE74" s="78" t="str">
        <f t="shared" si="31"/>
        <v>Tipo 4 (&gt;0,75) uT</v>
      </c>
      <c r="BF74" s="78" t="str">
        <f t="shared" si="32"/>
        <v>Tipo 4 (&gt;0,75) uT</v>
      </c>
      <c r="BG74" s="78" t="str">
        <f t="shared" si="33"/>
        <v>Tipo 2 (0,25-0,50) uT</v>
      </c>
    </row>
    <row r="75" spans="1:59" x14ac:dyDescent="0.2">
      <c r="A75" s="21">
        <v>46135</v>
      </c>
      <c r="B75" s="48">
        <v>6.25E-2</v>
      </c>
      <c r="C75" s="57">
        <v>1576</v>
      </c>
      <c r="D75" s="57">
        <v>83</v>
      </c>
      <c r="E75" s="57">
        <v>569</v>
      </c>
      <c r="F75" s="57">
        <v>2421</v>
      </c>
      <c r="G75" s="10" t="s">
        <v>34</v>
      </c>
      <c r="H75" s="63">
        <v>3.4</v>
      </c>
      <c r="I75" s="57">
        <v>90</v>
      </c>
      <c r="J75" s="57">
        <v>90</v>
      </c>
      <c r="K75" s="57">
        <v>90</v>
      </c>
      <c r="L75" s="63">
        <v>24</v>
      </c>
      <c r="M75" s="63">
        <v>6.7</v>
      </c>
      <c r="N75" s="36">
        <v>4.3</v>
      </c>
      <c r="O75" s="57">
        <v>16</v>
      </c>
      <c r="P75" s="63">
        <v>6.2</v>
      </c>
      <c r="Q75" s="36">
        <v>0.41</v>
      </c>
      <c r="R75" s="36">
        <v>22.36</v>
      </c>
      <c r="S75" s="36">
        <v>0.88</v>
      </c>
      <c r="T75" s="36">
        <v>0.7</v>
      </c>
      <c r="U75" s="42"/>
      <c r="V75" s="36"/>
      <c r="W75" s="36"/>
      <c r="X75" s="57"/>
      <c r="Y75" s="57"/>
      <c r="Z75" s="63"/>
      <c r="AA75" s="57"/>
      <c r="AB75" s="63">
        <v>6.9</v>
      </c>
      <c r="AC75" s="63">
        <v>6.3</v>
      </c>
      <c r="AD75" s="10">
        <v>0.1</v>
      </c>
      <c r="AE75" s="36">
        <v>0.92</v>
      </c>
      <c r="AF75" s="36"/>
      <c r="AG75" s="36"/>
      <c r="AH75" s="36"/>
      <c r="AI75" s="57"/>
      <c r="AJ75" s="57"/>
      <c r="AK75" s="36"/>
      <c r="AL75" s="36"/>
      <c r="AM75" s="63">
        <v>6.8</v>
      </c>
      <c r="AN75" s="63">
        <v>6.8</v>
      </c>
      <c r="AO75" s="36">
        <v>0.08</v>
      </c>
      <c r="AP75" s="68">
        <v>1.46</v>
      </c>
      <c r="AQ75" s="73">
        <f t="shared" si="17"/>
        <v>2228</v>
      </c>
      <c r="AR75" s="75">
        <f t="shared" si="18"/>
        <v>0.70736086175942547</v>
      </c>
      <c r="AS75" s="75">
        <f t="shared" si="19"/>
        <v>3.7253141831238776E-2</v>
      </c>
      <c r="AT75" s="75">
        <f t="shared" si="20"/>
        <v>0.25538599640933574</v>
      </c>
      <c r="AU75" s="26" t="str">
        <f t="shared" si="21"/>
        <v/>
      </c>
      <c r="AV75" s="26" t="str">
        <f t="shared" si="22"/>
        <v/>
      </c>
      <c r="AW75" s="24">
        <f t="shared" si="23"/>
        <v>0.66046511627906979</v>
      </c>
      <c r="AX75" s="24">
        <f t="shared" si="24"/>
        <v>0.78604651162790695</v>
      </c>
      <c r="AY75" s="77" t="str">
        <f t="shared" si="25"/>
        <v>5,0 ≤ Alc. Bruta &lt; 7,5 mg/L</v>
      </c>
      <c r="AZ75" s="77" t="str">
        <f t="shared" si="26"/>
        <v>15 ≤ Cor &lt; 30 uC</v>
      </c>
      <c r="BA75" s="78" t="str">
        <f t="shared" si="27"/>
        <v>2,5 ≤ Turb &lt; 5,0 uT</v>
      </c>
      <c r="BB75" s="79" t="str">
        <f t="shared" si="28"/>
        <v>TOR &gt; BNN &gt; SM</v>
      </c>
      <c r="BC75" s="78" t="str">
        <f t="shared" si="29"/>
        <v>Tipo 1 (≤0,25) uT</v>
      </c>
      <c r="BD75" s="78" t="str">
        <f t="shared" si="30"/>
        <v>Tipo 1 (≤0,25) uT</v>
      </c>
      <c r="BE75" s="78" t="str">
        <f t="shared" si="31"/>
        <v>Tipo 4 (&gt;0,75) uT</v>
      </c>
      <c r="BF75" s="78" t="str">
        <f t="shared" si="32"/>
        <v>Tipo 4 (&gt;0,75) uT</v>
      </c>
      <c r="BG75" s="78" t="str">
        <f t="shared" si="33"/>
        <v>Tipo 2 (0,25-0,50) uT</v>
      </c>
    </row>
    <row r="76" spans="1:59" x14ac:dyDescent="0.2">
      <c r="A76" s="21">
        <v>46135</v>
      </c>
      <c r="B76" s="48">
        <v>0.14583333333333334</v>
      </c>
      <c r="C76" s="57">
        <v>1120</v>
      </c>
      <c r="D76" s="57">
        <v>83</v>
      </c>
      <c r="E76" s="57">
        <v>579</v>
      </c>
      <c r="F76" s="57">
        <v>1970</v>
      </c>
      <c r="G76" s="10" t="s">
        <v>34</v>
      </c>
      <c r="H76" s="63">
        <v>3.4</v>
      </c>
      <c r="I76" s="57">
        <v>90</v>
      </c>
      <c r="J76" s="57">
        <v>90</v>
      </c>
      <c r="K76" s="57">
        <v>90</v>
      </c>
      <c r="L76" s="63">
        <v>23.7</v>
      </c>
      <c r="M76" s="63">
        <v>6.4</v>
      </c>
      <c r="N76" s="36">
        <v>3.53</v>
      </c>
      <c r="O76" s="57">
        <v>15</v>
      </c>
      <c r="P76" s="63">
        <v>6.3</v>
      </c>
      <c r="Q76" s="36">
        <v>0.35</v>
      </c>
      <c r="R76" s="36">
        <v>22.36</v>
      </c>
      <c r="S76" s="36">
        <v>0.88</v>
      </c>
      <c r="T76" s="36">
        <v>0.7</v>
      </c>
      <c r="U76" s="42"/>
      <c r="V76" s="36"/>
      <c r="W76" s="36"/>
      <c r="X76" s="57"/>
      <c r="Y76" s="57"/>
      <c r="Z76" s="63"/>
      <c r="AA76" s="57"/>
      <c r="AB76" s="63">
        <v>6.8</v>
      </c>
      <c r="AC76" s="63">
        <v>6.5</v>
      </c>
      <c r="AD76" s="10">
        <v>0.13</v>
      </c>
      <c r="AE76" s="36">
        <v>0.76</v>
      </c>
      <c r="AF76" s="36"/>
      <c r="AG76" s="36"/>
      <c r="AH76" s="36"/>
      <c r="AI76" s="57"/>
      <c r="AJ76" s="57"/>
      <c r="AK76" s="36"/>
      <c r="AL76" s="36"/>
      <c r="AM76" s="63">
        <v>6.8</v>
      </c>
      <c r="AN76" s="63">
        <v>6.5</v>
      </c>
      <c r="AO76" s="36">
        <v>0.14000000000000001</v>
      </c>
      <c r="AP76" s="68">
        <v>1.1299999999999999</v>
      </c>
      <c r="AQ76" s="73">
        <f t="shared" si="17"/>
        <v>1782</v>
      </c>
      <c r="AR76" s="75">
        <f t="shared" si="18"/>
        <v>0.62850729517396187</v>
      </c>
      <c r="AS76" s="75">
        <f t="shared" si="19"/>
        <v>4.6576879910213247E-2</v>
      </c>
      <c r="AT76" s="75">
        <f t="shared" si="20"/>
        <v>0.32491582491582494</v>
      </c>
      <c r="AU76" s="26" t="str">
        <f t="shared" si="21"/>
        <v/>
      </c>
      <c r="AV76" s="26" t="str">
        <f t="shared" si="22"/>
        <v/>
      </c>
      <c r="AW76" s="24">
        <f t="shared" si="23"/>
        <v>0.67988668555240794</v>
      </c>
      <c r="AX76" s="24">
        <f t="shared" si="24"/>
        <v>0.7847025495750708</v>
      </c>
      <c r="AY76" s="77" t="str">
        <f t="shared" si="25"/>
        <v>5,0 ≤ Alc. Bruta &lt; 7,5 mg/L</v>
      </c>
      <c r="AZ76" s="77" t="str">
        <f t="shared" si="26"/>
        <v>15 ≤ Cor &lt; 30 uC</v>
      </c>
      <c r="BA76" s="78" t="str">
        <f t="shared" si="27"/>
        <v>2,5 ≤ Turb &lt; 5,0 uT</v>
      </c>
      <c r="BB76" s="79" t="str">
        <f t="shared" si="28"/>
        <v>TOR &gt; BNN &gt; SM</v>
      </c>
      <c r="BC76" s="78" t="str">
        <f t="shared" si="29"/>
        <v>Tipo 1 (≤0,25) uT</v>
      </c>
      <c r="BD76" s="78" t="str">
        <f t="shared" si="30"/>
        <v>Tipo 1 (≤0,25) uT</v>
      </c>
      <c r="BE76" s="78" t="str">
        <f t="shared" si="31"/>
        <v>Tipo 4 (&gt;0,75) uT</v>
      </c>
      <c r="BF76" s="78" t="str">
        <f t="shared" si="32"/>
        <v>Tipo 4 (&gt;0,75) uT</v>
      </c>
      <c r="BG76" s="78" t="str">
        <f t="shared" si="33"/>
        <v>Tipo 2 (0,25-0,50) uT</v>
      </c>
    </row>
    <row r="77" spans="1:59" ht="15.75" thickBot="1" x14ac:dyDescent="0.25">
      <c r="A77" s="21">
        <v>46135</v>
      </c>
      <c r="B77" s="51">
        <v>0.22916666666666666</v>
      </c>
      <c r="C77" s="58">
        <v>554</v>
      </c>
      <c r="D77" s="58">
        <v>84</v>
      </c>
      <c r="E77" s="58">
        <v>579</v>
      </c>
      <c r="F77" s="58">
        <v>1324</v>
      </c>
      <c r="G77" s="11" t="s">
        <v>34</v>
      </c>
      <c r="H77" s="63">
        <v>3.4</v>
      </c>
      <c r="I77" s="58">
        <v>90</v>
      </c>
      <c r="J77" s="58">
        <v>90</v>
      </c>
      <c r="K77" s="58">
        <v>90</v>
      </c>
      <c r="L77" s="64">
        <v>23.4</v>
      </c>
      <c r="M77" s="64">
        <v>6.8</v>
      </c>
      <c r="N77" s="37">
        <v>3.71</v>
      </c>
      <c r="O77" s="58">
        <v>16</v>
      </c>
      <c r="P77" s="64">
        <v>6.8</v>
      </c>
      <c r="Q77" s="37">
        <v>0.4</v>
      </c>
      <c r="R77" s="36">
        <v>22.36</v>
      </c>
      <c r="S77" s="36">
        <v>0.88</v>
      </c>
      <c r="T77" s="36">
        <v>0.7</v>
      </c>
      <c r="U77" s="42"/>
      <c r="V77" s="41"/>
      <c r="W77" s="37"/>
      <c r="X77" s="58"/>
      <c r="Y77" s="58"/>
      <c r="Z77" s="64"/>
      <c r="AA77" s="58"/>
      <c r="AB77" s="64">
        <v>6.8</v>
      </c>
      <c r="AC77" s="64">
        <v>7.2</v>
      </c>
      <c r="AD77" s="11">
        <v>0.11</v>
      </c>
      <c r="AE77" s="37">
        <v>1.21</v>
      </c>
      <c r="AF77" s="37"/>
      <c r="AG77" s="37"/>
      <c r="AH77" s="37"/>
      <c r="AI77" s="58"/>
      <c r="AJ77" s="58"/>
      <c r="AK77" s="37"/>
      <c r="AL77" s="37"/>
      <c r="AM77" s="64">
        <v>6.8</v>
      </c>
      <c r="AN77" s="64">
        <v>6.8</v>
      </c>
      <c r="AO77" s="37">
        <v>0.08</v>
      </c>
      <c r="AP77" s="69">
        <v>1.5</v>
      </c>
      <c r="AQ77" s="73">
        <f t="shared" si="17"/>
        <v>1217</v>
      </c>
      <c r="AR77" s="75">
        <f t="shared" si="18"/>
        <v>0.45521774856203778</v>
      </c>
      <c r="AS77" s="75">
        <f t="shared" si="19"/>
        <v>6.9022185702547242E-2</v>
      </c>
      <c r="AT77" s="75">
        <f t="shared" si="20"/>
        <v>0.47576006573541496</v>
      </c>
      <c r="AU77" s="26" t="str">
        <f t="shared" si="21"/>
        <v/>
      </c>
      <c r="AV77" s="26" t="str">
        <f t="shared" si="22"/>
        <v/>
      </c>
      <c r="AW77" s="24">
        <f t="shared" si="23"/>
        <v>0.5956873315363882</v>
      </c>
      <c r="AX77" s="24">
        <f t="shared" si="24"/>
        <v>0.67385444743935308</v>
      </c>
      <c r="AY77" s="77" t="str">
        <f t="shared" si="25"/>
        <v>5,0 ≤ Alc. Bruta &lt; 7,5 mg/L</v>
      </c>
      <c r="AZ77" s="77" t="str">
        <f t="shared" si="26"/>
        <v>15 ≤ Cor &lt; 30 uC</v>
      </c>
      <c r="BA77" s="78" t="str">
        <f t="shared" si="27"/>
        <v>2,5 ≤ Turb &lt; 5,0 uT</v>
      </c>
      <c r="BB77" s="79" t="str">
        <f t="shared" si="28"/>
        <v>Comb. diferentes</v>
      </c>
      <c r="BC77" s="78" t="str">
        <f t="shared" si="29"/>
        <v>Tipo 1 (≤0,25) uT</v>
      </c>
      <c r="BD77" s="78" t="str">
        <f t="shared" si="30"/>
        <v>Tipo 1 (≤0,25) uT</v>
      </c>
      <c r="BE77" s="78" t="str">
        <f t="shared" si="31"/>
        <v>Tipo 4 (&gt;0,75) uT</v>
      </c>
      <c r="BF77" s="78" t="str">
        <f t="shared" si="32"/>
        <v>Tipo 4 (&gt;0,75) uT</v>
      </c>
      <c r="BG77" s="78" t="str">
        <f t="shared" si="33"/>
        <v>Tipo 2 (0,25-0,50) uT</v>
      </c>
    </row>
    <row r="78" spans="1:59" x14ac:dyDescent="0.2">
      <c r="A78" s="21">
        <v>46135</v>
      </c>
      <c r="B78" s="52">
        <v>0.3125</v>
      </c>
      <c r="C78" s="59">
        <v>576</v>
      </c>
      <c r="D78" s="57">
        <v>88</v>
      </c>
      <c r="E78" s="59">
        <v>580</v>
      </c>
      <c r="F78" s="59">
        <v>1275</v>
      </c>
      <c r="G78" s="9" t="s">
        <v>34</v>
      </c>
      <c r="H78" s="65">
        <v>3.6</v>
      </c>
      <c r="I78" s="59">
        <v>90</v>
      </c>
      <c r="J78" s="59">
        <v>90</v>
      </c>
      <c r="K78" s="59">
        <v>90</v>
      </c>
      <c r="L78" s="65">
        <v>22.8</v>
      </c>
      <c r="M78" s="65">
        <v>6.7</v>
      </c>
      <c r="N78" s="38">
        <v>4.8600000000000003</v>
      </c>
      <c r="O78" s="59">
        <v>18</v>
      </c>
      <c r="P78" s="65">
        <v>8.6999999999999993</v>
      </c>
      <c r="Q78" s="38">
        <v>0.39</v>
      </c>
      <c r="R78" s="36">
        <v>22.36</v>
      </c>
      <c r="S78" s="36">
        <v>0.88</v>
      </c>
      <c r="T78" s="36">
        <v>0.7</v>
      </c>
      <c r="U78" s="42"/>
      <c r="V78" s="39"/>
      <c r="W78" s="38"/>
      <c r="X78" s="59"/>
      <c r="Y78" s="59"/>
      <c r="Z78" s="65"/>
      <c r="AA78" s="59"/>
      <c r="AB78" s="65">
        <v>6.7</v>
      </c>
      <c r="AC78" s="65">
        <v>9.1</v>
      </c>
      <c r="AD78" s="9">
        <v>0.28999999999999998</v>
      </c>
      <c r="AE78" s="38">
        <v>1.32</v>
      </c>
      <c r="AF78" s="38"/>
      <c r="AG78" s="38"/>
      <c r="AH78" s="38"/>
      <c r="AI78" s="59"/>
      <c r="AJ78" s="59"/>
      <c r="AK78" s="38"/>
      <c r="AL78" s="38"/>
      <c r="AM78" s="65">
        <v>6.6</v>
      </c>
      <c r="AN78" s="65">
        <v>8.9</v>
      </c>
      <c r="AO78" s="38">
        <v>0.18</v>
      </c>
      <c r="AP78" s="70">
        <v>1.27</v>
      </c>
      <c r="AQ78" s="73">
        <f t="shared" si="17"/>
        <v>1244</v>
      </c>
      <c r="AR78" s="75">
        <f t="shared" si="18"/>
        <v>0.46302250803858519</v>
      </c>
      <c r="AS78" s="75">
        <f t="shared" si="19"/>
        <v>7.0739549839228297E-2</v>
      </c>
      <c r="AT78" s="75">
        <f t="shared" si="20"/>
        <v>0.4662379421221865</v>
      </c>
      <c r="AU78" s="26" t="str">
        <f t="shared" si="21"/>
        <v/>
      </c>
      <c r="AV78" s="26" t="str">
        <f t="shared" si="22"/>
        <v/>
      </c>
      <c r="AW78" s="24">
        <f t="shared" si="23"/>
        <v>0.73868312757201648</v>
      </c>
      <c r="AX78" s="24">
        <f t="shared" si="24"/>
        <v>0.72839506172839508</v>
      </c>
      <c r="AY78" s="77" t="str">
        <f t="shared" si="25"/>
        <v>7,5 ≤ Alc. Bruta &lt; 10,0 mg/L</v>
      </c>
      <c r="AZ78" s="77" t="str">
        <f t="shared" si="26"/>
        <v>15 ≤ Cor &lt; 30 uC</v>
      </c>
      <c r="BA78" s="78" t="str">
        <f t="shared" si="27"/>
        <v>2,5 ≤ Turb &lt; 5,0 uT</v>
      </c>
      <c r="BB78" s="79" t="str">
        <f t="shared" si="28"/>
        <v>Comb. diferentes</v>
      </c>
      <c r="BC78" s="78" t="str">
        <f t="shared" si="29"/>
        <v>Tipo 2 (0,25-0,50) uT</v>
      </c>
      <c r="BD78" s="78" t="str">
        <f t="shared" si="30"/>
        <v>Tipo 1 (≤0,25) uT</v>
      </c>
      <c r="BE78" s="78" t="str">
        <f t="shared" si="31"/>
        <v>Tipo 4 (&gt;0,75) uT</v>
      </c>
      <c r="BF78" s="78" t="str">
        <f t="shared" si="32"/>
        <v>Tipo 4 (&gt;0,75) uT</v>
      </c>
      <c r="BG78" s="78" t="str">
        <f t="shared" si="33"/>
        <v>Tipo 2 (0,25-0,50) uT</v>
      </c>
    </row>
    <row r="79" spans="1:59" x14ac:dyDescent="0.2">
      <c r="A79" s="21">
        <v>46135</v>
      </c>
      <c r="B79" s="48">
        <v>0.39583333333333331</v>
      </c>
      <c r="C79" s="57">
        <v>1221</v>
      </c>
      <c r="D79" s="57">
        <v>89</v>
      </c>
      <c r="E79" s="57">
        <v>578</v>
      </c>
      <c r="F79" s="57">
        <v>1970</v>
      </c>
      <c r="G79" s="10" t="s">
        <v>34</v>
      </c>
      <c r="H79" s="63">
        <v>3.1</v>
      </c>
      <c r="I79" s="57">
        <v>90</v>
      </c>
      <c r="J79" s="57">
        <v>90</v>
      </c>
      <c r="K79" s="57">
        <v>90</v>
      </c>
      <c r="L79" s="63">
        <v>23.5</v>
      </c>
      <c r="M79" s="63">
        <v>6.9</v>
      </c>
      <c r="N79" s="36">
        <v>6.73</v>
      </c>
      <c r="O79" s="57">
        <v>16</v>
      </c>
      <c r="P79" s="63">
        <v>10.6</v>
      </c>
      <c r="Q79" s="36">
        <v>0.47</v>
      </c>
      <c r="R79" s="36">
        <v>22.36</v>
      </c>
      <c r="S79" s="36">
        <v>0.88</v>
      </c>
      <c r="T79" s="36">
        <v>0.7</v>
      </c>
      <c r="U79" s="42"/>
      <c r="V79" s="36"/>
      <c r="W79" s="36"/>
      <c r="X79" s="57"/>
      <c r="Y79" s="57"/>
      <c r="Z79" s="63"/>
      <c r="AA79" s="57"/>
      <c r="AB79" s="63">
        <v>6.9</v>
      </c>
      <c r="AC79" s="63">
        <v>10.5</v>
      </c>
      <c r="AD79" s="10">
        <v>0.17</v>
      </c>
      <c r="AE79" s="36">
        <v>2.75</v>
      </c>
      <c r="AF79" s="36"/>
      <c r="AG79" s="36"/>
      <c r="AH79" s="36"/>
      <c r="AI79" s="57"/>
      <c r="AJ79" s="57"/>
      <c r="AK79" s="36"/>
      <c r="AL79" s="36"/>
      <c r="AM79" s="63">
        <v>6.8</v>
      </c>
      <c r="AN79" s="63">
        <v>9.8000000000000007</v>
      </c>
      <c r="AO79" s="36">
        <v>0.12</v>
      </c>
      <c r="AP79" s="68">
        <v>1.01</v>
      </c>
      <c r="AQ79" s="73">
        <f t="shared" si="17"/>
        <v>1888</v>
      </c>
      <c r="AR79" s="75">
        <f t="shared" si="18"/>
        <v>0.64671610169491522</v>
      </c>
      <c r="AS79" s="75">
        <f t="shared" si="19"/>
        <v>4.7139830508474576E-2</v>
      </c>
      <c r="AT79" s="75">
        <f t="shared" si="20"/>
        <v>0.30614406779661019</v>
      </c>
      <c r="AU79" s="26" t="str">
        <f t="shared" si="21"/>
        <v/>
      </c>
      <c r="AV79" s="26" t="str">
        <f t="shared" si="22"/>
        <v/>
      </c>
      <c r="AW79" s="24">
        <f t="shared" si="23"/>
        <v>0.84992570579494797</v>
      </c>
      <c r="AX79" s="24">
        <f t="shared" si="24"/>
        <v>0.59138187221396732</v>
      </c>
      <c r="AY79" s="77" t="str">
        <f t="shared" si="25"/>
        <v>10,0 ≤ Alca. Bruta &lt; 15,0 mg/L</v>
      </c>
      <c r="AZ79" s="77" t="str">
        <f t="shared" si="26"/>
        <v>15 ≤ Cor &lt; 30 uC</v>
      </c>
      <c r="BA79" s="78" t="str">
        <f t="shared" si="27"/>
        <v>5,0 ≤ Turb &lt; 7,5 uT</v>
      </c>
      <c r="BB79" s="79" t="str">
        <f t="shared" si="28"/>
        <v>TOR &gt; BNN &gt; SM</v>
      </c>
      <c r="BC79" s="78" t="str">
        <f t="shared" si="29"/>
        <v>Tipo 1 (≤0,25) uT</v>
      </c>
      <c r="BD79" s="78" t="str">
        <f t="shared" si="30"/>
        <v>Tipo 1 (≤0,25) uT</v>
      </c>
      <c r="BE79" s="78" t="str">
        <f t="shared" si="31"/>
        <v>Tipo 4 (&gt;0,75) uT</v>
      </c>
      <c r="BF79" s="78" t="str">
        <f t="shared" si="32"/>
        <v>Tipo 4 (&gt;0,75) uT</v>
      </c>
      <c r="BG79" s="78" t="str">
        <f t="shared" si="33"/>
        <v>Tipo 2 (0,25-0,50) uT</v>
      </c>
    </row>
    <row r="80" spans="1:59" x14ac:dyDescent="0.2">
      <c r="A80" s="21">
        <v>46135</v>
      </c>
      <c r="B80" s="48">
        <v>0.47916666666666669</v>
      </c>
      <c r="C80" s="57">
        <v>1141</v>
      </c>
      <c r="D80" s="57">
        <v>89</v>
      </c>
      <c r="E80" s="57">
        <v>581</v>
      </c>
      <c r="F80" s="57">
        <v>1968</v>
      </c>
      <c r="G80" s="10" t="s">
        <v>34</v>
      </c>
      <c r="H80" s="63">
        <v>3.1</v>
      </c>
      <c r="I80" s="57">
        <v>90</v>
      </c>
      <c r="J80" s="57">
        <v>90</v>
      </c>
      <c r="K80" s="57">
        <v>90</v>
      </c>
      <c r="L80" s="63">
        <v>24.1</v>
      </c>
      <c r="M80" s="63">
        <v>6.9</v>
      </c>
      <c r="N80" s="36">
        <v>3.87</v>
      </c>
      <c r="O80" s="57">
        <v>17</v>
      </c>
      <c r="P80" s="63">
        <v>10.5</v>
      </c>
      <c r="Q80" s="36">
        <v>0.31</v>
      </c>
      <c r="R80" s="36">
        <v>22.36</v>
      </c>
      <c r="S80" s="36">
        <v>0.88</v>
      </c>
      <c r="T80" s="36">
        <v>0.7</v>
      </c>
      <c r="U80" s="42"/>
      <c r="V80" s="36"/>
      <c r="W80" s="36"/>
      <c r="X80" s="57"/>
      <c r="Y80" s="57"/>
      <c r="Z80" s="63"/>
      <c r="AA80" s="57"/>
      <c r="AB80" s="63">
        <v>6.9</v>
      </c>
      <c r="AC80" s="63">
        <v>10</v>
      </c>
      <c r="AD80" s="10">
        <v>0.22</v>
      </c>
      <c r="AE80" s="36">
        <v>0.97</v>
      </c>
      <c r="AF80" s="36"/>
      <c r="AG80" s="36"/>
      <c r="AH80" s="36"/>
      <c r="AI80" s="57"/>
      <c r="AJ80" s="57"/>
      <c r="AK80" s="36"/>
      <c r="AL80" s="36"/>
      <c r="AM80" s="63">
        <v>6.7</v>
      </c>
      <c r="AN80" s="63">
        <v>9.4</v>
      </c>
      <c r="AO80" s="36">
        <v>0.31</v>
      </c>
      <c r="AP80" s="68">
        <v>1.35</v>
      </c>
      <c r="AQ80" s="73">
        <f t="shared" si="17"/>
        <v>1811</v>
      </c>
      <c r="AR80" s="75">
        <f t="shared" si="18"/>
        <v>0.63003865267807846</v>
      </c>
      <c r="AS80" s="75">
        <f t="shared" si="19"/>
        <v>4.9144119271120924E-2</v>
      </c>
      <c r="AT80" s="75">
        <f t="shared" si="20"/>
        <v>0.32081722805080065</v>
      </c>
      <c r="AU80" s="26" t="str">
        <f t="shared" si="21"/>
        <v/>
      </c>
      <c r="AV80" s="26" t="str">
        <f t="shared" si="22"/>
        <v/>
      </c>
      <c r="AW80" s="24">
        <f t="shared" si="23"/>
        <v>0.65116279069767447</v>
      </c>
      <c r="AX80" s="24">
        <f t="shared" si="24"/>
        <v>0.74935400516795869</v>
      </c>
      <c r="AY80" s="77" t="str">
        <f t="shared" si="25"/>
        <v>10,0 ≤ Alca. Bruta &lt; 15,0 mg/L</v>
      </c>
      <c r="AZ80" s="77" t="str">
        <f t="shared" si="26"/>
        <v>15 ≤ Cor &lt; 30 uC</v>
      </c>
      <c r="BA80" s="78" t="str">
        <f t="shared" si="27"/>
        <v>2,5 ≤ Turb &lt; 5,0 uT</v>
      </c>
      <c r="BB80" s="79" t="str">
        <f t="shared" si="28"/>
        <v>TOR &gt; BNN &gt; SM</v>
      </c>
      <c r="BC80" s="78" t="str">
        <f t="shared" si="29"/>
        <v>Tipo 1 (≤0,25) uT</v>
      </c>
      <c r="BD80" s="78" t="str">
        <f t="shared" si="30"/>
        <v>Tipo 2 (0,25-0,50) uT</v>
      </c>
      <c r="BE80" s="78" t="str">
        <f t="shared" si="31"/>
        <v>Tipo 4 (&gt;0,75) uT</v>
      </c>
      <c r="BF80" s="78" t="str">
        <f t="shared" si="32"/>
        <v>Tipo 4 (&gt;0,75) uT</v>
      </c>
      <c r="BG80" s="78" t="str">
        <f t="shared" si="33"/>
        <v>Tipo 2 (0,25-0,50) uT</v>
      </c>
    </row>
    <row r="81" spans="1:59" x14ac:dyDescent="0.2">
      <c r="A81" s="21">
        <v>46135</v>
      </c>
      <c r="B81" s="48">
        <v>0.64583333333333337</v>
      </c>
      <c r="C81" s="57">
        <v>1503</v>
      </c>
      <c r="D81" s="57">
        <v>82</v>
      </c>
      <c r="E81" s="57">
        <v>540</v>
      </c>
      <c r="F81" s="57">
        <v>2162</v>
      </c>
      <c r="G81" s="10" t="s">
        <v>34</v>
      </c>
      <c r="H81" s="63">
        <v>3.1</v>
      </c>
      <c r="I81" s="57">
        <v>90</v>
      </c>
      <c r="J81" s="57">
        <v>90</v>
      </c>
      <c r="K81" s="57">
        <v>90</v>
      </c>
      <c r="L81" s="63">
        <v>24.1</v>
      </c>
      <c r="M81" s="63">
        <v>6.7</v>
      </c>
      <c r="N81" s="36">
        <v>3.87</v>
      </c>
      <c r="O81" s="57">
        <v>17</v>
      </c>
      <c r="P81" s="63">
        <v>10.5</v>
      </c>
      <c r="Q81" s="36">
        <v>0.28999999999999998</v>
      </c>
      <c r="R81" s="36">
        <v>22.36</v>
      </c>
      <c r="S81" s="36">
        <v>0.88</v>
      </c>
      <c r="T81" s="36">
        <v>0.7</v>
      </c>
      <c r="U81" s="42"/>
      <c r="V81" s="36"/>
      <c r="W81" s="36"/>
      <c r="X81" s="57"/>
      <c r="Y81" s="57"/>
      <c r="Z81" s="63"/>
      <c r="AA81" s="57"/>
      <c r="AB81" s="63">
        <v>6.6</v>
      </c>
      <c r="AC81" s="63">
        <v>6.8</v>
      </c>
      <c r="AD81" s="10">
        <v>0.19</v>
      </c>
      <c r="AE81" s="36">
        <v>0.51</v>
      </c>
      <c r="AF81" s="36"/>
      <c r="AG81" s="36"/>
      <c r="AH81" s="36"/>
      <c r="AI81" s="57"/>
      <c r="AJ81" s="57"/>
      <c r="AK81" s="36"/>
      <c r="AL81" s="36"/>
      <c r="AM81" s="63">
        <v>6.4</v>
      </c>
      <c r="AN81" s="63">
        <v>7.6</v>
      </c>
      <c r="AO81" s="36">
        <v>0.26</v>
      </c>
      <c r="AP81" s="68">
        <v>1.7</v>
      </c>
      <c r="AQ81" s="73">
        <f t="shared" si="17"/>
        <v>2125</v>
      </c>
      <c r="AR81" s="75">
        <f t="shared" si="18"/>
        <v>0.70729411764705885</v>
      </c>
      <c r="AS81" s="75">
        <f t="shared" si="19"/>
        <v>3.8588235294117645E-2</v>
      </c>
      <c r="AT81" s="75">
        <f t="shared" si="20"/>
        <v>0.2541176470588235</v>
      </c>
      <c r="AU81" s="26" t="str">
        <f t="shared" si="21"/>
        <v/>
      </c>
      <c r="AV81" s="26" t="str">
        <f t="shared" si="22"/>
        <v/>
      </c>
      <c r="AW81" s="24">
        <f t="shared" si="23"/>
        <v>0.56072351421188626</v>
      </c>
      <c r="AX81" s="24">
        <f t="shared" si="24"/>
        <v>0.86821705426356588</v>
      </c>
      <c r="AY81" s="77" t="str">
        <f t="shared" si="25"/>
        <v>10,0 ≤ Alca. Bruta &lt; 15,0 mg/L</v>
      </c>
      <c r="AZ81" s="77" t="str">
        <f t="shared" si="26"/>
        <v>15 ≤ Cor &lt; 30 uC</v>
      </c>
      <c r="BA81" s="78" t="str">
        <f t="shared" si="27"/>
        <v>2,5 ≤ Turb &lt; 5,0 uT</v>
      </c>
      <c r="BB81" s="79" t="str">
        <f t="shared" si="28"/>
        <v>TOR &gt; BNN &gt; SM</v>
      </c>
      <c r="BC81" s="78" t="str">
        <f t="shared" si="29"/>
        <v>Tipo 1 (≤0,25) uT</v>
      </c>
      <c r="BD81" s="78" t="str">
        <f t="shared" si="30"/>
        <v>Tipo 2 (0,25-0,50) uT</v>
      </c>
      <c r="BE81" s="78" t="str">
        <f t="shared" si="31"/>
        <v>Tipo 3 (0,50-0,75) uT</v>
      </c>
      <c r="BF81" s="78" t="str">
        <f t="shared" si="32"/>
        <v>Tipo 4 (&gt;0,75) uT</v>
      </c>
      <c r="BG81" s="78" t="str">
        <f t="shared" si="33"/>
        <v>Tipo 2 (0,25-0,50) uT</v>
      </c>
    </row>
    <row r="82" spans="1:59" x14ac:dyDescent="0.2">
      <c r="A82" s="21">
        <v>46135</v>
      </c>
      <c r="B82" s="48">
        <v>0.72916666666666663</v>
      </c>
      <c r="C82" s="57">
        <v>1571</v>
      </c>
      <c r="D82" s="57">
        <v>82</v>
      </c>
      <c r="E82" s="57">
        <v>540</v>
      </c>
      <c r="F82" s="57">
        <v>2202</v>
      </c>
      <c r="G82" s="10" t="s">
        <v>34</v>
      </c>
      <c r="H82" s="63">
        <v>3.1</v>
      </c>
      <c r="I82" s="57">
        <v>90</v>
      </c>
      <c r="J82" s="57">
        <v>90</v>
      </c>
      <c r="K82" s="57">
        <v>90</v>
      </c>
      <c r="L82" s="63">
        <v>24.7</v>
      </c>
      <c r="M82" s="63">
        <v>6.9</v>
      </c>
      <c r="N82" s="36">
        <v>2.99</v>
      </c>
      <c r="O82" s="57">
        <v>14</v>
      </c>
      <c r="P82" s="63">
        <v>6.5</v>
      </c>
      <c r="Q82" s="36">
        <v>0.32</v>
      </c>
      <c r="R82" s="36">
        <v>22.36</v>
      </c>
      <c r="S82" s="36">
        <v>0.88</v>
      </c>
      <c r="T82" s="36">
        <v>0.7</v>
      </c>
      <c r="U82" s="42"/>
      <c r="V82" s="36"/>
      <c r="W82" s="36"/>
      <c r="X82" s="57"/>
      <c r="Y82" s="57"/>
      <c r="Z82" s="63"/>
      <c r="AA82" s="57"/>
      <c r="AB82" s="63">
        <v>6.9</v>
      </c>
      <c r="AC82" s="63">
        <v>7.6</v>
      </c>
      <c r="AD82" s="10">
        <v>0.16</v>
      </c>
      <c r="AE82" s="36">
        <v>0.65</v>
      </c>
      <c r="AF82" s="36"/>
      <c r="AG82" s="36"/>
      <c r="AH82" s="36"/>
      <c r="AI82" s="57"/>
      <c r="AJ82" s="57"/>
      <c r="AK82" s="36"/>
      <c r="AL82" s="36"/>
      <c r="AM82" s="63">
        <v>6.8</v>
      </c>
      <c r="AN82" s="63">
        <v>7.1</v>
      </c>
      <c r="AO82" s="36">
        <v>0.1</v>
      </c>
      <c r="AP82" s="68">
        <v>0.99</v>
      </c>
      <c r="AQ82" s="73">
        <f t="shared" si="17"/>
        <v>2193</v>
      </c>
      <c r="AR82" s="75">
        <f t="shared" si="18"/>
        <v>0.71637026903784773</v>
      </c>
      <c r="AS82" s="75">
        <f t="shared" si="19"/>
        <v>3.7391700866393068E-2</v>
      </c>
      <c r="AT82" s="75">
        <f t="shared" si="20"/>
        <v>0.24623803009575923</v>
      </c>
      <c r="AU82" s="26" t="str">
        <f t="shared" si="21"/>
        <v/>
      </c>
      <c r="AV82" s="26" t="str">
        <f t="shared" si="22"/>
        <v/>
      </c>
      <c r="AW82" s="24">
        <f t="shared" si="23"/>
        <v>0.66889632107023411</v>
      </c>
      <c r="AX82" s="24">
        <f t="shared" si="24"/>
        <v>0.78260869565217395</v>
      </c>
      <c r="AY82" s="77" t="str">
        <f t="shared" si="25"/>
        <v>5,0 ≤ Alc. Bruta &lt; 7,5 mg/L</v>
      </c>
      <c r="AZ82" s="77" t="str">
        <f t="shared" si="26"/>
        <v>10 ≤ Cor &lt;15 uC</v>
      </c>
      <c r="BA82" s="78" t="str">
        <f t="shared" si="27"/>
        <v>2,5 ≤ Turb &lt; 5,0 uT</v>
      </c>
      <c r="BB82" s="79" t="str">
        <f t="shared" si="28"/>
        <v>TOR &gt; BNN &gt; SM</v>
      </c>
      <c r="BC82" s="78" t="str">
        <f t="shared" si="29"/>
        <v>Tipo 1 (≤0,25) uT</v>
      </c>
      <c r="BD82" s="78" t="str">
        <f t="shared" si="30"/>
        <v>Tipo 1 (≤0,25) uT</v>
      </c>
      <c r="BE82" s="78" t="str">
        <f t="shared" si="31"/>
        <v>Tipo 3 (0,50-0,75) uT</v>
      </c>
      <c r="BF82" s="78" t="str">
        <f t="shared" si="32"/>
        <v>Tipo 4 (&gt;0,75) uT</v>
      </c>
      <c r="BG82" s="78" t="str">
        <f t="shared" si="33"/>
        <v>Tipo 2 (0,25-0,50) uT</v>
      </c>
    </row>
    <row r="83" spans="1:59" x14ac:dyDescent="0.2">
      <c r="A83" s="21">
        <v>46135</v>
      </c>
      <c r="B83" s="48">
        <v>0.8125</v>
      </c>
      <c r="C83" s="57">
        <v>1533</v>
      </c>
      <c r="D83" s="57">
        <v>86</v>
      </c>
      <c r="E83" s="57">
        <v>540</v>
      </c>
      <c r="F83" s="57">
        <v>2222</v>
      </c>
      <c r="G83" s="10" t="s">
        <v>34</v>
      </c>
      <c r="H83" s="63">
        <v>3.1</v>
      </c>
      <c r="I83" s="57">
        <v>90</v>
      </c>
      <c r="J83" s="57">
        <v>90</v>
      </c>
      <c r="K83" s="57">
        <v>90</v>
      </c>
      <c r="L83" s="63">
        <v>25</v>
      </c>
      <c r="M83" s="63">
        <v>6.8</v>
      </c>
      <c r="N83" s="36">
        <v>2.87</v>
      </c>
      <c r="O83" s="57">
        <v>13</v>
      </c>
      <c r="P83" s="63">
        <v>6.3</v>
      </c>
      <c r="Q83" s="36">
        <v>0.23</v>
      </c>
      <c r="R83" s="36">
        <v>22.36</v>
      </c>
      <c r="S83" s="36">
        <v>0.88</v>
      </c>
      <c r="T83" s="36">
        <v>0.7</v>
      </c>
      <c r="U83" s="42"/>
      <c r="V83" s="36"/>
      <c r="W83" s="36"/>
      <c r="X83" s="57"/>
      <c r="Y83" s="57"/>
      <c r="Z83" s="63"/>
      <c r="AA83" s="57"/>
      <c r="AB83" s="63">
        <v>7</v>
      </c>
      <c r="AC83" s="63">
        <v>6</v>
      </c>
      <c r="AD83" s="10">
        <v>0.12</v>
      </c>
      <c r="AE83" s="36">
        <v>0.5</v>
      </c>
      <c r="AF83" s="36"/>
      <c r="AG83" s="36"/>
      <c r="AH83" s="36"/>
      <c r="AI83" s="57"/>
      <c r="AJ83" s="57"/>
      <c r="AK83" s="36"/>
      <c r="AL83" s="36"/>
      <c r="AM83" s="63">
        <v>7</v>
      </c>
      <c r="AN83" s="63">
        <v>6.3</v>
      </c>
      <c r="AO83" s="36">
        <v>0.14000000000000001</v>
      </c>
      <c r="AP83" s="68">
        <v>1.19</v>
      </c>
      <c r="AQ83" s="73">
        <f t="shared" si="17"/>
        <v>2159</v>
      </c>
      <c r="AR83" s="75">
        <f t="shared" si="18"/>
        <v>0.71005094951366376</v>
      </c>
      <c r="AS83" s="75">
        <f t="shared" si="19"/>
        <v>3.9833256137100509E-2</v>
      </c>
      <c r="AT83" s="75">
        <f t="shared" si="20"/>
        <v>0.25011579434923575</v>
      </c>
      <c r="AU83" s="26" t="str">
        <f t="shared" si="21"/>
        <v/>
      </c>
      <c r="AV83" s="26" t="str">
        <f t="shared" si="22"/>
        <v/>
      </c>
      <c r="AW83" s="24">
        <f t="shared" si="23"/>
        <v>0.58536585365853666</v>
      </c>
      <c r="AX83" s="24">
        <f t="shared" si="24"/>
        <v>0.82578397212543553</v>
      </c>
      <c r="AY83" s="77" t="str">
        <f t="shared" si="25"/>
        <v>5,0 ≤ Alc. Bruta &lt; 7,5 mg/L</v>
      </c>
      <c r="AZ83" s="77" t="str">
        <f t="shared" si="26"/>
        <v>10 ≤ Cor &lt;15 uC</v>
      </c>
      <c r="BA83" s="78" t="str">
        <f t="shared" si="27"/>
        <v>2,5 ≤ Turb &lt; 5,0 uT</v>
      </c>
      <c r="BB83" s="79" t="str">
        <f t="shared" si="28"/>
        <v>TOR &gt; BNN &gt; SM</v>
      </c>
      <c r="BC83" s="78" t="str">
        <f t="shared" si="29"/>
        <v>Tipo 1 (≤0,25) uT</v>
      </c>
      <c r="BD83" s="78" t="str">
        <f t="shared" si="30"/>
        <v>Tipo 1 (≤0,25) uT</v>
      </c>
      <c r="BE83" s="78" t="str">
        <f t="shared" si="31"/>
        <v>Tipo 2 (0,25-0,50) uT</v>
      </c>
      <c r="BF83" s="78" t="str">
        <f t="shared" si="32"/>
        <v>Tipo 4 (&gt;0,75) uT</v>
      </c>
      <c r="BG83" s="78" t="str">
        <f t="shared" si="33"/>
        <v>Tipo 1 (≤0,25) uT</v>
      </c>
    </row>
    <row r="84" spans="1:59" x14ac:dyDescent="0.2">
      <c r="A84" s="21">
        <v>46135</v>
      </c>
      <c r="B84" s="48">
        <v>0.89583333333333337</v>
      </c>
      <c r="C84" s="57">
        <v>1526</v>
      </c>
      <c r="D84" s="57">
        <v>87</v>
      </c>
      <c r="E84" s="57">
        <v>541</v>
      </c>
      <c r="F84" s="57">
        <v>2227</v>
      </c>
      <c r="G84" s="10" t="s">
        <v>34</v>
      </c>
      <c r="H84" s="63">
        <v>3.1</v>
      </c>
      <c r="I84" s="57">
        <v>90</v>
      </c>
      <c r="J84" s="57">
        <v>90</v>
      </c>
      <c r="K84" s="57">
        <v>90</v>
      </c>
      <c r="L84" s="63">
        <v>24.8</v>
      </c>
      <c r="M84" s="63">
        <v>6.8</v>
      </c>
      <c r="N84" s="36">
        <v>2.5499999999999998</v>
      </c>
      <c r="O84" s="57">
        <v>14</v>
      </c>
      <c r="P84" s="63">
        <v>6.1</v>
      </c>
      <c r="Q84" s="36">
        <v>0.24</v>
      </c>
      <c r="R84" s="36">
        <v>22.36</v>
      </c>
      <c r="S84" s="36">
        <v>0.88</v>
      </c>
      <c r="T84" s="36">
        <v>0.7</v>
      </c>
      <c r="U84" s="42"/>
      <c r="V84" s="36"/>
      <c r="W84" s="36"/>
      <c r="X84" s="57"/>
      <c r="Y84" s="57"/>
      <c r="Z84" s="63"/>
      <c r="AA84" s="57"/>
      <c r="AB84" s="63">
        <v>6.9</v>
      </c>
      <c r="AC84" s="63">
        <v>5.8</v>
      </c>
      <c r="AD84" s="10">
        <v>0.14000000000000001</v>
      </c>
      <c r="AE84" s="36">
        <v>0.48</v>
      </c>
      <c r="AF84" s="36"/>
      <c r="AG84" s="36"/>
      <c r="AH84" s="36"/>
      <c r="AI84" s="57"/>
      <c r="AJ84" s="57"/>
      <c r="AK84" s="36"/>
      <c r="AL84" s="36"/>
      <c r="AM84" s="63">
        <v>6.9</v>
      </c>
      <c r="AN84" s="63">
        <v>6.4</v>
      </c>
      <c r="AO84" s="36">
        <v>0.15</v>
      </c>
      <c r="AP84" s="68">
        <v>1.0900000000000001</v>
      </c>
      <c r="AQ84" s="73">
        <f t="shared" si="17"/>
        <v>2154</v>
      </c>
      <c r="AR84" s="75">
        <f t="shared" si="18"/>
        <v>0.70844939647168059</v>
      </c>
      <c r="AS84" s="75">
        <f t="shared" si="19"/>
        <v>4.0389972144846797E-2</v>
      </c>
      <c r="AT84" s="75">
        <f t="shared" si="20"/>
        <v>0.25116063138347261</v>
      </c>
      <c r="AU84" s="26" t="str">
        <f t="shared" si="21"/>
        <v/>
      </c>
      <c r="AV84" s="26" t="str">
        <f t="shared" si="22"/>
        <v/>
      </c>
      <c r="AW84" s="24">
        <f t="shared" si="23"/>
        <v>0.5725490196078431</v>
      </c>
      <c r="AX84" s="24">
        <f t="shared" si="24"/>
        <v>0.81176470588235294</v>
      </c>
      <c r="AY84" s="77" t="str">
        <f t="shared" si="25"/>
        <v>5,0 ≤ Alc. Bruta &lt; 7,5 mg/L</v>
      </c>
      <c r="AZ84" s="77" t="str">
        <f t="shared" si="26"/>
        <v>10 ≤ Cor &lt;15 uC</v>
      </c>
      <c r="BA84" s="78" t="str">
        <f t="shared" si="27"/>
        <v>2,5 ≤ Turb &lt; 5,0 uT</v>
      </c>
      <c r="BB84" s="79" t="str">
        <f t="shared" si="28"/>
        <v>TOR &gt; BNN &gt; SM</v>
      </c>
      <c r="BC84" s="78" t="str">
        <f t="shared" si="29"/>
        <v>Tipo 1 (≤0,25) uT</v>
      </c>
      <c r="BD84" s="78" t="str">
        <f t="shared" si="30"/>
        <v>Tipo 1 (≤0,25) uT</v>
      </c>
      <c r="BE84" s="78" t="str">
        <f t="shared" si="31"/>
        <v>Tipo 2 (0,25-0,50) uT</v>
      </c>
      <c r="BF84" s="78" t="str">
        <f t="shared" si="32"/>
        <v>Tipo 4 (&gt;0,75) uT</v>
      </c>
      <c r="BG84" s="78" t="str">
        <f t="shared" si="33"/>
        <v>Tipo 1 (≤0,25) uT</v>
      </c>
    </row>
    <row r="85" spans="1:59" x14ac:dyDescent="0.2">
      <c r="A85" s="21">
        <v>46135</v>
      </c>
      <c r="B85" s="48">
        <v>0.97916666666666663</v>
      </c>
      <c r="C85" s="57">
        <v>1662</v>
      </c>
      <c r="D85" s="57">
        <v>89</v>
      </c>
      <c r="E85" s="57">
        <v>540</v>
      </c>
      <c r="F85" s="57">
        <v>2238</v>
      </c>
      <c r="G85" s="10" t="s">
        <v>34</v>
      </c>
      <c r="H85" s="63">
        <v>3.1</v>
      </c>
      <c r="I85" s="57">
        <v>90</v>
      </c>
      <c r="J85" s="57">
        <v>90</v>
      </c>
      <c r="K85" s="57">
        <v>90</v>
      </c>
      <c r="L85" s="63">
        <v>23.8</v>
      </c>
      <c r="M85" s="63">
        <v>6.9</v>
      </c>
      <c r="N85" s="36">
        <v>3.84</v>
      </c>
      <c r="O85" s="57">
        <v>16</v>
      </c>
      <c r="P85" s="63">
        <v>6.3</v>
      </c>
      <c r="Q85" s="36">
        <v>0.25</v>
      </c>
      <c r="R85" s="36">
        <v>22.36</v>
      </c>
      <c r="S85" s="36">
        <v>0.88</v>
      </c>
      <c r="T85" s="36">
        <v>0.7</v>
      </c>
      <c r="U85" s="42"/>
      <c r="V85" s="36"/>
      <c r="W85" s="36"/>
      <c r="X85" s="57"/>
      <c r="Y85" s="57"/>
      <c r="Z85" s="63"/>
      <c r="AA85" s="57"/>
      <c r="AB85" s="63">
        <v>7</v>
      </c>
      <c r="AC85" s="63">
        <v>5.8</v>
      </c>
      <c r="AD85" s="10">
        <v>0.33</v>
      </c>
      <c r="AE85" s="36">
        <v>0.55000000000000004</v>
      </c>
      <c r="AF85" s="36"/>
      <c r="AG85" s="36"/>
      <c r="AH85" s="36"/>
      <c r="AI85" s="57"/>
      <c r="AJ85" s="57"/>
      <c r="AK85" s="36"/>
      <c r="AL85" s="36"/>
      <c r="AM85" s="63">
        <v>6.9</v>
      </c>
      <c r="AN85" s="63">
        <v>6</v>
      </c>
      <c r="AO85" s="36">
        <v>0.28999999999999998</v>
      </c>
      <c r="AP85" s="68">
        <v>1.38</v>
      </c>
      <c r="AQ85" s="73">
        <f t="shared" si="17"/>
        <v>2291</v>
      </c>
      <c r="AR85" s="75">
        <f t="shared" si="18"/>
        <v>0.72544740288083809</v>
      </c>
      <c r="AS85" s="75">
        <f t="shared" si="19"/>
        <v>3.8847664775207333E-2</v>
      </c>
      <c r="AT85" s="75">
        <f t="shared" si="20"/>
        <v>0.23570493234395459</v>
      </c>
      <c r="AU85" s="26" t="str">
        <f t="shared" si="21"/>
        <v/>
      </c>
      <c r="AV85" s="26" t="str">
        <f t="shared" si="22"/>
        <v/>
      </c>
      <c r="AW85" s="24">
        <f t="shared" si="23"/>
        <v>0.640625</v>
      </c>
      <c r="AX85" s="24">
        <f t="shared" si="24"/>
        <v>0.85677083333333326</v>
      </c>
      <c r="AY85" s="77" t="str">
        <f t="shared" si="25"/>
        <v>5,0 ≤ Alc. Bruta &lt; 7,5 mg/L</v>
      </c>
      <c r="AZ85" s="77" t="str">
        <f t="shared" si="26"/>
        <v>15 ≤ Cor &lt; 30 uC</v>
      </c>
      <c r="BA85" s="78" t="str">
        <f t="shared" si="27"/>
        <v>2,5 ≤ Turb &lt; 5,0 uT</v>
      </c>
      <c r="BB85" s="79" t="str">
        <f t="shared" si="28"/>
        <v>TOR &gt; BNN &gt; SM</v>
      </c>
      <c r="BC85" s="78" t="str">
        <f t="shared" si="29"/>
        <v>Tipo 2 (0,25-0,50) uT</v>
      </c>
      <c r="BD85" s="78" t="str">
        <f t="shared" si="30"/>
        <v>Tipo 2 (0,25-0,50) uT</v>
      </c>
      <c r="BE85" s="78" t="str">
        <f t="shared" si="31"/>
        <v>Tipo 3 (0,50-0,75) uT</v>
      </c>
      <c r="BF85" s="78" t="str">
        <f t="shared" si="32"/>
        <v>Tipo 4 (&gt;0,75) uT</v>
      </c>
      <c r="BG85" s="78" t="str">
        <f t="shared" si="33"/>
        <v>Tipo 1 (≤0,25) uT</v>
      </c>
    </row>
    <row r="86" spans="1:59" x14ac:dyDescent="0.2">
      <c r="A86" s="21">
        <v>46136</v>
      </c>
      <c r="B86" s="48">
        <v>6.25E-2</v>
      </c>
      <c r="C86" s="57">
        <v>1606</v>
      </c>
      <c r="D86" s="57">
        <v>86</v>
      </c>
      <c r="E86" s="57">
        <v>541</v>
      </c>
      <c r="F86" s="57">
        <v>2234</v>
      </c>
      <c r="G86" s="10" t="s">
        <v>34</v>
      </c>
      <c r="H86" s="63">
        <v>3.1</v>
      </c>
      <c r="I86" s="57">
        <v>90</v>
      </c>
      <c r="J86" s="57">
        <v>90</v>
      </c>
      <c r="K86" s="57">
        <v>90</v>
      </c>
      <c r="L86" s="63">
        <v>23.4</v>
      </c>
      <c r="M86" s="63">
        <v>6.9</v>
      </c>
      <c r="N86" s="36">
        <v>3.35</v>
      </c>
      <c r="O86" s="57">
        <v>15</v>
      </c>
      <c r="P86" s="63">
        <v>6.2</v>
      </c>
      <c r="Q86" s="36">
        <v>0.28000000000000003</v>
      </c>
      <c r="R86" s="36">
        <v>22.36</v>
      </c>
      <c r="S86" s="36">
        <v>0.88</v>
      </c>
      <c r="T86" s="36">
        <v>0.7</v>
      </c>
      <c r="U86" s="42"/>
      <c r="V86" s="36"/>
      <c r="W86" s="36"/>
      <c r="X86" s="57"/>
      <c r="Y86" s="57"/>
      <c r="Z86" s="63"/>
      <c r="AA86" s="57"/>
      <c r="AB86" s="63">
        <v>6.9</v>
      </c>
      <c r="AC86" s="63">
        <v>6</v>
      </c>
      <c r="AD86" s="10">
        <v>0.25</v>
      </c>
      <c r="AE86" s="36">
        <v>0.56999999999999995</v>
      </c>
      <c r="AF86" s="36"/>
      <c r="AG86" s="36"/>
      <c r="AH86" s="36"/>
      <c r="AI86" s="57"/>
      <c r="AJ86" s="57"/>
      <c r="AK86" s="36"/>
      <c r="AL86" s="36"/>
      <c r="AM86" s="63">
        <v>6.9</v>
      </c>
      <c r="AN86" s="63">
        <v>6.1</v>
      </c>
      <c r="AO86" s="36">
        <v>0.23</v>
      </c>
      <c r="AP86" s="68">
        <v>1.22</v>
      </c>
      <c r="AQ86" s="73">
        <f t="shared" si="17"/>
        <v>2233</v>
      </c>
      <c r="AR86" s="75">
        <f t="shared" si="18"/>
        <v>0.71921182266009853</v>
      </c>
      <c r="AS86" s="75">
        <f t="shared" si="19"/>
        <v>3.8513210927004028E-2</v>
      </c>
      <c r="AT86" s="75">
        <f t="shared" si="20"/>
        <v>0.24227496641289745</v>
      </c>
      <c r="AU86" s="26" t="str">
        <f t="shared" si="21"/>
        <v/>
      </c>
      <c r="AV86" s="26" t="str">
        <f t="shared" si="22"/>
        <v/>
      </c>
      <c r="AW86" s="24">
        <f t="shared" si="23"/>
        <v>0.63582089552238807</v>
      </c>
      <c r="AX86" s="24">
        <f t="shared" si="24"/>
        <v>0.82985074626865674</v>
      </c>
      <c r="AY86" s="77" t="str">
        <f t="shared" si="25"/>
        <v>5,0 ≤ Alc. Bruta &lt; 7,5 mg/L</v>
      </c>
      <c r="AZ86" s="77" t="str">
        <f t="shared" si="26"/>
        <v>15 ≤ Cor &lt; 30 uC</v>
      </c>
      <c r="BA86" s="78" t="str">
        <f t="shared" si="27"/>
        <v>2,5 ≤ Turb &lt; 5,0 uT</v>
      </c>
      <c r="BB86" s="79" t="str">
        <f t="shared" si="28"/>
        <v>TOR &gt; BNN &gt; SM</v>
      </c>
      <c r="BC86" s="78" t="str">
        <f t="shared" si="29"/>
        <v>Tipo 1 (≤0,25) uT</v>
      </c>
      <c r="BD86" s="78" t="str">
        <f t="shared" si="30"/>
        <v>Tipo 1 (≤0,25) uT</v>
      </c>
      <c r="BE86" s="78" t="str">
        <f t="shared" si="31"/>
        <v>Tipo 3 (0,50-0,75) uT</v>
      </c>
      <c r="BF86" s="78" t="str">
        <f t="shared" si="32"/>
        <v>Tipo 4 (&gt;0,75) uT</v>
      </c>
      <c r="BG86" s="78" t="str">
        <f t="shared" si="33"/>
        <v>Tipo 2 (0,25-0,50) uT</v>
      </c>
    </row>
    <row r="87" spans="1:59" x14ac:dyDescent="0.2">
      <c r="A87" s="21">
        <v>46136</v>
      </c>
      <c r="B87" s="48">
        <v>0.14583333333333334</v>
      </c>
      <c r="C87" s="57">
        <v>1209</v>
      </c>
      <c r="D87" s="57">
        <v>92</v>
      </c>
      <c r="E87" s="57">
        <v>579</v>
      </c>
      <c r="F87" s="57">
        <v>1963</v>
      </c>
      <c r="G87" s="10" t="s">
        <v>34</v>
      </c>
      <c r="H87" s="63">
        <v>3.1</v>
      </c>
      <c r="I87" s="57">
        <v>90</v>
      </c>
      <c r="J87" s="57">
        <v>90</v>
      </c>
      <c r="K87" s="57">
        <v>90</v>
      </c>
      <c r="L87" s="63">
        <v>23.1</v>
      </c>
      <c r="M87" s="63">
        <v>6.8</v>
      </c>
      <c r="N87" s="36">
        <v>4.1399999999999997</v>
      </c>
      <c r="O87" s="57">
        <v>17</v>
      </c>
      <c r="P87" s="63">
        <v>6.6</v>
      </c>
      <c r="Q87" s="36">
        <v>0.25</v>
      </c>
      <c r="R87" s="36">
        <v>22.36</v>
      </c>
      <c r="S87" s="36">
        <v>0.88</v>
      </c>
      <c r="T87" s="36">
        <v>0.7</v>
      </c>
      <c r="U87" s="42"/>
      <c r="V87" s="36"/>
      <c r="W87" s="36"/>
      <c r="X87" s="57"/>
      <c r="Y87" s="57"/>
      <c r="Z87" s="63"/>
      <c r="AA87" s="57"/>
      <c r="AB87" s="63">
        <v>7</v>
      </c>
      <c r="AC87" s="63">
        <v>7.2</v>
      </c>
      <c r="AD87" s="10">
        <v>0.16</v>
      </c>
      <c r="AE87" s="36">
        <v>0.76</v>
      </c>
      <c r="AF87" s="36"/>
      <c r="AG87" s="36"/>
      <c r="AH87" s="36"/>
      <c r="AI87" s="57"/>
      <c r="AJ87" s="57"/>
      <c r="AK87" s="36"/>
      <c r="AL87" s="36"/>
      <c r="AM87" s="63">
        <v>7</v>
      </c>
      <c r="AN87" s="63">
        <v>6.1</v>
      </c>
      <c r="AO87" s="36">
        <v>0.16</v>
      </c>
      <c r="AP87" s="68">
        <v>1.39</v>
      </c>
      <c r="AQ87" s="73">
        <f t="shared" si="17"/>
        <v>1880</v>
      </c>
      <c r="AR87" s="75">
        <f t="shared" si="18"/>
        <v>0.64308510638297878</v>
      </c>
      <c r="AS87" s="75">
        <f t="shared" si="19"/>
        <v>4.8936170212765959E-2</v>
      </c>
      <c r="AT87" s="75">
        <f t="shared" si="20"/>
        <v>0.30797872340425531</v>
      </c>
      <c r="AU87" s="26" t="str">
        <f t="shared" si="21"/>
        <v/>
      </c>
      <c r="AV87" s="26" t="str">
        <f t="shared" si="22"/>
        <v/>
      </c>
      <c r="AW87" s="24">
        <f t="shared" si="23"/>
        <v>0.66425120772946866</v>
      </c>
      <c r="AX87" s="24">
        <f t="shared" si="24"/>
        <v>0.81642512077294682</v>
      </c>
      <c r="AY87" s="77" t="str">
        <f t="shared" si="25"/>
        <v>5,0 ≤ Alc. Bruta &lt; 7,5 mg/L</v>
      </c>
      <c r="AZ87" s="77" t="str">
        <f t="shared" si="26"/>
        <v>15 ≤ Cor &lt; 30 uC</v>
      </c>
      <c r="BA87" s="78" t="str">
        <f t="shared" si="27"/>
        <v>2,5 ≤ Turb &lt; 5,0 uT</v>
      </c>
      <c r="BB87" s="79" t="str">
        <f t="shared" si="28"/>
        <v>TOR &gt; BNN &gt; SM</v>
      </c>
      <c r="BC87" s="78" t="str">
        <f t="shared" si="29"/>
        <v>Tipo 1 (≤0,25) uT</v>
      </c>
      <c r="BD87" s="78" t="str">
        <f t="shared" si="30"/>
        <v>Tipo 1 (≤0,25) uT</v>
      </c>
      <c r="BE87" s="78" t="str">
        <f t="shared" si="31"/>
        <v>Tipo 4 (&gt;0,75) uT</v>
      </c>
      <c r="BF87" s="78" t="str">
        <f t="shared" si="32"/>
        <v>Tipo 4 (&gt;0,75) uT</v>
      </c>
      <c r="BG87" s="78" t="str">
        <f t="shared" si="33"/>
        <v>Tipo 1 (≤0,25) uT</v>
      </c>
    </row>
    <row r="88" spans="1:59" ht="15.75" thickBot="1" x14ac:dyDescent="0.25">
      <c r="A88" s="21">
        <v>46136</v>
      </c>
      <c r="B88" s="51">
        <v>0.22916666666666666</v>
      </c>
      <c r="C88" s="58">
        <v>1240</v>
      </c>
      <c r="D88" s="58">
        <v>88</v>
      </c>
      <c r="E88" s="58">
        <v>581</v>
      </c>
      <c r="F88" s="57">
        <v>1953</v>
      </c>
      <c r="G88" s="11" t="s">
        <v>34</v>
      </c>
      <c r="H88" s="63">
        <v>3.1</v>
      </c>
      <c r="I88" s="58">
        <v>90</v>
      </c>
      <c r="J88" s="58">
        <v>90</v>
      </c>
      <c r="K88" s="58">
        <v>90</v>
      </c>
      <c r="L88" s="64">
        <v>23.2</v>
      </c>
      <c r="M88" s="64">
        <v>6.9</v>
      </c>
      <c r="N88" s="37">
        <v>3.66</v>
      </c>
      <c r="O88" s="58">
        <v>16</v>
      </c>
      <c r="P88" s="64">
        <v>6.4</v>
      </c>
      <c r="Q88" s="37">
        <v>0.27</v>
      </c>
      <c r="R88" s="36">
        <v>22.36</v>
      </c>
      <c r="S88" s="36">
        <v>0.88</v>
      </c>
      <c r="T88" s="36">
        <v>0.7</v>
      </c>
      <c r="U88" s="42"/>
      <c r="V88" s="41"/>
      <c r="W88" s="37"/>
      <c r="X88" s="58"/>
      <c r="Y88" s="58"/>
      <c r="Z88" s="64"/>
      <c r="AA88" s="58"/>
      <c r="AB88" s="64">
        <v>6.9</v>
      </c>
      <c r="AC88" s="64">
        <v>7</v>
      </c>
      <c r="AD88" s="11">
        <v>0.21</v>
      </c>
      <c r="AE88" s="37">
        <v>0.82</v>
      </c>
      <c r="AF88" s="37"/>
      <c r="AG88" s="37"/>
      <c r="AH88" s="37"/>
      <c r="AI88" s="58"/>
      <c r="AJ88" s="58"/>
      <c r="AK88" s="37"/>
      <c r="AL88" s="37"/>
      <c r="AM88" s="64">
        <v>6.9</v>
      </c>
      <c r="AN88" s="64">
        <v>6.2</v>
      </c>
      <c r="AO88" s="37">
        <v>0.22</v>
      </c>
      <c r="AP88" s="69">
        <v>1.5</v>
      </c>
      <c r="AQ88" s="73">
        <f t="shared" si="17"/>
        <v>1909</v>
      </c>
      <c r="AR88" s="75">
        <f t="shared" si="18"/>
        <v>0.64955474070193819</v>
      </c>
      <c r="AS88" s="75">
        <f t="shared" si="19"/>
        <v>4.6097433211105293E-2</v>
      </c>
      <c r="AT88" s="75">
        <f t="shared" si="20"/>
        <v>0.30434782608695654</v>
      </c>
      <c r="AU88" s="26" t="str">
        <f t="shared" si="21"/>
        <v/>
      </c>
      <c r="AV88" s="26" t="str">
        <f t="shared" si="22"/>
        <v/>
      </c>
      <c r="AW88" s="24">
        <f t="shared" si="23"/>
        <v>0.5901639344262295</v>
      </c>
      <c r="AX88" s="24">
        <f t="shared" si="24"/>
        <v>0.77595628415300544</v>
      </c>
      <c r="AY88" s="77" t="str">
        <f t="shared" si="25"/>
        <v>5,0 ≤ Alc. Bruta &lt; 7,5 mg/L</v>
      </c>
      <c r="AZ88" s="77" t="str">
        <f t="shared" si="26"/>
        <v>15 ≤ Cor &lt; 30 uC</v>
      </c>
      <c r="BA88" s="78" t="str">
        <f t="shared" si="27"/>
        <v>2,5 ≤ Turb &lt; 5,0 uT</v>
      </c>
      <c r="BB88" s="79" t="str">
        <f t="shared" si="28"/>
        <v>TOR &gt; BNN &gt; SM</v>
      </c>
      <c r="BC88" s="78" t="str">
        <f t="shared" si="29"/>
        <v>Tipo 1 (≤0,25) uT</v>
      </c>
      <c r="BD88" s="78" t="str">
        <f t="shared" si="30"/>
        <v>Tipo 1 (≤0,25) uT</v>
      </c>
      <c r="BE88" s="78" t="str">
        <f t="shared" si="31"/>
        <v>Tipo 4 (&gt;0,75) uT</v>
      </c>
      <c r="BF88" s="78" t="str">
        <f t="shared" si="32"/>
        <v>Tipo 4 (&gt;0,75) uT</v>
      </c>
      <c r="BG88" s="78" t="str">
        <f t="shared" si="33"/>
        <v>Tipo 2 (0,25-0,50) uT</v>
      </c>
    </row>
    <row r="89" spans="1:59" x14ac:dyDescent="0.2">
      <c r="A89" s="21">
        <v>46136</v>
      </c>
      <c r="B89" s="52">
        <v>0.3125</v>
      </c>
      <c r="C89" s="59">
        <v>1020</v>
      </c>
      <c r="D89" s="57">
        <v>81</v>
      </c>
      <c r="E89" s="59">
        <v>580</v>
      </c>
      <c r="F89" s="59">
        <v>1967</v>
      </c>
      <c r="G89" s="9" t="s">
        <v>34</v>
      </c>
      <c r="H89" s="65">
        <v>3.1</v>
      </c>
      <c r="I89" s="59">
        <v>90</v>
      </c>
      <c r="J89" s="59">
        <v>90</v>
      </c>
      <c r="K89" s="59">
        <v>90</v>
      </c>
      <c r="L89" s="65">
        <v>22.5</v>
      </c>
      <c r="M89" s="65">
        <v>6.9</v>
      </c>
      <c r="N89" s="38">
        <v>3.59</v>
      </c>
      <c r="O89" s="59">
        <v>19</v>
      </c>
      <c r="P89" s="65">
        <v>8.4</v>
      </c>
      <c r="Q89" s="38">
        <v>0.28999999999999998</v>
      </c>
      <c r="R89" s="36">
        <v>22.36</v>
      </c>
      <c r="S89" s="36">
        <v>0.88</v>
      </c>
      <c r="T89" s="36">
        <v>0.7</v>
      </c>
      <c r="U89" s="42"/>
      <c r="V89" s="39"/>
      <c r="W89" s="38"/>
      <c r="X89" s="59"/>
      <c r="Y89" s="59"/>
      <c r="Z89" s="65"/>
      <c r="AA89" s="59"/>
      <c r="AB89" s="65">
        <v>7</v>
      </c>
      <c r="AC89" s="65">
        <v>8.3000000000000007</v>
      </c>
      <c r="AD89" s="9">
        <v>0.24</v>
      </c>
      <c r="AE89" s="38">
        <v>0.78</v>
      </c>
      <c r="AF89" s="38"/>
      <c r="AG89" s="38"/>
      <c r="AH89" s="38"/>
      <c r="AI89" s="59"/>
      <c r="AJ89" s="59"/>
      <c r="AK89" s="38"/>
      <c r="AL89" s="38"/>
      <c r="AM89" s="65">
        <v>6.9</v>
      </c>
      <c r="AN89" s="65">
        <v>9.1999999999999993</v>
      </c>
      <c r="AO89" s="38">
        <v>0.37</v>
      </c>
      <c r="AP89" s="70">
        <v>1.23</v>
      </c>
      <c r="AQ89" s="73">
        <f t="shared" si="17"/>
        <v>1681</v>
      </c>
      <c r="AR89" s="75">
        <f t="shared" si="18"/>
        <v>0.60678167757287327</v>
      </c>
      <c r="AS89" s="75">
        <f t="shared" si="19"/>
        <v>4.8185603807257588E-2</v>
      </c>
      <c r="AT89" s="75">
        <f t="shared" si="20"/>
        <v>0.34503271861986912</v>
      </c>
      <c r="AU89" s="26" t="str">
        <f t="shared" si="21"/>
        <v/>
      </c>
      <c r="AV89" s="26" t="str">
        <f t="shared" si="22"/>
        <v/>
      </c>
      <c r="AW89" s="24">
        <f t="shared" si="23"/>
        <v>0.65738161559888586</v>
      </c>
      <c r="AX89" s="24">
        <f t="shared" si="24"/>
        <v>0.78272980501392753</v>
      </c>
      <c r="AY89" s="77" t="str">
        <f t="shared" si="25"/>
        <v>7,5 ≤ Alc. Bruta &lt; 10,0 mg/L</v>
      </c>
      <c r="AZ89" s="77" t="str">
        <f t="shared" si="26"/>
        <v>15 ≤ Cor &lt; 30 uC</v>
      </c>
      <c r="BA89" s="78" t="str">
        <f t="shared" si="27"/>
        <v>2,5 ≤ Turb &lt; 5,0 uT</v>
      </c>
      <c r="BB89" s="79" t="str">
        <f t="shared" si="28"/>
        <v>TOR &gt; BNN &gt; SM</v>
      </c>
      <c r="BC89" s="78" t="str">
        <f t="shared" si="29"/>
        <v>Tipo 1 (≤0,25) uT</v>
      </c>
      <c r="BD89" s="78" t="str">
        <f t="shared" si="30"/>
        <v>Tipo 2 (0,25-0,50) uT</v>
      </c>
      <c r="BE89" s="78" t="str">
        <f t="shared" si="31"/>
        <v>Tipo 4 (&gt;0,75) uT</v>
      </c>
      <c r="BF89" s="78" t="str">
        <f t="shared" si="32"/>
        <v>Tipo 4 (&gt;0,75) uT</v>
      </c>
      <c r="BG89" s="78" t="str">
        <f t="shared" si="33"/>
        <v>Tipo 2 (0,25-0,50) uT</v>
      </c>
    </row>
    <row r="90" spans="1:59" x14ac:dyDescent="0.2">
      <c r="A90" s="21">
        <v>46136</v>
      </c>
      <c r="B90" s="48">
        <v>0.39583333333333331</v>
      </c>
      <c r="C90" s="57">
        <v>1051</v>
      </c>
      <c r="D90" s="57">
        <v>80</v>
      </c>
      <c r="E90" s="57">
        <v>580</v>
      </c>
      <c r="F90" s="57">
        <v>1800</v>
      </c>
      <c r="G90" s="10" t="s">
        <v>34</v>
      </c>
      <c r="H90" s="63">
        <v>2</v>
      </c>
      <c r="I90" s="57">
        <v>90</v>
      </c>
      <c r="J90" s="57">
        <v>90</v>
      </c>
      <c r="K90" s="57">
        <v>90</v>
      </c>
      <c r="L90" s="63">
        <v>23.3</v>
      </c>
      <c r="M90" s="63">
        <v>6.8</v>
      </c>
      <c r="N90" s="36">
        <v>3.67</v>
      </c>
      <c r="O90" s="57">
        <v>17</v>
      </c>
      <c r="P90" s="63">
        <v>7.3</v>
      </c>
      <c r="Q90" s="36">
        <v>0.25</v>
      </c>
      <c r="R90" s="36">
        <v>22.36</v>
      </c>
      <c r="S90" s="36">
        <v>0.88</v>
      </c>
      <c r="T90" s="36">
        <v>0.7</v>
      </c>
      <c r="U90" s="42"/>
      <c r="V90" s="36"/>
      <c r="W90" s="36"/>
      <c r="X90" s="57"/>
      <c r="Y90" s="57"/>
      <c r="Z90" s="63"/>
      <c r="AA90" s="57"/>
      <c r="AB90" s="63">
        <v>7</v>
      </c>
      <c r="AC90" s="63">
        <v>8.9</v>
      </c>
      <c r="AD90" s="10">
        <v>0.21</v>
      </c>
      <c r="AE90" s="36">
        <v>0.99</v>
      </c>
      <c r="AF90" s="36"/>
      <c r="AG90" s="36"/>
      <c r="AH90" s="36"/>
      <c r="AI90" s="57"/>
      <c r="AJ90" s="57"/>
      <c r="AK90" s="36"/>
      <c r="AL90" s="36"/>
      <c r="AM90" s="63">
        <v>6.9</v>
      </c>
      <c r="AN90" s="63">
        <v>8.6</v>
      </c>
      <c r="AO90" s="36">
        <v>0.33</v>
      </c>
      <c r="AP90" s="68">
        <v>1.1599999999999999</v>
      </c>
      <c r="AQ90" s="73">
        <f t="shared" si="17"/>
        <v>1711</v>
      </c>
      <c r="AR90" s="75">
        <f t="shared" si="18"/>
        <v>0.61426066627703102</v>
      </c>
      <c r="AS90" s="75">
        <f t="shared" si="19"/>
        <v>4.6756282875511396E-2</v>
      </c>
      <c r="AT90" s="75">
        <f t="shared" si="20"/>
        <v>0.33898305084745761</v>
      </c>
      <c r="AU90" s="26" t="str">
        <f t="shared" si="21"/>
        <v/>
      </c>
      <c r="AV90" s="26" t="str">
        <f t="shared" si="22"/>
        <v/>
      </c>
      <c r="AW90" s="24">
        <f t="shared" si="23"/>
        <v>0.68392370572207084</v>
      </c>
      <c r="AX90" s="24">
        <f t="shared" si="24"/>
        <v>0.73024523160762944</v>
      </c>
      <c r="AY90" s="77" t="str">
        <f t="shared" si="25"/>
        <v>5,0 ≤ Alc. Bruta &lt; 7,5 mg/L</v>
      </c>
      <c r="AZ90" s="77" t="str">
        <f t="shared" si="26"/>
        <v>15 ≤ Cor &lt; 30 uC</v>
      </c>
      <c r="BA90" s="78" t="str">
        <f t="shared" si="27"/>
        <v>2,5 ≤ Turb &lt; 5,0 uT</v>
      </c>
      <c r="BB90" s="79" t="str">
        <f t="shared" si="28"/>
        <v>TOR &gt; BNN &gt; SM</v>
      </c>
      <c r="BC90" s="78" t="str">
        <f t="shared" si="29"/>
        <v>Tipo 1 (≤0,25) uT</v>
      </c>
      <c r="BD90" s="78" t="str">
        <f t="shared" si="30"/>
        <v>Tipo 2 (0,25-0,50) uT</v>
      </c>
      <c r="BE90" s="78" t="str">
        <f t="shared" si="31"/>
        <v>Tipo 4 (&gt;0,75) uT</v>
      </c>
      <c r="BF90" s="78" t="str">
        <f t="shared" si="32"/>
        <v>Tipo 4 (&gt;0,75) uT</v>
      </c>
      <c r="BG90" s="78" t="str">
        <f t="shared" si="33"/>
        <v>Tipo 1 (≤0,25) uT</v>
      </c>
    </row>
    <row r="91" spans="1:59" x14ac:dyDescent="0.2">
      <c r="A91" s="21">
        <v>46136</v>
      </c>
      <c r="B91" s="48">
        <v>0.47916666666666669</v>
      </c>
      <c r="C91" s="57">
        <v>1610</v>
      </c>
      <c r="D91" s="57">
        <v>83</v>
      </c>
      <c r="E91" s="57">
        <v>500</v>
      </c>
      <c r="F91" s="57">
        <v>2200</v>
      </c>
      <c r="G91" s="10" t="s">
        <v>34</v>
      </c>
      <c r="H91" s="63">
        <v>2.9</v>
      </c>
      <c r="I91" s="57">
        <v>90</v>
      </c>
      <c r="J91" s="57">
        <v>90</v>
      </c>
      <c r="K91" s="57">
        <v>90</v>
      </c>
      <c r="L91" s="63">
        <v>23.4</v>
      </c>
      <c r="M91" s="63">
        <v>6.8</v>
      </c>
      <c r="N91" s="36">
        <v>3.12</v>
      </c>
      <c r="O91" s="57">
        <v>16</v>
      </c>
      <c r="P91" s="63">
        <v>6.8</v>
      </c>
      <c r="Q91" s="36">
        <v>0.28999999999999998</v>
      </c>
      <c r="R91" s="36">
        <v>22.36</v>
      </c>
      <c r="S91" s="36">
        <v>0.88</v>
      </c>
      <c r="T91" s="36">
        <v>0.7</v>
      </c>
      <c r="U91" s="42"/>
      <c r="V91" s="36"/>
      <c r="W91" s="36"/>
      <c r="X91" s="57"/>
      <c r="Y91" s="57"/>
      <c r="Z91" s="63"/>
      <c r="AA91" s="57"/>
      <c r="AB91" s="63">
        <v>7</v>
      </c>
      <c r="AC91" s="63">
        <v>9.4</v>
      </c>
      <c r="AD91" s="10">
        <v>0.18</v>
      </c>
      <c r="AE91" s="36">
        <v>1.36</v>
      </c>
      <c r="AF91" s="36"/>
      <c r="AG91" s="36"/>
      <c r="AH91" s="36"/>
      <c r="AI91" s="57"/>
      <c r="AJ91" s="57"/>
      <c r="AK91" s="36"/>
      <c r="AL91" s="36"/>
      <c r="AM91" s="63">
        <v>6.9</v>
      </c>
      <c r="AN91" s="63">
        <v>8.3000000000000007</v>
      </c>
      <c r="AO91" s="36">
        <v>0.28999999999999998</v>
      </c>
      <c r="AP91" s="68">
        <v>1.1499999999999999</v>
      </c>
      <c r="AQ91" s="73">
        <f t="shared" si="17"/>
        <v>2193</v>
      </c>
      <c r="AR91" s="75">
        <f t="shared" si="18"/>
        <v>0.73415412676698588</v>
      </c>
      <c r="AS91" s="75">
        <f t="shared" si="19"/>
        <v>3.7847697218422252E-2</v>
      </c>
      <c r="AT91" s="75">
        <f t="shared" si="20"/>
        <v>0.22799817601459188</v>
      </c>
      <c r="AU91" s="26" t="str">
        <f t="shared" si="21"/>
        <v/>
      </c>
      <c r="AV91" s="26" t="str">
        <f t="shared" si="22"/>
        <v/>
      </c>
      <c r="AW91" s="24">
        <f t="shared" si="23"/>
        <v>0.63141025641025639</v>
      </c>
      <c r="AX91" s="24">
        <f t="shared" si="24"/>
        <v>0.5641025641025641</v>
      </c>
      <c r="AY91" s="77" t="str">
        <f t="shared" si="25"/>
        <v>5,0 ≤ Alc. Bruta &lt; 7,5 mg/L</v>
      </c>
      <c r="AZ91" s="77" t="str">
        <f t="shared" si="26"/>
        <v>15 ≤ Cor &lt; 30 uC</v>
      </c>
      <c r="BA91" s="78" t="str">
        <f t="shared" si="27"/>
        <v>2,5 ≤ Turb &lt; 5,0 uT</v>
      </c>
      <c r="BB91" s="79" t="str">
        <f t="shared" si="28"/>
        <v>TOR &gt; BNN &gt; SM</v>
      </c>
      <c r="BC91" s="78" t="str">
        <f t="shared" si="29"/>
        <v>Tipo 1 (≤0,25) uT</v>
      </c>
      <c r="BD91" s="78" t="str">
        <f t="shared" si="30"/>
        <v>Tipo 2 (0,25-0,50) uT</v>
      </c>
      <c r="BE91" s="78" t="str">
        <f t="shared" si="31"/>
        <v>Tipo 4 (&gt;0,75) uT</v>
      </c>
      <c r="BF91" s="78" t="str">
        <f t="shared" si="32"/>
        <v>Tipo 4 (&gt;0,75) uT</v>
      </c>
      <c r="BG91" s="78" t="str">
        <f t="shared" si="33"/>
        <v>Tipo 2 (0,25-0,50) uT</v>
      </c>
    </row>
    <row r="92" spans="1:59" x14ac:dyDescent="0.2">
      <c r="A92" s="21">
        <v>46136</v>
      </c>
      <c r="B92" s="48">
        <v>0.64583333333333337</v>
      </c>
      <c r="C92" s="57">
        <v>1516</v>
      </c>
      <c r="D92" s="57">
        <v>87</v>
      </c>
      <c r="E92" s="57">
        <v>600</v>
      </c>
      <c r="F92" s="57">
        <v>2200</v>
      </c>
      <c r="G92" s="10" t="s">
        <v>34</v>
      </c>
      <c r="H92" s="63">
        <v>2.7</v>
      </c>
      <c r="I92" s="57">
        <v>90</v>
      </c>
      <c r="J92" s="57">
        <v>90</v>
      </c>
      <c r="K92" s="57">
        <v>90</v>
      </c>
      <c r="L92" s="63">
        <v>24.9</v>
      </c>
      <c r="M92" s="63">
        <v>6.8</v>
      </c>
      <c r="N92" s="36">
        <v>2.94</v>
      </c>
      <c r="O92" s="57">
        <v>15</v>
      </c>
      <c r="P92" s="63">
        <v>5.8</v>
      </c>
      <c r="Q92" s="36">
        <v>0.33</v>
      </c>
      <c r="R92" s="36">
        <v>22.36</v>
      </c>
      <c r="S92" s="36">
        <v>0.88</v>
      </c>
      <c r="T92" s="36">
        <v>0.7</v>
      </c>
      <c r="U92" s="42"/>
      <c r="V92" s="36"/>
      <c r="W92" s="36"/>
      <c r="X92" s="57"/>
      <c r="Y92" s="57"/>
      <c r="Z92" s="63"/>
      <c r="AA92" s="57"/>
      <c r="AB92" s="63">
        <v>7</v>
      </c>
      <c r="AC92" s="63">
        <v>6.7</v>
      </c>
      <c r="AD92" s="10">
        <v>0.12</v>
      </c>
      <c r="AE92" s="36">
        <v>0.72</v>
      </c>
      <c r="AF92" s="36"/>
      <c r="AG92" s="36"/>
      <c r="AH92" s="36"/>
      <c r="AI92" s="57"/>
      <c r="AJ92" s="57"/>
      <c r="AK92" s="36"/>
      <c r="AL92" s="36"/>
      <c r="AM92" s="63">
        <v>6.9</v>
      </c>
      <c r="AN92" s="63">
        <v>7.3</v>
      </c>
      <c r="AO92" s="36">
        <v>0.09</v>
      </c>
      <c r="AP92" s="68">
        <v>1.27</v>
      </c>
      <c r="AQ92" s="73">
        <f t="shared" si="17"/>
        <v>2203</v>
      </c>
      <c r="AR92" s="75">
        <f t="shared" si="18"/>
        <v>0.68815251929187471</v>
      </c>
      <c r="AS92" s="75">
        <f t="shared" si="19"/>
        <v>3.9491602360417613E-2</v>
      </c>
      <c r="AT92" s="75">
        <f t="shared" si="20"/>
        <v>0.27235587834770769</v>
      </c>
      <c r="AU92" s="26" t="str">
        <f t="shared" si="21"/>
        <v/>
      </c>
      <c r="AV92" s="26" t="str">
        <f t="shared" si="22"/>
        <v/>
      </c>
      <c r="AW92" s="24">
        <f t="shared" si="23"/>
        <v>0.56802721088435371</v>
      </c>
      <c r="AX92" s="24">
        <f t="shared" si="24"/>
        <v>0.75510204081632648</v>
      </c>
      <c r="AY92" s="77" t="str">
        <f t="shared" si="25"/>
        <v>5,0 ≤ Alc. Bruta &lt; 7,5 mg/L</v>
      </c>
      <c r="AZ92" s="77" t="str">
        <f t="shared" si="26"/>
        <v>15 ≤ Cor &lt; 30 uC</v>
      </c>
      <c r="BA92" s="78" t="str">
        <f t="shared" si="27"/>
        <v>2,5 ≤ Turb &lt; 5,0 uT</v>
      </c>
      <c r="BB92" s="79" t="str">
        <f t="shared" si="28"/>
        <v>TOR &gt; BNN &gt; SM</v>
      </c>
      <c r="BC92" s="78" t="str">
        <f t="shared" si="29"/>
        <v>Tipo 1 (≤0,25) uT</v>
      </c>
      <c r="BD92" s="78" t="str">
        <f t="shared" si="30"/>
        <v>Tipo 1 (≤0,25) uT</v>
      </c>
      <c r="BE92" s="78" t="str">
        <f t="shared" si="31"/>
        <v>Tipo 3 (0,50-0,75) uT</v>
      </c>
      <c r="BF92" s="78" t="str">
        <f t="shared" si="32"/>
        <v>Tipo 4 (&gt;0,75) uT</v>
      </c>
      <c r="BG92" s="78" t="str">
        <f t="shared" si="33"/>
        <v>Tipo 2 (0,25-0,50) uT</v>
      </c>
    </row>
    <row r="93" spans="1:59" x14ac:dyDescent="0.2">
      <c r="A93" s="21">
        <v>46136</v>
      </c>
      <c r="B93" s="48">
        <v>0.72916666666666663</v>
      </c>
      <c r="C93" s="57">
        <v>1491</v>
      </c>
      <c r="D93" s="57">
        <v>82</v>
      </c>
      <c r="E93" s="57">
        <v>540</v>
      </c>
      <c r="F93" s="57">
        <v>2215</v>
      </c>
      <c r="G93" s="10" t="s">
        <v>34</v>
      </c>
      <c r="H93" s="63">
        <v>2.5</v>
      </c>
      <c r="I93" s="57">
        <v>90</v>
      </c>
      <c r="J93" s="57">
        <v>90</v>
      </c>
      <c r="K93" s="57">
        <v>90</v>
      </c>
      <c r="L93" s="63">
        <v>25.2</v>
      </c>
      <c r="M93" s="63">
        <v>6.8</v>
      </c>
      <c r="N93" s="36">
        <v>3.03</v>
      </c>
      <c r="O93" s="57">
        <v>14</v>
      </c>
      <c r="P93" s="63">
        <v>7.2</v>
      </c>
      <c r="Q93" s="36">
        <v>0.31</v>
      </c>
      <c r="R93" s="36">
        <v>22.36</v>
      </c>
      <c r="S93" s="36">
        <v>0.88</v>
      </c>
      <c r="T93" s="36">
        <v>0.7</v>
      </c>
      <c r="U93" s="42"/>
      <c r="V93" s="36"/>
      <c r="W93" s="36"/>
      <c r="X93" s="57"/>
      <c r="Y93" s="57"/>
      <c r="Z93" s="63"/>
      <c r="AA93" s="57"/>
      <c r="AB93" s="63">
        <v>7.1</v>
      </c>
      <c r="AC93" s="63">
        <v>7.3</v>
      </c>
      <c r="AD93" s="10">
        <v>0.09</v>
      </c>
      <c r="AE93" s="36">
        <v>0.66</v>
      </c>
      <c r="AF93" s="36"/>
      <c r="AG93" s="36"/>
      <c r="AH93" s="36"/>
      <c r="AI93" s="57"/>
      <c r="AJ93" s="57"/>
      <c r="AK93" s="36"/>
      <c r="AL93" s="36"/>
      <c r="AM93" s="63">
        <v>7</v>
      </c>
      <c r="AN93" s="63">
        <v>8.3000000000000007</v>
      </c>
      <c r="AO93" s="36">
        <v>0.09</v>
      </c>
      <c r="AP93" s="68">
        <v>1.23</v>
      </c>
      <c r="AQ93" s="73">
        <f t="shared" si="17"/>
        <v>2113</v>
      </c>
      <c r="AR93" s="75">
        <f t="shared" si="18"/>
        <v>0.70563180312352103</v>
      </c>
      <c r="AS93" s="75">
        <f t="shared" si="19"/>
        <v>3.8807382867960247E-2</v>
      </c>
      <c r="AT93" s="75">
        <f t="shared" si="20"/>
        <v>0.25556081400851871</v>
      </c>
      <c r="AU93" s="26" t="str">
        <f t="shared" si="21"/>
        <v/>
      </c>
      <c r="AV93" s="26" t="str">
        <f t="shared" si="22"/>
        <v/>
      </c>
      <c r="AW93" s="24">
        <f t="shared" si="23"/>
        <v>0.59405940594059403</v>
      </c>
      <c r="AX93" s="24">
        <f t="shared" si="24"/>
        <v>0.78217821782178221</v>
      </c>
      <c r="AY93" s="77" t="str">
        <f t="shared" si="25"/>
        <v>5,0 ≤ Alc. Bruta &lt; 7,5 mg/L</v>
      </c>
      <c r="AZ93" s="77" t="str">
        <f t="shared" si="26"/>
        <v>10 ≤ Cor &lt;15 uC</v>
      </c>
      <c r="BA93" s="78" t="str">
        <f t="shared" si="27"/>
        <v>2,5 ≤ Turb &lt; 5,0 uT</v>
      </c>
      <c r="BB93" s="79" t="str">
        <f t="shared" si="28"/>
        <v>TOR &gt; BNN &gt; SM</v>
      </c>
      <c r="BC93" s="78" t="str">
        <f t="shared" si="29"/>
        <v>Tipo 1 (≤0,25) uT</v>
      </c>
      <c r="BD93" s="78" t="str">
        <f t="shared" si="30"/>
        <v>Tipo 1 (≤0,25) uT</v>
      </c>
      <c r="BE93" s="78" t="str">
        <f t="shared" si="31"/>
        <v>Tipo 3 (0,50-0,75) uT</v>
      </c>
      <c r="BF93" s="78" t="str">
        <f t="shared" si="32"/>
        <v>Tipo 4 (&gt;0,75) uT</v>
      </c>
      <c r="BG93" s="78" t="str">
        <f t="shared" si="33"/>
        <v>Tipo 2 (0,25-0,50) uT</v>
      </c>
    </row>
    <row r="94" spans="1:59" x14ac:dyDescent="0.2">
      <c r="A94" s="21">
        <v>46136</v>
      </c>
      <c r="B94" s="48">
        <v>0.8125</v>
      </c>
      <c r="C94" s="57">
        <v>1158</v>
      </c>
      <c r="D94" s="57">
        <v>81</v>
      </c>
      <c r="E94" s="57">
        <v>591</v>
      </c>
      <c r="F94" s="57">
        <v>1974</v>
      </c>
      <c r="G94" s="10" t="s">
        <v>34</v>
      </c>
      <c r="H94" s="63">
        <v>2.4500000000000002</v>
      </c>
      <c r="I94" s="57">
        <v>90</v>
      </c>
      <c r="J94" s="57">
        <v>90</v>
      </c>
      <c r="K94" s="57">
        <v>90</v>
      </c>
      <c r="L94" s="63">
        <v>25</v>
      </c>
      <c r="M94" s="63">
        <v>6.8</v>
      </c>
      <c r="N94" s="36">
        <v>2.4500000000000002</v>
      </c>
      <c r="O94" s="57">
        <v>10</v>
      </c>
      <c r="P94" s="63">
        <v>6.9</v>
      </c>
      <c r="Q94" s="36">
        <v>0.4</v>
      </c>
      <c r="R94" s="36">
        <v>22.36</v>
      </c>
      <c r="S94" s="36">
        <v>0.88</v>
      </c>
      <c r="T94" s="36">
        <v>0.7</v>
      </c>
      <c r="U94" s="42"/>
      <c r="V94" s="36"/>
      <c r="W94" s="36"/>
      <c r="X94" s="57"/>
      <c r="Y94" s="57"/>
      <c r="Z94" s="63"/>
      <c r="AA94" s="57"/>
      <c r="AB94" s="63">
        <v>7</v>
      </c>
      <c r="AC94" s="63">
        <v>6.6</v>
      </c>
      <c r="AD94" s="10">
        <v>0.14000000000000001</v>
      </c>
      <c r="AE94" s="36">
        <v>0.83</v>
      </c>
      <c r="AF94" s="36"/>
      <c r="AG94" s="36"/>
      <c r="AH94" s="36"/>
      <c r="AI94" s="57"/>
      <c r="AJ94" s="57"/>
      <c r="AK94" s="36"/>
      <c r="AL94" s="36"/>
      <c r="AM94" s="63">
        <v>7</v>
      </c>
      <c r="AN94" s="63">
        <v>6.9</v>
      </c>
      <c r="AO94" s="36">
        <v>0.13</v>
      </c>
      <c r="AP94" s="68">
        <v>1.36</v>
      </c>
      <c r="AQ94" s="73">
        <f t="shared" si="17"/>
        <v>1830</v>
      </c>
      <c r="AR94" s="75">
        <f t="shared" si="18"/>
        <v>0.63278688524590165</v>
      </c>
      <c r="AS94" s="75">
        <f t="shared" si="19"/>
        <v>4.4262295081967211E-2</v>
      </c>
      <c r="AT94" s="75">
        <f t="shared" si="20"/>
        <v>0.32295081967213113</v>
      </c>
      <c r="AU94" s="26" t="str">
        <f t="shared" si="21"/>
        <v/>
      </c>
      <c r="AV94" s="26" t="str">
        <f t="shared" si="22"/>
        <v/>
      </c>
      <c r="AW94" s="24">
        <f t="shared" si="23"/>
        <v>0.44489795918367347</v>
      </c>
      <c r="AX94" s="24">
        <f t="shared" si="24"/>
        <v>0.66122448979591841</v>
      </c>
      <c r="AY94" s="77" t="str">
        <f t="shared" si="25"/>
        <v>5,0 ≤ Alc. Bruta &lt; 7,5 mg/L</v>
      </c>
      <c r="AZ94" s="77" t="str">
        <f t="shared" si="26"/>
        <v>10 ≤ Cor &lt;15 uC</v>
      </c>
      <c r="BA94" s="78" t="str">
        <f t="shared" si="27"/>
        <v>Turbidez &lt; 2,5 uT</v>
      </c>
      <c r="BB94" s="79" t="str">
        <f t="shared" si="28"/>
        <v>TOR &gt; BNN &gt; SM</v>
      </c>
      <c r="BC94" s="78" t="str">
        <f t="shared" si="29"/>
        <v>Tipo 1 (≤0,25) uT</v>
      </c>
      <c r="BD94" s="78" t="str">
        <f t="shared" si="30"/>
        <v>Tipo 1 (≤0,25) uT</v>
      </c>
      <c r="BE94" s="78" t="str">
        <f t="shared" si="31"/>
        <v>Tipo 4 (&gt;0,75) uT</v>
      </c>
      <c r="BF94" s="78" t="str">
        <f t="shared" si="32"/>
        <v>Tipo 4 (&gt;0,75) uT</v>
      </c>
      <c r="BG94" s="78" t="str">
        <f t="shared" si="33"/>
        <v>Tipo 2 (0,25-0,50) uT</v>
      </c>
    </row>
    <row r="95" spans="1:59" x14ac:dyDescent="0.2">
      <c r="A95" s="21">
        <v>46136</v>
      </c>
      <c r="B95" s="48">
        <v>0.89583333333333337</v>
      </c>
      <c r="C95" s="57">
        <v>1175</v>
      </c>
      <c r="D95" s="57">
        <v>84</v>
      </c>
      <c r="E95" s="57">
        <v>591</v>
      </c>
      <c r="F95" s="57">
        <v>1889</v>
      </c>
      <c r="G95" s="10" t="s">
        <v>34</v>
      </c>
      <c r="H95" s="63">
        <v>2.4500000000000002</v>
      </c>
      <c r="I95" s="57">
        <v>90</v>
      </c>
      <c r="J95" s="57">
        <v>90</v>
      </c>
      <c r="K95" s="57">
        <v>90</v>
      </c>
      <c r="L95" s="63">
        <v>24.5</v>
      </c>
      <c r="M95" s="63">
        <v>6.9</v>
      </c>
      <c r="N95" s="36">
        <v>3.44</v>
      </c>
      <c r="O95" s="57">
        <v>5</v>
      </c>
      <c r="P95" s="63">
        <v>7.6</v>
      </c>
      <c r="Q95" s="36">
        <v>0.3</v>
      </c>
      <c r="R95" s="36">
        <v>22.36</v>
      </c>
      <c r="S95" s="36">
        <v>0.88</v>
      </c>
      <c r="T95" s="36">
        <v>0.7</v>
      </c>
      <c r="U95" s="42"/>
      <c r="V95" s="36"/>
      <c r="W95" s="36"/>
      <c r="X95" s="57"/>
      <c r="Y95" s="57"/>
      <c r="Z95" s="63"/>
      <c r="AA95" s="57"/>
      <c r="AB95" s="63">
        <v>7.1</v>
      </c>
      <c r="AC95" s="63">
        <v>9.9</v>
      </c>
      <c r="AD95" s="10">
        <v>0.34</v>
      </c>
      <c r="AE95" s="36">
        <v>1.2</v>
      </c>
      <c r="AF95" s="36"/>
      <c r="AG95" s="36"/>
      <c r="AH95" s="36"/>
      <c r="AI95" s="57"/>
      <c r="AJ95" s="57"/>
      <c r="AK95" s="36"/>
      <c r="AL95" s="36"/>
      <c r="AM95" s="63">
        <v>7</v>
      </c>
      <c r="AN95" s="63">
        <v>9.4</v>
      </c>
      <c r="AO95" s="36">
        <v>0.18</v>
      </c>
      <c r="AP95" s="68">
        <v>1.49</v>
      </c>
      <c r="AQ95" s="73">
        <f t="shared" si="17"/>
        <v>1850</v>
      </c>
      <c r="AR95" s="75">
        <f t="shared" si="18"/>
        <v>0.63513513513513509</v>
      </c>
      <c r="AS95" s="75">
        <f t="shared" si="19"/>
        <v>4.5405405405405407E-2</v>
      </c>
      <c r="AT95" s="75">
        <f t="shared" si="20"/>
        <v>0.31945945945945947</v>
      </c>
      <c r="AU95" s="26" t="str">
        <f t="shared" si="21"/>
        <v/>
      </c>
      <c r="AV95" s="26" t="str">
        <f t="shared" si="22"/>
        <v/>
      </c>
      <c r="AW95" s="24">
        <f t="shared" si="23"/>
        <v>0.56686046511627908</v>
      </c>
      <c r="AX95" s="24">
        <f t="shared" si="24"/>
        <v>0.65116279069767447</v>
      </c>
      <c r="AY95" s="77" t="str">
        <f t="shared" si="25"/>
        <v>7,5 ≤ Alc. Bruta &lt; 10,0 mg/L</v>
      </c>
      <c r="AZ95" s="77" t="str">
        <f t="shared" si="26"/>
        <v>5 ≤ Cor &lt; 10 uC</v>
      </c>
      <c r="BA95" s="78" t="str">
        <f t="shared" si="27"/>
        <v>2,5 ≤ Turb &lt; 5,0 uT</v>
      </c>
      <c r="BB95" s="79" t="str">
        <f t="shared" si="28"/>
        <v>TOR &gt; BNN &gt; SM</v>
      </c>
      <c r="BC95" s="78" t="str">
        <f t="shared" si="29"/>
        <v>Tipo 2 (0,25-0,50) uT</v>
      </c>
      <c r="BD95" s="78" t="str">
        <f t="shared" si="30"/>
        <v>Tipo 1 (≤0,25) uT</v>
      </c>
      <c r="BE95" s="78" t="str">
        <f t="shared" si="31"/>
        <v>Tipo 4 (&gt;0,75) uT</v>
      </c>
      <c r="BF95" s="78" t="str">
        <f t="shared" si="32"/>
        <v>Tipo 4 (&gt;0,75) uT</v>
      </c>
      <c r="BG95" s="78" t="str">
        <f t="shared" si="33"/>
        <v>Tipo 2 (0,25-0,50) uT</v>
      </c>
    </row>
    <row r="96" spans="1:59" x14ac:dyDescent="0.2">
      <c r="A96" s="21">
        <v>46136</v>
      </c>
      <c r="B96" s="48">
        <v>0.97916666666666663</v>
      </c>
      <c r="C96" s="57">
        <v>1218</v>
      </c>
      <c r="D96" s="57">
        <v>81</v>
      </c>
      <c r="E96" s="57">
        <v>589</v>
      </c>
      <c r="F96" s="57">
        <v>1978</v>
      </c>
      <c r="G96" s="10" t="s">
        <v>34</v>
      </c>
      <c r="H96" s="63">
        <v>2.4500000000000002</v>
      </c>
      <c r="I96" s="57">
        <v>90</v>
      </c>
      <c r="J96" s="57">
        <v>90</v>
      </c>
      <c r="K96" s="57">
        <v>90</v>
      </c>
      <c r="L96" s="63">
        <v>24.4</v>
      </c>
      <c r="M96" s="63">
        <v>6.9</v>
      </c>
      <c r="N96" s="36">
        <v>5.89</v>
      </c>
      <c r="O96" s="57">
        <v>21</v>
      </c>
      <c r="P96" s="63">
        <v>6.2</v>
      </c>
      <c r="Q96" s="36">
        <v>0.33</v>
      </c>
      <c r="R96" s="36">
        <v>22.36</v>
      </c>
      <c r="S96" s="36">
        <v>0.88</v>
      </c>
      <c r="T96" s="36">
        <v>0.7</v>
      </c>
      <c r="U96" s="42"/>
      <c r="V96" s="36"/>
      <c r="W96" s="36"/>
      <c r="X96" s="57"/>
      <c r="Y96" s="57"/>
      <c r="Z96" s="63"/>
      <c r="AA96" s="57"/>
      <c r="AB96" s="63">
        <v>7.1</v>
      </c>
      <c r="AC96" s="63">
        <v>7.2</v>
      </c>
      <c r="AD96" s="10">
        <v>0.48</v>
      </c>
      <c r="AE96" s="36">
        <v>1.34</v>
      </c>
      <c r="AF96" s="36"/>
      <c r="AG96" s="36"/>
      <c r="AH96" s="36"/>
      <c r="AI96" s="57"/>
      <c r="AJ96" s="57"/>
      <c r="AK96" s="36"/>
      <c r="AL96" s="36"/>
      <c r="AM96" s="63">
        <v>7</v>
      </c>
      <c r="AN96" s="63">
        <v>7.6</v>
      </c>
      <c r="AO96" s="36">
        <v>0.11</v>
      </c>
      <c r="AP96" s="68">
        <v>1.01</v>
      </c>
      <c r="AQ96" s="73">
        <f t="shared" si="17"/>
        <v>1888</v>
      </c>
      <c r="AR96" s="75">
        <f t="shared" si="18"/>
        <v>0.6451271186440678</v>
      </c>
      <c r="AS96" s="75">
        <f t="shared" si="19"/>
        <v>4.2902542372881353E-2</v>
      </c>
      <c r="AT96" s="75">
        <f t="shared" si="20"/>
        <v>0.31197033898305082</v>
      </c>
      <c r="AU96" s="26" t="str">
        <f t="shared" si="21"/>
        <v/>
      </c>
      <c r="AV96" s="26" t="str">
        <f t="shared" si="22"/>
        <v/>
      </c>
      <c r="AW96" s="24">
        <f t="shared" si="23"/>
        <v>0.82852292020373519</v>
      </c>
      <c r="AX96" s="24">
        <f t="shared" si="24"/>
        <v>0.77249575551782679</v>
      </c>
      <c r="AY96" s="77" t="str">
        <f t="shared" si="25"/>
        <v>5,0 ≤ Alc. Bruta &lt; 7,5 mg/L</v>
      </c>
      <c r="AZ96" s="77" t="str">
        <f t="shared" si="26"/>
        <v>15 ≤ Cor &lt; 30 uC</v>
      </c>
      <c r="BA96" s="78" t="str">
        <f t="shared" si="27"/>
        <v>5,0 ≤ Turb &lt; 7,5 uT</v>
      </c>
      <c r="BB96" s="79" t="str">
        <f t="shared" si="28"/>
        <v>TOR &gt; BNN &gt; SM</v>
      </c>
      <c r="BC96" s="78" t="str">
        <f t="shared" si="29"/>
        <v>Tipo 2 (0,25-0,50) uT</v>
      </c>
      <c r="BD96" s="78" t="str">
        <f t="shared" si="30"/>
        <v>Tipo 1 (≤0,25) uT</v>
      </c>
      <c r="BE96" s="78" t="str">
        <f t="shared" si="31"/>
        <v>Tipo 4 (&gt;0,75) uT</v>
      </c>
      <c r="BF96" s="78" t="str">
        <f t="shared" si="32"/>
        <v>Tipo 4 (&gt;0,75) uT</v>
      </c>
      <c r="BG96" s="78" t="str">
        <f t="shared" si="33"/>
        <v>Tipo 2 (0,25-0,50) uT</v>
      </c>
    </row>
    <row r="97" spans="1:59" x14ac:dyDescent="0.2">
      <c r="A97" s="21">
        <v>46137</v>
      </c>
      <c r="B97" s="48">
        <v>6.25E-2</v>
      </c>
      <c r="C97" s="57">
        <v>1221</v>
      </c>
      <c r="D97" s="57">
        <v>86</v>
      </c>
      <c r="E97" s="57">
        <v>589</v>
      </c>
      <c r="F97" s="57">
        <v>1975</v>
      </c>
      <c r="G97" s="10" t="s">
        <v>34</v>
      </c>
      <c r="H97" s="63">
        <v>2.6</v>
      </c>
      <c r="I97" s="57">
        <v>90</v>
      </c>
      <c r="J97" s="57">
        <v>90</v>
      </c>
      <c r="K97" s="57">
        <v>90</v>
      </c>
      <c r="L97" s="63">
        <v>24.1</v>
      </c>
      <c r="M97" s="63">
        <v>6.9</v>
      </c>
      <c r="N97" s="36">
        <v>3.36</v>
      </c>
      <c r="O97" s="57">
        <v>14</v>
      </c>
      <c r="P97" s="63">
        <v>7.1</v>
      </c>
      <c r="Q97" s="36">
        <v>0.63</v>
      </c>
      <c r="R97" s="36">
        <v>22.36</v>
      </c>
      <c r="S97" s="36">
        <v>0.88</v>
      </c>
      <c r="T97" s="36">
        <v>0.7</v>
      </c>
      <c r="U97" s="42"/>
      <c r="V97" s="36"/>
      <c r="W97" s="36"/>
      <c r="X97" s="57"/>
      <c r="Y97" s="57"/>
      <c r="Z97" s="63"/>
      <c r="AA97" s="57"/>
      <c r="AB97" s="63">
        <v>7.1</v>
      </c>
      <c r="AC97" s="63">
        <v>7.1</v>
      </c>
      <c r="AD97" s="10">
        <v>0.43</v>
      </c>
      <c r="AE97" s="36">
        <v>1.58</v>
      </c>
      <c r="AF97" s="36"/>
      <c r="AG97" s="36"/>
      <c r="AH97" s="36"/>
      <c r="AI97" s="57"/>
      <c r="AJ97" s="57"/>
      <c r="AK97" s="36"/>
      <c r="AL97" s="36"/>
      <c r="AM97" s="63">
        <v>7</v>
      </c>
      <c r="AN97" s="63">
        <v>6.9</v>
      </c>
      <c r="AO97" s="36">
        <v>0.13</v>
      </c>
      <c r="AP97" s="68">
        <v>0.93</v>
      </c>
      <c r="AQ97" s="73">
        <f t="shared" si="17"/>
        <v>1896</v>
      </c>
      <c r="AR97" s="75">
        <f t="shared" si="18"/>
        <v>0.64398734177215189</v>
      </c>
      <c r="AS97" s="75">
        <f t="shared" si="19"/>
        <v>4.5358649789029537E-2</v>
      </c>
      <c r="AT97" s="75">
        <f t="shared" si="20"/>
        <v>0.31065400843881857</v>
      </c>
      <c r="AU97" s="26" t="str">
        <f t="shared" si="21"/>
        <v/>
      </c>
      <c r="AV97" s="26" t="str">
        <f t="shared" si="22"/>
        <v/>
      </c>
      <c r="AW97" s="24">
        <f t="shared" si="23"/>
        <v>0.7232142857142857</v>
      </c>
      <c r="AX97" s="24">
        <f t="shared" si="24"/>
        <v>0.52976190476190466</v>
      </c>
      <c r="AY97" s="77" t="str">
        <f t="shared" si="25"/>
        <v>5,0 ≤ Alc. Bruta &lt; 7,5 mg/L</v>
      </c>
      <c r="AZ97" s="77" t="str">
        <f t="shared" si="26"/>
        <v>10 ≤ Cor &lt;15 uC</v>
      </c>
      <c r="BA97" s="78" t="str">
        <f t="shared" si="27"/>
        <v>2,5 ≤ Turb &lt; 5,0 uT</v>
      </c>
      <c r="BB97" s="79" t="str">
        <f t="shared" si="28"/>
        <v>TOR &gt; BNN &gt; SM</v>
      </c>
      <c r="BC97" s="78" t="str">
        <f t="shared" si="29"/>
        <v>Tipo 2 (0,25-0,50) uT</v>
      </c>
      <c r="BD97" s="78" t="str">
        <f t="shared" si="30"/>
        <v>Tipo 1 (≤0,25) uT</v>
      </c>
      <c r="BE97" s="78" t="str">
        <f t="shared" si="31"/>
        <v>Tipo 4 (&gt;0,75) uT</v>
      </c>
      <c r="BF97" s="78" t="str">
        <f t="shared" si="32"/>
        <v>Tipo 4 (&gt;0,75) uT</v>
      </c>
      <c r="BG97" s="78" t="str">
        <f t="shared" si="33"/>
        <v>Tipo 3 (0,50-0,75) uT</v>
      </c>
    </row>
    <row r="98" spans="1:59" x14ac:dyDescent="0.2">
      <c r="A98" s="21">
        <v>46137</v>
      </c>
      <c r="B98" s="48">
        <v>0.14583333333333334</v>
      </c>
      <c r="C98" s="57">
        <v>1212</v>
      </c>
      <c r="D98" s="57">
        <v>87</v>
      </c>
      <c r="E98" s="57">
        <v>590</v>
      </c>
      <c r="F98" s="57">
        <v>1946</v>
      </c>
      <c r="G98" s="10" t="s">
        <v>34</v>
      </c>
      <c r="H98" s="63">
        <v>2.7</v>
      </c>
      <c r="I98" s="57">
        <v>90</v>
      </c>
      <c r="J98" s="57">
        <v>90</v>
      </c>
      <c r="K98" s="57">
        <v>90</v>
      </c>
      <c r="L98" s="63">
        <v>24</v>
      </c>
      <c r="M98" s="63">
        <v>6.9</v>
      </c>
      <c r="N98" s="36">
        <v>3.36</v>
      </c>
      <c r="O98" s="57">
        <v>15</v>
      </c>
      <c r="P98" s="63">
        <v>6.5</v>
      </c>
      <c r="Q98" s="36">
        <v>0.45</v>
      </c>
      <c r="R98" s="36">
        <v>22.36</v>
      </c>
      <c r="S98" s="36">
        <v>0.88</v>
      </c>
      <c r="T98" s="36">
        <v>0.7</v>
      </c>
      <c r="U98" s="42"/>
      <c r="V98" s="36"/>
      <c r="W98" s="36"/>
      <c r="X98" s="57"/>
      <c r="Y98" s="57"/>
      <c r="Z98" s="63"/>
      <c r="AA98" s="57"/>
      <c r="AB98" s="63">
        <v>7</v>
      </c>
      <c r="AC98" s="63">
        <v>8.1</v>
      </c>
      <c r="AD98" s="10">
        <v>0.6</v>
      </c>
      <c r="AE98" s="36">
        <v>1.22</v>
      </c>
      <c r="AF98" s="36"/>
      <c r="AG98" s="36"/>
      <c r="AH98" s="36"/>
      <c r="AI98" s="57"/>
      <c r="AJ98" s="57"/>
      <c r="AK98" s="36"/>
      <c r="AL98" s="36"/>
      <c r="AM98" s="63">
        <v>7</v>
      </c>
      <c r="AN98" s="63">
        <v>7.7</v>
      </c>
      <c r="AO98" s="36">
        <v>0.14000000000000001</v>
      </c>
      <c r="AP98" s="68">
        <v>0.98</v>
      </c>
      <c r="AQ98" s="73">
        <f t="shared" si="17"/>
        <v>1889</v>
      </c>
      <c r="AR98" s="75">
        <f t="shared" si="18"/>
        <v>0.64160931709899416</v>
      </c>
      <c r="AS98" s="75">
        <f t="shared" si="19"/>
        <v>4.6056114346214927E-2</v>
      </c>
      <c r="AT98" s="75">
        <f t="shared" si="20"/>
        <v>0.31233456855479091</v>
      </c>
      <c r="AU98" s="26" t="str">
        <f t="shared" si="21"/>
        <v/>
      </c>
      <c r="AV98" s="26" t="str">
        <f t="shared" si="22"/>
        <v/>
      </c>
      <c r="AW98" s="24">
        <f t="shared" si="23"/>
        <v>0.70833333333333326</v>
      </c>
      <c r="AX98" s="24">
        <f t="shared" si="24"/>
        <v>0.63690476190476186</v>
      </c>
      <c r="AY98" s="77" t="str">
        <f t="shared" si="25"/>
        <v>5,0 ≤ Alc. Bruta &lt; 7,5 mg/L</v>
      </c>
      <c r="AZ98" s="77" t="str">
        <f t="shared" si="26"/>
        <v>15 ≤ Cor &lt; 30 uC</v>
      </c>
      <c r="BA98" s="78" t="str">
        <f t="shared" si="27"/>
        <v>2,5 ≤ Turb &lt; 5,0 uT</v>
      </c>
      <c r="BB98" s="79" t="str">
        <f t="shared" si="28"/>
        <v>TOR &gt; BNN &gt; SM</v>
      </c>
      <c r="BC98" s="78" t="str">
        <f t="shared" si="29"/>
        <v>Tipo 3 (0,50-0,75) uT</v>
      </c>
      <c r="BD98" s="78" t="str">
        <f t="shared" si="30"/>
        <v>Tipo 1 (≤0,25) uT</v>
      </c>
      <c r="BE98" s="78" t="str">
        <f t="shared" si="31"/>
        <v>Tipo 4 (&gt;0,75) uT</v>
      </c>
      <c r="BF98" s="78" t="str">
        <f t="shared" si="32"/>
        <v>Tipo 4 (&gt;0,75) uT</v>
      </c>
      <c r="BG98" s="78" t="str">
        <f t="shared" si="33"/>
        <v>Tipo 2 (0,25-0,50) uT</v>
      </c>
    </row>
    <row r="99" spans="1:59" ht="15.75" thickBot="1" x14ac:dyDescent="0.25">
      <c r="A99" s="21">
        <v>46137</v>
      </c>
      <c r="B99" s="51">
        <v>0.22916666666666666</v>
      </c>
      <c r="C99" s="58">
        <v>1156</v>
      </c>
      <c r="D99" s="58">
        <v>86</v>
      </c>
      <c r="E99" s="58">
        <v>591</v>
      </c>
      <c r="F99" s="58">
        <v>1884</v>
      </c>
      <c r="G99" s="11" t="s">
        <v>34</v>
      </c>
      <c r="H99" s="64">
        <v>2.7</v>
      </c>
      <c r="I99" s="58">
        <v>90</v>
      </c>
      <c r="J99" s="58">
        <v>90</v>
      </c>
      <c r="K99" s="58">
        <v>90</v>
      </c>
      <c r="L99" s="64">
        <v>23.7</v>
      </c>
      <c r="M99" s="64">
        <v>6.8</v>
      </c>
      <c r="N99" s="37">
        <v>4.1900000000000004</v>
      </c>
      <c r="O99" s="58">
        <v>16</v>
      </c>
      <c r="P99" s="64">
        <v>7.1</v>
      </c>
      <c r="Q99" s="37">
        <v>0.35</v>
      </c>
      <c r="R99" s="36">
        <v>22.36</v>
      </c>
      <c r="S99" s="36">
        <v>0.88</v>
      </c>
      <c r="T99" s="36">
        <v>0.7</v>
      </c>
      <c r="U99" s="42"/>
      <c r="V99" s="41"/>
      <c r="W99" s="37"/>
      <c r="X99" s="58"/>
      <c r="Y99" s="58"/>
      <c r="Z99" s="64"/>
      <c r="AA99" s="58"/>
      <c r="AB99" s="64">
        <v>6.9</v>
      </c>
      <c r="AC99" s="64">
        <v>7.9</v>
      </c>
      <c r="AD99" s="11">
        <v>0.23</v>
      </c>
      <c r="AE99" s="37">
        <v>0.74</v>
      </c>
      <c r="AF99" s="37"/>
      <c r="AG99" s="37"/>
      <c r="AH99" s="37"/>
      <c r="AI99" s="58"/>
      <c r="AJ99" s="58"/>
      <c r="AK99" s="37"/>
      <c r="AL99" s="37"/>
      <c r="AM99" s="64">
        <v>6.8</v>
      </c>
      <c r="AN99" s="64">
        <v>8.1999999999999993</v>
      </c>
      <c r="AO99" s="37">
        <v>0.11</v>
      </c>
      <c r="AP99" s="69">
        <v>0.97</v>
      </c>
      <c r="AQ99" s="73">
        <f t="shared" si="17"/>
        <v>1833</v>
      </c>
      <c r="AR99" s="75">
        <f t="shared" si="18"/>
        <v>0.63066012002182215</v>
      </c>
      <c r="AS99" s="75">
        <f t="shared" si="19"/>
        <v>4.6917621385706494E-2</v>
      </c>
      <c r="AT99" s="75">
        <f t="shared" si="20"/>
        <v>0.32242225859247137</v>
      </c>
      <c r="AU99" s="26" t="str">
        <f t="shared" si="21"/>
        <v/>
      </c>
      <c r="AV99" s="26" t="str">
        <f t="shared" si="22"/>
        <v/>
      </c>
      <c r="AW99" s="24">
        <f t="shared" si="23"/>
        <v>0.76849642004773266</v>
      </c>
      <c r="AX99" s="24">
        <f t="shared" si="24"/>
        <v>0.8233890214797136</v>
      </c>
      <c r="AY99" s="77" t="str">
        <f t="shared" si="25"/>
        <v>5,0 ≤ Alc. Bruta &lt; 7,5 mg/L</v>
      </c>
      <c r="AZ99" s="77" t="str">
        <f t="shared" si="26"/>
        <v>15 ≤ Cor &lt; 30 uC</v>
      </c>
      <c r="BA99" s="78" t="str">
        <f t="shared" si="27"/>
        <v>2,5 ≤ Turb &lt; 5,0 uT</v>
      </c>
      <c r="BB99" s="79" t="str">
        <f t="shared" si="28"/>
        <v>TOR &gt; BNN &gt; SM</v>
      </c>
      <c r="BC99" s="78" t="str">
        <f t="shared" si="29"/>
        <v>Tipo 1 (≤0,25) uT</v>
      </c>
      <c r="BD99" s="78" t="str">
        <f t="shared" si="30"/>
        <v>Tipo 1 (≤0,25) uT</v>
      </c>
      <c r="BE99" s="78" t="str">
        <f t="shared" si="31"/>
        <v>Tipo 3 (0,50-0,75) uT</v>
      </c>
      <c r="BF99" s="78" t="str">
        <f t="shared" si="32"/>
        <v>Tipo 4 (&gt;0,75) uT</v>
      </c>
      <c r="BG99" s="78" t="str">
        <f t="shared" si="33"/>
        <v>Tipo 2 (0,25-0,50) uT</v>
      </c>
    </row>
    <row r="100" spans="1:59" x14ac:dyDescent="0.2">
      <c r="A100" s="21">
        <v>46139</v>
      </c>
      <c r="B100" s="48">
        <v>0.47916666666666669</v>
      </c>
      <c r="C100" s="57">
        <v>1584</v>
      </c>
      <c r="D100" s="57">
        <v>86</v>
      </c>
      <c r="E100" s="57">
        <v>543</v>
      </c>
      <c r="F100" s="57">
        <v>2166</v>
      </c>
      <c r="G100" s="10" t="s">
        <v>34</v>
      </c>
      <c r="H100" s="63">
        <v>2.6</v>
      </c>
      <c r="I100" s="57">
        <v>90</v>
      </c>
      <c r="J100" s="57">
        <v>90</v>
      </c>
      <c r="K100" s="57">
        <v>90</v>
      </c>
      <c r="L100" s="63">
        <v>24.3</v>
      </c>
      <c r="M100" s="63">
        <v>6.8</v>
      </c>
      <c r="N100" s="36">
        <v>3.27</v>
      </c>
      <c r="O100" s="57">
        <v>13</v>
      </c>
      <c r="P100" s="63">
        <v>5.8</v>
      </c>
      <c r="Q100" s="36">
        <v>0.56000000000000005</v>
      </c>
      <c r="R100" s="36">
        <v>22.36</v>
      </c>
      <c r="S100" s="36">
        <v>0.88</v>
      </c>
      <c r="T100" s="36">
        <v>0.7</v>
      </c>
      <c r="U100" s="42">
        <f t="shared" ref="U100:U163" si="34">(N100+0.3*H100+0.25)*(F100/2/Y100)</f>
        <v>1164.2249999999999</v>
      </c>
      <c r="V100" s="42">
        <f t="shared" ref="V100:V163" si="35">R100*(T100*Z100*0.987-S100)*AA100</f>
        <v>1456.0756423199998</v>
      </c>
      <c r="W100" s="36">
        <f t="shared" ref="W100:W163" si="36">V100/U100</f>
        <v>1.2506823357340719</v>
      </c>
      <c r="X100" s="57">
        <v>3</v>
      </c>
      <c r="Y100" s="57">
        <v>4</v>
      </c>
      <c r="Z100" s="63">
        <v>6.51</v>
      </c>
      <c r="AA100" s="57">
        <v>18</v>
      </c>
      <c r="AB100" s="63">
        <v>6.9</v>
      </c>
      <c r="AC100" s="63">
        <v>5.9</v>
      </c>
      <c r="AD100" s="10">
        <v>0.35</v>
      </c>
      <c r="AE100" s="36">
        <v>0.47</v>
      </c>
      <c r="AF100" s="42">
        <f>(N100+0.3*H100+0.25)*(F100/2/AJ100)</f>
        <v>1164.2249999999999</v>
      </c>
      <c r="AG100" s="42">
        <f>R100*(T100*AK100*0.987-S100)*AL100</f>
        <v>1900.6500864</v>
      </c>
      <c r="AH100" s="42">
        <f>AG100/AF100</f>
        <v>1.6325453296398893</v>
      </c>
      <c r="AI100" s="57">
        <v>3</v>
      </c>
      <c r="AJ100" s="57">
        <v>4</v>
      </c>
      <c r="AK100" s="36">
        <v>6.4</v>
      </c>
      <c r="AL100" s="36">
        <v>24</v>
      </c>
      <c r="AM100" s="63">
        <v>6.8</v>
      </c>
      <c r="AN100" s="63">
        <v>5.9</v>
      </c>
      <c r="AO100" s="36">
        <v>0.28999999999999998</v>
      </c>
      <c r="AP100" s="68">
        <v>0.75</v>
      </c>
      <c r="AQ100" s="73">
        <f t="shared" si="17"/>
        <v>2213</v>
      </c>
      <c r="AR100" s="75">
        <f t="shared" si="18"/>
        <v>0.71577044735652962</v>
      </c>
      <c r="AS100" s="75">
        <f t="shared" si="19"/>
        <v>3.886127428829643E-2</v>
      </c>
      <c r="AT100" s="75">
        <f t="shared" si="20"/>
        <v>0.24536827835517397</v>
      </c>
      <c r="AU100" s="26">
        <f t="shared" si="21"/>
        <v>6.6481994459833799E-2</v>
      </c>
      <c r="AV100" s="26">
        <f t="shared" si="22"/>
        <v>8.8642659279778394E-2</v>
      </c>
      <c r="AW100" s="24">
        <f t="shared" si="23"/>
        <v>0.77064220183486243</v>
      </c>
      <c r="AX100" s="24">
        <f t="shared" si="24"/>
        <v>0.85626911314984711</v>
      </c>
      <c r="AY100" s="77" t="str">
        <f t="shared" si="25"/>
        <v>5,0 ≤ Alc. Bruta &lt; 7,5 mg/L</v>
      </c>
      <c r="AZ100" s="77" t="str">
        <f t="shared" si="26"/>
        <v>10 ≤ Cor &lt;15 uC</v>
      </c>
      <c r="BA100" s="78" t="str">
        <f t="shared" si="27"/>
        <v>2,5 ≤ Turb &lt; 5,0 uT</v>
      </c>
      <c r="BB100" s="79" t="str">
        <f t="shared" si="28"/>
        <v>TOR &gt; BNN &gt; SM</v>
      </c>
      <c r="BC100" s="78" t="str">
        <f t="shared" si="29"/>
        <v>Tipo 2 (0,25-0,50) uT</v>
      </c>
      <c r="BD100" s="78" t="str">
        <f t="shared" si="30"/>
        <v>Tipo 2 (0,25-0,50) uT</v>
      </c>
      <c r="BE100" s="78" t="str">
        <f t="shared" si="31"/>
        <v>Tipo 2 (0,25-0,50) uT</v>
      </c>
      <c r="BF100" s="78" t="str">
        <f t="shared" si="32"/>
        <v>Tipo 3 (0,50-0,75) uT</v>
      </c>
      <c r="BG100" s="78" t="str">
        <f t="shared" si="33"/>
        <v>Tipo 3 (0,50-0,75) uT</v>
      </c>
    </row>
    <row r="101" spans="1:59" x14ac:dyDescent="0.2">
      <c r="A101" s="21">
        <v>46139</v>
      </c>
      <c r="B101" s="48">
        <v>0.5625</v>
      </c>
      <c r="C101" s="57">
        <v>1512</v>
      </c>
      <c r="D101" s="57">
        <v>80</v>
      </c>
      <c r="E101" s="57">
        <v>542</v>
      </c>
      <c r="F101" s="57">
        <v>2170</v>
      </c>
      <c r="G101" s="10" t="s">
        <v>34</v>
      </c>
      <c r="H101" s="63">
        <v>2.6</v>
      </c>
      <c r="I101" s="57">
        <v>90</v>
      </c>
      <c r="J101" s="57">
        <v>90</v>
      </c>
      <c r="K101" s="57">
        <v>90</v>
      </c>
      <c r="L101" s="63">
        <v>25</v>
      </c>
      <c r="M101" s="63">
        <v>6.7</v>
      </c>
      <c r="N101" s="36">
        <v>3.39</v>
      </c>
      <c r="O101" s="57">
        <v>16</v>
      </c>
      <c r="P101" s="63">
        <v>4.7</v>
      </c>
      <c r="Q101" s="36">
        <v>0.2</v>
      </c>
      <c r="R101" s="36">
        <v>22.36</v>
      </c>
      <c r="S101" s="36">
        <v>0.88</v>
      </c>
      <c r="T101" s="36">
        <v>0.7</v>
      </c>
      <c r="U101" s="42">
        <f t="shared" si="34"/>
        <v>1198.925</v>
      </c>
      <c r="V101" s="36">
        <f t="shared" si="35"/>
        <v>1558.2550958000002</v>
      </c>
      <c r="W101" s="36">
        <f t="shared" si="36"/>
        <v>1.2997102369205749</v>
      </c>
      <c r="X101" s="57">
        <v>3</v>
      </c>
      <c r="Y101" s="57">
        <v>4</v>
      </c>
      <c r="Z101" s="63">
        <v>6.5</v>
      </c>
      <c r="AA101" s="57">
        <v>19.3</v>
      </c>
      <c r="AB101" s="63">
        <v>7</v>
      </c>
      <c r="AC101" s="63">
        <v>5.6</v>
      </c>
      <c r="AD101" s="10">
        <v>0.22</v>
      </c>
      <c r="AE101" s="36">
        <v>0.51</v>
      </c>
      <c r="AF101" s="42">
        <f t="shared" ref="AF101:AF164" si="37">(N101+0.3*H101+0.25)*(F101/2/AJ101)</f>
        <v>1198.925</v>
      </c>
      <c r="AG101" s="42">
        <f t="shared" ref="AG101:AG164" si="38">R101*(T101*AK101*0.987-S101)*AL101</f>
        <v>1929.1598376959998</v>
      </c>
      <c r="AH101" s="42">
        <f t="shared" ref="AH101:AH164" si="39">AG101/AF101</f>
        <v>1.6090746607969639</v>
      </c>
      <c r="AI101" s="57">
        <v>3</v>
      </c>
      <c r="AJ101" s="57">
        <v>4</v>
      </c>
      <c r="AK101" s="36">
        <v>6.4</v>
      </c>
      <c r="AL101" s="36">
        <v>24.36</v>
      </c>
      <c r="AM101" s="63">
        <v>6.9</v>
      </c>
      <c r="AN101" s="63">
        <v>6.5</v>
      </c>
      <c r="AO101" s="36">
        <v>0.25</v>
      </c>
      <c r="AP101" s="68">
        <v>0.7</v>
      </c>
      <c r="AQ101" s="73">
        <f t="shared" si="17"/>
        <v>2134</v>
      </c>
      <c r="AR101" s="75">
        <f t="shared" si="18"/>
        <v>0.70852858481724457</v>
      </c>
      <c r="AS101" s="75">
        <f t="shared" si="19"/>
        <v>3.7488284910965321E-2</v>
      </c>
      <c r="AT101" s="75">
        <f t="shared" si="20"/>
        <v>0.25398313027179009</v>
      </c>
      <c r="AU101" s="26">
        <f t="shared" si="21"/>
        <v>7.1152073732718896E-2</v>
      </c>
      <c r="AV101" s="26">
        <f t="shared" si="22"/>
        <v>8.9806451612903224E-2</v>
      </c>
      <c r="AW101" s="24">
        <f t="shared" si="23"/>
        <v>0.79351032448377579</v>
      </c>
      <c r="AX101" s="24">
        <f t="shared" si="24"/>
        <v>0.84955752212389379</v>
      </c>
      <c r="AY101" s="77" t="str">
        <f t="shared" si="25"/>
        <v>2,5 ≤ Alc. Bruta &lt; 5,0 mg/L</v>
      </c>
      <c r="AZ101" s="77" t="str">
        <f t="shared" si="26"/>
        <v>15 ≤ Cor &lt; 30 uC</v>
      </c>
      <c r="BA101" s="78" t="str">
        <f t="shared" si="27"/>
        <v>2,5 ≤ Turb &lt; 5,0 uT</v>
      </c>
      <c r="BB101" s="79" t="str">
        <f t="shared" si="28"/>
        <v>TOR &gt; BNN &gt; SM</v>
      </c>
      <c r="BC101" s="78" t="str">
        <f t="shared" si="29"/>
        <v>Tipo 1 (≤0,25) uT</v>
      </c>
      <c r="BD101" s="78" t="str">
        <f t="shared" si="30"/>
        <v>Tipo 1 (≤0,25) uT</v>
      </c>
      <c r="BE101" s="78" t="str">
        <f t="shared" si="31"/>
        <v>Tipo 3 (0,50-0,75) uT</v>
      </c>
      <c r="BF101" s="78" t="str">
        <f t="shared" si="32"/>
        <v>Tipo 3 (0,50-0,75) uT</v>
      </c>
      <c r="BG101" s="78" t="str">
        <f t="shared" si="33"/>
        <v>Tipo 1 (≤0,25) uT</v>
      </c>
    </row>
    <row r="102" spans="1:59" x14ac:dyDescent="0.2">
      <c r="A102" s="21">
        <v>46139</v>
      </c>
      <c r="B102" s="48">
        <v>0.64583333333333337</v>
      </c>
      <c r="C102" s="57">
        <v>1611</v>
      </c>
      <c r="D102" s="57">
        <v>86</v>
      </c>
      <c r="E102" s="57">
        <v>543</v>
      </c>
      <c r="F102" s="57">
        <v>2163</v>
      </c>
      <c r="G102" s="10" t="s">
        <v>34</v>
      </c>
      <c r="H102" s="63">
        <v>2.5</v>
      </c>
      <c r="I102" s="57">
        <v>90</v>
      </c>
      <c r="J102" s="57">
        <v>90</v>
      </c>
      <c r="K102" s="57">
        <v>90</v>
      </c>
      <c r="L102" s="63">
        <v>25.7</v>
      </c>
      <c r="M102" s="63">
        <v>6.8</v>
      </c>
      <c r="N102" s="36">
        <v>3.36</v>
      </c>
      <c r="O102" s="57">
        <v>17</v>
      </c>
      <c r="P102" s="63">
        <v>6</v>
      </c>
      <c r="Q102" s="36">
        <v>0.28000000000000003</v>
      </c>
      <c r="R102" s="36">
        <v>22.36</v>
      </c>
      <c r="S102" s="36">
        <v>0.88</v>
      </c>
      <c r="T102" s="36">
        <v>0.7</v>
      </c>
      <c r="U102" s="42">
        <f t="shared" si="34"/>
        <v>1178.8349999999998</v>
      </c>
      <c r="V102" s="36">
        <f t="shared" si="35"/>
        <v>1585.43421803</v>
      </c>
      <c r="W102" s="36">
        <f t="shared" si="36"/>
        <v>1.3449161401129084</v>
      </c>
      <c r="X102" s="57">
        <v>3</v>
      </c>
      <c r="Y102" s="57">
        <v>4</v>
      </c>
      <c r="Z102" s="63">
        <v>6.47</v>
      </c>
      <c r="AA102" s="57">
        <v>19.75</v>
      </c>
      <c r="AB102" s="63">
        <v>6.9</v>
      </c>
      <c r="AC102" s="63">
        <v>6.4</v>
      </c>
      <c r="AD102" s="10">
        <v>0.18</v>
      </c>
      <c r="AE102" s="36">
        <v>0.4</v>
      </c>
      <c r="AF102" s="42">
        <f t="shared" si="37"/>
        <v>1178.8349999999998</v>
      </c>
      <c r="AG102" s="42">
        <f t="shared" si="38"/>
        <v>1855.1684768499999</v>
      </c>
      <c r="AH102" s="42">
        <f t="shared" si="39"/>
        <v>1.5737304006497943</v>
      </c>
      <c r="AI102" s="57">
        <v>3</v>
      </c>
      <c r="AJ102" s="57">
        <v>4</v>
      </c>
      <c r="AK102" s="36">
        <v>6.33</v>
      </c>
      <c r="AL102" s="36">
        <v>23.75</v>
      </c>
      <c r="AM102" s="63">
        <v>6.9</v>
      </c>
      <c r="AN102" s="63">
        <v>6.2</v>
      </c>
      <c r="AO102" s="36">
        <v>0.15</v>
      </c>
      <c r="AP102" s="68">
        <v>1</v>
      </c>
      <c r="AQ102" s="73">
        <f t="shared" si="17"/>
        <v>2240</v>
      </c>
      <c r="AR102" s="75">
        <f t="shared" si="18"/>
        <v>0.71919642857142863</v>
      </c>
      <c r="AS102" s="75">
        <f t="shared" si="19"/>
        <v>3.8392857142857145E-2</v>
      </c>
      <c r="AT102" s="75">
        <f t="shared" si="20"/>
        <v>0.24241071428571428</v>
      </c>
      <c r="AU102" s="26">
        <f t="shared" si="21"/>
        <v>7.3046694405917711E-2</v>
      </c>
      <c r="AV102" s="26">
        <f t="shared" si="22"/>
        <v>8.7840961627369388E-2</v>
      </c>
      <c r="AW102" s="24">
        <f t="shared" si="23"/>
        <v>0.70238095238095233</v>
      </c>
      <c r="AX102" s="24">
        <f t="shared" si="24"/>
        <v>0.88095238095238093</v>
      </c>
      <c r="AY102" s="77" t="str">
        <f t="shared" si="25"/>
        <v>5,0 ≤ Alc. Bruta &lt; 7,5 mg/L</v>
      </c>
      <c r="AZ102" s="77" t="str">
        <f t="shared" si="26"/>
        <v>15 ≤ Cor &lt; 30 uC</v>
      </c>
      <c r="BA102" s="78" t="str">
        <f t="shared" si="27"/>
        <v>2,5 ≤ Turb &lt; 5,0 uT</v>
      </c>
      <c r="BB102" s="79" t="str">
        <f t="shared" si="28"/>
        <v>TOR &gt; BNN &gt; SM</v>
      </c>
      <c r="BC102" s="78" t="str">
        <f t="shared" si="29"/>
        <v>Tipo 1 (≤0,25) uT</v>
      </c>
      <c r="BD102" s="78" t="str">
        <f t="shared" si="30"/>
        <v>Tipo 1 (≤0,25) uT</v>
      </c>
      <c r="BE102" s="78" t="str">
        <f t="shared" si="31"/>
        <v>Tipo 2 (0,25-0,50) uT</v>
      </c>
      <c r="BF102" s="78" t="str">
        <f t="shared" si="32"/>
        <v>Tipo 4 (&gt;0,75) uT</v>
      </c>
      <c r="BG102" s="78" t="str">
        <f t="shared" si="33"/>
        <v>Tipo 2 (0,25-0,50) uT</v>
      </c>
    </row>
    <row r="103" spans="1:59" x14ac:dyDescent="0.2">
      <c r="A103" s="21">
        <v>46139</v>
      </c>
      <c r="B103" s="48">
        <v>0.72916666666666663</v>
      </c>
      <c r="C103" s="57">
        <v>1438</v>
      </c>
      <c r="D103" s="57">
        <v>205</v>
      </c>
      <c r="E103" s="57">
        <v>540</v>
      </c>
      <c r="F103" s="57">
        <v>2206</v>
      </c>
      <c r="G103" s="10" t="s">
        <v>34</v>
      </c>
      <c r="H103" s="63">
        <v>2.8</v>
      </c>
      <c r="I103" s="57">
        <v>90</v>
      </c>
      <c r="J103" s="57">
        <v>90</v>
      </c>
      <c r="K103" s="57">
        <v>90</v>
      </c>
      <c r="L103" s="63">
        <v>25.4</v>
      </c>
      <c r="M103" s="63">
        <v>6.9</v>
      </c>
      <c r="N103" s="36">
        <v>3.37</v>
      </c>
      <c r="O103" s="57">
        <v>15</v>
      </c>
      <c r="P103" s="63">
        <v>6.1</v>
      </c>
      <c r="Q103" s="36">
        <v>0.3</v>
      </c>
      <c r="R103" s="36">
        <v>22.36</v>
      </c>
      <c r="S103" s="36">
        <v>0.88</v>
      </c>
      <c r="T103" s="36">
        <v>0.7</v>
      </c>
      <c r="U103" s="42">
        <f t="shared" si="34"/>
        <v>1229.845</v>
      </c>
      <c r="V103" s="36">
        <f t="shared" si="35"/>
        <v>1592.5067832959999</v>
      </c>
      <c r="W103" s="36">
        <f t="shared" si="36"/>
        <v>1.2948841384857439</v>
      </c>
      <c r="X103" s="57">
        <v>3</v>
      </c>
      <c r="Y103" s="57">
        <v>4</v>
      </c>
      <c r="Z103" s="63">
        <v>6.48</v>
      </c>
      <c r="AA103" s="57">
        <v>19.8</v>
      </c>
      <c r="AB103" s="63">
        <v>6.9</v>
      </c>
      <c r="AC103" s="63">
        <v>5.9</v>
      </c>
      <c r="AD103" s="10">
        <v>0.23</v>
      </c>
      <c r="AE103" s="36">
        <v>0.28000000000000003</v>
      </c>
      <c r="AF103" s="42">
        <f t="shared" si="37"/>
        <v>1229.845</v>
      </c>
      <c r="AG103" s="42">
        <f t="shared" si="38"/>
        <v>1901.4420239359999</v>
      </c>
      <c r="AH103" s="42">
        <f t="shared" si="39"/>
        <v>1.5460826558924092</v>
      </c>
      <c r="AI103" s="57">
        <v>3</v>
      </c>
      <c r="AJ103" s="57">
        <v>4</v>
      </c>
      <c r="AK103" s="36">
        <v>6.4</v>
      </c>
      <c r="AL103" s="36">
        <v>24.01</v>
      </c>
      <c r="AM103" s="63">
        <v>7</v>
      </c>
      <c r="AN103" s="63">
        <v>6.1</v>
      </c>
      <c r="AO103" s="36">
        <v>0.19</v>
      </c>
      <c r="AP103" s="68">
        <v>1.05</v>
      </c>
      <c r="AQ103" s="73">
        <f t="shared" si="17"/>
        <v>2183</v>
      </c>
      <c r="AR103" s="75">
        <f t="shared" si="18"/>
        <v>0.65872652313330282</v>
      </c>
      <c r="AS103" s="75">
        <f t="shared" si="19"/>
        <v>9.3907466788822724E-2</v>
      </c>
      <c r="AT103" s="75">
        <f t="shared" si="20"/>
        <v>0.24736601007787448</v>
      </c>
      <c r="AU103" s="26">
        <f t="shared" si="21"/>
        <v>7.1804170444242976E-2</v>
      </c>
      <c r="AV103" s="26">
        <f t="shared" si="22"/>
        <v>8.7071622846781507E-2</v>
      </c>
      <c r="AW103" s="24">
        <f t="shared" si="23"/>
        <v>0.68842729970326411</v>
      </c>
      <c r="AX103" s="24">
        <f t="shared" si="24"/>
        <v>0.91691394658753711</v>
      </c>
      <c r="AY103" s="77" t="str">
        <f t="shared" si="25"/>
        <v>5,0 ≤ Alc. Bruta &lt; 7,5 mg/L</v>
      </c>
      <c r="AZ103" s="77" t="str">
        <f t="shared" si="26"/>
        <v>15 ≤ Cor &lt; 30 uC</v>
      </c>
      <c r="BA103" s="78" t="str">
        <f t="shared" si="27"/>
        <v>2,5 ≤ Turb &lt; 5,0 uT</v>
      </c>
      <c r="BB103" s="79" t="str">
        <f t="shared" si="28"/>
        <v>TOR &gt; BNN &gt; SM</v>
      </c>
      <c r="BC103" s="78" t="str">
        <f t="shared" si="29"/>
        <v>Tipo 1 (≤0,25) uT</v>
      </c>
      <c r="BD103" s="78" t="str">
        <f t="shared" si="30"/>
        <v>Tipo 1 (≤0,25) uT</v>
      </c>
      <c r="BE103" s="78" t="str">
        <f t="shared" si="31"/>
        <v>Tipo 2 (0,25-0,50) uT</v>
      </c>
      <c r="BF103" s="78" t="str">
        <f t="shared" si="32"/>
        <v>Tipo 4 (&gt;0,75) uT</v>
      </c>
      <c r="BG103" s="78" t="str">
        <f t="shared" si="33"/>
        <v>Tipo 2 (0,25-0,50) uT</v>
      </c>
    </row>
    <row r="104" spans="1:59" x14ac:dyDescent="0.2">
      <c r="A104" s="21">
        <v>46139</v>
      </c>
      <c r="B104" s="48">
        <v>0.8125</v>
      </c>
      <c r="C104" s="57">
        <v>1243</v>
      </c>
      <c r="D104" s="57">
        <v>380</v>
      </c>
      <c r="E104" s="57">
        <v>540</v>
      </c>
      <c r="F104" s="57">
        <v>2327</v>
      </c>
      <c r="G104" s="10" t="s">
        <v>34</v>
      </c>
      <c r="H104" s="63">
        <v>2.8</v>
      </c>
      <c r="I104" s="57">
        <v>90</v>
      </c>
      <c r="J104" s="57">
        <v>90</v>
      </c>
      <c r="K104" s="57">
        <v>90</v>
      </c>
      <c r="L104" s="63">
        <v>25.5</v>
      </c>
      <c r="M104" s="63">
        <v>6.7</v>
      </c>
      <c r="N104" s="36">
        <v>3.18</v>
      </c>
      <c r="O104" s="57">
        <v>14</v>
      </c>
      <c r="P104" s="63">
        <v>5.6</v>
      </c>
      <c r="Q104" s="36">
        <v>0.37</v>
      </c>
      <c r="R104" s="36">
        <v>22.36</v>
      </c>
      <c r="S104" s="36">
        <v>0.88</v>
      </c>
      <c r="T104" s="36">
        <v>0.7</v>
      </c>
      <c r="U104" s="42">
        <f t="shared" si="34"/>
        <v>1242.0362500000001</v>
      </c>
      <c r="V104" s="36">
        <f t="shared" si="35"/>
        <v>1557.9220400223999</v>
      </c>
      <c r="W104" s="36">
        <f t="shared" si="36"/>
        <v>1.2543289618337627</v>
      </c>
      <c r="X104" s="57">
        <v>3</v>
      </c>
      <c r="Y104" s="57">
        <v>4</v>
      </c>
      <c r="Z104" s="63">
        <v>6.48</v>
      </c>
      <c r="AA104" s="57">
        <v>19.37</v>
      </c>
      <c r="AB104" s="63">
        <v>6.8</v>
      </c>
      <c r="AC104" s="63">
        <v>5.8</v>
      </c>
      <c r="AD104" s="10">
        <v>0.11</v>
      </c>
      <c r="AE104" s="36">
        <v>0.41</v>
      </c>
      <c r="AF104" s="42">
        <f t="shared" si="37"/>
        <v>1242.0362500000001</v>
      </c>
      <c r="AG104" s="42">
        <f t="shared" si="38"/>
        <v>1897.7961230799995</v>
      </c>
      <c r="AH104" s="42">
        <f t="shared" si="39"/>
        <v>1.5279716055630417</v>
      </c>
      <c r="AI104" s="57">
        <v>3</v>
      </c>
      <c r="AJ104" s="57">
        <v>4</v>
      </c>
      <c r="AK104" s="36">
        <v>6.35</v>
      </c>
      <c r="AL104" s="36">
        <v>24.2</v>
      </c>
      <c r="AM104" s="63">
        <v>6.8</v>
      </c>
      <c r="AN104" s="63">
        <v>5.7</v>
      </c>
      <c r="AO104" s="36">
        <v>7.0000000000000007E-2</v>
      </c>
      <c r="AP104" s="68">
        <v>0.9</v>
      </c>
      <c r="AQ104" s="73">
        <f t="shared" si="17"/>
        <v>2163</v>
      </c>
      <c r="AR104" s="75">
        <f t="shared" si="18"/>
        <v>0.57466481738326403</v>
      </c>
      <c r="AS104" s="75">
        <f t="shared" si="19"/>
        <v>0.17568192325473878</v>
      </c>
      <c r="AT104" s="75">
        <f t="shared" si="20"/>
        <v>0.24965325936199723</v>
      </c>
      <c r="AU104" s="26">
        <f t="shared" si="21"/>
        <v>6.6592178770949723E-2</v>
      </c>
      <c r="AV104" s="26">
        <f t="shared" si="22"/>
        <v>8.3197249677696608E-2</v>
      </c>
      <c r="AW104" s="24">
        <f t="shared" si="23"/>
        <v>0.71698113207547176</v>
      </c>
      <c r="AX104" s="24">
        <f t="shared" si="24"/>
        <v>0.87106918238993714</v>
      </c>
      <c r="AY104" s="77" t="str">
        <f t="shared" si="25"/>
        <v>5,0 ≤ Alc. Bruta &lt; 7,5 mg/L</v>
      </c>
      <c r="AZ104" s="77" t="str">
        <f t="shared" si="26"/>
        <v>10 ≤ Cor &lt;15 uC</v>
      </c>
      <c r="BA104" s="78" t="str">
        <f t="shared" si="27"/>
        <v>2,5 ≤ Turb &lt; 5,0 uT</v>
      </c>
      <c r="BB104" s="79" t="str">
        <f t="shared" si="28"/>
        <v>TOR &gt; BNN &gt; SM</v>
      </c>
      <c r="BC104" s="78" t="str">
        <f t="shared" si="29"/>
        <v>Tipo 1 (≤0,25) uT</v>
      </c>
      <c r="BD104" s="78" t="str">
        <f t="shared" si="30"/>
        <v>Tipo 1 (≤0,25) uT</v>
      </c>
      <c r="BE104" s="78" t="str">
        <f t="shared" si="31"/>
        <v>Tipo 2 (0,25-0,50) uT</v>
      </c>
      <c r="BF104" s="78" t="str">
        <f t="shared" si="32"/>
        <v>Tipo 4 (&gt;0,75) uT</v>
      </c>
      <c r="BG104" s="78" t="str">
        <f t="shared" si="33"/>
        <v>Tipo 2 (0,25-0,50) uT</v>
      </c>
    </row>
    <row r="105" spans="1:59" x14ac:dyDescent="0.2">
      <c r="A105" s="21">
        <v>46139</v>
      </c>
      <c r="B105" s="48">
        <v>0.89583333333333337</v>
      </c>
      <c r="C105" s="57">
        <v>1272</v>
      </c>
      <c r="D105" s="57">
        <v>329</v>
      </c>
      <c r="E105" s="57">
        <v>541</v>
      </c>
      <c r="F105" s="57">
        <v>2327</v>
      </c>
      <c r="G105" s="10" t="s">
        <v>34</v>
      </c>
      <c r="H105" s="63">
        <v>2.8</v>
      </c>
      <c r="I105" s="57">
        <v>90</v>
      </c>
      <c r="J105" s="57">
        <v>90</v>
      </c>
      <c r="K105" s="57">
        <v>90</v>
      </c>
      <c r="L105" s="63">
        <v>25</v>
      </c>
      <c r="M105" s="63">
        <v>6.6</v>
      </c>
      <c r="N105" s="36">
        <v>3.83</v>
      </c>
      <c r="O105" s="57">
        <v>17</v>
      </c>
      <c r="P105" s="63">
        <v>6.5</v>
      </c>
      <c r="Q105" s="36">
        <v>0.46</v>
      </c>
      <c r="R105" s="36">
        <v>22.36</v>
      </c>
      <c r="S105" s="36">
        <v>0.88</v>
      </c>
      <c r="T105" s="36">
        <v>0.7</v>
      </c>
      <c r="U105" s="42">
        <f t="shared" si="34"/>
        <v>1431.105</v>
      </c>
      <c r="V105" s="36">
        <f t="shared" si="35"/>
        <v>1566.0902464063997</v>
      </c>
      <c r="W105" s="36">
        <f t="shared" si="36"/>
        <v>1.0943223917227596</v>
      </c>
      <c r="X105" s="57">
        <v>3</v>
      </c>
      <c r="Y105" s="57">
        <v>4</v>
      </c>
      <c r="Z105" s="63">
        <v>6.51</v>
      </c>
      <c r="AA105" s="57">
        <v>19.36</v>
      </c>
      <c r="AB105" s="63">
        <v>6.8</v>
      </c>
      <c r="AC105" s="63">
        <v>7</v>
      </c>
      <c r="AD105" s="10">
        <v>0.59</v>
      </c>
      <c r="AE105" s="36">
        <v>0.79</v>
      </c>
      <c r="AF105" s="42">
        <f t="shared" si="37"/>
        <v>1431.105</v>
      </c>
      <c r="AG105" s="42">
        <f t="shared" si="38"/>
        <v>1917.2807746559999</v>
      </c>
      <c r="AH105" s="42">
        <f t="shared" si="39"/>
        <v>1.3397205478675569</v>
      </c>
      <c r="AI105" s="57">
        <v>3</v>
      </c>
      <c r="AJ105" s="57">
        <v>4</v>
      </c>
      <c r="AK105" s="36">
        <v>6.4</v>
      </c>
      <c r="AL105" s="36">
        <v>24.21</v>
      </c>
      <c r="AM105" s="63">
        <v>6.7</v>
      </c>
      <c r="AN105" s="63">
        <v>6</v>
      </c>
      <c r="AO105" s="36">
        <v>0.56999999999999995</v>
      </c>
      <c r="AP105" s="68">
        <v>0.82</v>
      </c>
      <c r="AQ105" s="73">
        <f t="shared" si="17"/>
        <v>2142</v>
      </c>
      <c r="AR105" s="75">
        <f t="shared" si="18"/>
        <v>0.5938375350140056</v>
      </c>
      <c r="AS105" s="75">
        <f t="shared" si="19"/>
        <v>0.15359477124183007</v>
      </c>
      <c r="AT105" s="75">
        <f t="shared" si="20"/>
        <v>0.25256769374416432</v>
      </c>
      <c r="AU105" s="26">
        <f t="shared" si="21"/>
        <v>6.6557799742157281E-2</v>
      </c>
      <c r="AV105" s="26">
        <f t="shared" si="22"/>
        <v>8.323162870648905E-2</v>
      </c>
      <c r="AW105" s="24">
        <f t="shared" si="23"/>
        <v>0.78590078328981727</v>
      </c>
      <c r="AX105" s="24">
        <f t="shared" si="24"/>
        <v>0.79373368146214096</v>
      </c>
      <c r="AY105" s="77" t="str">
        <f t="shared" si="25"/>
        <v>5,0 ≤ Alc. Bruta &lt; 7,5 mg/L</v>
      </c>
      <c r="AZ105" s="77" t="str">
        <f t="shared" si="26"/>
        <v>15 ≤ Cor &lt; 30 uC</v>
      </c>
      <c r="BA105" s="78" t="str">
        <f t="shared" si="27"/>
        <v>2,5 ≤ Turb &lt; 5,0 uT</v>
      </c>
      <c r="BB105" s="79" t="str">
        <f t="shared" si="28"/>
        <v>TOR &gt; BNN &gt; SM</v>
      </c>
      <c r="BC105" s="78" t="str">
        <f t="shared" si="29"/>
        <v>Tipo 3 (0,50-0,75) uT</v>
      </c>
      <c r="BD105" s="78" t="str">
        <f t="shared" si="30"/>
        <v>Tipo 3 (0,50-0,75) uT</v>
      </c>
      <c r="BE105" s="78" t="str">
        <f t="shared" si="31"/>
        <v>Tipo 4 (&gt;0,75) uT</v>
      </c>
      <c r="BF105" s="78" t="str">
        <f t="shared" si="32"/>
        <v>Tipo 4 (&gt;0,75) uT</v>
      </c>
      <c r="BG105" s="78" t="str">
        <f t="shared" si="33"/>
        <v>Tipo 2 (0,25-0,50) uT</v>
      </c>
    </row>
    <row r="106" spans="1:59" x14ac:dyDescent="0.2">
      <c r="A106" s="21">
        <v>46139</v>
      </c>
      <c r="B106" s="48">
        <v>0.97916666666666663</v>
      </c>
      <c r="C106" s="57">
        <v>1251</v>
      </c>
      <c r="D106" s="57">
        <v>361</v>
      </c>
      <c r="E106" s="57">
        <v>541</v>
      </c>
      <c r="F106" s="57">
        <v>2315</v>
      </c>
      <c r="G106" s="10" t="s">
        <v>34</v>
      </c>
      <c r="H106" s="63">
        <v>2.9</v>
      </c>
      <c r="I106" s="57">
        <v>90</v>
      </c>
      <c r="J106" s="57">
        <v>90</v>
      </c>
      <c r="K106" s="57">
        <v>90</v>
      </c>
      <c r="L106" s="63">
        <v>25</v>
      </c>
      <c r="M106" s="63">
        <v>6.8</v>
      </c>
      <c r="N106" s="36">
        <v>3.16</v>
      </c>
      <c r="O106" s="57">
        <v>14</v>
      </c>
      <c r="P106" s="63">
        <v>6</v>
      </c>
      <c r="Q106" s="36">
        <v>0.77</v>
      </c>
      <c r="R106" s="36">
        <v>22.36</v>
      </c>
      <c r="S106" s="36">
        <v>0.88</v>
      </c>
      <c r="T106" s="36">
        <v>0.7</v>
      </c>
      <c r="U106" s="42">
        <f t="shared" si="34"/>
        <v>1238.5250000000001</v>
      </c>
      <c r="V106" s="36">
        <f t="shared" si="35"/>
        <v>1563.6634536691997</v>
      </c>
      <c r="W106" s="36">
        <f t="shared" si="36"/>
        <v>1.2625207029887968</v>
      </c>
      <c r="X106" s="57">
        <v>3</v>
      </c>
      <c r="Y106" s="57">
        <v>4</v>
      </c>
      <c r="Z106" s="63">
        <v>6.51</v>
      </c>
      <c r="AA106" s="57">
        <v>19.329999999999998</v>
      </c>
      <c r="AB106" s="63">
        <v>6.9</v>
      </c>
      <c r="AC106" s="63">
        <v>6.9</v>
      </c>
      <c r="AD106" s="10">
        <v>0.34</v>
      </c>
      <c r="AE106" s="36">
        <v>1.39</v>
      </c>
      <c r="AF106" s="42">
        <f t="shared" si="37"/>
        <v>1238.5250000000001</v>
      </c>
      <c r="AG106" s="42">
        <f t="shared" si="38"/>
        <v>1921.8143447048001</v>
      </c>
      <c r="AH106" s="42">
        <f t="shared" si="39"/>
        <v>1.5516960454611735</v>
      </c>
      <c r="AI106" s="57">
        <v>3</v>
      </c>
      <c r="AJ106" s="57">
        <v>4</v>
      </c>
      <c r="AK106" s="36">
        <v>6.41</v>
      </c>
      <c r="AL106" s="36">
        <v>24.22</v>
      </c>
      <c r="AM106" s="63">
        <v>6.9</v>
      </c>
      <c r="AN106" s="63">
        <v>7.2</v>
      </c>
      <c r="AO106" s="36">
        <v>0.37</v>
      </c>
      <c r="AP106" s="68">
        <v>0.95</v>
      </c>
      <c r="AQ106" s="73">
        <f t="shared" si="17"/>
        <v>2153</v>
      </c>
      <c r="AR106" s="75">
        <f t="shared" si="18"/>
        <v>0.58104969809568041</v>
      </c>
      <c r="AS106" s="75">
        <f t="shared" si="19"/>
        <v>0.1676730143985137</v>
      </c>
      <c r="AT106" s="75">
        <f t="shared" si="20"/>
        <v>0.25127728750580586</v>
      </c>
      <c r="AU106" s="26">
        <f t="shared" si="21"/>
        <v>6.6799136069114459E-2</v>
      </c>
      <c r="AV106" s="26">
        <f t="shared" si="22"/>
        <v>8.3697624190064795E-2</v>
      </c>
      <c r="AW106" s="24">
        <f t="shared" si="23"/>
        <v>0.69936708860759489</v>
      </c>
      <c r="AX106" s="24">
        <f t="shared" si="24"/>
        <v>0.56012658227848111</v>
      </c>
      <c r="AY106" s="77" t="str">
        <f t="shared" si="25"/>
        <v>5,0 ≤ Alc. Bruta &lt; 7,5 mg/L</v>
      </c>
      <c r="AZ106" s="77" t="str">
        <f t="shared" si="26"/>
        <v>10 ≤ Cor &lt;15 uC</v>
      </c>
      <c r="BA106" s="78" t="str">
        <f t="shared" si="27"/>
        <v>2,5 ≤ Turb &lt; 5,0 uT</v>
      </c>
      <c r="BB106" s="79" t="str">
        <f t="shared" si="28"/>
        <v>TOR &gt; BNN &gt; SM</v>
      </c>
      <c r="BC106" s="78" t="str">
        <f t="shared" si="29"/>
        <v>Tipo 2 (0,25-0,50) uT</v>
      </c>
      <c r="BD106" s="78" t="str">
        <f t="shared" si="30"/>
        <v>Tipo 2 (0,25-0,50) uT</v>
      </c>
      <c r="BE106" s="78" t="str">
        <f t="shared" si="31"/>
        <v>Tipo 4 (&gt;0,75) uT</v>
      </c>
      <c r="BF106" s="78" t="str">
        <f t="shared" si="32"/>
        <v>Tipo 4 (&gt;0,75) uT</v>
      </c>
      <c r="BG106" s="78" t="str">
        <f t="shared" si="33"/>
        <v>Tipo 4 (&gt;0,75) uT</v>
      </c>
    </row>
    <row r="107" spans="1:59" x14ac:dyDescent="0.2">
      <c r="A107" s="21">
        <v>46140</v>
      </c>
      <c r="B107" s="48">
        <v>6.25E-2</v>
      </c>
      <c r="C107" s="57">
        <v>1298</v>
      </c>
      <c r="D107" s="57">
        <v>397</v>
      </c>
      <c r="E107" s="57">
        <v>541.9</v>
      </c>
      <c r="F107" s="57">
        <v>2328</v>
      </c>
      <c r="G107" s="10" t="s">
        <v>34</v>
      </c>
      <c r="H107" s="63">
        <v>3.5</v>
      </c>
      <c r="I107" s="57">
        <v>90</v>
      </c>
      <c r="J107" s="57">
        <v>90</v>
      </c>
      <c r="K107" s="57">
        <v>90</v>
      </c>
      <c r="L107" s="63">
        <v>24.8</v>
      </c>
      <c r="M107" s="63">
        <v>6.8</v>
      </c>
      <c r="N107" s="36">
        <v>3.58</v>
      </c>
      <c r="O107" s="57">
        <v>14</v>
      </c>
      <c r="P107" s="63">
        <v>6.1</v>
      </c>
      <c r="Q107" s="36">
        <v>0.77</v>
      </c>
      <c r="R107" s="36">
        <v>22.36</v>
      </c>
      <c r="S107" s="36">
        <v>0.88</v>
      </c>
      <c r="T107" s="36">
        <v>0.7</v>
      </c>
      <c r="U107" s="42">
        <f t="shared" si="34"/>
        <v>1420.08</v>
      </c>
      <c r="V107" s="36">
        <f t="shared" si="35"/>
        <v>1591.3579242600001</v>
      </c>
      <c r="W107" s="36">
        <f t="shared" si="36"/>
        <v>1.1206114615092109</v>
      </c>
      <c r="X107" s="57">
        <v>3</v>
      </c>
      <c r="Y107" s="57">
        <v>4</v>
      </c>
      <c r="Z107" s="63">
        <v>6.5</v>
      </c>
      <c r="AA107" s="57">
        <v>19.71</v>
      </c>
      <c r="AB107" s="63">
        <v>6.9</v>
      </c>
      <c r="AC107" s="63">
        <v>7</v>
      </c>
      <c r="AD107" s="10">
        <v>1.1399999999999999</v>
      </c>
      <c r="AE107" s="36">
        <v>1.31</v>
      </c>
      <c r="AF107" s="42">
        <f t="shared" si="37"/>
        <v>1420.08</v>
      </c>
      <c r="AG107" s="42">
        <f t="shared" si="38"/>
        <v>1890.3190374639998</v>
      </c>
      <c r="AH107" s="42">
        <f t="shared" si="39"/>
        <v>1.3311355962086642</v>
      </c>
      <c r="AI107" s="57">
        <v>3</v>
      </c>
      <c r="AJ107" s="57">
        <v>4</v>
      </c>
      <c r="AK107" s="36">
        <v>6.33</v>
      </c>
      <c r="AL107" s="36">
        <v>24.2</v>
      </c>
      <c r="AM107" s="63">
        <v>6.8</v>
      </c>
      <c r="AN107" s="63">
        <v>6.1</v>
      </c>
      <c r="AO107" s="36">
        <v>0.42</v>
      </c>
      <c r="AP107" s="68">
        <v>0.85</v>
      </c>
      <c r="AQ107" s="73">
        <f t="shared" si="17"/>
        <v>2236.9</v>
      </c>
      <c r="AR107" s="75">
        <f t="shared" si="18"/>
        <v>0.58026733425723098</v>
      </c>
      <c r="AS107" s="75">
        <f t="shared" si="19"/>
        <v>0.17747775939916849</v>
      </c>
      <c r="AT107" s="75">
        <f t="shared" si="20"/>
        <v>0.2422549063436005</v>
      </c>
      <c r="AU107" s="26">
        <f t="shared" si="21"/>
        <v>6.7731958762886596E-2</v>
      </c>
      <c r="AV107" s="26">
        <f t="shared" si="22"/>
        <v>8.3161512027491405E-2</v>
      </c>
      <c r="AW107" s="24">
        <f t="shared" si="23"/>
        <v>0.76256983240223464</v>
      </c>
      <c r="AX107" s="24">
        <f t="shared" si="24"/>
        <v>0.63407821229050276</v>
      </c>
      <c r="AY107" s="77" t="str">
        <f t="shared" si="25"/>
        <v>5,0 ≤ Alc. Bruta &lt; 7,5 mg/L</v>
      </c>
      <c r="AZ107" s="77" t="str">
        <f t="shared" si="26"/>
        <v>10 ≤ Cor &lt;15 uC</v>
      </c>
      <c r="BA107" s="78" t="str">
        <f t="shared" si="27"/>
        <v>2,5 ≤ Turb &lt; 5,0 uT</v>
      </c>
      <c r="BB107" s="79" t="str">
        <f t="shared" si="28"/>
        <v>TOR &gt; BNN &gt; SM</v>
      </c>
      <c r="BC107" s="78" t="str">
        <f t="shared" si="29"/>
        <v>Tipo 4 (&gt;0,75) uT</v>
      </c>
      <c r="BD107" s="78" t="str">
        <f t="shared" si="30"/>
        <v>Tipo 2 (0,25-0,50) uT</v>
      </c>
      <c r="BE107" s="78" t="str">
        <f t="shared" si="31"/>
        <v>Tipo 4 (&gt;0,75) uT</v>
      </c>
      <c r="BF107" s="78" t="str">
        <f t="shared" si="32"/>
        <v>Tipo 4 (&gt;0,75) uT</v>
      </c>
      <c r="BG107" s="78" t="str">
        <f t="shared" si="33"/>
        <v>Tipo 4 (&gt;0,75) uT</v>
      </c>
    </row>
    <row r="108" spans="1:59" x14ac:dyDescent="0.2">
      <c r="A108" s="21">
        <v>46140</v>
      </c>
      <c r="B108" s="48">
        <v>0.14583333333333334</v>
      </c>
      <c r="C108" s="57">
        <v>1206.3</v>
      </c>
      <c r="D108" s="57">
        <v>387</v>
      </c>
      <c r="E108" s="57">
        <v>539.70000000000005</v>
      </c>
      <c r="F108" s="57">
        <v>2322</v>
      </c>
      <c r="G108" s="10" t="s">
        <v>34</v>
      </c>
      <c r="H108" s="63">
        <v>3.5</v>
      </c>
      <c r="I108" s="57">
        <v>90</v>
      </c>
      <c r="J108" s="57">
        <v>90</v>
      </c>
      <c r="K108" s="57">
        <v>90</v>
      </c>
      <c r="L108" s="63">
        <v>26.6</v>
      </c>
      <c r="M108" s="63">
        <v>6.8</v>
      </c>
      <c r="N108" s="36">
        <v>3.42</v>
      </c>
      <c r="O108" s="57">
        <v>14</v>
      </c>
      <c r="P108" s="63">
        <v>6.2</v>
      </c>
      <c r="Q108" s="36">
        <v>1.03</v>
      </c>
      <c r="R108" s="36">
        <v>22.36</v>
      </c>
      <c r="S108" s="36">
        <v>0.88</v>
      </c>
      <c r="T108" s="36">
        <v>0.7</v>
      </c>
      <c r="U108" s="42">
        <f t="shared" si="34"/>
        <v>1369.98</v>
      </c>
      <c r="V108" s="36">
        <f t="shared" si="35"/>
        <v>1622.8459806000003</v>
      </c>
      <c r="W108" s="36">
        <f t="shared" si="36"/>
        <v>1.1845764030131829</v>
      </c>
      <c r="X108" s="57">
        <v>3</v>
      </c>
      <c r="Y108" s="57">
        <v>4</v>
      </c>
      <c r="Z108" s="63">
        <v>6.5</v>
      </c>
      <c r="AA108" s="57">
        <v>20.100000000000001</v>
      </c>
      <c r="AB108" s="63">
        <v>6.8</v>
      </c>
      <c r="AC108" s="63">
        <v>6.2</v>
      </c>
      <c r="AD108" s="10">
        <v>0.32</v>
      </c>
      <c r="AE108" s="36">
        <v>1.77</v>
      </c>
      <c r="AF108" s="42">
        <f t="shared" si="37"/>
        <v>1369.98</v>
      </c>
      <c r="AG108" s="42">
        <f t="shared" si="38"/>
        <v>1902.3204240144</v>
      </c>
      <c r="AH108" s="42">
        <f t="shared" si="39"/>
        <v>1.3885753251977402</v>
      </c>
      <c r="AI108" s="57">
        <v>3</v>
      </c>
      <c r="AJ108" s="57">
        <v>4</v>
      </c>
      <c r="AK108" s="36">
        <v>6.36</v>
      </c>
      <c r="AL108" s="36">
        <v>24.21</v>
      </c>
      <c r="AM108" s="63">
        <v>6.7</v>
      </c>
      <c r="AN108" s="63">
        <v>6.7</v>
      </c>
      <c r="AO108" s="36">
        <v>0.16</v>
      </c>
      <c r="AP108" s="68">
        <v>1.05</v>
      </c>
      <c r="AQ108" s="73">
        <f t="shared" si="17"/>
        <v>2133</v>
      </c>
      <c r="AR108" s="75">
        <f t="shared" si="18"/>
        <v>0.56554149085794658</v>
      </c>
      <c r="AS108" s="75">
        <f t="shared" si="19"/>
        <v>0.18143459915611815</v>
      </c>
      <c r="AT108" s="75">
        <f t="shared" si="20"/>
        <v>0.25302390998593532</v>
      </c>
      <c r="AU108" s="26">
        <f t="shared" si="21"/>
        <v>6.925064599483205E-2</v>
      </c>
      <c r="AV108" s="26">
        <f t="shared" si="22"/>
        <v>8.3410852713178302E-2</v>
      </c>
      <c r="AW108" s="24">
        <f t="shared" si="23"/>
        <v>0.69298245614035081</v>
      </c>
      <c r="AX108" s="24">
        <f t="shared" si="24"/>
        <v>0.48245614035087714</v>
      </c>
      <c r="AY108" s="77" t="str">
        <f t="shared" si="25"/>
        <v>5,0 ≤ Alc. Bruta &lt; 7,5 mg/L</v>
      </c>
      <c r="AZ108" s="77" t="str">
        <f t="shared" si="26"/>
        <v>10 ≤ Cor &lt;15 uC</v>
      </c>
      <c r="BA108" s="78" t="str">
        <f t="shared" si="27"/>
        <v>2,5 ≤ Turb &lt; 5,0 uT</v>
      </c>
      <c r="BB108" s="79" t="str">
        <f t="shared" si="28"/>
        <v>TOR &gt; BNN &gt; SM</v>
      </c>
      <c r="BC108" s="78" t="str">
        <f t="shared" si="29"/>
        <v>Tipo 2 (0,25-0,50) uT</v>
      </c>
      <c r="BD108" s="78" t="str">
        <f t="shared" si="30"/>
        <v>Tipo 1 (≤0,25) uT</v>
      </c>
      <c r="BE108" s="78" t="str">
        <f t="shared" si="31"/>
        <v>Tipo 4 (&gt;0,75) uT</v>
      </c>
      <c r="BF108" s="78" t="str">
        <f t="shared" si="32"/>
        <v>Tipo 4 (&gt;0,75) uT</v>
      </c>
      <c r="BG108" s="78" t="str">
        <f t="shared" si="33"/>
        <v>Tipo 4 (&gt;0,75) uT</v>
      </c>
    </row>
    <row r="109" spans="1:59" ht="15.75" thickBot="1" x14ac:dyDescent="0.25">
      <c r="A109" s="21">
        <v>46140</v>
      </c>
      <c r="B109" s="51">
        <v>0.22916666666666666</v>
      </c>
      <c r="C109" s="58">
        <v>1253</v>
      </c>
      <c r="D109" s="58">
        <v>368</v>
      </c>
      <c r="E109" s="58">
        <v>543</v>
      </c>
      <c r="F109" s="58">
        <v>2324</v>
      </c>
      <c r="G109" s="11" t="s">
        <v>34</v>
      </c>
      <c r="H109" s="63">
        <v>3.5</v>
      </c>
      <c r="I109" s="58">
        <v>90</v>
      </c>
      <c r="J109" s="58">
        <v>90</v>
      </c>
      <c r="K109" s="58">
        <v>90</v>
      </c>
      <c r="L109" s="64">
        <v>24.2</v>
      </c>
      <c r="M109" s="64">
        <v>6.7</v>
      </c>
      <c r="N109" s="37">
        <v>3.82</v>
      </c>
      <c r="O109" s="58">
        <v>16</v>
      </c>
      <c r="P109" s="64">
        <v>5.9</v>
      </c>
      <c r="Q109" s="37">
        <v>0.65</v>
      </c>
      <c r="R109" s="36">
        <v>22.36</v>
      </c>
      <c r="S109" s="36">
        <v>0.88</v>
      </c>
      <c r="T109" s="36">
        <v>0.7</v>
      </c>
      <c r="U109" s="42">
        <f t="shared" si="34"/>
        <v>1487.3600000000001</v>
      </c>
      <c r="V109" s="36">
        <f t="shared" si="35"/>
        <v>1560.1085779135997</v>
      </c>
      <c r="W109" s="36">
        <f t="shared" si="36"/>
        <v>1.0489112104087777</v>
      </c>
      <c r="X109" s="58">
        <v>3</v>
      </c>
      <c r="Y109" s="58">
        <v>4</v>
      </c>
      <c r="Z109" s="64">
        <v>6.49</v>
      </c>
      <c r="AA109" s="58">
        <v>19.36</v>
      </c>
      <c r="AB109" s="64">
        <v>6.8</v>
      </c>
      <c r="AC109" s="64">
        <v>6.2</v>
      </c>
      <c r="AD109" s="11">
        <v>0.28999999999999998</v>
      </c>
      <c r="AE109" s="37">
        <v>1.1399999999999999</v>
      </c>
      <c r="AF109" s="42">
        <f t="shared" si="37"/>
        <v>1487.3600000000001</v>
      </c>
      <c r="AG109" s="42">
        <f t="shared" si="38"/>
        <v>1901.7171894499995</v>
      </c>
      <c r="AH109" s="42">
        <f t="shared" si="39"/>
        <v>1.2785856749206643</v>
      </c>
      <c r="AI109" s="58">
        <v>3</v>
      </c>
      <c r="AJ109" s="58">
        <v>4</v>
      </c>
      <c r="AK109" s="37">
        <v>6.35</v>
      </c>
      <c r="AL109" s="37">
        <v>24.25</v>
      </c>
      <c r="AM109" s="64">
        <v>6.7</v>
      </c>
      <c r="AN109" s="64">
        <v>5.9</v>
      </c>
      <c r="AO109" s="37">
        <v>0.12</v>
      </c>
      <c r="AP109" s="69">
        <v>0.73</v>
      </c>
      <c r="AQ109" s="73">
        <f t="shared" si="17"/>
        <v>2164</v>
      </c>
      <c r="AR109" s="75">
        <f t="shared" si="18"/>
        <v>0.57902033271719033</v>
      </c>
      <c r="AS109" s="75">
        <f t="shared" si="19"/>
        <v>0.17005545286506468</v>
      </c>
      <c r="AT109" s="75">
        <f t="shared" si="20"/>
        <v>0.25092421441774493</v>
      </c>
      <c r="AU109" s="26">
        <f t="shared" si="21"/>
        <v>6.664371772805508E-2</v>
      </c>
      <c r="AV109" s="26">
        <f t="shared" si="22"/>
        <v>8.3476764199655759E-2</v>
      </c>
      <c r="AW109" s="24">
        <f t="shared" si="23"/>
        <v>0.80890052356020936</v>
      </c>
      <c r="AX109" s="24">
        <f t="shared" si="24"/>
        <v>0.70157068062827221</v>
      </c>
      <c r="AY109" s="77" t="str">
        <f t="shared" si="25"/>
        <v>5,0 ≤ Alc. Bruta &lt; 7,5 mg/L</v>
      </c>
      <c r="AZ109" s="77" t="str">
        <f t="shared" si="26"/>
        <v>15 ≤ Cor &lt; 30 uC</v>
      </c>
      <c r="BA109" s="78" t="str">
        <f t="shared" si="27"/>
        <v>2,5 ≤ Turb &lt; 5,0 uT</v>
      </c>
      <c r="BB109" s="79" t="str">
        <f t="shared" si="28"/>
        <v>TOR &gt; BNN &gt; SM</v>
      </c>
      <c r="BC109" s="78" t="str">
        <f t="shared" si="29"/>
        <v>Tipo 2 (0,25-0,50) uT</v>
      </c>
      <c r="BD109" s="78" t="str">
        <f t="shared" si="30"/>
        <v>Tipo 1 (≤0,25) uT</v>
      </c>
      <c r="BE109" s="78" t="str">
        <f t="shared" si="31"/>
        <v>Tipo 4 (&gt;0,75) uT</v>
      </c>
      <c r="BF109" s="78" t="str">
        <f t="shared" si="32"/>
        <v>Tipo 3 (0,50-0,75) uT</v>
      </c>
      <c r="BG109" s="78" t="str">
        <f t="shared" si="33"/>
        <v>Tipo 3 (0,50-0,75) uT</v>
      </c>
    </row>
    <row r="110" spans="1:59" x14ac:dyDescent="0.2">
      <c r="A110" s="21">
        <v>46140</v>
      </c>
      <c r="B110" s="52">
        <v>0.3125</v>
      </c>
      <c r="C110" s="59">
        <v>1246</v>
      </c>
      <c r="D110" s="57">
        <v>297</v>
      </c>
      <c r="E110" s="59">
        <v>542</v>
      </c>
      <c r="F110" s="59">
        <v>2300</v>
      </c>
      <c r="G110" s="9" t="s">
        <v>34</v>
      </c>
      <c r="H110" s="65">
        <v>3.5</v>
      </c>
      <c r="I110" s="59">
        <v>90</v>
      </c>
      <c r="J110" s="59">
        <v>90</v>
      </c>
      <c r="K110" s="59">
        <v>90</v>
      </c>
      <c r="L110" s="65">
        <v>24.1</v>
      </c>
      <c r="M110" s="65">
        <v>6.9</v>
      </c>
      <c r="N110" s="38">
        <v>3.1</v>
      </c>
      <c r="O110" s="59">
        <v>16</v>
      </c>
      <c r="P110" s="65">
        <v>6.3</v>
      </c>
      <c r="Q110" s="38">
        <v>0.57999999999999996</v>
      </c>
      <c r="R110" s="36">
        <v>22.36</v>
      </c>
      <c r="S110" s="36">
        <v>0.88</v>
      </c>
      <c r="T110" s="36">
        <v>0.7</v>
      </c>
      <c r="U110" s="42">
        <f t="shared" si="34"/>
        <v>1265</v>
      </c>
      <c r="V110" s="36">
        <f t="shared" si="35"/>
        <v>1553.3241579180003</v>
      </c>
      <c r="W110" s="36">
        <f t="shared" si="36"/>
        <v>1.2279242355083007</v>
      </c>
      <c r="X110" s="59">
        <v>3</v>
      </c>
      <c r="Y110" s="59">
        <v>4</v>
      </c>
      <c r="Z110" s="65">
        <v>6.47</v>
      </c>
      <c r="AA110" s="59">
        <v>19.350000000000001</v>
      </c>
      <c r="AB110" s="65">
        <v>6.8</v>
      </c>
      <c r="AC110" s="65">
        <v>6.5</v>
      </c>
      <c r="AD110" s="9">
        <v>0.5</v>
      </c>
      <c r="AE110" s="38">
        <v>0.84</v>
      </c>
      <c r="AF110" s="42">
        <f t="shared" si="37"/>
        <v>1265</v>
      </c>
      <c r="AG110" s="42">
        <f t="shared" si="38"/>
        <v>1967.8363232320003</v>
      </c>
      <c r="AH110" s="42">
        <f t="shared" si="39"/>
        <v>1.5556018365470359</v>
      </c>
      <c r="AI110" s="59">
        <v>3</v>
      </c>
      <c r="AJ110" s="59">
        <v>4</v>
      </c>
      <c r="AK110" s="38">
        <v>6.41</v>
      </c>
      <c r="AL110" s="38">
        <v>24.8</v>
      </c>
      <c r="AM110" s="65">
        <v>6.9</v>
      </c>
      <c r="AN110" s="65">
        <v>6.7</v>
      </c>
      <c r="AO110" s="38">
        <v>0.35</v>
      </c>
      <c r="AP110" s="70">
        <v>1.19</v>
      </c>
      <c r="AQ110" s="73">
        <f t="shared" si="17"/>
        <v>2085</v>
      </c>
      <c r="AR110" s="75">
        <f t="shared" si="18"/>
        <v>0.59760191846522781</v>
      </c>
      <c r="AS110" s="75">
        <f t="shared" si="19"/>
        <v>0.14244604316546763</v>
      </c>
      <c r="AT110" s="75">
        <f t="shared" si="20"/>
        <v>0.25995203836930458</v>
      </c>
      <c r="AU110" s="26">
        <f t="shared" si="21"/>
        <v>6.7304347826086963E-2</v>
      </c>
      <c r="AV110" s="26">
        <f t="shared" si="22"/>
        <v>8.6260869565217391E-2</v>
      </c>
      <c r="AW110" s="24">
        <f t="shared" si="23"/>
        <v>0.61612903225806459</v>
      </c>
      <c r="AX110" s="24">
        <f t="shared" si="24"/>
        <v>0.7290322580645161</v>
      </c>
      <c r="AY110" s="77" t="str">
        <f t="shared" si="25"/>
        <v>5,0 ≤ Alc. Bruta &lt; 7,5 mg/L</v>
      </c>
      <c r="AZ110" s="77" t="str">
        <f t="shared" si="26"/>
        <v>15 ≤ Cor &lt; 30 uC</v>
      </c>
      <c r="BA110" s="78" t="str">
        <f t="shared" si="27"/>
        <v>2,5 ≤ Turb &lt; 5,0 uT</v>
      </c>
      <c r="BB110" s="79" t="str">
        <f t="shared" si="28"/>
        <v>TOR &gt; BNN &gt; SM</v>
      </c>
      <c r="BC110" s="78" t="str">
        <f t="shared" si="29"/>
        <v>Tipo 2 (0,25-0,50) uT</v>
      </c>
      <c r="BD110" s="78" t="str">
        <f t="shared" si="30"/>
        <v>Tipo 2 (0,25-0,50) uT</v>
      </c>
      <c r="BE110" s="78" t="str">
        <f t="shared" si="31"/>
        <v>Tipo 4 (&gt;0,75) uT</v>
      </c>
      <c r="BF110" s="78" t="str">
        <f t="shared" si="32"/>
        <v>Tipo 4 (&gt;0,75) uT</v>
      </c>
      <c r="BG110" s="78" t="str">
        <f t="shared" si="33"/>
        <v>Tipo 3 (0,50-0,75) uT</v>
      </c>
    </row>
    <row r="111" spans="1:59" x14ac:dyDescent="0.2">
      <c r="A111" s="21">
        <v>46140</v>
      </c>
      <c r="B111" s="48">
        <v>0.39583333333333331</v>
      </c>
      <c r="C111" s="57">
        <v>1415</v>
      </c>
      <c r="D111" s="57">
        <v>607</v>
      </c>
      <c r="E111" s="57">
        <v>500</v>
      </c>
      <c r="F111" s="57">
        <v>2583</v>
      </c>
      <c r="G111" s="10" t="s">
        <v>34</v>
      </c>
      <c r="H111" s="63">
        <v>3.5</v>
      </c>
      <c r="I111" s="57">
        <v>90</v>
      </c>
      <c r="J111" s="57">
        <v>90</v>
      </c>
      <c r="K111" s="57">
        <v>90</v>
      </c>
      <c r="L111" s="63">
        <v>24.5</v>
      </c>
      <c r="M111" s="63">
        <v>6.8</v>
      </c>
      <c r="N111" s="36">
        <v>3.09</v>
      </c>
      <c r="O111" s="57">
        <v>15</v>
      </c>
      <c r="P111" s="63">
        <v>6.9</v>
      </c>
      <c r="Q111" s="36">
        <v>0.86</v>
      </c>
      <c r="R111" s="36">
        <v>22.36</v>
      </c>
      <c r="S111" s="36">
        <v>0.88</v>
      </c>
      <c r="T111" s="36">
        <v>0.7</v>
      </c>
      <c r="U111" s="42">
        <f t="shared" si="34"/>
        <v>1417.4212499999999</v>
      </c>
      <c r="V111" s="36">
        <f t="shared" si="35"/>
        <v>1593.7800824399999</v>
      </c>
      <c r="W111" s="36">
        <f t="shared" si="36"/>
        <v>1.1244223144248755</v>
      </c>
      <c r="X111" s="57">
        <v>3</v>
      </c>
      <c r="Y111" s="57">
        <v>4</v>
      </c>
      <c r="Z111" s="63">
        <v>6.5</v>
      </c>
      <c r="AA111" s="57">
        <v>19.739999999999998</v>
      </c>
      <c r="AB111" s="63">
        <v>6.6</v>
      </c>
      <c r="AC111" s="63">
        <v>6.1</v>
      </c>
      <c r="AD111" s="10">
        <v>0.48</v>
      </c>
      <c r="AE111" s="36">
        <v>1.29</v>
      </c>
      <c r="AF111" s="42">
        <f t="shared" si="37"/>
        <v>1889.8949999999998</v>
      </c>
      <c r="AG111" s="42">
        <f t="shared" si="38"/>
        <v>1866.4275921199996</v>
      </c>
      <c r="AH111" s="42">
        <f t="shared" si="39"/>
        <v>0.98758269222364203</v>
      </c>
      <c r="AI111" s="57">
        <v>3</v>
      </c>
      <c r="AJ111" s="57">
        <v>3</v>
      </c>
      <c r="AK111" s="36">
        <v>6.35</v>
      </c>
      <c r="AL111" s="36">
        <v>23.8</v>
      </c>
      <c r="AM111" s="63">
        <v>6.5</v>
      </c>
      <c r="AN111" s="63">
        <v>6.9</v>
      </c>
      <c r="AO111" s="36">
        <v>0.23</v>
      </c>
      <c r="AP111" s="68">
        <v>0.82</v>
      </c>
      <c r="AQ111" s="73">
        <f t="shared" si="17"/>
        <v>2522</v>
      </c>
      <c r="AR111" s="75">
        <f t="shared" si="18"/>
        <v>0.56106264869151468</v>
      </c>
      <c r="AS111" s="75">
        <f t="shared" si="19"/>
        <v>0.24068199841395718</v>
      </c>
      <c r="AT111" s="75">
        <f t="shared" si="20"/>
        <v>0.19825535289452814</v>
      </c>
      <c r="AU111" s="26">
        <f t="shared" si="21"/>
        <v>6.1138211382113818E-2</v>
      </c>
      <c r="AV111" s="26">
        <f t="shared" si="22"/>
        <v>5.5284552845528454E-2</v>
      </c>
      <c r="AW111" s="24">
        <f t="shared" si="23"/>
        <v>0.7346278317152104</v>
      </c>
      <c r="AX111" s="24">
        <f t="shared" si="24"/>
        <v>0.58252427184466016</v>
      </c>
      <c r="AY111" s="77" t="str">
        <f t="shared" si="25"/>
        <v>5,0 ≤ Alc. Bruta &lt; 7,5 mg/L</v>
      </c>
      <c r="AZ111" s="77" t="str">
        <f t="shared" si="26"/>
        <v>15 ≤ Cor &lt; 30 uC</v>
      </c>
      <c r="BA111" s="78" t="str">
        <f t="shared" si="27"/>
        <v>2,5 ≤ Turb &lt; 5,0 uT</v>
      </c>
      <c r="BB111" s="79" t="str">
        <f t="shared" si="28"/>
        <v>TOR &gt; SM &gt; BNN</v>
      </c>
      <c r="BC111" s="78" t="str">
        <f t="shared" si="29"/>
        <v>Tipo 2 (0,25-0,50) uT</v>
      </c>
      <c r="BD111" s="78" t="str">
        <f t="shared" si="30"/>
        <v>Tipo 1 (≤0,25) uT</v>
      </c>
      <c r="BE111" s="78" t="str">
        <f t="shared" si="31"/>
        <v>Tipo 4 (&gt;0,75) uT</v>
      </c>
      <c r="BF111" s="78" t="str">
        <f t="shared" si="32"/>
        <v>Tipo 4 (&gt;0,75) uT</v>
      </c>
      <c r="BG111" s="78" t="str">
        <f t="shared" si="33"/>
        <v>Tipo 4 (&gt;0,75) uT</v>
      </c>
    </row>
    <row r="112" spans="1:59" x14ac:dyDescent="0.2">
      <c r="A112" s="21">
        <v>46140</v>
      </c>
      <c r="B112" s="48">
        <v>0.47916666666666669</v>
      </c>
      <c r="C112" s="57">
        <v>1215</v>
      </c>
      <c r="D112" s="57">
        <v>669</v>
      </c>
      <c r="E112" s="57">
        <v>500</v>
      </c>
      <c r="F112" s="57">
        <v>2482</v>
      </c>
      <c r="G112" s="10" t="s">
        <v>34</v>
      </c>
      <c r="H112" s="63">
        <v>3.3</v>
      </c>
      <c r="I112" s="57">
        <v>90</v>
      </c>
      <c r="J112" s="57">
        <v>90</v>
      </c>
      <c r="K112" s="57">
        <v>90</v>
      </c>
      <c r="L112" s="63">
        <v>25.3</v>
      </c>
      <c r="M112" s="63">
        <v>6.5</v>
      </c>
      <c r="N112" s="36">
        <v>2.9</v>
      </c>
      <c r="O112" s="57">
        <v>19</v>
      </c>
      <c r="P112" s="63">
        <v>7.9</v>
      </c>
      <c r="Q112" s="36">
        <v>0.74</v>
      </c>
      <c r="R112" s="36">
        <v>22.36</v>
      </c>
      <c r="S112" s="36">
        <v>0.88</v>
      </c>
      <c r="T112" s="36">
        <v>0.7</v>
      </c>
      <c r="U112" s="42">
        <f t="shared" si="34"/>
        <v>1284.4349999999999</v>
      </c>
      <c r="V112" s="36">
        <f t="shared" si="35"/>
        <v>1594.5874685000001</v>
      </c>
      <c r="W112" s="36">
        <f t="shared" si="36"/>
        <v>1.2414699603327535</v>
      </c>
      <c r="X112" s="57">
        <v>3</v>
      </c>
      <c r="Y112" s="57">
        <v>4</v>
      </c>
      <c r="Z112" s="63">
        <v>6.5</v>
      </c>
      <c r="AA112" s="57">
        <v>19.75</v>
      </c>
      <c r="AB112" s="63">
        <v>6.6</v>
      </c>
      <c r="AC112" s="63">
        <v>9.1</v>
      </c>
      <c r="AD112" s="10">
        <v>0.55000000000000004</v>
      </c>
      <c r="AE112" s="36">
        <v>1.1499999999999999</v>
      </c>
      <c r="AF112" s="42">
        <f t="shared" si="37"/>
        <v>1712.58</v>
      </c>
      <c r="AG112" s="42">
        <f t="shared" si="38"/>
        <v>1834.8592640507998</v>
      </c>
      <c r="AH112" s="42">
        <f t="shared" si="39"/>
        <v>1.0714006143075359</v>
      </c>
      <c r="AI112" s="57">
        <v>3</v>
      </c>
      <c r="AJ112" s="57">
        <v>3</v>
      </c>
      <c r="AK112" s="36">
        <v>6.33</v>
      </c>
      <c r="AL112" s="36">
        <v>23.49</v>
      </c>
      <c r="AM112" s="63">
        <v>6.5</v>
      </c>
      <c r="AN112" s="63">
        <v>7.3</v>
      </c>
      <c r="AO112" s="36">
        <v>0.56999999999999995</v>
      </c>
      <c r="AP112" s="68">
        <v>0.68</v>
      </c>
      <c r="AQ112" s="73">
        <f t="shared" si="17"/>
        <v>2384</v>
      </c>
      <c r="AR112" s="75">
        <f t="shared" si="18"/>
        <v>0.50964765100671139</v>
      </c>
      <c r="AS112" s="75">
        <f t="shared" si="19"/>
        <v>0.28062080536912754</v>
      </c>
      <c r="AT112" s="75">
        <f t="shared" si="20"/>
        <v>0.20973154362416108</v>
      </c>
      <c r="AU112" s="26">
        <f t="shared" si="21"/>
        <v>6.3658340048348111E-2</v>
      </c>
      <c r="AV112" s="26">
        <f t="shared" si="22"/>
        <v>5.6784850926672036E-2</v>
      </c>
      <c r="AW112" s="24">
        <f t="shared" si="23"/>
        <v>0.76551724137931032</v>
      </c>
      <c r="AX112" s="24">
        <f t="shared" si="24"/>
        <v>0.60344827586206895</v>
      </c>
      <c r="AY112" s="77" t="str">
        <f t="shared" si="25"/>
        <v>7,5 ≤ Alc. Bruta &lt; 10,0 mg/L</v>
      </c>
      <c r="AZ112" s="77" t="str">
        <f t="shared" si="26"/>
        <v>15 ≤ Cor &lt; 30 uC</v>
      </c>
      <c r="BA112" s="78" t="str">
        <f t="shared" si="27"/>
        <v>2,5 ≤ Turb &lt; 5,0 uT</v>
      </c>
      <c r="BB112" s="79" t="str">
        <f t="shared" si="28"/>
        <v>TOR &gt; SM &gt; BNN</v>
      </c>
      <c r="BC112" s="78" t="str">
        <f t="shared" si="29"/>
        <v>Tipo 3 (0,50-0,75) uT</v>
      </c>
      <c r="BD112" s="78" t="str">
        <f t="shared" si="30"/>
        <v>Tipo 3 (0,50-0,75) uT</v>
      </c>
      <c r="BE112" s="78" t="str">
        <f t="shared" si="31"/>
        <v>Tipo 4 (&gt;0,75) uT</v>
      </c>
      <c r="BF112" s="78" t="str">
        <f t="shared" si="32"/>
        <v>Tipo 3 (0,50-0,75) uT</v>
      </c>
      <c r="BG112" s="78" t="str">
        <f t="shared" si="33"/>
        <v>Tipo 3 (0,50-0,75) uT</v>
      </c>
    </row>
    <row r="113" spans="1:59" x14ac:dyDescent="0.2">
      <c r="A113" s="21">
        <v>46140</v>
      </c>
      <c r="B113" s="48">
        <v>0.64583333333333337</v>
      </c>
      <c r="C113" s="57">
        <v>1090</v>
      </c>
      <c r="D113" s="57">
        <v>653</v>
      </c>
      <c r="E113" s="57">
        <v>500</v>
      </c>
      <c r="F113" s="57">
        <v>2557</v>
      </c>
      <c r="G113" s="10" t="s">
        <v>34</v>
      </c>
      <c r="H113" s="63">
        <v>4</v>
      </c>
      <c r="I113" s="57">
        <v>90</v>
      </c>
      <c r="J113" s="57">
        <v>90</v>
      </c>
      <c r="K113" s="57">
        <v>90</v>
      </c>
      <c r="L113" s="63">
        <v>25.9</v>
      </c>
      <c r="M113" s="63">
        <v>6.5</v>
      </c>
      <c r="N113" s="36">
        <v>3.36</v>
      </c>
      <c r="O113" s="57">
        <v>19</v>
      </c>
      <c r="P113" s="63">
        <v>5.5</v>
      </c>
      <c r="Q113" s="36">
        <v>0.44</v>
      </c>
      <c r="R113" s="36">
        <v>22.36</v>
      </c>
      <c r="S113" s="36">
        <v>0.88</v>
      </c>
      <c r="T113" s="36">
        <v>0.7</v>
      </c>
      <c r="U113" s="42">
        <f t="shared" si="34"/>
        <v>1537.3962499999998</v>
      </c>
      <c r="V113" s="36">
        <f t="shared" si="35"/>
        <v>1565.7679062115999</v>
      </c>
      <c r="W113" s="36">
        <f t="shared" si="36"/>
        <v>1.0184543550249976</v>
      </c>
      <c r="X113" s="57">
        <v>3</v>
      </c>
      <c r="Y113" s="57">
        <v>4</v>
      </c>
      <c r="Z113" s="63">
        <v>6.39</v>
      </c>
      <c r="AA113" s="57">
        <v>19.809999999999999</v>
      </c>
      <c r="AB113" s="63">
        <v>6.5</v>
      </c>
      <c r="AC113" s="63">
        <v>6</v>
      </c>
      <c r="AD113" s="10">
        <v>0.51</v>
      </c>
      <c r="AE113" s="36">
        <v>0.77</v>
      </c>
      <c r="AF113" s="42">
        <f t="shared" si="37"/>
        <v>2049.8616666666667</v>
      </c>
      <c r="AG113" s="42">
        <f t="shared" si="38"/>
        <v>1853.1338342399997</v>
      </c>
      <c r="AH113" s="42">
        <f t="shared" si="39"/>
        <v>0.90402872758405639</v>
      </c>
      <c r="AI113" s="57">
        <v>3</v>
      </c>
      <c r="AJ113" s="57">
        <v>3</v>
      </c>
      <c r="AK113" s="36">
        <v>6.4</v>
      </c>
      <c r="AL113" s="36">
        <v>23.4</v>
      </c>
      <c r="AM113" s="63">
        <v>6.5</v>
      </c>
      <c r="AN113" s="63">
        <v>6.1</v>
      </c>
      <c r="AO113" s="36">
        <v>0.26</v>
      </c>
      <c r="AP113" s="68">
        <v>0.46</v>
      </c>
      <c r="AQ113" s="73">
        <f t="shared" si="17"/>
        <v>2243</v>
      </c>
      <c r="AR113" s="75">
        <f t="shared" si="18"/>
        <v>0.48595630851538119</v>
      </c>
      <c r="AS113" s="75">
        <f t="shared" si="19"/>
        <v>0.2911279536335265</v>
      </c>
      <c r="AT113" s="75">
        <f t="shared" si="20"/>
        <v>0.22291573785109228</v>
      </c>
      <c r="AU113" s="26">
        <f t="shared" si="21"/>
        <v>6.1978881501759869E-2</v>
      </c>
      <c r="AV113" s="26">
        <f t="shared" si="22"/>
        <v>5.4908095424325377E-2</v>
      </c>
      <c r="AW113" s="24">
        <f t="shared" si="23"/>
        <v>0.86309523809523814</v>
      </c>
      <c r="AX113" s="24">
        <f t="shared" si="24"/>
        <v>0.77083333333333326</v>
      </c>
      <c r="AY113" s="77" t="str">
        <f t="shared" si="25"/>
        <v>5,0 ≤ Alc. Bruta &lt; 7,5 mg/L</v>
      </c>
      <c r="AZ113" s="77" t="str">
        <f t="shared" si="26"/>
        <v>15 ≤ Cor &lt; 30 uC</v>
      </c>
      <c r="BA113" s="78" t="str">
        <f t="shared" si="27"/>
        <v>2,5 ≤ Turb &lt; 5,0 uT</v>
      </c>
      <c r="BB113" s="79" t="str">
        <f t="shared" si="28"/>
        <v>TOR &gt; SM &gt; BNN</v>
      </c>
      <c r="BC113" s="78" t="str">
        <f t="shared" si="29"/>
        <v>Tipo 3 (0,50-0,75) uT</v>
      </c>
      <c r="BD113" s="78" t="str">
        <f t="shared" si="30"/>
        <v>Tipo 2 (0,25-0,50) uT</v>
      </c>
      <c r="BE113" s="78" t="str">
        <f t="shared" si="31"/>
        <v>Tipo 4 (&gt;0,75) uT</v>
      </c>
      <c r="BF113" s="78" t="str">
        <f t="shared" si="32"/>
        <v>Tipo 2 (0,25-0,50) uT</v>
      </c>
      <c r="BG113" s="78" t="str">
        <f t="shared" si="33"/>
        <v>Tipo 2 (0,25-0,50) uT</v>
      </c>
    </row>
    <row r="114" spans="1:59" x14ac:dyDescent="0.2">
      <c r="A114" s="21">
        <v>46140</v>
      </c>
      <c r="B114" s="48">
        <v>0.72916666666666663</v>
      </c>
      <c r="C114" s="57">
        <v>1175</v>
      </c>
      <c r="D114" s="57">
        <v>674</v>
      </c>
      <c r="E114" s="57">
        <v>500</v>
      </c>
      <c r="F114" s="57">
        <v>2577</v>
      </c>
      <c r="G114" s="10" t="s">
        <v>34</v>
      </c>
      <c r="H114" s="63">
        <v>4</v>
      </c>
      <c r="I114" s="57">
        <v>90</v>
      </c>
      <c r="J114" s="57">
        <v>90</v>
      </c>
      <c r="K114" s="57">
        <v>90</v>
      </c>
      <c r="L114" s="63">
        <v>25.8</v>
      </c>
      <c r="M114" s="63">
        <v>6.5</v>
      </c>
      <c r="N114" s="36">
        <v>2.93</v>
      </c>
      <c r="O114" s="57">
        <v>13</v>
      </c>
      <c r="P114" s="63">
        <v>5.9</v>
      </c>
      <c r="Q114" s="36">
        <v>0.48</v>
      </c>
      <c r="R114" s="36">
        <v>22.36</v>
      </c>
      <c r="S114" s="36">
        <v>0.88</v>
      </c>
      <c r="T114" s="36">
        <v>0.7</v>
      </c>
      <c r="U114" s="42">
        <f t="shared" si="34"/>
        <v>1410.9075</v>
      </c>
      <c r="V114" s="36">
        <f t="shared" si="35"/>
        <v>1554.4676894603997</v>
      </c>
      <c r="W114" s="36">
        <f t="shared" si="36"/>
        <v>1.1017502490137727</v>
      </c>
      <c r="X114" s="57">
        <v>3</v>
      </c>
      <c r="Y114" s="57">
        <v>4</v>
      </c>
      <c r="Z114" s="63">
        <v>6.49</v>
      </c>
      <c r="AA114" s="57">
        <v>19.29</v>
      </c>
      <c r="AB114" s="63">
        <v>6.4</v>
      </c>
      <c r="AC114" s="63">
        <v>5.7</v>
      </c>
      <c r="AD114" s="10">
        <v>0.59</v>
      </c>
      <c r="AE114" s="36">
        <v>0.79</v>
      </c>
      <c r="AF114" s="42">
        <f t="shared" si="37"/>
        <v>1881.21</v>
      </c>
      <c r="AG114" s="42">
        <f t="shared" si="38"/>
        <v>1898.4026291359999</v>
      </c>
      <c r="AH114" s="42">
        <f t="shared" si="39"/>
        <v>1.0091391333960589</v>
      </c>
      <c r="AI114" s="57">
        <v>3</v>
      </c>
      <c r="AJ114" s="57">
        <v>3</v>
      </c>
      <c r="AK114" s="36">
        <v>6.31</v>
      </c>
      <c r="AL114" s="36">
        <v>24.4</v>
      </c>
      <c r="AM114" s="63">
        <v>6.5</v>
      </c>
      <c r="AN114" s="63">
        <v>6.2</v>
      </c>
      <c r="AO114" s="36">
        <v>0.6</v>
      </c>
      <c r="AP114" s="68">
        <v>0.39</v>
      </c>
      <c r="AQ114" s="73">
        <f t="shared" si="17"/>
        <v>2349</v>
      </c>
      <c r="AR114" s="75">
        <f t="shared" si="18"/>
        <v>0.5002128565346956</v>
      </c>
      <c r="AS114" s="75">
        <f t="shared" si="19"/>
        <v>0.28693060876968923</v>
      </c>
      <c r="AT114" s="75">
        <f t="shared" si="20"/>
        <v>0.21285653469561516</v>
      </c>
      <c r="AU114" s="26">
        <f t="shared" si="21"/>
        <v>5.9883585564610008E-2</v>
      </c>
      <c r="AV114" s="26">
        <f t="shared" si="22"/>
        <v>5.6810244470314318E-2</v>
      </c>
      <c r="AW114" s="24">
        <f t="shared" si="23"/>
        <v>0.86689419795221845</v>
      </c>
      <c r="AX114" s="24">
        <f t="shared" si="24"/>
        <v>0.7303754266211604</v>
      </c>
      <c r="AY114" s="77" t="str">
        <f t="shared" si="25"/>
        <v>5,0 ≤ Alc. Bruta &lt; 7,5 mg/L</v>
      </c>
      <c r="AZ114" s="77" t="str">
        <f t="shared" si="26"/>
        <v>10 ≤ Cor &lt;15 uC</v>
      </c>
      <c r="BA114" s="78" t="str">
        <f t="shared" si="27"/>
        <v>2,5 ≤ Turb &lt; 5,0 uT</v>
      </c>
      <c r="BB114" s="79" t="str">
        <f t="shared" si="28"/>
        <v>TOR &gt; SM &gt; BNN</v>
      </c>
      <c r="BC114" s="78" t="str">
        <f t="shared" si="29"/>
        <v>Tipo 3 (0,50-0,75) uT</v>
      </c>
      <c r="BD114" s="78" t="str">
        <f t="shared" si="30"/>
        <v>Tipo 3 (0,50-0,75) uT</v>
      </c>
      <c r="BE114" s="78" t="str">
        <f t="shared" si="31"/>
        <v>Tipo 4 (&gt;0,75) uT</v>
      </c>
      <c r="BF114" s="78" t="str">
        <f t="shared" si="32"/>
        <v>Tipo 2 (0,25-0,50) uT</v>
      </c>
      <c r="BG114" s="78" t="str">
        <f t="shared" si="33"/>
        <v>Tipo 2 (0,25-0,50) uT</v>
      </c>
    </row>
    <row r="115" spans="1:59" x14ac:dyDescent="0.2">
      <c r="A115" s="21">
        <v>46140</v>
      </c>
      <c r="B115" s="48">
        <v>0.8125</v>
      </c>
      <c r="C115" s="57">
        <v>1227</v>
      </c>
      <c r="D115" s="57">
        <v>634</v>
      </c>
      <c r="E115" s="57">
        <v>500</v>
      </c>
      <c r="F115" s="57">
        <v>2105</v>
      </c>
      <c r="G115" s="10" t="s">
        <v>34</v>
      </c>
      <c r="H115" s="63">
        <v>4</v>
      </c>
      <c r="I115" s="57">
        <v>90</v>
      </c>
      <c r="J115" s="57">
        <v>90</v>
      </c>
      <c r="K115" s="57">
        <v>90</v>
      </c>
      <c r="L115" s="63">
        <v>25.4</v>
      </c>
      <c r="M115" s="63">
        <v>6.6</v>
      </c>
      <c r="N115" s="36">
        <v>2.84</v>
      </c>
      <c r="O115" s="57">
        <v>15</v>
      </c>
      <c r="P115" s="63">
        <v>5.2</v>
      </c>
      <c r="Q115" s="36">
        <v>1.1200000000000001</v>
      </c>
      <c r="R115" s="36">
        <v>22.36</v>
      </c>
      <c r="S115" s="36">
        <v>0.88</v>
      </c>
      <c r="T115" s="36">
        <v>0.7</v>
      </c>
      <c r="U115" s="42">
        <f t="shared" si="34"/>
        <v>1128.8062500000001</v>
      </c>
      <c r="V115" s="36">
        <f t="shared" si="35"/>
        <v>1586.7013377644</v>
      </c>
      <c r="W115" s="36">
        <f t="shared" si="36"/>
        <v>1.4056454221124306</v>
      </c>
      <c r="X115" s="57">
        <v>3</v>
      </c>
      <c r="Y115" s="57">
        <v>4</v>
      </c>
      <c r="Z115" s="63">
        <v>6.49</v>
      </c>
      <c r="AA115" s="57">
        <v>19.690000000000001</v>
      </c>
      <c r="AB115" s="63">
        <v>6.8</v>
      </c>
      <c r="AC115" s="63">
        <v>7.9</v>
      </c>
      <c r="AD115" s="10">
        <v>0.64</v>
      </c>
      <c r="AE115" s="36">
        <v>1.21</v>
      </c>
      <c r="AF115" s="42">
        <f t="shared" si="37"/>
        <v>1505.0749999999998</v>
      </c>
      <c r="AG115" s="42">
        <f t="shared" si="38"/>
        <v>1932.8288129539999</v>
      </c>
      <c r="AH115" s="42">
        <f t="shared" si="39"/>
        <v>1.284207639455841</v>
      </c>
      <c r="AI115" s="57">
        <v>3</v>
      </c>
      <c r="AJ115" s="57">
        <v>3</v>
      </c>
      <c r="AK115" s="36">
        <v>6.37</v>
      </c>
      <c r="AL115" s="36">
        <v>24.55</v>
      </c>
      <c r="AM115" s="63">
        <v>6.6</v>
      </c>
      <c r="AN115" s="63">
        <v>7.5</v>
      </c>
      <c r="AO115" s="36">
        <v>0.35</v>
      </c>
      <c r="AP115" s="68">
        <v>0.85</v>
      </c>
      <c r="AQ115" s="73">
        <f t="shared" si="17"/>
        <v>2361</v>
      </c>
      <c r="AR115" s="75">
        <f t="shared" si="18"/>
        <v>0.51969504447268111</v>
      </c>
      <c r="AS115" s="75">
        <f t="shared" si="19"/>
        <v>0.26853028377806015</v>
      </c>
      <c r="AT115" s="75">
        <f t="shared" si="20"/>
        <v>0.21177467174925879</v>
      </c>
      <c r="AU115" s="26">
        <f t="shared" si="21"/>
        <v>7.483135391923991E-2</v>
      </c>
      <c r="AV115" s="26">
        <f t="shared" si="22"/>
        <v>6.997624703087886E-2</v>
      </c>
      <c r="AW115" s="24">
        <f t="shared" si="23"/>
        <v>0.70070422535211274</v>
      </c>
      <c r="AX115" s="24">
        <f t="shared" si="24"/>
        <v>0.573943661971831</v>
      </c>
      <c r="AY115" s="77" t="str">
        <f t="shared" si="25"/>
        <v>5,0 ≤ Alc. Bruta &lt; 7,5 mg/L</v>
      </c>
      <c r="AZ115" s="77" t="str">
        <f t="shared" si="26"/>
        <v>15 ≤ Cor &lt; 30 uC</v>
      </c>
      <c r="BA115" s="78" t="str">
        <f t="shared" si="27"/>
        <v>2,5 ≤ Turb &lt; 5,0 uT</v>
      </c>
      <c r="BB115" s="79" t="str">
        <f t="shared" si="28"/>
        <v>TOR &gt; SM &gt; BNN</v>
      </c>
      <c r="BC115" s="78" t="str">
        <f t="shared" si="29"/>
        <v>Tipo 3 (0,50-0,75) uT</v>
      </c>
      <c r="BD115" s="78" t="str">
        <f t="shared" si="30"/>
        <v>Tipo 2 (0,25-0,50) uT</v>
      </c>
      <c r="BE115" s="78" t="str">
        <f t="shared" si="31"/>
        <v>Tipo 4 (&gt;0,75) uT</v>
      </c>
      <c r="BF115" s="78" t="str">
        <f t="shared" si="32"/>
        <v>Tipo 4 (&gt;0,75) uT</v>
      </c>
      <c r="BG115" s="78" t="str">
        <f t="shared" si="33"/>
        <v>Tipo 4 (&gt;0,75) uT</v>
      </c>
    </row>
    <row r="116" spans="1:59" x14ac:dyDescent="0.2">
      <c r="A116" s="21">
        <v>46140</v>
      </c>
      <c r="B116" s="48">
        <v>0.89583333333333337</v>
      </c>
      <c r="C116" s="57">
        <v>1116</v>
      </c>
      <c r="D116" s="57">
        <v>663</v>
      </c>
      <c r="E116" s="57">
        <v>499</v>
      </c>
      <c r="F116" s="57">
        <v>2006</v>
      </c>
      <c r="G116" s="10" t="s">
        <v>34</v>
      </c>
      <c r="H116" s="63">
        <v>4.5</v>
      </c>
      <c r="I116" s="57">
        <v>90</v>
      </c>
      <c r="J116" s="57">
        <v>90</v>
      </c>
      <c r="K116" s="57">
        <v>90</v>
      </c>
      <c r="L116" s="63">
        <v>24</v>
      </c>
      <c r="M116" s="63">
        <v>6.7</v>
      </c>
      <c r="N116" s="36">
        <v>3.06</v>
      </c>
      <c r="O116" s="57">
        <v>15</v>
      </c>
      <c r="P116" s="63">
        <v>6.4</v>
      </c>
      <c r="Q116" s="36">
        <v>1.1200000000000001</v>
      </c>
      <c r="R116" s="36">
        <v>22.36</v>
      </c>
      <c r="S116" s="36">
        <v>0.88</v>
      </c>
      <c r="T116" s="36">
        <v>0.7</v>
      </c>
      <c r="U116" s="42">
        <f t="shared" si="34"/>
        <v>1168.4950000000001</v>
      </c>
      <c r="V116" s="36">
        <f t="shared" si="35"/>
        <v>1562.7478181535998</v>
      </c>
      <c r="W116" s="36">
        <f t="shared" si="36"/>
        <v>1.3374022294948629</v>
      </c>
      <c r="X116" s="57">
        <v>3</v>
      </c>
      <c r="Y116" s="57">
        <v>4</v>
      </c>
      <c r="Z116" s="63">
        <v>6.48</v>
      </c>
      <c r="AA116" s="57">
        <v>19.43</v>
      </c>
      <c r="AB116" s="63">
        <v>6.8</v>
      </c>
      <c r="AC116" s="63">
        <v>6.5</v>
      </c>
      <c r="AD116" s="10">
        <v>0.48</v>
      </c>
      <c r="AE116" s="36">
        <v>1.61</v>
      </c>
      <c r="AF116" s="42">
        <f t="shared" si="37"/>
        <v>1557.9933333333333</v>
      </c>
      <c r="AG116" s="42">
        <f t="shared" si="38"/>
        <v>1944.5099039079994</v>
      </c>
      <c r="AH116" s="42">
        <f t="shared" si="39"/>
        <v>1.2480861517858437</v>
      </c>
      <c r="AI116" s="57">
        <v>3</v>
      </c>
      <c r="AJ116" s="57">
        <v>3</v>
      </c>
      <c r="AK116" s="36">
        <v>6.38</v>
      </c>
      <c r="AL116" s="36">
        <v>24.65</v>
      </c>
      <c r="AM116" s="63">
        <v>6.9</v>
      </c>
      <c r="AN116" s="63">
        <v>5.0999999999999996</v>
      </c>
      <c r="AO116" s="36">
        <v>0.3</v>
      </c>
      <c r="AP116" s="68">
        <v>0.89</v>
      </c>
      <c r="AQ116" s="73">
        <f t="shared" si="17"/>
        <v>2278</v>
      </c>
      <c r="AR116" s="75">
        <f t="shared" si="18"/>
        <v>0.48990342405618964</v>
      </c>
      <c r="AS116" s="75">
        <f t="shared" si="19"/>
        <v>0.29104477611940299</v>
      </c>
      <c r="AT116" s="75">
        <f t="shared" si="20"/>
        <v>0.21905179982440737</v>
      </c>
      <c r="AU116" s="26">
        <f t="shared" si="21"/>
        <v>7.7487537387836494E-2</v>
      </c>
      <c r="AV116" s="26">
        <f t="shared" si="22"/>
        <v>7.3728813559322037E-2</v>
      </c>
      <c r="AW116" s="24">
        <f t="shared" si="23"/>
        <v>0.70915032679738554</v>
      </c>
      <c r="AX116" s="24">
        <f t="shared" si="24"/>
        <v>0.47385620915032678</v>
      </c>
      <c r="AY116" s="77" t="str">
        <f t="shared" si="25"/>
        <v>5,0 ≤ Alc. Bruta &lt; 7,5 mg/L</v>
      </c>
      <c r="AZ116" s="77" t="str">
        <f t="shared" si="26"/>
        <v>15 ≤ Cor &lt; 30 uC</v>
      </c>
      <c r="BA116" s="78" t="str">
        <f t="shared" si="27"/>
        <v>2,5 ≤ Turb &lt; 5,0 uT</v>
      </c>
      <c r="BB116" s="79" t="str">
        <f t="shared" si="28"/>
        <v>TOR &gt; SM &gt; BNN</v>
      </c>
      <c r="BC116" s="78" t="str">
        <f t="shared" si="29"/>
        <v>Tipo 2 (0,25-0,50) uT</v>
      </c>
      <c r="BD116" s="78" t="str">
        <f t="shared" si="30"/>
        <v>Tipo 2 (0,25-0,50) uT</v>
      </c>
      <c r="BE116" s="78" t="str">
        <f t="shared" si="31"/>
        <v>Tipo 4 (&gt;0,75) uT</v>
      </c>
      <c r="BF116" s="78" t="str">
        <f t="shared" si="32"/>
        <v>Tipo 4 (&gt;0,75) uT</v>
      </c>
      <c r="BG116" s="78" t="str">
        <f t="shared" si="33"/>
        <v>Tipo 4 (&gt;0,75) uT</v>
      </c>
    </row>
    <row r="117" spans="1:59" x14ac:dyDescent="0.2">
      <c r="A117" s="21">
        <v>46140</v>
      </c>
      <c r="B117" s="48">
        <v>0.97916666666666663</v>
      </c>
      <c r="C117" s="57">
        <v>1134</v>
      </c>
      <c r="D117" s="57">
        <v>653</v>
      </c>
      <c r="E117" s="57">
        <v>501</v>
      </c>
      <c r="F117" s="57">
        <v>2130</v>
      </c>
      <c r="G117" s="10" t="s">
        <v>34</v>
      </c>
      <c r="H117" s="63">
        <v>4</v>
      </c>
      <c r="I117" s="57">
        <v>90</v>
      </c>
      <c r="J117" s="57">
        <v>90</v>
      </c>
      <c r="K117" s="57">
        <v>90</v>
      </c>
      <c r="L117" s="63">
        <v>23</v>
      </c>
      <c r="M117" s="63">
        <v>6.8</v>
      </c>
      <c r="N117" s="36">
        <v>2.92</v>
      </c>
      <c r="O117" s="57">
        <v>16</v>
      </c>
      <c r="P117" s="63">
        <v>6.3</v>
      </c>
      <c r="Q117" s="36">
        <v>1.2</v>
      </c>
      <c r="R117" s="36">
        <v>22.36</v>
      </c>
      <c r="S117" s="36">
        <v>0.88</v>
      </c>
      <c r="T117" s="36">
        <v>0.7</v>
      </c>
      <c r="U117" s="42">
        <f t="shared" si="34"/>
        <v>1163.5125</v>
      </c>
      <c r="V117" s="36">
        <f t="shared" si="35"/>
        <v>1455.3844723599998</v>
      </c>
      <c r="W117" s="36">
        <f t="shared" si="36"/>
        <v>1.2508541784982969</v>
      </c>
      <c r="X117" s="57">
        <v>3</v>
      </c>
      <c r="Y117" s="57">
        <v>4</v>
      </c>
      <c r="Z117" s="63">
        <v>6.45</v>
      </c>
      <c r="AA117" s="57">
        <v>18.2</v>
      </c>
      <c r="AB117" s="63">
        <v>6.8</v>
      </c>
      <c r="AC117" s="63">
        <v>6.4</v>
      </c>
      <c r="AD117" s="10">
        <v>0.59</v>
      </c>
      <c r="AE117" s="36">
        <v>2.23</v>
      </c>
      <c r="AF117" s="42">
        <f t="shared" si="37"/>
        <v>1551.3500000000001</v>
      </c>
      <c r="AG117" s="42">
        <f t="shared" si="38"/>
        <v>1948.9874201199998</v>
      </c>
      <c r="AH117" s="42">
        <f t="shared" si="39"/>
        <v>1.2563170271827762</v>
      </c>
      <c r="AI117" s="57">
        <v>3</v>
      </c>
      <c r="AJ117" s="57">
        <v>3</v>
      </c>
      <c r="AK117" s="36">
        <v>6.3</v>
      </c>
      <c r="AL117" s="36">
        <v>25.1</v>
      </c>
      <c r="AM117" s="63">
        <v>6.8</v>
      </c>
      <c r="AN117" s="63">
        <v>5.8</v>
      </c>
      <c r="AO117" s="36">
        <v>0.48</v>
      </c>
      <c r="AP117" s="68">
        <v>1.53</v>
      </c>
      <c r="AQ117" s="73">
        <f t="shared" si="17"/>
        <v>2288</v>
      </c>
      <c r="AR117" s="75">
        <f t="shared" si="18"/>
        <v>0.49562937062937062</v>
      </c>
      <c r="AS117" s="75">
        <f t="shared" si="19"/>
        <v>0.28540209790209792</v>
      </c>
      <c r="AT117" s="75">
        <f t="shared" si="20"/>
        <v>0.21896853146853146</v>
      </c>
      <c r="AU117" s="26">
        <f t="shared" si="21"/>
        <v>6.8356807511737089E-2</v>
      </c>
      <c r="AV117" s="26">
        <f t="shared" si="22"/>
        <v>7.0704225352112682E-2</v>
      </c>
      <c r="AW117" s="24">
        <f t="shared" si="23"/>
        <v>0.47602739726027399</v>
      </c>
      <c r="AX117" s="24">
        <f t="shared" si="24"/>
        <v>0.23630136986301364</v>
      </c>
      <c r="AY117" s="77" t="str">
        <f t="shared" si="25"/>
        <v>5,0 ≤ Alc. Bruta &lt; 7,5 mg/L</v>
      </c>
      <c r="AZ117" s="77" t="str">
        <f t="shared" si="26"/>
        <v>15 ≤ Cor &lt; 30 uC</v>
      </c>
      <c r="BA117" s="78" t="str">
        <f t="shared" si="27"/>
        <v>2,5 ≤ Turb &lt; 5,0 uT</v>
      </c>
      <c r="BB117" s="79" t="str">
        <f t="shared" si="28"/>
        <v>TOR &gt; SM &gt; BNN</v>
      </c>
      <c r="BC117" s="78" t="str">
        <f t="shared" si="29"/>
        <v>Tipo 3 (0,50-0,75) uT</v>
      </c>
      <c r="BD117" s="78" t="str">
        <f t="shared" si="30"/>
        <v>Tipo 2 (0,25-0,50) uT</v>
      </c>
      <c r="BE117" s="78" t="str">
        <f t="shared" si="31"/>
        <v>Tipo 4 (&gt;0,75) uT</v>
      </c>
      <c r="BF117" s="78" t="str">
        <f t="shared" si="32"/>
        <v>Tipo 4 (&gt;0,75) uT</v>
      </c>
      <c r="BG117" s="78" t="str">
        <f t="shared" si="33"/>
        <v>Tipo 4 (&gt;0,75) uT</v>
      </c>
    </row>
    <row r="118" spans="1:59" x14ac:dyDescent="0.2">
      <c r="A118" s="21">
        <v>46141</v>
      </c>
      <c r="B118" s="48">
        <v>6.25E-2</v>
      </c>
      <c r="C118" s="57">
        <v>950</v>
      </c>
      <c r="D118" s="57">
        <v>300</v>
      </c>
      <c r="E118" s="57">
        <v>500</v>
      </c>
      <c r="F118" s="57">
        <v>1797</v>
      </c>
      <c r="G118" s="10" t="s">
        <v>34</v>
      </c>
      <c r="H118" s="63">
        <v>4</v>
      </c>
      <c r="I118" s="57">
        <v>90</v>
      </c>
      <c r="J118" s="57">
        <v>90</v>
      </c>
      <c r="K118" s="57">
        <v>90</v>
      </c>
      <c r="L118" s="63">
        <v>23.1</v>
      </c>
      <c r="M118" s="63">
        <v>6.8</v>
      </c>
      <c r="N118" s="36">
        <v>3.11</v>
      </c>
      <c r="O118" s="57">
        <v>15</v>
      </c>
      <c r="P118" s="63">
        <v>5.9</v>
      </c>
      <c r="Q118" s="36">
        <v>0.56999999999999995</v>
      </c>
      <c r="R118" s="36">
        <v>22.36</v>
      </c>
      <c r="S118" s="36">
        <v>0.88</v>
      </c>
      <c r="T118" s="36">
        <v>0.7</v>
      </c>
      <c r="U118" s="42">
        <f t="shared" si="34"/>
        <v>1024.29</v>
      </c>
      <c r="V118" s="36">
        <f t="shared" si="35"/>
        <v>1452.9802200680001</v>
      </c>
      <c r="W118" s="36">
        <f t="shared" si="36"/>
        <v>1.4185242656552346</v>
      </c>
      <c r="X118" s="57">
        <v>1</v>
      </c>
      <c r="Y118" s="57">
        <v>4</v>
      </c>
      <c r="Z118" s="63">
        <v>6.47</v>
      </c>
      <c r="AA118" s="57">
        <v>18.100000000000001</v>
      </c>
      <c r="AB118" s="63">
        <v>6.8</v>
      </c>
      <c r="AC118" s="63">
        <v>5.9</v>
      </c>
      <c r="AD118" s="10">
        <v>0.3</v>
      </c>
      <c r="AE118" s="36">
        <v>0.6</v>
      </c>
      <c r="AF118" s="42">
        <f t="shared" si="37"/>
        <v>1365.7199999999998</v>
      </c>
      <c r="AG118" s="42">
        <f t="shared" si="38"/>
        <v>1960.6453382879999</v>
      </c>
      <c r="AH118" s="42">
        <f t="shared" si="39"/>
        <v>1.4356129648009843</v>
      </c>
      <c r="AI118" s="57">
        <v>3</v>
      </c>
      <c r="AJ118" s="57">
        <v>3</v>
      </c>
      <c r="AK118" s="36">
        <v>6.31</v>
      </c>
      <c r="AL118" s="36">
        <v>25.2</v>
      </c>
      <c r="AM118" s="63">
        <v>6.8</v>
      </c>
      <c r="AN118" s="63">
        <v>5.7</v>
      </c>
      <c r="AO118" s="36">
        <v>0.28000000000000003</v>
      </c>
      <c r="AP118" s="68">
        <v>0.35</v>
      </c>
      <c r="AQ118" s="73">
        <f t="shared" si="17"/>
        <v>1750</v>
      </c>
      <c r="AR118" s="75">
        <f t="shared" si="18"/>
        <v>0.54285714285714282</v>
      </c>
      <c r="AS118" s="75">
        <f t="shared" si="19"/>
        <v>0.17142857142857143</v>
      </c>
      <c r="AT118" s="75">
        <f t="shared" si="20"/>
        <v>0.2857142857142857</v>
      </c>
      <c r="AU118" s="26">
        <f t="shared" si="21"/>
        <v>8.0578742348358379E-2</v>
      </c>
      <c r="AV118" s="26">
        <f t="shared" si="22"/>
        <v>8.4140233722871452E-2</v>
      </c>
      <c r="AW118" s="24">
        <f t="shared" si="23"/>
        <v>0.887459807073955</v>
      </c>
      <c r="AX118" s="24">
        <f t="shared" si="24"/>
        <v>0.80707395498392287</v>
      </c>
      <c r="AY118" s="77" t="str">
        <f t="shared" si="25"/>
        <v>5,0 ≤ Alc. Bruta &lt; 7,5 mg/L</v>
      </c>
      <c r="AZ118" s="77" t="str">
        <f t="shared" si="26"/>
        <v>15 ≤ Cor &lt; 30 uC</v>
      </c>
      <c r="BA118" s="78" t="str">
        <f t="shared" si="27"/>
        <v>2,5 ≤ Turb &lt; 5,0 uT</v>
      </c>
      <c r="BB118" s="79" t="str">
        <f t="shared" si="28"/>
        <v>TOR &gt; BNN &gt; SM</v>
      </c>
      <c r="BC118" s="78" t="str">
        <f t="shared" si="29"/>
        <v>Tipo 2 (0,25-0,50) uT</v>
      </c>
      <c r="BD118" s="78" t="str">
        <f t="shared" si="30"/>
        <v>Tipo 2 (0,25-0,50) uT</v>
      </c>
      <c r="BE118" s="78" t="str">
        <f t="shared" si="31"/>
        <v>Tipo 3 (0,50-0,75) uT</v>
      </c>
      <c r="BF118" s="78" t="str">
        <f t="shared" si="32"/>
        <v>Tipo 2 (0,25-0,50) uT</v>
      </c>
      <c r="BG118" s="78" t="str">
        <f t="shared" si="33"/>
        <v>Tipo 3 (0,50-0,75) uT</v>
      </c>
    </row>
    <row r="119" spans="1:59" x14ac:dyDescent="0.2">
      <c r="A119" s="21">
        <v>46141</v>
      </c>
      <c r="B119" s="48">
        <v>0.14583333333333334</v>
      </c>
      <c r="C119" s="57">
        <v>1010</v>
      </c>
      <c r="D119" s="57">
        <v>260</v>
      </c>
      <c r="E119" s="57">
        <v>500</v>
      </c>
      <c r="F119" s="57">
        <v>1866</v>
      </c>
      <c r="G119" s="10" t="s">
        <v>34</v>
      </c>
      <c r="H119" s="63">
        <v>4</v>
      </c>
      <c r="I119" s="57">
        <v>90</v>
      </c>
      <c r="J119" s="57">
        <v>90</v>
      </c>
      <c r="K119" s="57">
        <v>90</v>
      </c>
      <c r="L119" s="63">
        <v>23.4</v>
      </c>
      <c r="M119" s="63">
        <v>6.4</v>
      </c>
      <c r="N119" s="36">
        <v>3.54</v>
      </c>
      <c r="O119" s="57">
        <v>17</v>
      </c>
      <c r="P119" s="63">
        <v>7.1</v>
      </c>
      <c r="Q119" s="36">
        <v>0.33</v>
      </c>
      <c r="R119" s="36">
        <v>22.36</v>
      </c>
      <c r="S119" s="36">
        <v>0.88</v>
      </c>
      <c r="T119" s="36">
        <v>0.7</v>
      </c>
      <c r="U119" s="42">
        <f t="shared" si="34"/>
        <v>1163.9175</v>
      </c>
      <c r="V119" s="36">
        <f t="shared" si="35"/>
        <v>1469.0485214547998</v>
      </c>
      <c r="W119" s="36">
        <f t="shared" si="36"/>
        <v>1.2621586336272115</v>
      </c>
      <c r="X119" s="57">
        <v>1</v>
      </c>
      <c r="Y119" s="57">
        <v>4</v>
      </c>
      <c r="Z119" s="63">
        <v>6.49</v>
      </c>
      <c r="AA119" s="57">
        <v>18.23</v>
      </c>
      <c r="AB119" s="63">
        <v>6.5</v>
      </c>
      <c r="AC119" s="63">
        <v>7.5</v>
      </c>
      <c r="AD119" s="10">
        <v>0.22</v>
      </c>
      <c r="AE119" s="36">
        <v>0.15</v>
      </c>
      <c r="AF119" s="42">
        <f t="shared" si="37"/>
        <v>1551.89</v>
      </c>
      <c r="AG119" s="42">
        <f t="shared" si="38"/>
        <v>1941.0176855679999</v>
      </c>
      <c r="AH119" s="42">
        <f t="shared" si="39"/>
        <v>1.2507443733563588</v>
      </c>
      <c r="AI119" s="57">
        <v>3</v>
      </c>
      <c r="AJ119" s="57">
        <v>3</v>
      </c>
      <c r="AK119" s="36">
        <v>6.34</v>
      </c>
      <c r="AL119" s="36">
        <v>24.8</v>
      </c>
      <c r="AM119" s="63">
        <v>6.4</v>
      </c>
      <c r="AN119" s="63">
        <v>7</v>
      </c>
      <c r="AO119" s="36">
        <v>0.24</v>
      </c>
      <c r="AP119" s="68">
        <v>0.31</v>
      </c>
      <c r="AQ119" s="73">
        <f t="shared" si="17"/>
        <v>1770</v>
      </c>
      <c r="AR119" s="75">
        <f t="shared" si="18"/>
        <v>0.57062146892655363</v>
      </c>
      <c r="AS119" s="75">
        <f t="shared" si="19"/>
        <v>0.14689265536723164</v>
      </c>
      <c r="AT119" s="75">
        <f t="shared" si="20"/>
        <v>0.2824858757062147</v>
      </c>
      <c r="AU119" s="26">
        <f t="shared" si="21"/>
        <v>7.815648445873527E-2</v>
      </c>
      <c r="AV119" s="26">
        <f t="shared" si="22"/>
        <v>7.9742765273311894E-2</v>
      </c>
      <c r="AW119" s="24">
        <f t="shared" si="23"/>
        <v>0.91242937853107342</v>
      </c>
      <c r="AX119" s="24">
        <f t="shared" si="24"/>
        <v>0.9576271186440678</v>
      </c>
      <c r="AY119" s="77" t="str">
        <f t="shared" si="25"/>
        <v>5,0 ≤ Alc. Bruta &lt; 7,5 mg/L</v>
      </c>
      <c r="AZ119" s="77" t="str">
        <f t="shared" si="26"/>
        <v>15 ≤ Cor &lt; 30 uC</v>
      </c>
      <c r="BA119" s="78" t="str">
        <f t="shared" si="27"/>
        <v>2,5 ≤ Turb &lt; 5,0 uT</v>
      </c>
      <c r="BB119" s="79" t="str">
        <f t="shared" si="28"/>
        <v>TOR &gt; BNN &gt; SM</v>
      </c>
      <c r="BC119" s="78" t="str">
        <f t="shared" si="29"/>
        <v>Tipo 1 (≤0,25) uT</v>
      </c>
      <c r="BD119" s="78" t="str">
        <f t="shared" si="30"/>
        <v>Tipo 1 (≤0,25) uT</v>
      </c>
      <c r="BE119" s="78" t="str">
        <f t="shared" si="31"/>
        <v>Tipo 1 (≤0,25) uT</v>
      </c>
      <c r="BF119" s="78" t="str">
        <f t="shared" si="32"/>
        <v>Tipo 2 (0,25-0,50) uT</v>
      </c>
      <c r="BG119" s="78" t="str">
        <f t="shared" si="33"/>
        <v>Tipo 2 (0,25-0,50) uT</v>
      </c>
    </row>
    <row r="120" spans="1:59" ht="15.75" thickBot="1" x14ac:dyDescent="0.25">
      <c r="A120" s="21">
        <v>46141</v>
      </c>
      <c r="B120" s="51">
        <v>0.22916666666666666</v>
      </c>
      <c r="C120" s="58">
        <v>928</v>
      </c>
      <c r="D120" s="58">
        <v>260</v>
      </c>
      <c r="E120" s="58">
        <v>497</v>
      </c>
      <c r="F120" s="58">
        <v>1791</v>
      </c>
      <c r="G120" s="11" t="s">
        <v>34</v>
      </c>
      <c r="H120" s="63">
        <v>4</v>
      </c>
      <c r="I120" s="58">
        <v>90</v>
      </c>
      <c r="J120" s="58">
        <v>90</v>
      </c>
      <c r="K120" s="58">
        <v>90</v>
      </c>
      <c r="L120" s="64">
        <v>23.7</v>
      </c>
      <c r="M120" s="64">
        <v>6.6</v>
      </c>
      <c r="N120" s="37">
        <v>3.15</v>
      </c>
      <c r="O120" s="58">
        <v>14</v>
      </c>
      <c r="P120" s="64">
        <v>6.4</v>
      </c>
      <c r="Q120" s="37">
        <v>0.6</v>
      </c>
      <c r="R120" s="36">
        <v>22.36</v>
      </c>
      <c r="S120" s="36">
        <v>0.88</v>
      </c>
      <c r="T120" s="36">
        <v>0.7</v>
      </c>
      <c r="U120" s="42">
        <f t="shared" si="34"/>
        <v>1029.8249999999998</v>
      </c>
      <c r="V120" s="36">
        <f t="shared" si="35"/>
        <v>1566.7692999295998</v>
      </c>
      <c r="W120" s="36">
        <f t="shared" si="36"/>
        <v>1.5213937318763868</v>
      </c>
      <c r="X120" s="58">
        <v>1</v>
      </c>
      <c r="Y120" s="58">
        <v>4</v>
      </c>
      <c r="Z120" s="64">
        <v>6.48</v>
      </c>
      <c r="AA120" s="58">
        <v>19.48</v>
      </c>
      <c r="AB120" s="64">
        <v>6.6</v>
      </c>
      <c r="AC120" s="64">
        <v>5.7</v>
      </c>
      <c r="AD120" s="11">
        <v>0.17</v>
      </c>
      <c r="AE120" s="37">
        <v>7.0000000000000007E-2</v>
      </c>
      <c r="AF120" s="42">
        <f t="shared" si="37"/>
        <v>1373.1</v>
      </c>
      <c r="AG120" s="42">
        <f t="shared" si="38"/>
        <v>1841.6061570348002</v>
      </c>
      <c r="AH120" s="42">
        <f t="shared" si="39"/>
        <v>1.341203231399607</v>
      </c>
      <c r="AI120" s="58">
        <v>3</v>
      </c>
      <c r="AJ120" s="58">
        <v>3</v>
      </c>
      <c r="AK120" s="37">
        <v>6.31</v>
      </c>
      <c r="AL120" s="37">
        <v>23.67</v>
      </c>
      <c r="AM120" s="64">
        <v>6.7</v>
      </c>
      <c r="AN120" s="64">
        <v>6</v>
      </c>
      <c r="AO120" s="37">
        <v>0.23</v>
      </c>
      <c r="AP120" s="69">
        <v>0.32</v>
      </c>
      <c r="AQ120" s="73">
        <f t="shared" si="17"/>
        <v>1685</v>
      </c>
      <c r="AR120" s="75">
        <f t="shared" si="18"/>
        <v>0.55074183976261126</v>
      </c>
      <c r="AS120" s="75">
        <f t="shared" si="19"/>
        <v>0.1543026706231454</v>
      </c>
      <c r="AT120" s="75">
        <f t="shared" si="20"/>
        <v>0.29495548961424334</v>
      </c>
      <c r="AU120" s="26">
        <f t="shared" si="21"/>
        <v>8.7012841987716361E-2</v>
      </c>
      <c r="AV120" s="26">
        <f t="shared" si="22"/>
        <v>7.9296482412060304E-2</v>
      </c>
      <c r="AW120" s="24">
        <f t="shared" si="23"/>
        <v>0.89841269841269844</v>
      </c>
      <c r="AX120" s="24">
        <f t="shared" si="24"/>
        <v>0.97777777777777775</v>
      </c>
      <c r="AY120" s="77" t="str">
        <f t="shared" si="25"/>
        <v>5,0 ≤ Alc. Bruta &lt; 7,5 mg/L</v>
      </c>
      <c r="AZ120" s="77" t="str">
        <f t="shared" si="26"/>
        <v>10 ≤ Cor &lt;15 uC</v>
      </c>
      <c r="BA120" s="78" t="str">
        <f t="shared" si="27"/>
        <v>2,5 ≤ Turb &lt; 5,0 uT</v>
      </c>
      <c r="BB120" s="79" t="str">
        <f t="shared" si="28"/>
        <v>TOR &gt; BNN &gt; SM</v>
      </c>
      <c r="BC120" s="78" t="str">
        <f t="shared" si="29"/>
        <v>Tipo 1 (≤0,25) uT</v>
      </c>
      <c r="BD120" s="78" t="str">
        <f t="shared" si="30"/>
        <v>Tipo 1 (≤0,25) uT</v>
      </c>
      <c r="BE120" s="78" t="str">
        <f t="shared" si="31"/>
        <v>Tipo 1 (≤0,25) uT</v>
      </c>
      <c r="BF120" s="78" t="str">
        <f t="shared" si="32"/>
        <v>Tipo 2 (0,25-0,50) uT</v>
      </c>
      <c r="BG120" s="78" t="str">
        <f t="shared" si="33"/>
        <v>Tipo 3 (0,50-0,75) uT</v>
      </c>
    </row>
    <row r="121" spans="1:59" x14ac:dyDescent="0.2">
      <c r="A121" s="21">
        <v>46141</v>
      </c>
      <c r="B121" s="52">
        <v>0.3125</v>
      </c>
      <c r="C121" s="59">
        <v>980</v>
      </c>
      <c r="D121" s="57">
        <v>236</v>
      </c>
      <c r="E121" s="59">
        <v>500</v>
      </c>
      <c r="F121" s="59">
        <v>1886</v>
      </c>
      <c r="G121" s="9" t="s">
        <v>34</v>
      </c>
      <c r="H121" s="65">
        <v>3.5</v>
      </c>
      <c r="I121" s="59">
        <v>90</v>
      </c>
      <c r="J121" s="59">
        <v>90</v>
      </c>
      <c r="K121" s="59">
        <v>90</v>
      </c>
      <c r="L121" s="65">
        <v>23.6</v>
      </c>
      <c r="M121" s="65">
        <v>6.6</v>
      </c>
      <c r="N121" s="38">
        <v>3.44</v>
      </c>
      <c r="O121" s="59">
        <v>14</v>
      </c>
      <c r="P121" s="65">
        <v>6.4</v>
      </c>
      <c r="Q121" s="38">
        <v>0.1</v>
      </c>
      <c r="R121" s="36">
        <v>22.36</v>
      </c>
      <c r="S121" s="36">
        <v>0.88</v>
      </c>
      <c r="T121" s="36">
        <v>0.7</v>
      </c>
      <c r="U121" s="42">
        <f t="shared" si="34"/>
        <v>1117.4550000000002</v>
      </c>
      <c r="V121" s="36">
        <f t="shared" si="35"/>
        <v>1453.2949080000001</v>
      </c>
      <c r="W121" s="36">
        <f t="shared" si="36"/>
        <v>1.3005399841604359</v>
      </c>
      <c r="X121" s="59">
        <v>1</v>
      </c>
      <c r="Y121" s="59">
        <v>4</v>
      </c>
      <c r="Z121" s="65">
        <v>6.5</v>
      </c>
      <c r="AA121" s="59">
        <v>18</v>
      </c>
      <c r="AB121" s="65">
        <v>6.6</v>
      </c>
      <c r="AC121" s="65">
        <v>6.7</v>
      </c>
      <c r="AD121" s="9">
        <v>0.2</v>
      </c>
      <c r="AE121" s="38">
        <v>7.0000000000000007E-2</v>
      </c>
      <c r="AF121" s="42">
        <f t="shared" si="37"/>
        <v>1489.94</v>
      </c>
      <c r="AG121" s="42">
        <f t="shared" si="38"/>
        <v>1960.5331849999995</v>
      </c>
      <c r="AH121" s="42">
        <f t="shared" si="39"/>
        <v>1.3158470710229939</v>
      </c>
      <c r="AI121" s="59">
        <v>3</v>
      </c>
      <c r="AJ121" s="59">
        <v>3</v>
      </c>
      <c r="AK121" s="38">
        <v>6.35</v>
      </c>
      <c r="AL121" s="38">
        <v>25</v>
      </c>
      <c r="AM121" s="65">
        <v>6.6</v>
      </c>
      <c r="AN121" s="65">
        <v>6.5</v>
      </c>
      <c r="AO121" s="38">
        <v>0.19</v>
      </c>
      <c r="AP121" s="70">
        <v>0.26</v>
      </c>
      <c r="AQ121" s="73">
        <f t="shared" si="17"/>
        <v>1716</v>
      </c>
      <c r="AR121" s="75">
        <f t="shared" si="18"/>
        <v>0.57109557109557108</v>
      </c>
      <c r="AS121" s="75">
        <f t="shared" si="19"/>
        <v>0.13752913752913754</v>
      </c>
      <c r="AT121" s="75">
        <f t="shared" si="20"/>
        <v>0.29137529137529139</v>
      </c>
      <c r="AU121" s="26">
        <f t="shared" si="21"/>
        <v>7.6352067868504778E-2</v>
      </c>
      <c r="AV121" s="26">
        <f t="shared" si="22"/>
        <v>7.9533404029692473E-2</v>
      </c>
      <c r="AW121" s="24">
        <f t="shared" si="23"/>
        <v>0.92441860465116277</v>
      </c>
      <c r="AX121" s="24">
        <f t="shared" si="24"/>
        <v>0.97965116279069764</v>
      </c>
      <c r="AY121" s="77" t="str">
        <f t="shared" si="25"/>
        <v>5,0 ≤ Alc. Bruta &lt; 7,5 mg/L</v>
      </c>
      <c r="AZ121" s="77" t="str">
        <f t="shared" si="26"/>
        <v>10 ≤ Cor &lt;15 uC</v>
      </c>
      <c r="BA121" s="78" t="str">
        <f t="shared" si="27"/>
        <v>2,5 ≤ Turb &lt; 5,0 uT</v>
      </c>
      <c r="BB121" s="79" t="str">
        <f t="shared" si="28"/>
        <v>TOR &gt; BNN &gt; SM</v>
      </c>
      <c r="BC121" s="78" t="str">
        <f t="shared" si="29"/>
        <v>Tipo 1 (≤0,25) uT</v>
      </c>
      <c r="BD121" s="78" t="str">
        <f t="shared" si="30"/>
        <v>Tipo 1 (≤0,25) uT</v>
      </c>
      <c r="BE121" s="78" t="str">
        <f t="shared" si="31"/>
        <v>Tipo 1 (≤0,25) uT</v>
      </c>
      <c r="BF121" s="78" t="str">
        <f t="shared" si="32"/>
        <v>Tipo 2 (0,25-0,50) uT</v>
      </c>
      <c r="BG121" s="78" t="str">
        <f t="shared" si="33"/>
        <v>Tipo 1 (≤0,25) uT</v>
      </c>
    </row>
    <row r="122" spans="1:59" x14ac:dyDescent="0.2">
      <c r="A122" s="21">
        <v>46141</v>
      </c>
      <c r="B122" s="48">
        <v>0.47916666666666669</v>
      </c>
      <c r="C122" s="57">
        <v>1008</v>
      </c>
      <c r="D122" s="57">
        <v>265</v>
      </c>
      <c r="E122" s="57">
        <v>590</v>
      </c>
      <c r="F122" s="57">
        <v>1899</v>
      </c>
      <c r="G122" s="10" t="s">
        <v>34</v>
      </c>
      <c r="H122" s="63">
        <v>3</v>
      </c>
      <c r="I122" s="57">
        <v>90</v>
      </c>
      <c r="J122" s="57">
        <v>90</v>
      </c>
      <c r="K122" s="57">
        <v>90</v>
      </c>
      <c r="L122" s="63">
        <v>24.1</v>
      </c>
      <c r="M122" s="63">
        <v>6.7</v>
      </c>
      <c r="N122" s="36">
        <v>3.29</v>
      </c>
      <c r="O122" s="57">
        <v>15</v>
      </c>
      <c r="P122" s="63">
        <v>7.2</v>
      </c>
      <c r="Q122" s="36">
        <v>0.51</v>
      </c>
      <c r="R122" s="36">
        <v>22.36</v>
      </c>
      <c r="S122" s="36">
        <v>0.88</v>
      </c>
      <c r="T122" s="36">
        <v>0.7</v>
      </c>
      <c r="U122" s="42">
        <f t="shared" si="34"/>
        <v>1405.2599999999998</v>
      </c>
      <c r="V122" s="36">
        <f t="shared" si="35"/>
        <v>1539.9039531199996</v>
      </c>
      <c r="W122" s="36">
        <f t="shared" si="36"/>
        <v>1.0958142643496576</v>
      </c>
      <c r="X122" s="57">
        <v>2</v>
      </c>
      <c r="Y122" s="57">
        <v>3</v>
      </c>
      <c r="Z122" s="63">
        <v>6.52</v>
      </c>
      <c r="AA122" s="57">
        <v>19</v>
      </c>
      <c r="AB122" s="63">
        <v>6.8</v>
      </c>
      <c r="AC122" s="63">
        <v>7</v>
      </c>
      <c r="AD122" s="10">
        <v>0.44</v>
      </c>
      <c r="AE122" s="36">
        <v>1.05</v>
      </c>
      <c r="AF122" s="42">
        <f t="shared" si="37"/>
        <v>1405.2599999999998</v>
      </c>
      <c r="AG122" s="42">
        <f t="shared" si="38"/>
        <v>1882.1118575999994</v>
      </c>
      <c r="AH122" s="42">
        <f t="shared" si="39"/>
        <v>1.33933354510909</v>
      </c>
      <c r="AI122" s="57">
        <v>2</v>
      </c>
      <c r="AJ122" s="57">
        <v>3</v>
      </c>
      <c r="AK122" s="36">
        <v>6.35</v>
      </c>
      <c r="AL122" s="36">
        <v>24</v>
      </c>
      <c r="AM122" s="63">
        <v>6.8</v>
      </c>
      <c r="AN122" s="63">
        <v>7.2</v>
      </c>
      <c r="AO122" s="36">
        <v>0.22</v>
      </c>
      <c r="AP122" s="68">
        <v>0.49</v>
      </c>
      <c r="AQ122" s="73">
        <f t="shared" si="17"/>
        <v>1863</v>
      </c>
      <c r="AR122" s="75">
        <f t="shared" si="18"/>
        <v>0.54106280193236711</v>
      </c>
      <c r="AS122" s="75">
        <f t="shared" si="19"/>
        <v>0.14224369296833064</v>
      </c>
      <c r="AT122" s="75">
        <f t="shared" si="20"/>
        <v>0.31669350509930222</v>
      </c>
      <c r="AU122" s="26">
        <f t="shared" si="21"/>
        <v>6.0031595576619273E-2</v>
      </c>
      <c r="AV122" s="26">
        <f t="shared" si="22"/>
        <v>7.582938388625593E-2</v>
      </c>
      <c r="AW122" s="24">
        <f t="shared" si="23"/>
        <v>0.85106382978723405</v>
      </c>
      <c r="AX122" s="24">
        <f t="shared" si="24"/>
        <v>0.68085106382978722</v>
      </c>
      <c r="AY122" s="77" t="str">
        <f t="shared" si="25"/>
        <v>5,0 ≤ Alc. Bruta &lt; 7,5 mg/L</v>
      </c>
      <c r="AZ122" s="77" t="str">
        <f t="shared" si="26"/>
        <v>15 ≤ Cor &lt; 30 uC</v>
      </c>
      <c r="BA122" s="78" t="str">
        <f t="shared" si="27"/>
        <v>2,5 ≤ Turb &lt; 5,0 uT</v>
      </c>
      <c r="BB122" s="79" t="str">
        <f t="shared" si="28"/>
        <v>TOR &gt; BNN &gt; SM</v>
      </c>
      <c r="BC122" s="78" t="str">
        <f t="shared" si="29"/>
        <v>Tipo 2 (0,25-0,50) uT</v>
      </c>
      <c r="BD122" s="78" t="str">
        <f t="shared" si="30"/>
        <v>Tipo 1 (≤0,25) uT</v>
      </c>
      <c r="BE122" s="78" t="str">
        <f t="shared" si="31"/>
        <v>Tipo 4 (&gt;0,75) uT</v>
      </c>
      <c r="BF122" s="78" t="str">
        <f t="shared" si="32"/>
        <v>Tipo 2 (0,25-0,50) uT</v>
      </c>
      <c r="BG122" s="78" t="str">
        <f t="shared" si="33"/>
        <v>Tipo 3 (0,50-0,75) uT</v>
      </c>
    </row>
    <row r="123" spans="1:59" x14ac:dyDescent="0.2">
      <c r="A123" s="21">
        <v>46141</v>
      </c>
      <c r="B123" s="48">
        <v>0.5625</v>
      </c>
      <c r="C123" s="57">
        <v>1251</v>
      </c>
      <c r="D123" s="57">
        <v>376</v>
      </c>
      <c r="E123" s="57">
        <v>540</v>
      </c>
      <c r="F123" s="57">
        <v>2195</v>
      </c>
      <c r="G123" s="10" t="s">
        <v>34</v>
      </c>
      <c r="H123" s="63">
        <v>3.5</v>
      </c>
      <c r="I123" s="57">
        <v>90</v>
      </c>
      <c r="J123" s="57">
        <v>90</v>
      </c>
      <c r="K123" s="57">
        <v>90</v>
      </c>
      <c r="L123" s="63">
        <v>24.5</v>
      </c>
      <c r="M123" s="63">
        <v>6.7</v>
      </c>
      <c r="N123" s="36">
        <v>3.85</v>
      </c>
      <c r="O123" s="57">
        <v>16</v>
      </c>
      <c r="P123" s="63">
        <v>7.3</v>
      </c>
      <c r="Q123" s="36">
        <v>0.38</v>
      </c>
      <c r="R123" s="36">
        <v>22.36</v>
      </c>
      <c r="S123" s="36">
        <v>0.88</v>
      </c>
      <c r="T123" s="36">
        <v>0.7</v>
      </c>
      <c r="U123" s="42">
        <f t="shared" si="34"/>
        <v>1413.03125</v>
      </c>
      <c r="V123" s="36">
        <f t="shared" si="35"/>
        <v>1614.7721200000001</v>
      </c>
      <c r="W123" s="36">
        <f t="shared" si="36"/>
        <v>1.142771697370458</v>
      </c>
      <c r="X123" s="57">
        <v>3</v>
      </c>
      <c r="Y123" s="57">
        <v>4</v>
      </c>
      <c r="Z123" s="63">
        <v>6.5</v>
      </c>
      <c r="AA123" s="57">
        <v>20</v>
      </c>
      <c r="AB123" s="63">
        <v>6.7</v>
      </c>
      <c r="AC123" s="63">
        <v>6.5</v>
      </c>
      <c r="AD123" s="10">
        <v>0.25</v>
      </c>
      <c r="AE123" s="36">
        <v>0.9</v>
      </c>
      <c r="AF123" s="42">
        <f t="shared" si="37"/>
        <v>1413.03125</v>
      </c>
      <c r="AG123" s="42">
        <f t="shared" si="38"/>
        <v>1861.0532095999999</v>
      </c>
      <c r="AH123" s="42">
        <f t="shared" si="39"/>
        <v>1.3170644383130239</v>
      </c>
      <c r="AI123" s="57">
        <v>3</v>
      </c>
      <c r="AJ123" s="57">
        <v>4</v>
      </c>
      <c r="AK123" s="36">
        <v>6.4</v>
      </c>
      <c r="AL123" s="36">
        <v>23.5</v>
      </c>
      <c r="AM123" s="63">
        <v>6.6</v>
      </c>
      <c r="AN123" s="63">
        <v>6.6</v>
      </c>
      <c r="AO123" s="36">
        <v>0.25</v>
      </c>
      <c r="AP123" s="68">
        <v>0.5</v>
      </c>
      <c r="AQ123" s="73">
        <f t="shared" si="17"/>
        <v>2167</v>
      </c>
      <c r="AR123" s="75">
        <f t="shared" si="18"/>
        <v>0.57729580064605446</v>
      </c>
      <c r="AS123" s="75">
        <f t="shared" si="19"/>
        <v>0.17351176742039687</v>
      </c>
      <c r="AT123" s="75">
        <f t="shared" si="20"/>
        <v>0.24919243193354867</v>
      </c>
      <c r="AU123" s="26">
        <f t="shared" si="21"/>
        <v>7.289293849658314E-2</v>
      </c>
      <c r="AV123" s="26">
        <f t="shared" si="22"/>
        <v>8.5649202733485197E-2</v>
      </c>
      <c r="AW123" s="24">
        <f t="shared" si="23"/>
        <v>0.87012987012987009</v>
      </c>
      <c r="AX123" s="24">
        <f t="shared" si="24"/>
        <v>0.76623376623376627</v>
      </c>
      <c r="AY123" s="77" t="str">
        <f t="shared" si="25"/>
        <v>5,0 ≤ Alc. Bruta &lt; 7,5 mg/L</v>
      </c>
      <c r="AZ123" s="77" t="str">
        <f t="shared" si="26"/>
        <v>15 ≤ Cor &lt; 30 uC</v>
      </c>
      <c r="BA123" s="78" t="str">
        <f t="shared" si="27"/>
        <v>2,5 ≤ Turb &lt; 5,0 uT</v>
      </c>
      <c r="BB123" s="79" t="str">
        <f t="shared" si="28"/>
        <v>TOR &gt; BNN &gt; SM</v>
      </c>
      <c r="BC123" s="78" t="str">
        <f t="shared" si="29"/>
        <v>Tipo 1 (≤0,25) uT</v>
      </c>
      <c r="BD123" s="78" t="str">
        <f t="shared" si="30"/>
        <v>Tipo 1 (≤0,25) uT</v>
      </c>
      <c r="BE123" s="78" t="str">
        <f t="shared" si="31"/>
        <v>Tipo 4 (&gt;0,75) uT</v>
      </c>
      <c r="BF123" s="78" t="str">
        <f t="shared" si="32"/>
        <v>Tipo 2 (0,25-0,50) uT</v>
      </c>
      <c r="BG123" s="78" t="str">
        <f t="shared" si="33"/>
        <v>Tipo 2 (0,25-0,50) uT</v>
      </c>
    </row>
    <row r="124" spans="1:59" x14ac:dyDescent="0.2">
      <c r="A124" s="21">
        <v>46141</v>
      </c>
      <c r="B124" s="48">
        <v>0.64583333333333337</v>
      </c>
      <c r="C124" s="57">
        <v>1264</v>
      </c>
      <c r="D124" s="57">
        <v>423</v>
      </c>
      <c r="E124" s="57">
        <v>540</v>
      </c>
      <c r="F124" s="57">
        <v>2225</v>
      </c>
      <c r="G124" s="10" t="s">
        <v>34</v>
      </c>
      <c r="H124" s="63">
        <v>3.2</v>
      </c>
      <c r="I124" s="57">
        <v>90</v>
      </c>
      <c r="J124" s="57">
        <v>90</v>
      </c>
      <c r="K124" s="57">
        <v>90</v>
      </c>
      <c r="L124" s="63">
        <v>24.5</v>
      </c>
      <c r="M124" s="63">
        <v>6.7</v>
      </c>
      <c r="N124" s="36">
        <v>3.66</v>
      </c>
      <c r="O124" s="57">
        <v>15</v>
      </c>
      <c r="P124" s="63">
        <v>7.2</v>
      </c>
      <c r="Q124" s="36">
        <v>0.28999999999999998</v>
      </c>
      <c r="R124" s="36">
        <v>22.36</v>
      </c>
      <c r="S124" s="36">
        <v>0.88</v>
      </c>
      <c r="T124" s="36">
        <v>0.7</v>
      </c>
      <c r="U124" s="42">
        <f t="shared" si="34"/>
        <v>1354.46875</v>
      </c>
      <c r="V124" s="36">
        <f t="shared" si="35"/>
        <v>1519.3574161999998</v>
      </c>
      <c r="W124" s="36">
        <f t="shared" si="36"/>
        <v>1.1217367814502917</v>
      </c>
      <c r="X124" s="57">
        <v>3</v>
      </c>
      <c r="Y124" s="57">
        <v>4</v>
      </c>
      <c r="Z124" s="63">
        <v>6.45</v>
      </c>
      <c r="AA124" s="57">
        <v>19</v>
      </c>
      <c r="AB124" s="63">
        <v>6.5</v>
      </c>
      <c r="AC124" s="63">
        <v>6.9</v>
      </c>
      <c r="AD124" s="10">
        <v>0.24</v>
      </c>
      <c r="AE124" s="36">
        <v>0.65</v>
      </c>
      <c r="AF124" s="42">
        <f t="shared" si="37"/>
        <v>1354.46875</v>
      </c>
      <c r="AG124" s="42">
        <f t="shared" si="38"/>
        <v>1979.8438399999998</v>
      </c>
      <c r="AH124" s="42">
        <f t="shared" si="39"/>
        <v>1.461712453683409</v>
      </c>
      <c r="AI124" s="57">
        <v>3</v>
      </c>
      <c r="AJ124" s="57">
        <v>4</v>
      </c>
      <c r="AK124" s="36">
        <v>6.4</v>
      </c>
      <c r="AL124" s="36">
        <v>25</v>
      </c>
      <c r="AM124" s="63">
        <v>6.6</v>
      </c>
      <c r="AN124" s="63">
        <v>7.1</v>
      </c>
      <c r="AO124" s="36">
        <v>0.13</v>
      </c>
      <c r="AP124" s="68">
        <v>0.41</v>
      </c>
      <c r="AQ124" s="73">
        <f t="shared" si="17"/>
        <v>2227</v>
      </c>
      <c r="AR124" s="75">
        <f t="shared" si="18"/>
        <v>0.56757970363718002</v>
      </c>
      <c r="AS124" s="75">
        <f t="shared" si="19"/>
        <v>0.18994162550516389</v>
      </c>
      <c r="AT124" s="75">
        <f t="shared" si="20"/>
        <v>0.24247867085765604</v>
      </c>
      <c r="AU124" s="26">
        <f t="shared" si="21"/>
        <v>6.8314606741573039E-2</v>
      </c>
      <c r="AV124" s="26">
        <f t="shared" si="22"/>
        <v>8.98876404494382E-2</v>
      </c>
      <c r="AW124" s="24">
        <f t="shared" si="23"/>
        <v>0.88797814207650272</v>
      </c>
      <c r="AX124" s="24">
        <f t="shared" si="24"/>
        <v>0.82240437158469948</v>
      </c>
      <c r="AY124" s="77" t="str">
        <f t="shared" si="25"/>
        <v>5,0 ≤ Alc. Bruta &lt; 7,5 mg/L</v>
      </c>
      <c r="AZ124" s="77" t="str">
        <f t="shared" si="26"/>
        <v>15 ≤ Cor &lt; 30 uC</v>
      </c>
      <c r="BA124" s="78" t="str">
        <f t="shared" si="27"/>
        <v>2,5 ≤ Turb &lt; 5,0 uT</v>
      </c>
      <c r="BB124" s="79" t="str">
        <f t="shared" si="28"/>
        <v>TOR &gt; BNN &gt; SM</v>
      </c>
      <c r="BC124" s="78" t="str">
        <f t="shared" si="29"/>
        <v>Tipo 1 (≤0,25) uT</v>
      </c>
      <c r="BD124" s="78" t="str">
        <f t="shared" si="30"/>
        <v>Tipo 1 (≤0,25) uT</v>
      </c>
      <c r="BE124" s="78" t="str">
        <f t="shared" si="31"/>
        <v>Tipo 3 (0,50-0,75) uT</v>
      </c>
      <c r="BF124" s="78" t="str">
        <f t="shared" si="32"/>
        <v>Tipo 2 (0,25-0,50) uT</v>
      </c>
      <c r="BG124" s="78" t="str">
        <f t="shared" si="33"/>
        <v>Tipo 2 (0,25-0,50) uT</v>
      </c>
    </row>
    <row r="125" spans="1:59" x14ac:dyDescent="0.2">
      <c r="A125" s="21">
        <v>46141</v>
      </c>
      <c r="B125" s="48">
        <v>0.72916666666666663</v>
      </c>
      <c r="C125" s="57">
        <v>1280</v>
      </c>
      <c r="D125" s="57">
        <v>330</v>
      </c>
      <c r="E125" s="57">
        <v>480</v>
      </c>
      <c r="F125" s="57">
        <v>2248</v>
      </c>
      <c r="G125" s="10" t="s">
        <v>34</v>
      </c>
      <c r="H125" s="63">
        <v>3.8</v>
      </c>
      <c r="I125" s="57">
        <v>90</v>
      </c>
      <c r="J125" s="57">
        <v>90</v>
      </c>
      <c r="K125" s="57">
        <v>90</v>
      </c>
      <c r="L125" s="63">
        <v>24.8</v>
      </c>
      <c r="M125" s="63">
        <v>6.8</v>
      </c>
      <c r="N125" s="36">
        <v>2.85</v>
      </c>
      <c r="O125" s="57">
        <v>13</v>
      </c>
      <c r="P125" s="63">
        <v>6.3</v>
      </c>
      <c r="Q125" s="36">
        <v>0.98</v>
      </c>
      <c r="R125" s="36">
        <v>22.36</v>
      </c>
      <c r="S125" s="36">
        <v>0.88</v>
      </c>
      <c r="T125" s="36">
        <v>0.7</v>
      </c>
      <c r="U125" s="42">
        <f t="shared" si="34"/>
        <v>1191.44</v>
      </c>
      <c r="V125" s="36">
        <f t="shared" si="35"/>
        <v>1608.5927103999998</v>
      </c>
      <c r="W125" s="36">
        <f t="shared" si="36"/>
        <v>1.350124815685221</v>
      </c>
      <c r="X125" s="57">
        <v>3</v>
      </c>
      <c r="Y125" s="57">
        <v>4</v>
      </c>
      <c r="Z125" s="63">
        <v>6.48</v>
      </c>
      <c r="AA125" s="57">
        <v>20</v>
      </c>
      <c r="AB125" s="63">
        <v>6.7</v>
      </c>
      <c r="AC125" s="63">
        <v>6.2</v>
      </c>
      <c r="AD125" s="10">
        <v>0.94</v>
      </c>
      <c r="AE125" s="36">
        <v>1.79</v>
      </c>
      <c r="AF125" s="42">
        <f t="shared" si="37"/>
        <v>1191.44</v>
      </c>
      <c r="AG125" s="42">
        <f t="shared" si="38"/>
        <v>1937.7265440000001</v>
      </c>
      <c r="AH125" s="42">
        <f t="shared" si="39"/>
        <v>1.6263735849056604</v>
      </c>
      <c r="AI125" s="57">
        <v>3</v>
      </c>
      <c r="AJ125" s="57">
        <v>4</v>
      </c>
      <c r="AK125" s="36">
        <v>6.5</v>
      </c>
      <c r="AL125" s="36">
        <v>24</v>
      </c>
      <c r="AM125" s="63">
        <v>6.7</v>
      </c>
      <c r="AN125" s="63">
        <v>5.8</v>
      </c>
      <c r="AO125" s="36">
        <v>0.51</v>
      </c>
      <c r="AP125" s="68">
        <v>1.07</v>
      </c>
      <c r="AQ125" s="73">
        <f t="shared" si="17"/>
        <v>2090</v>
      </c>
      <c r="AR125" s="75">
        <f t="shared" si="18"/>
        <v>0.61244019138755978</v>
      </c>
      <c r="AS125" s="75">
        <f t="shared" si="19"/>
        <v>0.15789473684210525</v>
      </c>
      <c r="AT125" s="75">
        <f t="shared" si="20"/>
        <v>0.22966507177033493</v>
      </c>
      <c r="AU125" s="26">
        <f t="shared" si="21"/>
        <v>7.1174377224199295E-2</v>
      </c>
      <c r="AV125" s="26">
        <f t="shared" si="22"/>
        <v>8.5409252669039148E-2</v>
      </c>
      <c r="AW125" s="24">
        <f t="shared" si="23"/>
        <v>0.62456140350877187</v>
      </c>
      <c r="AX125" s="24">
        <f t="shared" si="24"/>
        <v>0.37192982456140355</v>
      </c>
      <c r="AY125" s="77" t="str">
        <f t="shared" si="25"/>
        <v>5,0 ≤ Alc. Bruta &lt; 7,5 mg/L</v>
      </c>
      <c r="AZ125" s="77" t="str">
        <f t="shared" si="26"/>
        <v>10 ≤ Cor &lt;15 uC</v>
      </c>
      <c r="BA125" s="78" t="str">
        <f t="shared" si="27"/>
        <v>2,5 ≤ Turb &lt; 5,0 uT</v>
      </c>
      <c r="BB125" s="79" t="str">
        <f t="shared" si="28"/>
        <v>TOR &gt; BNN &gt; SM</v>
      </c>
      <c r="BC125" s="78" t="str">
        <f t="shared" si="29"/>
        <v>Tipo 4 (&gt;0,75) uT</v>
      </c>
      <c r="BD125" s="78" t="str">
        <f t="shared" si="30"/>
        <v>Tipo 3 (0,50-0,75) uT</v>
      </c>
      <c r="BE125" s="78" t="str">
        <f t="shared" si="31"/>
        <v>Tipo 4 (&gt;0,75) uT</v>
      </c>
      <c r="BF125" s="78" t="str">
        <f t="shared" si="32"/>
        <v>Tipo 4 (&gt;0,75) uT</v>
      </c>
      <c r="BG125" s="78" t="str">
        <f t="shared" si="33"/>
        <v>Tipo 4 (&gt;0,75) uT</v>
      </c>
    </row>
    <row r="126" spans="1:59" x14ac:dyDescent="0.2">
      <c r="A126" s="21">
        <v>46141</v>
      </c>
      <c r="B126" s="48">
        <v>0.8125</v>
      </c>
      <c r="C126" s="57">
        <v>1200</v>
      </c>
      <c r="D126" s="57">
        <v>316</v>
      </c>
      <c r="E126" s="57">
        <v>479</v>
      </c>
      <c r="F126" s="57">
        <v>2195</v>
      </c>
      <c r="G126" s="10" t="s">
        <v>34</v>
      </c>
      <c r="H126" s="63">
        <v>4.5</v>
      </c>
      <c r="I126" s="57">
        <v>90</v>
      </c>
      <c r="J126" s="57">
        <v>90</v>
      </c>
      <c r="K126" s="57">
        <v>90</v>
      </c>
      <c r="L126" s="63">
        <v>23.4</v>
      </c>
      <c r="M126" s="63">
        <v>6.8</v>
      </c>
      <c r="N126" s="36">
        <v>5.04</v>
      </c>
      <c r="O126" s="57">
        <v>22</v>
      </c>
      <c r="P126" s="63">
        <v>7.5</v>
      </c>
      <c r="Q126" s="36">
        <v>0.93</v>
      </c>
      <c r="R126" s="36">
        <v>22.36</v>
      </c>
      <c r="S126" s="36">
        <v>0.88</v>
      </c>
      <c r="T126" s="36">
        <v>0.7</v>
      </c>
      <c r="U126" s="42">
        <f t="shared" si="34"/>
        <v>1821.85</v>
      </c>
      <c r="V126" s="36">
        <f t="shared" si="35"/>
        <v>1692.2665359599998</v>
      </c>
      <c r="W126" s="36">
        <f t="shared" si="36"/>
        <v>0.92887259431896141</v>
      </c>
      <c r="X126" s="57">
        <v>3</v>
      </c>
      <c r="Y126" s="57">
        <v>4</v>
      </c>
      <c r="Z126" s="63">
        <v>6.49</v>
      </c>
      <c r="AA126" s="57">
        <v>21</v>
      </c>
      <c r="AB126" s="63">
        <v>6.8</v>
      </c>
      <c r="AC126" s="63">
        <v>7</v>
      </c>
      <c r="AD126" s="10">
        <v>1.07</v>
      </c>
      <c r="AE126" s="36">
        <v>1.44</v>
      </c>
      <c r="AF126" s="42">
        <f t="shared" si="37"/>
        <v>1821.85</v>
      </c>
      <c r="AG126" s="42">
        <f t="shared" si="38"/>
        <v>1882.8356284399995</v>
      </c>
      <c r="AH126" s="42">
        <f t="shared" si="39"/>
        <v>1.0334745607157558</v>
      </c>
      <c r="AI126" s="57">
        <v>3</v>
      </c>
      <c r="AJ126" s="57">
        <v>4</v>
      </c>
      <c r="AK126" s="36">
        <v>6.46</v>
      </c>
      <c r="AL126" s="36">
        <v>23.5</v>
      </c>
      <c r="AM126" s="63">
        <v>7</v>
      </c>
      <c r="AN126" s="63">
        <v>7.3</v>
      </c>
      <c r="AO126" s="36">
        <v>0.59</v>
      </c>
      <c r="AP126" s="68">
        <v>0.78</v>
      </c>
      <c r="AQ126" s="73">
        <f t="shared" si="17"/>
        <v>1995</v>
      </c>
      <c r="AR126" s="75">
        <f t="shared" si="18"/>
        <v>0.60150375939849621</v>
      </c>
      <c r="AS126" s="75">
        <f t="shared" si="19"/>
        <v>0.15839598997493734</v>
      </c>
      <c r="AT126" s="75">
        <f t="shared" si="20"/>
        <v>0.24010025062656642</v>
      </c>
      <c r="AU126" s="26">
        <f t="shared" si="21"/>
        <v>7.6537585421412299E-2</v>
      </c>
      <c r="AV126" s="26">
        <f t="shared" si="22"/>
        <v>8.5649202733485197E-2</v>
      </c>
      <c r="AW126" s="24">
        <f t="shared" si="23"/>
        <v>0.84523809523809523</v>
      </c>
      <c r="AX126" s="24">
        <f t="shared" si="24"/>
        <v>0.7142857142857143</v>
      </c>
      <c r="AY126" s="77" t="str">
        <f t="shared" si="25"/>
        <v>7,5 ≤ Alc. Bruta &lt; 10,0 mg/L</v>
      </c>
      <c r="AZ126" s="77" t="str">
        <f t="shared" si="26"/>
        <v>15 ≤ Cor &lt; 30 uC</v>
      </c>
      <c r="BA126" s="78" t="str">
        <f t="shared" si="27"/>
        <v>5,0 ≤ Turb &lt; 7,5 uT</v>
      </c>
      <c r="BB126" s="79" t="str">
        <f t="shared" si="28"/>
        <v>TOR &gt; BNN &gt; SM</v>
      </c>
      <c r="BC126" s="78" t="str">
        <f t="shared" si="29"/>
        <v>Tipo 4 (&gt;0,75) uT</v>
      </c>
      <c r="BD126" s="78" t="str">
        <f t="shared" si="30"/>
        <v>Tipo 3 (0,50-0,75) uT</v>
      </c>
      <c r="BE126" s="78" t="str">
        <f t="shared" si="31"/>
        <v>Tipo 4 (&gt;0,75) uT</v>
      </c>
      <c r="BF126" s="78" t="str">
        <f t="shared" si="32"/>
        <v>Tipo 4 (&gt;0,75) uT</v>
      </c>
      <c r="BG126" s="78" t="str">
        <f t="shared" si="33"/>
        <v>Tipo 4 (&gt;0,75) uT</v>
      </c>
    </row>
    <row r="127" spans="1:59" x14ac:dyDescent="0.2">
      <c r="A127" s="21">
        <v>46141</v>
      </c>
      <c r="B127" s="48">
        <v>0.89583333333333337</v>
      </c>
      <c r="C127" s="57">
        <v>1306</v>
      </c>
      <c r="D127" s="57">
        <v>340</v>
      </c>
      <c r="E127" s="57">
        <v>479</v>
      </c>
      <c r="F127" s="57">
        <v>2185.5</v>
      </c>
      <c r="G127" s="10" t="s">
        <v>34</v>
      </c>
      <c r="H127" s="63">
        <v>4.5</v>
      </c>
      <c r="I127" s="57">
        <v>90</v>
      </c>
      <c r="J127" s="57">
        <v>90</v>
      </c>
      <c r="K127" s="57">
        <v>90</v>
      </c>
      <c r="L127" s="63">
        <v>23.1</v>
      </c>
      <c r="M127" s="63">
        <v>7</v>
      </c>
      <c r="N127" s="36">
        <v>4.8</v>
      </c>
      <c r="O127" s="57">
        <v>13</v>
      </c>
      <c r="P127" s="63">
        <v>6.9</v>
      </c>
      <c r="Q127" s="36">
        <v>1.05</v>
      </c>
      <c r="R127" s="36">
        <v>22.36</v>
      </c>
      <c r="S127" s="36">
        <v>0.88</v>
      </c>
      <c r="T127" s="36">
        <v>0.7</v>
      </c>
      <c r="U127" s="42">
        <f t="shared" si="34"/>
        <v>1748.3999999999999</v>
      </c>
      <c r="V127" s="36">
        <f t="shared" si="35"/>
        <v>1602.4133007999994</v>
      </c>
      <c r="W127" s="36">
        <f t="shared" si="36"/>
        <v>0.91650268862960393</v>
      </c>
      <c r="X127" s="57">
        <v>3</v>
      </c>
      <c r="Y127" s="57">
        <v>4</v>
      </c>
      <c r="Z127" s="63">
        <v>6.46</v>
      </c>
      <c r="AA127" s="57">
        <v>20</v>
      </c>
      <c r="AB127" s="63">
        <v>6.9</v>
      </c>
      <c r="AC127" s="63">
        <v>8.6999999999999993</v>
      </c>
      <c r="AD127" s="10">
        <v>1.0900000000000001</v>
      </c>
      <c r="AE127" s="36">
        <v>1.63</v>
      </c>
      <c r="AF127" s="42">
        <f t="shared" si="37"/>
        <v>1748.3999999999999</v>
      </c>
      <c r="AG127" s="42">
        <f t="shared" si="38"/>
        <v>1941.4341897599998</v>
      </c>
      <c r="AH127" s="42">
        <f t="shared" si="39"/>
        <v>1.1104061940974606</v>
      </c>
      <c r="AI127" s="57">
        <v>3</v>
      </c>
      <c r="AJ127" s="57">
        <v>4</v>
      </c>
      <c r="AK127" s="36">
        <v>6.51</v>
      </c>
      <c r="AL127" s="36">
        <v>24</v>
      </c>
      <c r="AM127" s="63">
        <v>6.8</v>
      </c>
      <c r="AN127" s="63">
        <v>7.8</v>
      </c>
      <c r="AO127" s="36">
        <v>0.55000000000000004</v>
      </c>
      <c r="AP127" s="68">
        <v>0.85</v>
      </c>
      <c r="AQ127" s="73">
        <f t="shared" si="17"/>
        <v>2125</v>
      </c>
      <c r="AR127" s="75">
        <f t="shared" si="18"/>
        <v>0.61458823529411766</v>
      </c>
      <c r="AS127" s="75">
        <f t="shared" si="19"/>
        <v>0.16</v>
      </c>
      <c r="AT127" s="75">
        <f t="shared" si="20"/>
        <v>0.22541176470588234</v>
      </c>
      <c r="AU127" s="26">
        <f t="shared" si="21"/>
        <v>7.3209791809654548E-2</v>
      </c>
      <c r="AV127" s="26">
        <f t="shared" si="22"/>
        <v>8.7851750171585447E-2</v>
      </c>
      <c r="AW127" s="24">
        <f t="shared" si="23"/>
        <v>0.82291666666666663</v>
      </c>
      <c r="AX127" s="24">
        <f t="shared" si="24"/>
        <v>0.66041666666666665</v>
      </c>
      <c r="AY127" s="77" t="str">
        <f t="shared" si="25"/>
        <v>5,0 ≤ Alc. Bruta &lt; 7,5 mg/L</v>
      </c>
      <c r="AZ127" s="77" t="str">
        <f t="shared" si="26"/>
        <v>10 ≤ Cor &lt;15 uC</v>
      </c>
      <c r="BA127" s="78" t="str">
        <f t="shared" si="27"/>
        <v>2,5 ≤ Turb &lt; 5,0 uT</v>
      </c>
      <c r="BB127" s="79" t="str">
        <f t="shared" si="28"/>
        <v>TOR &gt; BNN &gt; SM</v>
      </c>
      <c r="BC127" s="78" t="str">
        <f t="shared" si="29"/>
        <v>Tipo 4 (&gt;0,75) uT</v>
      </c>
      <c r="BD127" s="78" t="str">
        <f t="shared" si="30"/>
        <v>Tipo 3 (0,50-0,75) uT</v>
      </c>
      <c r="BE127" s="78" t="str">
        <f t="shared" si="31"/>
        <v>Tipo 4 (&gt;0,75) uT</v>
      </c>
      <c r="BF127" s="78" t="str">
        <f t="shared" si="32"/>
        <v>Tipo 4 (&gt;0,75) uT</v>
      </c>
      <c r="BG127" s="78" t="str">
        <f t="shared" si="33"/>
        <v>Tipo 4 (&gt;0,75) uT</v>
      </c>
    </row>
    <row r="128" spans="1:59" x14ac:dyDescent="0.2">
      <c r="A128" s="21">
        <v>46141</v>
      </c>
      <c r="B128" s="48">
        <v>0.97916666666666663</v>
      </c>
      <c r="C128" s="57">
        <v>1215</v>
      </c>
      <c r="D128" s="57">
        <v>325</v>
      </c>
      <c r="E128" s="57">
        <v>478</v>
      </c>
      <c r="F128" s="57">
        <v>2292</v>
      </c>
      <c r="G128" s="10" t="s">
        <v>34</v>
      </c>
      <c r="H128" s="63">
        <v>5</v>
      </c>
      <c r="I128" s="57">
        <v>90</v>
      </c>
      <c r="J128" s="57">
        <v>90</v>
      </c>
      <c r="K128" s="57">
        <v>90</v>
      </c>
      <c r="L128" s="63">
        <v>23.4</v>
      </c>
      <c r="M128" s="63">
        <v>6.9</v>
      </c>
      <c r="N128" s="36">
        <v>2.79</v>
      </c>
      <c r="O128" s="57">
        <v>26</v>
      </c>
      <c r="P128" s="63">
        <v>6.8</v>
      </c>
      <c r="Q128" s="36">
        <v>0.43</v>
      </c>
      <c r="R128" s="36">
        <v>22.36</v>
      </c>
      <c r="S128" s="36">
        <v>0.88</v>
      </c>
      <c r="T128" s="36">
        <v>0.7</v>
      </c>
      <c r="U128" s="42">
        <f t="shared" si="34"/>
        <v>1300.71</v>
      </c>
      <c r="V128" s="36">
        <f t="shared" si="35"/>
        <v>1534.0335140000002</v>
      </c>
      <c r="W128" s="36">
        <f t="shared" si="36"/>
        <v>1.1793816561723982</v>
      </c>
      <c r="X128" s="57">
        <v>3</v>
      </c>
      <c r="Y128" s="57">
        <v>4</v>
      </c>
      <c r="Z128" s="63">
        <v>6.5</v>
      </c>
      <c r="AA128" s="57">
        <v>19</v>
      </c>
      <c r="AB128" s="63">
        <v>6.8</v>
      </c>
      <c r="AC128" s="63">
        <v>6.5</v>
      </c>
      <c r="AD128" s="10">
        <v>0.59</v>
      </c>
      <c r="AE128" s="36">
        <v>0.84</v>
      </c>
      <c r="AF128" s="42">
        <f t="shared" si="37"/>
        <v>1300.71</v>
      </c>
      <c r="AG128" s="42">
        <f t="shared" si="38"/>
        <v>1807.2436907199999</v>
      </c>
      <c r="AH128" s="42">
        <f t="shared" si="39"/>
        <v>1.3894286126192616</v>
      </c>
      <c r="AI128" s="57">
        <v>3</v>
      </c>
      <c r="AJ128" s="57">
        <v>4</v>
      </c>
      <c r="AK128" s="36">
        <v>6.36</v>
      </c>
      <c r="AL128" s="36">
        <v>23</v>
      </c>
      <c r="AM128" s="63">
        <v>6.8</v>
      </c>
      <c r="AN128" s="63">
        <v>6.7</v>
      </c>
      <c r="AO128" s="36">
        <v>0.23</v>
      </c>
      <c r="AP128" s="68">
        <v>0.44</v>
      </c>
      <c r="AQ128" s="73">
        <f t="shared" si="17"/>
        <v>2018</v>
      </c>
      <c r="AR128" s="75">
        <f t="shared" si="18"/>
        <v>0.60208126858275524</v>
      </c>
      <c r="AS128" s="75">
        <f t="shared" si="19"/>
        <v>0.16105054509415262</v>
      </c>
      <c r="AT128" s="75">
        <f t="shared" si="20"/>
        <v>0.23686818632309217</v>
      </c>
      <c r="AU128" s="26">
        <f t="shared" si="21"/>
        <v>6.6317626527050616E-2</v>
      </c>
      <c r="AV128" s="26">
        <f t="shared" si="22"/>
        <v>8.0279232111692841E-2</v>
      </c>
      <c r="AW128" s="24">
        <f t="shared" si="23"/>
        <v>0.84229390681003591</v>
      </c>
      <c r="AX128" s="24">
        <f t="shared" si="24"/>
        <v>0.69892473118279574</v>
      </c>
      <c r="AY128" s="77" t="str">
        <f t="shared" si="25"/>
        <v>5,0 ≤ Alc. Bruta &lt; 7,5 mg/L</v>
      </c>
      <c r="AZ128" s="77" t="str">
        <f t="shared" si="26"/>
        <v>15 ≤ Cor &lt; 30 uC</v>
      </c>
      <c r="BA128" s="78" t="str">
        <f t="shared" si="27"/>
        <v>2,5 ≤ Turb &lt; 5,0 uT</v>
      </c>
      <c r="BB128" s="79" t="str">
        <f t="shared" si="28"/>
        <v>TOR &gt; BNN &gt; SM</v>
      </c>
      <c r="BC128" s="78" t="str">
        <f t="shared" si="29"/>
        <v>Tipo 3 (0,50-0,75) uT</v>
      </c>
      <c r="BD128" s="78" t="str">
        <f t="shared" si="30"/>
        <v>Tipo 1 (≤0,25) uT</v>
      </c>
      <c r="BE128" s="78" t="str">
        <f t="shared" si="31"/>
        <v>Tipo 4 (&gt;0,75) uT</v>
      </c>
      <c r="BF128" s="78" t="str">
        <f t="shared" si="32"/>
        <v>Tipo 2 (0,25-0,50) uT</v>
      </c>
      <c r="BG128" s="78" t="str">
        <f t="shared" si="33"/>
        <v>Tipo 2 (0,25-0,50) uT</v>
      </c>
    </row>
    <row r="129" spans="1:59" x14ac:dyDescent="0.2">
      <c r="A129" s="21">
        <v>46142</v>
      </c>
      <c r="B129" s="48">
        <v>6.25E-2</v>
      </c>
      <c r="C129" s="57">
        <v>1251</v>
      </c>
      <c r="D129" s="57">
        <v>371</v>
      </c>
      <c r="E129" s="57">
        <v>480</v>
      </c>
      <c r="F129" s="57">
        <v>2281</v>
      </c>
      <c r="G129" s="10" t="s">
        <v>34</v>
      </c>
      <c r="H129" s="63">
        <v>4.8</v>
      </c>
      <c r="I129" s="57">
        <v>90</v>
      </c>
      <c r="J129" s="57">
        <v>90</v>
      </c>
      <c r="K129" s="57">
        <v>90</v>
      </c>
      <c r="L129" s="63">
        <v>23.4</v>
      </c>
      <c r="M129" s="63">
        <v>6.9</v>
      </c>
      <c r="N129" s="36">
        <v>2.7</v>
      </c>
      <c r="O129" s="57">
        <v>12</v>
      </c>
      <c r="P129" s="63">
        <v>6.8</v>
      </c>
      <c r="Q129" s="36">
        <v>0.44</v>
      </c>
      <c r="R129" s="36">
        <v>22.36</v>
      </c>
      <c r="S129" s="36">
        <v>0.88</v>
      </c>
      <c r="T129" s="36">
        <v>0.7</v>
      </c>
      <c r="U129" s="42">
        <f t="shared" si="34"/>
        <v>1251.6987500000002</v>
      </c>
      <c r="V129" s="36">
        <f t="shared" si="35"/>
        <v>1531.0982944399998</v>
      </c>
      <c r="W129" s="36">
        <f t="shared" si="36"/>
        <v>1.2232162846211994</v>
      </c>
      <c r="X129" s="57">
        <v>3</v>
      </c>
      <c r="Y129" s="57">
        <v>4</v>
      </c>
      <c r="Z129" s="63">
        <v>6.49</v>
      </c>
      <c r="AA129" s="57">
        <v>19</v>
      </c>
      <c r="AB129" s="63">
        <v>6.8</v>
      </c>
      <c r="AC129" s="63">
        <v>6.6</v>
      </c>
      <c r="AD129" s="10">
        <v>0.44</v>
      </c>
      <c r="AE129" s="36">
        <v>0.76</v>
      </c>
      <c r="AF129" s="42">
        <f t="shared" si="37"/>
        <v>1251.6987500000002</v>
      </c>
      <c r="AG129" s="42">
        <f t="shared" si="38"/>
        <v>1814.3500117599995</v>
      </c>
      <c r="AH129" s="42">
        <f t="shared" si="39"/>
        <v>1.4495101251479232</v>
      </c>
      <c r="AI129" s="57">
        <v>3</v>
      </c>
      <c r="AJ129" s="57">
        <v>4</v>
      </c>
      <c r="AK129" s="36">
        <v>6.38</v>
      </c>
      <c r="AL129" s="36">
        <v>23</v>
      </c>
      <c r="AM129" s="63">
        <v>6.8</v>
      </c>
      <c r="AN129" s="63">
        <v>6.9</v>
      </c>
      <c r="AO129" s="36">
        <v>0.35</v>
      </c>
      <c r="AP129" s="68">
        <v>0.37</v>
      </c>
      <c r="AQ129" s="73">
        <f t="shared" si="17"/>
        <v>2102</v>
      </c>
      <c r="AR129" s="75">
        <f t="shared" si="18"/>
        <v>0.59514747859181727</v>
      </c>
      <c r="AS129" s="75">
        <f t="shared" si="19"/>
        <v>0.17649857278782113</v>
      </c>
      <c r="AT129" s="75">
        <f t="shared" si="20"/>
        <v>0.22835394862036157</v>
      </c>
      <c r="AU129" s="26">
        <f t="shared" si="21"/>
        <v>6.6637439719421307E-2</v>
      </c>
      <c r="AV129" s="26">
        <f t="shared" si="22"/>
        <v>8.0666374397194207E-2</v>
      </c>
      <c r="AW129" s="24">
        <f t="shared" si="23"/>
        <v>0.86296296296296293</v>
      </c>
      <c r="AX129" s="24">
        <f t="shared" si="24"/>
        <v>0.71851851851851856</v>
      </c>
      <c r="AY129" s="77" t="str">
        <f t="shared" si="25"/>
        <v>5,0 ≤ Alc. Bruta &lt; 7,5 mg/L</v>
      </c>
      <c r="AZ129" s="77" t="str">
        <f t="shared" si="26"/>
        <v>10 ≤ Cor &lt;15 uC</v>
      </c>
      <c r="BA129" s="78" t="str">
        <f t="shared" si="27"/>
        <v>2,5 ≤ Turb &lt; 5,0 uT</v>
      </c>
      <c r="BB129" s="79" t="str">
        <f t="shared" si="28"/>
        <v>TOR &gt; BNN &gt; SM</v>
      </c>
      <c r="BC129" s="78" t="str">
        <f t="shared" si="29"/>
        <v>Tipo 2 (0,25-0,50) uT</v>
      </c>
      <c r="BD129" s="78" t="str">
        <f t="shared" si="30"/>
        <v>Tipo 2 (0,25-0,50) uT</v>
      </c>
      <c r="BE129" s="78" t="str">
        <f t="shared" si="31"/>
        <v>Tipo 4 (&gt;0,75) uT</v>
      </c>
      <c r="BF129" s="78" t="str">
        <f t="shared" si="32"/>
        <v>Tipo 2 (0,25-0,50) uT</v>
      </c>
      <c r="BG129" s="78" t="str">
        <f t="shared" si="33"/>
        <v>Tipo 2 (0,25-0,50) uT</v>
      </c>
    </row>
    <row r="130" spans="1:59" x14ac:dyDescent="0.2">
      <c r="A130" s="21">
        <v>46142</v>
      </c>
      <c r="B130" s="48">
        <v>0.14583333333333334</v>
      </c>
      <c r="C130" s="57">
        <v>1244</v>
      </c>
      <c r="D130" s="57">
        <v>422</v>
      </c>
      <c r="E130" s="57">
        <v>399</v>
      </c>
      <c r="F130" s="57">
        <v>2228</v>
      </c>
      <c r="G130" s="10" t="s">
        <v>34</v>
      </c>
      <c r="H130" s="63">
        <v>4.5999999999999996</v>
      </c>
      <c r="I130" s="57">
        <v>90</v>
      </c>
      <c r="J130" s="57">
        <v>90</v>
      </c>
      <c r="K130" s="57">
        <v>90</v>
      </c>
      <c r="L130" s="63">
        <v>23.1</v>
      </c>
      <c r="M130" s="63">
        <v>6.9</v>
      </c>
      <c r="N130" s="36">
        <v>2.69</v>
      </c>
      <c r="O130" s="57">
        <v>20</v>
      </c>
      <c r="P130" s="63">
        <v>8.1999999999999993</v>
      </c>
      <c r="Q130" s="36">
        <v>0.51</v>
      </c>
      <c r="R130" s="36">
        <v>22.36</v>
      </c>
      <c r="S130" s="36">
        <v>0.88</v>
      </c>
      <c r="T130" s="36">
        <v>0.7</v>
      </c>
      <c r="U130" s="42">
        <f t="shared" si="34"/>
        <v>1203.1200000000001</v>
      </c>
      <c r="V130" s="36">
        <f t="shared" si="35"/>
        <v>1614.7721200000001</v>
      </c>
      <c r="W130" s="36">
        <f t="shared" si="36"/>
        <v>1.3421538333665801</v>
      </c>
      <c r="X130" s="57">
        <v>3</v>
      </c>
      <c r="Y130" s="57">
        <v>4</v>
      </c>
      <c r="Z130" s="63">
        <v>6.5</v>
      </c>
      <c r="AA130" s="57">
        <v>20</v>
      </c>
      <c r="AB130" s="63">
        <v>6.8</v>
      </c>
      <c r="AC130" s="63">
        <v>8.1999999999999993</v>
      </c>
      <c r="AD130" s="10">
        <v>0.71</v>
      </c>
      <c r="AE130" s="36">
        <v>0.9</v>
      </c>
      <c r="AF130" s="42">
        <f t="shared" si="37"/>
        <v>1203.1200000000001</v>
      </c>
      <c r="AG130" s="42">
        <f t="shared" si="38"/>
        <v>1828.5626538399999</v>
      </c>
      <c r="AH130" s="42">
        <f t="shared" si="39"/>
        <v>1.5198505999734022</v>
      </c>
      <c r="AI130" s="57">
        <v>3</v>
      </c>
      <c r="AJ130" s="57">
        <v>4</v>
      </c>
      <c r="AK130" s="36">
        <v>6.42</v>
      </c>
      <c r="AL130" s="36">
        <v>23</v>
      </c>
      <c r="AM130" s="63">
        <v>6.9</v>
      </c>
      <c r="AN130" s="63">
        <v>7.4</v>
      </c>
      <c r="AO130" s="36">
        <v>0.57999999999999996</v>
      </c>
      <c r="AP130" s="68">
        <v>0.55000000000000004</v>
      </c>
      <c r="AQ130" s="73">
        <f t="shared" ref="AQ130:AQ193" si="40">SUM(C130:E130)</f>
        <v>2065</v>
      </c>
      <c r="AR130" s="75">
        <f t="shared" ref="AR130:AR193" si="41">C130/AQ130</f>
        <v>0.60242130750605327</v>
      </c>
      <c r="AS130" s="75">
        <f t="shared" ref="AS130:AS193" si="42">D130/AQ130</f>
        <v>0.20435835351089587</v>
      </c>
      <c r="AT130" s="75">
        <f t="shared" ref="AT130:AT193" si="43">E130/AQ130</f>
        <v>0.19322033898305085</v>
      </c>
      <c r="AU130" s="26">
        <f t="shared" ref="AU130:AU193" si="44">IF(AND(F130&lt;&gt;"",Y130&lt;&gt;""),AA130/(F130/2/Y130),"")</f>
        <v>7.1813285457809697E-2</v>
      </c>
      <c r="AV130" s="26">
        <f t="shared" ref="AV130:AV193" si="45">IF(AND(F130&lt;&gt;"",AJ130&lt;&gt;""),AL130/(F130/2/AJ130),"")</f>
        <v>8.2585278276481155E-2</v>
      </c>
      <c r="AW130" s="24">
        <f t="shared" ref="AW130:AW193" si="46">IF(AND(AP130&lt;&gt;"",1-(AP130/N130)&gt;0),1-(AP130/N130),"")</f>
        <v>0.79553903345724908</v>
      </c>
      <c r="AX130" s="24">
        <f t="shared" ref="AX130:AX193" si="47">IF(AND(AE130&lt;&gt;"",1-(AE130/N130)&gt;0),1-(AE130/N130),"")</f>
        <v>0.66542750929368033</v>
      </c>
      <c r="AY130" s="77" t="str">
        <f t="shared" ref="AY130:AY193" si="48">IF(P130="","",IF(P130&lt;2.5,"Alc. Bruta &lt; 2,5 mg/L",IF(P130&lt;5,"2,5 ≤ Alc. Bruta &lt; 5,0 mg/L",IF(P130&lt;7.5,"5,0 ≤ Alc. Bruta &lt; 7,5 mg/L",IF(P130&lt;10,"7,5 ≤ Alc. Bruta &lt; 10,0 mg/L",IF(P130&lt;15,"10,0 ≤ Alca. Bruta &lt; 15,0 mg/L","Alc. Bruta &gt; 15 mg/L"))))))</f>
        <v>7,5 ≤ Alc. Bruta &lt; 10,0 mg/L</v>
      </c>
      <c r="AZ130" s="77" t="str">
        <f t="shared" ref="AZ130:AZ193" si="49">IF(O130="","",IF(O130&lt;5,"Cor &lt;5 uC",IF(O130&lt;10,"5 ≤ Cor &lt; 10 uC",IF(O130&lt;15,"10 ≤ Cor &lt;15 uC",IF(O130&lt;30,"15 ≤ Cor &lt; 30 uC",IF(O130&lt;50,"30 ≤ Cor &lt; 50 uC","Cor &gt; 50 uC"))))))</f>
        <v>15 ≤ Cor &lt; 30 uC</v>
      </c>
      <c r="BA130" s="78" t="str">
        <f t="shared" ref="BA130:BA193" si="50">IF(N130="","",IF(N130&lt;2.5,"Turbidez &lt; 2,5 uT",IF(N130&lt;5,"2,5 ≤ Turb &lt; 5,0 uT",IF(N130&lt;7.5,"5,0 ≤ Turb &lt; 7,5 uT",IF(N130&lt;10,"7,5 ≤ Turb &lt; 10,0 uT",IF(N130&lt;15,"10,0 ≤ Turb &lt; 15,0 uT","Turb &gt; 15 uT"))))))</f>
        <v>2,5 ≤ Turb &lt; 5,0 uT</v>
      </c>
      <c r="BB130" s="79" t="str">
        <f t="shared" ref="BB130:BB193" si="51">IF(AND(C130&gt;D130,D130&gt;E130),"TOR &gt; SM &gt; BNN",IF(AND(C130&gt;E130,E130&gt;D130),"TOR &gt; BNN &gt; SM",IF(AND(D130&gt;C130,C130&gt;E130),"SM &gt; TOR &gt; BNN",IF(AND(D130&gt;E130,E130&gt;C130),"SM &gt; BNN &gt; TOR",IF(AND(C130=D130,D130=E130),"TOR = SM = BNN","Comb. diferentes")))))</f>
        <v>TOR &gt; SM &gt; BNN</v>
      </c>
      <c r="BC130" s="78" t="str">
        <f t="shared" ref="BC130:BC193" si="52">IF(OR(AD130="",AP130="-"),"",IF(AD130&lt;=0.25,"Tipo 1 (≤0,25) uT",IF(AD130&lt;=0.5,"Tipo 2 (0,25-0,50) uT",IF(AD130&lt;=0.75,"Tipo 3 (0,50-0,75) uT","Tipo 4 (&gt;0,75) uT"))))</f>
        <v>Tipo 3 (0,50-0,75) uT</v>
      </c>
      <c r="BD130" s="78" t="str">
        <f t="shared" ref="BD130:BD193" si="53">IF(OR(AO130="",AY130="-"),"",IF(AO130&lt;=0.25,"Tipo 1 (≤0,25) uT",IF(AO130&lt;=0.5,"Tipo 2 (0,25-0,50) uT",IF(AO130&lt;=0.75,"Tipo 3 (0,50-0,75) uT","Tipo 4 (&gt;0,75) uT"))))</f>
        <v>Tipo 3 (0,50-0,75) uT</v>
      </c>
      <c r="BE130" s="78" t="str">
        <f t="shared" ref="BE130:BE193" si="54">IF(OR(AE130="",AP130="-"),"",IF(AE130&lt;=0.25,"Tipo 1 (≤0,25) uT",IF(AE130&lt;=0.5,"Tipo 2 (0,25-0,50) uT",IF(AE130&lt;=0.75,"Tipo 3 (0,50-0,75) uT","Tipo 4 (&gt;0,75) uT"))))</f>
        <v>Tipo 4 (&gt;0,75) uT</v>
      </c>
      <c r="BF130" s="78" t="str">
        <f t="shared" ref="BF130:BF193" si="55">IF(OR(AP130="",AP130="-"),"",IF(AP130&lt;=0.25,"Tipo 1 (≤0,25) uT",IF(AP130&lt;=0.5,"Tipo 2 (0,25-0,50) uT",IF(AP130&lt;=0.75,"Tipo 3 (0,50-0,75) uT","Tipo 4 (&gt;0,75) uT"))))</f>
        <v>Tipo 3 (0,50-0,75) uT</v>
      </c>
      <c r="BG130" s="78" t="str">
        <f t="shared" ref="BG130:BG193" si="56">IF(OR(Q130="",Q130="-"),"",IF(Q130&lt;=0.25,"Tipo 1 (≤0,25) uT",IF(Q130&lt;=0.5,"Tipo 2 (0,25-0,50) uT",IF(Q130&lt;=0.75,"Tipo 3 (0,50-0,75) uT","Tipo 4 (&gt;0,75) uT"))))</f>
        <v>Tipo 3 (0,50-0,75) uT</v>
      </c>
    </row>
    <row r="131" spans="1:59" ht="15.75" thickBot="1" x14ac:dyDescent="0.25">
      <c r="A131" s="21">
        <v>46142</v>
      </c>
      <c r="B131" s="51">
        <v>0.22916666666666666</v>
      </c>
      <c r="C131" s="58">
        <v>1251</v>
      </c>
      <c r="D131" s="58">
        <v>343</v>
      </c>
      <c r="E131" s="58">
        <v>399</v>
      </c>
      <c r="F131" s="58">
        <v>2212</v>
      </c>
      <c r="G131" s="11" t="s">
        <v>34</v>
      </c>
      <c r="H131" s="63">
        <v>4.5999999999999996</v>
      </c>
      <c r="I131" s="58">
        <v>90</v>
      </c>
      <c r="J131" s="58">
        <v>90</v>
      </c>
      <c r="K131" s="58">
        <v>90</v>
      </c>
      <c r="L131" s="64">
        <v>22.9</v>
      </c>
      <c r="M131" s="64">
        <v>6.8</v>
      </c>
      <c r="N131" s="37">
        <v>2.68</v>
      </c>
      <c r="O131" s="58">
        <v>13</v>
      </c>
      <c r="P131" s="64">
        <v>6.8</v>
      </c>
      <c r="Q131" s="37">
        <v>0.27</v>
      </c>
      <c r="R131" s="36">
        <v>22.36</v>
      </c>
      <c r="S131" s="36">
        <v>0.88</v>
      </c>
      <c r="T131" s="36">
        <v>0.7</v>
      </c>
      <c r="U131" s="42">
        <f t="shared" si="34"/>
        <v>1191.7150000000001</v>
      </c>
      <c r="V131" s="36">
        <f t="shared" si="35"/>
        <v>1689.0223459199999</v>
      </c>
      <c r="W131" s="36">
        <f t="shared" si="36"/>
        <v>1.4173039241093714</v>
      </c>
      <c r="X131" s="58">
        <v>3</v>
      </c>
      <c r="Y131" s="58">
        <v>4</v>
      </c>
      <c r="Z131" s="64">
        <v>6.48</v>
      </c>
      <c r="AA131" s="58">
        <v>21</v>
      </c>
      <c r="AB131" s="64">
        <v>6.7</v>
      </c>
      <c r="AC131" s="64">
        <v>6.5</v>
      </c>
      <c r="AD131" s="11">
        <v>0.28000000000000003</v>
      </c>
      <c r="AE131" s="37">
        <v>0.22</v>
      </c>
      <c r="AF131" s="42">
        <f t="shared" si="37"/>
        <v>1191.7150000000001</v>
      </c>
      <c r="AG131" s="42">
        <f t="shared" si="38"/>
        <v>1896.9424406399999</v>
      </c>
      <c r="AH131" s="42">
        <f t="shared" si="39"/>
        <v>1.5917752488136843</v>
      </c>
      <c r="AI131" s="58">
        <v>3</v>
      </c>
      <c r="AJ131" s="58">
        <v>4</v>
      </c>
      <c r="AK131" s="37">
        <v>6.39</v>
      </c>
      <c r="AL131" s="37">
        <v>24</v>
      </c>
      <c r="AM131" s="64">
        <v>6.6</v>
      </c>
      <c r="AN131" s="64">
        <v>6.7</v>
      </c>
      <c r="AO131" s="37">
        <v>0.23</v>
      </c>
      <c r="AP131" s="69">
        <v>0.38</v>
      </c>
      <c r="AQ131" s="73">
        <f t="shared" si="40"/>
        <v>1993</v>
      </c>
      <c r="AR131" s="75">
        <f t="shared" si="41"/>
        <v>0.62769693928750625</v>
      </c>
      <c r="AS131" s="75">
        <f t="shared" si="42"/>
        <v>0.17210235825388862</v>
      </c>
      <c r="AT131" s="75">
        <f t="shared" si="43"/>
        <v>0.20020070245860511</v>
      </c>
      <c r="AU131" s="26">
        <f t="shared" si="44"/>
        <v>7.5949367088607597E-2</v>
      </c>
      <c r="AV131" s="26">
        <f t="shared" si="45"/>
        <v>8.6799276672694395E-2</v>
      </c>
      <c r="AW131" s="24">
        <f t="shared" si="46"/>
        <v>0.85820895522388063</v>
      </c>
      <c r="AX131" s="24">
        <f t="shared" si="47"/>
        <v>0.91791044776119401</v>
      </c>
      <c r="AY131" s="77" t="str">
        <f t="shared" si="48"/>
        <v>5,0 ≤ Alc. Bruta &lt; 7,5 mg/L</v>
      </c>
      <c r="AZ131" s="77" t="str">
        <f t="shared" si="49"/>
        <v>10 ≤ Cor &lt;15 uC</v>
      </c>
      <c r="BA131" s="78" t="str">
        <f t="shared" si="50"/>
        <v>2,5 ≤ Turb &lt; 5,0 uT</v>
      </c>
      <c r="BB131" s="79" t="str">
        <f t="shared" si="51"/>
        <v>TOR &gt; BNN &gt; SM</v>
      </c>
      <c r="BC131" s="78" t="str">
        <f t="shared" si="52"/>
        <v>Tipo 2 (0,25-0,50) uT</v>
      </c>
      <c r="BD131" s="78" t="str">
        <f t="shared" si="53"/>
        <v>Tipo 1 (≤0,25) uT</v>
      </c>
      <c r="BE131" s="78" t="str">
        <f t="shared" si="54"/>
        <v>Tipo 1 (≤0,25) uT</v>
      </c>
      <c r="BF131" s="78" t="str">
        <f t="shared" si="55"/>
        <v>Tipo 2 (0,25-0,50) uT</v>
      </c>
      <c r="BG131" s="78" t="str">
        <f t="shared" si="56"/>
        <v>Tipo 2 (0,25-0,50) uT</v>
      </c>
    </row>
    <row r="132" spans="1:59" x14ac:dyDescent="0.2">
      <c r="A132" s="21">
        <v>46142</v>
      </c>
      <c r="B132" s="52">
        <v>0.3125</v>
      </c>
      <c r="C132" s="59">
        <v>1326</v>
      </c>
      <c r="D132" s="59">
        <v>386</v>
      </c>
      <c r="E132" s="57">
        <v>400</v>
      </c>
      <c r="F132" s="59">
        <v>2227</v>
      </c>
      <c r="G132" s="9" t="s">
        <v>34</v>
      </c>
      <c r="H132" s="65">
        <v>4.5999999999999996</v>
      </c>
      <c r="I132" s="59">
        <v>90</v>
      </c>
      <c r="J132" s="59">
        <v>90</v>
      </c>
      <c r="K132" s="59">
        <v>90</v>
      </c>
      <c r="L132" s="65">
        <v>22.6</v>
      </c>
      <c r="M132" s="65">
        <v>6.9</v>
      </c>
      <c r="N132" s="38">
        <v>2.66</v>
      </c>
      <c r="O132" s="59">
        <v>12</v>
      </c>
      <c r="P132" s="65">
        <v>5.7</v>
      </c>
      <c r="Q132" s="38">
        <v>0.28000000000000003</v>
      </c>
      <c r="R132" s="36">
        <v>22.36</v>
      </c>
      <c r="S132" s="36">
        <v>0.88</v>
      </c>
      <c r="T132" s="36">
        <v>0.7</v>
      </c>
      <c r="U132" s="42">
        <f t="shared" si="34"/>
        <v>1194.22875</v>
      </c>
      <c r="V132" s="36">
        <f t="shared" si="35"/>
        <v>1536.9687335599997</v>
      </c>
      <c r="W132" s="36">
        <f t="shared" si="36"/>
        <v>1.286996928821216</v>
      </c>
      <c r="X132" s="59">
        <v>3</v>
      </c>
      <c r="Y132" s="59">
        <v>4</v>
      </c>
      <c r="Z132" s="65">
        <v>6.51</v>
      </c>
      <c r="AA132" s="59">
        <v>19</v>
      </c>
      <c r="AB132" s="65">
        <v>6.8</v>
      </c>
      <c r="AC132" s="65">
        <v>5.9</v>
      </c>
      <c r="AD132" s="9">
        <v>0.62</v>
      </c>
      <c r="AE132" s="38">
        <v>0.61</v>
      </c>
      <c r="AF132" s="42">
        <f t="shared" si="37"/>
        <v>1194.22875</v>
      </c>
      <c r="AG132" s="42">
        <f t="shared" si="38"/>
        <v>1807.2436907199999</v>
      </c>
      <c r="AH132" s="42">
        <f t="shared" si="39"/>
        <v>1.5133145058850743</v>
      </c>
      <c r="AI132" s="59">
        <v>3</v>
      </c>
      <c r="AJ132" s="59">
        <v>4</v>
      </c>
      <c r="AK132" s="38">
        <v>6.36</v>
      </c>
      <c r="AL132" s="38">
        <v>23</v>
      </c>
      <c r="AM132" s="65">
        <v>6.9</v>
      </c>
      <c r="AN132" s="65">
        <v>5.5</v>
      </c>
      <c r="AO132" s="38">
        <v>0.37</v>
      </c>
      <c r="AP132" s="70">
        <v>0.36</v>
      </c>
      <c r="AQ132" s="73">
        <f t="shared" si="40"/>
        <v>2112</v>
      </c>
      <c r="AR132" s="75">
        <f t="shared" si="41"/>
        <v>0.62784090909090906</v>
      </c>
      <c r="AS132" s="75">
        <f t="shared" si="42"/>
        <v>0.18276515151515152</v>
      </c>
      <c r="AT132" s="75">
        <f t="shared" si="43"/>
        <v>0.18939393939393939</v>
      </c>
      <c r="AU132" s="26">
        <f t="shared" si="44"/>
        <v>6.8253255500673557E-2</v>
      </c>
      <c r="AV132" s="26">
        <f t="shared" si="45"/>
        <v>8.262236192186799E-2</v>
      </c>
      <c r="AW132" s="24">
        <f t="shared" si="46"/>
        <v>0.86466165413533835</v>
      </c>
      <c r="AX132" s="24">
        <f t="shared" si="47"/>
        <v>0.77067669172932329</v>
      </c>
      <c r="AY132" s="77" t="str">
        <f t="shared" si="48"/>
        <v>5,0 ≤ Alc. Bruta &lt; 7,5 mg/L</v>
      </c>
      <c r="AZ132" s="77" t="str">
        <f t="shared" si="49"/>
        <v>10 ≤ Cor &lt;15 uC</v>
      </c>
      <c r="BA132" s="78" t="str">
        <f t="shared" si="50"/>
        <v>2,5 ≤ Turb &lt; 5,0 uT</v>
      </c>
      <c r="BB132" s="79" t="str">
        <f t="shared" si="51"/>
        <v>TOR &gt; BNN &gt; SM</v>
      </c>
      <c r="BC132" s="78" t="str">
        <f t="shared" si="52"/>
        <v>Tipo 3 (0,50-0,75) uT</v>
      </c>
      <c r="BD132" s="78" t="str">
        <f t="shared" si="53"/>
        <v>Tipo 2 (0,25-0,50) uT</v>
      </c>
      <c r="BE132" s="78" t="str">
        <f t="shared" si="54"/>
        <v>Tipo 3 (0,50-0,75) uT</v>
      </c>
      <c r="BF132" s="78" t="str">
        <f t="shared" si="55"/>
        <v>Tipo 2 (0,25-0,50) uT</v>
      </c>
      <c r="BG132" s="78" t="str">
        <f t="shared" si="56"/>
        <v>Tipo 2 (0,25-0,50) uT</v>
      </c>
    </row>
    <row r="133" spans="1:59" x14ac:dyDescent="0.2">
      <c r="A133" s="21">
        <v>46142</v>
      </c>
      <c r="B133" s="48">
        <v>0.39583333333333331</v>
      </c>
      <c r="C133" s="57">
        <v>1242</v>
      </c>
      <c r="D133" s="57">
        <v>350</v>
      </c>
      <c r="E133" s="57">
        <v>283</v>
      </c>
      <c r="F133" s="57">
        <v>2142</v>
      </c>
      <c r="G133" s="10" t="s">
        <v>34</v>
      </c>
      <c r="H133" s="63">
        <v>4.3</v>
      </c>
      <c r="I133" s="57">
        <v>90</v>
      </c>
      <c r="J133" s="57">
        <v>90</v>
      </c>
      <c r="K133" s="57">
        <v>90</v>
      </c>
      <c r="L133" s="63">
        <v>23.2</v>
      </c>
      <c r="M133" s="63">
        <v>6.9</v>
      </c>
      <c r="N133" s="36">
        <v>2.83</v>
      </c>
      <c r="O133" s="57">
        <v>13</v>
      </c>
      <c r="P133" s="63">
        <v>5.6</v>
      </c>
      <c r="Q133" s="36">
        <v>0.54</v>
      </c>
      <c r="R133" s="36">
        <v>22.36</v>
      </c>
      <c r="S133" s="36">
        <v>0.88</v>
      </c>
      <c r="T133" s="36">
        <v>0.7</v>
      </c>
      <c r="U133" s="42">
        <f t="shared" si="34"/>
        <v>1170.0675000000001</v>
      </c>
      <c r="V133" s="36">
        <f t="shared" si="35"/>
        <v>1528.1630748799998</v>
      </c>
      <c r="W133" s="36">
        <f t="shared" si="36"/>
        <v>1.3060469373604511</v>
      </c>
      <c r="X133" s="57">
        <v>3</v>
      </c>
      <c r="Y133" s="57">
        <v>4</v>
      </c>
      <c r="Z133" s="63">
        <v>6.48</v>
      </c>
      <c r="AA133" s="57">
        <v>19</v>
      </c>
      <c r="AB133" s="63">
        <v>6.8</v>
      </c>
      <c r="AC133" s="63">
        <v>5.6</v>
      </c>
      <c r="AD133" s="10">
        <v>0.19</v>
      </c>
      <c r="AE133" s="36">
        <v>0.88</v>
      </c>
      <c r="AF133" s="42">
        <f t="shared" si="37"/>
        <v>1170.0675000000001</v>
      </c>
      <c r="AG133" s="42">
        <f t="shared" si="38"/>
        <v>1832.1158143599996</v>
      </c>
      <c r="AH133" s="42">
        <f t="shared" si="39"/>
        <v>1.5658206166396378</v>
      </c>
      <c r="AI133" s="57">
        <v>3</v>
      </c>
      <c r="AJ133" s="57">
        <v>4</v>
      </c>
      <c r="AK133" s="36">
        <v>6.43</v>
      </c>
      <c r="AL133" s="36">
        <v>23</v>
      </c>
      <c r="AM133" s="63">
        <v>6.7</v>
      </c>
      <c r="AN133" s="63">
        <v>5.0999999999999996</v>
      </c>
      <c r="AO133" s="36">
        <v>0.41</v>
      </c>
      <c r="AP133" s="68">
        <v>0.59</v>
      </c>
      <c r="AQ133" s="73">
        <f t="shared" si="40"/>
        <v>1875</v>
      </c>
      <c r="AR133" s="75">
        <f t="shared" si="41"/>
        <v>0.66239999999999999</v>
      </c>
      <c r="AS133" s="75">
        <f t="shared" si="42"/>
        <v>0.18666666666666668</v>
      </c>
      <c r="AT133" s="75">
        <f t="shared" si="43"/>
        <v>0.15093333333333334</v>
      </c>
      <c r="AU133" s="26">
        <f t="shared" si="44"/>
        <v>7.0961718020541548E-2</v>
      </c>
      <c r="AV133" s="26">
        <f t="shared" si="45"/>
        <v>8.5901027077497666E-2</v>
      </c>
      <c r="AW133" s="24">
        <f t="shared" si="46"/>
        <v>0.79151943462897534</v>
      </c>
      <c r="AX133" s="24">
        <f t="shared" si="47"/>
        <v>0.68904593639575973</v>
      </c>
      <c r="AY133" s="77" t="str">
        <f t="shared" si="48"/>
        <v>5,0 ≤ Alc. Bruta &lt; 7,5 mg/L</v>
      </c>
      <c r="AZ133" s="77" t="str">
        <f t="shared" si="49"/>
        <v>10 ≤ Cor &lt;15 uC</v>
      </c>
      <c r="BA133" s="78" t="str">
        <f t="shared" si="50"/>
        <v>2,5 ≤ Turb &lt; 5,0 uT</v>
      </c>
      <c r="BB133" s="79" t="str">
        <f t="shared" si="51"/>
        <v>TOR &gt; SM &gt; BNN</v>
      </c>
      <c r="BC133" s="78" t="str">
        <f t="shared" si="52"/>
        <v>Tipo 1 (≤0,25) uT</v>
      </c>
      <c r="BD133" s="78" t="str">
        <f t="shared" si="53"/>
        <v>Tipo 2 (0,25-0,50) uT</v>
      </c>
      <c r="BE133" s="78" t="str">
        <f t="shared" si="54"/>
        <v>Tipo 4 (&gt;0,75) uT</v>
      </c>
      <c r="BF133" s="78" t="str">
        <f t="shared" si="55"/>
        <v>Tipo 3 (0,50-0,75) uT</v>
      </c>
      <c r="BG133" s="78" t="str">
        <f t="shared" si="56"/>
        <v>Tipo 3 (0,50-0,75) uT</v>
      </c>
    </row>
    <row r="134" spans="1:59" x14ac:dyDescent="0.2">
      <c r="A134" s="21">
        <v>46142</v>
      </c>
      <c r="B134" s="48">
        <v>0.47916666666666669</v>
      </c>
      <c r="C134" s="57">
        <v>1326</v>
      </c>
      <c r="D134" s="57">
        <v>370</v>
      </c>
      <c r="E134" s="57">
        <v>283</v>
      </c>
      <c r="F134" s="57">
        <v>2139</v>
      </c>
      <c r="G134" s="10" t="s">
        <v>34</v>
      </c>
      <c r="H134" s="63">
        <v>4.3</v>
      </c>
      <c r="I134" s="57">
        <v>90</v>
      </c>
      <c r="J134" s="57">
        <v>90</v>
      </c>
      <c r="K134" s="57">
        <v>90</v>
      </c>
      <c r="L134" s="63">
        <v>22.4</v>
      </c>
      <c r="M134" s="63">
        <v>6.7</v>
      </c>
      <c r="N134" s="36">
        <v>3.44</v>
      </c>
      <c r="O134" s="57">
        <v>16</v>
      </c>
      <c r="P134" s="63">
        <v>5.4</v>
      </c>
      <c r="Q134" s="36">
        <v>0.5</v>
      </c>
      <c r="R134" s="36">
        <v>22.36</v>
      </c>
      <c r="S134" s="36">
        <v>0.88</v>
      </c>
      <c r="T134" s="36">
        <v>0.7</v>
      </c>
      <c r="U134" s="42">
        <f t="shared" si="34"/>
        <v>1331.5274999999999</v>
      </c>
      <c r="V134" s="36">
        <f t="shared" si="35"/>
        <v>1531.0982944399998</v>
      </c>
      <c r="W134" s="36">
        <f t="shared" si="36"/>
        <v>1.1498810910326673</v>
      </c>
      <c r="X134" s="57">
        <v>3</v>
      </c>
      <c r="Y134" s="57">
        <v>4</v>
      </c>
      <c r="Z134" s="63">
        <v>6.49</v>
      </c>
      <c r="AA134" s="57">
        <v>19</v>
      </c>
      <c r="AB134" s="63">
        <v>6.9</v>
      </c>
      <c r="AC134" s="63">
        <v>5.5</v>
      </c>
      <c r="AD134" s="10">
        <v>0.54</v>
      </c>
      <c r="AE134" s="36">
        <v>0.88</v>
      </c>
      <c r="AF134" s="42">
        <f t="shared" si="37"/>
        <v>1331.5274999999999</v>
      </c>
      <c r="AG134" s="42">
        <f t="shared" si="38"/>
        <v>1825.0094933200003</v>
      </c>
      <c r="AH134" s="42">
        <f t="shared" si="39"/>
        <v>1.3706134445739953</v>
      </c>
      <c r="AI134" s="57">
        <v>3</v>
      </c>
      <c r="AJ134" s="57">
        <v>4</v>
      </c>
      <c r="AK134" s="36">
        <v>6.41</v>
      </c>
      <c r="AL134" s="36">
        <v>23</v>
      </c>
      <c r="AM134" s="63">
        <v>6.7</v>
      </c>
      <c r="AN134" s="63">
        <v>5.0999999999999996</v>
      </c>
      <c r="AO134" s="36">
        <v>0.28000000000000003</v>
      </c>
      <c r="AP134" s="68">
        <v>0.3</v>
      </c>
      <c r="AQ134" s="73">
        <f t="shared" si="40"/>
        <v>1979</v>
      </c>
      <c r="AR134" s="75">
        <f t="shared" si="41"/>
        <v>0.67003537139969682</v>
      </c>
      <c r="AS134" s="75">
        <f t="shared" si="42"/>
        <v>0.18696311268317331</v>
      </c>
      <c r="AT134" s="75">
        <f t="shared" si="43"/>
        <v>0.14300151591712987</v>
      </c>
      <c r="AU134" s="26">
        <f t="shared" si="44"/>
        <v>7.1061243571762508E-2</v>
      </c>
      <c r="AV134" s="26">
        <f t="shared" si="45"/>
        <v>8.6021505376344093E-2</v>
      </c>
      <c r="AW134" s="24">
        <f t="shared" si="46"/>
        <v>0.91279069767441856</v>
      </c>
      <c r="AX134" s="24">
        <f t="shared" si="47"/>
        <v>0.7441860465116279</v>
      </c>
      <c r="AY134" s="77" t="str">
        <f t="shared" si="48"/>
        <v>5,0 ≤ Alc. Bruta &lt; 7,5 mg/L</v>
      </c>
      <c r="AZ134" s="77" t="str">
        <f t="shared" si="49"/>
        <v>15 ≤ Cor &lt; 30 uC</v>
      </c>
      <c r="BA134" s="78" t="str">
        <f t="shared" si="50"/>
        <v>2,5 ≤ Turb &lt; 5,0 uT</v>
      </c>
      <c r="BB134" s="79" t="str">
        <f t="shared" si="51"/>
        <v>TOR &gt; SM &gt; BNN</v>
      </c>
      <c r="BC134" s="78" t="str">
        <f t="shared" si="52"/>
        <v>Tipo 3 (0,50-0,75) uT</v>
      </c>
      <c r="BD134" s="78" t="str">
        <f t="shared" si="53"/>
        <v>Tipo 2 (0,25-0,50) uT</v>
      </c>
      <c r="BE134" s="78" t="str">
        <f t="shared" si="54"/>
        <v>Tipo 4 (&gt;0,75) uT</v>
      </c>
      <c r="BF134" s="78" t="str">
        <f t="shared" si="55"/>
        <v>Tipo 2 (0,25-0,50) uT</v>
      </c>
      <c r="BG134" s="78" t="str">
        <f t="shared" si="56"/>
        <v>Tipo 2 (0,25-0,50) uT</v>
      </c>
    </row>
    <row r="135" spans="1:59" x14ac:dyDescent="0.2">
      <c r="A135" s="21">
        <v>46142</v>
      </c>
      <c r="B135" s="48">
        <v>0.5625</v>
      </c>
      <c r="C135" s="57">
        <v>1241</v>
      </c>
      <c r="D135" s="57">
        <v>274</v>
      </c>
      <c r="E135" s="57">
        <v>282</v>
      </c>
      <c r="F135" s="57">
        <v>2143</v>
      </c>
      <c r="G135" s="10" t="s">
        <v>34</v>
      </c>
      <c r="H135" s="63">
        <v>4.3</v>
      </c>
      <c r="I135" s="57">
        <v>90</v>
      </c>
      <c r="J135" s="57">
        <v>90</v>
      </c>
      <c r="K135" s="57">
        <v>90</v>
      </c>
      <c r="L135" s="63">
        <v>24.9</v>
      </c>
      <c r="M135" s="63">
        <v>7.1</v>
      </c>
      <c r="N135" s="36">
        <v>2.78</v>
      </c>
      <c r="O135" s="57">
        <v>15</v>
      </c>
      <c r="P135" s="63">
        <v>5.6</v>
      </c>
      <c r="Q135" s="36">
        <v>2.2000000000000002</v>
      </c>
      <c r="R135" s="36">
        <v>22.36</v>
      </c>
      <c r="S135" s="36">
        <v>0.88</v>
      </c>
      <c r="T135" s="36">
        <v>0.7</v>
      </c>
      <c r="U135" s="42">
        <f t="shared" si="34"/>
        <v>1157.2199999999998</v>
      </c>
      <c r="V135" s="36">
        <f t="shared" si="35"/>
        <v>1528.1630748799998</v>
      </c>
      <c r="W135" s="36">
        <f t="shared" si="36"/>
        <v>1.3205467196211611</v>
      </c>
      <c r="X135" s="57">
        <v>3</v>
      </c>
      <c r="Y135" s="57">
        <v>4</v>
      </c>
      <c r="Z135" s="63">
        <v>6.48</v>
      </c>
      <c r="AA135" s="57">
        <v>19</v>
      </c>
      <c r="AB135" s="63">
        <v>7</v>
      </c>
      <c r="AC135" s="63">
        <v>5.4</v>
      </c>
      <c r="AD135" s="10">
        <v>0.94</v>
      </c>
      <c r="AE135" s="36">
        <v>2.54</v>
      </c>
      <c r="AF135" s="42">
        <f t="shared" si="37"/>
        <v>1157.2199999999998</v>
      </c>
      <c r="AG135" s="42">
        <f t="shared" si="38"/>
        <v>1825.0094933200003</v>
      </c>
      <c r="AH135" s="42">
        <f t="shared" si="39"/>
        <v>1.5770635603601739</v>
      </c>
      <c r="AI135" s="57">
        <v>3</v>
      </c>
      <c r="AJ135" s="57">
        <v>4</v>
      </c>
      <c r="AK135" s="36">
        <v>6.41</v>
      </c>
      <c r="AL135" s="36">
        <v>23</v>
      </c>
      <c r="AM135" s="63">
        <v>6.9</v>
      </c>
      <c r="AN135" s="63">
        <v>5.3</v>
      </c>
      <c r="AO135" s="36">
        <v>0.43</v>
      </c>
      <c r="AP135" s="68">
        <v>1.61</v>
      </c>
      <c r="AQ135" s="73">
        <f t="shared" si="40"/>
        <v>1797</v>
      </c>
      <c r="AR135" s="75">
        <f t="shared" si="41"/>
        <v>0.69059543683917646</v>
      </c>
      <c r="AS135" s="75">
        <f t="shared" si="42"/>
        <v>0.15247634947134112</v>
      </c>
      <c r="AT135" s="75">
        <f t="shared" si="43"/>
        <v>0.15692821368948248</v>
      </c>
      <c r="AU135" s="26">
        <f t="shared" si="44"/>
        <v>7.0928604759682684E-2</v>
      </c>
      <c r="AV135" s="26">
        <f t="shared" si="45"/>
        <v>8.5860942603826415E-2</v>
      </c>
      <c r="AW135" s="24">
        <f t="shared" si="46"/>
        <v>0.42086330935251792</v>
      </c>
      <c r="AX135" s="24">
        <f t="shared" si="47"/>
        <v>8.6330935251798468E-2</v>
      </c>
      <c r="AY135" s="77" t="str">
        <f t="shared" si="48"/>
        <v>5,0 ≤ Alc. Bruta &lt; 7,5 mg/L</v>
      </c>
      <c r="AZ135" s="77" t="str">
        <f t="shared" si="49"/>
        <v>15 ≤ Cor &lt; 30 uC</v>
      </c>
      <c r="BA135" s="78" t="str">
        <f t="shared" si="50"/>
        <v>2,5 ≤ Turb &lt; 5,0 uT</v>
      </c>
      <c r="BB135" s="79" t="str">
        <f t="shared" si="51"/>
        <v>TOR &gt; BNN &gt; SM</v>
      </c>
      <c r="BC135" s="78" t="str">
        <f t="shared" si="52"/>
        <v>Tipo 4 (&gt;0,75) uT</v>
      </c>
      <c r="BD135" s="78" t="str">
        <f t="shared" si="53"/>
        <v>Tipo 2 (0,25-0,50) uT</v>
      </c>
      <c r="BE135" s="78" t="str">
        <f t="shared" si="54"/>
        <v>Tipo 4 (&gt;0,75) uT</v>
      </c>
      <c r="BF135" s="78" t="str">
        <f t="shared" si="55"/>
        <v>Tipo 4 (&gt;0,75) uT</v>
      </c>
      <c r="BG135" s="78" t="str">
        <f t="shared" si="56"/>
        <v>Tipo 4 (&gt;0,75) uT</v>
      </c>
    </row>
    <row r="136" spans="1:59" x14ac:dyDescent="0.2">
      <c r="A136" s="21">
        <v>46142</v>
      </c>
      <c r="B136" s="48">
        <v>0.64583333333333337</v>
      </c>
      <c r="C136" s="57">
        <v>1295</v>
      </c>
      <c r="D136" s="57">
        <v>399</v>
      </c>
      <c r="E136" s="57">
        <v>281</v>
      </c>
      <c r="F136" s="57">
        <v>2130</v>
      </c>
      <c r="G136" s="10" t="s">
        <v>34</v>
      </c>
      <c r="H136" s="63">
        <v>4.5999999999999996</v>
      </c>
      <c r="I136" s="57">
        <v>90</v>
      </c>
      <c r="J136" s="57">
        <v>90</v>
      </c>
      <c r="K136" s="57">
        <v>90</v>
      </c>
      <c r="L136" s="63">
        <v>25.3</v>
      </c>
      <c r="M136" s="63">
        <v>7</v>
      </c>
      <c r="N136" s="36">
        <v>3.22</v>
      </c>
      <c r="O136" s="57">
        <v>13</v>
      </c>
      <c r="P136" s="63">
        <v>5.7</v>
      </c>
      <c r="Q136" s="36">
        <v>1.69</v>
      </c>
      <c r="R136" s="36">
        <v>22.36</v>
      </c>
      <c r="S136" s="36">
        <v>0.88</v>
      </c>
      <c r="T136" s="36">
        <v>0.7</v>
      </c>
      <c r="U136" s="42">
        <f t="shared" si="34"/>
        <v>1291.3125</v>
      </c>
      <c r="V136" s="36">
        <f t="shared" si="35"/>
        <v>1528.1630748799998</v>
      </c>
      <c r="W136" s="36">
        <f t="shared" si="36"/>
        <v>1.1834184791675135</v>
      </c>
      <c r="X136" s="57">
        <v>3</v>
      </c>
      <c r="Y136" s="57">
        <v>4</v>
      </c>
      <c r="Z136" s="63">
        <v>6.48</v>
      </c>
      <c r="AA136" s="57">
        <v>19</v>
      </c>
      <c r="AB136" s="63">
        <v>7</v>
      </c>
      <c r="AC136" s="63">
        <v>4.9000000000000004</v>
      </c>
      <c r="AD136" s="10">
        <v>2.73</v>
      </c>
      <c r="AE136" s="36">
        <v>2.5499999999999998</v>
      </c>
      <c r="AF136" s="42">
        <f t="shared" si="37"/>
        <v>1291.3125</v>
      </c>
      <c r="AG136" s="42">
        <f t="shared" si="38"/>
        <v>1828.5626538399999</v>
      </c>
      <c r="AH136" s="42">
        <f t="shared" si="39"/>
        <v>1.4160496811112724</v>
      </c>
      <c r="AI136" s="57">
        <v>3</v>
      </c>
      <c r="AJ136" s="57">
        <v>4</v>
      </c>
      <c r="AK136" s="36">
        <v>6.42</v>
      </c>
      <c r="AL136" s="36">
        <v>23</v>
      </c>
      <c r="AM136" s="63">
        <v>6.9</v>
      </c>
      <c r="AN136" s="63">
        <v>5</v>
      </c>
      <c r="AO136" s="36">
        <v>0.45</v>
      </c>
      <c r="AP136" s="68">
        <v>1.41</v>
      </c>
      <c r="AQ136" s="73">
        <f t="shared" si="40"/>
        <v>1975</v>
      </c>
      <c r="AR136" s="75">
        <f t="shared" si="41"/>
        <v>0.65569620253164562</v>
      </c>
      <c r="AS136" s="75">
        <f t="shared" si="42"/>
        <v>0.20202531645569621</v>
      </c>
      <c r="AT136" s="75">
        <f t="shared" si="43"/>
        <v>0.14227848101265822</v>
      </c>
      <c r="AU136" s="26">
        <f t="shared" si="44"/>
        <v>7.1361502347417838E-2</v>
      </c>
      <c r="AV136" s="26">
        <f t="shared" si="45"/>
        <v>8.6384976525821597E-2</v>
      </c>
      <c r="AW136" s="24">
        <f t="shared" si="46"/>
        <v>0.56211180124223614</v>
      </c>
      <c r="AX136" s="24">
        <f t="shared" si="47"/>
        <v>0.2080745341614908</v>
      </c>
      <c r="AY136" s="77" t="str">
        <f t="shared" si="48"/>
        <v>5,0 ≤ Alc. Bruta &lt; 7,5 mg/L</v>
      </c>
      <c r="AZ136" s="77" t="str">
        <f t="shared" si="49"/>
        <v>10 ≤ Cor &lt;15 uC</v>
      </c>
      <c r="BA136" s="78" t="str">
        <f t="shared" si="50"/>
        <v>2,5 ≤ Turb &lt; 5,0 uT</v>
      </c>
      <c r="BB136" s="79" t="str">
        <f t="shared" si="51"/>
        <v>TOR &gt; SM &gt; BNN</v>
      </c>
      <c r="BC136" s="78" t="str">
        <f t="shared" si="52"/>
        <v>Tipo 4 (&gt;0,75) uT</v>
      </c>
      <c r="BD136" s="78" t="str">
        <f t="shared" si="53"/>
        <v>Tipo 2 (0,25-0,50) uT</v>
      </c>
      <c r="BE136" s="78" t="str">
        <f t="shared" si="54"/>
        <v>Tipo 4 (&gt;0,75) uT</v>
      </c>
      <c r="BF136" s="78" t="str">
        <f t="shared" si="55"/>
        <v>Tipo 4 (&gt;0,75) uT</v>
      </c>
      <c r="BG136" s="78" t="str">
        <f t="shared" si="56"/>
        <v>Tipo 4 (&gt;0,75) uT</v>
      </c>
    </row>
    <row r="137" spans="1:59" x14ac:dyDescent="0.2">
      <c r="A137" s="21">
        <v>46142</v>
      </c>
      <c r="B137" s="48">
        <v>0.72916666666666663</v>
      </c>
      <c r="C137" s="57">
        <v>1152</v>
      </c>
      <c r="D137" s="57">
        <v>432</v>
      </c>
      <c r="E137" s="57">
        <v>293</v>
      </c>
      <c r="F137" s="57">
        <v>2151</v>
      </c>
      <c r="G137" s="10" t="s">
        <v>34</v>
      </c>
      <c r="H137" s="63">
        <v>4.5999999999999996</v>
      </c>
      <c r="I137" s="57">
        <v>90</v>
      </c>
      <c r="J137" s="57">
        <v>90</v>
      </c>
      <c r="K137" s="57">
        <v>90</v>
      </c>
      <c r="L137" s="63">
        <v>24.7</v>
      </c>
      <c r="M137" s="63">
        <v>6.9</v>
      </c>
      <c r="N137" s="36">
        <v>4.74</v>
      </c>
      <c r="O137" s="57">
        <v>13</v>
      </c>
      <c r="P137" s="63">
        <v>5.5</v>
      </c>
      <c r="Q137" s="36">
        <v>0.99</v>
      </c>
      <c r="R137" s="36">
        <v>22.36</v>
      </c>
      <c r="S137" s="36">
        <v>0.88</v>
      </c>
      <c r="T137" s="36">
        <v>0.7</v>
      </c>
      <c r="U137" s="42">
        <f t="shared" si="34"/>
        <v>1712.7337500000001</v>
      </c>
      <c r="V137" s="36">
        <f t="shared" si="35"/>
        <v>1531.0982944399998</v>
      </c>
      <c r="W137" s="36">
        <f t="shared" si="36"/>
        <v>0.89394997584417291</v>
      </c>
      <c r="X137" s="57">
        <v>3</v>
      </c>
      <c r="Y137" s="57">
        <v>4</v>
      </c>
      <c r="Z137" s="63">
        <v>6.49</v>
      </c>
      <c r="AA137" s="57">
        <v>19</v>
      </c>
      <c r="AB137" s="63">
        <v>6.9</v>
      </c>
      <c r="AC137" s="63">
        <v>4.9000000000000004</v>
      </c>
      <c r="AD137" s="10">
        <v>0.56999999999999995</v>
      </c>
      <c r="AE137" s="36">
        <v>1.25</v>
      </c>
      <c r="AF137" s="42">
        <f t="shared" si="37"/>
        <v>1712.7337500000001</v>
      </c>
      <c r="AG137" s="42">
        <f t="shared" si="38"/>
        <v>1825.0094933200003</v>
      </c>
      <c r="AH137" s="42">
        <f t="shared" si="39"/>
        <v>1.065553530033492</v>
      </c>
      <c r="AI137" s="57">
        <v>3</v>
      </c>
      <c r="AJ137" s="57">
        <v>4</v>
      </c>
      <c r="AK137" s="36">
        <v>6.41</v>
      </c>
      <c r="AL137" s="36">
        <v>23</v>
      </c>
      <c r="AM137" s="63">
        <v>7</v>
      </c>
      <c r="AN137" s="63">
        <v>5.2</v>
      </c>
      <c r="AO137" s="36">
        <v>0.71</v>
      </c>
      <c r="AP137" s="68">
        <v>0.83</v>
      </c>
      <c r="AQ137" s="73">
        <f t="shared" si="40"/>
        <v>1877</v>
      </c>
      <c r="AR137" s="75">
        <f t="shared" si="41"/>
        <v>0.61374533830580713</v>
      </c>
      <c r="AS137" s="75">
        <f t="shared" si="42"/>
        <v>0.23015450186467767</v>
      </c>
      <c r="AT137" s="75">
        <f t="shared" si="43"/>
        <v>0.15610015982951519</v>
      </c>
      <c r="AU137" s="26">
        <f t="shared" si="44"/>
        <v>7.0664807066480706E-2</v>
      </c>
      <c r="AV137" s="26">
        <f t="shared" si="45"/>
        <v>8.5541608554160861E-2</v>
      </c>
      <c r="AW137" s="24">
        <f t="shared" si="46"/>
        <v>0.82489451476793252</v>
      </c>
      <c r="AX137" s="24">
        <f t="shared" si="47"/>
        <v>0.73628691983122363</v>
      </c>
      <c r="AY137" s="77" t="str">
        <f t="shared" si="48"/>
        <v>5,0 ≤ Alc. Bruta &lt; 7,5 mg/L</v>
      </c>
      <c r="AZ137" s="77" t="str">
        <f t="shared" si="49"/>
        <v>10 ≤ Cor &lt;15 uC</v>
      </c>
      <c r="BA137" s="78" t="str">
        <f t="shared" si="50"/>
        <v>2,5 ≤ Turb &lt; 5,0 uT</v>
      </c>
      <c r="BB137" s="79" t="str">
        <f t="shared" si="51"/>
        <v>TOR &gt; SM &gt; BNN</v>
      </c>
      <c r="BC137" s="78" t="str">
        <f t="shared" si="52"/>
        <v>Tipo 3 (0,50-0,75) uT</v>
      </c>
      <c r="BD137" s="78" t="str">
        <f t="shared" si="53"/>
        <v>Tipo 3 (0,50-0,75) uT</v>
      </c>
      <c r="BE137" s="78" t="str">
        <f t="shared" si="54"/>
        <v>Tipo 4 (&gt;0,75) uT</v>
      </c>
      <c r="BF137" s="78" t="str">
        <f t="shared" si="55"/>
        <v>Tipo 4 (&gt;0,75) uT</v>
      </c>
      <c r="BG137" s="78" t="str">
        <f t="shared" si="56"/>
        <v>Tipo 4 (&gt;0,75) uT</v>
      </c>
    </row>
    <row r="138" spans="1:59" x14ac:dyDescent="0.2">
      <c r="A138" s="21">
        <v>46142</v>
      </c>
      <c r="B138" s="48">
        <v>0.8125</v>
      </c>
      <c r="C138" s="57">
        <v>1260</v>
      </c>
      <c r="D138" s="57">
        <v>486</v>
      </c>
      <c r="E138" s="57">
        <v>293</v>
      </c>
      <c r="F138" s="57">
        <v>2148</v>
      </c>
      <c r="G138" s="10" t="s">
        <v>34</v>
      </c>
      <c r="H138" s="63">
        <v>4.5999999999999996</v>
      </c>
      <c r="I138" s="57">
        <v>90</v>
      </c>
      <c r="J138" s="57">
        <v>90</v>
      </c>
      <c r="K138" s="57">
        <v>90</v>
      </c>
      <c r="L138" s="63">
        <v>24.6</v>
      </c>
      <c r="M138" s="63">
        <v>6.9</v>
      </c>
      <c r="N138" s="36">
        <v>2.88</v>
      </c>
      <c r="O138" s="57">
        <v>16</v>
      </c>
      <c r="P138" s="63">
        <v>5.9</v>
      </c>
      <c r="Q138" s="36">
        <v>1.79</v>
      </c>
      <c r="R138" s="36">
        <v>22.36</v>
      </c>
      <c r="S138" s="36">
        <v>0.88</v>
      </c>
      <c r="T138" s="36">
        <v>0.7</v>
      </c>
      <c r="U138" s="42">
        <f t="shared" si="34"/>
        <v>1210.9349999999999</v>
      </c>
      <c r="V138" s="36">
        <f t="shared" si="35"/>
        <v>1611.6824151999999</v>
      </c>
      <c r="W138" s="36">
        <f t="shared" si="36"/>
        <v>1.3309404841713222</v>
      </c>
      <c r="X138" s="57">
        <v>3</v>
      </c>
      <c r="Y138" s="57">
        <v>4</v>
      </c>
      <c r="Z138" s="63">
        <v>6.49</v>
      </c>
      <c r="AA138" s="57">
        <v>20</v>
      </c>
      <c r="AB138" s="63">
        <v>6.7</v>
      </c>
      <c r="AC138" s="63">
        <v>5.5</v>
      </c>
      <c r="AD138" s="10">
        <v>0.56999999999999995</v>
      </c>
      <c r="AE138" s="36">
        <v>0.98</v>
      </c>
      <c r="AF138" s="42">
        <f t="shared" si="37"/>
        <v>1210.9349999999999</v>
      </c>
      <c r="AG138" s="42">
        <f t="shared" si="38"/>
        <v>1832.1158143599996</v>
      </c>
      <c r="AH138" s="42">
        <f t="shared" si="39"/>
        <v>1.5129761831642488</v>
      </c>
      <c r="AI138" s="57">
        <v>3</v>
      </c>
      <c r="AJ138" s="57">
        <v>4</v>
      </c>
      <c r="AK138" s="36">
        <v>6.43</v>
      </c>
      <c r="AL138" s="36">
        <v>23</v>
      </c>
      <c r="AM138" s="63">
        <v>6.7</v>
      </c>
      <c r="AN138" s="63">
        <v>6.7</v>
      </c>
      <c r="AO138" s="36">
        <v>0.43</v>
      </c>
      <c r="AP138" s="68">
        <v>0.47</v>
      </c>
      <c r="AQ138" s="73">
        <f t="shared" si="40"/>
        <v>2039</v>
      </c>
      <c r="AR138" s="75">
        <f t="shared" si="41"/>
        <v>0.61794997547817554</v>
      </c>
      <c r="AS138" s="75">
        <f t="shared" si="42"/>
        <v>0.23835213339872485</v>
      </c>
      <c r="AT138" s="75">
        <f t="shared" si="43"/>
        <v>0.14369789112309955</v>
      </c>
      <c r="AU138" s="26">
        <f t="shared" si="44"/>
        <v>7.4487895716946001E-2</v>
      </c>
      <c r="AV138" s="26">
        <f t="shared" si="45"/>
        <v>8.5661080074487903E-2</v>
      </c>
      <c r="AW138" s="24">
        <f t="shared" si="46"/>
        <v>0.83680555555555558</v>
      </c>
      <c r="AX138" s="24">
        <f t="shared" si="47"/>
        <v>0.65972222222222221</v>
      </c>
      <c r="AY138" s="77" t="str">
        <f t="shared" si="48"/>
        <v>5,0 ≤ Alc. Bruta &lt; 7,5 mg/L</v>
      </c>
      <c r="AZ138" s="77" t="str">
        <f t="shared" si="49"/>
        <v>15 ≤ Cor &lt; 30 uC</v>
      </c>
      <c r="BA138" s="78" t="str">
        <f t="shared" si="50"/>
        <v>2,5 ≤ Turb &lt; 5,0 uT</v>
      </c>
      <c r="BB138" s="79" t="str">
        <f t="shared" si="51"/>
        <v>TOR &gt; SM &gt; BNN</v>
      </c>
      <c r="BC138" s="78" t="str">
        <f t="shared" si="52"/>
        <v>Tipo 3 (0,50-0,75) uT</v>
      </c>
      <c r="BD138" s="78" t="str">
        <f t="shared" si="53"/>
        <v>Tipo 2 (0,25-0,50) uT</v>
      </c>
      <c r="BE138" s="78" t="str">
        <f t="shared" si="54"/>
        <v>Tipo 4 (&gt;0,75) uT</v>
      </c>
      <c r="BF138" s="78" t="str">
        <f t="shared" si="55"/>
        <v>Tipo 2 (0,25-0,50) uT</v>
      </c>
      <c r="BG138" s="78" t="str">
        <f t="shared" si="56"/>
        <v>Tipo 4 (&gt;0,75) uT</v>
      </c>
    </row>
    <row r="139" spans="1:59" x14ac:dyDescent="0.2">
      <c r="A139" s="21">
        <v>46142</v>
      </c>
      <c r="B139" s="48">
        <v>0.89583333333333337</v>
      </c>
      <c r="C139" s="57">
        <v>1102</v>
      </c>
      <c r="D139" s="57">
        <v>660</v>
      </c>
      <c r="E139" s="57">
        <v>450</v>
      </c>
      <c r="F139" s="57">
        <v>2231</v>
      </c>
      <c r="G139" s="10" t="s">
        <v>34</v>
      </c>
      <c r="H139" s="63">
        <v>4.5999999999999996</v>
      </c>
      <c r="I139" s="57">
        <v>90</v>
      </c>
      <c r="J139" s="57">
        <v>90</v>
      </c>
      <c r="K139" s="57">
        <v>90</v>
      </c>
      <c r="L139" s="63">
        <v>24.2</v>
      </c>
      <c r="M139" s="63">
        <v>7</v>
      </c>
      <c r="N139" s="36">
        <v>2.74</v>
      </c>
      <c r="O139" s="57">
        <v>13</v>
      </c>
      <c r="P139" s="63">
        <v>6.1</v>
      </c>
      <c r="Q139" s="36">
        <v>1.98</v>
      </c>
      <c r="R139" s="36">
        <v>22.36</v>
      </c>
      <c r="S139" s="36">
        <v>0.88</v>
      </c>
      <c r="T139" s="36">
        <v>0.7</v>
      </c>
      <c r="U139" s="42">
        <f t="shared" si="34"/>
        <v>1218.6837499999999</v>
      </c>
      <c r="V139" s="36">
        <f t="shared" si="35"/>
        <v>1611.6824151999999</v>
      </c>
      <c r="W139" s="36">
        <f t="shared" si="36"/>
        <v>1.322477972812881</v>
      </c>
      <c r="X139" s="57">
        <v>3</v>
      </c>
      <c r="Y139" s="57">
        <v>4</v>
      </c>
      <c r="Z139" s="63">
        <v>6.49</v>
      </c>
      <c r="AA139" s="57">
        <v>20</v>
      </c>
      <c r="AB139" s="63">
        <v>6.9</v>
      </c>
      <c r="AC139" s="63">
        <v>7</v>
      </c>
      <c r="AD139" s="10">
        <v>0.49</v>
      </c>
      <c r="AE139" s="36">
        <v>1.1299999999999999</v>
      </c>
      <c r="AF139" s="42">
        <f t="shared" si="37"/>
        <v>1218.6837499999999</v>
      </c>
      <c r="AG139" s="42">
        <f t="shared" si="38"/>
        <v>2256.3553812799996</v>
      </c>
      <c r="AH139" s="42">
        <f t="shared" si="39"/>
        <v>1.8514691619380335</v>
      </c>
      <c r="AI139" s="57">
        <v>3</v>
      </c>
      <c r="AJ139" s="57">
        <v>4</v>
      </c>
      <c r="AK139" s="36">
        <v>6.49</v>
      </c>
      <c r="AL139" s="36">
        <v>28</v>
      </c>
      <c r="AM139" s="63">
        <v>6.9</v>
      </c>
      <c r="AN139" s="63">
        <v>8.1</v>
      </c>
      <c r="AO139" s="36">
        <v>0.42</v>
      </c>
      <c r="AP139" s="68">
        <v>1.0900000000000001</v>
      </c>
      <c r="AQ139" s="73">
        <f t="shared" si="40"/>
        <v>2212</v>
      </c>
      <c r="AR139" s="75">
        <f t="shared" si="41"/>
        <v>0.49819168173598555</v>
      </c>
      <c r="AS139" s="75">
        <f t="shared" si="42"/>
        <v>0.29837251356238698</v>
      </c>
      <c r="AT139" s="75">
        <f t="shared" si="43"/>
        <v>0.20343580470162748</v>
      </c>
      <c r="AU139" s="26">
        <f t="shared" si="44"/>
        <v>7.1716718960107576E-2</v>
      </c>
      <c r="AV139" s="26">
        <f t="shared" si="45"/>
        <v>0.1004034065441506</v>
      </c>
      <c r="AW139" s="24">
        <f t="shared" si="46"/>
        <v>0.6021897810218978</v>
      </c>
      <c r="AX139" s="24">
        <f t="shared" si="47"/>
        <v>0.58759124087591252</v>
      </c>
      <c r="AY139" s="77" t="str">
        <f t="shared" si="48"/>
        <v>5,0 ≤ Alc. Bruta &lt; 7,5 mg/L</v>
      </c>
      <c r="AZ139" s="77" t="str">
        <f t="shared" si="49"/>
        <v>10 ≤ Cor &lt;15 uC</v>
      </c>
      <c r="BA139" s="78" t="str">
        <f t="shared" si="50"/>
        <v>2,5 ≤ Turb &lt; 5,0 uT</v>
      </c>
      <c r="BB139" s="79" t="str">
        <f t="shared" si="51"/>
        <v>TOR &gt; SM &gt; BNN</v>
      </c>
      <c r="BC139" s="78" t="str">
        <f t="shared" si="52"/>
        <v>Tipo 2 (0,25-0,50) uT</v>
      </c>
      <c r="BD139" s="78" t="str">
        <f t="shared" si="53"/>
        <v>Tipo 2 (0,25-0,50) uT</v>
      </c>
      <c r="BE139" s="78" t="str">
        <f t="shared" si="54"/>
        <v>Tipo 4 (&gt;0,75) uT</v>
      </c>
      <c r="BF139" s="78" t="str">
        <f t="shared" si="55"/>
        <v>Tipo 4 (&gt;0,75) uT</v>
      </c>
      <c r="BG139" s="78" t="str">
        <f t="shared" si="56"/>
        <v>Tipo 4 (&gt;0,75) uT</v>
      </c>
    </row>
    <row r="140" spans="1:59" x14ac:dyDescent="0.2">
      <c r="A140" s="21">
        <v>46143</v>
      </c>
      <c r="B140" s="48">
        <v>6.25E-2</v>
      </c>
      <c r="C140" s="57">
        <v>1060</v>
      </c>
      <c r="D140" s="57">
        <v>646</v>
      </c>
      <c r="E140" s="57">
        <v>450</v>
      </c>
      <c r="F140" s="57">
        <v>2221</v>
      </c>
      <c r="G140" s="10" t="s">
        <v>34</v>
      </c>
      <c r="H140" s="63">
        <v>4</v>
      </c>
      <c r="I140" s="57">
        <v>90</v>
      </c>
      <c r="J140" s="57">
        <v>90</v>
      </c>
      <c r="K140" s="57">
        <v>90</v>
      </c>
      <c r="L140" s="63">
        <v>24.1</v>
      </c>
      <c r="M140" s="63">
        <v>6.7</v>
      </c>
      <c r="N140" s="36">
        <v>2.17</v>
      </c>
      <c r="O140" s="57">
        <v>17</v>
      </c>
      <c r="P140" s="63">
        <v>6.1</v>
      </c>
      <c r="Q140" s="36">
        <v>1.75</v>
      </c>
      <c r="R140" s="36">
        <v>22.36</v>
      </c>
      <c r="S140" s="36">
        <v>0.88</v>
      </c>
      <c r="T140" s="36">
        <v>0.7</v>
      </c>
      <c r="U140" s="42">
        <f t="shared" si="34"/>
        <v>1005.0025000000001</v>
      </c>
      <c r="V140" s="36">
        <f t="shared" si="35"/>
        <v>1614.7721200000001</v>
      </c>
      <c r="W140" s="36">
        <f t="shared" si="36"/>
        <v>1.606734431008878</v>
      </c>
      <c r="X140" s="57">
        <v>3</v>
      </c>
      <c r="Y140" s="57">
        <v>4</v>
      </c>
      <c r="Z140" s="63">
        <v>6.5</v>
      </c>
      <c r="AA140" s="57">
        <v>20</v>
      </c>
      <c r="AB140" s="63">
        <v>6.6</v>
      </c>
      <c r="AC140" s="63">
        <v>6.2</v>
      </c>
      <c r="AD140" s="10">
        <v>2.2599999999999998</v>
      </c>
      <c r="AE140" s="36">
        <v>2.0499999999999998</v>
      </c>
      <c r="AF140" s="42">
        <f t="shared" si="37"/>
        <v>1005.0025000000001</v>
      </c>
      <c r="AG140" s="42">
        <f t="shared" si="38"/>
        <v>1853.4347774799999</v>
      </c>
      <c r="AH140" s="42">
        <f t="shared" si="39"/>
        <v>1.8442091213504441</v>
      </c>
      <c r="AI140" s="57">
        <v>3</v>
      </c>
      <c r="AJ140" s="57">
        <v>4</v>
      </c>
      <c r="AK140" s="36">
        <v>6.49</v>
      </c>
      <c r="AL140" s="36">
        <v>23</v>
      </c>
      <c r="AM140" s="63">
        <v>6.5</v>
      </c>
      <c r="AN140" s="63">
        <v>6.2</v>
      </c>
      <c r="AO140" s="36">
        <v>0.23</v>
      </c>
      <c r="AP140" s="68">
        <v>1.38</v>
      </c>
      <c r="AQ140" s="73">
        <f t="shared" si="40"/>
        <v>2156</v>
      </c>
      <c r="AR140" s="75">
        <f t="shared" si="41"/>
        <v>0.49165120593692024</v>
      </c>
      <c r="AS140" s="75">
        <f t="shared" si="42"/>
        <v>0.29962894248608535</v>
      </c>
      <c r="AT140" s="75">
        <f t="shared" si="43"/>
        <v>0.20871985157699444</v>
      </c>
      <c r="AU140" s="26">
        <f t="shared" si="44"/>
        <v>7.2039621791985586E-2</v>
      </c>
      <c r="AV140" s="26">
        <f t="shared" si="45"/>
        <v>8.284556506078343E-2</v>
      </c>
      <c r="AW140" s="24">
        <f t="shared" si="46"/>
        <v>0.36405529953917048</v>
      </c>
      <c r="AX140" s="24">
        <f t="shared" si="47"/>
        <v>5.5299539170507006E-2</v>
      </c>
      <c r="AY140" s="77" t="str">
        <f t="shared" si="48"/>
        <v>5,0 ≤ Alc. Bruta &lt; 7,5 mg/L</v>
      </c>
      <c r="AZ140" s="77" t="str">
        <f t="shared" si="49"/>
        <v>15 ≤ Cor &lt; 30 uC</v>
      </c>
      <c r="BA140" s="78" t="str">
        <f t="shared" si="50"/>
        <v>Turbidez &lt; 2,5 uT</v>
      </c>
      <c r="BB140" s="79" t="str">
        <f t="shared" si="51"/>
        <v>TOR &gt; SM &gt; BNN</v>
      </c>
      <c r="BC140" s="78" t="str">
        <f t="shared" si="52"/>
        <v>Tipo 4 (&gt;0,75) uT</v>
      </c>
      <c r="BD140" s="78" t="str">
        <f t="shared" si="53"/>
        <v>Tipo 1 (≤0,25) uT</v>
      </c>
      <c r="BE140" s="78" t="str">
        <f t="shared" si="54"/>
        <v>Tipo 4 (&gt;0,75) uT</v>
      </c>
      <c r="BF140" s="78" t="str">
        <f t="shared" si="55"/>
        <v>Tipo 4 (&gt;0,75) uT</v>
      </c>
      <c r="BG140" s="78" t="str">
        <f t="shared" si="56"/>
        <v>Tipo 4 (&gt;0,75) uT</v>
      </c>
    </row>
    <row r="141" spans="1:59" x14ac:dyDescent="0.2">
      <c r="A141" s="21">
        <v>46143</v>
      </c>
      <c r="B141" s="53">
        <v>0.14583333333333334</v>
      </c>
      <c r="C141" s="57">
        <v>1003</v>
      </c>
      <c r="D141" s="57">
        <v>679</v>
      </c>
      <c r="E141" s="57">
        <v>450</v>
      </c>
      <c r="F141" s="57">
        <v>2296</v>
      </c>
      <c r="G141" s="10" t="s">
        <v>34</v>
      </c>
      <c r="H141" s="63">
        <v>4</v>
      </c>
      <c r="I141" s="57">
        <v>90</v>
      </c>
      <c r="J141" s="57">
        <v>90</v>
      </c>
      <c r="K141" s="57">
        <v>90</v>
      </c>
      <c r="L141" s="63">
        <v>24</v>
      </c>
      <c r="M141" s="63">
        <v>6.6</v>
      </c>
      <c r="N141" s="36">
        <v>2.38</v>
      </c>
      <c r="O141" s="57">
        <v>12</v>
      </c>
      <c r="P141" s="63">
        <v>5.9</v>
      </c>
      <c r="Q141" s="36">
        <v>1.66</v>
      </c>
      <c r="R141" s="36">
        <v>22.36</v>
      </c>
      <c r="S141" s="36">
        <v>0.88</v>
      </c>
      <c r="T141" s="36">
        <v>0.7</v>
      </c>
      <c r="U141" s="42">
        <f t="shared" si="34"/>
        <v>1099.21</v>
      </c>
      <c r="V141" s="36">
        <f t="shared" si="35"/>
        <v>1614.7721200000001</v>
      </c>
      <c r="W141" s="36">
        <f t="shared" si="36"/>
        <v>1.4690296849555591</v>
      </c>
      <c r="X141" s="57">
        <v>3</v>
      </c>
      <c r="Y141" s="57">
        <v>4</v>
      </c>
      <c r="Z141" s="63">
        <v>6.5</v>
      </c>
      <c r="AA141" s="57">
        <v>20</v>
      </c>
      <c r="AB141" s="63">
        <v>6.6</v>
      </c>
      <c r="AC141" s="63">
        <v>5.8</v>
      </c>
      <c r="AD141" s="10">
        <v>0.28999999999999998</v>
      </c>
      <c r="AE141" s="36">
        <v>0.56000000000000005</v>
      </c>
      <c r="AF141" s="42">
        <f t="shared" si="37"/>
        <v>1099.21</v>
      </c>
      <c r="AG141" s="42">
        <f t="shared" si="38"/>
        <v>1856.9879380000002</v>
      </c>
      <c r="AH141" s="42">
        <f t="shared" si="39"/>
        <v>1.689384137698893</v>
      </c>
      <c r="AI141" s="57">
        <v>3</v>
      </c>
      <c r="AJ141" s="57">
        <v>4</v>
      </c>
      <c r="AK141" s="36">
        <v>6.5</v>
      </c>
      <c r="AL141" s="36">
        <v>23</v>
      </c>
      <c r="AM141" s="63">
        <v>6.6</v>
      </c>
      <c r="AN141" s="63">
        <v>6.3</v>
      </c>
      <c r="AO141" s="36">
        <v>0.43</v>
      </c>
      <c r="AP141" s="68">
        <v>0.37</v>
      </c>
      <c r="AQ141" s="73">
        <f t="shared" si="40"/>
        <v>2132</v>
      </c>
      <c r="AR141" s="75">
        <f t="shared" si="41"/>
        <v>0.47045028142589118</v>
      </c>
      <c r="AS141" s="75">
        <f t="shared" si="42"/>
        <v>0.31848030018761725</v>
      </c>
      <c r="AT141" s="75">
        <f t="shared" si="43"/>
        <v>0.21106941838649157</v>
      </c>
      <c r="AU141" s="26">
        <f t="shared" si="44"/>
        <v>6.968641114982578E-2</v>
      </c>
      <c r="AV141" s="26">
        <f t="shared" si="45"/>
        <v>8.0139372822299645E-2</v>
      </c>
      <c r="AW141" s="24">
        <f t="shared" si="46"/>
        <v>0.84453781512605042</v>
      </c>
      <c r="AX141" s="24">
        <f t="shared" si="47"/>
        <v>0.76470588235294112</v>
      </c>
      <c r="AY141" s="77" t="str">
        <f t="shared" si="48"/>
        <v>5,0 ≤ Alc. Bruta &lt; 7,5 mg/L</v>
      </c>
      <c r="AZ141" s="77" t="str">
        <f t="shared" si="49"/>
        <v>10 ≤ Cor &lt;15 uC</v>
      </c>
      <c r="BA141" s="78" t="str">
        <f t="shared" si="50"/>
        <v>Turbidez &lt; 2,5 uT</v>
      </c>
      <c r="BB141" s="79" t="str">
        <f t="shared" si="51"/>
        <v>TOR &gt; SM &gt; BNN</v>
      </c>
      <c r="BC141" s="78" t="str">
        <f t="shared" si="52"/>
        <v>Tipo 2 (0,25-0,50) uT</v>
      </c>
      <c r="BD141" s="78" t="str">
        <f t="shared" si="53"/>
        <v>Tipo 2 (0,25-0,50) uT</v>
      </c>
      <c r="BE141" s="78" t="str">
        <f t="shared" si="54"/>
        <v>Tipo 3 (0,50-0,75) uT</v>
      </c>
      <c r="BF141" s="78" t="str">
        <f t="shared" si="55"/>
        <v>Tipo 2 (0,25-0,50) uT</v>
      </c>
      <c r="BG141" s="78" t="str">
        <f t="shared" si="56"/>
        <v>Tipo 4 (&gt;0,75) uT</v>
      </c>
    </row>
    <row r="142" spans="1:59" ht="15.75" thickBot="1" x14ac:dyDescent="0.25">
      <c r="A142" s="21">
        <v>46143</v>
      </c>
      <c r="B142" s="54">
        <v>0.22916666666666666</v>
      </c>
      <c r="C142" s="58">
        <v>1023</v>
      </c>
      <c r="D142" s="58">
        <v>683</v>
      </c>
      <c r="E142" s="58">
        <v>450</v>
      </c>
      <c r="F142" s="58">
        <v>2300</v>
      </c>
      <c r="G142" s="11" t="s">
        <v>34</v>
      </c>
      <c r="H142" s="64">
        <v>3.8</v>
      </c>
      <c r="I142" s="57">
        <v>90</v>
      </c>
      <c r="J142" s="58">
        <v>90</v>
      </c>
      <c r="K142" s="58">
        <v>90</v>
      </c>
      <c r="L142" s="64">
        <v>23.5</v>
      </c>
      <c r="M142" s="64">
        <v>6.5</v>
      </c>
      <c r="N142" s="37">
        <v>2.69</v>
      </c>
      <c r="O142" s="58">
        <v>15</v>
      </c>
      <c r="P142" s="64">
        <v>6.8</v>
      </c>
      <c r="Q142" s="37">
        <v>2</v>
      </c>
      <c r="R142" s="36">
        <v>22.36</v>
      </c>
      <c r="S142" s="36">
        <v>0.88</v>
      </c>
      <c r="T142" s="36">
        <v>0.7</v>
      </c>
      <c r="U142" s="42">
        <f t="shared" si="34"/>
        <v>1173</v>
      </c>
      <c r="V142" s="36">
        <f t="shared" si="35"/>
        <v>1611.6824151999999</v>
      </c>
      <c r="W142" s="36">
        <f t="shared" si="36"/>
        <v>1.373983303665814</v>
      </c>
      <c r="X142" s="58">
        <v>3</v>
      </c>
      <c r="Y142" s="58">
        <v>4</v>
      </c>
      <c r="Z142" s="64">
        <v>6.49</v>
      </c>
      <c r="AA142" s="58">
        <v>20</v>
      </c>
      <c r="AB142" s="64">
        <v>6.6</v>
      </c>
      <c r="AC142" s="64">
        <v>7.7</v>
      </c>
      <c r="AD142" s="11">
        <v>0.34</v>
      </c>
      <c r="AE142" s="37">
        <v>0.96</v>
      </c>
      <c r="AF142" s="42">
        <f t="shared" si="37"/>
        <v>1173</v>
      </c>
      <c r="AG142" s="42">
        <f t="shared" si="38"/>
        <v>1856.9879380000002</v>
      </c>
      <c r="AH142" s="42">
        <f t="shared" si="39"/>
        <v>1.5831099215686277</v>
      </c>
      <c r="AI142" s="58">
        <v>3</v>
      </c>
      <c r="AJ142" s="58">
        <v>4</v>
      </c>
      <c r="AK142" s="37">
        <v>6.5</v>
      </c>
      <c r="AL142" s="37">
        <v>23</v>
      </c>
      <c r="AM142" s="64">
        <v>6.6</v>
      </c>
      <c r="AN142" s="64">
        <v>6.5</v>
      </c>
      <c r="AO142" s="37">
        <v>0.32</v>
      </c>
      <c r="AP142" s="69">
        <v>0.84</v>
      </c>
      <c r="AQ142" s="73">
        <f t="shared" si="40"/>
        <v>2156</v>
      </c>
      <c r="AR142" s="75">
        <f t="shared" si="41"/>
        <v>0.47448979591836737</v>
      </c>
      <c r="AS142" s="75">
        <f t="shared" si="42"/>
        <v>0.31679035250463822</v>
      </c>
      <c r="AT142" s="75">
        <f t="shared" si="43"/>
        <v>0.20871985157699444</v>
      </c>
      <c r="AU142" s="26">
        <f t="shared" si="44"/>
        <v>6.9565217391304349E-2</v>
      </c>
      <c r="AV142" s="26">
        <f t="shared" si="45"/>
        <v>0.08</v>
      </c>
      <c r="AW142" s="24">
        <f t="shared" si="46"/>
        <v>0.68773234200743494</v>
      </c>
      <c r="AX142" s="24">
        <f t="shared" si="47"/>
        <v>0.64312267657992561</v>
      </c>
      <c r="AY142" s="77" t="str">
        <f t="shared" si="48"/>
        <v>5,0 ≤ Alc. Bruta &lt; 7,5 mg/L</v>
      </c>
      <c r="AZ142" s="77" t="str">
        <f t="shared" si="49"/>
        <v>15 ≤ Cor &lt; 30 uC</v>
      </c>
      <c r="BA142" s="78" t="str">
        <f t="shared" si="50"/>
        <v>2,5 ≤ Turb &lt; 5,0 uT</v>
      </c>
      <c r="BB142" s="79" t="str">
        <f t="shared" si="51"/>
        <v>TOR &gt; SM &gt; BNN</v>
      </c>
      <c r="BC142" s="78" t="str">
        <f t="shared" si="52"/>
        <v>Tipo 2 (0,25-0,50) uT</v>
      </c>
      <c r="BD142" s="78" t="str">
        <f t="shared" si="53"/>
        <v>Tipo 2 (0,25-0,50) uT</v>
      </c>
      <c r="BE142" s="78" t="str">
        <f t="shared" si="54"/>
        <v>Tipo 4 (&gt;0,75) uT</v>
      </c>
      <c r="BF142" s="78" t="str">
        <f t="shared" si="55"/>
        <v>Tipo 4 (&gt;0,75) uT</v>
      </c>
      <c r="BG142" s="78" t="str">
        <f t="shared" si="56"/>
        <v>Tipo 4 (&gt;0,75) uT</v>
      </c>
    </row>
    <row r="143" spans="1:59" x14ac:dyDescent="0.2">
      <c r="A143" s="21">
        <v>46143</v>
      </c>
      <c r="B143" s="52">
        <v>0.3125</v>
      </c>
      <c r="C143" s="59">
        <v>1050</v>
      </c>
      <c r="D143" s="57">
        <v>629</v>
      </c>
      <c r="E143" s="59">
        <v>450</v>
      </c>
      <c r="F143" s="59">
        <v>2500</v>
      </c>
      <c r="G143" s="9" t="s">
        <v>34</v>
      </c>
      <c r="H143" s="65">
        <v>3.8</v>
      </c>
      <c r="I143" s="59">
        <v>90</v>
      </c>
      <c r="J143" s="59">
        <v>90</v>
      </c>
      <c r="K143" s="59">
        <v>90</v>
      </c>
      <c r="L143" s="65">
        <v>23.3</v>
      </c>
      <c r="M143" s="65">
        <v>6.5</v>
      </c>
      <c r="N143" s="38">
        <v>2.31</v>
      </c>
      <c r="O143" s="59">
        <v>14</v>
      </c>
      <c r="P143" s="65">
        <v>5</v>
      </c>
      <c r="Q143" s="38">
        <v>0.25</v>
      </c>
      <c r="R143" s="36">
        <v>22.36</v>
      </c>
      <c r="S143" s="36">
        <v>0.88</v>
      </c>
      <c r="T143" s="36">
        <v>0.7</v>
      </c>
      <c r="U143" s="42">
        <f t="shared" si="34"/>
        <v>1156.25</v>
      </c>
      <c r="V143" s="36">
        <f t="shared" si="35"/>
        <v>1552.0610895919995</v>
      </c>
      <c r="W143" s="36">
        <f t="shared" si="36"/>
        <v>1.3423231045119994</v>
      </c>
      <c r="X143" s="59">
        <v>3</v>
      </c>
      <c r="Y143" s="59">
        <v>4</v>
      </c>
      <c r="Z143" s="65">
        <v>6.52</v>
      </c>
      <c r="AA143" s="59">
        <v>19.149999999999999</v>
      </c>
      <c r="AB143" s="65">
        <v>6.5</v>
      </c>
      <c r="AC143" s="65">
        <v>5.4</v>
      </c>
      <c r="AD143" s="9">
        <v>0.33</v>
      </c>
      <c r="AE143" s="38">
        <v>0.36</v>
      </c>
      <c r="AF143" s="42">
        <f t="shared" si="37"/>
        <v>1156.25</v>
      </c>
      <c r="AG143" s="42">
        <f t="shared" si="38"/>
        <v>1840.4628336639996</v>
      </c>
      <c r="AH143" s="42">
        <f t="shared" si="39"/>
        <v>1.5917516399256213</v>
      </c>
      <c r="AI143" s="59">
        <v>3</v>
      </c>
      <c r="AJ143" s="59">
        <v>4</v>
      </c>
      <c r="AK143" s="38">
        <v>6.4</v>
      </c>
      <c r="AL143" s="38">
        <v>23.24</v>
      </c>
      <c r="AM143" s="65">
        <v>6.5</v>
      </c>
      <c r="AN143" s="65">
        <v>5.7</v>
      </c>
      <c r="AO143" s="38">
        <v>0.23</v>
      </c>
      <c r="AP143" s="70">
        <v>0.27</v>
      </c>
      <c r="AQ143" s="73">
        <f t="shared" si="40"/>
        <v>2129</v>
      </c>
      <c r="AR143" s="75">
        <f t="shared" si="41"/>
        <v>0.49318929074682949</v>
      </c>
      <c r="AS143" s="75">
        <f t="shared" si="42"/>
        <v>0.29544387036167213</v>
      </c>
      <c r="AT143" s="75">
        <f t="shared" si="43"/>
        <v>0.21136683889149835</v>
      </c>
      <c r="AU143" s="26">
        <f t="shared" si="44"/>
        <v>6.1279999999999994E-2</v>
      </c>
      <c r="AV143" s="26">
        <f t="shared" si="45"/>
        <v>7.436799999999999E-2</v>
      </c>
      <c r="AW143" s="24">
        <f t="shared" si="46"/>
        <v>0.88311688311688308</v>
      </c>
      <c r="AX143" s="24">
        <f t="shared" si="47"/>
        <v>0.8441558441558441</v>
      </c>
      <c r="AY143" s="77" t="str">
        <f t="shared" si="48"/>
        <v>5,0 ≤ Alc. Bruta &lt; 7,5 mg/L</v>
      </c>
      <c r="AZ143" s="77" t="str">
        <f t="shared" si="49"/>
        <v>10 ≤ Cor &lt;15 uC</v>
      </c>
      <c r="BA143" s="78" t="str">
        <f t="shared" si="50"/>
        <v>Turbidez &lt; 2,5 uT</v>
      </c>
      <c r="BB143" s="79" t="str">
        <f t="shared" si="51"/>
        <v>TOR &gt; SM &gt; BNN</v>
      </c>
      <c r="BC143" s="78" t="str">
        <f t="shared" si="52"/>
        <v>Tipo 2 (0,25-0,50) uT</v>
      </c>
      <c r="BD143" s="78" t="str">
        <f t="shared" si="53"/>
        <v>Tipo 1 (≤0,25) uT</v>
      </c>
      <c r="BE143" s="78" t="str">
        <f t="shared" si="54"/>
        <v>Tipo 2 (0,25-0,50) uT</v>
      </c>
      <c r="BF143" s="78" t="str">
        <f t="shared" si="55"/>
        <v>Tipo 2 (0,25-0,50) uT</v>
      </c>
      <c r="BG143" s="78" t="str">
        <f t="shared" si="56"/>
        <v>Tipo 1 (≤0,25) uT</v>
      </c>
    </row>
    <row r="144" spans="1:59" x14ac:dyDescent="0.2">
      <c r="A144" s="21">
        <v>46143</v>
      </c>
      <c r="B144" s="48">
        <v>0.39583333333333331</v>
      </c>
      <c r="C144" s="57">
        <v>1211</v>
      </c>
      <c r="D144" s="57">
        <v>90</v>
      </c>
      <c r="E144" s="57">
        <v>453</v>
      </c>
      <c r="F144" s="57">
        <v>1820</v>
      </c>
      <c r="G144" s="10" t="s">
        <v>78</v>
      </c>
      <c r="H144" s="63">
        <v>3.8</v>
      </c>
      <c r="I144" s="57">
        <v>90</v>
      </c>
      <c r="J144" s="57">
        <v>90</v>
      </c>
      <c r="K144" s="57">
        <v>90</v>
      </c>
      <c r="L144" s="63">
        <v>23.9</v>
      </c>
      <c r="M144" s="63">
        <v>6.4</v>
      </c>
      <c r="N144" s="36">
        <v>2.73</v>
      </c>
      <c r="O144" s="57">
        <v>14</v>
      </c>
      <c r="P144" s="63">
        <v>5.9</v>
      </c>
      <c r="Q144" s="36">
        <v>0.27</v>
      </c>
      <c r="R144" s="36">
        <v>22.36</v>
      </c>
      <c r="S144" s="36">
        <v>0.88</v>
      </c>
      <c r="T144" s="36">
        <v>0.7</v>
      </c>
      <c r="U144" s="42">
        <f t="shared" si="34"/>
        <v>1249.7333333333333</v>
      </c>
      <c r="V144" s="36">
        <f t="shared" si="35"/>
        <v>1419.2646569504</v>
      </c>
      <c r="W144" s="36">
        <f t="shared" si="36"/>
        <v>1.1356539984133147</v>
      </c>
      <c r="X144" s="57">
        <v>2</v>
      </c>
      <c r="Y144" s="57">
        <v>3</v>
      </c>
      <c r="Z144" s="63">
        <v>6.47</v>
      </c>
      <c r="AA144" s="57">
        <v>17.68</v>
      </c>
      <c r="AB144" s="63">
        <v>6.4</v>
      </c>
      <c r="AC144" s="63">
        <v>5.4</v>
      </c>
      <c r="AD144" s="10">
        <v>0.23</v>
      </c>
      <c r="AE144" s="36">
        <v>0.71</v>
      </c>
      <c r="AF144" s="42">
        <f t="shared" si="37"/>
        <v>1249.7333333333333</v>
      </c>
      <c r="AG144" s="42">
        <f t="shared" si="38"/>
        <v>1856.9879380000002</v>
      </c>
      <c r="AH144" s="42">
        <f t="shared" si="39"/>
        <v>1.485907343966713</v>
      </c>
      <c r="AI144" s="57">
        <v>2</v>
      </c>
      <c r="AJ144" s="57">
        <v>3</v>
      </c>
      <c r="AK144" s="36">
        <v>6.5</v>
      </c>
      <c r="AL144" s="36">
        <v>23</v>
      </c>
      <c r="AM144" s="63">
        <v>6.4</v>
      </c>
      <c r="AN144" s="63">
        <v>5.4</v>
      </c>
      <c r="AO144" s="36">
        <v>0.34</v>
      </c>
      <c r="AP144" s="68">
        <v>0.28000000000000003</v>
      </c>
      <c r="AQ144" s="73">
        <f t="shared" si="40"/>
        <v>1754</v>
      </c>
      <c r="AR144" s="75">
        <f t="shared" si="41"/>
        <v>0.69042189281641964</v>
      </c>
      <c r="AS144" s="75">
        <f t="shared" si="42"/>
        <v>5.1311288483466361E-2</v>
      </c>
      <c r="AT144" s="75">
        <f t="shared" si="43"/>
        <v>0.25826681870011403</v>
      </c>
      <c r="AU144" s="26">
        <f t="shared" si="44"/>
        <v>5.8285714285714288E-2</v>
      </c>
      <c r="AV144" s="26">
        <f t="shared" si="45"/>
        <v>7.5824175824175832E-2</v>
      </c>
      <c r="AW144" s="24">
        <f t="shared" si="46"/>
        <v>0.89743589743589747</v>
      </c>
      <c r="AX144" s="24">
        <f t="shared" si="47"/>
        <v>0.73992673992673996</v>
      </c>
      <c r="AY144" s="77" t="str">
        <f t="shared" si="48"/>
        <v>5,0 ≤ Alc. Bruta &lt; 7,5 mg/L</v>
      </c>
      <c r="AZ144" s="77" t="str">
        <f t="shared" si="49"/>
        <v>10 ≤ Cor &lt;15 uC</v>
      </c>
      <c r="BA144" s="78" t="str">
        <f t="shared" si="50"/>
        <v>2,5 ≤ Turb &lt; 5,0 uT</v>
      </c>
      <c r="BB144" s="79" t="str">
        <f t="shared" si="51"/>
        <v>TOR &gt; BNN &gt; SM</v>
      </c>
      <c r="BC144" s="78" t="str">
        <f t="shared" si="52"/>
        <v>Tipo 1 (≤0,25) uT</v>
      </c>
      <c r="BD144" s="78" t="str">
        <f t="shared" si="53"/>
        <v>Tipo 2 (0,25-0,50) uT</v>
      </c>
      <c r="BE144" s="78" t="str">
        <f t="shared" si="54"/>
        <v>Tipo 3 (0,50-0,75) uT</v>
      </c>
      <c r="BF144" s="78" t="str">
        <f t="shared" si="55"/>
        <v>Tipo 2 (0,25-0,50) uT</v>
      </c>
      <c r="BG144" s="78" t="str">
        <f t="shared" si="56"/>
        <v>Tipo 2 (0,25-0,50) uT</v>
      </c>
    </row>
    <row r="145" spans="1:59" x14ac:dyDescent="0.2">
      <c r="A145" s="21">
        <v>46143</v>
      </c>
      <c r="B145" s="48">
        <v>0.47916666666666669</v>
      </c>
      <c r="C145" s="57">
        <v>1163</v>
      </c>
      <c r="D145" s="57">
        <v>92</v>
      </c>
      <c r="E145" s="57">
        <v>452</v>
      </c>
      <c r="F145" s="57">
        <v>1825</v>
      </c>
      <c r="G145" s="10" t="s">
        <v>78</v>
      </c>
      <c r="H145" s="63">
        <v>3.2</v>
      </c>
      <c r="I145" s="57">
        <v>90</v>
      </c>
      <c r="J145" s="57">
        <v>90</v>
      </c>
      <c r="K145" s="57">
        <v>90</v>
      </c>
      <c r="L145" s="63">
        <v>24.1</v>
      </c>
      <c r="M145" s="63">
        <v>6.6</v>
      </c>
      <c r="N145" s="36">
        <v>3.22</v>
      </c>
      <c r="O145" s="57">
        <v>15</v>
      </c>
      <c r="P145" s="63">
        <v>4.8</v>
      </c>
      <c r="Q145" s="36">
        <v>0.11</v>
      </c>
      <c r="R145" s="36">
        <v>22.36</v>
      </c>
      <c r="S145" s="36">
        <v>0.88</v>
      </c>
      <c r="T145" s="36">
        <v>0.7</v>
      </c>
      <c r="U145" s="42">
        <f t="shared" si="34"/>
        <v>1347.4583333333333</v>
      </c>
      <c r="V145" s="36">
        <f t="shared" si="35"/>
        <v>1417.8003678539999</v>
      </c>
      <c r="W145" s="36">
        <f t="shared" si="36"/>
        <v>1.0522034951141346</v>
      </c>
      <c r="X145" s="57">
        <v>2</v>
      </c>
      <c r="Y145" s="57">
        <v>3</v>
      </c>
      <c r="Z145" s="63">
        <v>6.45</v>
      </c>
      <c r="AA145" s="57">
        <v>17.73</v>
      </c>
      <c r="AB145" s="63">
        <v>6.5</v>
      </c>
      <c r="AC145" s="63">
        <v>4.4000000000000004</v>
      </c>
      <c r="AD145" s="10">
        <v>0.18</v>
      </c>
      <c r="AE145" s="36">
        <v>0.09</v>
      </c>
      <c r="AF145" s="42">
        <f t="shared" si="37"/>
        <v>1347.4583333333333</v>
      </c>
      <c r="AG145" s="42">
        <f t="shared" si="38"/>
        <v>1851.0172538571996</v>
      </c>
      <c r="AH145" s="42">
        <f t="shared" si="39"/>
        <v>1.3737101979830173</v>
      </c>
      <c r="AI145" s="57">
        <v>2</v>
      </c>
      <c r="AJ145" s="57">
        <v>3</v>
      </c>
      <c r="AK145" s="36">
        <v>6.49</v>
      </c>
      <c r="AL145" s="36">
        <v>22.97</v>
      </c>
      <c r="AM145" s="63">
        <v>6.6</v>
      </c>
      <c r="AN145" s="63">
        <v>5.0999999999999996</v>
      </c>
      <c r="AO145" s="36">
        <v>0.25</v>
      </c>
      <c r="AP145" s="68">
        <v>0.14000000000000001</v>
      </c>
      <c r="AQ145" s="73">
        <f t="shared" si="40"/>
        <v>1707</v>
      </c>
      <c r="AR145" s="75">
        <f t="shared" si="41"/>
        <v>0.68131224370240184</v>
      </c>
      <c r="AS145" s="75">
        <f t="shared" si="42"/>
        <v>5.3895723491505565E-2</v>
      </c>
      <c r="AT145" s="75">
        <f t="shared" si="43"/>
        <v>0.26479203280609254</v>
      </c>
      <c r="AU145" s="26">
        <f t="shared" si="44"/>
        <v>5.829041095890411E-2</v>
      </c>
      <c r="AV145" s="26">
        <f t="shared" si="45"/>
        <v>7.551780821917807E-2</v>
      </c>
      <c r="AW145" s="24">
        <f t="shared" si="46"/>
        <v>0.95652173913043481</v>
      </c>
      <c r="AX145" s="24">
        <f t="shared" si="47"/>
        <v>0.97204968944099379</v>
      </c>
      <c r="AY145" s="77" t="str">
        <f t="shared" si="48"/>
        <v>2,5 ≤ Alc. Bruta &lt; 5,0 mg/L</v>
      </c>
      <c r="AZ145" s="77" t="str">
        <f t="shared" si="49"/>
        <v>15 ≤ Cor &lt; 30 uC</v>
      </c>
      <c r="BA145" s="78" t="str">
        <f t="shared" si="50"/>
        <v>2,5 ≤ Turb &lt; 5,0 uT</v>
      </c>
      <c r="BB145" s="79" t="str">
        <f t="shared" si="51"/>
        <v>TOR &gt; BNN &gt; SM</v>
      </c>
      <c r="BC145" s="78" t="str">
        <f t="shared" si="52"/>
        <v>Tipo 1 (≤0,25) uT</v>
      </c>
      <c r="BD145" s="78" t="str">
        <f t="shared" si="53"/>
        <v>Tipo 1 (≤0,25) uT</v>
      </c>
      <c r="BE145" s="78" t="str">
        <f t="shared" si="54"/>
        <v>Tipo 1 (≤0,25) uT</v>
      </c>
      <c r="BF145" s="78" t="str">
        <f t="shared" si="55"/>
        <v>Tipo 1 (≤0,25) uT</v>
      </c>
      <c r="BG145" s="78" t="str">
        <f t="shared" si="56"/>
        <v>Tipo 1 (≤0,25) uT</v>
      </c>
    </row>
    <row r="146" spans="1:59" x14ac:dyDescent="0.2">
      <c r="A146" s="21">
        <v>46143</v>
      </c>
      <c r="B146" s="48">
        <v>0.5625</v>
      </c>
      <c r="C146" s="57">
        <v>1109</v>
      </c>
      <c r="D146" s="57">
        <v>90</v>
      </c>
      <c r="E146" s="57">
        <v>453</v>
      </c>
      <c r="F146" s="57">
        <v>1819</v>
      </c>
      <c r="G146" s="10" t="s">
        <v>78</v>
      </c>
      <c r="H146" s="63">
        <v>3.3</v>
      </c>
      <c r="I146" s="57">
        <v>90</v>
      </c>
      <c r="J146" s="57">
        <v>90</v>
      </c>
      <c r="K146" s="57">
        <v>90</v>
      </c>
      <c r="L146" s="63">
        <v>24.6</v>
      </c>
      <c r="M146" s="63">
        <v>6.6</v>
      </c>
      <c r="N146" s="36">
        <v>3.06</v>
      </c>
      <c r="O146" s="57">
        <v>13</v>
      </c>
      <c r="P146" s="63">
        <v>5.6</v>
      </c>
      <c r="Q146" s="36">
        <v>0.08</v>
      </c>
      <c r="R146" s="36">
        <v>22.36</v>
      </c>
      <c r="S146" s="36">
        <v>0.88</v>
      </c>
      <c r="T146" s="36">
        <v>0.7</v>
      </c>
      <c r="U146" s="42">
        <f t="shared" si="34"/>
        <v>1303.6166666666668</v>
      </c>
      <c r="V146" s="36">
        <f t="shared" si="35"/>
        <v>1429.8807122600001</v>
      </c>
      <c r="W146" s="36">
        <f t="shared" si="36"/>
        <v>1.0968567285321604</v>
      </c>
      <c r="X146" s="57">
        <v>2</v>
      </c>
      <c r="Y146" s="57">
        <v>3</v>
      </c>
      <c r="Z146" s="63">
        <v>6.5</v>
      </c>
      <c r="AA146" s="57">
        <v>17.71</v>
      </c>
      <c r="AB146" s="63">
        <v>6.5</v>
      </c>
      <c r="AC146" s="63">
        <v>4.4000000000000004</v>
      </c>
      <c r="AD146" s="10">
        <v>0.18</v>
      </c>
      <c r="AE146" s="36">
        <v>0.12</v>
      </c>
      <c r="AF146" s="42">
        <f t="shared" si="37"/>
        <v>1303.6166666666668</v>
      </c>
      <c r="AG146" s="42">
        <f t="shared" si="38"/>
        <v>1856.9879380000002</v>
      </c>
      <c r="AH146" s="42">
        <f t="shared" si="39"/>
        <v>1.4244892578339747</v>
      </c>
      <c r="AI146" s="57">
        <v>2</v>
      </c>
      <c r="AJ146" s="57">
        <v>3</v>
      </c>
      <c r="AK146" s="36">
        <v>6.5</v>
      </c>
      <c r="AL146" s="36">
        <v>23</v>
      </c>
      <c r="AM146" s="63">
        <v>6.6</v>
      </c>
      <c r="AN146" s="63">
        <v>4.5999999999999996</v>
      </c>
      <c r="AO146" s="36">
        <v>0.24</v>
      </c>
      <c r="AP146" s="68">
        <v>0.24</v>
      </c>
      <c r="AQ146" s="73">
        <f t="shared" si="40"/>
        <v>1652</v>
      </c>
      <c r="AR146" s="75">
        <f t="shared" si="41"/>
        <v>0.67130750605326872</v>
      </c>
      <c r="AS146" s="75">
        <f t="shared" si="42"/>
        <v>5.4479418886198547E-2</v>
      </c>
      <c r="AT146" s="75">
        <f t="shared" si="43"/>
        <v>0.27421307506053266</v>
      </c>
      <c r="AU146" s="26">
        <f t="shared" si="44"/>
        <v>5.8416712479384278E-2</v>
      </c>
      <c r="AV146" s="26">
        <f t="shared" si="45"/>
        <v>7.5865860362836712E-2</v>
      </c>
      <c r="AW146" s="24">
        <f t="shared" si="46"/>
        <v>0.92156862745098045</v>
      </c>
      <c r="AX146" s="24">
        <f t="shared" si="47"/>
        <v>0.96078431372549022</v>
      </c>
      <c r="AY146" s="77" t="str">
        <f t="shared" si="48"/>
        <v>5,0 ≤ Alc. Bruta &lt; 7,5 mg/L</v>
      </c>
      <c r="AZ146" s="77" t="str">
        <f t="shared" si="49"/>
        <v>10 ≤ Cor &lt;15 uC</v>
      </c>
      <c r="BA146" s="78" t="str">
        <f t="shared" si="50"/>
        <v>2,5 ≤ Turb &lt; 5,0 uT</v>
      </c>
      <c r="BB146" s="79" t="str">
        <f t="shared" si="51"/>
        <v>TOR &gt; BNN &gt; SM</v>
      </c>
      <c r="BC146" s="78" t="str">
        <f t="shared" si="52"/>
        <v>Tipo 1 (≤0,25) uT</v>
      </c>
      <c r="BD146" s="78" t="str">
        <f t="shared" si="53"/>
        <v>Tipo 1 (≤0,25) uT</v>
      </c>
      <c r="BE146" s="78" t="str">
        <f t="shared" si="54"/>
        <v>Tipo 1 (≤0,25) uT</v>
      </c>
      <c r="BF146" s="78" t="str">
        <f t="shared" si="55"/>
        <v>Tipo 1 (≤0,25) uT</v>
      </c>
      <c r="BG146" s="78" t="str">
        <f t="shared" si="56"/>
        <v>Tipo 1 (≤0,25) uT</v>
      </c>
    </row>
    <row r="147" spans="1:59" x14ac:dyDescent="0.2">
      <c r="A147" s="21">
        <v>46143</v>
      </c>
      <c r="B147" s="48">
        <v>0.64583333333333337</v>
      </c>
      <c r="C147" s="57">
        <v>1053</v>
      </c>
      <c r="D147" s="57">
        <v>90</v>
      </c>
      <c r="E147" s="57">
        <v>453</v>
      </c>
      <c r="F147" s="57">
        <v>1802</v>
      </c>
      <c r="G147" s="10" t="s">
        <v>78</v>
      </c>
      <c r="H147" s="63">
        <v>3.3</v>
      </c>
      <c r="I147" s="57">
        <v>90</v>
      </c>
      <c r="J147" s="57">
        <v>90</v>
      </c>
      <c r="K147" s="57">
        <v>90</v>
      </c>
      <c r="L147" s="63">
        <v>25</v>
      </c>
      <c r="M147" s="63">
        <v>6.6</v>
      </c>
      <c r="N147" s="36">
        <v>3.43</v>
      </c>
      <c r="O147" s="57">
        <v>15</v>
      </c>
      <c r="P147" s="63">
        <v>5.3</v>
      </c>
      <c r="Q147" s="36">
        <v>7.0000000000000007E-2</v>
      </c>
      <c r="R147" s="36">
        <v>22.36</v>
      </c>
      <c r="S147" s="36">
        <v>0.88</v>
      </c>
      <c r="T147" s="36">
        <v>0.7</v>
      </c>
      <c r="U147" s="42">
        <f t="shared" si="34"/>
        <v>1402.5566666666666</v>
      </c>
      <c r="V147" s="36">
        <f t="shared" si="35"/>
        <v>1429.0733262000001</v>
      </c>
      <c r="W147" s="36">
        <f t="shared" si="36"/>
        <v>1.0189059452381011</v>
      </c>
      <c r="X147" s="57">
        <v>2</v>
      </c>
      <c r="Y147" s="57">
        <v>3</v>
      </c>
      <c r="Z147" s="63">
        <v>6.5</v>
      </c>
      <c r="AA147" s="57">
        <v>17.7</v>
      </c>
      <c r="AB147" s="63">
        <v>6.6</v>
      </c>
      <c r="AC147" s="63">
        <v>5.3</v>
      </c>
      <c r="AD147" s="10">
        <v>0.14000000000000001</v>
      </c>
      <c r="AE147" s="36">
        <v>0.6</v>
      </c>
      <c r="AF147" s="42">
        <f t="shared" si="37"/>
        <v>1402.5566666666666</v>
      </c>
      <c r="AG147" s="42">
        <f t="shared" si="38"/>
        <v>1848.1066913400002</v>
      </c>
      <c r="AH147" s="42">
        <f t="shared" si="39"/>
        <v>1.3176698918926628</v>
      </c>
      <c r="AI147" s="57">
        <v>2</v>
      </c>
      <c r="AJ147" s="57">
        <v>3</v>
      </c>
      <c r="AK147" s="36">
        <v>6.5</v>
      </c>
      <c r="AL147" s="36">
        <v>22.89</v>
      </c>
      <c r="AM147" s="63">
        <v>6.6</v>
      </c>
      <c r="AN147" s="63">
        <v>4.4000000000000004</v>
      </c>
      <c r="AO147" s="36">
        <v>0.15</v>
      </c>
      <c r="AP147" s="68">
        <v>0.23</v>
      </c>
      <c r="AQ147" s="73">
        <f t="shared" si="40"/>
        <v>1596</v>
      </c>
      <c r="AR147" s="75">
        <f t="shared" si="41"/>
        <v>0.65977443609022557</v>
      </c>
      <c r="AS147" s="75">
        <f t="shared" si="42"/>
        <v>5.6390977443609019E-2</v>
      </c>
      <c r="AT147" s="75">
        <f t="shared" si="43"/>
        <v>0.28383458646616544</v>
      </c>
      <c r="AU147" s="26">
        <f t="shared" si="44"/>
        <v>5.8934517203107661E-2</v>
      </c>
      <c r="AV147" s="26">
        <f t="shared" si="45"/>
        <v>7.6215316315205339E-2</v>
      </c>
      <c r="AW147" s="24">
        <f t="shared" si="46"/>
        <v>0.93294460641399413</v>
      </c>
      <c r="AX147" s="24">
        <f t="shared" si="47"/>
        <v>0.82507288629737607</v>
      </c>
      <c r="AY147" s="77" t="str">
        <f t="shared" si="48"/>
        <v>5,0 ≤ Alc. Bruta &lt; 7,5 mg/L</v>
      </c>
      <c r="AZ147" s="77" t="str">
        <f t="shared" si="49"/>
        <v>15 ≤ Cor &lt; 30 uC</v>
      </c>
      <c r="BA147" s="78" t="str">
        <f t="shared" si="50"/>
        <v>2,5 ≤ Turb &lt; 5,0 uT</v>
      </c>
      <c r="BB147" s="79" t="str">
        <f t="shared" si="51"/>
        <v>TOR &gt; BNN &gt; SM</v>
      </c>
      <c r="BC147" s="78" t="str">
        <f t="shared" si="52"/>
        <v>Tipo 1 (≤0,25) uT</v>
      </c>
      <c r="BD147" s="78" t="str">
        <f t="shared" si="53"/>
        <v>Tipo 1 (≤0,25) uT</v>
      </c>
      <c r="BE147" s="78" t="str">
        <f t="shared" si="54"/>
        <v>Tipo 3 (0,50-0,75) uT</v>
      </c>
      <c r="BF147" s="78" t="str">
        <f t="shared" si="55"/>
        <v>Tipo 1 (≤0,25) uT</v>
      </c>
      <c r="BG147" s="78" t="str">
        <f t="shared" si="56"/>
        <v>Tipo 1 (≤0,25) uT</v>
      </c>
    </row>
    <row r="148" spans="1:59" x14ac:dyDescent="0.2">
      <c r="A148" s="21">
        <v>46143</v>
      </c>
      <c r="B148" s="48">
        <v>0.72916666666666663</v>
      </c>
      <c r="C148" s="57">
        <v>1035</v>
      </c>
      <c r="D148" s="57">
        <v>80</v>
      </c>
      <c r="E148" s="57">
        <v>453</v>
      </c>
      <c r="F148" s="57">
        <v>1821</v>
      </c>
      <c r="G148" s="10" t="s">
        <v>78</v>
      </c>
      <c r="H148" s="63">
        <v>3.3</v>
      </c>
      <c r="I148" s="57">
        <v>90</v>
      </c>
      <c r="J148" s="57">
        <v>90</v>
      </c>
      <c r="K148" s="57">
        <v>90</v>
      </c>
      <c r="L148" s="63">
        <v>24.8</v>
      </c>
      <c r="M148" s="63">
        <v>6.8</v>
      </c>
      <c r="N148" s="36">
        <v>3.15</v>
      </c>
      <c r="O148" s="57">
        <v>16</v>
      </c>
      <c r="P148" s="63">
        <v>5.5</v>
      </c>
      <c r="Q148" s="36">
        <v>7.0000000000000007E-2</v>
      </c>
      <c r="R148" s="36">
        <v>22.36</v>
      </c>
      <c r="S148" s="36">
        <v>0.88</v>
      </c>
      <c r="T148" s="36">
        <v>0.7</v>
      </c>
      <c r="U148" s="42">
        <f t="shared" si="34"/>
        <v>1332.365</v>
      </c>
      <c r="V148" s="36">
        <f t="shared" si="35"/>
        <v>1431.4954843800001</v>
      </c>
      <c r="W148" s="36">
        <f t="shared" si="36"/>
        <v>1.074401897663178</v>
      </c>
      <c r="X148" s="57">
        <v>2</v>
      </c>
      <c r="Y148" s="57">
        <v>3</v>
      </c>
      <c r="Z148" s="63">
        <v>6.5</v>
      </c>
      <c r="AA148" s="57">
        <v>17.73</v>
      </c>
      <c r="AB148" s="63">
        <v>6.6</v>
      </c>
      <c r="AC148" s="63">
        <v>5.6</v>
      </c>
      <c r="AD148" s="10">
        <v>0.09</v>
      </c>
      <c r="AE148" s="36">
        <v>0.31</v>
      </c>
      <c r="AF148" s="42">
        <f t="shared" si="37"/>
        <v>1332.365</v>
      </c>
      <c r="AG148" s="42">
        <f t="shared" si="38"/>
        <v>1856.9879380000002</v>
      </c>
      <c r="AH148" s="42">
        <f t="shared" si="39"/>
        <v>1.3937531667373431</v>
      </c>
      <c r="AI148" s="57">
        <v>2</v>
      </c>
      <c r="AJ148" s="57">
        <v>3</v>
      </c>
      <c r="AK148" s="36">
        <v>6.5</v>
      </c>
      <c r="AL148" s="36">
        <v>23</v>
      </c>
      <c r="AM148" s="63">
        <v>6.6</v>
      </c>
      <c r="AN148" s="63">
        <v>5.6</v>
      </c>
      <c r="AO148" s="36">
        <v>0.11</v>
      </c>
      <c r="AP148" s="68">
        <v>0.26</v>
      </c>
      <c r="AQ148" s="73">
        <f t="shared" si="40"/>
        <v>1568</v>
      </c>
      <c r="AR148" s="75">
        <f t="shared" si="41"/>
        <v>0.66007653061224492</v>
      </c>
      <c r="AS148" s="75">
        <f t="shared" si="42"/>
        <v>5.1020408163265307E-2</v>
      </c>
      <c r="AT148" s="75">
        <f t="shared" si="43"/>
        <v>0.28890306122448978</v>
      </c>
      <c r="AU148" s="26">
        <f t="shared" si="44"/>
        <v>5.8418451400329488E-2</v>
      </c>
      <c r="AV148" s="26">
        <f t="shared" si="45"/>
        <v>7.57825370675453E-2</v>
      </c>
      <c r="AW148" s="24">
        <f t="shared" si="46"/>
        <v>0.91746031746031742</v>
      </c>
      <c r="AX148" s="24">
        <f t="shared" si="47"/>
        <v>0.9015873015873016</v>
      </c>
      <c r="AY148" s="77" t="str">
        <f t="shared" si="48"/>
        <v>5,0 ≤ Alc. Bruta &lt; 7,5 mg/L</v>
      </c>
      <c r="AZ148" s="77" t="str">
        <f t="shared" si="49"/>
        <v>15 ≤ Cor &lt; 30 uC</v>
      </c>
      <c r="BA148" s="78" t="str">
        <f t="shared" si="50"/>
        <v>2,5 ≤ Turb &lt; 5,0 uT</v>
      </c>
      <c r="BB148" s="79" t="str">
        <f t="shared" si="51"/>
        <v>TOR &gt; BNN &gt; SM</v>
      </c>
      <c r="BC148" s="78" t="str">
        <f t="shared" si="52"/>
        <v>Tipo 1 (≤0,25) uT</v>
      </c>
      <c r="BD148" s="78" t="str">
        <f t="shared" si="53"/>
        <v>Tipo 1 (≤0,25) uT</v>
      </c>
      <c r="BE148" s="78" t="str">
        <f t="shared" si="54"/>
        <v>Tipo 2 (0,25-0,50) uT</v>
      </c>
      <c r="BF148" s="78" t="str">
        <f t="shared" si="55"/>
        <v>Tipo 2 (0,25-0,50) uT</v>
      </c>
      <c r="BG148" s="78" t="str">
        <f t="shared" si="56"/>
        <v>Tipo 1 (≤0,25) uT</v>
      </c>
    </row>
    <row r="149" spans="1:59" x14ac:dyDescent="0.2">
      <c r="A149" s="21">
        <v>46143</v>
      </c>
      <c r="B149" s="48">
        <v>0.8125</v>
      </c>
      <c r="C149" s="57">
        <v>1117</v>
      </c>
      <c r="D149" s="57">
        <v>83</v>
      </c>
      <c r="E149" s="57">
        <v>452</v>
      </c>
      <c r="F149" s="57">
        <v>1890</v>
      </c>
      <c r="G149" s="10" t="s">
        <v>78</v>
      </c>
      <c r="H149" s="63">
        <v>3.3</v>
      </c>
      <c r="I149" s="57">
        <v>90</v>
      </c>
      <c r="J149" s="57">
        <v>90</v>
      </c>
      <c r="K149" s="57">
        <v>90</v>
      </c>
      <c r="L149" s="63">
        <v>24.3</v>
      </c>
      <c r="M149" s="63">
        <v>6.7</v>
      </c>
      <c r="N149" s="36">
        <v>3.56</v>
      </c>
      <c r="O149" s="57">
        <v>14</v>
      </c>
      <c r="P149" s="63">
        <v>5.4</v>
      </c>
      <c r="Q149" s="36">
        <v>7.0000000000000007E-2</v>
      </c>
      <c r="R149" s="36">
        <v>22.36</v>
      </c>
      <c r="S149" s="36">
        <v>0.88</v>
      </c>
      <c r="T149" s="36">
        <v>0.7</v>
      </c>
      <c r="U149" s="42">
        <f t="shared" si="34"/>
        <v>1512</v>
      </c>
      <c r="V149" s="36">
        <f t="shared" si="35"/>
        <v>1438.9005336784001</v>
      </c>
      <c r="W149" s="36">
        <f t="shared" si="36"/>
        <v>0.95165379211534395</v>
      </c>
      <c r="X149" s="57">
        <v>2</v>
      </c>
      <c r="Y149" s="57">
        <v>3</v>
      </c>
      <c r="Z149" s="63">
        <v>6.53</v>
      </c>
      <c r="AA149" s="57">
        <v>17.72</v>
      </c>
      <c r="AB149" s="63">
        <v>6.6</v>
      </c>
      <c r="AC149" s="63">
        <v>5.6</v>
      </c>
      <c r="AD149" s="10">
        <v>0.11</v>
      </c>
      <c r="AE149" s="36">
        <v>0.43</v>
      </c>
      <c r="AF149" s="42">
        <f t="shared" si="37"/>
        <v>1512</v>
      </c>
      <c r="AG149" s="42">
        <f t="shared" si="38"/>
        <v>1849.7214634600002</v>
      </c>
      <c r="AH149" s="42">
        <f t="shared" si="39"/>
        <v>1.223360756256614</v>
      </c>
      <c r="AI149" s="57">
        <v>2</v>
      </c>
      <c r="AJ149" s="57">
        <v>3</v>
      </c>
      <c r="AK149" s="36">
        <v>6.5</v>
      </c>
      <c r="AL149" s="36">
        <v>22.91</v>
      </c>
      <c r="AM149" s="63">
        <v>6.5</v>
      </c>
      <c r="AN149" s="63">
        <v>5.5</v>
      </c>
      <c r="AO149" s="36">
        <v>0.14000000000000001</v>
      </c>
      <c r="AP149" s="68">
        <v>0.31</v>
      </c>
      <c r="AQ149" s="73">
        <f t="shared" si="40"/>
        <v>1652</v>
      </c>
      <c r="AR149" s="75">
        <f t="shared" si="41"/>
        <v>0.67615012106537531</v>
      </c>
      <c r="AS149" s="75">
        <f t="shared" si="42"/>
        <v>5.0242130750605324E-2</v>
      </c>
      <c r="AT149" s="75">
        <f t="shared" si="43"/>
        <v>0.27360774818401939</v>
      </c>
      <c r="AU149" s="26">
        <f t="shared" si="44"/>
        <v>5.6253968253968251E-2</v>
      </c>
      <c r="AV149" s="26">
        <f t="shared" si="45"/>
        <v>7.2730158730158728E-2</v>
      </c>
      <c r="AW149" s="24">
        <f t="shared" si="46"/>
        <v>0.9129213483146067</v>
      </c>
      <c r="AX149" s="24">
        <f t="shared" si="47"/>
        <v>0.8792134831460674</v>
      </c>
      <c r="AY149" s="77" t="str">
        <f t="shared" si="48"/>
        <v>5,0 ≤ Alc. Bruta &lt; 7,5 mg/L</v>
      </c>
      <c r="AZ149" s="77" t="str">
        <f t="shared" si="49"/>
        <v>10 ≤ Cor &lt;15 uC</v>
      </c>
      <c r="BA149" s="78" t="str">
        <f t="shared" si="50"/>
        <v>2,5 ≤ Turb &lt; 5,0 uT</v>
      </c>
      <c r="BB149" s="79" t="str">
        <f t="shared" si="51"/>
        <v>TOR &gt; BNN &gt; SM</v>
      </c>
      <c r="BC149" s="78" t="str">
        <f t="shared" si="52"/>
        <v>Tipo 1 (≤0,25) uT</v>
      </c>
      <c r="BD149" s="78" t="str">
        <f t="shared" si="53"/>
        <v>Tipo 1 (≤0,25) uT</v>
      </c>
      <c r="BE149" s="78" t="str">
        <f t="shared" si="54"/>
        <v>Tipo 2 (0,25-0,50) uT</v>
      </c>
      <c r="BF149" s="78" t="str">
        <f t="shared" si="55"/>
        <v>Tipo 2 (0,25-0,50) uT</v>
      </c>
      <c r="BG149" s="78" t="str">
        <f t="shared" si="56"/>
        <v>Tipo 1 (≤0,25) uT</v>
      </c>
    </row>
    <row r="150" spans="1:59" x14ac:dyDescent="0.2">
      <c r="A150" s="21">
        <v>46143</v>
      </c>
      <c r="B150" s="48">
        <v>0.89583333333333337</v>
      </c>
      <c r="C150" s="57">
        <v>1122</v>
      </c>
      <c r="D150" s="57">
        <v>95</v>
      </c>
      <c r="E150" s="57">
        <v>452</v>
      </c>
      <c r="F150" s="57">
        <v>1823</v>
      </c>
      <c r="G150" s="10" t="s">
        <v>78</v>
      </c>
      <c r="H150" s="63">
        <v>3.3</v>
      </c>
      <c r="I150" s="57">
        <v>90</v>
      </c>
      <c r="J150" s="57">
        <v>90</v>
      </c>
      <c r="K150" s="57">
        <v>90</v>
      </c>
      <c r="L150" s="63">
        <v>24.1</v>
      </c>
      <c r="M150" s="63">
        <v>6.7</v>
      </c>
      <c r="N150" s="36">
        <v>3.7</v>
      </c>
      <c r="O150" s="57">
        <v>16</v>
      </c>
      <c r="P150" s="63">
        <v>6.1</v>
      </c>
      <c r="Q150" s="36">
        <v>7.0000000000000007E-2</v>
      </c>
      <c r="R150" s="36">
        <v>22.36</v>
      </c>
      <c r="S150" s="36">
        <v>0.88</v>
      </c>
      <c r="T150" s="36">
        <v>0.7</v>
      </c>
      <c r="U150" s="42">
        <f t="shared" si="34"/>
        <v>1500.9366666666667</v>
      </c>
      <c r="V150" s="36">
        <f t="shared" si="35"/>
        <v>1548.2704837599999</v>
      </c>
      <c r="W150" s="36">
        <f t="shared" si="36"/>
        <v>1.0315361854664087</v>
      </c>
      <c r="X150" s="57">
        <v>2</v>
      </c>
      <c r="Y150" s="57">
        <v>3</v>
      </c>
      <c r="Z150" s="63">
        <v>6.48</v>
      </c>
      <c r="AA150" s="57">
        <v>19.25</v>
      </c>
      <c r="AB150" s="63">
        <v>6.6</v>
      </c>
      <c r="AC150" s="63">
        <v>6.4</v>
      </c>
      <c r="AD150" s="10">
        <v>0.1</v>
      </c>
      <c r="AE150" s="36">
        <v>0.18</v>
      </c>
      <c r="AF150" s="42">
        <f t="shared" si="37"/>
        <v>1500.9366666666667</v>
      </c>
      <c r="AG150" s="42">
        <f t="shared" si="38"/>
        <v>1841.9596858519997</v>
      </c>
      <c r="AH150" s="42">
        <f t="shared" si="39"/>
        <v>1.2272068014319943</v>
      </c>
      <c r="AI150" s="57">
        <v>2</v>
      </c>
      <c r="AJ150" s="57">
        <v>3</v>
      </c>
      <c r="AK150" s="36">
        <v>6.38</v>
      </c>
      <c r="AL150" s="36">
        <v>23.35</v>
      </c>
      <c r="AM150" s="63">
        <v>6.6</v>
      </c>
      <c r="AN150" s="63">
        <v>5.6</v>
      </c>
      <c r="AO150" s="36">
        <v>0.18</v>
      </c>
      <c r="AP150" s="68">
        <v>0.28000000000000003</v>
      </c>
      <c r="AQ150" s="73">
        <f t="shared" si="40"/>
        <v>1669</v>
      </c>
      <c r="AR150" s="75">
        <f t="shared" si="41"/>
        <v>0.67225883762732175</v>
      </c>
      <c r="AS150" s="75">
        <f t="shared" si="42"/>
        <v>5.6920311563810666E-2</v>
      </c>
      <c r="AT150" s="75">
        <f t="shared" si="43"/>
        <v>0.27082085080886759</v>
      </c>
      <c r="AU150" s="26">
        <f t="shared" si="44"/>
        <v>6.3357103675260568E-2</v>
      </c>
      <c r="AV150" s="26">
        <f t="shared" si="45"/>
        <v>7.6851343938562813E-2</v>
      </c>
      <c r="AW150" s="24">
        <f t="shared" si="46"/>
        <v>0.92432432432432432</v>
      </c>
      <c r="AX150" s="24">
        <f t="shared" si="47"/>
        <v>0.9513513513513514</v>
      </c>
      <c r="AY150" s="77" t="str">
        <f t="shared" si="48"/>
        <v>5,0 ≤ Alc. Bruta &lt; 7,5 mg/L</v>
      </c>
      <c r="AZ150" s="77" t="str">
        <f t="shared" si="49"/>
        <v>15 ≤ Cor &lt; 30 uC</v>
      </c>
      <c r="BA150" s="78" t="str">
        <f t="shared" si="50"/>
        <v>2,5 ≤ Turb &lt; 5,0 uT</v>
      </c>
      <c r="BB150" s="79" t="str">
        <f t="shared" si="51"/>
        <v>TOR &gt; BNN &gt; SM</v>
      </c>
      <c r="BC150" s="78" t="str">
        <f t="shared" si="52"/>
        <v>Tipo 1 (≤0,25) uT</v>
      </c>
      <c r="BD150" s="78" t="str">
        <f t="shared" si="53"/>
        <v>Tipo 1 (≤0,25) uT</v>
      </c>
      <c r="BE150" s="78" t="str">
        <f t="shared" si="54"/>
        <v>Tipo 1 (≤0,25) uT</v>
      </c>
      <c r="BF150" s="78" t="str">
        <f t="shared" si="55"/>
        <v>Tipo 2 (0,25-0,50) uT</v>
      </c>
      <c r="BG150" s="78" t="str">
        <f t="shared" si="56"/>
        <v>Tipo 1 (≤0,25) uT</v>
      </c>
    </row>
    <row r="151" spans="1:59" x14ac:dyDescent="0.2">
      <c r="A151" s="21">
        <v>46143</v>
      </c>
      <c r="B151" s="48">
        <v>0.97916666666666663</v>
      </c>
      <c r="C151" s="57">
        <v>1197</v>
      </c>
      <c r="D151" s="57">
        <v>84</v>
      </c>
      <c r="E151" s="57">
        <v>454</v>
      </c>
      <c r="F151" s="57">
        <v>1818</v>
      </c>
      <c r="G151" s="10" t="s">
        <v>78</v>
      </c>
      <c r="H151" s="63">
        <v>3.3</v>
      </c>
      <c r="I151" s="57">
        <v>90</v>
      </c>
      <c r="J151" s="57">
        <v>90</v>
      </c>
      <c r="K151" s="57">
        <v>90</v>
      </c>
      <c r="L151" s="63">
        <v>23.8</v>
      </c>
      <c r="M151" s="63">
        <v>6.7</v>
      </c>
      <c r="N151" s="36">
        <v>3.68</v>
      </c>
      <c r="O151" s="57">
        <v>17</v>
      </c>
      <c r="P151" s="63">
        <v>5.9</v>
      </c>
      <c r="Q151" s="36">
        <v>7.0000000000000007E-2</v>
      </c>
      <c r="R151" s="36">
        <v>22.36</v>
      </c>
      <c r="S151" s="36">
        <v>0.88</v>
      </c>
      <c r="T151" s="36">
        <v>0.7</v>
      </c>
      <c r="U151" s="42">
        <f t="shared" si="34"/>
        <v>1490.76</v>
      </c>
      <c r="V151" s="36">
        <f t="shared" si="35"/>
        <v>1521.5990462243997</v>
      </c>
      <c r="W151" s="36">
        <f t="shared" si="36"/>
        <v>1.0206867948056022</v>
      </c>
      <c r="X151" s="57">
        <v>2</v>
      </c>
      <c r="Y151" s="57">
        <v>3</v>
      </c>
      <c r="Z151" s="63">
        <v>6.51</v>
      </c>
      <c r="AA151" s="57">
        <v>18.809999999999999</v>
      </c>
      <c r="AB151" s="63">
        <v>6.6</v>
      </c>
      <c r="AC151" s="63">
        <v>6.1</v>
      </c>
      <c r="AD151" s="10">
        <v>0.17</v>
      </c>
      <c r="AE151" s="36">
        <v>0.22</v>
      </c>
      <c r="AF151" s="42">
        <f t="shared" si="37"/>
        <v>1490.76</v>
      </c>
      <c r="AG151" s="42">
        <f t="shared" si="38"/>
        <v>1814.8592527103997</v>
      </c>
      <c r="AH151" s="42">
        <f t="shared" si="39"/>
        <v>1.2174053856491989</v>
      </c>
      <c r="AI151" s="57">
        <v>2</v>
      </c>
      <c r="AJ151" s="57">
        <v>3</v>
      </c>
      <c r="AK151" s="36">
        <v>6.32</v>
      </c>
      <c r="AL151" s="36">
        <v>23.28</v>
      </c>
      <c r="AM151" s="63">
        <v>6.5</v>
      </c>
      <c r="AN151" s="63">
        <v>5.6</v>
      </c>
      <c r="AO151" s="36">
        <v>0.16</v>
      </c>
      <c r="AP151" s="68">
        <v>0.27</v>
      </c>
      <c r="AQ151" s="73">
        <f t="shared" si="40"/>
        <v>1735</v>
      </c>
      <c r="AR151" s="75">
        <f t="shared" si="41"/>
        <v>0.6899135446685879</v>
      </c>
      <c r="AS151" s="75">
        <f t="shared" si="42"/>
        <v>4.8414985590778101E-2</v>
      </c>
      <c r="AT151" s="75">
        <f t="shared" si="43"/>
        <v>0.26167146974063399</v>
      </c>
      <c r="AU151" s="26">
        <f t="shared" si="44"/>
        <v>6.2079207920792072E-2</v>
      </c>
      <c r="AV151" s="26">
        <f t="shared" si="45"/>
        <v>7.6831683168316831E-2</v>
      </c>
      <c r="AW151" s="24">
        <f t="shared" si="46"/>
        <v>0.92663043478260865</v>
      </c>
      <c r="AX151" s="24">
        <f t="shared" si="47"/>
        <v>0.94021739130434778</v>
      </c>
      <c r="AY151" s="77" t="str">
        <f t="shared" si="48"/>
        <v>5,0 ≤ Alc. Bruta &lt; 7,5 mg/L</v>
      </c>
      <c r="AZ151" s="77" t="str">
        <f t="shared" si="49"/>
        <v>15 ≤ Cor &lt; 30 uC</v>
      </c>
      <c r="BA151" s="78" t="str">
        <f t="shared" si="50"/>
        <v>2,5 ≤ Turb &lt; 5,0 uT</v>
      </c>
      <c r="BB151" s="79" t="str">
        <f t="shared" si="51"/>
        <v>TOR &gt; BNN &gt; SM</v>
      </c>
      <c r="BC151" s="78" t="str">
        <f t="shared" si="52"/>
        <v>Tipo 1 (≤0,25) uT</v>
      </c>
      <c r="BD151" s="78" t="str">
        <f t="shared" si="53"/>
        <v>Tipo 1 (≤0,25) uT</v>
      </c>
      <c r="BE151" s="78" t="str">
        <f t="shared" si="54"/>
        <v>Tipo 1 (≤0,25) uT</v>
      </c>
      <c r="BF151" s="78" t="str">
        <f t="shared" si="55"/>
        <v>Tipo 2 (0,25-0,50) uT</v>
      </c>
      <c r="BG151" s="78" t="str">
        <f t="shared" si="56"/>
        <v>Tipo 1 (≤0,25) uT</v>
      </c>
    </row>
    <row r="152" spans="1:59" x14ac:dyDescent="0.2">
      <c r="A152" s="21">
        <v>46144</v>
      </c>
      <c r="B152" s="48">
        <v>6.25E-2</v>
      </c>
      <c r="C152" s="57">
        <v>1180</v>
      </c>
      <c r="D152" s="57">
        <v>91</v>
      </c>
      <c r="E152" s="57">
        <v>453</v>
      </c>
      <c r="F152" s="57">
        <v>1824</v>
      </c>
      <c r="G152" s="10" t="s">
        <v>78</v>
      </c>
      <c r="H152" s="63">
        <v>3.3</v>
      </c>
      <c r="I152" s="57">
        <v>90</v>
      </c>
      <c r="J152" s="57">
        <v>90</v>
      </c>
      <c r="K152" s="57">
        <v>90</v>
      </c>
      <c r="L152" s="63">
        <v>23.4</v>
      </c>
      <c r="M152" s="63">
        <v>6.7</v>
      </c>
      <c r="N152" s="36">
        <v>3.33</v>
      </c>
      <c r="O152" s="57">
        <v>16</v>
      </c>
      <c r="P152" s="63">
        <v>5.5</v>
      </c>
      <c r="Q152" s="36">
        <v>0.06</v>
      </c>
      <c r="R152" s="36">
        <v>22.36</v>
      </c>
      <c r="S152" s="36">
        <v>0.88</v>
      </c>
      <c r="T152" s="36">
        <v>0.7</v>
      </c>
      <c r="U152" s="42">
        <f t="shared" si="34"/>
        <v>1389.2800000000002</v>
      </c>
      <c r="V152" s="36">
        <f t="shared" si="35"/>
        <v>1418.0446135127997</v>
      </c>
      <c r="W152" s="36">
        <f t="shared" si="36"/>
        <v>1.020704691288149</v>
      </c>
      <c r="X152" s="57">
        <v>2</v>
      </c>
      <c r="Y152" s="57">
        <v>3</v>
      </c>
      <c r="Z152" s="63">
        <v>6.54</v>
      </c>
      <c r="AA152" s="57">
        <v>17.43</v>
      </c>
      <c r="AB152" s="63">
        <v>6.6</v>
      </c>
      <c r="AC152" s="63">
        <v>5.7</v>
      </c>
      <c r="AD152" s="10">
        <v>0.47</v>
      </c>
      <c r="AE152" s="36">
        <v>0.4</v>
      </c>
      <c r="AF152" s="42">
        <f t="shared" si="37"/>
        <v>1389.2800000000002</v>
      </c>
      <c r="AG152" s="42">
        <f t="shared" si="38"/>
        <v>1834.0781404816</v>
      </c>
      <c r="AH152" s="42">
        <f t="shared" si="39"/>
        <v>1.3201645028227569</v>
      </c>
      <c r="AI152" s="57">
        <v>2</v>
      </c>
      <c r="AJ152" s="57">
        <v>3</v>
      </c>
      <c r="AK152" s="36">
        <v>6.33</v>
      </c>
      <c r="AL152" s="36">
        <v>23.48</v>
      </c>
      <c r="AM152" s="63">
        <v>6.6</v>
      </c>
      <c r="AN152" s="63">
        <v>5.4</v>
      </c>
      <c r="AO152" s="36">
        <v>0.3</v>
      </c>
      <c r="AP152" s="68">
        <v>0.39</v>
      </c>
      <c r="AQ152" s="73">
        <f t="shared" si="40"/>
        <v>1724</v>
      </c>
      <c r="AR152" s="75">
        <f t="shared" si="41"/>
        <v>0.68445475638051045</v>
      </c>
      <c r="AS152" s="75">
        <f t="shared" si="42"/>
        <v>5.2784222737819027E-2</v>
      </c>
      <c r="AT152" s="75">
        <f t="shared" si="43"/>
        <v>0.26276102088167053</v>
      </c>
      <c r="AU152" s="26">
        <f t="shared" si="44"/>
        <v>5.7335526315789476E-2</v>
      </c>
      <c r="AV152" s="26">
        <f t="shared" si="45"/>
        <v>7.7236842105263159E-2</v>
      </c>
      <c r="AW152" s="24">
        <f t="shared" si="46"/>
        <v>0.88288288288288286</v>
      </c>
      <c r="AX152" s="24">
        <f t="shared" si="47"/>
        <v>0.87987987987987992</v>
      </c>
      <c r="AY152" s="77" t="str">
        <f t="shared" si="48"/>
        <v>5,0 ≤ Alc. Bruta &lt; 7,5 mg/L</v>
      </c>
      <c r="AZ152" s="77" t="str">
        <f t="shared" si="49"/>
        <v>15 ≤ Cor &lt; 30 uC</v>
      </c>
      <c r="BA152" s="78" t="str">
        <f t="shared" si="50"/>
        <v>2,5 ≤ Turb &lt; 5,0 uT</v>
      </c>
      <c r="BB152" s="79" t="str">
        <f t="shared" si="51"/>
        <v>TOR &gt; BNN &gt; SM</v>
      </c>
      <c r="BC152" s="78" t="str">
        <f t="shared" si="52"/>
        <v>Tipo 2 (0,25-0,50) uT</v>
      </c>
      <c r="BD152" s="78" t="str">
        <f t="shared" si="53"/>
        <v>Tipo 2 (0,25-0,50) uT</v>
      </c>
      <c r="BE152" s="78" t="str">
        <f t="shared" si="54"/>
        <v>Tipo 2 (0,25-0,50) uT</v>
      </c>
      <c r="BF152" s="78" t="str">
        <f t="shared" si="55"/>
        <v>Tipo 2 (0,25-0,50) uT</v>
      </c>
      <c r="BG152" s="78" t="str">
        <f t="shared" si="56"/>
        <v>Tipo 1 (≤0,25) uT</v>
      </c>
    </row>
    <row r="153" spans="1:59" x14ac:dyDescent="0.2">
      <c r="A153" s="21">
        <v>46144</v>
      </c>
      <c r="B153" s="48">
        <v>0.14583333333333334</v>
      </c>
      <c r="C153" s="57">
        <v>618</v>
      </c>
      <c r="D153" s="57">
        <v>89</v>
      </c>
      <c r="E153" s="57">
        <v>515</v>
      </c>
      <c r="F153" s="57">
        <v>1294</v>
      </c>
      <c r="G153" s="10" t="s">
        <v>78</v>
      </c>
      <c r="H153" s="63">
        <v>3.3</v>
      </c>
      <c r="I153" s="57">
        <v>90</v>
      </c>
      <c r="J153" s="57">
        <v>90</v>
      </c>
      <c r="K153" s="57">
        <v>90</v>
      </c>
      <c r="L153" s="63">
        <v>22.9</v>
      </c>
      <c r="M153" s="63">
        <v>6.6</v>
      </c>
      <c r="N153" s="36">
        <v>3.23</v>
      </c>
      <c r="O153" s="57">
        <v>15</v>
      </c>
      <c r="P153" s="63">
        <v>5</v>
      </c>
      <c r="Q153" s="36">
        <v>0.06</v>
      </c>
      <c r="R153" s="36">
        <v>22.36</v>
      </c>
      <c r="S153" s="36">
        <v>0.88</v>
      </c>
      <c r="T153" s="36">
        <v>0.7</v>
      </c>
      <c r="U153" s="42">
        <f t="shared" si="34"/>
        <v>1446.0449999999998</v>
      </c>
      <c r="V153" s="36">
        <f t="shared" si="35"/>
        <v>1579.4487668959998</v>
      </c>
      <c r="W153" s="36">
        <f t="shared" si="36"/>
        <v>1.0922542292224655</v>
      </c>
      <c r="X153" s="57">
        <v>1</v>
      </c>
      <c r="Y153" s="57">
        <v>2</v>
      </c>
      <c r="Z153" s="63">
        <v>6.49</v>
      </c>
      <c r="AA153" s="57">
        <v>19.600000000000001</v>
      </c>
      <c r="AB153" s="63">
        <v>6.5</v>
      </c>
      <c r="AC153" s="63">
        <v>4.5999999999999996</v>
      </c>
      <c r="AD153" s="10">
        <v>0.24</v>
      </c>
      <c r="AE153" s="36">
        <v>0.35</v>
      </c>
      <c r="AF153" s="42">
        <f t="shared" si="37"/>
        <v>1446.0449999999998</v>
      </c>
      <c r="AG153" s="42">
        <f t="shared" si="38"/>
        <v>1836.0822040027999</v>
      </c>
      <c r="AH153" s="42">
        <f t="shared" si="39"/>
        <v>1.2697268784877374</v>
      </c>
      <c r="AI153" s="57">
        <v>1</v>
      </c>
      <c r="AJ153" s="57">
        <v>2</v>
      </c>
      <c r="AK153" s="36">
        <v>6.39</v>
      </c>
      <c r="AL153" s="36">
        <v>23.23</v>
      </c>
      <c r="AM153" s="63">
        <v>6.6</v>
      </c>
      <c r="AN153" s="63">
        <v>4.8</v>
      </c>
      <c r="AO153" s="36">
        <v>0.24</v>
      </c>
      <c r="AP153" s="68">
        <v>0.33</v>
      </c>
      <c r="AQ153" s="73">
        <f t="shared" si="40"/>
        <v>1222</v>
      </c>
      <c r="AR153" s="75">
        <f t="shared" si="41"/>
        <v>0.50572831423895259</v>
      </c>
      <c r="AS153" s="75">
        <f t="shared" si="42"/>
        <v>7.2831423895253683E-2</v>
      </c>
      <c r="AT153" s="75">
        <f t="shared" si="43"/>
        <v>0.42144026186579381</v>
      </c>
      <c r="AU153" s="26">
        <f t="shared" si="44"/>
        <v>6.0587326120556416E-2</v>
      </c>
      <c r="AV153" s="26">
        <f t="shared" si="45"/>
        <v>7.1808346213292115E-2</v>
      </c>
      <c r="AW153" s="24">
        <f t="shared" si="46"/>
        <v>0.89783281733746134</v>
      </c>
      <c r="AX153" s="24">
        <f t="shared" si="47"/>
        <v>0.89164086687306499</v>
      </c>
      <c r="AY153" s="77" t="str">
        <f t="shared" si="48"/>
        <v>5,0 ≤ Alc. Bruta &lt; 7,5 mg/L</v>
      </c>
      <c r="AZ153" s="77" t="str">
        <f t="shared" si="49"/>
        <v>15 ≤ Cor &lt; 30 uC</v>
      </c>
      <c r="BA153" s="78" t="str">
        <f t="shared" si="50"/>
        <v>2,5 ≤ Turb &lt; 5,0 uT</v>
      </c>
      <c r="BB153" s="79" t="str">
        <f t="shared" si="51"/>
        <v>TOR &gt; BNN &gt; SM</v>
      </c>
      <c r="BC153" s="78" t="str">
        <f t="shared" si="52"/>
        <v>Tipo 1 (≤0,25) uT</v>
      </c>
      <c r="BD153" s="78" t="str">
        <f t="shared" si="53"/>
        <v>Tipo 1 (≤0,25) uT</v>
      </c>
      <c r="BE153" s="78" t="str">
        <f t="shared" si="54"/>
        <v>Tipo 2 (0,25-0,50) uT</v>
      </c>
      <c r="BF153" s="78" t="str">
        <f t="shared" si="55"/>
        <v>Tipo 2 (0,25-0,50) uT</v>
      </c>
      <c r="BG153" s="78" t="str">
        <f t="shared" si="56"/>
        <v>Tipo 1 (≤0,25) uT</v>
      </c>
    </row>
    <row r="154" spans="1:59" ht="15.75" thickBot="1" x14ac:dyDescent="0.25">
      <c r="A154" s="21">
        <v>46144</v>
      </c>
      <c r="B154" s="51">
        <v>0.22916666666666666</v>
      </c>
      <c r="C154" s="58">
        <v>533</v>
      </c>
      <c r="D154" s="58">
        <v>86</v>
      </c>
      <c r="E154" s="58">
        <v>513</v>
      </c>
      <c r="F154" s="58">
        <v>1296</v>
      </c>
      <c r="G154" s="11" t="s">
        <v>78</v>
      </c>
      <c r="H154" s="64">
        <v>3.3</v>
      </c>
      <c r="I154" s="58">
        <v>90</v>
      </c>
      <c r="J154" s="58">
        <v>90</v>
      </c>
      <c r="K154" s="58">
        <v>90</v>
      </c>
      <c r="L154" s="64">
        <v>22.7</v>
      </c>
      <c r="M154" s="64">
        <v>6.7</v>
      </c>
      <c r="N154" s="37">
        <v>3.29</v>
      </c>
      <c r="O154" s="58">
        <v>16</v>
      </c>
      <c r="P154" s="64">
        <v>6.3</v>
      </c>
      <c r="Q154" s="37">
        <v>7.0000000000000007E-2</v>
      </c>
      <c r="R154" s="36">
        <v>22.36</v>
      </c>
      <c r="S154" s="36">
        <v>0.88</v>
      </c>
      <c r="T154" s="36">
        <v>0.7</v>
      </c>
      <c r="U154" s="42">
        <f t="shared" si="34"/>
        <v>1467.72</v>
      </c>
      <c r="V154" s="36">
        <f t="shared" si="35"/>
        <v>1554.7048546015997</v>
      </c>
      <c r="W154" s="36">
        <f t="shared" si="36"/>
        <v>1.0592652921549066</v>
      </c>
      <c r="X154" s="58">
        <v>1</v>
      </c>
      <c r="Y154" s="58">
        <v>2</v>
      </c>
      <c r="Z154" s="64">
        <v>6.48</v>
      </c>
      <c r="AA154" s="58">
        <v>19.329999999999998</v>
      </c>
      <c r="AB154" s="64">
        <v>6.6</v>
      </c>
      <c r="AC154" s="64">
        <v>4.0999999999999996</v>
      </c>
      <c r="AD154" s="11">
        <v>0.36</v>
      </c>
      <c r="AE154" s="37">
        <v>0.18</v>
      </c>
      <c r="AF154" s="42">
        <f t="shared" si="37"/>
        <v>1467.72</v>
      </c>
      <c r="AG154" s="42">
        <f t="shared" si="38"/>
        <v>1813.8853027619996</v>
      </c>
      <c r="AH154" s="42">
        <f t="shared" si="39"/>
        <v>1.2358524124233501</v>
      </c>
      <c r="AI154" s="58">
        <v>1</v>
      </c>
      <c r="AJ154" s="58">
        <v>2</v>
      </c>
      <c r="AK154" s="37">
        <v>6.35</v>
      </c>
      <c r="AL154" s="37">
        <v>23.13</v>
      </c>
      <c r="AM154" s="64">
        <v>6.6</v>
      </c>
      <c r="AN154" s="64">
        <v>5.3</v>
      </c>
      <c r="AO154" s="37">
        <v>0.3</v>
      </c>
      <c r="AP154" s="69">
        <v>0.27</v>
      </c>
      <c r="AQ154" s="73">
        <f t="shared" si="40"/>
        <v>1132</v>
      </c>
      <c r="AR154" s="75">
        <f t="shared" si="41"/>
        <v>0.47084805653710249</v>
      </c>
      <c r="AS154" s="75">
        <f t="shared" si="42"/>
        <v>7.5971731448763249E-2</v>
      </c>
      <c r="AT154" s="75">
        <f t="shared" si="43"/>
        <v>0.45318021201413428</v>
      </c>
      <c r="AU154" s="26">
        <f t="shared" si="44"/>
        <v>5.9660493827160488E-2</v>
      </c>
      <c r="AV154" s="26">
        <f t="shared" si="45"/>
        <v>7.1388888888888891E-2</v>
      </c>
      <c r="AW154" s="24">
        <f t="shared" si="46"/>
        <v>0.91793313069908811</v>
      </c>
      <c r="AX154" s="24">
        <f t="shared" si="47"/>
        <v>0.94528875379939215</v>
      </c>
      <c r="AY154" s="77" t="str">
        <f t="shared" si="48"/>
        <v>5,0 ≤ Alc. Bruta &lt; 7,5 mg/L</v>
      </c>
      <c r="AZ154" s="77" t="str">
        <f t="shared" si="49"/>
        <v>15 ≤ Cor &lt; 30 uC</v>
      </c>
      <c r="BA154" s="78" t="str">
        <f t="shared" si="50"/>
        <v>2,5 ≤ Turb &lt; 5,0 uT</v>
      </c>
      <c r="BB154" s="79" t="str">
        <f t="shared" si="51"/>
        <v>TOR &gt; BNN &gt; SM</v>
      </c>
      <c r="BC154" s="78" t="str">
        <f t="shared" si="52"/>
        <v>Tipo 2 (0,25-0,50) uT</v>
      </c>
      <c r="BD154" s="78" t="str">
        <f t="shared" si="53"/>
        <v>Tipo 2 (0,25-0,50) uT</v>
      </c>
      <c r="BE154" s="78" t="str">
        <f t="shared" si="54"/>
        <v>Tipo 1 (≤0,25) uT</v>
      </c>
      <c r="BF154" s="78" t="str">
        <f t="shared" si="55"/>
        <v>Tipo 2 (0,25-0,50) uT</v>
      </c>
      <c r="BG154" s="78" t="str">
        <f t="shared" si="56"/>
        <v>Tipo 1 (≤0,25) uT</v>
      </c>
    </row>
    <row r="155" spans="1:59" x14ac:dyDescent="0.2">
      <c r="A155" s="21">
        <v>46144</v>
      </c>
      <c r="B155" s="52">
        <v>0.3125</v>
      </c>
      <c r="C155" s="59">
        <v>592</v>
      </c>
      <c r="D155" s="57">
        <v>88.5</v>
      </c>
      <c r="E155" s="59">
        <v>512</v>
      </c>
      <c r="F155" s="59">
        <v>1304</v>
      </c>
      <c r="G155" s="9" t="s">
        <v>78</v>
      </c>
      <c r="H155" s="65">
        <v>3.3</v>
      </c>
      <c r="I155" s="59">
        <v>90</v>
      </c>
      <c r="J155" s="59">
        <v>90</v>
      </c>
      <c r="K155" s="59">
        <v>90</v>
      </c>
      <c r="L155" s="65">
        <v>23</v>
      </c>
      <c r="M155" s="65">
        <v>6.8</v>
      </c>
      <c r="N155" s="38">
        <v>3.26</v>
      </c>
      <c r="O155" s="59">
        <v>15</v>
      </c>
      <c r="P155" s="65">
        <v>7.1</v>
      </c>
      <c r="Q155" s="38">
        <v>0.1</v>
      </c>
      <c r="R155" s="36">
        <v>22.36</v>
      </c>
      <c r="S155" s="36">
        <v>0.88</v>
      </c>
      <c r="T155" s="36">
        <v>0.7</v>
      </c>
      <c r="U155" s="42">
        <f t="shared" si="34"/>
        <v>1467</v>
      </c>
      <c r="V155" s="36">
        <f t="shared" si="35"/>
        <v>1372.556302</v>
      </c>
      <c r="W155" s="36">
        <f t="shared" si="36"/>
        <v>0.93562120109066116</v>
      </c>
      <c r="X155" s="59">
        <v>1</v>
      </c>
      <c r="Y155" s="59">
        <v>2</v>
      </c>
      <c r="Z155" s="65">
        <v>6.5</v>
      </c>
      <c r="AA155" s="59">
        <v>17</v>
      </c>
      <c r="AB155" s="65">
        <v>6.6</v>
      </c>
      <c r="AC155" s="65">
        <v>5.6</v>
      </c>
      <c r="AD155" s="9">
        <v>0.23</v>
      </c>
      <c r="AE155" s="38">
        <v>0.24</v>
      </c>
      <c r="AF155" s="42">
        <f t="shared" si="37"/>
        <v>978</v>
      </c>
      <c r="AG155" s="42">
        <f t="shared" si="38"/>
        <v>1611.6824151999999</v>
      </c>
      <c r="AH155" s="42">
        <f t="shared" si="39"/>
        <v>1.6479370298568505</v>
      </c>
      <c r="AI155" s="59">
        <v>2</v>
      </c>
      <c r="AJ155" s="59">
        <v>3</v>
      </c>
      <c r="AK155" s="38">
        <v>6.49</v>
      </c>
      <c r="AL155" s="38">
        <v>20</v>
      </c>
      <c r="AM155" s="65">
        <v>6.7</v>
      </c>
      <c r="AN155" s="65">
        <v>6.4</v>
      </c>
      <c r="AO155" s="38">
        <v>0.36</v>
      </c>
      <c r="AP155" s="70">
        <v>0.34</v>
      </c>
      <c r="AQ155" s="73">
        <f t="shared" si="40"/>
        <v>1192.5</v>
      </c>
      <c r="AR155" s="75">
        <f t="shared" si="41"/>
        <v>0.49643605870020963</v>
      </c>
      <c r="AS155" s="75">
        <f t="shared" si="42"/>
        <v>7.4213836477987419E-2</v>
      </c>
      <c r="AT155" s="75">
        <f t="shared" si="43"/>
        <v>0.42935010482180291</v>
      </c>
      <c r="AU155" s="26">
        <f t="shared" si="44"/>
        <v>5.2147239263803678E-2</v>
      </c>
      <c r="AV155" s="26">
        <f t="shared" si="45"/>
        <v>9.202453987730061E-2</v>
      </c>
      <c r="AW155" s="24">
        <f t="shared" si="46"/>
        <v>0.89570552147239257</v>
      </c>
      <c r="AX155" s="24">
        <f t="shared" si="47"/>
        <v>0.92638036809815949</v>
      </c>
      <c r="AY155" s="77" t="str">
        <f t="shared" si="48"/>
        <v>5,0 ≤ Alc. Bruta &lt; 7,5 mg/L</v>
      </c>
      <c r="AZ155" s="77" t="str">
        <f t="shared" si="49"/>
        <v>15 ≤ Cor &lt; 30 uC</v>
      </c>
      <c r="BA155" s="78" t="str">
        <f t="shared" si="50"/>
        <v>2,5 ≤ Turb &lt; 5,0 uT</v>
      </c>
      <c r="BB155" s="79" t="str">
        <f t="shared" si="51"/>
        <v>TOR &gt; BNN &gt; SM</v>
      </c>
      <c r="BC155" s="78" t="str">
        <f t="shared" si="52"/>
        <v>Tipo 1 (≤0,25) uT</v>
      </c>
      <c r="BD155" s="78" t="str">
        <f t="shared" si="53"/>
        <v>Tipo 2 (0,25-0,50) uT</v>
      </c>
      <c r="BE155" s="78" t="str">
        <f t="shared" si="54"/>
        <v>Tipo 1 (≤0,25) uT</v>
      </c>
      <c r="BF155" s="78" t="str">
        <f t="shared" si="55"/>
        <v>Tipo 2 (0,25-0,50) uT</v>
      </c>
      <c r="BG155" s="78" t="str">
        <f t="shared" si="56"/>
        <v>Tipo 1 (≤0,25) uT</v>
      </c>
    </row>
    <row r="156" spans="1:59" x14ac:dyDescent="0.2">
      <c r="A156" s="21">
        <v>46144</v>
      </c>
      <c r="B156" s="48">
        <v>0.39583333333333331</v>
      </c>
      <c r="C156" s="57">
        <v>591</v>
      </c>
      <c r="D156" s="57">
        <v>88</v>
      </c>
      <c r="E156" s="57">
        <v>516</v>
      </c>
      <c r="F156" s="57">
        <v>1255</v>
      </c>
      <c r="G156" s="10" t="s">
        <v>78</v>
      </c>
      <c r="H156" s="63">
        <v>3</v>
      </c>
      <c r="I156" s="57">
        <v>90</v>
      </c>
      <c r="J156" s="57">
        <v>90</v>
      </c>
      <c r="K156" s="57">
        <v>90</v>
      </c>
      <c r="L156" s="63">
        <v>23.5</v>
      </c>
      <c r="M156" s="63">
        <v>6.7</v>
      </c>
      <c r="N156" s="36">
        <v>3.3</v>
      </c>
      <c r="O156" s="57">
        <v>16</v>
      </c>
      <c r="P156" s="63">
        <v>7</v>
      </c>
      <c r="Q156" s="36">
        <v>0.14000000000000001</v>
      </c>
      <c r="R156" s="36">
        <v>22.36</v>
      </c>
      <c r="S156" s="36">
        <v>0.88</v>
      </c>
      <c r="T156" s="36">
        <v>0.7</v>
      </c>
      <c r="U156" s="42">
        <f t="shared" si="34"/>
        <v>1396.1874999999998</v>
      </c>
      <c r="V156" s="36">
        <f t="shared" si="35"/>
        <v>1380.4350492400001</v>
      </c>
      <c r="W156" s="36">
        <f t="shared" si="36"/>
        <v>0.98871752485966269</v>
      </c>
      <c r="X156" s="57">
        <v>1</v>
      </c>
      <c r="Y156" s="57">
        <v>2</v>
      </c>
      <c r="Z156" s="63">
        <v>6.53</v>
      </c>
      <c r="AA156" s="57">
        <v>17</v>
      </c>
      <c r="AB156" s="63">
        <v>6.4</v>
      </c>
      <c r="AC156" s="63">
        <v>5.8</v>
      </c>
      <c r="AD156" s="10">
        <v>0.28999999999999998</v>
      </c>
      <c r="AE156" s="36">
        <v>0.56999999999999995</v>
      </c>
      <c r="AF156" s="42">
        <f t="shared" si="37"/>
        <v>930.79166666666652</v>
      </c>
      <c r="AG156" s="42">
        <f t="shared" si="38"/>
        <v>1749.0599297599999</v>
      </c>
      <c r="AH156" s="42">
        <f t="shared" si="39"/>
        <v>1.8791100010850981</v>
      </c>
      <c r="AI156" s="57">
        <v>2</v>
      </c>
      <c r="AJ156" s="57">
        <v>3</v>
      </c>
      <c r="AK156" s="36">
        <v>6.42</v>
      </c>
      <c r="AL156" s="36">
        <v>22</v>
      </c>
      <c r="AM156" s="63">
        <v>6.6</v>
      </c>
      <c r="AN156" s="63">
        <v>6.3</v>
      </c>
      <c r="AO156" s="36">
        <v>0.38</v>
      </c>
      <c r="AP156" s="68">
        <v>0.42</v>
      </c>
      <c r="AQ156" s="73">
        <f t="shared" si="40"/>
        <v>1195</v>
      </c>
      <c r="AR156" s="75">
        <f t="shared" si="41"/>
        <v>0.49456066945606697</v>
      </c>
      <c r="AS156" s="75">
        <f t="shared" si="42"/>
        <v>7.364016736401674E-2</v>
      </c>
      <c r="AT156" s="75">
        <f t="shared" si="43"/>
        <v>0.43179916317991635</v>
      </c>
      <c r="AU156" s="26">
        <f t="shared" si="44"/>
        <v>5.4183266932270914E-2</v>
      </c>
      <c r="AV156" s="26">
        <f t="shared" si="45"/>
        <v>0.1051792828685259</v>
      </c>
      <c r="AW156" s="24">
        <f t="shared" si="46"/>
        <v>0.87272727272727268</v>
      </c>
      <c r="AX156" s="24">
        <f t="shared" si="47"/>
        <v>0.82727272727272727</v>
      </c>
      <c r="AY156" s="77" t="str">
        <f t="shared" si="48"/>
        <v>5,0 ≤ Alc. Bruta &lt; 7,5 mg/L</v>
      </c>
      <c r="AZ156" s="77" t="str">
        <f t="shared" si="49"/>
        <v>15 ≤ Cor &lt; 30 uC</v>
      </c>
      <c r="BA156" s="78" t="str">
        <f t="shared" si="50"/>
        <v>2,5 ≤ Turb &lt; 5,0 uT</v>
      </c>
      <c r="BB156" s="79" t="str">
        <f t="shared" si="51"/>
        <v>TOR &gt; BNN &gt; SM</v>
      </c>
      <c r="BC156" s="78" t="str">
        <f t="shared" si="52"/>
        <v>Tipo 2 (0,25-0,50) uT</v>
      </c>
      <c r="BD156" s="78" t="str">
        <f t="shared" si="53"/>
        <v>Tipo 2 (0,25-0,50) uT</v>
      </c>
      <c r="BE156" s="78" t="str">
        <f t="shared" si="54"/>
        <v>Tipo 3 (0,50-0,75) uT</v>
      </c>
      <c r="BF156" s="78" t="str">
        <f t="shared" si="55"/>
        <v>Tipo 2 (0,25-0,50) uT</v>
      </c>
      <c r="BG156" s="78" t="str">
        <f t="shared" si="56"/>
        <v>Tipo 1 (≤0,25) uT</v>
      </c>
    </row>
    <row r="157" spans="1:59" x14ac:dyDescent="0.2">
      <c r="A157" s="21">
        <v>46144</v>
      </c>
      <c r="B157" s="48">
        <v>0.47916666666666669</v>
      </c>
      <c r="C157" s="57">
        <v>1112</v>
      </c>
      <c r="D157" s="57">
        <v>84</v>
      </c>
      <c r="E157" s="57">
        <v>450</v>
      </c>
      <c r="F157" s="57">
        <v>1721</v>
      </c>
      <c r="G157" s="10" t="s">
        <v>78</v>
      </c>
      <c r="H157" s="63">
        <v>3.3</v>
      </c>
      <c r="I157" s="57">
        <v>90</v>
      </c>
      <c r="J157" s="57">
        <v>90</v>
      </c>
      <c r="K157" s="57">
        <v>90</v>
      </c>
      <c r="L157" s="63">
        <v>23.8</v>
      </c>
      <c r="M157" s="63">
        <v>6.7</v>
      </c>
      <c r="N157" s="36">
        <v>3.27</v>
      </c>
      <c r="O157" s="57">
        <v>17</v>
      </c>
      <c r="P157" s="63">
        <v>5.5</v>
      </c>
      <c r="Q157" s="36">
        <v>0.16</v>
      </c>
      <c r="R157" s="36">
        <v>22.36</v>
      </c>
      <c r="S157" s="36">
        <v>0.88</v>
      </c>
      <c r="T157" s="36">
        <v>0.7</v>
      </c>
      <c r="U157" s="42">
        <f t="shared" si="34"/>
        <v>1293.6183333333331</v>
      </c>
      <c r="V157" s="36">
        <f t="shared" si="35"/>
        <v>1531.0982944399998</v>
      </c>
      <c r="W157" s="36">
        <f t="shared" si="36"/>
        <v>1.1835780732132481</v>
      </c>
      <c r="X157" s="57">
        <v>2</v>
      </c>
      <c r="Y157" s="57">
        <v>3</v>
      </c>
      <c r="Z157" s="63">
        <v>6.49</v>
      </c>
      <c r="AA157" s="57">
        <v>19</v>
      </c>
      <c r="AB157" s="63">
        <v>6.6</v>
      </c>
      <c r="AC157" s="63">
        <v>5.3</v>
      </c>
      <c r="AD157" s="10">
        <v>0.3</v>
      </c>
      <c r="AE157" s="36">
        <v>0.48</v>
      </c>
      <c r="AF157" s="42">
        <f t="shared" si="37"/>
        <v>970.21375</v>
      </c>
      <c r="AG157" s="42">
        <f t="shared" si="38"/>
        <v>1853.4347774799999</v>
      </c>
      <c r="AH157" s="42">
        <f t="shared" si="39"/>
        <v>1.9103365392213827</v>
      </c>
      <c r="AI157" s="57">
        <v>2</v>
      </c>
      <c r="AJ157" s="57">
        <v>4</v>
      </c>
      <c r="AK157" s="36">
        <v>6.49</v>
      </c>
      <c r="AL157" s="36">
        <v>23</v>
      </c>
      <c r="AM157" s="63">
        <v>6.5</v>
      </c>
      <c r="AN157" s="63">
        <v>5.7</v>
      </c>
      <c r="AO157" s="36">
        <v>0.27</v>
      </c>
      <c r="AP157" s="68">
        <v>0.43</v>
      </c>
      <c r="AQ157" s="73">
        <f t="shared" si="40"/>
        <v>1646</v>
      </c>
      <c r="AR157" s="75">
        <f t="shared" si="41"/>
        <v>0.67557715674362095</v>
      </c>
      <c r="AS157" s="75">
        <f t="shared" si="42"/>
        <v>5.1032806804374241E-2</v>
      </c>
      <c r="AT157" s="75">
        <f t="shared" si="43"/>
        <v>0.27339003645200488</v>
      </c>
      <c r="AU157" s="26">
        <f t="shared" si="44"/>
        <v>6.6240557815223713E-2</v>
      </c>
      <c r="AV157" s="26">
        <f t="shared" si="45"/>
        <v>0.10691458454386985</v>
      </c>
      <c r="AW157" s="24">
        <f t="shared" si="46"/>
        <v>0.86850152905198774</v>
      </c>
      <c r="AX157" s="24">
        <f t="shared" si="47"/>
        <v>0.85321100917431192</v>
      </c>
      <c r="AY157" s="77" t="str">
        <f t="shared" si="48"/>
        <v>5,0 ≤ Alc. Bruta &lt; 7,5 mg/L</v>
      </c>
      <c r="AZ157" s="77" t="str">
        <f t="shared" si="49"/>
        <v>15 ≤ Cor &lt; 30 uC</v>
      </c>
      <c r="BA157" s="78" t="str">
        <f t="shared" si="50"/>
        <v>2,5 ≤ Turb &lt; 5,0 uT</v>
      </c>
      <c r="BB157" s="79" t="str">
        <f t="shared" si="51"/>
        <v>TOR &gt; BNN &gt; SM</v>
      </c>
      <c r="BC157" s="78" t="str">
        <f t="shared" si="52"/>
        <v>Tipo 2 (0,25-0,50) uT</v>
      </c>
      <c r="BD157" s="78" t="str">
        <f t="shared" si="53"/>
        <v>Tipo 2 (0,25-0,50) uT</v>
      </c>
      <c r="BE157" s="78" t="str">
        <f t="shared" si="54"/>
        <v>Tipo 2 (0,25-0,50) uT</v>
      </c>
      <c r="BF157" s="78" t="str">
        <f t="shared" si="55"/>
        <v>Tipo 2 (0,25-0,50) uT</v>
      </c>
      <c r="BG157" s="78" t="str">
        <f t="shared" si="56"/>
        <v>Tipo 1 (≤0,25) uT</v>
      </c>
    </row>
    <row r="158" spans="1:59" x14ac:dyDescent="0.2">
      <c r="A158" s="21">
        <v>46144</v>
      </c>
      <c r="B158" s="48">
        <v>0.64583333333333337</v>
      </c>
      <c r="C158" s="57">
        <v>1080</v>
      </c>
      <c r="D158" s="57">
        <v>81</v>
      </c>
      <c r="E158" s="57">
        <v>451</v>
      </c>
      <c r="F158" s="57">
        <v>1730</v>
      </c>
      <c r="G158" s="10" t="s">
        <v>78</v>
      </c>
      <c r="H158" s="63">
        <v>3.3</v>
      </c>
      <c r="I158" s="57">
        <v>90</v>
      </c>
      <c r="J158" s="57">
        <v>90</v>
      </c>
      <c r="K158" s="57">
        <v>90</v>
      </c>
      <c r="L158" s="63">
        <v>24.9</v>
      </c>
      <c r="M158" s="63">
        <v>6.7</v>
      </c>
      <c r="N158" s="36">
        <v>3.17</v>
      </c>
      <c r="O158" s="57">
        <v>13</v>
      </c>
      <c r="P158" s="63">
        <v>6</v>
      </c>
      <c r="Q158" s="36">
        <v>0.1</v>
      </c>
      <c r="R158" s="36">
        <v>22.36</v>
      </c>
      <c r="S158" s="36">
        <v>0.88</v>
      </c>
      <c r="T158" s="36">
        <v>0.7</v>
      </c>
      <c r="U158" s="42">
        <f t="shared" si="34"/>
        <v>1271.55</v>
      </c>
      <c r="V158" s="36">
        <f t="shared" si="35"/>
        <v>1447.7334393599999</v>
      </c>
      <c r="W158" s="36">
        <f t="shared" si="36"/>
        <v>1.1385580113719476</v>
      </c>
      <c r="X158" s="57">
        <v>2</v>
      </c>
      <c r="Y158" s="57">
        <v>3</v>
      </c>
      <c r="Z158" s="63">
        <v>6.48</v>
      </c>
      <c r="AA158" s="57">
        <v>18</v>
      </c>
      <c r="AB158" s="63">
        <v>6.6</v>
      </c>
      <c r="AC158" s="63">
        <v>5.4</v>
      </c>
      <c r="AD158" s="10">
        <v>0.19</v>
      </c>
      <c r="AE158" s="36">
        <v>0.52</v>
      </c>
      <c r="AF158" s="42">
        <f t="shared" si="37"/>
        <v>953.66250000000002</v>
      </c>
      <c r="AG158" s="42">
        <f t="shared" si="38"/>
        <v>1839.2221353999998</v>
      </c>
      <c r="AH158" s="42">
        <f t="shared" si="39"/>
        <v>1.9285880858270088</v>
      </c>
      <c r="AI158" s="57">
        <v>2</v>
      </c>
      <c r="AJ158" s="57">
        <v>4</v>
      </c>
      <c r="AK158" s="36">
        <v>6.45</v>
      </c>
      <c r="AL158" s="36">
        <v>23</v>
      </c>
      <c r="AM158" s="63">
        <v>6.6</v>
      </c>
      <c r="AN158" s="63">
        <v>5.2</v>
      </c>
      <c r="AO158" s="36">
        <v>0.27</v>
      </c>
      <c r="AP158" s="68">
        <v>0.28000000000000003</v>
      </c>
      <c r="AQ158" s="73">
        <f t="shared" si="40"/>
        <v>1612</v>
      </c>
      <c r="AR158" s="75">
        <f t="shared" si="41"/>
        <v>0.66997518610421836</v>
      </c>
      <c r="AS158" s="75">
        <f t="shared" si="42"/>
        <v>5.024813895781638E-2</v>
      </c>
      <c r="AT158" s="75">
        <f t="shared" si="43"/>
        <v>0.27977667493796526</v>
      </c>
      <c r="AU158" s="26">
        <f t="shared" si="44"/>
        <v>6.2427745664739888E-2</v>
      </c>
      <c r="AV158" s="26">
        <f t="shared" si="45"/>
        <v>0.10635838150289018</v>
      </c>
      <c r="AW158" s="24">
        <f t="shared" si="46"/>
        <v>0.91167192429022081</v>
      </c>
      <c r="AX158" s="24">
        <f t="shared" si="47"/>
        <v>0.83596214511041012</v>
      </c>
      <c r="AY158" s="77" t="str">
        <f t="shared" si="48"/>
        <v>5,0 ≤ Alc. Bruta &lt; 7,5 mg/L</v>
      </c>
      <c r="AZ158" s="77" t="str">
        <f t="shared" si="49"/>
        <v>10 ≤ Cor &lt;15 uC</v>
      </c>
      <c r="BA158" s="78" t="str">
        <f t="shared" si="50"/>
        <v>2,5 ≤ Turb &lt; 5,0 uT</v>
      </c>
      <c r="BB158" s="79" t="str">
        <f t="shared" si="51"/>
        <v>TOR &gt; BNN &gt; SM</v>
      </c>
      <c r="BC158" s="78" t="str">
        <f t="shared" si="52"/>
        <v>Tipo 1 (≤0,25) uT</v>
      </c>
      <c r="BD158" s="78" t="str">
        <f t="shared" si="53"/>
        <v>Tipo 2 (0,25-0,50) uT</v>
      </c>
      <c r="BE158" s="78" t="str">
        <f t="shared" si="54"/>
        <v>Tipo 3 (0,50-0,75) uT</v>
      </c>
      <c r="BF158" s="78" t="str">
        <f t="shared" si="55"/>
        <v>Tipo 2 (0,25-0,50) uT</v>
      </c>
      <c r="BG158" s="78" t="str">
        <f t="shared" si="56"/>
        <v>Tipo 1 (≤0,25) uT</v>
      </c>
    </row>
    <row r="159" spans="1:59" x14ac:dyDescent="0.2">
      <c r="A159" s="21">
        <v>46144</v>
      </c>
      <c r="B159" s="48">
        <v>0.72916666666666663</v>
      </c>
      <c r="C159" s="57">
        <v>1144</v>
      </c>
      <c r="D159" s="57">
        <v>82</v>
      </c>
      <c r="E159" s="57">
        <v>454</v>
      </c>
      <c r="F159" s="57">
        <v>1780</v>
      </c>
      <c r="G159" s="10" t="s">
        <v>78</v>
      </c>
      <c r="H159" s="63">
        <v>3.3</v>
      </c>
      <c r="I159" s="57">
        <v>90</v>
      </c>
      <c r="J159" s="57">
        <v>90</v>
      </c>
      <c r="K159" s="57">
        <v>90</v>
      </c>
      <c r="L159" s="63">
        <v>25</v>
      </c>
      <c r="M159" s="63">
        <v>6.7</v>
      </c>
      <c r="N159" s="36">
        <v>3.28</v>
      </c>
      <c r="O159" s="57">
        <v>14</v>
      </c>
      <c r="P159" s="63">
        <v>6.2</v>
      </c>
      <c r="Q159" s="36">
        <v>0.09</v>
      </c>
      <c r="R159" s="36">
        <v>22.36</v>
      </c>
      <c r="S159" s="36">
        <v>0.88</v>
      </c>
      <c r="T159" s="36">
        <v>0.7</v>
      </c>
      <c r="U159" s="42">
        <f t="shared" si="34"/>
        <v>1340.9333333333334</v>
      </c>
      <c r="V159" s="36">
        <f t="shared" si="35"/>
        <v>1531.0982944399998</v>
      </c>
      <c r="W159" s="36">
        <f t="shared" si="36"/>
        <v>1.1418153732027441</v>
      </c>
      <c r="X159" s="57">
        <v>2</v>
      </c>
      <c r="Y159" s="57">
        <v>3</v>
      </c>
      <c r="Z159" s="63">
        <v>6.49</v>
      </c>
      <c r="AA159" s="57">
        <v>19</v>
      </c>
      <c r="AB159" s="63">
        <v>6.6</v>
      </c>
      <c r="AC159" s="63">
        <v>5.6</v>
      </c>
      <c r="AD159" s="10">
        <v>0.21</v>
      </c>
      <c r="AE159" s="36">
        <v>0.28000000000000003</v>
      </c>
      <c r="AF159" s="42">
        <f t="shared" si="37"/>
        <v>1005.6999999999999</v>
      </c>
      <c r="AG159" s="42">
        <f t="shared" si="38"/>
        <v>1742.2625791999999</v>
      </c>
      <c r="AH159" s="42">
        <f t="shared" si="39"/>
        <v>1.7323879677836334</v>
      </c>
      <c r="AI159" s="57">
        <v>2</v>
      </c>
      <c r="AJ159" s="57">
        <v>4</v>
      </c>
      <c r="AK159" s="36">
        <v>6.4</v>
      </c>
      <c r="AL159" s="36">
        <v>22</v>
      </c>
      <c r="AM159" s="63">
        <v>6.6</v>
      </c>
      <c r="AN159" s="63">
        <v>5.5</v>
      </c>
      <c r="AO159" s="36">
        <v>0.28000000000000003</v>
      </c>
      <c r="AP159" s="68">
        <v>0.31</v>
      </c>
      <c r="AQ159" s="73">
        <f t="shared" si="40"/>
        <v>1680</v>
      </c>
      <c r="AR159" s="75">
        <f t="shared" si="41"/>
        <v>0.68095238095238098</v>
      </c>
      <c r="AS159" s="75">
        <f t="shared" si="42"/>
        <v>4.880952380952381E-2</v>
      </c>
      <c r="AT159" s="75">
        <f t="shared" si="43"/>
        <v>0.27023809523809522</v>
      </c>
      <c r="AU159" s="26">
        <f t="shared" si="44"/>
        <v>6.4044943820224715E-2</v>
      </c>
      <c r="AV159" s="26">
        <f t="shared" si="45"/>
        <v>9.8876404494382023E-2</v>
      </c>
      <c r="AW159" s="24">
        <f t="shared" si="46"/>
        <v>0.90548780487804881</v>
      </c>
      <c r="AX159" s="24">
        <f t="shared" si="47"/>
        <v>0.91463414634146345</v>
      </c>
      <c r="AY159" s="77" t="str">
        <f t="shared" si="48"/>
        <v>5,0 ≤ Alc. Bruta &lt; 7,5 mg/L</v>
      </c>
      <c r="AZ159" s="77" t="str">
        <f t="shared" si="49"/>
        <v>10 ≤ Cor &lt;15 uC</v>
      </c>
      <c r="BA159" s="78" t="str">
        <f t="shared" si="50"/>
        <v>2,5 ≤ Turb &lt; 5,0 uT</v>
      </c>
      <c r="BB159" s="79" t="str">
        <f t="shared" si="51"/>
        <v>TOR &gt; BNN &gt; SM</v>
      </c>
      <c r="BC159" s="78" t="str">
        <f t="shared" si="52"/>
        <v>Tipo 1 (≤0,25) uT</v>
      </c>
      <c r="BD159" s="78" t="str">
        <f t="shared" si="53"/>
        <v>Tipo 2 (0,25-0,50) uT</v>
      </c>
      <c r="BE159" s="78" t="str">
        <f t="shared" si="54"/>
        <v>Tipo 2 (0,25-0,50) uT</v>
      </c>
      <c r="BF159" s="78" t="str">
        <f t="shared" si="55"/>
        <v>Tipo 2 (0,25-0,50) uT</v>
      </c>
      <c r="BG159" s="78" t="str">
        <f t="shared" si="56"/>
        <v>Tipo 1 (≤0,25) uT</v>
      </c>
    </row>
    <row r="160" spans="1:59" x14ac:dyDescent="0.2">
      <c r="A160" s="21">
        <v>46144</v>
      </c>
      <c r="B160" s="48">
        <v>0.8125</v>
      </c>
      <c r="C160" s="57">
        <v>1120</v>
      </c>
      <c r="D160" s="57">
        <v>82</v>
      </c>
      <c r="E160" s="57">
        <v>453</v>
      </c>
      <c r="F160" s="57">
        <v>1827</v>
      </c>
      <c r="G160" s="10" t="s">
        <v>78</v>
      </c>
      <c r="H160" s="63">
        <v>3.3</v>
      </c>
      <c r="I160" s="57">
        <v>90</v>
      </c>
      <c r="J160" s="57">
        <v>90</v>
      </c>
      <c r="K160" s="57">
        <v>90</v>
      </c>
      <c r="L160" s="63">
        <v>24.7</v>
      </c>
      <c r="M160" s="63">
        <v>6.7</v>
      </c>
      <c r="N160" s="36">
        <v>3.32</v>
      </c>
      <c r="O160" s="57">
        <v>18</v>
      </c>
      <c r="P160" s="63">
        <v>5.3</v>
      </c>
      <c r="Q160" s="36">
        <v>0.08</v>
      </c>
      <c r="R160" s="36">
        <v>22.36</v>
      </c>
      <c r="S160" s="36">
        <v>0.88</v>
      </c>
      <c r="T160" s="36">
        <v>0.7</v>
      </c>
      <c r="U160" s="42">
        <f t="shared" si="34"/>
        <v>1388.52</v>
      </c>
      <c r="V160" s="36">
        <f t="shared" si="35"/>
        <v>1577.7777969408</v>
      </c>
      <c r="W160" s="36">
        <f t="shared" si="36"/>
        <v>1.1363018155595888</v>
      </c>
      <c r="X160" s="57">
        <v>2</v>
      </c>
      <c r="Y160" s="57">
        <v>3</v>
      </c>
      <c r="Z160" s="63">
        <v>6.56</v>
      </c>
      <c r="AA160" s="57">
        <v>19.32</v>
      </c>
      <c r="AB160" s="63">
        <v>6.6</v>
      </c>
      <c r="AC160" s="63">
        <v>5.3</v>
      </c>
      <c r="AD160" s="10">
        <v>0.17</v>
      </c>
      <c r="AE160" s="36">
        <v>0.28999999999999998</v>
      </c>
      <c r="AF160" s="42">
        <f t="shared" si="37"/>
        <v>1041.3899999999999</v>
      </c>
      <c r="AG160" s="42">
        <f t="shared" si="38"/>
        <v>1841.6746794783996</v>
      </c>
      <c r="AH160" s="42">
        <f t="shared" si="39"/>
        <v>1.7684773998966765</v>
      </c>
      <c r="AI160" s="57">
        <v>2</v>
      </c>
      <c r="AJ160" s="57">
        <v>4</v>
      </c>
      <c r="AK160" s="36">
        <v>6.43</v>
      </c>
      <c r="AL160" s="36">
        <v>23.12</v>
      </c>
      <c r="AM160" s="63">
        <v>6.6</v>
      </c>
      <c r="AN160" s="63">
        <v>5.0999999999999996</v>
      </c>
      <c r="AO160" s="36">
        <v>0.17</v>
      </c>
      <c r="AP160" s="68">
        <v>0.28999999999999998</v>
      </c>
      <c r="AQ160" s="73">
        <f t="shared" si="40"/>
        <v>1655</v>
      </c>
      <c r="AR160" s="75">
        <f t="shared" si="41"/>
        <v>0.67673716012084595</v>
      </c>
      <c r="AS160" s="75">
        <f t="shared" si="42"/>
        <v>4.9546827794561932E-2</v>
      </c>
      <c r="AT160" s="75">
        <f t="shared" si="43"/>
        <v>0.27371601208459212</v>
      </c>
      <c r="AU160" s="26">
        <f t="shared" si="44"/>
        <v>6.344827586206897E-2</v>
      </c>
      <c r="AV160" s="26">
        <f t="shared" si="45"/>
        <v>0.10123700054734538</v>
      </c>
      <c r="AW160" s="24">
        <f t="shared" si="46"/>
        <v>0.91265060240963858</v>
      </c>
      <c r="AX160" s="24">
        <f t="shared" si="47"/>
        <v>0.91265060240963858</v>
      </c>
      <c r="AY160" s="77" t="str">
        <f t="shared" si="48"/>
        <v>5,0 ≤ Alc. Bruta &lt; 7,5 mg/L</v>
      </c>
      <c r="AZ160" s="77" t="str">
        <f t="shared" si="49"/>
        <v>15 ≤ Cor &lt; 30 uC</v>
      </c>
      <c r="BA160" s="78" t="str">
        <f t="shared" si="50"/>
        <v>2,5 ≤ Turb &lt; 5,0 uT</v>
      </c>
      <c r="BB160" s="79" t="str">
        <f t="shared" si="51"/>
        <v>TOR &gt; BNN &gt; SM</v>
      </c>
      <c r="BC160" s="78" t="str">
        <f t="shared" si="52"/>
        <v>Tipo 1 (≤0,25) uT</v>
      </c>
      <c r="BD160" s="78" t="str">
        <f t="shared" si="53"/>
        <v>Tipo 1 (≤0,25) uT</v>
      </c>
      <c r="BE160" s="78" t="str">
        <f t="shared" si="54"/>
        <v>Tipo 2 (0,25-0,50) uT</v>
      </c>
      <c r="BF160" s="78" t="str">
        <f t="shared" si="55"/>
        <v>Tipo 2 (0,25-0,50) uT</v>
      </c>
      <c r="BG160" s="78" t="str">
        <f t="shared" si="56"/>
        <v>Tipo 1 (≤0,25) uT</v>
      </c>
    </row>
    <row r="161" spans="1:59" x14ac:dyDescent="0.2">
      <c r="A161" s="21">
        <v>46144</v>
      </c>
      <c r="B161" s="48">
        <v>0.89583333333333337</v>
      </c>
      <c r="C161" s="57">
        <v>1266</v>
      </c>
      <c r="D161" s="57">
        <v>83</v>
      </c>
      <c r="E161" s="57">
        <v>450.7</v>
      </c>
      <c r="F161" s="57">
        <v>1838</v>
      </c>
      <c r="G161" s="10" t="s">
        <v>78</v>
      </c>
      <c r="H161" s="63">
        <v>3.3</v>
      </c>
      <c r="I161" s="57">
        <v>90</v>
      </c>
      <c r="J161" s="57">
        <v>90</v>
      </c>
      <c r="K161" s="57">
        <v>90</v>
      </c>
      <c r="L161" s="63">
        <v>24.4</v>
      </c>
      <c r="M161" s="63">
        <v>6.6</v>
      </c>
      <c r="N161" s="36">
        <v>3.71</v>
      </c>
      <c r="O161" s="57">
        <v>16</v>
      </c>
      <c r="P161" s="63">
        <v>5.3</v>
      </c>
      <c r="Q161" s="36">
        <v>0.1</v>
      </c>
      <c r="R161" s="36">
        <v>22.36</v>
      </c>
      <c r="S161" s="36">
        <v>0.88</v>
      </c>
      <c r="T161" s="36">
        <v>0.7</v>
      </c>
      <c r="U161" s="42">
        <f t="shared" si="34"/>
        <v>1516.35</v>
      </c>
      <c r="V161" s="36">
        <f t="shared" si="35"/>
        <v>1553.9562827203999</v>
      </c>
      <c r="W161" s="36">
        <f t="shared" si="36"/>
        <v>1.0248005293767271</v>
      </c>
      <c r="X161" s="57">
        <v>2</v>
      </c>
      <c r="Y161" s="57">
        <v>3</v>
      </c>
      <c r="Z161" s="63">
        <v>6.51</v>
      </c>
      <c r="AA161" s="57">
        <v>19.21</v>
      </c>
      <c r="AB161" s="63">
        <v>6.6</v>
      </c>
      <c r="AC161" s="63">
        <v>6</v>
      </c>
      <c r="AD161" s="10">
        <v>0.25</v>
      </c>
      <c r="AE161" s="36">
        <v>0.37</v>
      </c>
      <c r="AF161" s="42">
        <f t="shared" si="37"/>
        <v>1137.2625</v>
      </c>
      <c r="AG161" s="42">
        <f t="shared" si="38"/>
        <v>1843.2678236647996</v>
      </c>
      <c r="AH161" s="42">
        <f t="shared" si="39"/>
        <v>1.6207936370581106</v>
      </c>
      <c r="AI161" s="57">
        <v>2</v>
      </c>
      <c r="AJ161" s="57">
        <v>4</v>
      </c>
      <c r="AK161" s="36">
        <v>6.43</v>
      </c>
      <c r="AL161" s="36">
        <v>23.14</v>
      </c>
      <c r="AM161" s="63">
        <v>6.6</v>
      </c>
      <c r="AN161" s="63">
        <v>5.5</v>
      </c>
      <c r="AO161" s="36">
        <v>0.32</v>
      </c>
      <c r="AP161" s="68">
        <v>0.37</v>
      </c>
      <c r="AQ161" s="73">
        <f t="shared" si="40"/>
        <v>1799.7</v>
      </c>
      <c r="AR161" s="75">
        <f t="shared" si="41"/>
        <v>0.7034505750958493</v>
      </c>
      <c r="AS161" s="75">
        <f t="shared" si="42"/>
        <v>4.6118797577374006E-2</v>
      </c>
      <c r="AT161" s="75">
        <f t="shared" si="43"/>
        <v>0.25043062732677668</v>
      </c>
      <c r="AU161" s="26">
        <f t="shared" si="44"/>
        <v>6.2709466811751907E-2</v>
      </c>
      <c r="AV161" s="26">
        <f t="shared" si="45"/>
        <v>0.10071817192600653</v>
      </c>
      <c r="AW161" s="24">
        <f t="shared" si="46"/>
        <v>0.90026954177897578</v>
      </c>
      <c r="AX161" s="24">
        <f t="shared" si="47"/>
        <v>0.90026954177897578</v>
      </c>
      <c r="AY161" s="77" t="str">
        <f t="shared" si="48"/>
        <v>5,0 ≤ Alc. Bruta &lt; 7,5 mg/L</v>
      </c>
      <c r="AZ161" s="77" t="str">
        <f t="shared" si="49"/>
        <v>15 ≤ Cor &lt; 30 uC</v>
      </c>
      <c r="BA161" s="78" t="str">
        <f t="shared" si="50"/>
        <v>2,5 ≤ Turb &lt; 5,0 uT</v>
      </c>
      <c r="BB161" s="79" t="str">
        <f t="shared" si="51"/>
        <v>TOR &gt; BNN &gt; SM</v>
      </c>
      <c r="BC161" s="78" t="str">
        <f t="shared" si="52"/>
        <v>Tipo 1 (≤0,25) uT</v>
      </c>
      <c r="BD161" s="78" t="str">
        <f t="shared" si="53"/>
        <v>Tipo 2 (0,25-0,50) uT</v>
      </c>
      <c r="BE161" s="78" t="str">
        <f t="shared" si="54"/>
        <v>Tipo 2 (0,25-0,50) uT</v>
      </c>
      <c r="BF161" s="78" t="str">
        <f t="shared" si="55"/>
        <v>Tipo 2 (0,25-0,50) uT</v>
      </c>
      <c r="BG161" s="78" t="str">
        <f t="shared" si="56"/>
        <v>Tipo 1 (≤0,25) uT</v>
      </c>
    </row>
    <row r="162" spans="1:59" x14ac:dyDescent="0.2">
      <c r="A162" s="21">
        <v>46145</v>
      </c>
      <c r="B162" s="48">
        <v>6.25E-2</v>
      </c>
      <c r="C162" s="57">
        <v>1270</v>
      </c>
      <c r="D162" s="57">
        <v>90</v>
      </c>
      <c r="E162" s="57">
        <v>451</v>
      </c>
      <c r="F162" s="57">
        <v>1838</v>
      </c>
      <c r="G162" s="10" t="s">
        <v>78</v>
      </c>
      <c r="H162" s="63">
        <v>3.3</v>
      </c>
      <c r="I162" s="57">
        <v>90</v>
      </c>
      <c r="J162" s="57">
        <v>90</v>
      </c>
      <c r="K162" s="57">
        <v>90</v>
      </c>
      <c r="L162" s="63">
        <v>24</v>
      </c>
      <c r="M162" s="63">
        <v>6.7</v>
      </c>
      <c r="N162" s="36">
        <v>3.5</v>
      </c>
      <c r="O162" s="57">
        <v>16</v>
      </c>
      <c r="P162" s="63">
        <v>5.3</v>
      </c>
      <c r="Q162" s="36">
        <v>0.14000000000000001</v>
      </c>
      <c r="R162" s="36">
        <v>22.36</v>
      </c>
      <c r="S162" s="36">
        <v>0.88</v>
      </c>
      <c r="T162" s="36">
        <v>0.7</v>
      </c>
      <c r="U162" s="42">
        <f t="shared" si="34"/>
        <v>1452.02</v>
      </c>
      <c r="V162" s="36">
        <f t="shared" si="35"/>
        <v>1555.2735306679999</v>
      </c>
      <c r="W162" s="36">
        <f t="shared" si="36"/>
        <v>1.0711102675362598</v>
      </c>
      <c r="X162" s="57">
        <v>2</v>
      </c>
      <c r="Y162" s="57">
        <v>3</v>
      </c>
      <c r="Z162" s="63">
        <v>6.49</v>
      </c>
      <c r="AA162" s="57">
        <v>19.3</v>
      </c>
      <c r="AB162" s="63">
        <v>6.6</v>
      </c>
      <c r="AC162" s="63">
        <v>5</v>
      </c>
      <c r="AD162" s="10">
        <v>0.11</v>
      </c>
      <c r="AE162" s="36">
        <v>0.34</v>
      </c>
      <c r="AF162" s="42">
        <f t="shared" si="37"/>
        <v>1089.0150000000001</v>
      </c>
      <c r="AG162" s="42">
        <f t="shared" si="38"/>
        <v>1836.911729146</v>
      </c>
      <c r="AH162" s="42">
        <f t="shared" si="39"/>
        <v>1.6867643964004166</v>
      </c>
      <c r="AI162" s="57">
        <v>2</v>
      </c>
      <c r="AJ162" s="57">
        <v>4</v>
      </c>
      <c r="AK162" s="36">
        <v>6.41</v>
      </c>
      <c r="AL162" s="36">
        <v>23.15</v>
      </c>
      <c r="AM162" s="63">
        <v>6.7</v>
      </c>
      <c r="AN162" s="63">
        <v>5.9</v>
      </c>
      <c r="AO162" s="36">
        <v>0.15</v>
      </c>
      <c r="AP162" s="68">
        <v>0.38</v>
      </c>
      <c r="AQ162" s="73">
        <f t="shared" si="40"/>
        <v>1811</v>
      </c>
      <c r="AR162" s="75">
        <f t="shared" si="41"/>
        <v>0.70127001656543342</v>
      </c>
      <c r="AS162" s="75">
        <f t="shared" si="42"/>
        <v>4.9696300386526782E-2</v>
      </c>
      <c r="AT162" s="75">
        <f t="shared" si="43"/>
        <v>0.24903368304803974</v>
      </c>
      <c r="AU162" s="26">
        <f t="shared" si="44"/>
        <v>6.3003264417845484E-2</v>
      </c>
      <c r="AV162" s="26">
        <f t="shared" si="45"/>
        <v>0.10076169749727965</v>
      </c>
      <c r="AW162" s="24">
        <f t="shared" si="46"/>
        <v>0.89142857142857146</v>
      </c>
      <c r="AX162" s="24">
        <f t="shared" si="47"/>
        <v>0.9028571428571428</v>
      </c>
      <c r="AY162" s="77" t="str">
        <f t="shared" si="48"/>
        <v>5,0 ≤ Alc. Bruta &lt; 7,5 mg/L</v>
      </c>
      <c r="AZ162" s="77" t="str">
        <f t="shared" si="49"/>
        <v>15 ≤ Cor &lt; 30 uC</v>
      </c>
      <c r="BA162" s="78" t="str">
        <f t="shared" si="50"/>
        <v>2,5 ≤ Turb &lt; 5,0 uT</v>
      </c>
      <c r="BB162" s="79" t="str">
        <f t="shared" si="51"/>
        <v>TOR &gt; BNN &gt; SM</v>
      </c>
      <c r="BC162" s="78" t="str">
        <f t="shared" si="52"/>
        <v>Tipo 1 (≤0,25) uT</v>
      </c>
      <c r="BD162" s="78" t="str">
        <f t="shared" si="53"/>
        <v>Tipo 1 (≤0,25) uT</v>
      </c>
      <c r="BE162" s="78" t="str">
        <f t="shared" si="54"/>
        <v>Tipo 2 (0,25-0,50) uT</v>
      </c>
      <c r="BF162" s="78" t="str">
        <f t="shared" si="55"/>
        <v>Tipo 2 (0,25-0,50) uT</v>
      </c>
      <c r="BG162" s="78" t="str">
        <f t="shared" si="56"/>
        <v>Tipo 1 (≤0,25) uT</v>
      </c>
    </row>
    <row r="163" spans="1:59" x14ac:dyDescent="0.2">
      <c r="A163" s="21">
        <v>46145</v>
      </c>
      <c r="B163" s="48">
        <v>0.14583333333333334</v>
      </c>
      <c r="C163" s="57">
        <v>1135</v>
      </c>
      <c r="D163" s="57">
        <v>87</v>
      </c>
      <c r="E163" s="57">
        <v>451</v>
      </c>
      <c r="F163" s="57">
        <v>1838</v>
      </c>
      <c r="G163" s="10" t="s">
        <v>78</v>
      </c>
      <c r="H163" s="63">
        <v>3.3</v>
      </c>
      <c r="I163" s="57">
        <v>90</v>
      </c>
      <c r="J163" s="57">
        <v>90</v>
      </c>
      <c r="K163" s="57">
        <v>90</v>
      </c>
      <c r="L163" s="63">
        <v>23.9</v>
      </c>
      <c r="M163" s="63">
        <v>6.7</v>
      </c>
      <c r="N163" s="36">
        <v>3.54</v>
      </c>
      <c r="O163" s="57">
        <v>14</v>
      </c>
      <c r="P163" s="63">
        <v>5.9</v>
      </c>
      <c r="Q163" s="36">
        <v>0.12</v>
      </c>
      <c r="R163" s="36">
        <v>22.36</v>
      </c>
      <c r="S163" s="36">
        <v>0.88</v>
      </c>
      <c r="T163" s="36">
        <v>0.7</v>
      </c>
      <c r="U163" s="42">
        <f t="shared" si="34"/>
        <v>1464.2733333333333</v>
      </c>
      <c r="V163" s="36">
        <f t="shared" si="35"/>
        <v>1532.7099768551998</v>
      </c>
      <c r="W163" s="36">
        <f t="shared" si="36"/>
        <v>1.0467376151459882</v>
      </c>
      <c r="X163" s="57">
        <v>2</v>
      </c>
      <c r="Y163" s="57">
        <v>3</v>
      </c>
      <c r="Z163" s="63">
        <v>6.49</v>
      </c>
      <c r="AA163" s="57">
        <v>19.02</v>
      </c>
      <c r="AB163" s="63">
        <v>6.5</v>
      </c>
      <c r="AC163" s="63">
        <v>5.0999999999999996</v>
      </c>
      <c r="AD163" s="10">
        <v>0.26</v>
      </c>
      <c r="AE163" s="36">
        <v>0.3</v>
      </c>
      <c r="AF163" s="42">
        <f t="shared" si="37"/>
        <v>1098.2050000000002</v>
      </c>
      <c r="AG163" s="42">
        <f t="shared" si="38"/>
        <v>1795.2425957439998</v>
      </c>
      <c r="AH163" s="42">
        <f t="shared" si="39"/>
        <v>1.6347062668117516</v>
      </c>
      <c r="AI163" s="57">
        <v>2</v>
      </c>
      <c r="AJ163" s="57">
        <v>4</v>
      </c>
      <c r="AK163" s="36">
        <v>6.3</v>
      </c>
      <c r="AL163" s="36">
        <v>23.12</v>
      </c>
      <c r="AM163" s="63">
        <v>6.5</v>
      </c>
      <c r="AN163" s="63">
        <v>5.0999999999999996</v>
      </c>
      <c r="AO163" s="36">
        <v>0.27</v>
      </c>
      <c r="AP163" s="68">
        <v>0.35</v>
      </c>
      <c r="AQ163" s="73">
        <f t="shared" si="40"/>
        <v>1673</v>
      </c>
      <c r="AR163" s="75">
        <f t="shared" si="41"/>
        <v>0.67842199641362821</v>
      </c>
      <c r="AS163" s="75">
        <f t="shared" si="42"/>
        <v>5.2002390914524806E-2</v>
      </c>
      <c r="AT163" s="75">
        <f t="shared" si="43"/>
        <v>0.26957561267184699</v>
      </c>
      <c r="AU163" s="26">
        <f t="shared" si="44"/>
        <v>6.2089227421109908E-2</v>
      </c>
      <c r="AV163" s="26">
        <f t="shared" si="45"/>
        <v>0.10063112078346029</v>
      </c>
      <c r="AW163" s="24">
        <f t="shared" si="46"/>
        <v>0.90112994350282483</v>
      </c>
      <c r="AX163" s="24">
        <f t="shared" si="47"/>
        <v>0.9152542372881356</v>
      </c>
      <c r="AY163" s="77" t="str">
        <f t="shared" si="48"/>
        <v>5,0 ≤ Alc. Bruta &lt; 7,5 mg/L</v>
      </c>
      <c r="AZ163" s="77" t="str">
        <f t="shared" si="49"/>
        <v>10 ≤ Cor &lt;15 uC</v>
      </c>
      <c r="BA163" s="78" t="str">
        <f t="shared" si="50"/>
        <v>2,5 ≤ Turb &lt; 5,0 uT</v>
      </c>
      <c r="BB163" s="79" t="str">
        <f t="shared" si="51"/>
        <v>TOR &gt; BNN &gt; SM</v>
      </c>
      <c r="BC163" s="78" t="str">
        <f t="shared" si="52"/>
        <v>Tipo 2 (0,25-0,50) uT</v>
      </c>
      <c r="BD163" s="78" t="str">
        <f t="shared" si="53"/>
        <v>Tipo 2 (0,25-0,50) uT</v>
      </c>
      <c r="BE163" s="78" t="str">
        <f t="shared" si="54"/>
        <v>Tipo 2 (0,25-0,50) uT</v>
      </c>
      <c r="BF163" s="78" t="str">
        <f t="shared" si="55"/>
        <v>Tipo 2 (0,25-0,50) uT</v>
      </c>
      <c r="BG163" s="78" t="str">
        <f t="shared" si="56"/>
        <v>Tipo 1 (≤0,25) uT</v>
      </c>
    </row>
    <row r="164" spans="1:59" ht="15.75" thickBot="1" x14ac:dyDescent="0.25">
      <c r="A164" s="21">
        <v>46145</v>
      </c>
      <c r="B164" s="51">
        <v>0.22916666666666666</v>
      </c>
      <c r="C164" s="58">
        <v>1182</v>
      </c>
      <c r="D164" s="58">
        <v>90</v>
      </c>
      <c r="E164" s="58">
        <v>450</v>
      </c>
      <c r="F164" s="58">
        <v>1843</v>
      </c>
      <c r="G164" s="11" t="s">
        <v>78</v>
      </c>
      <c r="H164" s="64">
        <v>3.3</v>
      </c>
      <c r="I164" s="58">
        <v>90</v>
      </c>
      <c r="J164" s="58">
        <v>90</v>
      </c>
      <c r="K164" s="58">
        <v>90</v>
      </c>
      <c r="L164" s="64">
        <v>23.6</v>
      </c>
      <c r="M164" s="64">
        <v>6.6</v>
      </c>
      <c r="N164" s="37">
        <v>3.29</v>
      </c>
      <c r="O164" s="58">
        <v>13</v>
      </c>
      <c r="P164" s="64">
        <v>5.5</v>
      </c>
      <c r="Q164" s="37">
        <v>0.11</v>
      </c>
      <c r="R164" s="36">
        <v>22.36</v>
      </c>
      <c r="S164" s="36">
        <v>0.88</v>
      </c>
      <c r="T164" s="36">
        <v>0.7</v>
      </c>
      <c r="U164" s="42">
        <f t="shared" ref="U164:U227" si="57">(N164+0.3*H164+0.25)*(F164/2/Y164)</f>
        <v>1391.4650000000001</v>
      </c>
      <c r="V164" s="36">
        <f t="shared" ref="V164:V227" si="58">R164*(T164*Z164*0.987-S164)*AA164</f>
        <v>1566.3289563999999</v>
      </c>
      <c r="W164" s="36">
        <f t="shared" ref="W164:W227" si="59">V164/U164</f>
        <v>1.1256689578250261</v>
      </c>
      <c r="X164" s="58">
        <v>2</v>
      </c>
      <c r="Y164" s="58">
        <v>3</v>
      </c>
      <c r="Z164" s="64">
        <v>6.5</v>
      </c>
      <c r="AA164" s="58">
        <v>19.399999999999999</v>
      </c>
      <c r="AB164" s="64">
        <v>6.6</v>
      </c>
      <c r="AC164" s="64">
        <v>5.2</v>
      </c>
      <c r="AD164" s="11">
        <v>0.17</v>
      </c>
      <c r="AE164" s="37">
        <v>0.28999999999999998</v>
      </c>
      <c r="AF164" s="42">
        <f t="shared" si="37"/>
        <v>1043.5987500000001</v>
      </c>
      <c r="AG164" s="42">
        <f t="shared" si="38"/>
        <v>1823.8161857343996</v>
      </c>
      <c r="AH164" s="42">
        <f t="shared" si="39"/>
        <v>1.7476220489286705</v>
      </c>
      <c r="AI164" s="58">
        <v>2</v>
      </c>
      <c r="AJ164" s="58">
        <v>4</v>
      </c>
      <c r="AK164" s="37">
        <v>6.38</v>
      </c>
      <c r="AL164" s="37">
        <v>23.12</v>
      </c>
      <c r="AM164" s="64">
        <v>6.5</v>
      </c>
      <c r="AN164" s="64">
        <v>5</v>
      </c>
      <c r="AO164" s="37">
        <v>0.18</v>
      </c>
      <c r="AP164" s="69">
        <v>0.3</v>
      </c>
      <c r="AQ164" s="73">
        <f t="shared" si="40"/>
        <v>1722</v>
      </c>
      <c r="AR164" s="75">
        <f t="shared" si="41"/>
        <v>0.68641114982578399</v>
      </c>
      <c r="AS164" s="75">
        <f t="shared" si="42"/>
        <v>5.2264808362369339E-2</v>
      </c>
      <c r="AT164" s="75">
        <f t="shared" si="43"/>
        <v>0.26132404181184671</v>
      </c>
      <c r="AU164" s="26">
        <f t="shared" si="44"/>
        <v>6.3157894736842093E-2</v>
      </c>
      <c r="AV164" s="26">
        <f t="shared" si="45"/>
        <v>0.10035811177428107</v>
      </c>
      <c r="AW164" s="24">
        <f t="shared" si="46"/>
        <v>0.90881458966565354</v>
      </c>
      <c r="AX164" s="24">
        <f t="shared" si="47"/>
        <v>0.91185410334346506</v>
      </c>
      <c r="AY164" s="77" t="str">
        <f t="shared" si="48"/>
        <v>5,0 ≤ Alc. Bruta &lt; 7,5 mg/L</v>
      </c>
      <c r="AZ164" s="77" t="str">
        <f t="shared" si="49"/>
        <v>10 ≤ Cor &lt;15 uC</v>
      </c>
      <c r="BA164" s="78" t="str">
        <f t="shared" si="50"/>
        <v>2,5 ≤ Turb &lt; 5,0 uT</v>
      </c>
      <c r="BB164" s="79" t="str">
        <f t="shared" si="51"/>
        <v>TOR &gt; BNN &gt; SM</v>
      </c>
      <c r="BC164" s="78" t="str">
        <f t="shared" si="52"/>
        <v>Tipo 1 (≤0,25) uT</v>
      </c>
      <c r="BD164" s="78" t="str">
        <f t="shared" si="53"/>
        <v>Tipo 1 (≤0,25) uT</v>
      </c>
      <c r="BE164" s="78" t="str">
        <f t="shared" si="54"/>
        <v>Tipo 2 (0,25-0,50) uT</v>
      </c>
      <c r="BF164" s="78" t="str">
        <f t="shared" si="55"/>
        <v>Tipo 2 (0,25-0,50) uT</v>
      </c>
      <c r="BG164" s="78" t="str">
        <f t="shared" si="56"/>
        <v>Tipo 1 (≤0,25) uT</v>
      </c>
    </row>
    <row r="165" spans="1:59" x14ac:dyDescent="0.2">
      <c r="A165" s="21">
        <v>46145</v>
      </c>
      <c r="B165" s="52">
        <v>0.3125</v>
      </c>
      <c r="C165" s="59">
        <v>1076</v>
      </c>
      <c r="D165" s="57">
        <v>84</v>
      </c>
      <c r="E165" s="59">
        <v>451</v>
      </c>
      <c r="F165" s="59">
        <v>1759</v>
      </c>
      <c r="G165" s="9" t="s">
        <v>78</v>
      </c>
      <c r="H165" s="65">
        <v>3.3</v>
      </c>
      <c r="I165" s="59">
        <v>90</v>
      </c>
      <c r="J165" s="59">
        <v>90</v>
      </c>
      <c r="K165" s="59">
        <v>90</v>
      </c>
      <c r="L165" s="65">
        <v>23.3</v>
      </c>
      <c r="M165" s="65">
        <v>6.6</v>
      </c>
      <c r="N165" s="38">
        <v>3.38</v>
      </c>
      <c r="O165" s="59">
        <v>15</v>
      </c>
      <c r="P165" s="65">
        <v>6.3</v>
      </c>
      <c r="Q165" s="38">
        <v>0.11</v>
      </c>
      <c r="R165" s="36">
        <v>22.36</v>
      </c>
      <c r="S165" s="36">
        <v>0.88</v>
      </c>
      <c r="T165" s="36">
        <v>0.7</v>
      </c>
      <c r="U165" s="42">
        <f t="shared" si="57"/>
        <v>1354.43</v>
      </c>
      <c r="V165" s="36">
        <f t="shared" si="58"/>
        <v>1586.3135192163998</v>
      </c>
      <c r="W165" s="36">
        <f t="shared" si="59"/>
        <v>1.1712037677963421</v>
      </c>
      <c r="X165" s="59">
        <v>2</v>
      </c>
      <c r="Y165" s="59">
        <v>3</v>
      </c>
      <c r="Z165" s="65">
        <v>6.51</v>
      </c>
      <c r="AA165" s="59">
        <v>19.61</v>
      </c>
      <c r="AB165" s="65">
        <v>6.6</v>
      </c>
      <c r="AC165" s="65">
        <v>5.8</v>
      </c>
      <c r="AD165" s="9">
        <v>0.16</v>
      </c>
      <c r="AE165" s="38">
        <v>0.28000000000000003</v>
      </c>
      <c r="AF165" s="42">
        <f t="shared" ref="AF165:AF228" si="60">(N165+0.3*H165+0.25)*(F165/2/AJ165)</f>
        <v>1015.8225</v>
      </c>
      <c r="AG165" s="42">
        <f t="shared" ref="AG165:AG228" si="61">R165*(T165*AK165*0.987-S165)*AL165</f>
        <v>1832.1302405847998</v>
      </c>
      <c r="AH165" s="42">
        <f t="shared" ref="AH165:AH228" si="62">AG165/AF165</f>
        <v>1.8035928920503335</v>
      </c>
      <c r="AI165" s="59">
        <v>2</v>
      </c>
      <c r="AJ165" s="59">
        <v>4</v>
      </c>
      <c r="AK165" s="38">
        <v>6.39</v>
      </c>
      <c r="AL165" s="38">
        <v>23.18</v>
      </c>
      <c r="AM165" s="65">
        <v>6.5</v>
      </c>
      <c r="AN165" s="65">
        <v>6.5</v>
      </c>
      <c r="AO165" s="38">
        <v>0.2</v>
      </c>
      <c r="AP165" s="70">
        <v>0.33</v>
      </c>
      <c r="AQ165" s="73">
        <f t="shared" si="40"/>
        <v>1611</v>
      </c>
      <c r="AR165" s="75">
        <f t="shared" si="41"/>
        <v>0.66790813159528239</v>
      </c>
      <c r="AS165" s="75">
        <f t="shared" si="42"/>
        <v>5.2141527001862198E-2</v>
      </c>
      <c r="AT165" s="75">
        <f t="shared" si="43"/>
        <v>0.27995034140285535</v>
      </c>
      <c r="AU165" s="26">
        <f t="shared" si="44"/>
        <v>6.6890278567367817E-2</v>
      </c>
      <c r="AV165" s="26">
        <f t="shared" si="45"/>
        <v>0.10542353610005685</v>
      </c>
      <c r="AW165" s="24">
        <f t="shared" si="46"/>
        <v>0.90236686390532539</v>
      </c>
      <c r="AX165" s="24">
        <f t="shared" si="47"/>
        <v>0.91715976331360949</v>
      </c>
      <c r="AY165" s="77" t="str">
        <f t="shared" si="48"/>
        <v>5,0 ≤ Alc. Bruta &lt; 7,5 mg/L</v>
      </c>
      <c r="AZ165" s="77" t="str">
        <f t="shared" si="49"/>
        <v>15 ≤ Cor &lt; 30 uC</v>
      </c>
      <c r="BA165" s="78" t="str">
        <f t="shared" si="50"/>
        <v>2,5 ≤ Turb &lt; 5,0 uT</v>
      </c>
      <c r="BB165" s="79" t="str">
        <f t="shared" si="51"/>
        <v>TOR &gt; BNN &gt; SM</v>
      </c>
      <c r="BC165" s="78" t="str">
        <f t="shared" si="52"/>
        <v>Tipo 1 (≤0,25) uT</v>
      </c>
      <c r="BD165" s="78" t="str">
        <f t="shared" si="53"/>
        <v>Tipo 1 (≤0,25) uT</v>
      </c>
      <c r="BE165" s="78" t="str">
        <f t="shared" si="54"/>
        <v>Tipo 2 (0,25-0,50) uT</v>
      </c>
      <c r="BF165" s="78" t="str">
        <f t="shared" si="55"/>
        <v>Tipo 2 (0,25-0,50) uT</v>
      </c>
      <c r="BG165" s="78" t="str">
        <f t="shared" si="56"/>
        <v>Tipo 1 (≤0,25) uT</v>
      </c>
    </row>
    <row r="166" spans="1:59" x14ac:dyDescent="0.2">
      <c r="A166" s="21">
        <v>46145</v>
      </c>
      <c r="B166" s="48">
        <v>0.39583333333333331</v>
      </c>
      <c r="C166" s="57">
        <v>1231</v>
      </c>
      <c r="D166" s="57">
        <v>76</v>
      </c>
      <c r="E166" s="57">
        <v>452</v>
      </c>
      <c r="F166" s="57">
        <v>1735</v>
      </c>
      <c r="G166" s="10" t="s">
        <v>78</v>
      </c>
      <c r="H166" s="63">
        <v>3.3</v>
      </c>
      <c r="I166" s="57">
        <v>90</v>
      </c>
      <c r="J166" s="57">
        <v>90</v>
      </c>
      <c r="K166" s="57">
        <v>90</v>
      </c>
      <c r="L166" s="63">
        <v>23.2</v>
      </c>
      <c r="M166" s="63">
        <v>6.6</v>
      </c>
      <c r="N166" s="36">
        <v>3.19</v>
      </c>
      <c r="O166" s="57">
        <v>14</v>
      </c>
      <c r="P166" s="63">
        <v>6.7</v>
      </c>
      <c r="Q166" s="36">
        <v>0.14000000000000001</v>
      </c>
      <c r="R166" s="36">
        <v>22.36</v>
      </c>
      <c r="S166" s="36">
        <v>0.88</v>
      </c>
      <c r="T166" s="36">
        <v>0.7</v>
      </c>
      <c r="U166" s="42">
        <f t="shared" si="57"/>
        <v>1281.0083333333334</v>
      </c>
      <c r="V166" s="36">
        <f t="shared" si="58"/>
        <v>1585.7062218400001</v>
      </c>
      <c r="W166" s="36">
        <f t="shared" si="59"/>
        <v>1.2378578503964976</v>
      </c>
      <c r="X166" s="57">
        <v>2</v>
      </c>
      <c r="Y166" s="57">
        <v>3</v>
      </c>
      <c r="Z166" s="63">
        <v>6.5</v>
      </c>
      <c r="AA166" s="57">
        <v>19.64</v>
      </c>
      <c r="AB166" s="63">
        <v>6.6</v>
      </c>
      <c r="AC166" s="63">
        <v>6.1</v>
      </c>
      <c r="AD166" s="10">
        <v>0.3</v>
      </c>
      <c r="AE166" s="36">
        <v>0.53</v>
      </c>
      <c r="AF166" s="42">
        <f t="shared" si="60"/>
        <v>960.75624999999991</v>
      </c>
      <c r="AG166" s="42">
        <f t="shared" si="61"/>
        <v>1838.0870210559999</v>
      </c>
      <c r="AH166" s="42">
        <f t="shared" si="62"/>
        <v>1.9131668631414056</v>
      </c>
      <c r="AI166" s="57">
        <v>2</v>
      </c>
      <c r="AJ166" s="57">
        <v>4</v>
      </c>
      <c r="AK166" s="36">
        <v>6.4</v>
      </c>
      <c r="AL166" s="36">
        <v>23.21</v>
      </c>
      <c r="AM166" s="63">
        <v>6.5</v>
      </c>
      <c r="AN166" s="63">
        <v>6.5</v>
      </c>
      <c r="AO166" s="36">
        <v>0.16</v>
      </c>
      <c r="AP166" s="68">
        <v>0.36</v>
      </c>
      <c r="AQ166" s="73">
        <f t="shared" si="40"/>
        <v>1759</v>
      </c>
      <c r="AR166" s="75">
        <f t="shared" si="41"/>
        <v>0.6998294485503127</v>
      </c>
      <c r="AS166" s="75">
        <f t="shared" si="42"/>
        <v>4.3206367254121657E-2</v>
      </c>
      <c r="AT166" s="75">
        <f t="shared" si="43"/>
        <v>0.25696418419556566</v>
      </c>
      <c r="AU166" s="26">
        <f t="shared" si="44"/>
        <v>6.7919308357348704E-2</v>
      </c>
      <c r="AV166" s="26">
        <f t="shared" si="45"/>
        <v>0.10702017291066283</v>
      </c>
      <c r="AW166" s="24">
        <f t="shared" si="46"/>
        <v>0.88714733542319746</v>
      </c>
      <c r="AX166" s="24">
        <f t="shared" si="47"/>
        <v>0.83385579937304077</v>
      </c>
      <c r="AY166" s="77" t="str">
        <f t="shared" si="48"/>
        <v>5,0 ≤ Alc. Bruta &lt; 7,5 mg/L</v>
      </c>
      <c r="AZ166" s="77" t="str">
        <f t="shared" si="49"/>
        <v>10 ≤ Cor &lt;15 uC</v>
      </c>
      <c r="BA166" s="78" t="str">
        <f t="shared" si="50"/>
        <v>2,5 ≤ Turb &lt; 5,0 uT</v>
      </c>
      <c r="BB166" s="79" t="str">
        <f t="shared" si="51"/>
        <v>TOR &gt; BNN &gt; SM</v>
      </c>
      <c r="BC166" s="78" t="str">
        <f t="shared" si="52"/>
        <v>Tipo 2 (0,25-0,50) uT</v>
      </c>
      <c r="BD166" s="78" t="str">
        <f t="shared" si="53"/>
        <v>Tipo 1 (≤0,25) uT</v>
      </c>
      <c r="BE166" s="78" t="str">
        <f t="shared" si="54"/>
        <v>Tipo 3 (0,50-0,75) uT</v>
      </c>
      <c r="BF166" s="78" t="str">
        <f t="shared" si="55"/>
        <v>Tipo 2 (0,25-0,50) uT</v>
      </c>
      <c r="BG166" s="78" t="str">
        <f t="shared" si="56"/>
        <v>Tipo 1 (≤0,25) uT</v>
      </c>
    </row>
    <row r="167" spans="1:59" x14ac:dyDescent="0.2">
      <c r="A167" s="21">
        <v>46145</v>
      </c>
      <c r="B167" s="48">
        <v>0.47916666666666669</v>
      </c>
      <c r="C167" s="57">
        <v>594</v>
      </c>
      <c r="D167" s="57">
        <v>85</v>
      </c>
      <c r="E167" s="57">
        <v>516</v>
      </c>
      <c r="F167" s="57">
        <v>1190</v>
      </c>
      <c r="G167" s="10" t="s">
        <v>78</v>
      </c>
      <c r="H167" s="63">
        <v>3.3</v>
      </c>
      <c r="I167" s="57">
        <v>90</v>
      </c>
      <c r="J167" s="57">
        <v>90</v>
      </c>
      <c r="K167" s="57">
        <v>90</v>
      </c>
      <c r="L167" s="63">
        <v>23.2</v>
      </c>
      <c r="M167" s="63">
        <v>6.6</v>
      </c>
      <c r="N167" s="36">
        <v>3.21</v>
      </c>
      <c r="O167" s="57">
        <v>14</v>
      </c>
      <c r="P167" s="63">
        <v>6.7</v>
      </c>
      <c r="Q167" s="36">
        <v>0.19</v>
      </c>
      <c r="R167" s="36">
        <v>22.36</v>
      </c>
      <c r="S167" s="36">
        <v>0.88</v>
      </c>
      <c r="T167" s="36">
        <v>0.7</v>
      </c>
      <c r="U167" s="42">
        <f t="shared" si="57"/>
        <v>1323.875</v>
      </c>
      <c r="V167" s="36">
        <f t="shared" si="58"/>
        <v>1855.9614744736002</v>
      </c>
      <c r="W167" s="36">
        <f t="shared" si="59"/>
        <v>1.401915947104976</v>
      </c>
      <c r="X167" s="57">
        <v>1</v>
      </c>
      <c r="Y167" s="57">
        <v>2</v>
      </c>
      <c r="Z167" s="63">
        <v>6.47</v>
      </c>
      <c r="AA167" s="57">
        <v>23.12</v>
      </c>
      <c r="AB167" s="63">
        <v>6.5</v>
      </c>
      <c r="AC167" s="63">
        <v>5.7</v>
      </c>
      <c r="AD167" s="10">
        <v>0.3</v>
      </c>
      <c r="AE167" s="36">
        <v>0.28999999999999998</v>
      </c>
      <c r="AF167" s="42">
        <f t="shared" si="60"/>
        <v>882.58333333333337</v>
      </c>
      <c r="AG167" s="42">
        <f t="shared" si="61"/>
        <v>1897.3491495867997</v>
      </c>
      <c r="AH167" s="42">
        <f t="shared" si="62"/>
        <v>2.149767707963516</v>
      </c>
      <c r="AI167" s="57">
        <v>2</v>
      </c>
      <c r="AJ167" s="57">
        <v>3</v>
      </c>
      <c r="AK167" s="36">
        <v>6.33</v>
      </c>
      <c r="AL167" s="36">
        <v>24.29</v>
      </c>
      <c r="AM167" s="63">
        <v>6.5</v>
      </c>
      <c r="AN167" s="63">
        <v>6</v>
      </c>
      <c r="AO167" s="36">
        <v>0.15</v>
      </c>
      <c r="AP167" s="68">
        <v>0.76</v>
      </c>
      <c r="AQ167" s="73">
        <f t="shared" si="40"/>
        <v>1195</v>
      </c>
      <c r="AR167" s="75">
        <f t="shared" si="41"/>
        <v>0.49707112970711298</v>
      </c>
      <c r="AS167" s="75">
        <f t="shared" si="42"/>
        <v>7.1129707112970716E-2</v>
      </c>
      <c r="AT167" s="75">
        <f t="shared" si="43"/>
        <v>0.43179916317991635</v>
      </c>
      <c r="AU167" s="26">
        <f t="shared" si="44"/>
        <v>7.7714285714285722E-2</v>
      </c>
      <c r="AV167" s="26">
        <f t="shared" si="45"/>
        <v>0.12247058823529411</v>
      </c>
      <c r="AW167" s="24">
        <f t="shared" si="46"/>
        <v>0.76323987538940807</v>
      </c>
      <c r="AX167" s="24">
        <f t="shared" si="47"/>
        <v>0.90965732087227413</v>
      </c>
      <c r="AY167" s="77" t="str">
        <f t="shared" si="48"/>
        <v>5,0 ≤ Alc. Bruta &lt; 7,5 mg/L</v>
      </c>
      <c r="AZ167" s="77" t="str">
        <f t="shared" si="49"/>
        <v>10 ≤ Cor &lt;15 uC</v>
      </c>
      <c r="BA167" s="78" t="str">
        <f t="shared" si="50"/>
        <v>2,5 ≤ Turb &lt; 5,0 uT</v>
      </c>
      <c r="BB167" s="79" t="str">
        <f t="shared" si="51"/>
        <v>TOR &gt; BNN &gt; SM</v>
      </c>
      <c r="BC167" s="78" t="str">
        <f t="shared" si="52"/>
        <v>Tipo 2 (0,25-0,50) uT</v>
      </c>
      <c r="BD167" s="78" t="str">
        <f t="shared" si="53"/>
        <v>Tipo 1 (≤0,25) uT</v>
      </c>
      <c r="BE167" s="78" t="str">
        <f t="shared" si="54"/>
        <v>Tipo 2 (0,25-0,50) uT</v>
      </c>
      <c r="BF167" s="78" t="str">
        <f t="shared" si="55"/>
        <v>Tipo 4 (&gt;0,75) uT</v>
      </c>
      <c r="BG167" s="78" t="str">
        <f t="shared" si="56"/>
        <v>Tipo 1 (≤0,25) uT</v>
      </c>
    </row>
    <row r="168" spans="1:59" x14ac:dyDescent="0.2">
      <c r="A168" s="21">
        <v>46145</v>
      </c>
      <c r="B168" s="48">
        <v>0.64583333333333337</v>
      </c>
      <c r="C168" s="57">
        <v>1139</v>
      </c>
      <c r="D168" s="57">
        <v>91</v>
      </c>
      <c r="E168" s="57">
        <v>450</v>
      </c>
      <c r="F168" s="57">
        <v>1787</v>
      </c>
      <c r="G168" s="10" t="s">
        <v>78</v>
      </c>
      <c r="H168" s="63">
        <v>3.3</v>
      </c>
      <c r="I168" s="57">
        <v>90</v>
      </c>
      <c r="J168" s="57">
        <v>90</v>
      </c>
      <c r="K168" s="57">
        <v>90</v>
      </c>
      <c r="L168" s="63">
        <v>24.5</v>
      </c>
      <c r="M168" s="63">
        <v>6.7</v>
      </c>
      <c r="N168" s="36">
        <v>3.4</v>
      </c>
      <c r="O168" s="57">
        <v>14</v>
      </c>
      <c r="P168" s="63">
        <v>9.6999999999999993</v>
      </c>
      <c r="Q168" s="36">
        <v>0.16</v>
      </c>
      <c r="R168" s="36">
        <v>22.36</v>
      </c>
      <c r="S168" s="36">
        <v>0.88</v>
      </c>
      <c r="T168" s="36">
        <v>0.7</v>
      </c>
      <c r="U168" s="42">
        <f t="shared" si="57"/>
        <v>1381.9466666666665</v>
      </c>
      <c r="V168" s="36">
        <f t="shared" si="58"/>
        <v>1599.4697132335998</v>
      </c>
      <c r="W168" s="36">
        <f t="shared" si="59"/>
        <v>1.1574033584751944</v>
      </c>
      <c r="X168" s="57">
        <v>2</v>
      </c>
      <c r="Y168" s="57">
        <v>3</v>
      </c>
      <c r="Z168" s="63">
        <v>6.54</v>
      </c>
      <c r="AA168" s="57">
        <v>19.66</v>
      </c>
      <c r="AB168" s="63">
        <v>6.7</v>
      </c>
      <c r="AC168" s="63">
        <v>8.5</v>
      </c>
      <c r="AD168" s="10">
        <v>0.73</v>
      </c>
      <c r="AE168" s="36">
        <v>0.66</v>
      </c>
      <c r="AF168" s="42">
        <f t="shared" si="60"/>
        <v>1036.46</v>
      </c>
      <c r="AG168" s="42">
        <f t="shared" si="61"/>
        <v>1811.5841542188</v>
      </c>
      <c r="AH168" s="42">
        <f t="shared" si="62"/>
        <v>1.7478572778677421</v>
      </c>
      <c r="AI168" s="57">
        <v>2</v>
      </c>
      <c r="AJ168" s="57">
        <v>4</v>
      </c>
      <c r="AK168" s="36">
        <v>6.37</v>
      </c>
      <c r="AL168" s="36">
        <v>23.01</v>
      </c>
      <c r="AM168" s="63">
        <v>6.7</v>
      </c>
      <c r="AN168" s="63">
        <v>8.3000000000000007</v>
      </c>
      <c r="AO168" s="36">
        <v>0.21</v>
      </c>
      <c r="AP168" s="68">
        <v>0.44</v>
      </c>
      <c r="AQ168" s="73">
        <f t="shared" si="40"/>
        <v>1680</v>
      </c>
      <c r="AR168" s="75">
        <f t="shared" si="41"/>
        <v>0.67797619047619051</v>
      </c>
      <c r="AS168" s="75">
        <f t="shared" si="42"/>
        <v>5.4166666666666669E-2</v>
      </c>
      <c r="AT168" s="75">
        <f t="shared" si="43"/>
        <v>0.26785714285714285</v>
      </c>
      <c r="AU168" s="26">
        <f t="shared" si="44"/>
        <v>6.6010072747621718E-2</v>
      </c>
      <c r="AV168" s="26">
        <f t="shared" si="45"/>
        <v>0.10301063234471182</v>
      </c>
      <c r="AW168" s="24">
        <f t="shared" si="46"/>
        <v>0.87058823529411766</v>
      </c>
      <c r="AX168" s="24">
        <f t="shared" si="47"/>
        <v>0.80588235294117649</v>
      </c>
      <c r="AY168" s="77" t="str">
        <f t="shared" si="48"/>
        <v>7,5 ≤ Alc. Bruta &lt; 10,0 mg/L</v>
      </c>
      <c r="AZ168" s="77" t="str">
        <f t="shared" si="49"/>
        <v>10 ≤ Cor &lt;15 uC</v>
      </c>
      <c r="BA168" s="78" t="str">
        <f t="shared" si="50"/>
        <v>2,5 ≤ Turb &lt; 5,0 uT</v>
      </c>
      <c r="BB168" s="79" t="str">
        <f t="shared" si="51"/>
        <v>TOR &gt; BNN &gt; SM</v>
      </c>
      <c r="BC168" s="78" t="str">
        <f t="shared" si="52"/>
        <v>Tipo 3 (0,50-0,75) uT</v>
      </c>
      <c r="BD168" s="78" t="str">
        <f t="shared" si="53"/>
        <v>Tipo 1 (≤0,25) uT</v>
      </c>
      <c r="BE168" s="78" t="str">
        <f t="shared" si="54"/>
        <v>Tipo 3 (0,50-0,75) uT</v>
      </c>
      <c r="BF168" s="78" t="str">
        <f t="shared" si="55"/>
        <v>Tipo 2 (0,25-0,50) uT</v>
      </c>
      <c r="BG168" s="78" t="str">
        <f t="shared" si="56"/>
        <v>Tipo 1 (≤0,25) uT</v>
      </c>
    </row>
    <row r="169" spans="1:59" x14ac:dyDescent="0.2">
      <c r="A169" s="21">
        <v>46145</v>
      </c>
      <c r="B169" s="48">
        <v>0.72916666666666663</v>
      </c>
      <c r="C169" s="57">
        <v>1188</v>
      </c>
      <c r="D169" s="57">
        <v>88</v>
      </c>
      <c r="E169" s="57">
        <v>450</v>
      </c>
      <c r="F169" s="57">
        <v>1816</v>
      </c>
      <c r="G169" s="10" t="s">
        <v>78</v>
      </c>
      <c r="H169" s="63">
        <v>3.6</v>
      </c>
      <c r="I169" s="57">
        <v>90</v>
      </c>
      <c r="J169" s="57">
        <v>90</v>
      </c>
      <c r="K169" s="57">
        <v>90</v>
      </c>
      <c r="L169" s="63">
        <v>24.5</v>
      </c>
      <c r="M169" s="63">
        <v>6.7</v>
      </c>
      <c r="N169" s="36">
        <v>3.28</v>
      </c>
      <c r="O169" s="57">
        <v>15</v>
      </c>
      <c r="P169" s="63">
        <v>7.1</v>
      </c>
      <c r="Q169" s="36">
        <v>0.61</v>
      </c>
      <c r="R169" s="36">
        <v>22.36</v>
      </c>
      <c r="S169" s="36">
        <v>0.88</v>
      </c>
      <c r="T169" s="36">
        <v>0.7</v>
      </c>
      <c r="U169" s="42">
        <f t="shared" si="57"/>
        <v>1395.2933333333333</v>
      </c>
      <c r="V169" s="36">
        <f t="shared" si="58"/>
        <v>1614.7721200000001</v>
      </c>
      <c r="W169" s="36">
        <f t="shared" si="59"/>
        <v>1.1572993874645237</v>
      </c>
      <c r="X169" s="57">
        <v>2</v>
      </c>
      <c r="Y169" s="57">
        <v>3</v>
      </c>
      <c r="Z169" s="63">
        <v>6.5</v>
      </c>
      <c r="AA169" s="57">
        <v>20</v>
      </c>
      <c r="AB169" s="63">
        <v>6.6</v>
      </c>
      <c r="AC169" s="63">
        <v>7.4</v>
      </c>
      <c r="AD169" s="10">
        <v>1.24</v>
      </c>
      <c r="AE169" s="36">
        <v>1.61</v>
      </c>
      <c r="AF169" s="42">
        <f t="shared" si="60"/>
        <v>1046.4699999999998</v>
      </c>
      <c r="AG169" s="42">
        <f t="shared" si="61"/>
        <v>1861.0532095999999</v>
      </c>
      <c r="AH169" s="42">
        <f t="shared" si="62"/>
        <v>1.7784104748344438</v>
      </c>
      <c r="AI169" s="57">
        <v>2</v>
      </c>
      <c r="AJ169" s="57">
        <v>4</v>
      </c>
      <c r="AK169" s="36">
        <v>6.4</v>
      </c>
      <c r="AL169" s="36">
        <v>23.5</v>
      </c>
      <c r="AM169" s="63">
        <v>6.6</v>
      </c>
      <c r="AN169" s="63">
        <v>6.7</v>
      </c>
      <c r="AO169" s="36">
        <v>0.36</v>
      </c>
      <c r="AP169" s="68">
        <v>0.44</v>
      </c>
      <c r="AQ169" s="73">
        <f t="shared" si="40"/>
        <v>1726</v>
      </c>
      <c r="AR169" s="75">
        <f t="shared" si="41"/>
        <v>0.68829663962920051</v>
      </c>
      <c r="AS169" s="75">
        <f t="shared" si="42"/>
        <v>5.0984936268829661E-2</v>
      </c>
      <c r="AT169" s="75">
        <f t="shared" si="43"/>
        <v>0.26071842410196988</v>
      </c>
      <c r="AU169" s="26">
        <f t="shared" si="44"/>
        <v>6.6079295154185022E-2</v>
      </c>
      <c r="AV169" s="26">
        <f t="shared" si="45"/>
        <v>0.10352422907488987</v>
      </c>
      <c r="AW169" s="24">
        <f t="shared" si="46"/>
        <v>0.86585365853658536</v>
      </c>
      <c r="AX169" s="24">
        <f t="shared" si="47"/>
        <v>0.50914634146341453</v>
      </c>
      <c r="AY169" s="77" t="str">
        <f t="shared" si="48"/>
        <v>5,0 ≤ Alc. Bruta &lt; 7,5 mg/L</v>
      </c>
      <c r="AZ169" s="77" t="str">
        <f t="shared" si="49"/>
        <v>15 ≤ Cor &lt; 30 uC</v>
      </c>
      <c r="BA169" s="78" t="str">
        <f t="shared" si="50"/>
        <v>2,5 ≤ Turb &lt; 5,0 uT</v>
      </c>
      <c r="BB169" s="79" t="str">
        <f t="shared" si="51"/>
        <v>TOR &gt; BNN &gt; SM</v>
      </c>
      <c r="BC169" s="78" t="str">
        <f t="shared" si="52"/>
        <v>Tipo 4 (&gt;0,75) uT</v>
      </c>
      <c r="BD169" s="78" t="str">
        <f t="shared" si="53"/>
        <v>Tipo 2 (0,25-0,50) uT</v>
      </c>
      <c r="BE169" s="78" t="str">
        <f t="shared" si="54"/>
        <v>Tipo 4 (&gt;0,75) uT</v>
      </c>
      <c r="BF169" s="78" t="str">
        <f t="shared" si="55"/>
        <v>Tipo 2 (0,25-0,50) uT</v>
      </c>
      <c r="BG169" s="78" t="str">
        <f t="shared" si="56"/>
        <v>Tipo 3 (0,50-0,75) uT</v>
      </c>
    </row>
    <row r="170" spans="1:59" x14ac:dyDescent="0.2">
      <c r="A170" s="21">
        <v>46145</v>
      </c>
      <c r="B170" s="48">
        <v>0.8125</v>
      </c>
      <c r="C170" s="57">
        <v>1165</v>
      </c>
      <c r="D170" s="57">
        <v>82</v>
      </c>
      <c r="E170" s="57">
        <v>451</v>
      </c>
      <c r="F170" s="57">
        <v>1832</v>
      </c>
      <c r="G170" s="10" t="s">
        <v>78</v>
      </c>
      <c r="H170" s="63">
        <v>3.6</v>
      </c>
      <c r="I170" s="57">
        <v>90</v>
      </c>
      <c r="J170" s="57">
        <v>90</v>
      </c>
      <c r="K170" s="57">
        <v>90</v>
      </c>
      <c r="L170" s="63">
        <v>24</v>
      </c>
      <c r="M170" s="63">
        <v>6.7</v>
      </c>
      <c r="N170" s="36">
        <v>4.3099999999999996</v>
      </c>
      <c r="O170" s="57">
        <v>14</v>
      </c>
      <c r="P170" s="63">
        <v>6.4</v>
      </c>
      <c r="Q170" s="36">
        <v>0.43</v>
      </c>
      <c r="R170" s="36">
        <v>22.36</v>
      </c>
      <c r="S170" s="36">
        <v>0.88</v>
      </c>
      <c r="T170" s="36">
        <v>0.7</v>
      </c>
      <c r="U170" s="42">
        <f t="shared" si="57"/>
        <v>1722.0799999999997</v>
      </c>
      <c r="V170" s="36">
        <f t="shared" si="58"/>
        <v>1599.3235959999997</v>
      </c>
      <c r="W170" s="36">
        <f t="shared" si="59"/>
        <v>0.92871620133791699</v>
      </c>
      <c r="X170" s="57">
        <v>2</v>
      </c>
      <c r="Y170" s="57">
        <v>3</v>
      </c>
      <c r="Z170" s="63">
        <v>6.45</v>
      </c>
      <c r="AA170" s="57">
        <v>20</v>
      </c>
      <c r="AB170" s="63">
        <v>6.6</v>
      </c>
      <c r="AC170" s="63">
        <v>6.1</v>
      </c>
      <c r="AD170" s="10">
        <v>0.51</v>
      </c>
      <c r="AE170" s="36">
        <v>1.27</v>
      </c>
      <c r="AF170" s="42">
        <f t="shared" si="60"/>
        <v>1291.56</v>
      </c>
      <c r="AG170" s="42">
        <f t="shared" si="61"/>
        <v>1937.7265440000001</v>
      </c>
      <c r="AH170" s="42">
        <f t="shared" si="62"/>
        <v>1.5002992845860821</v>
      </c>
      <c r="AI170" s="57">
        <v>2</v>
      </c>
      <c r="AJ170" s="57">
        <v>4</v>
      </c>
      <c r="AK170" s="36">
        <v>6.5</v>
      </c>
      <c r="AL170" s="36">
        <v>24</v>
      </c>
      <c r="AM170" s="63">
        <v>6.6</v>
      </c>
      <c r="AN170" s="63">
        <v>6.2</v>
      </c>
      <c r="AO170" s="36">
        <v>0.16</v>
      </c>
      <c r="AP170" s="68">
        <v>0.37</v>
      </c>
      <c r="AQ170" s="73">
        <f t="shared" si="40"/>
        <v>1698</v>
      </c>
      <c r="AR170" s="75">
        <f t="shared" si="41"/>
        <v>0.68610129564193167</v>
      </c>
      <c r="AS170" s="75">
        <f t="shared" si="42"/>
        <v>4.8292108362779744E-2</v>
      </c>
      <c r="AT170" s="75">
        <f t="shared" si="43"/>
        <v>0.26560659599528857</v>
      </c>
      <c r="AU170" s="26">
        <f t="shared" si="44"/>
        <v>6.5502183406113537E-2</v>
      </c>
      <c r="AV170" s="26">
        <f t="shared" si="45"/>
        <v>0.10480349344978165</v>
      </c>
      <c r="AW170" s="24">
        <f t="shared" si="46"/>
        <v>0.91415313225058004</v>
      </c>
      <c r="AX170" s="24">
        <f t="shared" si="47"/>
        <v>0.7053364269141531</v>
      </c>
      <c r="AY170" s="77" t="str">
        <f t="shared" si="48"/>
        <v>5,0 ≤ Alc. Bruta &lt; 7,5 mg/L</v>
      </c>
      <c r="AZ170" s="77" t="str">
        <f t="shared" si="49"/>
        <v>10 ≤ Cor &lt;15 uC</v>
      </c>
      <c r="BA170" s="78" t="str">
        <f t="shared" si="50"/>
        <v>2,5 ≤ Turb &lt; 5,0 uT</v>
      </c>
      <c r="BB170" s="79" t="str">
        <f t="shared" si="51"/>
        <v>TOR &gt; BNN &gt; SM</v>
      </c>
      <c r="BC170" s="78" t="str">
        <f t="shared" si="52"/>
        <v>Tipo 3 (0,50-0,75) uT</v>
      </c>
      <c r="BD170" s="78" t="str">
        <f t="shared" si="53"/>
        <v>Tipo 1 (≤0,25) uT</v>
      </c>
      <c r="BE170" s="78" t="str">
        <f t="shared" si="54"/>
        <v>Tipo 4 (&gt;0,75) uT</v>
      </c>
      <c r="BF170" s="78" t="str">
        <f t="shared" si="55"/>
        <v>Tipo 2 (0,25-0,50) uT</v>
      </c>
      <c r="BG170" s="78" t="str">
        <f t="shared" si="56"/>
        <v>Tipo 2 (0,25-0,50) uT</v>
      </c>
    </row>
    <row r="171" spans="1:59" x14ac:dyDescent="0.2">
      <c r="A171" s="21">
        <v>46145</v>
      </c>
      <c r="B171" s="48">
        <v>0.89583333333333337</v>
      </c>
      <c r="C171" s="57">
        <v>1553</v>
      </c>
      <c r="D171" s="57">
        <v>81</v>
      </c>
      <c r="E171" s="57">
        <v>449</v>
      </c>
      <c r="F171" s="57">
        <v>2268</v>
      </c>
      <c r="G171" s="10" t="s">
        <v>78</v>
      </c>
      <c r="H171" s="63">
        <v>3.6</v>
      </c>
      <c r="I171" s="57">
        <v>90</v>
      </c>
      <c r="J171" s="57">
        <v>90</v>
      </c>
      <c r="K171" s="57">
        <v>90</v>
      </c>
      <c r="L171" s="63">
        <v>24.3</v>
      </c>
      <c r="M171" s="63">
        <v>6.7</v>
      </c>
      <c r="N171" s="36">
        <v>3.89</v>
      </c>
      <c r="O171" s="57">
        <v>16</v>
      </c>
      <c r="P171" s="63">
        <v>5.5</v>
      </c>
      <c r="Q171" s="36">
        <v>0.55000000000000004</v>
      </c>
      <c r="R171" s="36">
        <v>22.36</v>
      </c>
      <c r="S171" s="36">
        <v>0.88</v>
      </c>
      <c r="T171" s="36">
        <v>0.7</v>
      </c>
      <c r="U171" s="42">
        <f t="shared" si="57"/>
        <v>1479.8700000000001</v>
      </c>
      <c r="V171" s="36">
        <f t="shared" si="58"/>
        <v>1528.1630748799998</v>
      </c>
      <c r="W171" s="36">
        <f t="shared" si="59"/>
        <v>1.0326333224404844</v>
      </c>
      <c r="X171" s="57">
        <v>3</v>
      </c>
      <c r="Y171" s="57">
        <v>4</v>
      </c>
      <c r="Z171" s="63">
        <v>6.48</v>
      </c>
      <c r="AA171" s="57">
        <v>19</v>
      </c>
      <c r="AB171" s="63">
        <v>6.6</v>
      </c>
      <c r="AC171" s="63">
        <v>5.2</v>
      </c>
      <c r="AD171" s="10">
        <v>0.66</v>
      </c>
      <c r="AE171" s="36">
        <v>1.3</v>
      </c>
      <c r="AF171" s="42">
        <f t="shared" si="60"/>
        <v>1479.8700000000001</v>
      </c>
      <c r="AG171" s="42">
        <f t="shared" si="61"/>
        <v>1745.6612544800003</v>
      </c>
      <c r="AH171" s="42">
        <f t="shared" si="62"/>
        <v>1.179604461527026</v>
      </c>
      <c r="AI171" s="57">
        <v>3</v>
      </c>
      <c r="AJ171" s="57">
        <v>4</v>
      </c>
      <c r="AK171" s="36">
        <v>6.41</v>
      </c>
      <c r="AL171" s="36">
        <v>22</v>
      </c>
      <c r="AM171" s="63">
        <v>6.5</v>
      </c>
      <c r="AN171" s="63">
        <v>4.5999999999999996</v>
      </c>
      <c r="AO171" s="36">
        <v>0.23</v>
      </c>
      <c r="AP171" s="68">
        <v>0.34</v>
      </c>
      <c r="AQ171" s="73">
        <f t="shared" si="40"/>
        <v>2083</v>
      </c>
      <c r="AR171" s="75">
        <f t="shared" si="41"/>
        <v>0.74555928948631778</v>
      </c>
      <c r="AS171" s="75">
        <f t="shared" si="42"/>
        <v>3.8886221795487279E-2</v>
      </c>
      <c r="AT171" s="75">
        <f t="shared" si="43"/>
        <v>0.21555448871819491</v>
      </c>
      <c r="AU171" s="26">
        <f t="shared" si="44"/>
        <v>6.7019400352733682E-2</v>
      </c>
      <c r="AV171" s="26">
        <f t="shared" si="45"/>
        <v>7.7601410934744264E-2</v>
      </c>
      <c r="AW171" s="24">
        <f t="shared" si="46"/>
        <v>0.91259640102827766</v>
      </c>
      <c r="AX171" s="24">
        <f t="shared" si="47"/>
        <v>0.66580976863753216</v>
      </c>
      <c r="AY171" s="77" t="str">
        <f t="shared" si="48"/>
        <v>5,0 ≤ Alc. Bruta &lt; 7,5 mg/L</v>
      </c>
      <c r="AZ171" s="77" t="str">
        <f t="shared" si="49"/>
        <v>15 ≤ Cor &lt; 30 uC</v>
      </c>
      <c r="BA171" s="78" t="str">
        <f t="shared" si="50"/>
        <v>2,5 ≤ Turb &lt; 5,0 uT</v>
      </c>
      <c r="BB171" s="79" t="str">
        <f t="shared" si="51"/>
        <v>TOR &gt; BNN &gt; SM</v>
      </c>
      <c r="BC171" s="78" t="str">
        <f t="shared" si="52"/>
        <v>Tipo 3 (0,50-0,75) uT</v>
      </c>
      <c r="BD171" s="78" t="str">
        <f t="shared" si="53"/>
        <v>Tipo 1 (≤0,25) uT</v>
      </c>
      <c r="BE171" s="78" t="str">
        <f t="shared" si="54"/>
        <v>Tipo 4 (&gt;0,75) uT</v>
      </c>
      <c r="BF171" s="78" t="str">
        <f t="shared" si="55"/>
        <v>Tipo 2 (0,25-0,50) uT</v>
      </c>
      <c r="BG171" s="78" t="str">
        <f t="shared" si="56"/>
        <v>Tipo 3 (0,50-0,75) uT</v>
      </c>
    </row>
    <row r="172" spans="1:59" x14ac:dyDescent="0.2">
      <c r="A172" s="21">
        <v>46145</v>
      </c>
      <c r="B172" s="48">
        <v>0.97916666666666663</v>
      </c>
      <c r="C172" s="57">
        <v>1542</v>
      </c>
      <c r="D172" s="57">
        <v>80</v>
      </c>
      <c r="E172" s="57">
        <v>450</v>
      </c>
      <c r="F172" s="57">
        <v>2256</v>
      </c>
      <c r="G172" s="10" t="s">
        <v>78</v>
      </c>
      <c r="H172" s="63">
        <v>3.6</v>
      </c>
      <c r="I172" s="57">
        <v>90</v>
      </c>
      <c r="J172" s="57">
        <v>90</v>
      </c>
      <c r="K172" s="57">
        <v>90</v>
      </c>
      <c r="L172" s="63">
        <v>24.1</v>
      </c>
      <c r="M172" s="63">
        <v>6.7</v>
      </c>
      <c r="N172" s="36">
        <v>3.8</v>
      </c>
      <c r="O172" s="57">
        <v>16</v>
      </c>
      <c r="P172" s="63">
        <v>5.8</v>
      </c>
      <c r="Q172" s="36">
        <v>0.61</v>
      </c>
      <c r="R172" s="36">
        <v>22.36</v>
      </c>
      <c r="S172" s="36">
        <v>0.88</v>
      </c>
      <c r="T172" s="36">
        <v>0.7</v>
      </c>
      <c r="U172" s="42">
        <f t="shared" si="57"/>
        <v>1446.66</v>
      </c>
      <c r="V172" s="36">
        <f t="shared" si="58"/>
        <v>1534.0335140000002</v>
      </c>
      <c r="W172" s="36">
        <f t="shared" si="59"/>
        <v>1.0603967165747308</v>
      </c>
      <c r="X172" s="57">
        <v>3</v>
      </c>
      <c r="Y172" s="57">
        <v>4</v>
      </c>
      <c r="Z172" s="63">
        <v>6.5</v>
      </c>
      <c r="AA172" s="57">
        <v>19</v>
      </c>
      <c r="AB172" s="63">
        <v>6.6</v>
      </c>
      <c r="AC172" s="63">
        <v>5.5</v>
      </c>
      <c r="AD172" s="10">
        <v>0.68</v>
      </c>
      <c r="AE172" s="36">
        <v>1.45</v>
      </c>
      <c r="AF172" s="42">
        <f t="shared" si="60"/>
        <v>1446.66</v>
      </c>
      <c r="AG172" s="42">
        <f t="shared" si="61"/>
        <v>1839.2221353999998</v>
      </c>
      <c r="AH172" s="42">
        <f t="shared" si="62"/>
        <v>1.2713575652883191</v>
      </c>
      <c r="AI172" s="57">
        <v>3</v>
      </c>
      <c r="AJ172" s="57">
        <v>4</v>
      </c>
      <c r="AK172" s="36">
        <v>6.45</v>
      </c>
      <c r="AL172" s="36">
        <v>23</v>
      </c>
      <c r="AM172" s="63">
        <v>6.5</v>
      </c>
      <c r="AN172" s="63">
        <v>5.4</v>
      </c>
      <c r="AO172" s="36">
        <v>0.2</v>
      </c>
      <c r="AP172" s="68">
        <v>0.33</v>
      </c>
      <c r="AQ172" s="73">
        <f t="shared" si="40"/>
        <v>2072</v>
      </c>
      <c r="AR172" s="75">
        <f t="shared" si="41"/>
        <v>0.74420849420849422</v>
      </c>
      <c r="AS172" s="75">
        <f t="shared" si="42"/>
        <v>3.8610038610038609E-2</v>
      </c>
      <c r="AT172" s="75">
        <f t="shared" si="43"/>
        <v>0.21718146718146719</v>
      </c>
      <c r="AU172" s="26">
        <f t="shared" si="44"/>
        <v>6.7375886524822695E-2</v>
      </c>
      <c r="AV172" s="26">
        <f t="shared" si="45"/>
        <v>8.1560283687943269E-2</v>
      </c>
      <c r="AW172" s="24">
        <f t="shared" si="46"/>
        <v>0.91315789473684206</v>
      </c>
      <c r="AX172" s="24">
        <f t="shared" si="47"/>
        <v>0.61842105263157898</v>
      </c>
      <c r="AY172" s="77" t="str">
        <f t="shared" si="48"/>
        <v>5,0 ≤ Alc. Bruta &lt; 7,5 mg/L</v>
      </c>
      <c r="AZ172" s="77" t="str">
        <f t="shared" si="49"/>
        <v>15 ≤ Cor &lt; 30 uC</v>
      </c>
      <c r="BA172" s="78" t="str">
        <f t="shared" si="50"/>
        <v>2,5 ≤ Turb &lt; 5,0 uT</v>
      </c>
      <c r="BB172" s="79" t="str">
        <f t="shared" si="51"/>
        <v>TOR &gt; BNN &gt; SM</v>
      </c>
      <c r="BC172" s="78" t="str">
        <f t="shared" si="52"/>
        <v>Tipo 3 (0,50-0,75) uT</v>
      </c>
      <c r="BD172" s="78" t="str">
        <f t="shared" si="53"/>
        <v>Tipo 1 (≤0,25) uT</v>
      </c>
      <c r="BE172" s="78" t="str">
        <f t="shared" si="54"/>
        <v>Tipo 4 (&gt;0,75) uT</v>
      </c>
      <c r="BF172" s="78" t="str">
        <f t="shared" si="55"/>
        <v>Tipo 2 (0,25-0,50) uT</v>
      </c>
      <c r="BG172" s="78" t="str">
        <f t="shared" si="56"/>
        <v>Tipo 3 (0,50-0,75) uT</v>
      </c>
    </row>
    <row r="173" spans="1:59" x14ac:dyDescent="0.2">
      <c r="A173" s="21">
        <v>46146</v>
      </c>
      <c r="B173" s="48">
        <v>6.25E-2</v>
      </c>
      <c r="C173" s="57">
        <v>1680</v>
      </c>
      <c r="D173" s="57">
        <v>88</v>
      </c>
      <c r="E173" s="57">
        <v>449</v>
      </c>
      <c r="F173" s="57">
        <v>2259</v>
      </c>
      <c r="G173" s="10" t="s">
        <v>34</v>
      </c>
      <c r="H173" s="63">
        <v>3.6</v>
      </c>
      <c r="I173" s="57">
        <v>90</v>
      </c>
      <c r="J173" s="57">
        <v>90</v>
      </c>
      <c r="K173" s="57">
        <v>90</v>
      </c>
      <c r="L173" s="63">
        <v>23.8</v>
      </c>
      <c r="M173" s="63">
        <v>6.7</v>
      </c>
      <c r="N173" s="36">
        <v>4.4400000000000004</v>
      </c>
      <c r="O173" s="57">
        <v>16</v>
      </c>
      <c r="P173" s="63">
        <v>5.3</v>
      </c>
      <c r="Q173" s="36">
        <v>0.64</v>
      </c>
      <c r="R173" s="36">
        <v>22.36</v>
      </c>
      <c r="S173" s="36">
        <v>0.88</v>
      </c>
      <c r="T173" s="36">
        <v>0.7</v>
      </c>
      <c r="U173" s="42">
        <f t="shared" si="57"/>
        <v>1629.30375</v>
      </c>
      <c r="V173" s="36">
        <f t="shared" si="58"/>
        <v>1611.6824151999999</v>
      </c>
      <c r="W173" s="36">
        <f t="shared" si="59"/>
        <v>0.98918474544724999</v>
      </c>
      <c r="X173" s="57">
        <v>3</v>
      </c>
      <c r="Y173" s="57">
        <v>4</v>
      </c>
      <c r="Z173" s="63">
        <v>6.49</v>
      </c>
      <c r="AA173" s="57">
        <v>20</v>
      </c>
      <c r="AB173" s="63">
        <v>6.5</v>
      </c>
      <c r="AC173" s="63">
        <v>5.2</v>
      </c>
      <c r="AD173" s="10">
        <v>0.84</v>
      </c>
      <c r="AE173" s="36">
        <v>1.56</v>
      </c>
      <c r="AF173" s="42">
        <f t="shared" si="60"/>
        <v>1629.30375</v>
      </c>
      <c r="AG173" s="42">
        <f t="shared" si="61"/>
        <v>1752.4586050399996</v>
      </c>
      <c r="AH173" s="42">
        <f t="shared" si="62"/>
        <v>1.0755874127460883</v>
      </c>
      <c r="AI173" s="57">
        <v>3</v>
      </c>
      <c r="AJ173" s="57">
        <v>4</v>
      </c>
      <c r="AK173" s="36">
        <v>6.43</v>
      </c>
      <c r="AL173" s="36">
        <v>22</v>
      </c>
      <c r="AM173" s="63">
        <v>6.5</v>
      </c>
      <c r="AN173" s="63">
        <v>4.9000000000000004</v>
      </c>
      <c r="AO173" s="36">
        <v>0.24</v>
      </c>
      <c r="AP173" s="68">
        <v>0.26</v>
      </c>
      <c r="AQ173" s="73">
        <f t="shared" si="40"/>
        <v>2217</v>
      </c>
      <c r="AR173" s="75">
        <f t="shared" si="41"/>
        <v>0.75778078484438427</v>
      </c>
      <c r="AS173" s="75">
        <f t="shared" si="42"/>
        <v>3.9693279206134413E-2</v>
      </c>
      <c r="AT173" s="75">
        <f t="shared" si="43"/>
        <v>0.20252593594948129</v>
      </c>
      <c r="AU173" s="26">
        <f t="shared" si="44"/>
        <v>7.0827799911465247E-2</v>
      </c>
      <c r="AV173" s="26">
        <f t="shared" si="45"/>
        <v>7.7910579902611771E-2</v>
      </c>
      <c r="AW173" s="24">
        <f t="shared" si="46"/>
        <v>0.94144144144144148</v>
      </c>
      <c r="AX173" s="24">
        <f t="shared" si="47"/>
        <v>0.64864864864864868</v>
      </c>
      <c r="AY173" s="77" t="str">
        <f t="shared" si="48"/>
        <v>5,0 ≤ Alc. Bruta &lt; 7,5 mg/L</v>
      </c>
      <c r="AZ173" s="77" t="str">
        <f t="shared" si="49"/>
        <v>15 ≤ Cor &lt; 30 uC</v>
      </c>
      <c r="BA173" s="78" t="str">
        <f t="shared" si="50"/>
        <v>2,5 ≤ Turb &lt; 5,0 uT</v>
      </c>
      <c r="BB173" s="79" t="str">
        <f t="shared" si="51"/>
        <v>TOR &gt; BNN &gt; SM</v>
      </c>
      <c r="BC173" s="78" t="str">
        <f t="shared" si="52"/>
        <v>Tipo 4 (&gt;0,75) uT</v>
      </c>
      <c r="BD173" s="78" t="str">
        <f t="shared" si="53"/>
        <v>Tipo 1 (≤0,25) uT</v>
      </c>
      <c r="BE173" s="78" t="str">
        <f t="shared" si="54"/>
        <v>Tipo 4 (&gt;0,75) uT</v>
      </c>
      <c r="BF173" s="78" t="str">
        <f t="shared" si="55"/>
        <v>Tipo 2 (0,25-0,50) uT</v>
      </c>
      <c r="BG173" s="78" t="str">
        <f t="shared" si="56"/>
        <v>Tipo 3 (0,50-0,75) uT</v>
      </c>
    </row>
    <row r="174" spans="1:59" x14ac:dyDescent="0.2">
      <c r="A174" s="21">
        <v>46146</v>
      </c>
      <c r="B174" s="48">
        <v>0.14583333333333334</v>
      </c>
      <c r="C174" s="57">
        <v>1707</v>
      </c>
      <c r="D174" s="57">
        <v>90</v>
      </c>
      <c r="E174" s="57">
        <v>449</v>
      </c>
      <c r="F174" s="57">
        <v>2266</v>
      </c>
      <c r="G174" s="10" t="s">
        <v>78</v>
      </c>
      <c r="H174" s="63">
        <v>3.6</v>
      </c>
      <c r="I174" s="57">
        <v>90</v>
      </c>
      <c r="J174" s="57">
        <v>90</v>
      </c>
      <c r="K174" s="57">
        <v>90</v>
      </c>
      <c r="L174" s="63">
        <v>23.1</v>
      </c>
      <c r="M174" s="63">
        <v>6.6</v>
      </c>
      <c r="N174" s="36">
        <v>4.32</v>
      </c>
      <c r="O174" s="57">
        <v>18</v>
      </c>
      <c r="P174" s="63">
        <v>4.5999999999999996</v>
      </c>
      <c r="Q174" s="36">
        <v>0.99</v>
      </c>
      <c r="R174" s="36">
        <v>22.36</v>
      </c>
      <c r="S174" s="36">
        <v>0.88</v>
      </c>
      <c r="T174" s="36">
        <v>0.7</v>
      </c>
      <c r="U174" s="42">
        <f t="shared" si="57"/>
        <v>1600.3625000000002</v>
      </c>
      <c r="V174" s="36">
        <f t="shared" si="58"/>
        <v>1545.7743922399998</v>
      </c>
      <c r="W174" s="36">
        <f t="shared" si="59"/>
        <v>0.96589016066047506</v>
      </c>
      <c r="X174" s="57">
        <v>3</v>
      </c>
      <c r="Y174" s="57">
        <v>4</v>
      </c>
      <c r="Z174" s="63">
        <v>6.54</v>
      </c>
      <c r="AA174" s="57">
        <v>19</v>
      </c>
      <c r="AB174" s="63">
        <v>6.5</v>
      </c>
      <c r="AC174" s="63">
        <v>5</v>
      </c>
      <c r="AD174" s="10">
        <v>0.56999999999999995</v>
      </c>
      <c r="AE174" s="36">
        <v>2.15</v>
      </c>
      <c r="AF174" s="42">
        <f t="shared" si="60"/>
        <v>1600.3625000000002</v>
      </c>
      <c r="AG174" s="42">
        <f t="shared" si="61"/>
        <v>1793.0310486399997</v>
      </c>
      <c r="AH174" s="42">
        <f t="shared" si="62"/>
        <v>1.1203905669121836</v>
      </c>
      <c r="AI174" s="57">
        <v>3</v>
      </c>
      <c r="AJ174" s="57">
        <v>4</v>
      </c>
      <c r="AK174" s="36">
        <v>6.32</v>
      </c>
      <c r="AL174" s="36">
        <v>23</v>
      </c>
      <c r="AM174" s="63">
        <v>6.5</v>
      </c>
      <c r="AN174" s="63">
        <v>4.9000000000000004</v>
      </c>
      <c r="AO174" s="36">
        <v>0.36</v>
      </c>
      <c r="AP174" s="68">
        <v>0.33</v>
      </c>
      <c r="AQ174" s="73">
        <f t="shared" si="40"/>
        <v>2246</v>
      </c>
      <c r="AR174" s="75">
        <f t="shared" si="41"/>
        <v>0.76001780943900266</v>
      </c>
      <c r="AS174" s="75">
        <f t="shared" si="42"/>
        <v>4.0071237756010687E-2</v>
      </c>
      <c r="AT174" s="75">
        <f t="shared" si="43"/>
        <v>0.19991095280498664</v>
      </c>
      <c r="AU174" s="26">
        <f t="shared" si="44"/>
        <v>6.7078552515445714E-2</v>
      </c>
      <c r="AV174" s="26">
        <f t="shared" si="45"/>
        <v>8.1200353045013246E-2</v>
      </c>
      <c r="AW174" s="24">
        <f t="shared" si="46"/>
        <v>0.92361111111111116</v>
      </c>
      <c r="AX174" s="24">
        <f t="shared" si="47"/>
        <v>0.50231481481481488</v>
      </c>
      <c r="AY174" s="77" t="str">
        <f t="shared" si="48"/>
        <v>2,5 ≤ Alc. Bruta &lt; 5,0 mg/L</v>
      </c>
      <c r="AZ174" s="77" t="str">
        <f t="shared" si="49"/>
        <v>15 ≤ Cor &lt; 30 uC</v>
      </c>
      <c r="BA174" s="78" t="str">
        <f t="shared" si="50"/>
        <v>2,5 ≤ Turb &lt; 5,0 uT</v>
      </c>
      <c r="BB174" s="79" t="str">
        <f t="shared" si="51"/>
        <v>TOR &gt; BNN &gt; SM</v>
      </c>
      <c r="BC174" s="78" t="str">
        <f t="shared" si="52"/>
        <v>Tipo 3 (0,50-0,75) uT</v>
      </c>
      <c r="BD174" s="78" t="str">
        <f t="shared" si="53"/>
        <v>Tipo 2 (0,25-0,50) uT</v>
      </c>
      <c r="BE174" s="78" t="str">
        <f t="shared" si="54"/>
        <v>Tipo 4 (&gt;0,75) uT</v>
      </c>
      <c r="BF174" s="78" t="str">
        <f t="shared" si="55"/>
        <v>Tipo 2 (0,25-0,50) uT</v>
      </c>
      <c r="BG174" s="78" t="str">
        <f t="shared" si="56"/>
        <v>Tipo 4 (&gt;0,75) uT</v>
      </c>
    </row>
    <row r="175" spans="1:59" ht="15.75" thickBot="1" x14ac:dyDescent="0.25">
      <c r="A175" s="21">
        <v>46146</v>
      </c>
      <c r="B175" s="51">
        <v>0.22916666666666666</v>
      </c>
      <c r="C175" s="58">
        <v>1695</v>
      </c>
      <c r="D175" s="58">
        <v>90</v>
      </c>
      <c r="E175" s="58">
        <v>449</v>
      </c>
      <c r="F175" s="58">
        <v>2250</v>
      </c>
      <c r="G175" s="11" t="s">
        <v>78</v>
      </c>
      <c r="H175" s="64">
        <v>3.9</v>
      </c>
      <c r="I175" s="58">
        <v>90</v>
      </c>
      <c r="J175" s="58">
        <v>90</v>
      </c>
      <c r="K175" s="58">
        <v>90</v>
      </c>
      <c r="L175" s="64">
        <v>23</v>
      </c>
      <c r="M175" s="64">
        <v>6.6</v>
      </c>
      <c r="N175" s="37">
        <v>3.66</v>
      </c>
      <c r="O175" s="58">
        <v>14</v>
      </c>
      <c r="P175" s="64">
        <v>4.7</v>
      </c>
      <c r="Q175" s="37">
        <v>0.43</v>
      </c>
      <c r="R175" s="36">
        <v>22.36</v>
      </c>
      <c r="S175" s="36">
        <v>0.88</v>
      </c>
      <c r="T175" s="36">
        <v>0.7</v>
      </c>
      <c r="U175" s="42">
        <f t="shared" si="57"/>
        <v>1428.75</v>
      </c>
      <c r="V175" s="36">
        <f t="shared" si="58"/>
        <v>1548.7096117999997</v>
      </c>
      <c r="W175" s="36">
        <f t="shared" si="59"/>
        <v>1.0839612331058617</v>
      </c>
      <c r="X175" s="58">
        <v>3</v>
      </c>
      <c r="Y175" s="58">
        <v>4</v>
      </c>
      <c r="Z175" s="64">
        <v>6.55</v>
      </c>
      <c r="AA175" s="58">
        <v>19</v>
      </c>
      <c r="AB175" s="64">
        <v>6.3</v>
      </c>
      <c r="AC175" s="64">
        <v>4</v>
      </c>
      <c r="AD175" s="11">
        <v>0.37</v>
      </c>
      <c r="AE175" s="37">
        <v>1.1100000000000001</v>
      </c>
      <c r="AF175" s="42">
        <f t="shared" si="60"/>
        <v>1428.75</v>
      </c>
      <c r="AG175" s="42">
        <f t="shared" si="61"/>
        <v>1803.6905301999996</v>
      </c>
      <c r="AH175" s="42">
        <f t="shared" si="62"/>
        <v>1.2624255679440066</v>
      </c>
      <c r="AI175" s="58">
        <v>3</v>
      </c>
      <c r="AJ175" s="58">
        <v>4</v>
      </c>
      <c r="AK175" s="37">
        <v>6.35</v>
      </c>
      <c r="AL175" s="37">
        <v>23</v>
      </c>
      <c r="AM175" s="64">
        <v>6.4</v>
      </c>
      <c r="AN175" s="64">
        <v>4.9000000000000004</v>
      </c>
      <c r="AO175" s="37">
        <v>0.21</v>
      </c>
      <c r="AP175" s="69">
        <v>0.21</v>
      </c>
      <c r="AQ175" s="73">
        <f t="shared" si="40"/>
        <v>2234</v>
      </c>
      <c r="AR175" s="75">
        <f t="shared" si="41"/>
        <v>0.75872873769024174</v>
      </c>
      <c r="AS175" s="75">
        <f t="shared" si="42"/>
        <v>4.0286481647269473E-2</v>
      </c>
      <c r="AT175" s="75">
        <f t="shared" si="43"/>
        <v>0.20098478066248882</v>
      </c>
      <c r="AU175" s="26">
        <f t="shared" si="44"/>
        <v>6.7555555555555549E-2</v>
      </c>
      <c r="AV175" s="26">
        <f t="shared" si="45"/>
        <v>8.1777777777777783E-2</v>
      </c>
      <c r="AW175" s="24">
        <f t="shared" si="46"/>
        <v>0.94262295081967218</v>
      </c>
      <c r="AX175" s="24">
        <f t="shared" si="47"/>
        <v>0.69672131147540983</v>
      </c>
      <c r="AY175" s="77" t="str">
        <f t="shared" si="48"/>
        <v>2,5 ≤ Alc. Bruta &lt; 5,0 mg/L</v>
      </c>
      <c r="AZ175" s="77" t="str">
        <f t="shared" si="49"/>
        <v>10 ≤ Cor &lt;15 uC</v>
      </c>
      <c r="BA175" s="78" t="str">
        <f t="shared" si="50"/>
        <v>2,5 ≤ Turb &lt; 5,0 uT</v>
      </c>
      <c r="BB175" s="79" t="str">
        <f t="shared" si="51"/>
        <v>TOR &gt; BNN &gt; SM</v>
      </c>
      <c r="BC175" s="78" t="str">
        <f t="shared" si="52"/>
        <v>Tipo 2 (0,25-0,50) uT</v>
      </c>
      <c r="BD175" s="78" t="str">
        <f t="shared" si="53"/>
        <v>Tipo 1 (≤0,25) uT</v>
      </c>
      <c r="BE175" s="78" t="str">
        <f t="shared" si="54"/>
        <v>Tipo 4 (&gt;0,75) uT</v>
      </c>
      <c r="BF175" s="78" t="str">
        <f t="shared" si="55"/>
        <v>Tipo 1 (≤0,25) uT</v>
      </c>
      <c r="BG175" s="78" t="str">
        <f t="shared" si="56"/>
        <v>Tipo 2 (0,25-0,50) uT</v>
      </c>
    </row>
    <row r="176" spans="1:59" x14ac:dyDescent="0.2">
      <c r="A176" s="21">
        <v>46146</v>
      </c>
      <c r="B176" s="52">
        <v>0.3125</v>
      </c>
      <c r="C176" s="59">
        <v>570</v>
      </c>
      <c r="D176" s="57">
        <v>87</v>
      </c>
      <c r="E176" s="59">
        <v>516</v>
      </c>
      <c r="F176" s="59">
        <v>1307</v>
      </c>
      <c r="G176" s="9" t="s">
        <v>78</v>
      </c>
      <c r="H176" s="65">
        <v>3.9</v>
      </c>
      <c r="I176" s="59">
        <v>90</v>
      </c>
      <c r="J176" s="59">
        <v>90</v>
      </c>
      <c r="K176" s="59">
        <v>90</v>
      </c>
      <c r="L176" s="65">
        <v>23.1</v>
      </c>
      <c r="M176" s="65">
        <v>6.8</v>
      </c>
      <c r="N176" s="38">
        <v>3.61</v>
      </c>
      <c r="O176" s="59">
        <v>16</v>
      </c>
      <c r="P176" s="65">
        <v>5.8</v>
      </c>
      <c r="Q176" s="38">
        <v>0.17</v>
      </c>
      <c r="R176" s="36">
        <v>22.36</v>
      </c>
      <c r="S176" s="36">
        <v>0.88</v>
      </c>
      <c r="T176" s="36">
        <v>0.7</v>
      </c>
      <c r="U176" s="42">
        <f t="shared" si="57"/>
        <v>1095.7016666666666</v>
      </c>
      <c r="V176" s="36">
        <f t="shared" si="58"/>
        <v>1547.2151185919997</v>
      </c>
      <c r="W176" s="36">
        <f t="shared" si="59"/>
        <v>1.4120769965595865</v>
      </c>
      <c r="X176" s="59">
        <v>1</v>
      </c>
      <c r="Y176" s="59">
        <v>3</v>
      </c>
      <c r="Z176" s="65">
        <v>6.49</v>
      </c>
      <c r="AA176" s="59">
        <v>19.2</v>
      </c>
      <c r="AB176" s="65">
        <v>6.5</v>
      </c>
      <c r="AC176" s="65">
        <v>6</v>
      </c>
      <c r="AD176" s="9">
        <v>1.18</v>
      </c>
      <c r="AE176" s="38">
        <v>1.01</v>
      </c>
      <c r="AF176" s="42">
        <f t="shared" si="60"/>
        <v>1095.7016666666666</v>
      </c>
      <c r="AG176" s="42">
        <f t="shared" si="61"/>
        <v>1868.6304076439999</v>
      </c>
      <c r="AH176" s="42">
        <f t="shared" si="62"/>
        <v>1.705418969863147</v>
      </c>
      <c r="AI176" s="59">
        <v>1</v>
      </c>
      <c r="AJ176" s="59">
        <v>3</v>
      </c>
      <c r="AK176" s="38">
        <v>6.51</v>
      </c>
      <c r="AL176" s="38">
        <v>23.1</v>
      </c>
      <c r="AM176" s="65">
        <v>6.4</v>
      </c>
      <c r="AN176" s="65">
        <v>5.9</v>
      </c>
      <c r="AO176" s="38">
        <v>0.21</v>
      </c>
      <c r="AP176" s="70">
        <v>0.4</v>
      </c>
      <c r="AQ176" s="73">
        <f t="shared" si="40"/>
        <v>1173</v>
      </c>
      <c r="AR176" s="75">
        <f t="shared" si="41"/>
        <v>0.48593350383631712</v>
      </c>
      <c r="AS176" s="75">
        <f t="shared" si="42"/>
        <v>7.4168797953964194E-2</v>
      </c>
      <c r="AT176" s="75">
        <f t="shared" si="43"/>
        <v>0.43989769820971869</v>
      </c>
      <c r="AU176" s="26">
        <f t="shared" si="44"/>
        <v>8.8140780413159897E-2</v>
      </c>
      <c r="AV176" s="26">
        <f t="shared" si="45"/>
        <v>0.10604437643458302</v>
      </c>
      <c r="AW176" s="24">
        <f t="shared" si="46"/>
        <v>0.88919667590027696</v>
      </c>
      <c r="AX176" s="24">
        <f t="shared" si="47"/>
        <v>0.72022160664819945</v>
      </c>
      <c r="AY176" s="77" t="str">
        <f t="shared" si="48"/>
        <v>5,0 ≤ Alc. Bruta &lt; 7,5 mg/L</v>
      </c>
      <c r="AZ176" s="77" t="str">
        <f t="shared" si="49"/>
        <v>15 ≤ Cor &lt; 30 uC</v>
      </c>
      <c r="BA176" s="78" t="str">
        <f t="shared" si="50"/>
        <v>2,5 ≤ Turb &lt; 5,0 uT</v>
      </c>
      <c r="BB176" s="79" t="str">
        <f t="shared" si="51"/>
        <v>TOR &gt; BNN &gt; SM</v>
      </c>
      <c r="BC176" s="78" t="str">
        <f t="shared" si="52"/>
        <v>Tipo 4 (&gt;0,75) uT</v>
      </c>
      <c r="BD176" s="78" t="str">
        <f t="shared" si="53"/>
        <v>Tipo 1 (≤0,25) uT</v>
      </c>
      <c r="BE176" s="78" t="str">
        <f t="shared" si="54"/>
        <v>Tipo 4 (&gt;0,75) uT</v>
      </c>
      <c r="BF176" s="78" t="str">
        <f t="shared" si="55"/>
        <v>Tipo 2 (0,25-0,50) uT</v>
      </c>
      <c r="BG176" s="78" t="str">
        <f t="shared" si="56"/>
        <v>Tipo 1 (≤0,25) uT</v>
      </c>
    </row>
    <row r="177" spans="1:59" x14ac:dyDescent="0.2">
      <c r="A177" s="21">
        <v>46146</v>
      </c>
      <c r="B177" s="48">
        <v>0.39583333333333331</v>
      </c>
      <c r="C177" s="57">
        <v>1100</v>
      </c>
      <c r="D177" s="57">
        <v>89</v>
      </c>
      <c r="E177" s="57">
        <v>456</v>
      </c>
      <c r="F177" s="57">
        <v>1881</v>
      </c>
      <c r="G177" s="10" t="s">
        <v>78</v>
      </c>
      <c r="H177" s="63">
        <v>3.9</v>
      </c>
      <c r="I177" s="57">
        <v>90</v>
      </c>
      <c r="J177" s="57">
        <v>90</v>
      </c>
      <c r="K177" s="57">
        <v>90</v>
      </c>
      <c r="L177" s="63">
        <v>23.4</v>
      </c>
      <c r="M177" s="63">
        <v>6.8</v>
      </c>
      <c r="N177" s="36">
        <v>4.0999999999999996</v>
      </c>
      <c r="O177" s="57">
        <v>17</v>
      </c>
      <c r="P177" s="63">
        <v>6.9</v>
      </c>
      <c r="Q177" s="36">
        <v>0.38</v>
      </c>
      <c r="R177" s="36">
        <v>22.36</v>
      </c>
      <c r="S177" s="36">
        <v>0.88</v>
      </c>
      <c r="T177" s="36">
        <v>0.7</v>
      </c>
      <c r="U177" s="42">
        <f t="shared" si="57"/>
        <v>2595.7799999999997</v>
      </c>
      <c r="V177" s="36">
        <f t="shared" si="58"/>
        <v>1566.8364479039997</v>
      </c>
      <c r="W177" s="36">
        <f t="shared" si="59"/>
        <v>0.60360910705221549</v>
      </c>
      <c r="X177" s="57">
        <v>2</v>
      </c>
      <c r="Y177" s="57">
        <v>2</v>
      </c>
      <c r="Z177" s="63">
        <v>6.64</v>
      </c>
      <c r="AA177" s="57">
        <v>18.899999999999999</v>
      </c>
      <c r="AB177" s="63">
        <v>6.6</v>
      </c>
      <c r="AC177" s="63">
        <v>6.3</v>
      </c>
      <c r="AD177" s="10">
        <v>0.35</v>
      </c>
      <c r="AE177" s="36">
        <v>1.26</v>
      </c>
      <c r="AF177" s="42">
        <f t="shared" si="60"/>
        <v>2595.7799999999997</v>
      </c>
      <c r="AG177" s="42">
        <f t="shared" si="61"/>
        <v>1815.101271984</v>
      </c>
      <c r="AH177" s="42">
        <f t="shared" si="62"/>
        <v>0.69925081169590653</v>
      </c>
      <c r="AI177" s="57">
        <v>2</v>
      </c>
      <c r="AJ177" s="57">
        <v>2</v>
      </c>
      <c r="AK177" s="36">
        <v>6.36</v>
      </c>
      <c r="AL177" s="36">
        <v>23.1</v>
      </c>
      <c r="AM177" s="63">
        <v>6.6</v>
      </c>
      <c r="AN177" s="63">
        <v>6.8</v>
      </c>
      <c r="AO177" s="36">
        <v>0.31</v>
      </c>
      <c r="AP177" s="68">
        <v>0.42</v>
      </c>
      <c r="AQ177" s="73">
        <f t="shared" si="40"/>
        <v>1645</v>
      </c>
      <c r="AR177" s="75">
        <f t="shared" si="41"/>
        <v>0.66869300911854102</v>
      </c>
      <c r="AS177" s="75">
        <f t="shared" si="42"/>
        <v>5.410334346504559E-2</v>
      </c>
      <c r="AT177" s="75">
        <f t="shared" si="43"/>
        <v>0.2772036474164134</v>
      </c>
      <c r="AU177" s="26">
        <f t="shared" si="44"/>
        <v>4.0191387559808611E-2</v>
      </c>
      <c r="AV177" s="26">
        <f t="shared" si="45"/>
        <v>4.912280701754386E-2</v>
      </c>
      <c r="AW177" s="24">
        <f t="shared" si="46"/>
        <v>0.89756097560975612</v>
      </c>
      <c r="AX177" s="24">
        <f t="shared" si="47"/>
        <v>0.69268292682926824</v>
      </c>
      <c r="AY177" s="77" t="str">
        <f t="shared" si="48"/>
        <v>5,0 ≤ Alc. Bruta &lt; 7,5 mg/L</v>
      </c>
      <c r="AZ177" s="77" t="str">
        <f t="shared" si="49"/>
        <v>15 ≤ Cor &lt; 30 uC</v>
      </c>
      <c r="BA177" s="78" t="str">
        <f t="shared" si="50"/>
        <v>2,5 ≤ Turb &lt; 5,0 uT</v>
      </c>
      <c r="BB177" s="79" t="str">
        <f t="shared" si="51"/>
        <v>TOR &gt; BNN &gt; SM</v>
      </c>
      <c r="BC177" s="78" t="str">
        <f t="shared" si="52"/>
        <v>Tipo 2 (0,25-0,50) uT</v>
      </c>
      <c r="BD177" s="78" t="str">
        <f t="shared" si="53"/>
        <v>Tipo 2 (0,25-0,50) uT</v>
      </c>
      <c r="BE177" s="78" t="str">
        <f t="shared" si="54"/>
        <v>Tipo 4 (&gt;0,75) uT</v>
      </c>
      <c r="BF177" s="78" t="str">
        <f t="shared" si="55"/>
        <v>Tipo 2 (0,25-0,50) uT</v>
      </c>
      <c r="BG177" s="78" t="str">
        <f t="shared" si="56"/>
        <v>Tipo 2 (0,25-0,50) uT</v>
      </c>
    </row>
    <row r="178" spans="1:59" x14ac:dyDescent="0.2">
      <c r="A178" s="21">
        <v>46146</v>
      </c>
      <c r="B178" s="48">
        <v>0.47916666666666669</v>
      </c>
      <c r="C178" s="57">
        <v>1200</v>
      </c>
      <c r="D178" s="57">
        <v>85</v>
      </c>
      <c r="E178" s="57">
        <v>453</v>
      </c>
      <c r="F178" s="57">
        <v>1870</v>
      </c>
      <c r="G178" s="10" t="s">
        <v>78</v>
      </c>
      <c r="H178" s="63">
        <v>3.9</v>
      </c>
      <c r="I178" s="57">
        <v>90</v>
      </c>
      <c r="J178" s="57">
        <v>90</v>
      </c>
      <c r="K178" s="57">
        <v>90</v>
      </c>
      <c r="L178" s="63">
        <v>23.7</v>
      </c>
      <c r="M178" s="63">
        <v>6.7</v>
      </c>
      <c r="N178" s="36">
        <v>4.74</v>
      </c>
      <c r="O178" s="57">
        <v>16</v>
      </c>
      <c r="P178" s="63">
        <v>6.1</v>
      </c>
      <c r="Q178" s="36">
        <v>0.37</v>
      </c>
      <c r="R178" s="36">
        <v>22.36</v>
      </c>
      <c r="S178" s="36">
        <v>0.88</v>
      </c>
      <c r="T178" s="36">
        <v>0.7</v>
      </c>
      <c r="U178" s="42">
        <f t="shared" si="57"/>
        <v>2879.8</v>
      </c>
      <c r="V178" s="36">
        <f t="shared" si="58"/>
        <v>1542.83917268</v>
      </c>
      <c r="W178" s="36">
        <f t="shared" si="59"/>
        <v>0.53574525060073619</v>
      </c>
      <c r="X178" s="57">
        <v>2</v>
      </c>
      <c r="Y178" s="57">
        <v>2</v>
      </c>
      <c r="Z178" s="63">
        <v>6.53</v>
      </c>
      <c r="AA178" s="57">
        <v>19</v>
      </c>
      <c r="AB178" s="63">
        <v>6.6</v>
      </c>
      <c r="AC178" s="63">
        <v>6.1</v>
      </c>
      <c r="AD178" s="10">
        <v>0.81</v>
      </c>
      <c r="AE178" s="36">
        <v>1.47</v>
      </c>
      <c r="AF178" s="42">
        <f t="shared" si="60"/>
        <v>1439.9</v>
      </c>
      <c r="AG178" s="42">
        <f t="shared" si="61"/>
        <v>1899.5183305280002</v>
      </c>
      <c r="AH178" s="42">
        <f t="shared" si="62"/>
        <v>1.3192015629752067</v>
      </c>
      <c r="AI178" s="57">
        <v>2</v>
      </c>
      <c r="AJ178" s="57">
        <v>4</v>
      </c>
      <c r="AK178" s="36">
        <v>6.44</v>
      </c>
      <c r="AL178" s="36">
        <v>23.8</v>
      </c>
      <c r="AM178" s="63">
        <v>6.6</v>
      </c>
      <c r="AN178" s="63">
        <v>5.3</v>
      </c>
      <c r="AO178" s="36">
        <v>0.37</v>
      </c>
      <c r="AP178" s="68">
        <v>0.39</v>
      </c>
      <c r="AQ178" s="73">
        <f t="shared" si="40"/>
        <v>1738</v>
      </c>
      <c r="AR178" s="75">
        <f t="shared" si="41"/>
        <v>0.69044879171461448</v>
      </c>
      <c r="AS178" s="75">
        <f t="shared" si="42"/>
        <v>4.8906789413118525E-2</v>
      </c>
      <c r="AT178" s="75">
        <f t="shared" si="43"/>
        <v>0.26064441887226697</v>
      </c>
      <c r="AU178" s="26">
        <f t="shared" si="44"/>
        <v>4.0641711229946524E-2</v>
      </c>
      <c r="AV178" s="26">
        <f t="shared" si="45"/>
        <v>0.10181818181818182</v>
      </c>
      <c r="AW178" s="24">
        <f t="shared" si="46"/>
        <v>0.91772151898734178</v>
      </c>
      <c r="AX178" s="24">
        <f t="shared" si="47"/>
        <v>0.689873417721519</v>
      </c>
      <c r="AY178" s="77" t="str">
        <f t="shared" si="48"/>
        <v>5,0 ≤ Alc. Bruta &lt; 7,5 mg/L</v>
      </c>
      <c r="AZ178" s="77" t="str">
        <f t="shared" si="49"/>
        <v>15 ≤ Cor &lt; 30 uC</v>
      </c>
      <c r="BA178" s="78" t="str">
        <f t="shared" si="50"/>
        <v>2,5 ≤ Turb &lt; 5,0 uT</v>
      </c>
      <c r="BB178" s="79" t="str">
        <f t="shared" si="51"/>
        <v>TOR &gt; BNN &gt; SM</v>
      </c>
      <c r="BC178" s="78" t="str">
        <f t="shared" si="52"/>
        <v>Tipo 4 (&gt;0,75) uT</v>
      </c>
      <c r="BD178" s="78" t="str">
        <f t="shared" si="53"/>
        <v>Tipo 2 (0,25-0,50) uT</v>
      </c>
      <c r="BE178" s="78" t="str">
        <f t="shared" si="54"/>
        <v>Tipo 4 (&gt;0,75) uT</v>
      </c>
      <c r="BF178" s="78" t="str">
        <f t="shared" si="55"/>
        <v>Tipo 2 (0,25-0,50) uT</v>
      </c>
      <c r="BG178" s="78" t="str">
        <f t="shared" si="56"/>
        <v>Tipo 2 (0,25-0,50) uT</v>
      </c>
    </row>
    <row r="179" spans="1:59" x14ac:dyDescent="0.2">
      <c r="A179" s="21">
        <v>46146</v>
      </c>
      <c r="B179" s="48">
        <v>0.64583333333333337</v>
      </c>
      <c r="C179" s="57">
        <v>1120</v>
      </c>
      <c r="D179" s="57">
        <v>87</v>
      </c>
      <c r="E179" s="57">
        <v>450</v>
      </c>
      <c r="F179" s="57">
        <v>1900</v>
      </c>
      <c r="G179" s="10" t="s">
        <v>78</v>
      </c>
      <c r="H179" s="63">
        <v>3.9</v>
      </c>
      <c r="I179" s="57">
        <v>90</v>
      </c>
      <c r="J179" s="57">
        <v>90</v>
      </c>
      <c r="K179" s="57">
        <v>90</v>
      </c>
      <c r="L179" s="63">
        <v>24.7</v>
      </c>
      <c r="M179" s="63">
        <v>6.8</v>
      </c>
      <c r="N179" s="36">
        <v>3.39</v>
      </c>
      <c r="O179" s="57">
        <v>16</v>
      </c>
      <c r="P179" s="63">
        <v>6.6</v>
      </c>
      <c r="Q179" s="36">
        <v>0.81</v>
      </c>
      <c r="R179" s="36">
        <v>22.36</v>
      </c>
      <c r="S179" s="36">
        <v>0.88</v>
      </c>
      <c r="T179" s="36">
        <v>0.7</v>
      </c>
      <c r="U179" s="42">
        <f t="shared" si="57"/>
        <v>2284.7500000000005</v>
      </c>
      <c r="V179" s="36">
        <f t="shared" si="58"/>
        <v>1477.5164898</v>
      </c>
      <c r="W179" s="36">
        <f t="shared" si="59"/>
        <v>0.64668628506401127</v>
      </c>
      <c r="X179" s="57">
        <v>2</v>
      </c>
      <c r="Y179" s="57">
        <v>2</v>
      </c>
      <c r="Z179" s="63">
        <v>6.5</v>
      </c>
      <c r="AA179" s="57">
        <v>18.3</v>
      </c>
      <c r="AB179" s="63">
        <v>6.8</v>
      </c>
      <c r="AC179" s="63">
        <v>5.2</v>
      </c>
      <c r="AD179" s="10">
        <v>0.98</v>
      </c>
      <c r="AE179" s="36">
        <v>1.83</v>
      </c>
      <c r="AF179" s="42">
        <f t="shared" si="60"/>
        <v>1142.3750000000002</v>
      </c>
      <c r="AG179" s="42">
        <f t="shared" si="61"/>
        <v>1784.4840012479999</v>
      </c>
      <c r="AH179" s="42">
        <f t="shared" si="62"/>
        <v>1.5620825046486482</v>
      </c>
      <c r="AI179" s="57">
        <v>2</v>
      </c>
      <c r="AJ179" s="57">
        <v>4</v>
      </c>
      <c r="AK179" s="36">
        <v>6.34</v>
      </c>
      <c r="AL179" s="36">
        <v>22.8</v>
      </c>
      <c r="AM179" s="63">
        <v>6.5</v>
      </c>
      <c r="AN179" s="63">
        <v>5.0999999999999996</v>
      </c>
      <c r="AO179" s="36">
        <v>0.28999999999999998</v>
      </c>
      <c r="AP179" s="68">
        <v>0.5</v>
      </c>
      <c r="AQ179" s="73">
        <f t="shared" si="40"/>
        <v>1657</v>
      </c>
      <c r="AR179" s="75">
        <f t="shared" si="41"/>
        <v>0.67592033796016893</v>
      </c>
      <c r="AS179" s="75">
        <f t="shared" si="42"/>
        <v>5.2504526252263123E-2</v>
      </c>
      <c r="AT179" s="75">
        <f t="shared" si="43"/>
        <v>0.27157513578756787</v>
      </c>
      <c r="AU179" s="26">
        <f t="shared" si="44"/>
        <v>3.8526315789473686E-2</v>
      </c>
      <c r="AV179" s="26">
        <f t="shared" si="45"/>
        <v>9.6000000000000002E-2</v>
      </c>
      <c r="AW179" s="24">
        <f t="shared" si="46"/>
        <v>0.85250737463126847</v>
      </c>
      <c r="AX179" s="24">
        <f t="shared" si="47"/>
        <v>0.46017699115044253</v>
      </c>
      <c r="AY179" s="77" t="str">
        <f t="shared" si="48"/>
        <v>5,0 ≤ Alc. Bruta &lt; 7,5 mg/L</v>
      </c>
      <c r="AZ179" s="77" t="str">
        <f t="shared" si="49"/>
        <v>15 ≤ Cor &lt; 30 uC</v>
      </c>
      <c r="BA179" s="78" t="str">
        <f t="shared" si="50"/>
        <v>2,5 ≤ Turb &lt; 5,0 uT</v>
      </c>
      <c r="BB179" s="79" t="str">
        <f t="shared" si="51"/>
        <v>TOR &gt; BNN &gt; SM</v>
      </c>
      <c r="BC179" s="78" t="str">
        <f t="shared" si="52"/>
        <v>Tipo 4 (&gt;0,75) uT</v>
      </c>
      <c r="BD179" s="78" t="str">
        <f t="shared" si="53"/>
        <v>Tipo 2 (0,25-0,50) uT</v>
      </c>
      <c r="BE179" s="78" t="str">
        <f t="shared" si="54"/>
        <v>Tipo 4 (&gt;0,75) uT</v>
      </c>
      <c r="BF179" s="78" t="str">
        <f t="shared" si="55"/>
        <v>Tipo 2 (0,25-0,50) uT</v>
      </c>
      <c r="BG179" s="78" t="str">
        <f t="shared" si="56"/>
        <v>Tipo 4 (&gt;0,75) uT</v>
      </c>
    </row>
    <row r="180" spans="1:59" x14ac:dyDescent="0.2">
      <c r="A180" s="21">
        <v>46146</v>
      </c>
      <c r="B180" s="48">
        <v>0.72916666666666663</v>
      </c>
      <c r="C180" s="57">
        <v>1145</v>
      </c>
      <c r="D180" s="57">
        <v>84</v>
      </c>
      <c r="E180" s="57">
        <v>453</v>
      </c>
      <c r="F180" s="57">
        <v>1802</v>
      </c>
      <c r="G180" s="10" t="s">
        <v>78</v>
      </c>
      <c r="H180" s="63">
        <v>3.9</v>
      </c>
      <c r="I180" s="57">
        <v>90</v>
      </c>
      <c r="J180" s="57">
        <v>90</v>
      </c>
      <c r="K180" s="57">
        <v>90</v>
      </c>
      <c r="L180" s="63">
        <v>24.7</v>
      </c>
      <c r="M180" s="63">
        <v>6.6</v>
      </c>
      <c r="N180" s="36">
        <v>3.61</v>
      </c>
      <c r="O180" s="57">
        <v>14</v>
      </c>
      <c r="P180" s="63">
        <v>6.9</v>
      </c>
      <c r="Q180" s="36">
        <v>0.74</v>
      </c>
      <c r="R180" s="36">
        <v>22.36</v>
      </c>
      <c r="S180" s="36">
        <v>0.88</v>
      </c>
      <c r="T180" s="36">
        <v>0.7</v>
      </c>
      <c r="U180" s="42">
        <f t="shared" si="57"/>
        <v>2266.0149999999999</v>
      </c>
      <c r="V180" s="36">
        <f t="shared" si="58"/>
        <v>1444.9527050400002</v>
      </c>
      <c r="W180" s="36">
        <f t="shared" si="59"/>
        <v>0.63766246253444936</v>
      </c>
      <c r="X180" s="57">
        <v>2</v>
      </c>
      <c r="Y180" s="57">
        <v>2</v>
      </c>
      <c r="Z180" s="63">
        <v>6.47</v>
      </c>
      <c r="AA180" s="57">
        <v>18</v>
      </c>
      <c r="AB180" s="63">
        <v>6.6</v>
      </c>
      <c r="AC180" s="63">
        <v>5.0999999999999996</v>
      </c>
      <c r="AD180" s="10">
        <v>0.77</v>
      </c>
      <c r="AE180" s="36">
        <v>1.82</v>
      </c>
      <c r="AF180" s="42">
        <f t="shared" si="60"/>
        <v>1133.0074999999999</v>
      </c>
      <c r="AG180" s="42">
        <f t="shared" si="61"/>
        <v>1796.58420916</v>
      </c>
      <c r="AH180" s="42">
        <f t="shared" si="62"/>
        <v>1.5856772432309585</v>
      </c>
      <c r="AI180" s="57">
        <v>2</v>
      </c>
      <c r="AJ180" s="57">
        <v>4</v>
      </c>
      <c r="AK180" s="36">
        <v>6.33</v>
      </c>
      <c r="AL180" s="36">
        <v>23</v>
      </c>
      <c r="AM180" s="63">
        <v>6.6</v>
      </c>
      <c r="AN180" s="63">
        <v>5.2</v>
      </c>
      <c r="AO180" s="36">
        <v>0.23</v>
      </c>
      <c r="AP180" s="68">
        <v>0.67</v>
      </c>
      <c r="AQ180" s="73">
        <f t="shared" si="40"/>
        <v>1682</v>
      </c>
      <c r="AR180" s="75">
        <f t="shared" si="41"/>
        <v>0.68073721759809747</v>
      </c>
      <c r="AS180" s="75">
        <f t="shared" si="42"/>
        <v>4.9940546967895363E-2</v>
      </c>
      <c r="AT180" s="75">
        <f t="shared" si="43"/>
        <v>0.26932223543400713</v>
      </c>
      <c r="AU180" s="26">
        <f t="shared" si="44"/>
        <v>3.9955604883462822E-2</v>
      </c>
      <c r="AV180" s="26">
        <f t="shared" si="45"/>
        <v>0.10210876803551609</v>
      </c>
      <c r="AW180" s="24">
        <f t="shared" si="46"/>
        <v>0.81440443213296398</v>
      </c>
      <c r="AX180" s="24">
        <f t="shared" si="47"/>
        <v>0.49584487534626032</v>
      </c>
      <c r="AY180" s="77" t="str">
        <f t="shared" si="48"/>
        <v>5,0 ≤ Alc. Bruta &lt; 7,5 mg/L</v>
      </c>
      <c r="AZ180" s="77" t="str">
        <f t="shared" si="49"/>
        <v>10 ≤ Cor &lt;15 uC</v>
      </c>
      <c r="BA180" s="78" t="str">
        <f t="shared" si="50"/>
        <v>2,5 ≤ Turb &lt; 5,0 uT</v>
      </c>
      <c r="BB180" s="79" t="str">
        <f t="shared" si="51"/>
        <v>TOR &gt; BNN &gt; SM</v>
      </c>
      <c r="BC180" s="78" t="str">
        <f t="shared" si="52"/>
        <v>Tipo 4 (&gt;0,75) uT</v>
      </c>
      <c r="BD180" s="78" t="str">
        <f t="shared" si="53"/>
        <v>Tipo 1 (≤0,25) uT</v>
      </c>
      <c r="BE180" s="78" t="str">
        <f t="shared" si="54"/>
        <v>Tipo 4 (&gt;0,75) uT</v>
      </c>
      <c r="BF180" s="78" t="str">
        <f t="shared" si="55"/>
        <v>Tipo 3 (0,50-0,75) uT</v>
      </c>
      <c r="BG180" s="78" t="str">
        <f t="shared" si="56"/>
        <v>Tipo 3 (0,50-0,75) uT</v>
      </c>
    </row>
    <row r="181" spans="1:59" x14ac:dyDescent="0.2">
      <c r="A181" s="21">
        <v>46146</v>
      </c>
      <c r="B181" s="48">
        <v>0.8125</v>
      </c>
      <c r="C181" s="57">
        <v>1093</v>
      </c>
      <c r="D181" s="57">
        <v>88</v>
      </c>
      <c r="E181" s="57">
        <v>454</v>
      </c>
      <c r="F181" s="57">
        <v>1814</v>
      </c>
      <c r="G181" s="10" t="s">
        <v>78</v>
      </c>
      <c r="H181" s="63">
        <v>3.9</v>
      </c>
      <c r="I181" s="57">
        <v>90</v>
      </c>
      <c r="J181" s="57">
        <v>90</v>
      </c>
      <c r="K181" s="57">
        <v>90</v>
      </c>
      <c r="L181" s="63">
        <v>24</v>
      </c>
      <c r="M181" s="63">
        <v>6.8</v>
      </c>
      <c r="N181" s="36">
        <v>3.95</v>
      </c>
      <c r="O181" s="57">
        <v>16</v>
      </c>
      <c r="P181" s="63">
        <v>5.4</v>
      </c>
      <c r="Q181" s="36">
        <v>0.82</v>
      </c>
      <c r="R181" s="36">
        <v>22.36</v>
      </c>
      <c r="S181" s="36">
        <v>0.88</v>
      </c>
      <c r="T181" s="36">
        <v>0.7</v>
      </c>
      <c r="U181" s="42">
        <f t="shared" si="57"/>
        <v>2435.2950000000001</v>
      </c>
      <c r="V181" s="36">
        <f t="shared" si="58"/>
        <v>1497.306049044</v>
      </c>
      <c r="W181" s="36">
        <f t="shared" si="59"/>
        <v>0.61483559447377012</v>
      </c>
      <c r="X181" s="57">
        <v>2</v>
      </c>
      <c r="Y181" s="57">
        <v>2</v>
      </c>
      <c r="Z181" s="63">
        <v>6.57</v>
      </c>
      <c r="AA181" s="57">
        <v>18.3</v>
      </c>
      <c r="AB181" s="63">
        <v>6.6</v>
      </c>
      <c r="AC181" s="63">
        <v>5.0999999999999996</v>
      </c>
      <c r="AD181" s="10">
        <v>0.68</v>
      </c>
      <c r="AE181" s="36">
        <v>1.22</v>
      </c>
      <c r="AF181" s="42">
        <f t="shared" si="60"/>
        <v>1217.6475</v>
      </c>
      <c r="AG181" s="42">
        <f t="shared" si="61"/>
        <v>1844.4631986559998</v>
      </c>
      <c r="AH181" s="42">
        <f t="shared" si="62"/>
        <v>1.5147759911271528</v>
      </c>
      <c r="AI181" s="57">
        <v>2</v>
      </c>
      <c r="AJ181" s="57">
        <v>4</v>
      </c>
      <c r="AK181" s="36">
        <v>6.42</v>
      </c>
      <c r="AL181" s="36">
        <v>23.2</v>
      </c>
      <c r="AM181" s="63">
        <v>6.5</v>
      </c>
      <c r="AN181" s="63">
        <v>5.5</v>
      </c>
      <c r="AO181" s="36">
        <v>0.1</v>
      </c>
      <c r="AP181" s="68">
        <v>0.85</v>
      </c>
      <c r="AQ181" s="73">
        <f t="shared" si="40"/>
        <v>1635</v>
      </c>
      <c r="AR181" s="75">
        <f t="shared" si="41"/>
        <v>0.66850152905198779</v>
      </c>
      <c r="AS181" s="75">
        <f t="shared" si="42"/>
        <v>5.3822629969418959E-2</v>
      </c>
      <c r="AT181" s="75">
        <f t="shared" si="43"/>
        <v>0.27767584097859327</v>
      </c>
      <c r="AU181" s="26">
        <f t="shared" si="44"/>
        <v>4.0352811466372658E-2</v>
      </c>
      <c r="AV181" s="26">
        <f t="shared" si="45"/>
        <v>0.10231532524807056</v>
      </c>
      <c r="AW181" s="24">
        <f t="shared" si="46"/>
        <v>0.78481012658227844</v>
      </c>
      <c r="AX181" s="24">
        <f t="shared" si="47"/>
        <v>0.69113924050632913</v>
      </c>
      <c r="AY181" s="77" t="str">
        <f t="shared" si="48"/>
        <v>5,0 ≤ Alc. Bruta &lt; 7,5 mg/L</v>
      </c>
      <c r="AZ181" s="77" t="str">
        <f t="shared" si="49"/>
        <v>15 ≤ Cor &lt; 30 uC</v>
      </c>
      <c r="BA181" s="78" t="str">
        <f t="shared" si="50"/>
        <v>2,5 ≤ Turb &lt; 5,0 uT</v>
      </c>
      <c r="BB181" s="79" t="str">
        <f t="shared" si="51"/>
        <v>TOR &gt; BNN &gt; SM</v>
      </c>
      <c r="BC181" s="78" t="str">
        <f t="shared" si="52"/>
        <v>Tipo 3 (0,50-0,75) uT</v>
      </c>
      <c r="BD181" s="78" t="str">
        <f t="shared" si="53"/>
        <v>Tipo 1 (≤0,25) uT</v>
      </c>
      <c r="BE181" s="78" t="str">
        <f t="shared" si="54"/>
        <v>Tipo 4 (&gt;0,75) uT</v>
      </c>
      <c r="BF181" s="78" t="str">
        <f t="shared" si="55"/>
        <v>Tipo 4 (&gt;0,75) uT</v>
      </c>
      <c r="BG181" s="78" t="str">
        <f t="shared" si="56"/>
        <v>Tipo 4 (&gt;0,75) uT</v>
      </c>
    </row>
    <row r="182" spans="1:59" x14ac:dyDescent="0.2">
      <c r="A182" s="21">
        <v>46146</v>
      </c>
      <c r="B182" s="48">
        <v>0.89583333333333337</v>
      </c>
      <c r="C182" s="57">
        <v>1122</v>
      </c>
      <c r="D182" s="57">
        <v>81</v>
      </c>
      <c r="E182" s="57">
        <v>549</v>
      </c>
      <c r="F182" s="57">
        <v>1835</v>
      </c>
      <c r="G182" s="10" t="s">
        <v>78</v>
      </c>
      <c r="H182" s="63">
        <v>3.9</v>
      </c>
      <c r="I182" s="57">
        <v>90</v>
      </c>
      <c r="J182" s="57">
        <v>90</v>
      </c>
      <c r="K182" s="57">
        <v>90</v>
      </c>
      <c r="L182" s="63">
        <v>23.1</v>
      </c>
      <c r="M182" s="63">
        <v>6.7</v>
      </c>
      <c r="N182" s="36">
        <v>4.1100000000000003</v>
      </c>
      <c r="O182" s="57">
        <v>18</v>
      </c>
      <c r="P182" s="63">
        <v>6.9</v>
      </c>
      <c r="Q182" s="36">
        <v>0.86</v>
      </c>
      <c r="R182" s="36">
        <v>22.36</v>
      </c>
      <c r="S182" s="36">
        <v>0.88</v>
      </c>
      <c r="T182" s="36">
        <v>0.7</v>
      </c>
      <c r="U182" s="42">
        <f t="shared" si="57"/>
        <v>1691.2583333333332</v>
      </c>
      <c r="V182" s="36">
        <f t="shared" si="58"/>
        <v>1539.156706516</v>
      </c>
      <c r="W182" s="36">
        <f t="shared" si="59"/>
        <v>0.91006600007844263</v>
      </c>
      <c r="X182" s="57">
        <v>2</v>
      </c>
      <c r="Y182" s="57">
        <v>3</v>
      </c>
      <c r="Z182" s="63">
        <v>6.49</v>
      </c>
      <c r="AA182" s="57">
        <v>19.100000000000001</v>
      </c>
      <c r="AB182" s="63">
        <v>6.5</v>
      </c>
      <c r="AC182" s="63">
        <v>6.1</v>
      </c>
      <c r="AD182" s="10">
        <v>0.85</v>
      </c>
      <c r="AE182" s="36">
        <v>1.83</v>
      </c>
      <c r="AF182" s="42">
        <f t="shared" si="60"/>
        <v>1268.4437500000001</v>
      </c>
      <c r="AG182" s="42">
        <f t="shared" si="61"/>
        <v>1866.8114954319994</v>
      </c>
      <c r="AH182" s="42">
        <f t="shared" si="62"/>
        <v>1.4717337646482149</v>
      </c>
      <c r="AI182" s="57">
        <v>2</v>
      </c>
      <c r="AJ182" s="57">
        <v>4</v>
      </c>
      <c r="AK182" s="36">
        <v>6.46</v>
      </c>
      <c r="AL182" s="36">
        <v>23.3</v>
      </c>
      <c r="AM182" s="63">
        <v>6.5</v>
      </c>
      <c r="AN182" s="63">
        <v>6.3</v>
      </c>
      <c r="AO182" s="36">
        <v>0.18</v>
      </c>
      <c r="AP182" s="68">
        <v>0.83</v>
      </c>
      <c r="AQ182" s="73">
        <f t="shared" si="40"/>
        <v>1752</v>
      </c>
      <c r="AR182" s="75">
        <f t="shared" si="41"/>
        <v>0.6404109589041096</v>
      </c>
      <c r="AS182" s="75">
        <f t="shared" si="42"/>
        <v>4.6232876712328765E-2</v>
      </c>
      <c r="AT182" s="75">
        <f t="shared" si="43"/>
        <v>0.31335616438356162</v>
      </c>
      <c r="AU182" s="26">
        <f t="shared" si="44"/>
        <v>6.2452316076294284E-2</v>
      </c>
      <c r="AV182" s="26">
        <f t="shared" si="45"/>
        <v>0.10158038147138965</v>
      </c>
      <c r="AW182" s="24">
        <f t="shared" si="46"/>
        <v>0.7980535279805353</v>
      </c>
      <c r="AX182" s="24">
        <f t="shared" si="47"/>
        <v>0.55474452554744524</v>
      </c>
      <c r="AY182" s="77" t="str">
        <f t="shared" si="48"/>
        <v>5,0 ≤ Alc. Bruta &lt; 7,5 mg/L</v>
      </c>
      <c r="AZ182" s="77" t="str">
        <f t="shared" si="49"/>
        <v>15 ≤ Cor &lt; 30 uC</v>
      </c>
      <c r="BA182" s="78" t="str">
        <f t="shared" si="50"/>
        <v>2,5 ≤ Turb &lt; 5,0 uT</v>
      </c>
      <c r="BB182" s="79" t="str">
        <f t="shared" si="51"/>
        <v>TOR &gt; BNN &gt; SM</v>
      </c>
      <c r="BC182" s="78" t="str">
        <f t="shared" si="52"/>
        <v>Tipo 4 (&gt;0,75) uT</v>
      </c>
      <c r="BD182" s="78" t="str">
        <f t="shared" si="53"/>
        <v>Tipo 1 (≤0,25) uT</v>
      </c>
      <c r="BE182" s="78" t="str">
        <f t="shared" si="54"/>
        <v>Tipo 4 (&gt;0,75) uT</v>
      </c>
      <c r="BF182" s="78" t="str">
        <f t="shared" si="55"/>
        <v>Tipo 4 (&gt;0,75) uT</v>
      </c>
      <c r="BG182" s="78" t="str">
        <f t="shared" si="56"/>
        <v>Tipo 4 (&gt;0,75) uT</v>
      </c>
    </row>
    <row r="183" spans="1:59" x14ac:dyDescent="0.2">
      <c r="A183" s="21">
        <v>46146</v>
      </c>
      <c r="B183" s="48">
        <v>0.97916666666666663</v>
      </c>
      <c r="C183" s="57">
        <v>1108</v>
      </c>
      <c r="D183" s="57">
        <v>91</v>
      </c>
      <c r="E183" s="57">
        <v>550</v>
      </c>
      <c r="F183" s="57">
        <v>1891</v>
      </c>
      <c r="G183" s="10" t="s">
        <v>78</v>
      </c>
      <c r="H183" s="63">
        <v>4.2</v>
      </c>
      <c r="I183" s="57">
        <v>90</v>
      </c>
      <c r="J183" s="57">
        <v>90</v>
      </c>
      <c r="K183" s="57">
        <v>90</v>
      </c>
      <c r="L183" s="63">
        <v>22.7</v>
      </c>
      <c r="M183" s="63">
        <v>6.7</v>
      </c>
      <c r="N183" s="36">
        <v>3.84</v>
      </c>
      <c r="O183" s="57">
        <v>15</v>
      </c>
      <c r="P183" s="63">
        <v>5.4</v>
      </c>
      <c r="Q183" s="36">
        <v>1.17</v>
      </c>
      <c r="R183" s="36">
        <v>22.36</v>
      </c>
      <c r="S183" s="36">
        <v>0.88</v>
      </c>
      <c r="T183" s="36">
        <v>0.7</v>
      </c>
      <c r="U183" s="42">
        <f t="shared" si="57"/>
        <v>1686.1416666666667</v>
      </c>
      <c r="V183" s="36">
        <f t="shared" si="58"/>
        <v>1579.126051724</v>
      </c>
      <c r="W183" s="36">
        <f t="shared" si="59"/>
        <v>0.93653225167359411</v>
      </c>
      <c r="X183" s="57">
        <v>2</v>
      </c>
      <c r="Y183" s="57">
        <v>3</v>
      </c>
      <c r="Z183" s="63">
        <v>6.57</v>
      </c>
      <c r="AA183" s="57">
        <v>19.3</v>
      </c>
      <c r="AB183" s="63">
        <v>6.5</v>
      </c>
      <c r="AC183" s="63">
        <v>5.9</v>
      </c>
      <c r="AD183" s="10">
        <v>0.76</v>
      </c>
      <c r="AE183" s="36">
        <v>2.08</v>
      </c>
      <c r="AF183" s="42">
        <f t="shared" si="60"/>
        <v>1264.6062499999998</v>
      </c>
      <c r="AG183" s="42">
        <f t="shared" si="61"/>
        <v>1833.7110259519998</v>
      </c>
      <c r="AH183" s="42">
        <f t="shared" si="62"/>
        <v>1.4500252754183367</v>
      </c>
      <c r="AI183" s="57">
        <v>2</v>
      </c>
      <c r="AJ183" s="57">
        <v>4</v>
      </c>
      <c r="AK183" s="36">
        <v>6.39</v>
      </c>
      <c r="AL183" s="36">
        <v>23.2</v>
      </c>
      <c r="AM183" s="63">
        <v>6.5</v>
      </c>
      <c r="AN183" s="63">
        <v>5.2</v>
      </c>
      <c r="AO183" s="36">
        <v>0.13</v>
      </c>
      <c r="AP183" s="68">
        <v>1.05</v>
      </c>
      <c r="AQ183" s="73">
        <f t="shared" si="40"/>
        <v>1749</v>
      </c>
      <c r="AR183" s="75">
        <f t="shared" si="41"/>
        <v>0.63350485991995431</v>
      </c>
      <c r="AS183" s="75">
        <f t="shared" si="42"/>
        <v>5.2029731275014292E-2</v>
      </c>
      <c r="AT183" s="75">
        <f t="shared" si="43"/>
        <v>0.31446540880503143</v>
      </c>
      <c r="AU183" s="26">
        <f t="shared" si="44"/>
        <v>6.1237440507667898E-2</v>
      </c>
      <c r="AV183" s="26">
        <f t="shared" si="45"/>
        <v>9.8149127445795875E-2</v>
      </c>
      <c r="AW183" s="24">
        <f t="shared" si="46"/>
        <v>0.7265625</v>
      </c>
      <c r="AX183" s="24">
        <f t="shared" si="47"/>
        <v>0.45833333333333326</v>
      </c>
      <c r="AY183" s="77" t="str">
        <f t="shared" si="48"/>
        <v>5,0 ≤ Alc. Bruta &lt; 7,5 mg/L</v>
      </c>
      <c r="AZ183" s="77" t="str">
        <f t="shared" si="49"/>
        <v>15 ≤ Cor &lt; 30 uC</v>
      </c>
      <c r="BA183" s="78" t="str">
        <f t="shared" si="50"/>
        <v>2,5 ≤ Turb &lt; 5,0 uT</v>
      </c>
      <c r="BB183" s="79" t="str">
        <f t="shared" si="51"/>
        <v>TOR &gt; BNN &gt; SM</v>
      </c>
      <c r="BC183" s="78" t="str">
        <f t="shared" si="52"/>
        <v>Tipo 4 (&gt;0,75) uT</v>
      </c>
      <c r="BD183" s="78" t="str">
        <f t="shared" si="53"/>
        <v>Tipo 1 (≤0,25) uT</v>
      </c>
      <c r="BE183" s="78" t="str">
        <f t="shared" si="54"/>
        <v>Tipo 4 (&gt;0,75) uT</v>
      </c>
      <c r="BF183" s="78" t="str">
        <f t="shared" si="55"/>
        <v>Tipo 4 (&gt;0,75) uT</v>
      </c>
      <c r="BG183" s="78" t="str">
        <f t="shared" si="56"/>
        <v>Tipo 4 (&gt;0,75) uT</v>
      </c>
    </row>
    <row r="184" spans="1:59" x14ac:dyDescent="0.2">
      <c r="A184" s="21">
        <v>46147</v>
      </c>
      <c r="B184" s="48">
        <v>6.25E-2</v>
      </c>
      <c r="C184" s="57">
        <v>1113</v>
      </c>
      <c r="D184" s="57">
        <v>91</v>
      </c>
      <c r="E184" s="57">
        <v>551</v>
      </c>
      <c r="F184" s="57">
        <v>1894</v>
      </c>
      <c r="G184" s="10" t="s">
        <v>78</v>
      </c>
      <c r="H184" s="63">
        <v>4.5</v>
      </c>
      <c r="I184" s="57">
        <v>90</v>
      </c>
      <c r="J184" s="57">
        <v>90</v>
      </c>
      <c r="K184" s="57">
        <v>90</v>
      </c>
      <c r="L184" s="63">
        <v>23.3</v>
      </c>
      <c r="M184" s="63">
        <v>6.7</v>
      </c>
      <c r="N184" s="36">
        <v>3.85</v>
      </c>
      <c r="O184" s="57">
        <v>15</v>
      </c>
      <c r="P184" s="63">
        <v>6</v>
      </c>
      <c r="Q184" s="36">
        <v>0.32</v>
      </c>
      <c r="R184" s="36">
        <v>22.36</v>
      </c>
      <c r="S184" s="36">
        <v>0.88</v>
      </c>
      <c r="T184" s="36">
        <v>0.7</v>
      </c>
      <c r="U184" s="42">
        <f t="shared" si="57"/>
        <v>1720.3833333333334</v>
      </c>
      <c r="V184" s="36">
        <f t="shared" si="58"/>
        <v>1591.5604097120001</v>
      </c>
      <c r="W184" s="36">
        <f t="shared" si="59"/>
        <v>0.92511963983530809</v>
      </c>
      <c r="X184" s="57">
        <v>2</v>
      </c>
      <c r="Y184" s="57">
        <v>3</v>
      </c>
      <c r="Z184" s="63">
        <v>6.53</v>
      </c>
      <c r="AA184" s="57">
        <v>19.600000000000001</v>
      </c>
      <c r="AB184" s="63">
        <v>6.6</v>
      </c>
      <c r="AC184" s="63">
        <v>6</v>
      </c>
      <c r="AD184" s="10">
        <v>0.51</v>
      </c>
      <c r="AE184" s="36">
        <v>1.59</v>
      </c>
      <c r="AF184" s="42">
        <f t="shared" si="60"/>
        <v>1290.2875000000001</v>
      </c>
      <c r="AG184" s="42">
        <f t="shared" si="61"/>
        <v>1836.512926248</v>
      </c>
      <c r="AH184" s="42">
        <f t="shared" si="62"/>
        <v>1.4233362147955395</v>
      </c>
      <c r="AI184" s="57">
        <v>2</v>
      </c>
      <c r="AJ184" s="57">
        <v>4</v>
      </c>
      <c r="AK184" s="36">
        <v>6.42</v>
      </c>
      <c r="AL184" s="36">
        <v>23.1</v>
      </c>
      <c r="AM184" s="63">
        <v>6.5</v>
      </c>
      <c r="AN184" s="63">
        <v>6.3</v>
      </c>
      <c r="AO184" s="36">
        <v>0.2</v>
      </c>
      <c r="AP184" s="68">
        <v>0.63</v>
      </c>
      <c r="AQ184" s="73">
        <f t="shared" si="40"/>
        <v>1755</v>
      </c>
      <c r="AR184" s="75">
        <f t="shared" si="41"/>
        <v>0.63418803418803416</v>
      </c>
      <c r="AS184" s="75">
        <f t="shared" si="42"/>
        <v>5.185185185185185E-2</v>
      </c>
      <c r="AT184" s="75">
        <f t="shared" si="43"/>
        <v>0.31396011396011397</v>
      </c>
      <c r="AU184" s="26">
        <f t="shared" si="44"/>
        <v>6.2090813093980991E-2</v>
      </c>
      <c r="AV184" s="26">
        <f t="shared" si="45"/>
        <v>9.7571277719112989E-2</v>
      </c>
      <c r="AW184" s="24">
        <f t="shared" si="46"/>
        <v>0.83636363636363642</v>
      </c>
      <c r="AX184" s="24">
        <f t="shared" si="47"/>
        <v>0.58701298701298699</v>
      </c>
      <c r="AY184" s="77" t="str">
        <f t="shared" si="48"/>
        <v>5,0 ≤ Alc. Bruta &lt; 7,5 mg/L</v>
      </c>
      <c r="AZ184" s="77" t="str">
        <f t="shared" si="49"/>
        <v>15 ≤ Cor &lt; 30 uC</v>
      </c>
      <c r="BA184" s="78" t="str">
        <f t="shared" si="50"/>
        <v>2,5 ≤ Turb &lt; 5,0 uT</v>
      </c>
      <c r="BB184" s="79" t="str">
        <f t="shared" si="51"/>
        <v>TOR &gt; BNN &gt; SM</v>
      </c>
      <c r="BC184" s="78" t="str">
        <f t="shared" si="52"/>
        <v>Tipo 3 (0,50-0,75) uT</v>
      </c>
      <c r="BD184" s="78" t="str">
        <f t="shared" si="53"/>
        <v>Tipo 1 (≤0,25) uT</v>
      </c>
      <c r="BE184" s="78" t="str">
        <f t="shared" si="54"/>
        <v>Tipo 4 (&gt;0,75) uT</v>
      </c>
      <c r="BF184" s="78" t="str">
        <f t="shared" si="55"/>
        <v>Tipo 3 (0,50-0,75) uT</v>
      </c>
      <c r="BG184" s="78" t="str">
        <f t="shared" si="56"/>
        <v>Tipo 2 (0,25-0,50) uT</v>
      </c>
    </row>
    <row r="185" spans="1:59" x14ac:dyDescent="0.2">
      <c r="A185" s="21">
        <v>46147</v>
      </c>
      <c r="B185" s="48">
        <v>0.14583333333333334</v>
      </c>
      <c r="C185" s="57">
        <v>1166</v>
      </c>
      <c r="D185" s="57">
        <v>90</v>
      </c>
      <c r="E185" s="57">
        <v>540</v>
      </c>
      <c r="F185" s="57">
        <v>1921</v>
      </c>
      <c r="G185" s="10" t="s">
        <v>78</v>
      </c>
      <c r="H185" s="63">
        <v>4.5</v>
      </c>
      <c r="I185" s="57">
        <v>90</v>
      </c>
      <c r="J185" s="57">
        <v>90</v>
      </c>
      <c r="K185" s="57">
        <v>90</v>
      </c>
      <c r="L185" s="63">
        <v>22.2</v>
      </c>
      <c r="M185" s="63">
        <v>6.7</v>
      </c>
      <c r="N185" s="36">
        <v>4.01</v>
      </c>
      <c r="O185" s="57">
        <v>16</v>
      </c>
      <c r="P185" s="63">
        <v>6.3</v>
      </c>
      <c r="Q185" s="36">
        <v>0.26</v>
      </c>
      <c r="R185" s="36">
        <v>22.36</v>
      </c>
      <c r="S185" s="36">
        <v>0.88</v>
      </c>
      <c r="T185" s="36">
        <v>0.7</v>
      </c>
      <c r="U185" s="42">
        <f t="shared" si="57"/>
        <v>1796.135</v>
      </c>
      <c r="V185" s="36">
        <f t="shared" si="58"/>
        <v>1553.1473518079997</v>
      </c>
      <c r="W185" s="36">
        <f t="shared" si="59"/>
        <v>0.86471637811634405</v>
      </c>
      <c r="X185" s="57">
        <v>2</v>
      </c>
      <c r="Y185" s="57">
        <v>3</v>
      </c>
      <c r="Z185" s="63">
        <v>6.51</v>
      </c>
      <c r="AA185" s="57">
        <v>19.2</v>
      </c>
      <c r="AB185" s="63">
        <v>6.6</v>
      </c>
      <c r="AC185" s="63">
        <v>6.2</v>
      </c>
      <c r="AD185" s="10">
        <v>0.48</v>
      </c>
      <c r="AE185" s="36">
        <v>0.83</v>
      </c>
      <c r="AF185" s="42">
        <f t="shared" si="60"/>
        <v>1347.1012499999999</v>
      </c>
      <c r="AG185" s="42">
        <f t="shared" si="61"/>
        <v>1832.9443172040003</v>
      </c>
      <c r="AH185" s="42">
        <f t="shared" si="62"/>
        <v>1.3606581667146402</v>
      </c>
      <c r="AI185" s="57">
        <v>2</v>
      </c>
      <c r="AJ185" s="57">
        <v>4</v>
      </c>
      <c r="AK185" s="36">
        <v>6.41</v>
      </c>
      <c r="AL185" s="36">
        <v>23.1</v>
      </c>
      <c r="AM185" s="63">
        <v>6.4</v>
      </c>
      <c r="AN185" s="63">
        <v>6.5</v>
      </c>
      <c r="AO185" s="36">
        <v>0.17</v>
      </c>
      <c r="AP185" s="68">
        <v>0.6</v>
      </c>
      <c r="AQ185" s="73">
        <f t="shared" si="40"/>
        <v>1796</v>
      </c>
      <c r="AR185" s="75">
        <f t="shared" si="41"/>
        <v>0.6492204899777283</v>
      </c>
      <c r="AS185" s="75">
        <f t="shared" si="42"/>
        <v>5.0111358574610243E-2</v>
      </c>
      <c r="AT185" s="75">
        <f t="shared" si="43"/>
        <v>0.30066815144766146</v>
      </c>
      <c r="AU185" s="26">
        <f t="shared" si="44"/>
        <v>5.9968766267568967E-2</v>
      </c>
      <c r="AV185" s="26">
        <f t="shared" si="45"/>
        <v>9.6199895887558576E-2</v>
      </c>
      <c r="AW185" s="24">
        <f t="shared" si="46"/>
        <v>0.85037406483790523</v>
      </c>
      <c r="AX185" s="24">
        <f t="shared" si="47"/>
        <v>0.79301745635910226</v>
      </c>
      <c r="AY185" s="77" t="str">
        <f t="shared" si="48"/>
        <v>5,0 ≤ Alc. Bruta &lt; 7,5 mg/L</v>
      </c>
      <c r="AZ185" s="77" t="str">
        <f t="shared" si="49"/>
        <v>15 ≤ Cor &lt; 30 uC</v>
      </c>
      <c r="BA185" s="78" t="str">
        <f t="shared" si="50"/>
        <v>2,5 ≤ Turb &lt; 5,0 uT</v>
      </c>
      <c r="BB185" s="79" t="str">
        <f t="shared" si="51"/>
        <v>TOR &gt; BNN &gt; SM</v>
      </c>
      <c r="BC185" s="78" t="str">
        <f t="shared" si="52"/>
        <v>Tipo 2 (0,25-0,50) uT</v>
      </c>
      <c r="BD185" s="78" t="str">
        <f t="shared" si="53"/>
        <v>Tipo 1 (≤0,25) uT</v>
      </c>
      <c r="BE185" s="78" t="str">
        <f t="shared" si="54"/>
        <v>Tipo 4 (&gt;0,75) uT</v>
      </c>
      <c r="BF185" s="78" t="str">
        <f t="shared" si="55"/>
        <v>Tipo 3 (0,50-0,75) uT</v>
      </c>
      <c r="BG185" s="78" t="str">
        <f t="shared" si="56"/>
        <v>Tipo 2 (0,25-0,50) uT</v>
      </c>
    </row>
    <row r="186" spans="1:59" ht="15.75" thickBot="1" x14ac:dyDescent="0.25">
      <c r="A186" s="21">
        <v>46147</v>
      </c>
      <c r="B186" s="51">
        <v>0.22916666666666666</v>
      </c>
      <c r="C186" s="58">
        <v>1116</v>
      </c>
      <c r="D186" s="58">
        <v>80</v>
      </c>
      <c r="E186" s="58">
        <v>549</v>
      </c>
      <c r="F186" s="58">
        <v>1834</v>
      </c>
      <c r="G186" s="11" t="s">
        <v>78</v>
      </c>
      <c r="H186" s="64">
        <v>4.5</v>
      </c>
      <c r="I186" s="58">
        <v>90</v>
      </c>
      <c r="J186" s="58">
        <v>90</v>
      </c>
      <c r="K186" s="58">
        <v>90</v>
      </c>
      <c r="L186" s="64">
        <v>22.4</v>
      </c>
      <c r="M186" s="64">
        <v>6.7</v>
      </c>
      <c r="N186" s="37">
        <v>3.83</v>
      </c>
      <c r="O186" s="58">
        <v>15</v>
      </c>
      <c r="P186" s="64">
        <v>6.1</v>
      </c>
      <c r="Q186" s="37">
        <v>0.24</v>
      </c>
      <c r="R186" s="36">
        <v>22.36</v>
      </c>
      <c r="S186" s="36">
        <v>0.88</v>
      </c>
      <c r="T186" s="36">
        <v>0.7</v>
      </c>
      <c r="U186" s="42">
        <f t="shared" si="57"/>
        <v>1659.77</v>
      </c>
      <c r="V186" s="36">
        <f t="shared" si="58"/>
        <v>1572.3229837119993</v>
      </c>
      <c r="W186" s="36">
        <f t="shared" si="59"/>
        <v>0.94731377462660449</v>
      </c>
      <c r="X186" s="58">
        <v>2</v>
      </c>
      <c r="Y186" s="58">
        <v>3</v>
      </c>
      <c r="Z186" s="64">
        <v>6.52</v>
      </c>
      <c r="AA186" s="58">
        <v>19.399999999999999</v>
      </c>
      <c r="AB186" s="64">
        <v>6.6</v>
      </c>
      <c r="AC186" s="64">
        <v>6.2</v>
      </c>
      <c r="AD186" s="11">
        <v>0.53</v>
      </c>
      <c r="AE186" s="37">
        <v>0.76</v>
      </c>
      <c r="AF186" s="42">
        <f t="shared" si="60"/>
        <v>1244.8274999999999</v>
      </c>
      <c r="AG186" s="42">
        <f t="shared" si="61"/>
        <v>1883.5559916160003</v>
      </c>
      <c r="AH186" s="42">
        <f t="shared" si="62"/>
        <v>1.5131060260285063</v>
      </c>
      <c r="AI186" s="58">
        <v>2</v>
      </c>
      <c r="AJ186" s="58">
        <v>4</v>
      </c>
      <c r="AK186" s="37">
        <v>6.44</v>
      </c>
      <c r="AL186" s="37">
        <v>23.6</v>
      </c>
      <c r="AM186" s="64">
        <v>6.5</v>
      </c>
      <c r="AN186" s="64">
        <v>5.9</v>
      </c>
      <c r="AO186" s="37">
        <v>0.12</v>
      </c>
      <c r="AP186" s="69">
        <v>0.56999999999999995</v>
      </c>
      <c r="AQ186" s="73">
        <f t="shared" si="40"/>
        <v>1745</v>
      </c>
      <c r="AR186" s="75">
        <f t="shared" si="41"/>
        <v>0.63954154727793699</v>
      </c>
      <c r="AS186" s="75">
        <f t="shared" si="42"/>
        <v>4.5845272206303724E-2</v>
      </c>
      <c r="AT186" s="75">
        <f t="shared" si="43"/>
        <v>0.31461318051575932</v>
      </c>
      <c r="AU186" s="26">
        <f t="shared" si="44"/>
        <v>6.3467829880043611E-2</v>
      </c>
      <c r="AV186" s="26">
        <f t="shared" si="45"/>
        <v>0.10294438386041441</v>
      </c>
      <c r="AW186" s="24">
        <f t="shared" si="46"/>
        <v>0.8511749347258486</v>
      </c>
      <c r="AX186" s="24">
        <f t="shared" si="47"/>
        <v>0.80156657963446476</v>
      </c>
      <c r="AY186" s="77" t="str">
        <f t="shared" si="48"/>
        <v>5,0 ≤ Alc. Bruta &lt; 7,5 mg/L</v>
      </c>
      <c r="AZ186" s="77" t="str">
        <f t="shared" si="49"/>
        <v>15 ≤ Cor &lt; 30 uC</v>
      </c>
      <c r="BA186" s="78" t="str">
        <f t="shared" si="50"/>
        <v>2,5 ≤ Turb &lt; 5,0 uT</v>
      </c>
      <c r="BB186" s="79" t="str">
        <f t="shared" si="51"/>
        <v>TOR &gt; BNN &gt; SM</v>
      </c>
      <c r="BC186" s="78" t="str">
        <f t="shared" si="52"/>
        <v>Tipo 3 (0,50-0,75) uT</v>
      </c>
      <c r="BD186" s="78" t="str">
        <f t="shared" si="53"/>
        <v>Tipo 1 (≤0,25) uT</v>
      </c>
      <c r="BE186" s="78" t="str">
        <f t="shared" si="54"/>
        <v>Tipo 4 (&gt;0,75) uT</v>
      </c>
      <c r="BF186" s="78" t="str">
        <f t="shared" si="55"/>
        <v>Tipo 3 (0,50-0,75) uT</v>
      </c>
      <c r="BG186" s="78" t="str">
        <f t="shared" si="56"/>
        <v>Tipo 1 (≤0,25) uT</v>
      </c>
    </row>
    <row r="187" spans="1:59" x14ac:dyDescent="0.2">
      <c r="A187" s="21">
        <v>46147</v>
      </c>
      <c r="B187" s="52">
        <v>0.3125</v>
      </c>
      <c r="C187" s="59">
        <v>1138</v>
      </c>
      <c r="D187" s="57">
        <v>85</v>
      </c>
      <c r="E187" s="59">
        <v>550</v>
      </c>
      <c r="F187" s="59">
        <v>1890</v>
      </c>
      <c r="G187" s="9" t="s">
        <v>78</v>
      </c>
      <c r="H187" s="65">
        <v>4.5</v>
      </c>
      <c r="I187" s="59">
        <v>90</v>
      </c>
      <c r="J187" s="59">
        <v>90</v>
      </c>
      <c r="K187" s="59">
        <v>90</v>
      </c>
      <c r="L187" s="65">
        <v>22.8</v>
      </c>
      <c r="M187" s="65">
        <v>6.7</v>
      </c>
      <c r="N187" s="38">
        <v>3.73</v>
      </c>
      <c r="O187" s="59">
        <v>17</v>
      </c>
      <c r="P187" s="65">
        <v>6</v>
      </c>
      <c r="Q187" s="38">
        <v>0.21</v>
      </c>
      <c r="R187" s="36">
        <v>22.36</v>
      </c>
      <c r="S187" s="36">
        <v>0.88</v>
      </c>
      <c r="T187" s="36">
        <v>0.7</v>
      </c>
      <c r="U187" s="42">
        <f t="shared" si="57"/>
        <v>1678.95</v>
      </c>
      <c r="V187" s="36">
        <f t="shared" si="58"/>
        <v>1460.6530250000001</v>
      </c>
      <c r="W187" s="36">
        <f t="shared" si="59"/>
        <v>0.86998006194347655</v>
      </c>
      <c r="X187" s="59">
        <v>2</v>
      </c>
      <c r="Y187" s="59">
        <v>3</v>
      </c>
      <c r="Z187" s="65">
        <v>6.25</v>
      </c>
      <c r="AA187" s="59">
        <v>19</v>
      </c>
      <c r="AB187" s="65">
        <v>6.6</v>
      </c>
      <c r="AC187" s="65">
        <v>6.2</v>
      </c>
      <c r="AD187" s="9">
        <v>0.39</v>
      </c>
      <c r="AE187" s="38">
        <v>0.7</v>
      </c>
      <c r="AF187" s="42">
        <f t="shared" si="60"/>
        <v>1259.2125000000001</v>
      </c>
      <c r="AG187" s="42">
        <f t="shared" si="61"/>
        <v>1814.3500117599995</v>
      </c>
      <c r="AH187" s="42">
        <f t="shared" si="62"/>
        <v>1.4408608648341716</v>
      </c>
      <c r="AI187" s="59">
        <v>2</v>
      </c>
      <c r="AJ187" s="59">
        <v>4</v>
      </c>
      <c r="AK187" s="38">
        <v>6.38</v>
      </c>
      <c r="AL187" s="38">
        <v>23</v>
      </c>
      <c r="AM187" s="65">
        <v>6.5</v>
      </c>
      <c r="AN187" s="65">
        <v>5.6</v>
      </c>
      <c r="AO187" s="38">
        <v>0.22</v>
      </c>
      <c r="AP187" s="70">
        <v>0.52</v>
      </c>
      <c r="AQ187" s="73">
        <f t="shared" si="40"/>
        <v>1773</v>
      </c>
      <c r="AR187" s="75">
        <f t="shared" si="41"/>
        <v>0.64184997179921033</v>
      </c>
      <c r="AS187" s="75">
        <f t="shared" si="42"/>
        <v>4.7941342357586014E-2</v>
      </c>
      <c r="AT187" s="75">
        <f t="shared" si="43"/>
        <v>0.3102086858432036</v>
      </c>
      <c r="AU187" s="26">
        <f t="shared" si="44"/>
        <v>6.0317460317460318E-2</v>
      </c>
      <c r="AV187" s="26">
        <f t="shared" si="45"/>
        <v>9.735449735449736E-2</v>
      </c>
      <c r="AW187" s="24">
        <f t="shared" si="46"/>
        <v>0.8605898123324397</v>
      </c>
      <c r="AX187" s="24">
        <f t="shared" si="47"/>
        <v>0.81233243967828417</v>
      </c>
      <c r="AY187" s="77" t="str">
        <f t="shared" si="48"/>
        <v>5,0 ≤ Alc. Bruta &lt; 7,5 mg/L</v>
      </c>
      <c r="AZ187" s="77" t="str">
        <f t="shared" si="49"/>
        <v>15 ≤ Cor &lt; 30 uC</v>
      </c>
      <c r="BA187" s="78" t="str">
        <f t="shared" si="50"/>
        <v>2,5 ≤ Turb &lt; 5,0 uT</v>
      </c>
      <c r="BB187" s="79" t="str">
        <f t="shared" si="51"/>
        <v>TOR &gt; BNN &gt; SM</v>
      </c>
      <c r="BC187" s="78" t="str">
        <f t="shared" si="52"/>
        <v>Tipo 2 (0,25-0,50) uT</v>
      </c>
      <c r="BD187" s="78" t="str">
        <f t="shared" si="53"/>
        <v>Tipo 1 (≤0,25) uT</v>
      </c>
      <c r="BE187" s="78" t="str">
        <f t="shared" si="54"/>
        <v>Tipo 3 (0,50-0,75) uT</v>
      </c>
      <c r="BF187" s="78" t="str">
        <f t="shared" si="55"/>
        <v>Tipo 3 (0,50-0,75) uT</v>
      </c>
      <c r="BG187" s="78" t="str">
        <f t="shared" si="56"/>
        <v>Tipo 1 (≤0,25) uT</v>
      </c>
    </row>
    <row r="188" spans="1:59" x14ac:dyDescent="0.2">
      <c r="A188" s="21">
        <v>46147</v>
      </c>
      <c r="B188" s="48">
        <v>0.39583333333333331</v>
      </c>
      <c r="C188" s="57">
        <v>1128</v>
      </c>
      <c r="D188" s="57">
        <v>79</v>
      </c>
      <c r="E188" s="57">
        <v>550</v>
      </c>
      <c r="F188" s="57">
        <v>1885</v>
      </c>
      <c r="G188" s="10" t="s">
        <v>78</v>
      </c>
      <c r="H188" s="63">
        <v>4.5</v>
      </c>
      <c r="I188" s="57">
        <v>90</v>
      </c>
      <c r="J188" s="57">
        <v>90</v>
      </c>
      <c r="K188" s="57">
        <v>90</v>
      </c>
      <c r="L188" s="63">
        <v>23.1</v>
      </c>
      <c r="M188" s="63">
        <v>6.8</v>
      </c>
      <c r="N188" s="36">
        <v>4.13</v>
      </c>
      <c r="O188" s="57">
        <v>19.5</v>
      </c>
      <c r="P188" s="63">
        <v>6.1</v>
      </c>
      <c r="Q188" s="36">
        <v>0.54</v>
      </c>
      <c r="R188" s="36">
        <v>22.36</v>
      </c>
      <c r="S188" s="36">
        <v>0.88</v>
      </c>
      <c r="T188" s="36">
        <v>0.7</v>
      </c>
      <c r="U188" s="42">
        <f t="shared" si="57"/>
        <v>1800.175</v>
      </c>
      <c r="V188" s="36">
        <f t="shared" si="58"/>
        <v>1444.9527050400002</v>
      </c>
      <c r="W188" s="36">
        <f t="shared" si="59"/>
        <v>0.8026734651020041</v>
      </c>
      <c r="X188" s="57">
        <v>2</v>
      </c>
      <c r="Y188" s="57">
        <v>3</v>
      </c>
      <c r="Z188" s="63">
        <v>6.47</v>
      </c>
      <c r="AA188" s="57">
        <v>18</v>
      </c>
      <c r="AB188" s="63">
        <v>6.7</v>
      </c>
      <c r="AC188" s="63">
        <v>6.4</v>
      </c>
      <c r="AD188" s="10">
        <v>0.98</v>
      </c>
      <c r="AE188" s="36">
        <v>1.03</v>
      </c>
      <c r="AF188" s="42">
        <f t="shared" si="60"/>
        <v>1350.1312499999999</v>
      </c>
      <c r="AG188" s="42">
        <f t="shared" si="61"/>
        <v>1749.0599297599999</v>
      </c>
      <c r="AH188" s="42">
        <f t="shared" si="62"/>
        <v>1.2954739991093458</v>
      </c>
      <c r="AI188" s="57">
        <v>2</v>
      </c>
      <c r="AJ188" s="57">
        <v>4</v>
      </c>
      <c r="AK188" s="36">
        <v>6.42</v>
      </c>
      <c r="AL188" s="36">
        <v>22</v>
      </c>
      <c r="AM188" s="63">
        <v>6.5</v>
      </c>
      <c r="AN188" s="63">
        <v>5.2</v>
      </c>
      <c r="AO188" s="36">
        <v>0.2</v>
      </c>
      <c r="AP188" s="68">
        <v>0.64</v>
      </c>
      <c r="AQ188" s="73">
        <f t="shared" si="40"/>
        <v>1757</v>
      </c>
      <c r="AR188" s="75">
        <f t="shared" si="41"/>
        <v>0.64200341491178148</v>
      </c>
      <c r="AS188" s="75">
        <f t="shared" si="42"/>
        <v>4.4963005122367672E-2</v>
      </c>
      <c r="AT188" s="75">
        <f t="shared" si="43"/>
        <v>0.31303357996585091</v>
      </c>
      <c r="AU188" s="26">
        <f t="shared" si="44"/>
        <v>5.7294429708222808E-2</v>
      </c>
      <c r="AV188" s="26">
        <f t="shared" si="45"/>
        <v>9.3368700265251986E-2</v>
      </c>
      <c r="AW188" s="24">
        <f t="shared" si="46"/>
        <v>0.84503631961259074</v>
      </c>
      <c r="AX188" s="24">
        <f t="shared" si="47"/>
        <v>0.75060532687651327</v>
      </c>
      <c r="AY188" s="77" t="str">
        <f t="shared" si="48"/>
        <v>5,0 ≤ Alc. Bruta &lt; 7,5 mg/L</v>
      </c>
      <c r="AZ188" s="77" t="str">
        <f t="shared" si="49"/>
        <v>15 ≤ Cor &lt; 30 uC</v>
      </c>
      <c r="BA188" s="78" t="str">
        <f t="shared" si="50"/>
        <v>2,5 ≤ Turb &lt; 5,0 uT</v>
      </c>
      <c r="BB188" s="79" t="str">
        <f t="shared" si="51"/>
        <v>TOR &gt; BNN &gt; SM</v>
      </c>
      <c r="BC188" s="78" t="str">
        <f t="shared" si="52"/>
        <v>Tipo 4 (&gt;0,75) uT</v>
      </c>
      <c r="BD188" s="78" t="str">
        <f t="shared" si="53"/>
        <v>Tipo 1 (≤0,25) uT</v>
      </c>
      <c r="BE188" s="78" t="str">
        <f t="shared" si="54"/>
        <v>Tipo 4 (&gt;0,75) uT</v>
      </c>
      <c r="BF188" s="78" t="str">
        <f t="shared" si="55"/>
        <v>Tipo 3 (0,50-0,75) uT</v>
      </c>
      <c r="BG188" s="78" t="str">
        <f t="shared" si="56"/>
        <v>Tipo 3 (0,50-0,75) uT</v>
      </c>
    </row>
    <row r="189" spans="1:59" x14ac:dyDescent="0.2">
      <c r="A189" s="21">
        <v>46147</v>
      </c>
      <c r="B189" s="48">
        <v>0.47916666666666669</v>
      </c>
      <c r="C189" s="57">
        <v>1230</v>
      </c>
      <c r="D189" s="57">
        <v>84</v>
      </c>
      <c r="E189" s="57">
        <v>551</v>
      </c>
      <c r="F189" s="57">
        <v>1799</v>
      </c>
      <c r="G189" s="10" t="s">
        <v>78</v>
      </c>
      <c r="H189" s="63">
        <v>4.5</v>
      </c>
      <c r="I189" s="57">
        <v>90</v>
      </c>
      <c r="J189" s="57">
        <v>90</v>
      </c>
      <c r="K189" s="57">
        <v>90</v>
      </c>
      <c r="L189" s="63">
        <v>23.7</v>
      </c>
      <c r="M189" s="63">
        <v>6.6</v>
      </c>
      <c r="N189" s="36">
        <v>4.17</v>
      </c>
      <c r="O189" s="57">
        <v>16</v>
      </c>
      <c r="P189" s="63">
        <v>6.7</v>
      </c>
      <c r="Q189" s="36">
        <v>0.44</v>
      </c>
      <c r="R189" s="36">
        <v>22.36</v>
      </c>
      <c r="S189" s="36">
        <v>0.88</v>
      </c>
      <c r="T189" s="36">
        <v>0.7</v>
      </c>
      <c r="U189" s="42">
        <f t="shared" si="57"/>
        <v>1730.0383333333332</v>
      </c>
      <c r="V189" s="36">
        <f t="shared" si="58"/>
        <v>1444.5916715360001</v>
      </c>
      <c r="W189" s="36">
        <f t="shared" si="59"/>
        <v>0.83500558554251703</v>
      </c>
      <c r="X189" s="57">
        <v>2</v>
      </c>
      <c r="Y189" s="57">
        <v>3</v>
      </c>
      <c r="Z189" s="63">
        <v>6.44</v>
      </c>
      <c r="AA189" s="57">
        <v>18.100000000000001</v>
      </c>
      <c r="AB189" s="63">
        <v>6.5</v>
      </c>
      <c r="AC189" s="63">
        <v>5.9</v>
      </c>
      <c r="AD189" s="10">
        <v>0.46</v>
      </c>
      <c r="AE189" s="36">
        <v>1.61</v>
      </c>
      <c r="AF189" s="42">
        <f t="shared" si="60"/>
        <v>1297.5287499999999</v>
      </c>
      <c r="AG189" s="42">
        <f t="shared" si="61"/>
        <v>1747.8761108640001</v>
      </c>
      <c r="AH189" s="42">
        <f t="shared" si="62"/>
        <v>1.3470808341348892</v>
      </c>
      <c r="AI189" s="57">
        <v>2</v>
      </c>
      <c r="AJ189" s="57">
        <v>4</v>
      </c>
      <c r="AK189" s="36">
        <v>6.44</v>
      </c>
      <c r="AL189" s="36">
        <v>21.9</v>
      </c>
      <c r="AM189" s="63">
        <v>6.5</v>
      </c>
      <c r="AN189" s="63">
        <v>5.5</v>
      </c>
      <c r="AO189" s="36">
        <v>0.39</v>
      </c>
      <c r="AP189" s="68">
        <v>0.67</v>
      </c>
      <c r="AQ189" s="73">
        <f t="shared" si="40"/>
        <v>1865</v>
      </c>
      <c r="AR189" s="75">
        <f t="shared" si="41"/>
        <v>0.65951742627345844</v>
      </c>
      <c r="AS189" s="75">
        <f t="shared" si="42"/>
        <v>4.5040214477211793E-2</v>
      </c>
      <c r="AT189" s="75">
        <f t="shared" si="43"/>
        <v>0.29544235924932977</v>
      </c>
      <c r="AU189" s="26">
        <f t="shared" si="44"/>
        <v>6.0366870483602009E-2</v>
      </c>
      <c r="AV189" s="26">
        <f t="shared" si="45"/>
        <v>9.7387437465258464E-2</v>
      </c>
      <c r="AW189" s="24">
        <f t="shared" si="46"/>
        <v>0.83932853717026379</v>
      </c>
      <c r="AX189" s="24">
        <f t="shared" si="47"/>
        <v>0.61390887290167862</v>
      </c>
      <c r="AY189" s="77" t="str">
        <f t="shared" si="48"/>
        <v>5,0 ≤ Alc. Bruta &lt; 7,5 mg/L</v>
      </c>
      <c r="AZ189" s="77" t="str">
        <f t="shared" si="49"/>
        <v>15 ≤ Cor &lt; 30 uC</v>
      </c>
      <c r="BA189" s="78" t="str">
        <f t="shared" si="50"/>
        <v>2,5 ≤ Turb &lt; 5,0 uT</v>
      </c>
      <c r="BB189" s="79" t="str">
        <f t="shared" si="51"/>
        <v>TOR &gt; BNN &gt; SM</v>
      </c>
      <c r="BC189" s="78" t="str">
        <f t="shared" si="52"/>
        <v>Tipo 2 (0,25-0,50) uT</v>
      </c>
      <c r="BD189" s="78" t="str">
        <f t="shared" si="53"/>
        <v>Tipo 2 (0,25-0,50) uT</v>
      </c>
      <c r="BE189" s="78" t="str">
        <f t="shared" si="54"/>
        <v>Tipo 4 (&gt;0,75) uT</v>
      </c>
      <c r="BF189" s="78" t="str">
        <f t="shared" si="55"/>
        <v>Tipo 3 (0,50-0,75) uT</v>
      </c>
      <c r="BG189" s="78" t="str">
        <f t="shared" si="56"/>
        <v>Tipo 2 (0,25-0,50) uT</v>
      </c>
    </row>
    <row r="190" spans="1:59" x14ac:dyDescent="0.2">
      <c r="A190" s="21">
        <v>46147</v>
      </c>
      <c r="B190" s="48">
        <v>0.72916666666666663</v>
      </c>
      <c r="C190" s="57">
        <v>1505</v>
      </c>
      <c r="D190" s="57">
        <v>88</v>
      </c>
      <c r="E190" s="57">
        <v>400</v>
      </c>
      <c r="F190" s="57">
        <v>2233</v>
      </c>
      <c r="G190" s="10" t="s">
        <v>78</v>
      </c>
      <c r="H190" s="63">
        <v>4.5</v>
      </c>
      <c r="I190" s="57">
        <v>90</v>
      </c>
      <c r="J190" s="57">
        <v>90</v>
      </c>
      <c r="K190" s="57">
        <v>90</v>
      </c>
      <c r="L190" s="63">
        <v>23.4</v>
      </c>
      <c r="M190" s="63">
        <v>6.7</v>
      </c>
      <c r="N190" s="36">
        <v>4.88</v>
      </c>
      <c r="O190" s="57">
        <v>18</v>
      </c>
      <c r="P190" s="63">
        <v>6.2</v>
      </c>
      <c r="Q190" s="36">
        <v>0.11</v>
      </c>
      <c r="R190" s="36">
        <v>22.36</v>
      </c>
      <c r="S190" s="36">
        <v>0.88</v>
      </c>
      <c r="T190" s="36">
        <v>0.7</v>
      </c>
      <c r="U190" s="42">
        <f t="shared" si="57"/>
        <v>2411.64</v>
      </c>
      <c r="V190" s="36">
        <f t="shared" si="58"/>
        <v>1525.9596534</v>
      </c>
      <c r="W190" s="36">
        <f t="shared" si="59"/>
        <v>0.63274769592476487</v>
      </c>
      <c r="X190" s="57">
        <v>2</v>
      </c>
      <c r="Y190" s="57">
        <v>3</v>
      </c>
      <c r="Z190" s="63">
        <v>6.5</v>
      </c>
      <c r="AA190" s="57">
        <v>18.899999999999999</v>
      </c>
      <c r="AB190" s="63">
        <v>6.5</v>
      </c>
      <c r="AC190" s="63">
        <v>4.8</v>
      </c>
      <c r="AD190" s="10">
        <v>0.33</v>
      </c>
      <c r="AE190" s="36">
        <v>0.98</v>
      </c>
      <c r="AF190" s="42">
        <f t="shared" si="60"/>
        <v>1808.7299999999998</v>
      </c>
      <c r="AG190" s="42">
        <f t="shared" si="61"/>
        <v>1790.1358512440002</v>
      </c>
      <c r="AH190" s="42">
        <f t="shared" si="62"/>
        <v>0.98971977644203413</v>
      </c>
      <c r="AI190" s="57">
        <v>2</v>
      </c>
      <c r="AJ190" s="57">
        <v>4</v>
      </c>
      <c r="AK190" s="36">
        <v>6.47</v>
      </c>
      <c r="AL190" s="36">
        <v>22.3</v>
      </c>
      <c r="AM190" s="63">
        <v>6.5</v>
      </c>
      <c r="AN190" s="63">
        <v>5.0999999999999996</v>
      </c>
      <c r="AO190" s="36">
        <v>0.14000000000000001</v>
      </c>
      <c r="AP190" s="68">
        <v>0.38</v>
      </c>
      <c r="AQ190" s="73">
        <f t="shared" si="40"/>
        <v>1993</v>
      </c>
      <c r="AR190" s="75">
        <f t="shared" si="41"/>
        <v>0.7551430005017562</v>
      </c>
      <c r="AS190" s="75">
        <f t="shared" si="42"/>
        <v>4.415454089312594E-2</v>
      </c>
      <c r="AT190" s="75">
        <f t="shared" si="43"/>
        <v>0.2007024586051179</v>
      </c>
      <c r="AU190" s="26">
        <f t="shared" si="44"/>
        <v>5.0783699059561122E-2</v>
      </c>
      <c r="AV190" s="26">
        <f t="shared" si="45"/>
        <v>7.9892521271831621E-2</v>
      </c>
      <c r="AW190" s="24">
        <f t="shared" si="46"/>
        <v>0.92213114754098358</v>
      </c>
      <c r="AX190" s="24">
        <f t="shared" si="47"/>
        <v>0.79918032786885251</v>
      </c>
      <c r="AY190" s="77" t="str">
        <f t="shared" si="48"/>
        <v>5,0 ≤ Alc. Bruta &lt; 7,5 mg/L</v>
      </c>
      <c r="AZ190" s="77" t="str">
        <f t="shared" si="49"/>
        <v>15 ≤ Cor &lt; 30 uC</v>
      </c>
      <c r="BA190" s="78" t="str">
        <f t="shared" si="50"/>
        <v>2,5 ≤ Turb &lt; 5,0 uT</v>
      </c>
      <c r="BB190" s="79" t="str">
        <f t="shared" si="51"/>
        <v>TOR &gt; BNN &gt; SM</v>
      </c>
      <c r="BC190" s="78" t="str">
        <f t="shared" si="52"/>
        <v>Tipo 2 (0,25-0,50) uT</v>
      </c>
      <c r="BD190" s="78" t="str">
        <f t="shared" si="53"/>
        <v>Tipo 1 (≤0,25) uT</v>
      </c>
      <c r="BE190" s="78" t="str">
        <f t="shared" si="54"/>
        <v>Tipo 4 (&gt;0,75) uT</v>
      </c>
      <c r="BF190" s="78" t="str">
        <f t="shared" si="55"/>
        <v>Tipo 2 (0,25-0,50) uT</v>
      </c>
      <c r="BG190" s="78" t="str">
        <f t="shared" si="56"/>
        <v>Tipo 1 (≤0,25) uT</v>
      </c>
    </row>
    <row r="191" spans="1:59" x14ac:dyDescent="0.2">
      <c r="A191" s="21">
        <v>46147</v>
      </c>
      <c r="B191" s="48">
        <v>0.8125</v>
      </c>
      <c r="C191" s="57">
        <v>1505</v>
      </c>
      <c r="D191" s="57">
        <v>88</v>
      </c>
      <c r="E191" s="57">
        <v>400</v>
      </c>
      <c r="F191" s="57">
        <v>2239</v>
      </c>
      <c r="G191" s="10" t="s">
        <v>78</v>
      </c>
      <c r="H191" s="63">
        <v>5</v>
      </c>
      <c r="I191" s="57">
        <v>90</v>
      </c>
      <c r="J191" s="57">
        <v>90</v>
      </c>
      <c r="K191" s="57">
        <v>90</v>
      </c>
      <c r="L191" s="63">
        <v>24.1</v>
      </c>
      <c r="M191" s="63">
        <v>6.8</v>
      </c>
      <c r="N191" s="36">
        <v>4.5999999999999996</v>
      </c>
      <c r="O191" s="57">
        <v>20</v>
      </c>
      <c r="P191" s="63">
        <v>6.2</v>
      </c>
      <c r="Q191" s="36">
        <v>7.0000000000000007E-2</v>
      </c>
      <c r="R191" s="36">
        <v>22.36</v>
      </c>
      <c r="S191" s="36">
        <v>0.88</v>
      </c>
      <c r="T191" s="36">
        <v>0.7</v>
      </c>
      <c r="U191" s="42">
        <f t="shared" si="57"/>
        <v>1777.20625</v>
      </c>
      <c r="V191" s="36">
        <f t="shared" si="58"/>
        <v>1388.7600998440003</v>
      </c>
      <c r="W191" s="36">
        <f t="shared" si="59"/>
        <v>0.7814287733030425</v>
      </c>
      <c r="X191" s="57">
        <v>3</v>
      </c>
      <c r="Y191" s="57">
        <v>4</v>
      </c>
      <c r="Z191" s="63">
        <v>6.47</v>
      </c>
      <c r="AA191" s="57">
        <v>17.3</v>
      </c>
      <c r="AB191" s="63">
        <v>6.5</v>
      </c>
      <c r="AC191" s="63">
        <v>6.4</v>
      </c>
      <c r="AD191" s="10">
        <v>0.95</v>
      </c>
      <c r="AE191" s="36">
        <v>0.21</v>
      </c>
      <c r="AF191" s="42">
        <f t="shared" si="60"/>
        <v>1777.20625</v>
      </c>
      <c r="AG191" s="42">
        <f t="shared" si="61"/>
        <v>1542.1073746000002</v>
      </c>
      <c r="AH191" s="42">
        <f t="shared" si="62"/>
        <v>0.86771435481953785</v>
      </c>
      <c r="AI191" s="57">
        <v>3</v>
      </c>
      <c r="AJ191" s="57">
        <v>4</v>
      </c>
      <c r="AK191" s="36">
        <v>6.5</v>
      </c>
      <c r="AL191" s="36">
        <v>19.100000000000001</v>
      </c>
      <c r="AM191" s="63">
        <v>6.5</v>
      </c>
      <c r="AN191" s="63">
        <v>6.3</v>
      </c>
      <c r="AO191" s="36">
        <v>0.21</v>
      </c>
      <c r="AP191" s="68">
        <v>0.34</v>
      </c>
      <c r="AQ191" s="73">
        <f t="shared" si="40"/>
        <v>1993</v>
      </c>
      <c r="AR191" s="75">
        <f t="shared" si="41"/>
        <v>0.7551430005017562</v>
      </c>
      <c r="AS191" s="75">
        <f t="shared" si="42"/>
        <v>4.415454089312594E-2</v>
      </c>
      <c r="AT191" s="75">
        <f t="shared" si="43"/>
        <v>0.2007024586051179</v>
      </c>
      <c r="AU191" s="26">
        <f t="shared" si="44"/>
        <v>6.1813309513175527E-2</v>
      </c>
      <c r="AV191" s="26">
        <f t="shared" si="45"/>
        <v>6.8244752121482816E-2</v>
      </c>
      <c r="AW191" s="24">
        <f t="shared" si="46"/>
        <v>0.92608695652173911</v>
      </c>
      <c r="AX191" s="24">
        <f t="shared" si="47"/>
        <v>0.95434782608695656</v>
      </c>
      <c r="AY191" s="77" t="str">
        <f t="shared" si="48"/>
        <v>5,0 ≤ Alc. Bruta &lt; 7,5 mg/L</v>
      </c>
      <c r="AZ191" s="77" t="str">
        <f t="shared" si="49"/>
        <v>15 ≤ Cor &lt; 30 uC</v>
      </c>
      <c r="BA191" s="78" t="str">
        <f t="shared" si="50"/>
        <v>2,5 ≤ Turb &lt; 5,0 uT</v>
      </c>
      <c r="BB191" s="79" t="str">
        <f t="shared" si="51"/>
        <v>TOR &gt; BNN &gt; SM</v>
      </c>
      <c r="BC191" s="78" t="str">
        <f t="shared" si="52"/>
        <v>Tipo 4 (&gt;0,75) uT</v>
      </c>
      <c r="BD191" s="78" t="str">
        <f t="shared" si="53"/>
        <v>Tipo 1 (≤0,25) uT</v>
      </c>
      <c r="BE191" s="78" t="str">
        <f t="shared" si="54"/>
        <v>Tipo 1 (≤0,25) uT</v>
      </c>
      <c r="BF191" s="78" t="str">
        <f t="shared" si="55"/>
        <v>Tipo 2 (0,25-0,50) uT</v>
      </c>
      <c r="BG191" s="78" t="str">
        <f t="shared" si="56"/>
        <v>Tipo 1 (≤0,25) uT</v>
      </c>
    </row>
    <row r="192" spans="1:59" x14ac:dyDescent="0.2">
      <c r="A192" s="21">
        <v>46147</v>
      </c>
      <c r="B192" s="48">
        <v>0.89583333333333337</v>
      </c>
      <c r="C192" s="57">
        <v>1790</v>
      </c>
      <c r="D192" s="57">
        <v>90</v>
      </c>
      <c r="E192" s="57">
        <v>400</v>
      </c>
      <c r="F192" s="57">
        <v>2200</v>
      </c>
      <c r="G192" s="10" t="s">
        <v>78</v>
      </c>
      <c r="H192" s="63">
        <v>5</v>
      </c>
      <c r="I192" s="57">
        <v>90</v>
      </c>
      <c r="J192" s="57">
        <v>90</v>
      </c>
      <c r="K192" s="57">
        <v>90</v>
      </c>
      <c r="L192" s="63">
        <v>24</v>
      </c>
      <c r="M192" s="63">
        <v>6.8</v>
      </c>
      <c r="N192" s="36">
        <v>4.09</v>
      </c>
      <c r="O192" s="57">
        <v>17</v>
      </c>
      <c r="P192" s="63">
        <v>4.4000000000000004</v>
      </c>
      <c r="Q192" s="36">
        <v>0.06</v>
      </c>
      <c r="R192" s="36">
        <v>22.36</v>
      </c>
      <c r="S192" s="36">
        <v>0.88</v>
      </c>
      <c r="T192" s="36">
        <v>0.7</v>
      </c>
      <c r="U192" s="42">
        <f t="shared" si="57"/>
        <v>1606</v>
      </c>
      <c r="V192" s="36">
        <f t="shared" si="58"/>
        <v>1528.1630748799998</v>
      </c>
      <c r="W192" s="36">
        <f t="shared" si="59"/>
        <v>0.95153367053549176</v>
      </c>
      <c r="X192" s="57">
        <v>3</v>
      </c>
      <c r="Y192" s="57">
        <v>4</v>
      </c>
      <c r="Z192" s="63">
        <v>6.48</v>
      </c>
      <c r="AA192" s="57">
        <v>19</v>
      </c>
      <c r="AB192" s="63">
        <v>6.3</v>
      </c>
      <c r="AC192" s="63">
        <v>4</v>
      </c>
      <c r="AD192" s="10">
        <v>0.13</v>
      </c>
      <c r="AE192" s="36">
        <v>0.14000000000000001</v>
      </c>
      <c r="AF192" s="42">
        <f t="shared" si="60"/>
        <v>1606</v>
      </c>
      <c r="AG192" s="42">
        <f t="shared" si="61"/>
        <v>1853.4347774799999</v>
      </c>
      <c r="AH192" s="42">
        <f t="shared" si="62"/>
        <v>1.1540689772602739</v>
      </c>
      <c r="AI192" s="57">
        <v>3</v>
      </c>
      <c r="AJ192" s="57">
        <v>4</v>
      </c>
      <c r="AK192" s="36">
        <v>6.49</v>
      </c>
      <c r="AL192" s="36">
        <v>23</v>
      </c>
      <c r="AM192" s="63">
        <v>6.4</v>
      </c>
      <c r="AN192" s="63">
        <v>5.6</v>
      </c>
      <c r="AO192" s="36">
        <v>0.1</v>
      </c>
      <c r="AP192" s="68">
        <v>0.38</v>
      </c>
      <c r="AQ192" s="73">
        <f t="shared" si="40"/>
        <v>2280</v>
      </c>
      <c r="AR192" s="75">
        <f t="shared" si="41"/>
        <v>0.78508771929824561</v>
      </c>
      <c r="AS192" s="75">
        <f t="shared" si="42"/>
        <v>3.9473684210526314E-2</v>
      </c>
      <c r="AT192" s="75">
        <f t="shared" si="43"/>
        <v>0.17543859649122806</v>
      </c>
      <c r="AU192" s="26">
        <f t="shared" si="44"/>
        <v>6.9090909090909092E-2</v>
      </c>
      <c r="AV192" s="26">
        <f t="shared" si="45"/>
        <v>8.3636363636363634E-2</v>
      </c>
      <c r="AW192" s="24">
        <f t="shared" si="46"/>
        <v>0.90709046454767728</v>
      </c>
      <c r="AX192" s="24">
        <f t="shared" si="47"/>
        <v>0.96577017114914421</v>
      </c>
      <c r="AY192" s="77" t="str">
        <f t="shared" si="48"/>
        <v>2,5 ≤ Alc. Bruta &lt; 5,0 mg/L</v>
      </c>
      <c r="AZ192" s="77" t="str">
        <f t="shared" si="49"/>
        <v>15 ≤ Cor &lt; 30 uC</v>
      </c>
      <c r="BA192" s="78" t="str">
        <f t="shared" si="50"/>
        <v>2,5 ≤ Turb &lt; 5,0 uT</v>
      </c>
      <c r="BB192" s="79" t="str">
        <f t="shared" si="51"/>
        <v>TOR &gt; BNN &gt; SM</v>
      </c>
      <c r="BC192" s="78" t="str">
        <f t="shared" si="52"/>
        <v>Tipo 1 (≤0,25) uT</v>
      </c>
      <c r="BD192" s="78" t="str">
        <f t="shared" si="53"/>
        <v>Tipo 1 (≤0,25) uT</v>
      </c>
      <c r="BE192" s="78" t="str">
        <f t="shared" si="54"/>
        <v>Tipo 1 (≤0,25) uT</v>
      </c>
      <c r="BF192" s="78" t="str">
        <f t="shared" si="55"/>
        <v>Tipo 2 (0,25-0,50) uT</v>
      </c>
      <c r="BG192" s="78" t="str">
        <f t="shared" si="56"/>
        <v>Tipo 1 (≤0,25) uT</v>
      </c>
    </row>
    <row r="193" spans="1:59" x14ac:dyDescent="0.2">
      <c r="A193" s="21">
        <v>46148</v>
      </c>
      <c r="B193" s="48">
        <v>6.25E-2</v>
      </c>
      <c r="C193" s="57">
        <v>1570</v>
      </c>
      <c r="D193" s="57">
        <v>91</v>
      </c>
      <c r="E193" s="57">
        <v>400</v>
      </c>
      <c r="F193" s="57">
        <v>2259</v>
      </c>
      <c r="G193" s="10" t="s">
        <v>78</v>
      </c>
      <c r="H193" s="63">
        <v>5</v>
      </c>
      <c r="I193" s="57">
        <v>90</v>
      </c>
      <c r="J193" s="57">
        <v>90</v>
      </c>
      <c r="K193" s="57">
        <v>90</v>
      </c>
      <c r="L193" s="63">
        <v>23.4</v>
      </c>
      <c r="M193" s="63">
        <v>6.7</v>
      </c>
      <c r="N193" s="36">
        <v>4.43</v>
      </c>
      <c r="O193" s="57">
        <v>18</v>
      </c>
      <c r="P193" s="63">
        <v>5.8</v>
      </c>
      <c r="Q193" s="36">
        <v>0.06</v>
      </c>
      <c r="R193" s="36">
        <v>22.36</v>
      </c>
      <c r="S193" s="36">
        <v>0.88</v>
      </c>
      <c r="T193" s="36">
        <v>0.7</v>
      </c>
      <c r="U193" s="42">
        <f t="shared" si="57"/>
        <v>1745.0774999999999</v>
      </c>
      <c r="V193" s="36">
        <f t="shared" si="58"/>
        <v>1525.2278553200001</v>
      </c>
      <c r="W193" s="36">
        <f t="shared" si="59"/>
        <v>0.87401726016179815</v>
      </c>
      <c r="X193" s="57">
        <v>3</v>
      </c>
      <c r="Y193" s="57">
        <v>4</v>
      </c>
      <c r="Z193" s="63">
        <v>6.47</v>
      </c>
      <c r="AA193" s="57">
        <v>19</v>
      </c>
      <c r="AB193" s="63">
        <v>6.4</v>
      </c>
      <c r="AC193" s="63">
        <v>6.4</v>
      </c>
      <c r="AD193" s="10">
        <v>0.15</v>
      </c>
      <c r="AE193" s="36">
        <v>0.16</v>
      </c>
      <c r="AF193" s="42">
        <f t="shared" si="60"/>
        <v>1745.0774999999999</v>
      </c>
      <c r="AG193" s="42">
        <f t="shared" si="61"/>
        <v>1853.4347774799999</v>
      </c>
      <c r="AH193" s="42">
        <f t="shared" si="62"/>
        <v>1.0620931033034349</v>
      </c>
      <c r="AI193" s="57">
        <v>3</v>
      </c>
      <c r="AJ193" s="57">
        <v>4</v>
      </c>
      <c r="AK193" s="36">
        <v>6.49</v>
      </c>
      <c r="AL193" s="36">
        <v>23</v>
      </c>
      <c r="AM193" s="63">
        <v>6.4</v>
      </c>
      <c r="AN193" s="63">
        <v>5.9</v>
      </c>
      <c r="AO193" s="36">
        <v>0.33</v>
      </c>
      <c r="AP193" s="68">
        <v>0.37</v>
      </c>
      <c r="AQ193" s="73">
        <f t="shared" si="40"/>
        <v>2061</v>
      </c>
      <c r="AR193" s="75">
        <f t="shared" si="41"/>
        <v>0.76176613294517226</v>
      </c>
      <c r="AS193" s="75">
        <f t="shared" si="42"/>
        <v>4.4153323629306164E-2</v>
      </c>
      <c r="AT193" s="75">
        <f t="shared" si="43"/>
        <v>0.19408054342552158</v>
      </c>
      <c r="AU193" s="26">
        <f t="shared" si="44"/>
        <v>6.7286409915891993E-2</v>
      </c>
      <c r="AV193" s="26">
        <f t="shared" si="45"/>
        <v>8.1451969898185039E-2</v>
      </c>
      <c r="AW193" s="24">
        <f t="shared" si="46"/>
        <v>0.91647855530474043</v>
      </c>
      <c r="AX193" s="24">
        <f t="shared" si="47"/>
        <v>0.963882618510158</v>
      </c>
      <c r="AY193" s="77" t="str">
        <f t="shared" si="48"/>
        <v>5,0 ≤ Alc. Bruta &lt; 7,5 mg/L</v>
      </c>
      <c r="AZ193" s="77" t="str">
        <f t="shared" si="49"/>
        <v>15 ≤ Cor &lt; 30 uC</v>
      </c>
      <c r="BA193" s="78" t="str">
        <f t="shared" si="50"/>
        <v>2,5 ≤ Turb &lt; 5,0 uT</v>
      </c>
      <c r="BB193" s="79" t="str">
        <f t="shared" si="51"/>
        <v>TOR &gt; BNN &gt; SM</v>
      </c>
      <c r="BC193" s="78" t="str">
        <f t="shared" si="52"/>
        <v>Tipo 1 (≤0,25) uT</v>
      </c>
      <c r="BD193" s="78" t="str">
        <f t="shared" si="53"/>
        <v>Tipo 2 (0,25-0,50) uT</v>
      </c>
      <c r="BE193" s="78" t="str">
        <f t="shared" si="54"/>
        <v>Tipo 1 (≤0,25) uT</v>
      </c>
      <c r="BF193" s="78" t="str">
        <f t="shared" si="55"/>
        <v>Tipo 2 (0,25-0,50) uT</v>
      </c>
      <c r="BG193" s="78" t="str">
        <f t="shared" si="56"/>
        <v>Tipo 1 (≤0,25) uT</v>
      </c>
    </row>
    <row r="194" spans="1:59" x14ac:dyDescent="0.2">
      <c r="A194" s="21">
        <v>46148</v>
      </c>
      <c r="B194" s="48">
        <v>0.14583333333333334</v>
      </c>
      <c r="C194" s="57">
        <v>1530</v>
      </c>
      <c r="D194" s="57">
        <v>90</v>
      </c>
      <c r="E194" s="57">
        <v>400</v>
      </c>
      <c r="F194" s="57">
        <v>2188</v>
      </c>
      <c r="G194" s="10" t="s">
        <v>78</v>
      </c>
      <c r="H194" s="63">
        <v>5</v>
      </c>
      <c r="I194" s="57">
        <v>90</v>
      </c>
      <c r="J194" s="57">
        <v>90</v>
      </c>
      <c r="K194" s="57">
        <v>90</v>
      </c>
      <c r="L194" s="63">
        <v>23.2</v>
      </c>
      <c r="M194" s="63">
        <v>6.8</v>
      </c>
      <c r="N194" s="36">
        <v>4.3099999999999996</v>
      </c>
      <c r="O194" s="57">
        <v>17</v>
      </c>
      <c r="P194" s="63">
        <v>3.9</v>
      </c>
      <c r="Q194" s="36">
        <v>0.06</v>
      </c>
      <c r="R194" s="36">
        <v>22.36</v>
      </c>
      <c r="S194" s="36">
        <v>0.88</v>
      </c>
      <c r="T194" s="36">
        <v>0.7</v>
      </c>
      <c r="U194" s="42">
        <f t="shared" si="57"/>
        <v>1657.4099999999999</v>
      </c>
      <c r="V194" s="36">
        <f t="shared" si="58"/>
        <v>1528.1630748799998</v>
      </c>
      <c r="W194" s="36">
        <f t="shared" si="59"/>
        <v>0.92201873699326053</v>
      </c>
      <c r="X194" s="57">
        <v>3</v>
      </c>
      <c r="Y194" s="57">
        <v>4</v>
      </c>
      <c r="Z194" s="63">
        <v>6.48</v>
      </c>
      <c r="AA194" s="57">
        <v>19</v>
      </c>
      <c r="AB194" s="63">
        <v>6.3</v>
      </c>
      <c r="AC194" s="63">
        <v>5.0999999999999996</v>
      </c>
      <c r="AD194" s="10">
        <v>0.16</v>
      </c>
      <c r="AE194" s="36">
        <v>0.16</v>
      </c>
      <c r="AF194" s="42">
        <f t="shared" si="60"/>
        <v>1657.4099999999999</v>
      </c>
      <c r="AG194" s="42">
        <f t="shared" si="61"/>
        <v>1769.4519814399998</v>
      </c>
      <c r="AH194" s="42">
        <f t="shared" si="62"/>
        <v>1.0676006428343017</v>
      </c>
      <c r="AI194" s="57">
        <v>3</v>
      </c>
      <c r="AJ194" s="57">
        <v>4</v>
      </c>
      <c r="AK194" s="36">
        <v>6.48</v>
      </c>
      <c r="AL194" s="36">
        <v>22</v>
      </c>
      <c r="AM194" s="63">
        <v>6.5</v>
      </c>
      <c r="AN194" s="63">
        <v>4.0999999999999996</v>
      </c>
      <c r="AO194" s="36">
        <v>0.11</v>
      </c>
      <c r="AP194" s="68">
        <v>0.37</v>
      </c>
      <c r="AQ194" s="73">
        <f t="shared" ref="AQ194:AQ257" si="63">SUM(C194:E194)</f>
        <v>2020</v>
      </c>
      <c r="AR194" s="75">
        <f t="shared" ref="AR194:AR257" si="64">C194/AQ194</f>
        <v>0.75742574257425743</v>
      </c>
      <c r="AS194" s="75">
        <f t="shared" ref="AS194:AS257" si="65">D194/AQ194</f>
        <v>4.4554455445544552E-2</v>
      </c>
      <c r="AT194" s="75">
        <f t="shared" ref="AT194:AT257" si="66">E194/AQ194</f>
        <v>0.19801980198019803</v>
      </c>
      <c r="AU194" s="26">
        <f t="shared" ref="AU194:AU257" si="67">IF(AND(F194&lt;&gt;"",Y194&lt;&gt;""),AA194/(F194/2/Y194),"")</f>
        <v>6.9469835466179158E-2</v>
      </c>
      <c r="AV194" s="26">
        <f t="shared" ref="AV194:AV257" si="68">IF(AND(F194&lt;&gt;"",AJ194&lt;&gt;""),AL194/(F194/2/AJ194),"")</f>
        <v>8.0438756855575874E-2</v>
      </c>
      <c r="AW194" s="24">
        <f t="shared" ref="AW194:AW257" si="69">IF(AND(AP194&lt;&gt;"",1-(AP194/N194)&gt;0),1-(AP194/N194),"")</f>
        <v>0.91415313225058004</v>
      </c>
      <c r="AX194" s="24">
        <f t="shared" ref="AX194:AX257" si="70">IF(AND(AE194&lt;&gt;"",1-(AE194/N194)&gt;0),1-(AE194/N194),"")</f>
        <v>0.96287703016241299</v>
      </c>
      <c r="AY194" s="77" t="str">
        <f t="shared" ref="AY194:AY257" si="71">IF(P194="","",IF(P194&lt;2.5,"Alc. Bruta &lt; 2,5 mg/L",IF(P194&lt;5,"2,5 ≤ Alc. Bruta &lt; 5,0 mg/L",IF(P194&lt;7.5,"5,0 ≤ Alc. Bruta &lt; 7,5 mg/L",IF(P194&lt;10,"7,5 ≤ Alc. Bruta &lt; 10,0 mg/L",IF(P194&lt;15,"10,0 ≤ Alca. Bruta &lt; 15,0 mg/L","Alc. Bruta &gt; 15 mg/L"))))))</f>
        <v>2,5 ≤ Alc. Bruta &lt; 5,0 mg/L</v>
      </c>
      <c r="AZ194" s="77" t="str">
        <f t="shared" ref="AZ194:AZ257" si="72">IF(O194="","",IF(O194&lt;5,"Cor &lt;5 uC",IF(O194&lt;10,"5 ≤ Cor &lt; 10 uC",IF(O194&lt;15,"10 ≤ Cor &lt;15 uC",IF(O194&lt;30,"15 ≤ Cor &lt; 30 uC",IF(O194&lt;50,"30 ≤ Cor &lt; 50 uC","Cor &gt; 50 uC"))))))</f>
        <v>15 ≤ Cor &lt; 30 uC</v>
      </c>
      <c r="BA194" s="78" t="str">
        <f t="shared" ref="BA194:BA257" si="73">IF(N194="","",IF(N194&lt;2.5,"Turbidez &lt; 2,5 uT",IF(N194&lt;5,"2,5 ≤ Turb &lt; 5,0 uT",IF(N194&lt;7.5,"5,0 ≤ Turb &lt; 7,5 uT",IF(N194&lt;10,"7,5 ≤ Turb &lt; 10,0 uT",IF(N194&lt;15,"10,0 ≤ Turb &lt; 15,0 uT","Turb &gt; 15 uT"))))))</f>
        <v>2,5 ≤ Turb &lt; 5,0 uT</v>
      </c>
      <c r="BB194" s="79" t="str">
        <f t="shared" ref="BB194:BB257" si="74">IF(AND(C194&gt;D194,D194&gt;E194),"TOR &gt; SM &gt; BNN",IF(AND(C194&gt;E194,E194&gt;D194),"TOR &gt; BNN &gt; SM",IF(AND(D194&gt;C194,C194&gt;E194),"SM &gt; TOR &gt; BNN",IF(AND(D194&gt;E194,E194&gt;C194),"SM &gt; BNN &gt; TOR",IF(AND(C194=D194,D194=E194),"TOR = SM = BNN","Comb. diferentes")))))</f>
        <v>TOR &gt; BNN &gt; SM</v>
      </c>
      <c r="BC194" s="78" t="str">
        <f t="shared" ref="BC194:BC257" si="75">IF(OR(AD194="",AP194="-"),"",IF(AD194&lt;=0.25,"Tipo 1 (≤0,25) uT",IF(AD194&lt;=0.5,"Tipo 2 (0,25-0,50) uT",IF(AD194&lt;=0.75,"Tipo 3 (0,50-0,75) uT","Tipo 4 (&gt;0,75) uT"))))</f>
        <v>Tipo 1 (≤0,25) uT</v>
      </c>
      <c r="BD194" s="78" t="str">
        <f t="shared" ref="BD194:BD257" si="76">IF(OR(AO194="",AY194="-"),"",IF(AO194&lt;=0.25,"Tipo 1 (≤0,25) uT",IF(AO194&lt;=0.5,"Tipo 2 (0,25-0,50) uT",IF(AO194&lt;=0.75,"Tipo 3 (0,50-0,75) uT","Tipo 4 (&gt;0,75) uT"))))</f>
        <v>Tipo 1 (≤0,25) uT</v>
      </c>
      <c r="BE194" s="78" t="str">
        <f t="shared" ref="BE194:BE257" si="77">IF(OR(AE194="",AP194="-"),"",IF(AE194&lt;=0.25,"Tipo 1 (≤0,25) uT",IF(AE194&lt;=0.5,"Tipo 2 (0,25-0,50) uT",IF(AE194&lt;=0.75,"Tipo 3 (0,50-0,75) uT","Tipo 4 (&gt;0,75) uT"))))</f>
        <v>Tipo 1 (≤0,25) uT</v>
      </c>
      <c r="BF194" s="78" t="str">
        <f t="shared" ref="BF194:BF257" si="78">IF(OR(AP194="",AP194="-"),"",IF(AP194&lt;=0.25,"Tipo 1 (≤0,25) uT",IF(AP194&lt;=0.5,"Tipo 2 (0,25-0,50) uT",IF(AP194&lt;=0.75,"Tipo 3 (0,50-0,75) uT","Tipo 4 (&gt;0,75) uT"))))</f>
        <v>Tipo 2 (0,25-0,50) uT</v>
      </c>
      <c r="BG194" s="78" t="str">
        <f t="shared" ref="BG194:BG257" si="79">IF(OR(Q194="",Q194="-"),"",IF(Q194&lt;=0.25,"Tipo 1 (≤0,25) uT",IF(Q194&lt;=0.5,"Tipo 2 (0,25-0,50) uT",IF(Q194&lt;=0.75,"Tipo 3 (0,50-0,75) uT","Tipo 4 (&gt;0,75) uT"))))</f>
        <v>Tipo 1 (≤0,25) uT</v>
      </c>
    </row>
    <row r="195" spans="1:59" ht="15.75" thickBot="1" x14ac:dyDescent="0.25">
      <c r="A195" s="21">
        <v>46148</v>
      </c>
      <c r="B195" s="51">
        <v>0.22916666666666666</v>
      </c>
      <c r="C195" s="58">
        <v>1490</v>
      </c>
      <c r="D195" s="58">
        <v>90</v>
      </c>
      <c r="E195" s="58">
        <v>400</v>
      </c>
      <c r="F195" s="58">
        <v>2160</v>
      </c>
      <c r="G195" s="11" t="s">
        <v>78</v>
      </c>
      <c r="H195" s="63">
        <v>5</v>
      </c>
      <c r="I195" s="58">
        <v>90</v>
      </c>
      <c r="J195" s="58">
        <v>90</v>
      </c>
      <c r="K195" s="58">
        <v>90</v>
      </c>
      <c r="L195" s="64">
        <v>23</v>
      </c>
      <c r="M195" s="64">
        <v>6.6</v>
      </c>
      <c r="N195" s="37">
        <v>4</v>
      </c>
      <c r="O195" s="58">
        <v>17</v>
      </c>
      <c r="P195" s="64">
        <v>3.7</v>
      </c>
      <c r="Q195" s="37">
        <v>0.06</v>
      </c>
      <c r="R195" s="36">
        <v>22.36</v>
      </c>
      <c r="S195" s="36">
        <v>0.88</v>
      </c>
      <c r="T195" s="36">
        <v>0.7</v>
      </c>
      <c r="U195" s="42">
        <f t="shared" si="57"/>
        <v>1552.5</v>
      </c>
      <c r="V195" s="36">
        <f t="shared" si="58"/>
        <v>1507.6165379600002</v>
      </c>
      <c r="W195" s="36">
        <f t="shared" si="59"/>
        <v>0.97108955746215797</v>
      </c>
      <c r="X195" s="58">
        <v>3</v>
      </c>
      <c r="Y195" s="58">
        <v>4</v>
      </c>
      <c r="Z195" s="64">
        <v>6.41</v>
      </c>
      <c r="AA195" s="58">
        <v>19</v>
      </c>
      <c r="AB195" s="64">
        <v>6.3</v>
      </c>
      <c r="AC195" s="64">
        <v>4.5</v>
      </c>
      <c r="AD195" s="11">
        <v>0.17</v>
      </c>
      <c r="AE195" s="37">
        <v>0.16</v>
      </c>
      <c r="AF195" s="42">
        <f t="shared" si="60"/>
        <v>1552.5</v>
      </c>
      <c r="AG195" s="42">
        <f t="shared" si="61"/>
        <v>1803.6905301999996</v>
      </c>
      <c r="AH195" s="42">
        <f t="shared" si="62"/>
        <v>1.1617974429629627</v>
      </c>
      <c r="AI195" s="58">
        <v>3</v>
      </c>
      <c r="AJ195" s="58">
        <v>4</v>
      </c>
      <c r="AK195" s="37">
        <v>6.35</v>
      </c>
      <c r="AL195" s="37">
        <v>23</v>
      </c>
      <c r="AM195" s="64">
        <v>6.4</v>
      </c>
      <c r="AN195" s="64">
        <v>3.9</v>
      </c>
      <c r="AO195" s="37">
        <v>0.08</v>
      </c>
      <c r="AP195" s="69">
        <v>0.35</v>
      </c>
      <c r="AQ195" s="73">
        <f t="shared" si="63"/>
        <v>1980</v>
      </c>
      <c r="AR195" s="75">
        <f t="shared" si="64"/>
        <v>0.75252525252525249</v>
      </c>
      <c r="AS195" s="75">
        <f t="shared" si="65"/>
        <v>4.5454545454545456E-2</v>
      </c>
      <c r="AT195" s="75">
        <f t="shared" si="66"/>
        <v>0.20202020202020202</v>
      </c>
      <c r="AU195" s="26">
        <f t="shared" si="67"/>
        <v>7.0370370370370375E-2</v>
      </c>
      <c r="AV195" s="26">
        <f t="shared" si="68"/>
        <v>8.5185185185185183E-2</v>
      </c>
      <c r="AW195" s="24">
        <f t="shared" si="69"/>
        <v>0.91249999999999998</v>
      </c>
      <c r="AX195" s="24">
        <f t="shared" si="70"/>
        <v>0.96</v>
      </c>
      <c r="AY195" s="77" t="str">
        <f t="shared" si="71"/>
        <v>2,5 ≤ Alc. Bruta &lt; 5,0 mg/L</v>
      </c>
      <c r="AZ195" s="77" t="str">
        <f t="shared" si="72"/>
        <v>15 ≤ Cor &lt; 30 uC</v>
      </c>
      <c r="BA195" s="78" t="str">
        <f t="shared" si="73"/>
        <v>2,5 ≤ Turb &lt; 5,0 uT</v>
      </c>
      <c r="BB195" s="79" t="str">
        <f t="shared" si="74"/>
        <v>TOR &gt; BNN &gt; SM</v>
      </c>
      <c r="BC195" s="78" t="str">
        <f t="shared" si="75"/>
        <v>Tipo 1 (≤0,25) uT</v>
      </c>
      <c r="BD195" s="78" t="str">
        <f t="shared" si="76"/>
        <v>Tipo 1 (≤0,25) uT</v>
      </c>
      <c r="BE195" s="78" t="str">
        <f t="shared" si="77"/>
        <v>Tipo 1 (≤0,25) uT</v>
      </c>
      <c r="BF195" s="78" t="str">
        <f t="shared" si="78"/>
        <v>Tipo 2 (0,25-0,50) uT</v>
      </c>
      <c r="BG195" s="78" t="str">
        <f t="shared" si="79"/>
        <v>Tipo 1 (≤0,25) uT</v>
      </c>
    </row>
    <row r="196" spans="1:59" x14ac:dyDescent="0.2">
      <c r="A196" s="21">
        <v>46148</v>
      </c>
      <c r="B196" s="48">
        <v>0.39583333333333331</v>
      </c>
      <c r="C196" s="57">
        <v>1620</v>
      </c>
      <c r="D196" s="57">
        <v>92</v>
      </c>
      <c r="E196" s="57">
        <v>550</v>
      </c>
      <c r="F196" s="57">
        <v>1820</v>
      </c>
      <c r="G196" s="10" t="s">
        <v>78</v>
      </c>
      <c r="H196" s="65">
        <v>5</v>
      </c>
      <c r="I196" s="57">
        <v>90</v>
      </c>
      <c r="J196" s="57">
        <v>90</v>
      </c>
      <c r="K196" s="57">
        <v>90</v>
      </c>
      <c r="L196" s="63">
        <v>22.8</v>
      </c>
      <c r="M196" s="63">
        <v>6.7</v>
      </c>
      <c r="N196" s="36">
        <v>4.92</v>
      </c>
      <c r="O196" s="57">
        <v>18</v>
      </c>
      <c r="P196" s="63">
        <v>4.7</v>
      </c>
      <c r="Q196" s="36">
        <v>0.06</v>
      </c>
      <c r="R196" s="36">
        <v>22.36</v>
      </c>
      <c r="S196" s="36">
        <v>0.88</v>
      </c>
      <c r="T196" s="36">
        <v>0.7</v>
      </c>
      <c r="U196" s="42">
        <f t="shared" si="57"/>
        <v>2023.2333333333331</v>
      </c>
      <c r="V196" s="36">
        <f t="shared" si="58"/>
        <v>1396.5228127707996</v>
      </c>
      <c r="W196" s="36">
        <f t="shared" si="59"/>
        <v>0.69024308257614042</v>
      </c>
      <c r="X196" s="57">
        <v>3</v>
      </c>
      <c r="Y196" s="57">
        <v>3</v>
      </c>
      <c r="Z196" s="63">
        <v>6.49</v>
      </c>
      <c r="AA196" s="57">
        <v>17.329999999999998</v>
      </c>
      <c r="AB196" s="63">
        <v>6.4</v>
      </c>
      <c r="AC196" s="63">
        <v>3.4</v>
      </c>
      <c r="AD196" s="10">
        <v>0.12</v>
      </c>
      <c r="AE196" s="36">
        <v>0.18</v>
      </c>
      <c r="AF196" s="42">
        <f t="shared" si="60"/>
        <v>1517.425</v>
      </c>
      <c r="AG196" s="42">
        <f t="shared" si="61"/>
        <v>1812.3714571975997</v>
      </c>
      <c r="AH196" s="42">
        <f t="shared" si="62"/>
        <v>1.1943730050563288</v>
      </c>
      <c r="AI196" s="57">
        <v>3</v>
      </c>
      <c r="AJ196" s="57">
        <v>4</v>
      </c>
      <c r="AK196" s="36">
        <v>6.37</v>
      </c>
      <c r="AL196" s="36">
        <v>23.02</v>
      </c>
      <c r="AM196" s="63">
        <v>6.5</v>
      </c>
      <c r="AN196" s="63">
        <v>4.3</v>
      </c>
      <c r="AO196" s="36">
        <v>0.1</v>
      </c>
      <c r="AP196" s="68">
        <v>0.32</v>
      </c>
      <c r="AQ196" s="73">
        <f t="shared" si="63"/>
        <v>2262</v>
      </c>
      <c r="AR196" s="75">
        <f t="shared" si="64"/>
        <v>0.71618037135278512</v>
      </c>
      <c r="AS196" s="75">
        <f t="shared" si="65"/>
        <v>4.0671971706454466E-2</v>
      </c>
      <c r="AT196" s="75">
        <f t="shared" si="66"/>
        <v>0.24314765694076038</v>
      </c>
      <c r="AU196" s="26">
        <f t="shared" si="67"/>
        <v>5.713186813186813E-2</v>
      </c>
      <c r="AV196" s="26">
        <f t="shared" si="68"/>
        <v>0.10118681318681319</v>
      </c>
      <c r="AW196" s="24">
        <f t="shared" si="69"/>
        <v>0.93495934959349591</v>
      </c>
      <c r="AX196" s="24">
        <f t="shared" si="70"/>
        <v>0.96341463414634143</v>
      </c>
      <c r="AY196" s="77" t="str">
        <f t="shared" si="71"/>
        <v>2,5 ≤ Alc. Bruta &lt; 5,0 mg/L</v>
      </c>
      <c r="AZ196" s="77" t="str">
        <f t="shared" si="72"/>
        <v>15 ≤ Cor &lt; 30 uC</v>
      </c>
      <c r="BA196" s="78" t="str">
        <f t="shared" si="73"/>
        <v>2,5 ≤ Turb &lt; 5,0 uT</v>
      </c>
      <c r="BB196" s="79" t="str">
        <f t="shared" si="74"/>
        <v>TOR &gt; BNN &gt; SM</v>
      </c>
      <c r="BC196" s="78" t="str">
        <f t="shared" si="75"/>
        <v>Tipo 1 (≤0,25) uT</v>
      </c>
      <c r="BD196" s="78" t="str">
        <f t="shared" si="76"/>
        <v>Tipo 1 (≤0,25) uT</v>
      </c>
      <c r="BE196" s="78" t="str">
        <f t="shared" si="77"/>
        <v>Tipo 1 (≤0,25) uT</v>
      </c>
      <c r="BF196" s="78" t="str">
        <f t="shared" si="78"/>
        <v>Tipo 2 (0,25-0,50) uT</v>
      </c>
      <c r="BG196" s="78" t="str">
        <f t="shared" si="79"/>
        <v>Tipo 1 (≤0,25) uT</v>
      </c>
    </row>
    <row r="197" spans="1:59" x14ac:dyDescent="0.2">
      <c r="A197" s="21">
        <v>46148</v>
      </c>
      <c r="B197" s="48">
        <v>0.47916666666666669</v>
      </c>
      <c r="C197" s="57">
        <v>1125</v>
      </c>
      <c r="D197" s="57">
        <v>90</v>
      </c>
      <c r="E197" s="57">
        <v>550</v>
      </c>
      <c r="F197" s="57">
        <v>1836</v>
      </c>
      <c r="G197" s="10" t="s">
        <v>78</v>
      </c>
      <c r="H197" s="63">
        <v>5</v>
      </c>
      <c r="I197" s="57">
        <v>90</v>
      </c>
      <c r="J197" s="57">
        <v>90</v>
      </c>
      <c r="K197" s="57">
        <v>90</v>
      </c>
      <c r="L197" s="63">
        <v>23.6</v>
      </c>
      <c r="M197" s="63">
        <v>6.8</v>
      </c>
      <c r="N197" s="36">
        <v>3.75</v>
      </c>
      <c r="O197" s="57">
        <v>15</v>
      </c>
      <c r="P197" s="63">
        <v>5.9</v>
      </c>
      <c r="Q197" s="36">
        <v>7.0000000000000007E-2</v>
      </c>
      <c r="R197" s="36">
        <v>22.36</v>
      </c>
      <c r="S197" s="36">
        <v>0.88</v>
      </c>
      <c r="T197" s="36">
        <v>0.7</v>
      </c>
      <c r="U197" s="42">
        <f t="shared" si="57"/>
        <v>1683</v>
      </c>
      <c r="V197" s="36">
        <f t="shared" si="58"/>
        <v>1407.2739025800001</v>
      </c>
      <c r="W197" s="36">
        <f t="shared" si="59"/>
        <v>0.83616987675579335</v>
      </c>
      <c r="X197" s="57">
        <v>3</v>
      </c>
      <c r="Y197" s="57">
        <v>3</v>
      </c>
      <c r="Z197" s="63">
        <v>6.5</v>
      </c>
      <c r="AA197" s="57">
        <v>17.43</v>
      </c>
      <c r="AB197" s="63">
        <v>6.6</v>
      </c>
      <c r="AC197" s="63">
        <v>5.8</v>
      </c>
      <c r="AD197" s="10">
        <v>0.3</v>
      </c>
      <c r="AE197" s="36">
        <v>0.28000000000000003</v>
      </c>
      <c r="AF197" s="42">
        <f t="shared" si="60"/>
        <v>1262.25</v>
      </c>
      <c r="AG197" s="42">
        <f t="shared" si="61"/>
        <v>1833.3353958399998</v>
      </c>
      <c r="AH197" s="42">
        <f t="shared" si="62"/>
        <v>1.4524344589740541</v>
      </c>
      <c r="AI197" s="57">
        <v>3</v>
      </c>
      <c r="AJ197" s="57">
        <v>4</v>
      </c>
      <c r="AK197" s="36">
        <v>6.4</v>
      </c>
      <c r="AL197" s="36">
        <v>23.15</v>
      </c>
      <c r="AM197" s="63">
        <v>6.6</v>
      </c>
      <c r="AN197" s="63">
        <v>5.5</v>
      </c>
      <c r="AO197" s="36">
        <v>0.15</v>
      </c>
      <c r="AP197" s="68">
        <v>0.48</v>
      </c>
      <c r="AQ197" s="73">
        <f t="shared" si="63"/>
        <v>1765</v>
      </c>
      <c r="AR197" s="75">
        <f t="shared" si="64"/>
        <v>0.63739376770538247</v>
      </c>
      <c r="AS197" s="75">
        <f t="shared" si="65"/>
        <v>5.0991501416430593E-2</v>
      </c>
      <c r="AT197" s="75">
        <f t="shared" si="66"/>
        <v>0.31161473087818697</v>
      </c>
      <c r="AU197" s="26">
        <f t="shared" si="67"/>
        <v>5.696078431372549E-2</v>
      </c>
      <c r="AV197" s="26">
        <f t="shared" si="68"/>
        <v>0.1008714596949891</v>
      </c>
      <c r="AW197" s="24">
        <f t="shared" si="69"/>
        <v>0.872</v>
      </c>
      <c r="AX197" s="24">
        <f t="shared" si="70"/>
        <v>0.92533333333333334</v>
      </c>
      <c r="AY197" s="77" t="str">
        <f t="shared" si="71"/>
        <v>5,0 ≤ Alc. Bruta &lt; 7,5 mg/L</v>
      </c>
      <c r="AZ197" s="77" t="str">
        <f t="shared" si="72"/>
        <v>15 ≤ Cor &lt; 30 uC</v>
      </c>
      <c r="BA197" s="78" t="str">
        <f t="shared" si="73"/>
        <v>2,5 ≤ Turb &lt; 5,0 uT</v>
      </c>
      <c r="BB197" s="79" t="str">
        <f t="shared" si="74"/>
        <v>TOR &gt; BNN &gt; SM</v>
      </c>
      <c r="BC197" s="78" t="str">
        <f t="shared" si="75"/>
        <v>Tipo 2 (0,25-0,50) uT</v>
      </c>
      <c r="BD197" s="78" t="str">
        <f t="shared" si="76"/>
        <v>Tipo 1 (≤0,25) uT</v>
      </c>
      <c r="BE197" s="78" t="str">
        <f t="shared" si="77"/>
        <v>Tipo 2 (0,25-0,50) uT</v>
      </c>
      <c r="BF197" s="78" t="str">
        <f t="shared" si="78"/>
        <v>Tipo 2 (0,25-0,50) uT</v>
      </c>
      <c r="BG197" s="78" t="str">
        <f t="shared" si="79"/>
        <v>Tipo 1 (≤0,25) uT</v>
      </c>
    </row>
    <row r="198" spans="1:59" x14ac:dyDescent="0.2">
      <c r="A198" s="21">
        <v>46148</v>
      </c>
      <c r="B198" s="48">
        <v>0.64583333333333337</v>
      </c>
      <c r="C198" s="57">
        <v>1175</v>
      </c>
      <c r="D198" s="57">
        <v>87.2</v>
      </c>
      <c r="E198" s="57">
        <v>550</v>
      </c>
      <c r="F198" s="57">
        <v>1908</v>
      </c>
      <c r="G198" s="10" t="s">
        <v>78</v>
      </c>
      <c r="H198" s="63">
        <v>4.5</v>
      </c>
      <c r="I198" s="57">
        <v>90</v>
      </c>
      <c r="J198" s="57">
        <v>90</v>
      </c>
      <c r="K198" s="57">
        <v>90</v>
      </c>
      <c r="L198" s="63">
        <v>24.6</v>
      </c>
      <c r="M198" s="63">
        <v>6.8</v>
      </c>
      <c r="N198" s="36">
        <v>3.63</v>
      </c>
      <c r="O198" s="57">
        <v>15</v>
      </c>
      <c r="P198" s="63">
        <v>6.2</v>
      </c>
      <c r="Q198" s="36">
        <v>0.12</v>
      </c>
      <c r="R198" s="36">
        <v>22.36</v>
      </c>
      <c r="S198" s="36">
        <v>0.88</v>
      </c>
      <c r="T198" s="36">
        <v>0.7</v>
      </c>
      <c r="U198" s="42">
        <f t="shared" si="57"/>
        <v>1663.1399999999999</v>
      </c>
      <c r="V198" s="36">
        <f t="shared" si="58"/>
        <v>1415.3519357796001</v>
      </c>
      <c r="W198" s="36">
        <f t="shared" si="59"/>
        <v>0.85101190265377558</v>
      </c>
      <c r="X198" s="57">
        <v>3</v>
      </c>
      <c r="Y198" s="57">
        <v>3</v>
      </c>
      <c r="Z198" s="63">
        <v>6.53</v>
      </c>
      <c r="AA198" s="57">
        <v>17.43</v>
      </c>
      <c r="AB198" s="63">
        <v>6.6</v>
      </c>
      <c r="AC198" s="63">
        <v>5.9</v>
      </c>
      <c r="AD198" s="10">
        <v>0.45</v>
      </c>
      <c r="AE198" s="36">
        <v>0.59</v>
      </c>
      <c r="AF198" s="42">
        <f t="shared" si="60"/>
        <v>1247.3549999999998</v>
      </c>
      <c r="AG198" s="42">
        <f t="shared" si="61"/>
        <v>1818.669881028</v>
      </c>
      <c r="AH198" s="42">
        <f t="shared" si="62"/>
        <v>1.4580210774222258</v>
      </c>
      <c r="AI198" s="57">
        <v>3</v>
      </c>
      <c r="AJ198" s="57">
        <v>4</v>
      </c>
      <c r="AK198" s="36">
        <v>6.37</v>
      </c>
      <c r="AL198" s="36">
        <v>23.1</v>
      </c>
      <c r="AM198" s="63">
        <v>6.6</v>
      </c>
      <c r="AN198" s="63">
        <v>5.6</v>
      </c>
      <c r="AO198" s="36">
        <v>0.56999999999999995</v>
      </c>
      <c r="AP198" s="68">
        <v>1.04</v>
      </c>
      <c r="AQ198" s="73">
        <f t="shared" si="63"/>
        <v>1812.2</v>
      </c>
      <c r="AR198" s="75">
        <f t="shared" si="64"/>
        <v>0.64838318066438583</v>
      </c>
      <c r="AS198" s="75">
        <f t="shared" si="65"/>
        <v>4.8118309237391015E-2</v>
      </c>
      <c r="AT198" s="75">
        <f t="shared" si="66"/>
        <v>0.30349851009822315</v>
      </c>
      <c r="AU198" s="26">
        <f t="shared" si="67"/>
        <v>5.481132075471698E-2</v>
      </c>
      <c r="AV198" s="26">
        <f t="shared" si="68"/>
        <v>9.6855345911949692E-2</v>
      </c>
      <c r="AW198" s="24">
        <f t="shared" si="69"/>
        <v>0.71349862258953167</v>
      </c>
      <c r="AX198" s="24">
        <f t="shared" si="70"/>
        <v>0.83746556473829203</v>
      </c>
      <c r="AY198" s="77" t="str">
        <f t="shared" si="71"/>
        <v>5,0 ≤ Alc. Bruta &lt; 7,5 mg/L</v>
      </c>
      <c r="AZ198" s="77" t="str">
        <f t="shared" si="72"/>
        <v>15 ≤ Cor &lt; 30 uC</v>
      </c>
      <c r="BA198" s="78" t="str">
        <f t="shared" si="73"/>
        <v>2,5 ≤ Turb &lt; 5,0 uT</v>
      </c>
      <c r="BB198" s="79" t="str">
        <f t="shared" si="74"/>
        <v>TOR &gt; BNN &gt; SM</v>
      </c>
      <c r="BC198" s="78" t="str">
        <f t="shared" si="75"/>
        <v>Tipo 2 (0,25-0,50) uT</v>
      </c>
      <c r="BD198" s="78" t="str">
        <f t="shared" si="76"/>
        <v>Tipo 3 (0,50-0,75) uT</v>
      </c>
      <c r="BE198" s="78" t="str">
        <f t="shared" si="77"/>
        <v>Tipo 3 (0,50-0,75) uT</v>
      </c>
      <c r="BF198" s="78" t="str">
        <f t="shared" si="78"/>
        <v>Tipo 4 (&gt;0,75) uT</v>
      </c>
      <c r="BG198" s="78" t="str">
        <f t="shared" si="79"/>
        <v>Tipo 1 (≤0,25) uT</v>
      </c>
    </row>
    <row r="199" spans="1:59" x14ac:dyDescent="0.2">
      <c r="A199" s="21">
        <v>46148</v>
      </c>
      <c r="B199" s="48">
        <v>0.72916666666666663</v>
      </c>
      <c r="C199" s="57">
        <v>1153</v>
      </c>
      <c r="D199" s="57">
        <v>84.9</v>
      </c>
      <c r="E199" s="57">
        <v>549</v>
      </c>
      <c r="F199" s="57">
        <v>1916</v>
      </c>
      <c r="G199" s="10" t="s">
        <v>78</v>
      </c>
      <c r="H199" s="63">
        <v>4.5</v>
      </c>
      <c r="I199" s="57">
        <v>90</v>
      </c>
      <c r="J199" s="57">
        <v>90</v>
      </c>
      <c r="K199" s="57">
        <v>90</v>
      </c>
      <c r="L199" s="63">
        <v>24.6</v>
      </c>
      <c r="M199" s="63">
        <v>6.8</v>
      </c>
      <c r="N199" s="36">
        <v>4.0199999999999996</v>
      </c>
      <c r="O199" s="57">
        <v>16</v>
      </c>
      <c r="P199" s="63">
        <v>5.9</v>
      </c>
      <c r="Q199" s="36">
        <v>0.68</v>
      </c>
      <c r="R199" s="36">
        <v>22.36</v>
      </c>
      <c r="S199" s="36">
        <v>0.88</v>
      </c>
      <c r="T199" s="36">
        <v>0.7</v>
      </c>
      <c r="U199" s="42">
        <f t="shared" si="57"/>
        <v>1794.653333333333</v>
      </c>
      <c r="V199" s="36">
        <f t="shared" si="58"/>
        <v>1396.5228127707996</v>
      </c>
      <c r="W199" s="36">
        <f t="shared" si="59"/>
        <v>0.77815742284719791</v>
      </c>
      <c r="X199" s="57">
        <v>3</v>
      </c>
      <c r="Y199" s="57">
        <v>3</v>
      </c>
      <c r="Z199" s="63">
        <v>6.49</v>
      </c>
      <c r="AA199" s="57">
        <v>17.329999999999998</v>
      </c>
      <c r="AB199" s="63">
        <v>6.6</v>
      </c>
      <c r="AC199" s="63">
        <v>6.4</v>
      </c>
      <c r="AD199" s="10">
        <v>0.28000000000000003</v>
      </c>
      <c r="AE199" s="36">
        <v>0.5</v>
      </c>
      <c r="AF199" s="42">
        <f t="shared" si="60"/>
        <v>1345.9899999999998</v>
      </c>
      <c r="AG199" s="42">
        <f t="shared" si="61"/>
        <v>1812.3714571975997</v>
      </c>
      <c r="AH199" s="42">
        <f t="shared" si="62"/>
        <v>1.3464969704066152</v>
      </c>
      <c r="AI199" s="57">
        <v>3</v>
      </c>
      <c r="AJ199" s="57">
        <v>4</v>
      </c>
      <c r="AK199" s="36">
        <v>6.37</v>
      </c>
      <c r="AL199" s="36">
        <v>23.02</v>
      </c>
      <c r="AM199" s="63">
        <v>6.7</v>
      </c>
      <c r="AN199" s="63">
        <v>7.1</v>
      </c>
      <c r="AO199" s="36">
        <v>0.35</v>
      </c>
      <c r="AP199" s="68">
        <v>0.78</v>
      </c>
      <c r="AQ199" s="73">
        <f t="shared" si="63"/>
        <v>1786.9</v>
      </c>
      <c r="AR199" s="75">
        <f t="shared" si="64"/>
        <v>0.64525155296882863</v>
      </c>
      <c r="AS199" s="75">
        <f t="shared" si="65"/>
        <v>4.7512451732049918E-2</v>
      </c>
      <c r="AT199" s="75">
        <f t="shared" si="66"/>
        <v>0.30723599529912138</v>
      </c>
      <c r="AU199" s="26">
        <f t="shared" si="67"/>
        <v>5.4269311064718162E-2</v>
      </c>
      <c r="AV199" s="26">
        <f t="shared" si="68"/>
        <v>9.6116910229645094E-2</v>
      </c>
      <c r="AW199" s="24">
        <f t="shared" si="69"/>
        <v>0.80597014925373134</v>
      </c>
      <c r="AX199" s="24">
        <f t="shared" si="70"/>
        <v>0.87562189054726369</v>
      </c>
      <c r="AY199" s="77" t="str">
        <f t="shared" si="71"/>
        <v>5,0 ≤ Alc. Bruta &lt; 7,5 mg/L</v>
      </c>
      <c r="AZ199" s="77" t="str">
        <f t="shared" si="72"/>
        <v>15 ≤ Cor &lt; 30 uC</v>
      </c>
      <c r="BA199" s="78" t="str">
        <f t="shared" si="73"/>
        <v>2,5 ≤ Turb &lt; 5,0 uT</v>
      </c>
      <c r="BB199" s="79" t="str">
        <f t="shared" si="74"/>
        <v>TOR &gt; BNN &gt; SM</v>
      </c>
      <c r="BC199" s="78" t="str">
        <f t="shared" si="75"/>
        <v>Tipo 2 (0,25-0,50) uT</v>
      </c>
      <c r="BD199" s="78" t="str">
        <f t="shared" si="76"/>
        <v>Tipo 2 (0,25-0,50) uT</v>
      </c>
      <c r="BE199" s="78" t="str">
        <f t="shared" si="77"/>
        <v>Tipo 2 (0,25-0,50) uT</v>
      </c>
      <c r="BF199" s="78" t="str">
        <f t="shared" si="78"/>
        <v>Tipo 4 (&gt;0,75) uT</v>
      </c>
      <c r="BG199" s="78" t="str">
        <f t="shared" si="79"/>
        <v>Tipo 3 (0,50-0,75) uT</v>
      </c>
    </row>
    <row r="200" spans="1:59" x14ac:dyDescent="0.2">
      <c r="A200" s="21">
        <v>46148</v>
      </c>
      <c r="B200" s="48">
        <v>0.8125</v>
      </c>
      <c r="C200" s="57">
        <v>1165</v>
      </c>
      <c r="D200" s="57">
        <v>86</v>
      </c>
      <c r="E200" s="57">
        <v>549</v>
      </c>
      <c r="F200" s="57">
        <v>1905</v>
      </c>
      <c r="G200" s="10" t="s">
        <v>78</v>
      </c>
      <c r="H200" s="63">
        <v>4.5</v>
      </c>
      <c r="I200" s="57">
        <v>90</v>
      </c>
      <c r="J200" s="57">
        <v>90</v>
      </c>
      <c r="K200" s="57">
        <v>90</v>
      </c>
      <c r="L200" s="63">
        <v>24.3</v>
      </c>
      <c r="M200" s="63">
        <v>6.8</v>
      </c>
      <c r="N200" s="36">
        <v>3.78</v>
      </c>
      <c r="O200" s="57">
        <v>16</v>
      </c>
      <c r="P200" s="63">
        <v>6.3</v>
      </c>
      <c r="Q200" s="36">
        <v>0.42</v>
      </c>
      <c r="R200" s="36">
        <v>22.36</v>
      </c>
      <c r="S200" s="36">
        <v>0.88</v>
      </c>
      <c r="T200" s="36">
        <v>0.7</v>
      </c>
      <c r="U200" s="42">
        <f t="shared" si="57"/>
        <v>1708.1499999999999</v>
      </c>
      <c r="V200" s="36">
        <f t="shared" si="58"/>
        <v>1296.7612236799996</v>
      </c>
      <c r="W200" s="36">
        <f t="shared" si="59"/>
        <v>0.75916121165003059</v>
      </c>
      <c r="X200" s="57">
        <v>2</v>
      </c>
      <c r="Y200" s="57">
        <v>3</v>
      </c>
      <c r="Z200" s="63">
        <v>6.52</v>
      </c>
      <c r="AA200" s="57">
        <v>16</v>
      </c>
      <c r="AB200" s="63">
        <v>6.6</v>
      </c>
      <c r="AC200" s="63">
        <v>6.3</v>
      </c>
      <c r="AD200" s="10">
        <v>0.27</v>
      </c>
      <c r="AE200" s="36">
        <v>0.34</v>
      </c>
      <c r="AF200" s="42">
        <f t="shared" si="60"/>
        <v>1281.1125</v>
      </c>
      <c r="AG200" s="42">
        <f t="shared" si="61"/>
        <v>1800.1373696799999</v>
      </c>
      <c r="AH200" s="42">
        <f t="shared" si="62"/>
        <v>1.405136059229771</v>
      </c>
      <c r="AI200" s="57">
        <v>2</v>
      </c>
      <c r="AJ200" s="57">
        <v>4</v>
      </c>
      <c r="AK200" s="36">
        <v>6.34</v>
      </c>
      <c r="AL200" s="36">
        <v>23</v>
      </c>
      <c r="AM200" s="63">
        <v>6.6</v>
      </c>
      <c r="AN200" s="63">
        <v>5.5</v>
      </c>
      <c r="AO200" s="36">
        <v>0.44</v>
      </c>
      <c r="AP200" s="68">
        <v>0.7</v>
      </c>
      <c r="AQ200" s="73">
        <f t="shared" si="63"/>
        <v>1800</v>
      </c>
      <c r="AR200" s="75">
        <f t="shared" si="64"/>
        <v>0.64722222222222225</v>
      </c>
      <c r="AS200" s="75">
        <f t="shared" si="65"/>
        <v>4.777777777777778E-2</v>
      </c>
      <c r="AT200" s="75">
        <f t="shared" si="66"/>
        <v>0.30499999999999999</v>
      </c>
      <c r="AU200" s="26">
        <f t="shared" si="67"/>
        <v>5.0393700787401574E-2</v>
      </c>
      <c r="AV200" s="26">
        <f t="shared" si="68"/>
        <v>9.658792650918635E-2</v>
      </c>
      <c r="AW200" s="24">
        <f t="shared" si="69"/>
        <v>0.81481481481481488</v>
      </c>
      <c r="AX200" s="24">
        <f t="shared" si="70"/>
        <v>0.91005291005291</v>
      </c>
      <c r="AY200" s="77" t="str">
        <f t="shared" si="71"/>
        <v>5,0 ≤ Alc. Bruta &lt; 7,5 mg/L</v>
      </c>
      <c r="AZ200" s="77" t="str">
        <f t="shared" si="72"/>
        <v>15 ≤ Cor &lt; 30 uC</v>
      </c>
      <c r="BA200" s="78" t="str">
        <f t="shared" si="73"/>
        <v>2,5 ≤ Turb &lt; 5,0 uT</v>
      </c>
      <c r="BB200" s="79" t="str">
        <f t="shared" si="74"/>
        <v>TOR &gt; BNN &gt; SM</v>
      </c>
      <c r="BC200" s="78" t="str">
        <f t="shared" si="75"/>
        <v>Tipo 2 (0,25-0,50) uT</v>
      </c>
      <c r="BD200" s="78" t="str">
        <f t="shared" si="76"/>
        <v>Tipo 2 (0,25-0,50) uT</v>
      </c>
      <c r="BE200" s="78" t="str">
        <f t="shared" si="77"/>
        <v>Tipo 2 (0,25-0,50) uT</v>
      </c>
      <c r="BF200" s="78" t="str">
        <f t="shared" si="78"/>
        <v>Tipo 3 (0,50-0,75) uT</v>
      </c>
      <c r="BG200" s="78" t="str">
        <f t="shared" si="79"/>
        <v>Tipo 2 (0,25-0,50) uT</v>
      </c>
    </row>
    <row r="201" spans="1:59" x14ac:dyDescent="0.2">
      <c r="A201" s="21">
        <v>46148</v>
      </c>
      <c r="B201" s="48">
        <v>0.89583333333333337</v>
      </c>
      <c r="C201" s="57">
        <v>1517</v>
      </c>
      <c r="D201" s="57">
        <v>88</v>
      </c>
      <c r="E201" s="57">
        <v>450</v>
      </c>
      <c r="F201" s="57">
        <v>2348</v>
      </c>
      <c r="G201" s="10" t="s">
        <v>78</v>
      </c>
      <c r="H201" s="63">
        <v>4.5</v>
      </c>
      <c r="I201" s="57">
        <v>90</v>
      </c>
      <c r="J201" s="57">
        <v>90</v>
      </c>
      <c r="K201" s="57">
        <v>90</v>
      </c>
      <c r="L201" s="63">
        <v>24.1</v>
      </c>
      <c r="M201" s="63">
        <v>6.5</v>
      </c>
      <c r="N201" s="36">
        <v>3.83</v>
      </c>
      <c r="O201" s="57">
        <v>18</v>
      </c>
      <c r="P201" s="63">
        <v>6.1</v>
      </c>
      <c r="Q201" s="36">
        <v>0.47</v>
      </c>
      <c r="R201" s="36">
        <v>22.36</v>
      </c>
      <c r="S201" s="36">
        <v>0.88</v>
      </c>
      <c r="T201" s="36">
        <v>0.7</v>
      </c>
      <c r="U201" s="42">
        <f t="shared" si="57"/>
        <v>2124.9399999999996</v>
      </c>
      <c r="V201" s="36">
        <f t="shared" si="58"/>
        <v>1380.6301626000002</v>
      </c>
      <c r="W201" s="36">
        <f t="shared" si="59"/>
        <v>0.64972665703502241</v>
      </c>
      <c r="X201" s="57">
        <v>2</v>
      </c>
      <c r="Y201" s="57">
        <v>3</v>
      </c>
      <c r="Z201" s="63">
        <v>6.5</v>
      </c>
      <c r="AA201" s="57">
        <v>17.100000000000001</v>
      </c>
      <c r="AB201" s="63">
        <v>6.7</v>
      </c>
      <c r="AC201" s="63">
        <v>5.6</v>
      </c>
      <c r="AD201" s="10">
        <v>0.33</v>
      </c>
      <c r="AE201" s="36">
        <v>0.32</v>
      </c>
      <c r="AF201" s="42">
        <f t="shared" si="60"/>
        <v>1593.7049999999999</v>
      </c>
      <c r="AG201" s="42">
        <f t="shared" si="61"/>
        <v>1749.8581415119995</v>
      </c>
      <c r="AH201" s="42">
        <f t="shared" si="62"/>
        <v>1.0979812082612526</v>
      </c>
      <c r="AI201" s="57">
        <v>2</v>
      </c>
      <c r="AJ201" s="57">
        <v>4</v>
      </c>
      <c r="AK201" s="36">
        <v>6.22</v>
      </c>
      <c r="AL201" s="36">
        <v>22.9</v>
      </c>
      <c r="AM201" s="63">
        <v>6.6</v>
      </c>
      <c r="AN201" s="63">
        <v>5.2</v>
      </c>
      <c r="AO201" s="36">
        <v>0.54</v>
      </c>
      <c r="AP201" s="68">
        <v>0.84</v>
      </c>
      <c r="AQ201" s="73">
        <f t="shared" si="63"/>
        <v>2055</v>
      </c>
      <c r="AR201" s="75">
        <f t="shared" si="64"/>
        <v>0.73819951338199519</v>
      </c>
      <c r="AS201" s="75">
        <f t="shared" si="65"/>
        <v>4.2822384428223843E-2</v>
      </c>
      <c r="AT201" s="75">
        <f t="shared" si="66"/>
        <v>0.21897810218978103</v>
      </c>
      <c r="AU201" s="26">
        <f t="shared" si="67"/>
        <v>4.3696763202725732E-2</v>
      </c>
      <c r="AV201" s="26">
        <f t="shared" si="68"/>
        <v>7.802385008517887E-2</v>
      </c>
      <c r="AW201" s="24">
        <f t="shared" si="69"/>
        <v>0.78067885117493474</v>
      </c>
      <c r="AX201" s="24">
        <f t="shared" si="70"/>
        <v>0.91644908616187992</v>
      </c>
      <c r="AY201" s="77" t="str">
        <f t="shared" si="71"/>
        <v>5,0 ≤ Alc. Bruta &lt; 7,5 mg/L</v>
      </c>
      <c r="AZ201" s="77" t="str">
        <f t="shared" si="72"/>
        <v>15 ≤ Cor &lt; 30 uC</v>
      </c>
      <c r="BA201" s="78" t="str">
        <f t="shared" si="73"/>
        <v>2,5 ≤ Turb &lt; 5,0 uT</v>
      </c>
      <c r="BB201" s="79" t="str">
        <f t="shared" si="74"/>
        <v>TOR &gt; BNN &gt; SM</v>
      </c>
      <c r="BC201" s="78" t="str">
        <f t="shared" si="75"/>
        <v>Tipo 2 (0,25-0,50) uT</v>
      </c>
      <c r="BD201" s="78" t="str">
        <f t="shared" si="76"/>
        <v>Tipo 3 (0,50-0,75) uT</v>
      </c>
      <c r="BE201" s="78" t="str">
        <f t="shared" si="77"/>
        <v>Tipo 2 (0,25-0,50) uT</v>
      </c>
      <c r="BF201" s="78" t="str">
        <f t="shared" si="78"/>
        <v>Tipo 4 (&gt;0,75) uT</v>
      </c>
      <c r="BG201" s="78" t="str">
        <f t="shared" si="79"/>
        <v>Tipo 2 (0,25-0,50) uT</v>
      </c>
    </row>
    <row r="202" spans="1:59" x14ac:dyDescent="0.2">
      <c r="A202" s="21">
        <v>46149</v>
      </c>
      <c r="B202" s="48">
        <v>6.25E-2</v>
      </c>
      <c r="C202" s="57">
        <v>1575</v>
      </c>
      <c r="D202" s="57">
        <v>85</v>
      </c>
      <c r="E202" s="57">
        <v>450</v>
      </c>
      <c r="F202" s="57">
        <v>2272</v>
      </c>
      <c r="G202" s="10" t="s">
        <v>78</v>
      </c>
      <c r="H202" s="63">
        <v>4.5</v>
      </c>
      <c r="I202" s="57">
        <v>90</v>
      </c>
      <c r="J202" s="57">
        <v>90</v>
      </c>
      <c r="K202" s="57">
        <v>90</v>
      </c>
      <c r="L202" s="63">
        <v>22.1</v>
      </c>
      <c r="M202" s="63">
        <v>6.6</v>
      </c>
      <c r="N202" s="36">
        <v>4.21</v>
      </c>
      <c r="O202" s="57">
        <v>17</v>
      </c>
      <c r="P202" s="63">
        <v>4.8</v>
      </c>
      <c r="Q202" s="36">
        <v>0.49</v>
      </c>
      <c r="R202" s="36">
        <v>22.36</v>
      </c>
      <c r="S202" s="36">
        <v>0.88</v>
      </c>
      <c r="T202" s="36">
        <v>0.7</v>
      </c>
      <c r="U202" s="42">
        <f t="shared" si="57"/>
        <v>2200.0533333333333</v>
      </c>
      <c r="V202" s="36">
        <f t="shared" si="58"/>
        <v>1372.556302</v>
      </c>
      <c r="W202" s="36">
        <f t="shared" si="59"/>
        <v>0.62387410396111609</v>
      </c>
      <c r="X202" s="57">
        <v>2</v>
      </c>
      <c r="Y202" s="57">
        <v>3</v>
      </c>
      <c r="Z202" s="63">
        <v>6.5</v>
      </c>
      <c r="AA202" s="57">
        <v>17</v>
      </c>
      <c r="AB202" s="63">
        <v>6.5</v>
      </c>
      <c r="AC202" s="63">
        <v>4.4000000000000004</v>
      </c>
      <c r="AD202" s="10">
        <v>0.4</v>
      </c>
      <c r="AE202" s="36">
        <v>0.24</v>
      </c>
      <c r="AF202" s="42">
        <f t="shared" si="60"/>
        <v>1650.04</v>
      </c>
      <c r="AG202" s="42">
        <f t="shared" si="61"/>
        <v>1793.0310486399997</v>
      </c>
      <c r="AH202" s="42">
        <f t="shared" si="62"/>
        <v>1.0866591407723447</v>
      </c>
      <c r="AI202" s="57">
        <v>2</v>
      </c>
      <c r="AJ202" s="57">
        <v>4</v>
      </c>
      <c r="AK202" s="36">
        <v>6.32</v>
      </c>
      <c r="AL202" s="36">
        <v>23</v>
      </c>
      <c r="AM202" s="63">
        <v>6.5</v>
      </c>
      <c r="AN202" s="63">
        <v>4.7</v>
      </c>
      <c r="AO202" s="36">
        <v>0.43</v>
      </c>
      <c r="AP202" s="68">
        <v>0.81</v>
      </c>
      <c r="AQ202" s="73">
        <f t="shared" si="63"/>
        <v>2110</v>
      </c>
      <c r="AR202" s="75">
        <f t="shared" si="64"/>
        <v>0.74644549763033174</v>
      </c>
      <c r="AS202" s="75">
        <f t="shared" si="65"/>
        <v>4.0284360189573459E-2</v>
      </c>
      <c r="AT202" s="75">
        <f t="shared" si="66"/>
        <v>0.2132701421800948</v>
      </c>
      <c r="AU202" s="26">
        <f t="shared" si="67"/>
        <v>4.4894366197183094E-2</v>
      </c>
      <c r="AV202" s="26">
        <f t="shared" si="68"/>
        <v>8.098591549295775E-2</v>
      </c>
      <c r="AW202" s="24">
        <f t="shared" si="69"/>
        <v>0.80760095011876487</v>
      </c>
      <c r="AX202" s="24">
        <f t="shared" si="70"/>
        <v>0.94299287410926369</v>
      </c>
      <c r="AY202" s="77" t="str">
        <f t="shared" si="71"/>
        <v>2,5 ≤ Alc. Bruta &lt; 5,0 mg/L</v>
      </c>
      <c r="AZ202" s="77" t="str">
        <f t="shared" si="72"/>
        <v>15 ≤ Cor &lt; 30 uC</v>
      </c>
      <c r="BA202" s="78" t="str">
        <f t="shared" si="73"/>
        <v>2,5 ≤ Turb &lt; 5,0 uT</v>
      </c>
      <c r="BB202" s="79" t="str">
        <f t="shared" si="74"/>
        <v>TOR &gt; BNN &gt; SM</v>
      </c>
      <c r="BC202" s="78" t="str">
        <f t="shared" si="75"/>
        <v>Tipo 2 (0,25-0,50) uT</v>
      </c>
      <c r="BD202" s="78" t="str">
        <f t="shared" si="76"/>
        <v>Tipo 2 (0,25-0,50) uT</v>
      </c>
      <c r="BE202" s="78" t="str">
        <f t="shared" si="77"/>
        <v>Tipo 1 (≤0,25) uT</v>
      </c>
      <c r="BF202" s="78" t="str">
        <f t="shared" si="78"/>
        <v>Tipo 4 (&gt;0,75) uT</v>
      </c>
      <c r="BG202" s="78" t="str">
        <f t="shared" si="79"/>
        <v>Tipo 2 (0,25-0,50) uT</v>
      </c>
    </row>
    <row r="203" spans="1:59" x14ac:dyDescent="0.2">
      <c r="A203" s="21">
        <v>46149</v>
      </c>
      <c r="B203" s="48">
        <v>0.14583333333333334</v>
      </c>
      <c r="C203" s="57">
        <v>1581</v>
      </c>
      <c r="D203" s="57">
        <v>82</v>
      </c>
      <c r="E203" s="57">
        <v>450</v>
      </c>
      <c r="F203" s="57">
        <v>2270</v>
      </c>
      <c r="G203" s="10" t="s">
        <v>78</v>
      </c>
      <c r="H203" s="63">
        <v>4.5</v>
      </c>
      <c r="I203" s="57">
        <v>90</v>
      </c>
      <c r="J203" s="57">
        <v>90</v>
      </c>
      <c r="K203" s="57">
        <v>90</v>
      </c>
      <c r="L203" s="63">
        <v>22</v>
      </c>
      <c r="M203" s="63">
        <v>6.6</v>
      </c>
      <c r="N203" s="36">
        <v>3.97</v>
      </c>
      <c r="O203" s="57">
        <v>18</v>
      </c>
      <c r="P203" s="63">
        <v>5.4</v>
      </c>
      <c r="Q203" s="36">
        <v>0.45</v>
      </c>
      <c r="R203" s="36">
        <v>22.36</v>
      </c>
      <c r="S203" s="36">
        <v>0.88</v>
      </c>
      <c r="T203" s="36">
        <v>0.7</v>
      </c>
      <c r="U203" s="42">
        <f t="shared" si="57"/>
        <v>2107.3166666666666</v>
      </c>
      <c r="V203" s="36">
        <f t="shared" si="58"/>
        <v>1364.67755476</v>
      </c>
      <c r="W203" s="36">
        <f t="shared" si="59"/>
        <v>0.64759016826770222</v>
      </c>
      <c r="X203" s="57">
        <v>2</v>
      </c>
      <c r="Y203" s="57">
        <v>3</v>
      </c>
      <c r="Z203" s="63">
        <v>6.47</v>
      </c>
      <c r="AA203" s="57">
        <v>17</v>
      </c>
      <c r="AB203" s="63">
        <v>6.6</v>
      </c>
      <c r="AC203" s="63">
        <v>4.9000000000000004</v>
      </c>
      <c r="AD203" s="10">
        <v>0.37</v>
      </c>
      <c r="AE203" s="36">
        <v>0.28000000000000003</v>
      </c>
      <c r="AF203" s="42">
        <f t="shared" si="60"/>
        <v>1580.4875000000002</v>
      </c>
      <c r="AG203" s="42">
        <f t="shared" si="61"/>
        <v>1799.3861094559998</v>
      </c>
      <c r="AH203" s="42">
        <f t="shared" si="62"/>
        <v>1.1385006901073242</v>
      </c>
      <c r="AI203" s="57">
        <v>2</v>
      </c>
      <c r="AJ203" s="57">
        <v>4</v>
      </c>
      <c r="AK203" s="36">
        <v>6.36</v>
      </c>
      <c r="AL203" s="36">
        <v>22.9</v>
      </c>
      <c r="AM203" s="63">
        <v>6.6</v>
      </c>
      <c r="AN203" s="63">
        <v>5.0999999999999996</v>
      </c>
      <c r="AO203" s="36">
        <v>0.44</v>
      </c>
      <c r="AP203" s="68">
        <v>0.85</v>
      </c>
      <c r="AQ203" s="73">
        <f t="shared" si="63"/>
        <v>2113</v>
      </c>
      <c r="AR203" s="75">
        <f t="shared" si="64"/>
        <v>0.74822527212494083</v>
      </c>
      <c r="AS203" s="75">
        <f t="shared" si="65"/>
        <v>3.8807382867960247E-2</v>
      </c>
      <c r="AT203" s="75">
        <f t="shared" si="66"/>
        <v>0.21296734500709891</v>
      </c>
      <c r="AU203" s="26">
        <f t="shared" si="67"/>
        <v>4.4933920704845816E-2</v>
      </c>
      <c r="AV203" s="26">
        <f t="shared" si="68"/>
        <v>8.0704845814977971E-2</v>
      </c>
      <c r="AW203" s="24">
        <f t="shared" si="69"/>
        <v>0.78589420654911835</v>
      </c>
      <c r="AX203" s="24">
        <f t="shared" si="70"/>
        <v>0.92947103274559195</v>
      </c>
      <c r="AY203" s="77" t="str">
        <f t="shared" si="71"/>
        <v>5,0 ≤ Alc. Bruta &lt; 7,5 mg/L</v>
      </c>
      <c r="AZ203" s="77" t="str">
        <f t="shared" si="72"/>
        <v>15 ≤ Cor &lt; 30 uC</v>
      </c>
      <c r="BA203" s="78" t="str">
        <f t="shared" si="73"/>
        <v>2,5 ≤ Turb &lt; 5,0 uT</v>
      </c>
      <c r="BB203" s="79" t="str">
        <f t="shared" si="74"/>
        <v>TOR &gt; BNN &gt; SM</v>
      </c>
      <c r="BC203" s="78" t="str">
        <f t="shared" si="75"/>
        <v>Tipo 2 (0,25-0,50) uT</v>
      </c>
      <c r="BD203" s="78" t="str">
        <f t="shared" si="76"/>
        <v>Tipo 2 (0,25-0,50) uT</v>
      </c>
      <c r="BE203" s="78" t="str">
        <f t="shared" si="77"/>
        <v>Tipo 2 (0,25-0,50) uT</v>
      </c>
      <c r="BF203" s="78" t="str">
        <f t="shared" si="78"/>
        <v>Tipo 4 (&gt;0,75) uT</v>
      </c>
      <c r="BG203" s="78" t="str">
        <f t="shared" si="79"/>
        <v>Tipo 2 (0,25-0,50) uT</v>
      </c>
    </row>
    <row r="204" spans="1:59" ht="15.75" thickBot="1" x14ac:dyDescent="0.25">
      <c r="A204" s="21">
        <v>46149</v>
      </c>
      <c r="B204" s="51">
        <v>0.22916666666666666</v>
      </c>
      <c r="C204" s="58">
        <v>1681</v>
      </c>
      <c r="D204" s="58">
        <v>85</v>
      </c>
      <c r="E204" s="58">
        <v>449</v>
      </c>
      <c r="F204" s="58">
        <v>2275</v>
      </c>
      <c r="G204" s="11" t="s">
        <v>78</v>
      </c>
      <c r="H204" s="64">
        <v>4.5</v>
      </c>
      <c r="I204" s="58">
        <v>90</v>
      </c>
      <c r="J204" s="58">
        <v>90</v>
      </c>
      <c r="K204" s="58">
        <v>90</v>
      </c>
      <c r="L204" s="64">
        <v>22.6</v>
      </c>
      <c r="M204" s="64">
        <v>6.5</v>
      </c>
      <c r="N204" s="37">
        <v>5.25</v>
      </c>
      <c r="O204" s="58">
        <v>18</v>
      </c>
      <c r="P204" s="64">
        <v>5.4</v>
      </c>
      <c r="Q204" s="37">
        <v>0.38</v>
      </c>
      <c r="R204" s="36">
        <v>22.36</v>
      </c>
      <c r="S204" s="36">
        <v>0.88</v>
      </c>
      <c r="T204" s="36">
        <v>0.7</v>
      </c>
      <c r="U204" s="42">
        <f t="shared" si="57"/>
        <v>2597.2916666666665</v>
      </c>
      <c r="V204" s="36">
        <f t="shared" si="58"/>
        <v>1391.4326944959998</v>
      </c>
      <c r="W204" s="36">
        <f t="shared" si="59"/>
        <v>0.53572446728008338</v>
      </c>
      <c r="X204" s="58">
        <v>2</v>
      </c>
      <c r="Y204" s="58">
        <v>3</v>
      </c>
      <c r="Z204" s="64">
        <v>6.48</v>
      </c>
      <c r="AA204" s="58">
        <v>17.3</v>
      </c>
      <c r="AB204" s="64">
        <v>6.5</v>
      </c>
      <c r="AC204" s="64">
        <v>4.5999999999999996</v>
      </c>
      <c r="AD204" s="11">
        <v>0.21</v>
      </c>
      <c r="AE204" s="37">
        <v>0.2</v>
      </c>
      <c r="AF204" s="42">
        <f t="shared" si="60"/>
        <v>1947.96875</v>
      </c>
      <c r="AG204" s="42">
        <f t="shared" si="61"/>
        <v>1800.1373696799999</v>
      </c>
      <c r="AH204" s="42">
        <f t="shared" si="62"/>
        <v>0.92410998363295094</v>
      </c>
      <c r="AI204" s="58">
        <v>2</v>
      </c>
      <c r="AJ204" s="58">
        <v>4</v>
      </c>
      <c r="AK204" s="37">
        <v>6.34</v>
      </c>
      <c r="AL204" s="37">
        <v>23</v>
      </c>
      <c r="AM204" s="64">
        <v>6.5</v>
      </c>
      <c r="AN204" s="64">
        <v>4.8</v>
      </c>
      <c r="AO204" s="37">
        <v>0.35</v>
      </c>
      <c r="AP204" s="69">
        <v>0.74</v>
      </c>
      <c r="AQ204" s="73">
        <f t="shared" si="63"/>
        <v>2215</v>
      </c>
      <c r="AR204" s="75">
        <f t="shared" si="64"/>
        <v>0.75891647855530475</v>
      </c>
      <c r="AS204" s="75">
        <f t="shared" si="65"/>
        <v>3.8374717832957109E-2</v>
      </c>
      <c r="AT204" s="75">
        <f t="shared" si="66"/>
        <v>0.20270880361173815</v>
      </c>
      <c r="AU204" s="26">
        <f t="shared" si="67"/>
        <v>4.5626373626373624E-2</v>
      </c>
      <c r="AV204" s="26">
        <f t="shared" si="68"/>
        <v>8.0879120879120886E-2</v>
      </c>
      <c r="AW204" s="24">
        <f t="shared" si="69"/>
        <v>0.85904761904761906</v>
      </c>
      <c r="AX204" s="24">
        <f t="shared" si="70"/>
        <v>0.96190476190476193</v>
      </c>
      <c r="AY204" s="77" t="str">
        <f t="shared" si="71"/>
        <v>5,0 ≤ Alc. Bruta &lt; 7,5 mg/L</v>
      </c>
      <c r="AZ204" s="77" t="str">
        <f t="shared" si="72"/>
        <v>15 ≤ Cor &lt; 30 uC</v>
      </c>
      <c r="BA204" s="78" t="str">
        <f t="shared" si="73"/>
        <v>5,0 ≤ Turb &lt; 7,5 uT</v>
      </c>
      <c r="BB204" s="79" t="str">
        <f t="shared" si="74"/>
        <v>TOR &gt; BNN &gt; SM</v>
      </c>
      <c r="BC204" s="78" t="str">
        <f t="shared" si="75"/>
        <v>Tipo 1 (≤0,25) uT</v>
      </c>
      <c r="BD204" s="78" t="str">
        <f t="shared" si="76"/>
        <v>Tipo 2 (0,25-0,50) uT</v>
      </c>
      <c r="BE204" s="78" t="str">
        <f t="shared" si="77"/>
        <v>Tipo 1 (≤0,25) uT</v>
      </c>
      <c r="BF204" s="78" t="str">
        <f t="shared" si="78"/>
        <v>Tipo 3 (0,50-0,75) uT</v>
      </c>
      <c r="BG204" s="78" t="str">
        <f t="shared" si="79"/>
        <v>Tipo 2 (0,25-0,50) uT</v>
      </c>
    </row>
    <row r="205" spans="1:59" x14ac:dyDescent="0.2">
      <c r="A205" s="21">
        <v>46149</v>
      </c>
      <c r="B205" s="52">
        <v>0.3125</v>
      </c>
      <c r="C205" s="59">
        <v>1641</v>
      </c>
      <c r="D205" s="57">
        <v>89</v>
      </c>
      <c r="E205" s="59">
        <v>450</v>
      </c>
      <c r="F205" s="59">
        <v>2284</v>
      </c>
      <c r="G205" s="9" t="s">
        <v>78</v>
      </c>
      <c r="H205" s="65">
        <v>4.5</v>
      </c>
      <c r="I205" s="59">
        <v>90</v>
      </c>
      <c r="J205" s="59">
        <v>90</v>
      </c>
      <c r="K205" s="59">
        <v>90</v>
      </c>
      <c r="L205" s="65">
        <v>23</v>
      </c>
      <c r="M205" s="65">
        <v>6.7</v>
      </c>
      <c r="N205" s="38">
        <v>3.61</v>
      </c>
      <c r="O205" s="59">
        <v>13</v>
      </c>
      <c r="P205" s="65">
        <v>5.3</v>
      </c>
      <c r="Q205" s="38">
        <v>0.55000000000000004</v>
      </c>
      <c r="R205" s="36">
        <v>22.36</v>
      </c>
      <c r="S205" s="36">
        <v>0.88</v>
      </c>
      <c r="T205" s="36">
        <v>0.7</v>
      </c>
      <c r="U205" s="42">
        <f t="shared" si="57"/>
        <v>1983.2733333333333</v>
      </c>
      <c r="V205" s="36">
        <f t="shared" si="58"/>
        <v>1364.67755476</v>
      </c>
      <c r="W205" s="36">
        <f t="shared" si="59"/>
        <v>0.688093532960661</v>
      </c>
      <c r="X205" s="59">
        <v>2</v>
      </c>
      <c r="Y205" s="59">
        <v>3</v>
      </c>
      <c r="Z205" s="65">
        <v>6.47</v>
      </c>
      <c r="AA205" s="59">
        <v>17</v>
      </c>
      <c r="AB205" s="65">
        <v>6.6</v>
      </c>
      <c r="AC205" s="65">
        <v>5.0999999999999996</v>
      </c>
      <c r="AD205" s="9">
        <v>0.2</v>
      </c>
      <c r="AE205" s="38">
        <v>0.5</v>
      </c>
      <c r="AF205" s="42">
        <f t="shared" si="60"/>
        <v>1487.4549999999999</v>
      </c>
      <c r="AG205" s="42">
        <f t="shared" si="61"/>
        <v>1803.6905301999996</v>
      </c>
      <c r="AH205" s="42">
        <f t="shared" si="62"/>
        <v>1.2126017460696288</v>
      </c>
      <c r="AI205" s="59">
        <v>2</v>
      </c>
      <c r="AJ205" s="59">
        <v>4</v>
      </c>
      <c r="AK205" s="38">
        <v>6.35</v>
      </c>
      <c r="AL205" s="38">
        <v>23</v>
      </c>
      <c r="AM205" s="65">
        <v>6.5</v>
      </c>
      <c r="AN205" s="65">
        <v>5</v>
      </c>
      <c r="AO205" s="38">
        <v>0.27</v>
      </c>
      <c r="AP205" s="70">
        <v>0.82</v>
      </c>
      <c r="AQ205" s="73">
        <f t="shared" si="63"/>
        <v>2180</v>
      </c>
      <c r="AR205" s="75">
        <f t="shared" si="64"/>
        <v>0.75275229357798168</v>
      </c>
      <c r="AS205" s="75">
        <f t="shared" si="65"/>
        <v>4.0825688073394498E-2</v>
      </c>
      <c r="AT205" s="75">
        <f t="shared" si="66"/>
        <v>0.20642201834862386</v>
      </c>
      <c r="AU205" s="26">
        <f t="shared" si="67"/>
        <v>4.4658493870402799E-2</v>
      </c>
      <c r="AV205" s="26">
        <f t="shared" si="68"/>
        <v>8.0560420315236428E-2</v>
      </c>
      <c r="AW205" s="24">
        <f t="shared" si="69"/>
        <v>0.77285318559556782</v>
      </c>
      <c r="AX205" s="24">
        <f t="shared" si="70"/>
        <v>0.86149584487534625</v>
      </c>
      <c r="AY205" s="77" t="str">
        <f t="shared" si="71"/>
        <v>5,0 ≤ Alc. Bruta &lt; 7,5 mg/L</v>
      </c>
      <c r="AZ205" s="77" t="str">
        <f t="shared" si="72"/>
        <v>10 ≤ Cor &lt;15 uC</v>
      </c>
      <c r="BA205" s="78" t="str">
        <f t="shared" si="73"/>
        <v>2,5 ≤ Turb &lt; 5,0 uT</v>
      </c>
      <c r="BB205" s="79" t="str">
        <f t="shared" si="74"/>
        <v>TOR &gt; BNN &gt; SM</v>
      </c>
      <c r="BC205" s="78" t="str">
        <f t="shared" si="75"/>
        <v>Tipo 1 (≤0,25) uT</v>
      </c>
      <c r="BD205" s="78" t="str">
        <f t="shared" si="76"/>
        <v>Tipo 2 (0,25-0,50) uT</v>
      </c>
      <c r="BE205" s="78" t="str">
        <f t="shared" si="77"/>
        <v>Tipo 2 (0,25-0,50) uT</v>
      </c>
      <c r="BF205" s="78" t="str">
        <f t="shared" si="78"/>
        <v>Tipo 4 (&gt;0,75) uT</v>
      </c>
      <c r="BG205" s="78" t="str">
        <f t="shared" si="79"/>
        <v>Tipo 3 (0,50-0,75) uT</v>
      </c>
    </row>
    <row r="206" spans="1:59" x14ac:dyDescent="0.2">
      <c r="A206" s="21">
        <v>46149</v>
      </c>
      <c r="B206" s="48">
        <v>0.39583333333333331</v>
      </c>
      <c r="C206" s="57">
        <v>1512</v>
      </c>
      <c r="D206" s="57">
        <v>88</v>
      </c>
      <c r="E206" s="57">
        <v>450</v>
      </c>
      <c r="F206" s="57">
        <v>2266</v>
      </c>
      <c r="G206" s="10" t="s">
        <v>78</v>
      </c>
      <c r="H206" s="63">
        <v>4.5</v>
      </c>
      <c r="I206" s="57">
        <v>90</v>
      </c>
      <c r="J206" s="57">
        <v>90</v>
      </c>
      <c r="K206" s="57">
        <v>90</v>
      </c>
      <c r="L206" s="63">
        <v>23</v>
      </c>
      <c r="M206" s="63">
        <v>6.6</v>
      </c>
      <c r="N206" s="36">
        <v>4.13</v>
      </c>
      <c r="O206" s="57">
        <v>14</v>
      </c>
      <c r="P206" s="63">
        <v>4.9000000000000004</v>
      </c>
      <c r="Q206" s="36">
        <v>0.93</v>
      </c>
      <c r="R206" s="36">
        <v>22.36</v>
      </c>
      <c r="S206" s="36">
        <v>0.88</v>
      </c>
      <c r="T206" s="36">
        <v>0.7</v>
      </c>
      <c r="U206" s="42">
        <f t="shared" si="57"/>
        <v>2164.0299999999997</v>
      </c>
      <c r="V206" s="36">
        <f t="shared" si="58"/>
        <v>1327.0889860799998</v>
      </c>
      <c r="W206" s="36">
        <f t="shared" si="59"/>
        <v>0.61324888568088243</v>
      </c>
      <c r="X206" s="57">
        <v>2</v>
      </c>
      <c r="Y206" s="57">
        <v>3</v>
      </c>
      <c r="Z206" s="63">
        <v>6.48</v>
      </c>
      <c r="AA206" s="57">
        <v>16.5</v>
      </c>
      <c r="AB206" s="63">
        <v>6.6</v>
      </c>
      <c r="AC206" s="63">
        <v>5.2</v>
      </c>
      <c r="AD206" s="10">
        <v>0.41</v>
      </c>
      <c r="AE206" s="36">
        <v>1.59</v>
      </c>
      <c r="AF206" s="42">
        <f t="shared" si="60"/>
        <v>1623.0224999999998</v>
      </c>
      <c r="AG206" s="42">
        <f t="shared" si="61"/>
        <v>1821.4563327999999</v>
      </c>
      <c r="AH206" s="42">
        <f t="shared" si="62"/>
        <v>1.1222619112181131</v>
      </c>
      <c r="AI206" s="57">
        <v>2</v>
      </c>
      <c r="AJ206" s="57">
        <v>4</v>
      </c>
      <c r="AK206" s="36">
        <v>6.4</v>
      </c>
      <c r="AL206" s="36">
        <v>23</v>
      </c>
      <c r="AM206" s="63">
        <v>6.3</v>
      </c>
      <c r="AN206" s="63">
        <v>4.9000000000000004</v>
      </c>
      <c r="AO206" s="36">
        <v>0.23</v>
      </c>
      <c r="AP206" s="68">
        <v>0.48</v>
      </c>
      <c r="AQ206" s="73">
        <f t="shared" si="63"/>
        <v>2050</v>
      </c>
      <c r="AR206" s="75">
        <f t="shared" si="64"/>
        <v>0.73756097560975609</v>
      </c>
      <c r="AS206" s="75">
        <f t="shared" si="65"/>
        <v>4.2926829268292686E-2</v>
      </c>
      <c r="AT206" s="75">
        <f t="shared" si="66"/>
        <v>0.21951219512195122</v>
      </c>
      <c r="AU206" s="26">
        <f t="shared" si="67"/>
        <v>4.3689320388349509E-2</v>
      </c>
      <c r="AV206" s="26">
        <f t="shared" si="68"/>
        <v>8.1200353045013246E-2</v>
      </c>
      <c r="AW206" s="24">
        <f t="shared" si="69"/>
        <v>0.88377723970944311</v>
      </c>
      <c r="AX206" s="24">
        <f t="shared" si="70"/>
        <v>0.61501210653753025</v>
      </c>
      <c r="AY206" s="77" t="str">
        <f t="shared" si="71"/>
        <v>2,5 ≤ Alc. Bruta &lt; 5,0 mg/L</v>
      </c>
      <c r="AZ206" s="77" t="str">
        <f t="shared" si="72"/>
        <v>10 ≤ Cor &lt;15 uC</v>
      </c>
      <c r="BA206" s="78" t="str">
        <f t="shared" si="73"/>
        <v>2,5 ≤ Turb &lt; 5,0 uT</v>
      </c>
      <c r="BB206" s="79" t="str">
        <f t="shared" si="74"/>
        <v>TOR &gt; BNN &gt; SM</v>
      </c>
      <c r="BC206" s="78" t="str">
        <f t="shared" si="75"/>
        <v>Tipo 2 (0,25-0,50) uT</v>
      </c>
      <c r="BD206" s="78" t="str">
        <f t="shared" si="76"/>
        <v>Tipo 1 (≤0,25) uT</v>
      </c>
      <c r="BE206" s="78" t="str">
        <f t="shared" si="77"/>
        <v>Tipo 4 (&gt;0,75) uT</v>
      </c>
      <c r="BF206" s="78" t="str">
        <f t="shared" si="78"/>
        <v>Tipo 2 (0,25-0,50) uT</v>
      </c>
      <c r="BG206" s="78" t="str">
        <f t="shared" si="79"/>
        <v>Tipo 4 (&gt;0,75) uT</v>
      </c>
    </row>
    <row r="207" spans="1:59" x14ac:dyDescent="0.2">
      <c r="A207" s="21">
        <v>46149</v>
      </c>
      <c r="B207" s="48">
        <v>0.47916666666666669</v>
      </c>
      <c r="C207" s="57">
        <v>1656</v>
      </c>
      <c r="D207" s="57">
        <v>89</v>
      </c>
      <c r="E207" s="57">
        <v>449</v>
      </c>
      <c r="F207" s="57">
        <v>2304</v>
      </c>
      <c r="G207" s="10" t="s">
        <v>78</v>
      </c>
      <c r="H207" s="63">
        <v>4.8</v>
      </c>
      <c r="I207" s="57">
        <v>90</v>
      </c>
      <c r="J207" s="57">
        <v>90</v>
      </c>
      <c r="K207" s="57">
        <v>90</v>
      </c>
      <c r="L207" s="63">
        <v>23.7</v>
      </c>
      <c r="M207" s="63">
        <v>6.7</v>
      </c>
      <c r="N207" s="36">
        <v>3.74</v>
      </c>
      <c r="O207" s="57">
        <v>13</v>
      </c>
      <c r="P207" s="63">
        <v>4.5999999999999996</v>
      </c>
      <c r="Q207" s="36">
        <v>1.1499999999999999</v>
      </c>
      <c r="R207" s="36">
        <v>22.36</v>
      </c>
      <c r="S207" s="36">
        <v>0.88</v>
      </c>
      <c r="T207" s="36">
        <v>0.7</v>
      </c>
      <c r="U207" s="42">
        <f t="shared" si="57"/>
        <v>2085.12</v>
      </c>
      <c r="V207" s="36">
        <f t="shared" si="58"/>
        <v>1346.0271726719998</v>
      </c>
      <c r="W207" s="36">
        <f t="shared" si="59"/>
        <v>0.64553942826887656</v>
      </c>
      <c r="X207" s="57">
        <v>2</v>
      </c>
      <c r="Y207" s="57">
        <v>3</v>
      </c>
      <c r="Z207" s="63">
        <v>6.46</v>
      </c>
      <c r="AA207" s="57">
        <v>16.8</v>
      </c>
      <c r="AB207" s="63">
        <v>6.4</v>
      </c>
      <c r="AC207" s="63">
        <v>4.5</v>
      </c>
      <c r="AD207" s="10">
        <v>0.86</v>
      </c>
      <c r="AE207" s="36">
        <v>2.15</v>
      </c>
      <c r="AF207" s="42">
        <f t="shared" si="60"/>
        <v>1563.84</v>
      </c>
      <c r="AG207" s="42">
        <f t="shared" si="61"/>
        <v>1821.4563327999999</v>
      </c>
      <c r="AH207" s="42">
        <f t="shared" si="62"/>
        <v>1.1647331778187027</v>
      </c>
      <c r="AI207" s="57">
        <v>2</v>
      </c>
      <c r="AJ207" s="57">
        <v>4</v>
      </c>
      <c r="AK207" s="36">
        <v>6.4</v>
      </c>
      <c r="AL207" s="36">
        <v>23</v>
      </c>
      <c r="AM207" s="63">
        <v>6.4</v>
      </c>
      <c r="AN207" s="63">
        <v>4.5999999999999996</v>
      </c>
      <c r="AO207" s="36">
        <v>0.31</v>
      </c>
      <c r="AP207" s="68">
        <v>0.63</v>
      </c>
      <c r="AQ207" s="73">
        <f t="shared" si="63"/>
        <v>2194</v>
      </c>
      <c r="AR207" s="75">
        <f t="shared" si="64"/>
        <v>0.75478577939835911</v>
      </c>
      <c r="AS207" s="75">
        <f t="shared" si="65"/>
        <v>4.0565177757520512E-2</v>
      </c>
      <c r="AT207" s="75">
        <f t="shared" si="66"/>
        <v>0.20464904284412033</v>
      </c>
      <c r="AU207" s="26">
        <f t="shared" si="67"/>
        <v>4.3750000000000004E-2</v>
      </c>
      <c r="AV207" s="26">
        <f t="shared" si="68"/>
        <v>7.9861111111111105E-2</v>
      </c>
      <c r="AW207" s="24">
        <f t="shared" si="69"/>
        <v>0.83155080213903743</v>
      </c>
      <c r="AX207" s="24">
        <f t="shared" si="70"/>
        <v>0.42513368983957223</v>
      </c>
      <c r="AY207" s="77" t="str">
        <f t="shared" si="71"/>
        <v>2,5 ≤ Alc. Bruta &lt; 5,0 mg/L</v>
      </c>
      <c r="AZ207" s="77" t="str">
        <f t="shared" si="72"/>
        <v>10 ≤ Cor &lt;15 uC</v>
      </c>
      <c r="BA207" s="78" t="str">
        <f t="shared" si="73"/>
        <v>2,5 ≤ Turb &lt; 5,0 uT</v>
      </c>
      <c r="BB207" s="79" t="str">
        <f t="shared" si="74"/>
        <v>TOR &gt; BNN &gt; SM</v>
      </c>
      <c r="BC207" s="78" t="str">
        <f t="shared" si="75"/>
        <v>Tipo 4 (&gt;0,75) uT</v>
      </c>
      <c r="BD207" s="78" t="str">
        <f t="shared" si="76"/>
        <v>Tipo 2 (0,25-0,50) uT</v>
      </c>
      <c r="BE207" s="78" t="str">
        <f t="shared" si="77"/>
        <v>Tipo 4 (&gt;0,75) uT</v>
      </c>
      <c r="BF207" s="78" t="str">
        <f t="shared" si="78"/>
        <v>Tipo 3 (0,50-0,75) uT</v>
      </c>
      <c r="BG207" s="78" t="str">
        <f t="shared" si="79"/>
        <v>Tipo 4 (&gt;0,75) uT</v>
      </c>
    </row>
    <row r="208" spans="1:59" x14ac:dyDescent="0.2">
      <c r="A208" s="21">
        <v>46149</v>
      </c>
      <c r="B208" s="48">
        <v>0.64583333333333337</v>
      </c>
      <c r="C208" s="57">
        <v>1468</v>
      </c>
      <c r="D208" s="57">
        <v>86</v>
      </c>
      <c r="E208" s="57">
        <v>449</v>
      </c>
      <c r="F208" s="57">
        <v>2148</v>
      </c>
      <c r="G208" s="10" t="s">
        <v>78</v>
      </c>
      <c r="H208" s="63">
        <v>4.5</v>
      </c>
      <c r="I208" s="57">
        <v>90</v>
      </c>
      <c r="J208" s="57">
        <v>90</v>
      </c>
      <c r="K208" s="57">
        <v>90</v>
      </c>
      <c r="L208" s="63">
        <v>25.1</v>
      </c>
      <c r="M208" s="63">
        <v>6.8</v>
      </c>
      <c r="N208" s="36">
        <v>4.3499999999999996</v>
      </c>
      <c r="O208" s="57">
        <v>16</v>
      </c>
      <c r="P208" s="63">
        <v>5.9</v>
      </c>
      <c r="Q208" s="36">
        <v>1.28</v>
      </c>
      <c r="R208" s="36">
        <v>22.36</v>
      </c>
      <c r="S208" s="36">
        <v>0.88</v>
      </c>
      <c r="T208" s="36">
        <v>0.7</v>
      </c>
      <c r="U208" s="42">
        <f t="shared" si="57"/>
        <v>1597.5749999999998</v>
      </c>
      <c r="V208" s="36">
        <f t="shared" si="58"/>
        <v>1453.2949080000001</v>
      </c>
      <c r="W208" s="36">
        <f t="shared" si="59"/>
        <v>0.90968806347119868</v>
      </c>
      <c r="X208" s="57">
        <v>2</v>
      </c>
      <c r="Y208" s="57">
        <v>4</v>
      </c>
      <c r="Z208" s="63">
        <v>6.5</v>
      </c>
      <c r="AA208" s="57">
        <v>18</v>
      </c>
      <c r="AB208" s="63">
        <v>6.8</v>
      </c>
      <c r="AC208" s="63">
        <v>5.8</v>
      </c>
      <c r="AD208" s="10">
        <v>0.56000000000000005</v>
      </c>
      <c r="AE208" s="36">
        <v>2.2400000000000002</v>
      </c>
      <c r="AF208" s="42">
        <f t="shared" si="60"/>
        <v>1597.5749999999998</v>
      </c>
      <c r="AG208" s="42">
        <f t="shared" si="61"/>
        <v>1839.2221353999998</v>
      </c>
      <c r="AH208" s="42">
        <f t="shared" si="62"/>
        <v>1.1512587111090247</v>
      </c>
      <c r="AI208" s="57">
        <v>2</v>
      </c>
      <c r="AJ208" s="57">
        <v>4</v>
      </c>
      <c r="AK208" s="36">
        <v>6.45</v>
      </c>
      <c r="AL208" s="36">
        <v>23</v>
      </c>
      <c r="AM208" s="63">
        <v>6.6</v>
      </c>
      <c r="AN208" s="63">
        <v>5.3</v>
      </c>
      <c r="AO208" s="36">
        <v>0.46</v>
      </c>
      <c r="AP208" s="68">
        <v>0.54</v>
      </c>
      <c r="AQ208" s="73">
        <f t="shared" si="63"/>
        <v>2003</v>
      </c>
      <c r="AR208" s="75">
        <f t="shared" si="64"/>
        <v>0.73290064902646035</v>
      </c>
      <c r="AS208" s="75">
        <f t="shared" si="65"/>
        <v>4.2935596605092365E-2</v>
      </c>
      <c r="AT208" s="75">
        <f t="shared" si="66"/>
        <v>0.22416375436844732</v>
      </c>
      <c r="AU208" s="26">
        <f t="shared" si="67"/>
        <v>6.7039106145251395E-2</v>
      </c>
      <c r="AV208" s="26">
        <f t="shared" si="68"/>
        <v>8.5661080074487903E-2</v>
      </c>
      <c r="AW208" s="24">
        <f t="shared" si="69"/>
        <v>0.87586206896551722</v>
      </c>
      <c r="AX208" s="24">
        <f t="shared" si="70"/>
        <v>0.48505747126436771</v>
      </c>
      <c r="AY208" s="77" t="str">
        <f t="shared" si="71"/>
        <v>5,0 ≤ Alc. Bruta &lt; 7,5 mg/L</v>
      </c>
      <c r="AZ208" s="77" t="str">
        <f t="shared" si="72"/>
        <v>15 ≤ Cor &lt; 30 uC</v>
      </c>
      <c r="BA208" s="78" t="str">
        <f t="shared" si="73"/>
        <v>2,5 ≤ Turb &lt; 5,0 uT</v>
      </c>
      <c r="BB208" s="79" t="str">
        <f t="shared" si="74"/>
        <v>TOR &gt; BNN &gt; SM</v>
      </c>
      <c r="BC208" s="78" t="str">
        <f t="shared" si="75"/>
        <v>Tipo 3 (0,50-0,75) uT</v>
      </c>
      <c r="BD208" s="78" t="str">
        <f t="shared" si="76"/>
        <v>Tipo 2 (0,25-0,50) uT</v>
      </c>
      <c r="BE208" s="78" t="str">
        <f t="shared" si="77"/>
        <v>Tipo 4 (&gt;0,75) uT</v>
      </c>
      <c r="BF208" s="78" t="str">
        <f t="shared" si="78"/>
        <v>Tipo 3 (0,50-0,75) uT</v>
      </c>
      <c r="BG208" s="78" t="str">
        <f t="shared" si="79"/>
        <v>Tipo 4 (&gt;0,75) uT</v>
      </c>
    </row>
    <row r="209" spans="1:59" x14ac:dyDescent="0.2">
      <c r="A209" s="21">
        <v>46149</v>
      </c>
      <c r="B209" s="48">
        <v>0.72916666666666663</v>
      </c>
      <c r="C209" s="57">
        <v>1470</v>
      </c>
      <c r="D209" s="57">
        <v>86</v>
      </c>
      <c r="E209" s="57">
        <v>440</v>
      </c>
      <c r="F209" s="57">
        <v>2139</v>
      </c>
      <c r="G209" s="10" t="s">
        <v>78</v>
      </c>
      <c r="H209" s="63">
        <v>4.5</v>
      </c>
      <c r="I209" s="57">
        <v>90</v>
      </c>
      <c r="J209" s="57">
        <v>90</v>
      </c>
      <c r="K209" s="57">
        <v>90</v>
      </c>
      <c r="L209" s="63">
        <v>25.6</v>
      </c>
      <c r="M209" s="63">
        <v>6.7</v>
      </c>
      <c r="N209" s="36">
        <v>3.95</v>
      </c>
      <c r="O209" s="57">
        <v>15</v>
      </c>
      <c r="P209" s="63">
        <v>5.8</v>
      </c>
      <c r="Q209" s="36">
        <v>1.3</v>
      </c>
      <c r="R209" s="36">
        <v>22.36</v>
      </c>
      <c r="S209" s="36">
        <v>0.88</v>
      </c>
      <c r="T209" s="36">
        <v>0.7</v>
      </c>
      <c r="U209" s="42">
        <f t="shared" si="57"/>
        <v>1483.9312499999999</v>
      </c>
      <c r="V209" s="36">
        <f t="shared" si="58"/>
        <v>1367.3038038399998</v>
      </c>
      <c r="W209" s="36">
        <f t="shared" si="59"/>
        <v>0.92140643566876823</v>
      </c>
      <c r="X209" s="57">
        <v>2</v>
      </c>
      <c r="Y209" s="57">
        <v>4</v>
      </c>
      <c r="Z209" s="63">
        <v>6.48</v>
      </c>
      <c r="AA209" s="57">
        <v>17</v>
      </c>
      <c r="AB209" s="63">
        <v>6.7</v>
      </c>
      <c r="AC209" s="63">
        <v>5.9</v>
      </c>
      <c r="AD209" s="10">
        <v>0.44</v>
      </c>
      <c r="AE209" s="36">
        <v>1.4</v>
      </c>
      <c r="AF209" s="42">
        <f t="shared" si="60"/>
        <v>1483.9312499999999</v>
      </c>
      <c r="AG209" s="42">
        <f t="shared" si="61"/>
        <v>1900.6500864</v>
      </c>
      <c r="AH209" s="42">
        <f t="shared" si="62"/>
        <v>1.2808208509659731</v>
      </c>
      <c r="AI209" s="57">
        <v>3</v>
      </c>
      <c r="AJ209" s="57">
        <v>4</v>
      </c>
      <c r="AK209" s="36">
        <v>6.4</v>
      </c>
      <c r="AL209" s="36">
        <v>24</v>
      </c>
      <c r="AM209" s="63">
        <v>6.7</v>
      </c>
      <c r="AN209" s="63">
        <v>5.5</v>
      </c>
      <c r="AO209" s="36">
        <v>0.59</v>
      </c>
      <c r="AP209" s="68">
        <v>1.1599999999999999</v>
      </c>
      <c r="AQ209" s="73">
        <f t="shared" si="63"/>
        <v>1996</v>
      </c>
      <c r="AR209" s="75">
        <f t="shared" si="64"/>
        <v>0.73647294589178358</v>
      </c>
      <c r="AS209" s="75">
        <f t="shared" si="65"/>
        <v>4.308617234468938E-2</v>
      </c>
      <c r="AT209" s="75">
        <f t="shared" si="66"/>
        <v>0.22044088176352705</v>
      </c>
      <c r="AU209" s="26">
        <f t="shared" si="67"/>
        <v>6.3581112669471709E-2</v>
      </c>
      <c r="AV209" s="26">
        <f t="shared" si="68"/>
        <v>8.9761570827489479E-2</v>
      </c>
      <c r="AW209" s="24">
        <f t="shared" si="69"/>
        <v>0.70632911392405062</v>
      </c>
      <c r="AX209" s="24">
        <f t="shared" si="70"/>
        <v>0.64556962025316467</v>
      </c>
      <c r="AY209" s="77" t="str">
        <f t="shared" si="71"/>
        <v>5,0 ≤ Alc. Bruta &lt; 7,5 mg/L</v>
      </c>
      <c r="AZ209" s="77" t="str">
        <f t="shared" si="72"/>
        <v>15 ≤ Cor &lt; 30 uC</v>
      </c>
      <c r="BA209" s="78" t="str">
        <f t="shared" si="73"/>
        <v>2,5 ≤ Turb &lt; 5,0 uT</v>
      </c>
      <c r="BB209" s="79" t="str">
        <f t="shared" si="74"/>
        <v>TOR &gt; BNN &gt; SM</v>
      </c>
      <c r="BC209" s="78" t="str">
        <f t="shared" si="75"/>
        <v>Tipo 2 (0,25-0,50) uT</v>
      </c>
      <c r="BD209" s="78" t="str">
        <f t="shared" si="76"/>
        <v>Tipo 3 (0,50-0,75) uT</v>
      </c>
      <c r="BE209" s="78" t="str">
        <f t="shared" si="77"/>
        <v>Tipo 4 (&gt;0,75) uT</v>
      </c>
      <c r="BF209" s="78" t="str">
        <f t="shared" si="78"/>
        <v>Tipo 4 (&gt;0,75) uT</v>
      </c>
      <c r="BG209" s="78" t="str">
        <f t="shared" si="79"/>
        <v>Tipo 4 (&gt;0,75) uT</v>
      </c>
    </row>
    <row r="210" spans="1:59" x14ac:dyDescent="0.2">
      <c r="A210" s="21">
        <v>46149</v>
      </c>
      <c r="B210" s="48">
        <v>0.8125</v>
      </c>
      <c r="C210" s="57">
        <v>1605</v>
      </c>
      <c r="D210" s="57">
        <v>84</v>
      </c>
      <c r="E210" s="57">
        <v>446</v>
      </c>
      <c r="F210" s="57">
        <v>2291</v>
      </c>
      <c r="G210" s="10" t="s">
        <v>78</v>
      </c>
      <c r="H210" s="63">
        <v>4.8</v>
      </c>
      <c r="I210" s="57">
        <v>90</v>
      </c>
      <c r="J210" s="57">
        <v>90</v>
      </c>
      <c r="K210" s="57">
        <v>90</v>
      </c>
      <c r="L210" s="63">
        <v>23.7</v>
      </c>
      <c r="M210" s="63">
        <v>6.7</v>
      </c>
      <c r="N210" s="36">
        <v>4.08</v>
      </c>
      <c r="O210" s="57">
        <v>17</v>
      </c>
      <c r="P210" s="63">
        <v>5.4</v>
      </c>
      <c r="Q210" s="36">
        <v>0.5</v>
      </c>
      <c r="R210" s="36">
        <v>22.36</v>
      </c>
      <c r="S210" s="36">
        <v>0.88</v>
      </c>
      <c r="T210" s="36">
        <v>0.7</v>
      </c>
      <c r="U210" s="42">
        <f t="shared" si="57"/>
        <v>1652.38375</v>
      </c>
      <c r="V210" s="36">
        <f t="shared" si="58"/>
        <v>1456.0756423199998</v>
      </c>
      <c r="W210" s="36">
        <f t="shared" si="59"/>
        <v>0.88119702358486629</v>
      </c>
      <c r="X210" s="57">
        <v>2</v>
      </c>
      <c r="Y210" s="57">
        <v>4</v>
      </c>
      <c r="Z210" s="63">
        <v>6.51</v>
      </c>
      <c r="AA210" s="57">
        <v>18</v>
      </c>
      <c r="AB210" s="63">
        <v>6.5</v>
      </c>
      <c r="AC210" s="63">
        <v>4.5</v>
      </c>
      <c r="AD210" s="10">
        <v>0.64</v>
      </c>
      <c r="AE210" s="36">
        <v>0.84</v>
      </c>
      <c r="AF210" s="42">
        <f t="shared" si="60"/>
        <v>1652.38375</v>
      </c>
      <c r="AG210" s="42">
        <f t="shared" si="61"/>
        <v>1803.6905301999996</v>
      </c>
      <c r="AH210" s="42">
        <f t="shared" si="62"/>
        <v>1.0915687897560113</v>
      </c>
      <c r="AI210" s="57">
        <v>3</v>
      </c>
      <c r="AJ210" s="57">
        <v>4</v>
      </c>
      <c r="AK210" s="36">
        <v>6.35</v>
      </c>
      <c r="AL210" s="36">
        <v>23</v>
      </c>
      <c r="AM210" s="63">
        <v>6.5</v>
      </c>
      <c r="AN210" s="63">
        <v>5.2</v>
      </c>
      <c r="AO210" s="36">
        <v>0.2</v>
      </c>
      <c r="AP210" s="68">
        <v>0.45</v>
      </c>
      <c r="AQ210" s="73">
        <f t="shared" si="63"/>
        <v>2135</v>
      </c>
      <c r="AR210" s="75">
        <f t="shared" si="64"/>
        <v>0.75175644028103039</v>
      </c>
      <c r="AS210" s="75">
        <f t="shared" si="65"/>
        <v>3.9344262295081971E-2</v>
      </c>
      <c r="AT210" s="75">
        <f t="shared" si="66"/>
        <v>0.20889929742388758</v>
      </c>
      <c r="AU210" s="26">
        <f t="shared" si="67"/>
        <v>6.2854648625054563E-2</v>
      </c>
      <c r="AV210" s="26">
        <f t="shared" si="68"/>
        <v>8.0314273243125275E-2</v>
      </c>
      <c r="AW210" s="24">
        <f t="shared" si="69"/>
        <v>0.88970588235294112</v>
      </c>
      <c r="AX210" s="24">
        <f t="shared" si="70"/>
        <v>0.79411764705882359</v>
      </c>
      <c r="AY210" s="77" t="str">
        <f t="shared" si="71"/>
        <v>5,0 ≤ Alc. Bruta &lt; 7,5 mg/L</v>
      </c>
      <c r="AZ210" s="77" t="str">
        <f t="shared" si="72"/>
        <v>15 ≤ Cor &lt; 30 uC</v>
      </c>
      <c r="BA210" s="78" t="str">
        <f t="shared" si="73"/>
        <v>2,5 ≤ Turb &lt; 5,0 uT</v>
      </c>
      <c r="BB210" s="79" t="str">
        <f t="shared" si="74"/>
        <v>TOR &gt; BNN &gt; SM</v>
      </c>
      <c r="BC210" s="78" t="str">
        <f t="shared" si="75"/>
        <v>Tipo 3 (0,50-0,75) uT</v>
      </c>
      <c r="BD210" s="78" t="str">
        <f t="shared" si="76"/>
        <v>Tipo 1 (≤0,25) uT</v>
      </c>
      <c r="BE210" s="78" t="str">
        <f t="shared" si="77"/>
        <v>Tipo 4 (&gt;0,75) uT</v>
      </c>
      <c r="BF210" s="78" t="str">
        <f t="shared" si="78"/>
        <v>Tipo 2 (0,25-0,50) uT</v>
      </c>
      <c r="BG210" s="78" t="str">
        <f t="shared" si="79"/>
        <v>Tipo 2 (0,25-0,50) uT</v>
      </c>
    </row>
    <row r="211" spans="1:59" x14ac:dyDescent="0.2">
      <c r="A211" s="21">
        <v>46149</v>
      </c>
      <c r="B211" s="48">
        <v>0.89583333333333337</v>
      </c>
      <c r="C211" s="57">
        <v>1547</v>
      </c>
      <c r="D211" s="57">
        <v>90</v>
      </c>
      <c r="E211" s="57">
        <v>450</v>
      </c>
      <c r="F211" s="57">
        <v>2179</v>
      </c>
      <c r="G211" s="10" t="s">
        <v>78</v>
      </c>
      <c r="H211" s="63">
        <v>4.8</v>
      </c>
      <c r="I211" s="57">
        <v>90</v>
      </c>
      <c r="J211" s="57">
        <v>90</v>
      </c>
      <c r="K211" s="57">
        <v>90</v>
      </c>
      <c r="L211" s="63">
        <v>24.3</v>
      </c>
      <c r="M211" s="63">
        <v>6.6</v>
      </c>
      <c r="N211" s="36">
        <v>4.3600000000000003</v>
      </c>
      <c r="O211" s="57">
        <v>18</v>
      </c>
      <c r="P211" s="63">
        <v>5.3</v>
      </c>
      <c r="Q211" s="36">
        <v>0.4</v>
      </c>
      <c r="R211" s="36">
        <v>22.36</v>
      </c>
      <c r="S211" s="36">
        <v>0.88</v>
      </c>
      <c r="T211" s="36">
        <v>0.7</v>
      </c>
      <c r="U211" s="42">
        <f t="shared" si="57"/>
        <v>1647.8687500000001</v>
      </c>
      <c r="V211" s="36">
        <f t="shared" si="58"/>
        <v>1447.7334393599999</v>
      </c>
      <c r="W211" s="36">
        <f t="shared" si="59"/>
        <v>0.87854899812864329</v>
      </c>
      <c r="X211" s="57">
        <v>2</v>
      </c>
      <c r="Y211" s="57">
        <v>4</v>
      </c>
      <c r="Z211" s="63">
        <v>6.48</v>
      </c>
      <c r="AA211" s="57">
        <v>18</v>
      </c>
      <c r="AB211" s="63">
        <v>6.4</v>
      </c>
      <c r="AC211" s="63">
        <v>4.5999999999999996</v>
      </c>
      <c r="AD211" s="10">
        <v>0.48</v>
      </c>
      <c r="AE211" s="36">
        <v>0.8</v>
      </c>
      <c r="AF211" s="42">
        <f t="shared" si="60"/>
        <v>1647.8687500000001</v>
      </c>
      <c r="AG211" s="42">
        <f t="shared" si="61"/>
        <v>1821.4563327999999</v>
      </c>
      <c r="AH211" s="42">
        <f t="shared" si="62"/>
        <v>1.105340660656378</v>
      </c>
      <c r="AI211" s="57">
        <v>3</v>
      </c>
      <c r="AJ211" s="57">
        <v>4</v>
      </c>
      <c r="AK211" s="36">
        <v>6.4</v>
      </c>
      <c r="AL211" s="36">
        <v>23</v>
      </c>
      <c r="AM211" s="63">
        <v>6.5</v>
      </c>
      <c r="AN211" s="63">
        <v>5.6</v>
      </c>
      <c r="AO211" s="36">
        <v>0.28000000000000003</v>
      </c>
      <c r="AP211" s="68">
        <v>0.4</v>
      </c>
      <c r="AQ211" s="73">
        <f t="shared" si="63"/>
        <v>2087</v>
      </c>
      <c r="AR211" s="75">
        <f t="shared" si="64"/>
        <v>0.74125539051269762</v>
      </c>
      <c r="AS211" s="75">
        <f t="shared" si="65"/>
        <v>4.3124101581217059E-2</v>
      </c>
      <c r="AT211" s="75">
        <f t="shared" si="66"/>
        <v>0.21562050790608528</v>
      </c>
      <c r="AU211" s="26">
        <f t="shared" si="67"/>
        <v>6.6085360256998626E-2</v>
      </c>
      <c r="AV211" s="26">
        <f t="shared" si="68"/>
        <v>8.4442404772831575E-2</v>
      </c>
      <c r="AW211" s="24">
        <f t="shared" si="69"/>
        <v>0.90825688073394495</v>
      </c>
      <c r="AX211" s="24">
        <f t="shared" si="70"/>
        <v>0.8165137614678899</v>
      </c>
      <c r="AY211" s="77" t="str">
        <f t="shared" si="71"/>
        <v>5,0 ≤ Alc. Bruta &lt; 7,5 mg/L</v>
      </c>
      <c r="AZ211" s="77" t="str">
        <f t="shared" si="72"/>
        <v>15 ≤ Cor &lt; 30 uC</v>
      </c>
      <c r="BA211" s="78" t="str">
        <f t="shared" si="73"/>
        <v>2,5 ≤ Turb &lt; 5,0 uT</v>
      </c>
      <c r="BB211" s="79" t="str">
        <f t="shared" si="74"/>
        <v>TOR &gt; BNN &gt; SM</v>
      </c>
      <c r="BC211" s="78" t="str">
        <f t="shared" si="75"/>
        <v>Tipo 2 (0,25-0,50) uT</v>
      </c>
      <c r="BD211" s="78" t="str">
        <f t="shared" si="76"/>
        <v>Tipo 2 (0,25-0,50) uT</v>
      </c>
      <c r="BE211" s="78" t="str">
        <f t="shared" si="77"/>
        <v>Tipo 4 (&gt;0,75) uT</v>
      </c>
      <c r="BF211" s="78" t="str">
        <f t="shared" si="78"/>
        <v>Tipo 2 (0,25-0,50) uT</v>
      </c>
      <c r="BG211" s="78" t="str">
        <f t="shared" si="79"/>
        <v>Tipo 2 (0,25-0,50) uT</v>
      </c>
    </row>
    <row r="212" spans="1:59" x14ac:dyDescent="0.2">
      <c r="A212" s="21">
        <v>46149</v>
      </c>
      <c r="B212" s="48">
        <v>0.97916666666666663</v>
      </c>
      <c r="C212" s="57">
        <v>1537</v>
      </c>
      <c r="D212" s="57">
        <v>88</v>
      </c>
      <c r="E212" s="57">
        <v>451</v>
      </c>
      <c r="F212" s="57">
        <v>2184</v>
      </c>
      <c r="G212" s="10" t="s">
        <v>78</v>
      </c>
      <c r="H212" s="63">
        <v>4.8</v>
      </c>
      <c r="I212" s="57">
        <v>90</v>
      </c>
      <c r="J212" s="57">
        <v>90</v>
      </c>
      <c r="K212" s="57">
        <v>90</v>
      </c>
      <c r="L212" s="63">
        <v>23.8</v>
      </c>
      <c r="M212" s="63">
        <v>6.6</v>
      </c>
      <c r="N212" s="36">
        <v>4.7699999999999996</v>
      </c>
      <c r="O212" s="57">
        <v>19</v>
      </c>
      <c r="P212" s="63">
        <v>5.4</v>
      </c>
      <c r="Q212" s="36">
        <v>0.21</v>
      </c>
      <c r="R212" s="36">
        <v>22.36</v>
      </c>
      <c r="S212" s="36">
        <v>0.88</v>
      </c>
      <c r="T212" s="36">
        <v>0.7</v>
      </c>
      <c r="U212" s="42">
        <f t="shared" si="57"/>
        <v>1763.5799999999997</v>
      </c>
      <c r="V212" s="36">
        <f t="shared" si="58"/>
        <v>1450.5141736799999</v>
      </c>
      <c r="W212" s="36">
        <f t="shared" si="59"/>
        <v>0.82248277576293682</v>
      </c>
      <c r="X212" s="57">
        <v>2</v>
      </c>
      <c r="Y212" s="57">
        <v>4</v>
      </c>
      <c r="Z212" s="63">
        <v>6.49</v>
      </c>
      <c r="AA212" s="57">
        <v>18</v>
      </c>
      <c r="AB212" s="63">
        <v>6.5</v>
      </c>
      <c r="AC212" s="63">
        <v>4.2</v>
      </c>
      <c r="AD212" s="10">
        <v>0.3</v>
      </c>
      <c r="AE212" s="36">
        <v>0.3</v>
      </c>
      <c r="AF212" s="42">
        <f t="shared" si="60"/>
        <v>1763.5799999999997</v>
      </c>
      <c r="AG212" s="42">
        <f t="shared" si="61"/>
        <v>1825.0094933200003</v>
      </c>
      <c r="AH212" s="42">
        <f t="shared" si="62"/>
        <v>1.0348322692024181</v>
      </c>
      <c r="AI212" s="57">
        <v>3</v>
      </c>
      <c r="AJ212" s="57">
        <v>4</v>
      </c>
      <c r="AK212" s="36">
        <v>6.41</v>
      </c>
      <c r="AL212" s="36">
        <v>23</v>
      </c>
      <c r="AM212" s="63">
        <v>6.5</v>
      </c>
      <c r="AN212" s="63">
        <v>4.3</v>
      </c>
      <c r="AO212" s="36">
        <v>0.27</v>
      </c>
      <c r="AP212" s="68">
        <v>0.46</v>
      </c>
      <c r="AQ212" s="73">
        <f t="shared" si="63"/>
        <v>2076</v>
      </c>
      <c r="AR212" s="75">
        <f t="shared" si="64"/>
        <v>0.74036608863198461</v>
      </c>
      <c r="AS212" s="75">
        <f t="shared" si="65"/>
        <v>4.238921001926782E-2</v>
      </c>
      <c r="AT212" s="75">
        <f t="shared" si="66"/>
        <v>0.2172447013487476</v>
      </c>
      <c r="AU212" s="26">
        <f t="shared" si="67"/>
        <v>6.5934065934065936E-2</v>
      </c>
      <c r="AV212" s="26">
        <f t="shared" si="68"/>
        <v>8.4249084249084255E-2</v>
      </c>
      <c r="AW212" s="24">
        <f t="shared" si="69"/>
        <v>0.90356394129979034</v>
      </c>
      <c r="AX212" s="24">
        <f t="shared" si="70"/>
        <v>0.93710691823899372</v>
      </c>
      <c r="AY212" s="77" t="str">
        <f t="shared" si="71"/>
        <v>5,0 ≤ Alc. Bruta &lt; 7,5 mg/L</v>
      </c>
      <c r="AZ212" s="77" t="str">
        <f t="shared" si="72"/>
        <v>15 ≤ Cor &lt; 30 uC</v>
      </c>
      <c r="BA212" s="78" t="str">
        <f t="shared" si="73"/>
        <v>2,5 ≤ Turb &lt; 5,0 uT</v>
      </c>
      <c r="BB212" s="79" t="str">
        <f t="shared" si="74"/>
        <v>TOR &gt; BNN &gt; SM</v>
      </c>
      <c r="BC212" s="78" t="str">
        <f t="shared" si="75"/>
        <v>Tipo 2 (0,25-0,50) uT</v>
      </c>
      <c r="BD212" s="78" t="str">
        <f t="shared" si="76"/>
        <v>Tipo 2 (0,25-0,50) uT</v>
      </c>
      <c r="BE212" s="78" t="str">
        <f t="shared" si="77"/>
        <v>Tipo 2 (0,25-0,50) uT</v>
      </c>
      <c r="BF212" s="78" t="str">
        <f t="shared" si="78"/>
        <v>Tipo 2 (0,25-0,50) uT</v>
      </c>
      <c r="BG212" s="78" t="str">
        <f t="shared" si="79"/>
        <v>Tipo 1 (≤0,25) uT</v>
      </c>
    </row>
    <row r="213" spans="1:59" x14ac:dyDescent="0.2">
      <c r="A213" s="21">
        <v>46150</v>
      </c>
      <c r="B213" s="48">
        <v>6.25E-2</v>
      </c>
      <c r="C213" s="57">
        <v>1518</v>
      </c>
      <c r="D213" s="57">
        <v>90</v>
      </c>
      <c r="E213" s="57">
        <v>450</v>
      </c>
      <c r="F213" s="57">
        <v>2186</v>
      </c>
      <c r="G213" s="10" t="s">
        <v>78</v>
      </c>
      <c r="H213" s="63">
        <v>4.5999999999999996</v>
      </c>
      <c r="I213" s="57">
        <v>90</v>
      </c>
      <c r="J213" s="57">
        <v>90</v>
      </c>
      <c r="K213" s="57">
        <v>90</v>
      </c>
      <c r="L213" s="63">
        <v>23.7</v>
      </c>
      <c r="M213" s="63">
        <v>6.6</v>
      </c>
      <c r="N213" s="36">
        <v>3.88</v>
      </c>
      <c r="O213" s="57">
        <v>16</v>
      </c>
      <c r="P213" s="63">
        <v>5.2</v>
      </c>
      <c r="Q213" s="36">
        <v>0.25</v>
      </c>
      <c r="R213" s="36">
        <v>22.36</v>
      </c>
      <c r="S213" s="36">
        <v>0.88</v>
      </c>
      <c r="T213" s="36">
        <v>0.7</v>
      </c>
      <c r="U213" s="42">
        <f t="shared" si="57"/>
        <v>1505.6074999999998</v>
      </c>
      <c r="V213" s="36">
        <f t="shared" si="58"/>
        <v>1453.2949080000001</v>
      </c>
      <c r="W213" s="36">
        <f t="shared" si="59"/>
        <v>0.9652548277024392</v>
      </c>
      <c r="X213" s="57">
        <v>2</v>
      </c>
      <c r="Y213" s="57">
        <v>4</v>
      </c>
      <c r="Z213" s="63">
        <v>6.5</v>
      </c>
      <c r="AA213" s="57">
        <v>18</v>
      </c>
      <c r="AB213" s="63">
        <v>6.5</v>
      </c>
      <c r="AC213" s="63">
        <v>4.3</v>
      </c>
      <c r="AD213" s="10">
        <v>0.22</v>
      </c>
      <c r="AE213" s="36">
        <v>0.43</v>
      </c>
      <c r="AF213" s="42">
        <f t="shared" si="60"/>
        <v>1505.6074999999998</v>
      </c>
      <c r="AG213" s="42">
        <f t="shared" si="61"/>
        <v>1900.6500864</v>
      </c>
      <c r="AH213" s="42">
        <f t="shared" si="62"/>
        <v>1.2623808571623083</v>
      </c>
      <c r="AI213" s="57">
        <v>3</v>
      </c>
      <c r="AJ213" s="57">
        <v>4</v>
      </c>
      <c r="AK213" s="36">
        <v>6.4</v>
      </c>
      <c r="AL213" s="36">
        <v>24</v>
      </c>
      <c r="AM213" s="63">
        <v>6.5</v>
      </c>
      <c r="AN213" s="63">
        <v>4.4000000000000004</v>
      </c>
      <c r="AO213" s="36">
        <v>0.16</v>
      </c>
      <c r="AP213" s="68">
        <v>0.5</v>
      </c>
      <c r="AQ213" s="73">
        <f t="shared" si="63"/>
        <v>2058</v>
      </c>
      <c r="AR213" s="75">
        <f t="shared" si="64"/>
        <v>0.73760932944606417</v>
      </c>
      <c r="AS213" s="75">
        <f t="shared" si="65"/>
        <v>4.3731778425655975E-2</v>
      </c>
      <c r="AT213" s="75">
        <f t="shared" si="66"/>
        <v>0.21865889212827988</v>
      </c>
      <c r="AU213" s="26">
        <f t="shared" si="67"/>
        <v>6.5873741994510515E-2</v>
      </c>
      <c r="AV213" s="26">
        <f t="shared" si="68"/>
        <v>8.7831655992680696E-2</v>
      </c>
      <c r="AW213" s="24">
        <f t="shared" si="69"/>
        <v>0.87113402061855671</v>
      </c>
      <c r="AX213" s="24">
        <f t="shared" si="70"/>
        <v>0.88917525773195871</v>
      </c>
      <c r="AY213" s="77" t="str">
        <f t="shared" si="71"/>
        <v>5,0 ≤ Alc. Bruta &lt; 7,5 mg/L</v>
      </c>
      <c r="AZ213" s="77" t="str">
        <f t="shared" si="72"/>
        <v>15 ≤ Cor &lt; 30 uC</v>
      </c>
      <c r="BA213" s="78" t="str">
        <f t="shared" si="73"/>
        <v>2,5 ≤ Turb &lt; 5,0 uT</v>
      </c>
      <c r="BB213" s="79" t="str">
        <f t="shared" si="74"/>
        <v>TOR &gt; BNN &gt; SM</v>
      </c>
      <c r="BC213" s="78" t="str">
        <f t="shared" si="75"/>
        <v>Tipo 1 (≤0,25) uT</v>
      </c>
      <c r="BD213" s="78" t="str">
        <f t="shared" si="76"/>
        <v>Tipo 1 (≤0,25) uT</v>
      </c>
      <c r="BE213" s="78" t="str">
        <f t="shared" si="77"/>
        <v>Tipo 2 (0,25-0,50) uT</v>
      </c>
      <c r="BF213" s="78" t="str">
        <f t="shared" si="78"/>
        <v>Tipo 2 (0,25-0,50) uT</v>
      </c>
      <c r="BG213" s="78" t="str">
        <f t="shared" si="79"/>
        <v>Tipo 1 (≤0,25) uT</v>
      </c>
    </row>
    <row r="214" spans="1:59" x14ac:dyDescent="0.2">
      <c r="A214" s="21">
        <v>46150</v>
      </c>
      <c r="B214" s="48">
        <v>0.14583333333333334</v>
      </c>
      <c r="C214" s="57">
        <v>1620</v>
      </c>
      <c r="D214" s="57">
        <v>90</v>
      </c>
      <c r="E214" s="57">
        <v>448</v>
      </c>
      <c r="F214" s="57">
        <v>2277</v>
      </c>
      <c r="G214" s="10" t="s">
        <v>78</v>
      </c>
      <c r="H214" s="63">
        <v>4.5999999999999996</v>
      </c>
      <c r="I214" s="57">
        <v>90</v>
      </c>
      <c r="J214" s="57">
        <v>90</v>
      </c>
      <c r="K214" s="57">
        <v>90</v>
      </c>
      <c r="L214" s="63">
        <v>23.7</v>
      </c>
      <c r="M214" s="63">
        <v>6.7</v>
      </c>
      <c r="N214" s="36">
        <v>3.74</v>
      </c>
      <c r="O214" s="57">
        <v>16</v>
      </c>
      <c r="P214" s="63">
        <v>4.9000000000000004</v>
      </c>
      <c r="Q214" s="36">
        <v>0.28000000000000003</v>
      </c>
      <c r="R214" s="36">
        <v>22.36</v>
      </c>
      <c r="S214" s="36">
        <v>0.88</v>
      </c>
      <c r="T214" s="36">
        <v>0.7</v>
      </c>
      <c r="U214" s="42">
        <f t="shared" si="57"/>
        <v>1528.43625</v>
      </c>
      <c r="V214" s="36">
        <f t="shared" si="58"/>
        <v>1458.8563766399996</v>
      </c>
      <c r="W214" s="36">
        <f t="shared" si="59"/>
        <v>0.95447643082267875</v>
      </c>
      <c r="X214" s="57">
        <v>2</v>
      </c>
      <c r="Y214" s="57">
        <v>4</v>
      </c>
      <c r="Z214" s="63">
        <v>6.52</v>
      </c>
      <c r="AA214" s="57">
        <v>18</v>
      </c>
      <c r="AB214" s="63">
        <v>6.5</v>
      </c>
      <c r="AC214" s="63">
        <v>4.0999999999999996</v>
      </c>
      <c r="AD214" s="10">
        <v>0.2</v>
      </c>
      <c r="AE214" s="36">
        <v>0.45</v>
      </c>
      <c r="AF214" s="42">
        <f t="shared" si="60"/>
        <v>1528.43625</v>
      </c>
      <c r="AG214" s="42">
        <f t="shared" si="61"/>
        <v>1810.7968512399998</v>
      </c>
      <c r="AH214" s="42">
        <f t="shared" si="62"/>
        <v>1.1847382259089967</v>
      </c>
      <c r="AI214" s="57">
        <v>3</v>
      </c>
      <c r="AJ214" s="57">
        <v>4</v>
      </c>
      <c r="AK214" s="36">
        <v>6.37</v>
      </c>
      <c r="AL214" s="36">
        <v>23</v>
      </c>
      <c r="AM214" s="63">
        <v>6.4</v>
      </c>
      <c r="AN214" s="63">
        <v>5.5</v>
      </c>
      <c r="AO214" s="36">
        <v>0.16</v>
      </c>
      <c r="AP214" s="68">
        <v>0.5</v>
      </c>
      <c r="AQ214" s="73">
        <f t="shared" si="63"/>
        <v>2158</v>
      </c>
      <c r="AR214" s="75">
        <f t="shared" si="64"/>
        <v>0.75069508804448559</v>
      </c>
      <c r="AS214" s="75">
        <f t="shared" si="65"/>
        <v>4.1705282669138088E-2</v>
      </c>
      <c r="AT214" s="75">
        <f t="shared" si="66"/>
        <v>0.20759962928637626</v>
      </c>
      <c r="AU214" s="26">
        <f t="shared" si="67"/>
        <v>6.3241106719367585E-2</v>
      </c>
      <c r="AV214" s="26">
        <f t="shared" si="68"/>
        <v>8.0808080808080815E-2</v>
      </c>
      <c r="AW214" s="24">
        <f t="shared" si="69"/>
        <v>0.86631016042780751</v>
      </c>
      <c r="AX214" s="24">
        <f t="shared" si="70"/>
        <v>0.8796791443850267</v>
      </c>
      <c r="AY214" s="77" t="str">
        <f t="shared" si="71"/>
        <v>2,5 ≤ Alc. Bruta &lt; 5,0 mg/L</v>
      </c>
      <c r="AZ214" s="77" t="str">
        <f t="shared" si="72"/>
        <v>15 ≤ Cor &lt; 30 uC</v>
      </c>
      <c r="BA214" s="78" t="str">
        <f t="shared" si="73"/>
        <v>2,5 ≤ Turb &lt; 5,0 uT</v>
      </c>
      <c r="BB214" s="79" t="str">
        <f t="shared" si="74"/>
        <v>TOR &gt; BNN &gt; SM</v>
      </c>
      <c r="BC214" s="78" t="str">
        <f t="shared" si="75"/>
        <v>Tipo 1 (≤0,25) uT</v>
      </c>
      <c r="BD214" s="78" t="str">
        <f t="shared" si="76"/>
        <v>Tipo 1 (≤0,25) uT</v>
      </c>
      <c r="BE214" s="78" t="str">
        <f t="shared" si="77"/>
        <v>Tipo 2 (0,25-0,50) uT</v>
      </c>
      <c r="BF214" s="78" t="str">
        <f t="shared" si="78"/>
        <v>Tipo 2 (0,25-0,50) uT</v>
      </c>
      <c r="BG214" s="78" t="str">
        <f t="shared" si="79"/>
        <v>Tipo 2 (0,25-0,50) uT</v>
      </c>
    </row>
    <row r="215" spans="1:59" ht="15.75" thickBot="1" x14ac:dyDescent="0.25">
      <c r="A215" s="21">
        <v>46150</v>
      </c>
      <c r="B215" s="51">
        <v>0.22916666666666666</v>
      </c>
      <c r="C215" s="58">
        <v>1534</v>
      </c>
      <c r="D215" s="58">
        <v>91</v>
      </c>
      <c r="E215" s="58">
        <v>445</v>
      </c>
      <c r="F215" s="58">
        <v>2190</v>
      </c>
      <c r="G215" s="11" t="s">
        <v>78</v>
      </c>
      <c r="H215" s="64">
        <v>4.5999999999999996</v>
      </c>
      <c r="I215" s="58">
        <v>90</v>
      </c>
      <c r="J215" s="58">
        <v>90</v>
      </c>
      <c r="K215" s="58">
        <v>90</v>
      </c>
      <c r="L215" s="64">
        <v>23.3</v>
      </c>
      <c r="M215" s="64">
        <v>6.6</v>
      </c>
      <c r="N215" s="37">
        <v>3.84</v>
      </c>
      <c r="O215" s="58">
        <v>15</v>
      </c>
      <c r="P215" s="64">
        <v>5.5</v>
      </c>
      <c r="Q215" s="37">
        <v>0.31</v>
      </c>
      <c r="R215" s="36">
        <v>22.36</v>
      </c>
      <c r="S215" s="36">
        <v>0.88</v>
      </c>
      <c r="T215" s="36">
        <v>0.7</v>
      </c>
      <c r="U215" s="42">
        <f t="shared" si="57"/>
        <v>1497.4124999999999</v>
      </c>
      <c r="V215" s="36">
        <f t="shared" si="58"/>
        <v>1428.2682991200002</v>
      </c>
      <c r="W215" s="36">
        <f t="shared" si="59"/>
        <v>0.95382421284716157</v>
      </c>
      <c r="X215" s="58">
        <v>2</v>
      </c>
      <c r="Y215" s="58">
        <v>4</v>
      </c>
      <c r="Z215" s="64">
        <v>6.41</v>
      </c>
      <c r="AA215" s="58">
        <v>18</v>
      </c>
      <c r="AB215" s="64">
        <v>6.5</v>
      </c>
      <c r="AC215" s="64">
        <v>5</v>
      </c>
      <c r="AD215" s="11">
        <v>0.34</v>
      </c>
      <c r="AE215" s="37">
        <v>0.49</v>
      </c>
      <c r="AF215" s="42">
        <f t="shared" si="60"/>
        <v>1497.4124999999999</v>
      </c>
      <c r="AG215" s="42">
        <f t="shared" si="61"/>
        <v>1803.6905301999996</v>
      </c>
      <c r="AH215" s="42">
        <f t="shared" si="62"/>
        <v>1.2045381818303238</v>
      </c>
      <c r="AI215" s="58">
        <v>3</v>
      </c>
      <c r="AJ215" s="58">
        <v>4</v>
      </c>
      <c r="AK215" s="37">
        <v>6.35</v>
      </c>
      <c r="AL215" s="37">
        <v>23</v>
      </c>
      <c r="AM215" s="64">
        <v>6.5</v>
      </c>
      <c r="AN215" s="64">
        <v>5.3</v>
      </c>
      <c r="AO215" s="37">
        <v>0.19</v>
      </c>
      <c r="AP215" s="69">
        <v>0.48</v>
      </c>
      <c r="AQ215" s="73">
        <f t="shared" si="63"/>
        <v>2070</v>
      </c>
      <c r="AR215" s="75">
        <f t="shared" si="64"/>
        <v>0.74106280193236718</v>
      </c>
      <c r="AS215" s="75">
        <f t="shared" si="65"/>
        <v>4.3961352657004828E-2</v>
      </c>
      <c r="AT215" s="75">
        <f t="shared" si="66"/>
        <v>0.21497584541062803</v>
      </c>
      <c r="AU215" s="26">
        <f t="shared" si="67"/>
        <v>6.575342465753424E-2</v>
      </c>
      <c r="AV215" s="26">
        <f t="shared" si="68"/>
        <v>8.4018264840182655E-2</v>
      </c>
      <c r="AW215" s="24">
        <f t="shared" si="69"/>
        <v>0.875</v>
      </c>
      <c r="AX215" s="24">
        <f t="shared" si="70"/>
        <v>0.87239583333333337</v>
      </c>
      <c r="AY215" s="77" t="str">
        <f t="shared" si="71"/>
        <v>5,0 ≤ Alc. Bruta &lt; 7,5 mg/L</v>
      </c>
      <c r="AZ215" s="77" t="str">
        <f t="shared" si="72"/>
        <v>15 ≤ Cor &lt; 30 uC</v>
      </c>
      <c r="BA215" s="78" t="str">
        <f t="shared" si="73"/>
        <v>2,5 ≤ Turb &lt; 5,0 uT</v>
      </c>
      <c r="BB215" s="79" t="str">
        <f t="shared" si="74"/>
        <v>TOR &gt; BNN &gt; SM</v>
      </c>
      <c r="BC215" s="78" t="str">
        <f t="shared" si="75"/>
        <v>Tipo 2 (0,25-0,50) uT</v>
      </c>
      <c r="BD215" s="78" t="str">
        <f t="shared" si="76"/>
        <v>Tipo 1 (≤0,25) uT</v>
      </c>
      <c r="BE215" s="78" t="str">
        <f t="shared" si="77"/>
        <v>Tipo 2 (0,25-0,50) uT</v>
      </c>
      <c r="BF215" s="78" t="str">
        <f t="shared" si="78"/>
        <v>Tipo 2 (0,25-0,50) uT</v>
      </c>
      <c r="BG215" s="78" t="str">
        <f t="shared" si="79"/>
        <v>Tipo 2 (0,25-0,50) uT</v>
      </c>
    </row>
    <row r="216" spans="1:59" x14ac:dyDescent="0.2">
      <c r="A216" s="21">
        <v>46150</v>
      </c>
      <c r="B216" s="52">
        <v>0.3125</v>
      </c>
      <c r="C216" s="59">
        <v>1152</v>
      </c>
      <c r="D216" s="57">
        <v>91</v>
      </c>
      <c r="E216" s="59">
        <v>453</v>
      </c>
      <c r="F216" s="59">
        <v>1829</v>
      </c>
      <c r="G216" s="9" t="s">
        <v>78</v>
      </c>
      <c r="H216" s="65">
        <v>4.5999999999999996</v>
      </c>
      <c r="I216" s="59">
        <v>90</v>
      </c>
      <c r="J216" s="59">
        <v>90</v>
      </c>
      <c r="K216" s="59">
        <v>90</v>
      </c>
      <c r="L216" s="65">
        <v>22.9</v>
      </c>
      <c r="M216" s="65">
        <v>6.6</v>
      </c>
      <c r="N216" s="38">
        <v>4.71</v>
      </c>
      <c r="O216" s="59">
        <v>18</v>
      </c>
      <c r="P216" s="65">
        <v>7.9</v>
      </c>
      <c r="Q216" s="38">
        <v>0.28999999999999998</v>
      </c>
      <c r="R216" s="36">
        <v>22.36</v>
      </c>
      <c r="S216" s="36">
        <v>0.88</v>
      </c>
      <c r="T216" s="36">
        <v>0.7</v>
      </c>
      <c r="U216" s="42">
        <f t="shared" si="57"/>
        <v>1449.4825000000001</v>
      </c>
      <c r="V216" s="36">
        <f t="shared" si="58"/>
        <v>1448.1637110511999</v>
      </c>
      <c r="W216" s="36">
        <f t="shared" si="59"/>
        <v>0.99909016566340048</v>
      </c>
      <c r="X216" s="59">
        <v>2</v>
      </c>
      <c r="Y216" s="59">
        <v>4</v>
      </c>
      <c r="Z216" s="65">
        <v>6.47</v>
      </c>
      <c r="AA216" s="59">
        <v>18.04</v>
      </c>
      <c r="AB216" s="65">
        <v>6.5</v>
      </c>
      <c r="AC216" s="65">
        <v>7.1</v>
      </c>
      <c r="AD216" s="9">
        <v>0.22</v>
      </c>
      <c r="AE216" s="38">
        <v>0.47</v>
      </c>
      <c r="AF216" s="42">
        <f t="shared" si="60"/>
        <v>1932.6433333333332</v>
      </c>
      <c r="AG216" s="42">
        <f t="shared" si="61"/>
        <v>1861.1417659327999</v>
      </c>
      <c r="AH216" s="42">
        <f t="shared" si="62"/>
        <v>0.96300322663405735</v>
      </c>
      <c r="AI216" s="59">
        <v>2</v>
      </c>
      <c r="AJ216" s="59">
        <v>3</v>
      </c>
      <c r="AK216" s="38">
        <v>6.48</v>
      </c>
      <c r="AL216" s="38">
        <v>23.14</v>
      </c>
      <c r="AM216" s="65">
        <v>6.4</v>
      </c>
      <c r="AN216" s="65">
        <v>6.2</v>
      </c>
      <c r="AO216" s="38">
        <v>0.16</v>
      </c>
      <c r="AP216" s="70">
        <v>0.53</v>
      </c>
      <c r="AQ216" s="73">
        <f t="shared" si="63"/>
        <v>1696</v>
      </c>
      <c r="AR216" s="75">
        <f t="shared" si="64"/>
        <v>0.67924528301886788</v>
      </c>
      <c r="AS216" s="75">
        <f t="shared" si="65"/>
        <v>5.3655660377358493E-2</v>
      </c>
      <c r="AT216" s="75">
        <f t="shared" si="66"/>
        <v>0.26709905660377359</v>
      </c>
      <c r="AU216" s="26">
        <f t="shared" si="67"/>
        <v>7.8906506287588843E-2</v>
      </c>
      <c r="AV216" s="26">
        <f t="shared" si="68"/>
        <v>7.5910333515582296E-2</v>
      </c>
      <c r="AW216" s="24">
        <f t="shared" si="69"/>
        <v>0.88747346072186839</v>
      </c>
      <c r="AX216" s="24">
        <f t="shared" si="70"/>
        <v>0.9002123142250531</v>
      </c>
      <c r="AY216" s="77" t="str">
        <f t="shared" si="71"/>
        <v>7,5 ≤ Alc. Bruta &lt; 10,0 mg/L</v>
      </c>
      <c r="AZ216" s="77" t="str">
        <f t="shared" si="72"/>
        <v>15 ≤ Cor &lt; 30 uC</v>
      </c>
      <c r="BA216" s="78" t="str">
        <f t="shared" si="73"/>
        <v>2,5 ≤ Turb &lt; 5,0 uT</v>
      </c>
      <c r="BB216" s="79" t="str">
        <f t="shared" si="74"/>
        <v>TOR &gt; BNN &gt; SM</v>
      </c>
      <c r="BC216" s="78" t="str">
        <f t="shared" si="75"/>
        <v>Tipo 1 (≤0,25) uT</v>
      </c>
      <c r="BD216" s="78" t="str">
        <f t="shared" si="76"/>
        <v>Tipo 1 (≤0,25) uT</v>
      </c>
      <c r="BE216" s="78" t="str">
        <f t="shared" si="77"/>
        <v>Tipo 2 (0,25-0,50) uT</v>
      </c>
      <c r="BF216" s="78" t="str">
        <f t="shared" si="78"/>
        <v>Tipo 3 (0,50-0,75) uT</v>
      </c>
      <c r="BG216" s="78" t="str">
        <f t="shared" si="79"/>
        <v>Tipo 2 (0,25-0,50) uT</v>
      </c>
    </row>
    <row r="217" spans="1:59" x14ac:dyDescent="0.2">
      <c r="A217" s="21">
        <v>46150</v>
      </c>
      <c r="B217" s="48">
        <v>0.39583333333333331</v>
      </c>
      <c r="C217" s="57">
        <v>592</v>
      </c>
      <c r="D217" s="57">
        <v>87</v>
      </c>
      <c r="E217" s="57">
        <v>512</v>
      </c>
      <c r="F217" s="57">
        <v>1278</v>
      </c>
      <c r="G217" s="10" t="s">
        <v>78</v>
      </c>
      <c r="H217" s="63">
        <v>4.5999999999999996</v>
      </c>
      <c r="I217" s="57">
        <v>90</v>
      </c>
      <c r="J217" s="57">
        <v>90</v>
      </c>
      <c r="K217" s="57">
        <v>90</v>
      </c>
      <c r="L217" s="63">
        <v>23.3</v>
      </c>
      <c r="M217" s="63">
        <v>6.6</v>
      </c>
      <c r="N217" s="36">
        <v>4.0199999999999996</v>
      </c>
      <c r="O217" s="57">
        <v>17</v>
      </c>
      <c r="P217" s="63">
        <v>7.6</v>
      </c>
      <c r="Q217" s="36">
        <v>0.33</v>
      </c>
      <c r="R217" s="36">
        <v>22.36</v>
      </c>
      <c r="S217" s="36">
        <v>0.88</v>
      </c>
      <c r="T217" s="36">
        <v>0.7</v>
      </c>
      <c r="U217" s="42">
        <f t="shared" si="57"/>
        <v>902.58749999999986</v>
      </c>
      <c r="V217" s="36">
        <f t="shared" si="58"/>
        <v>1430.5949566219999</v>
      </c>
      <c r="W217" s="36">
        <f t="shared" si="59"/>
        <v>1.5849930966493555</v>
      </c>
      <c r="X217" s="57">
        <v>2</v>
      </c>
      <c r="Y217" s="57">
        <v>4</v>
      </c>
      <c r="Z217" s="63">
        <v>6.45</v>
      </c>
      <c r="AA217" s="57">
        <v>17.89</v>
      </c>
      <c r="AB217" s="63">
        <v>6.5</v>
      </c>
      <c r="AC217" s="63">
        <v>6.4</v>
      </c>
      <c r="AD217" s="10">
        <v>0.37</v>
      </c>
      <c r="AE217" s="36">
        <v>0.59</v>
      </c>
      <c r="AF217" s="42">
        <f t="shared" si="60"/>
        <v>1203.4499999999998</v>
      </c>
      <c r="AG217" s="42">
        <f t="shared" si="61"/>
        <v>1897.3237653967994</v>
      </c>
      <c r="AH217" s="42">
        <f t="shared" si="62"/>
        <v>1.5765704976499229</v>
      </c>
      <c r="AI217" s="57">
        <v>2</v>
      </c>
      <c r="AJ217" s="57">
        <v>3</v>
      </c>
      <c r="AK217" s="36">
        <v>6.52</v>
      </c>
      <c r="AL217" s="36">
        <v>23.41</v>
      </c>
      <c r="AM217" s="63">
        <v>6.5</v>
      </c>
      <c r="AN217" s="63">
        <v>6.3</v>
      </c>
      <c r="AO217" s="36">
        <v>0.32</v>
      </c>
      <c r="AP217" s="68">
        <v>0.42</v>
      </c>
      <c r="AQ217" s="73">
        <f t="shared" si="63"/>
        <v>1191</v>
      </c>
      <c r="AR217" s="75">
        <f t="shared" si="64"/>
        <v>0.49706129303106633</v>
      </c>
      <c r="AS217" s="75">
        <f t="shared" si="65"/>
        <v>7.3047858942065488E-2</v>
      </c>
      <c r="AT217" s="75">
        <f t="shared" si="66"/>
        <v>0.42989084802686817</v>
      </c>
      <c r="AU217" s="26">
        <f t="shared" si="67"/>
        <v>0.11198748043818467</v>
      </c>
      <c r="AV217" s="26">
        <f t="shared" si="68"/>
        <v>0.10990610328638498</v>
      </c>
      <c r="AW217" s="24">
        <f t="shared" si="69"/>
        <v>0.89552238805970152</v>
      </c>
      <c r="AX217" s="24">
        <f t="shared" si="70"/>
        <v>0.8532338308457712</v>
      </c>
      <c r="AY217" s="77" t="str">
        <f t="shared" si="71"/>
        <v>7,5 ≤ Alc. Bruta &lt; 10,0 mg/L</v>
      </c>
      <c r="AZ217" s="77" t="str">
        <f t="shared" si="72"/>
        <v>15 ≤ Cor &lt; 30 uC</v>
      </c>
      <c r="BA217" s="78" t="str">
        <f t="shared" si="73"/>
        <v>2,5 ≤ Turb &lt; 5,0 uT</v>
      </c>
      <c r="BB217" s="79" t="str">
        <f t="shared" si="74"/>
        <v>TOR &gt; BNN &gt; SM</v>
      </c>
      <c r="BC217" s="78" t="str">
        <f t="shared" si="75"/>
        <v>Tipo 2 (0,25-0,50) uT</v>
      </c>
      <c r="BD217" s="78" t="str">
        <f t="shared" si="76"/>
        <v>Tipo 2 (0,25-0,50) uT</v>
      </c>
      <c r="BE217" s="78" t="str">
        <f t="shared" si="77"/>
        <v>Tipo 3 (0,50-0,75) uT</v>
      </c>
      <c r="BF217" s="78" t="str">
        <f t="shared" si="78"/>
        <v>Tipo 2 (0,25-0,50) uT</v>
      </c>
      <c r="BG217" s="78" t="str">
        <f t="shared" si="79"/>
        <v>Tipo 2 (0,25-0,50) uT</v>
      </c>
    </row>
    <row r="218" spans="1:59" x14ac:dyDescent="0.2">
      <c r="A218" s="21">
        <v>46150</v>
      </c>
      <c r="B218" s="48">
        <v>0.47916666666666669</v>
      </c>
      <c r="C218" s="57">
        <v>1602</v>
      </c>
      <c r="D218" s="57">
        <v>95</v>
      </c>
      <c r="E218" s="57">
        <v>449</v>
      </c>
      <c r="F218" s="57">
        <v>2236</v>
      </c>
      <c r="G218" s="10" t="s">
        <v>78</v>
      </c>
      <c r="H218" s="63">
        <v>4.8</v>
      </c>
      <c r="I218" s="57">
        <v>90</v>
      </c>
      <c r="J218" s="57">
        <v>90</v>
      </c>
      <c r="K218" s="57">
        <v>90</v>
      </c>
      <c r="L218" s="63">
        <v>23.7</v>
      </c>
      <c r="M218" s="63">
        <v>6.7</v>
      </c>
      <c r="N218" s="36">
        <v>4.76</v>
      </c>
      <c r="O218" s="57">
        <v>18</v>
      </c>
      <c r="P218" s="63">
        <v>7.3</v>
      </c>
      <c r="Q218" s="36">
        <v>0.76</v>
      </c>
      <c r="R218" s="36">
        <v>22.36</v>
      </c>
      <c r="S218" s="36">
        <v>0.88</v>
      </c>
      <c r="T218" s="36">
        <v>0.7</v>
      </c>
      <c r="U218" s="42">
        <f t="shared" si="57"/>
        <v>1802.7749999999999</v>
      </c>
      <c r="V218" s="36">
        <f t="shared" si="58"/>
        <v>1461.3687686000003</v>
      </c>
      <c r="W218" s="36">
        <f t="shared" si="59"/>
        <v>0.81062182945736461</v>
      </c>
      <c r="X218" s="57">
        <v>3</v>
      </c>
      <c r="Y218" s="57">
        <v>4</v>
      </c>
      <c r="Z218" s="63">
        <v>6.5</v>
      </c>
      <c r="AA218" s="57">
        <v>18.100000000000001</v>
      </c>
      <c r="AB218" s="63">
        <v>6.6</v>
      </c>
      <c r="AC218" s="63">
        <v>6.3</v>
      </c>
      <c r="AD218" s="10">
        <v>0.21</v>
      </c>
      <c r="AE218" s="36">
        <v>0.65</v>
      </c>
      <c r="AF218" s="42">
        <f t="shared" si="60"/>
        <v>1802.7749999999999</v>
      </c>
      <c r="AG218" s="42">
        <f t="shared" si="61"/>
        <v>1808.3463631636</v>
      </c>
      <c r="AH218" s="42">
        <f t="shared" si="62"/>
        <v>1.0030904373333334</v>
      </c>
      <c r="AI218" s="57">
        <v>3</v>
      </c>
      <c r="AJ218" s="57">
        <v>4</v>
      </c>
      <c r="AK218" s="36">
        <v>6.41</v>
      </c>
      <c r="AL218" s="36">
        <v>22.79</v>
      </c>
      <c r="AM218" s="63">
        <v>6.7</v>
      </c>
      <c r="AN218" s="63">
        <v>7.4</v>
      </c>
      <c r="AO218" s="36">
        <v>0.76</v>
      </c>
      <c r="AP218" s="68">
        <v>1.28</v>
      </c>
      <c r="AQ218" s="73">
        <f t="shared" si="63"/>
        <v>2146</v>
      </c>
      <c r="AR218" s="75">
        <f t="shared" si="64"/>
        <v>0.74650512581547068</v>
      </c>
      <c r="AS218" s="75">
        <f t="shared" si="65"/>
        <v>4.4268406337371856E-2</v>
      </c>
      <c r="AT218" s="75">
        <f t="shared" si="66"/>
        <v>0.20922646784715751</v>
      </c>
      <c r="AU218" s="26">
        <f t="shared" si="67"/>
        <v>6.4758497316636854E-2</v>
      </c>
      <c r="AV218" s="26">
        <f t="shared" si="68"/>
        <v>8.1538461538461532E-2</v>
      </c>
      <c r="AW218" s="24">
        <f t="shared" si="69"/>
        <v>0.73109243697478987</v>
      </c>
      <c r="AX218" s="24">
        <f t="shared" si="70"/>
        <v>0.86344537815126055</v>
      </c>
      <c r="AY218" s="77" t="str">
        <f t="shared" si="71"/>
        <v>5,0 ≤ Alc. Bruta &lt; 7,5 mg/L</v>
      </c>
      <c r="AZ218" s="77" t="str">
        <f t="shared" si="72"/>
        <v>15 ≤ Cor &lt; 30 uC</v>
      </c>
      <c r="BA218" s="78" t="str">
        <f t="shared" si="73"/>
        <v>2,5 ≤ Turb &lt; 5,0 uT</v>
      </c>
      <c r="BB218" s="79" t="str">
        <f t="shared" si="74"/>
        <v>TOR &gt; BNN &gt; SM</v>
      </c>
      <c r="BC218" s="78" t="str">
        <f t="shared" si="75"/>
        <v>Tipo 1 (≤0,25) uT</v>
      </c>
      <c r="BD218" s="78" t="str">
        <f t="shared" si="76"/>
        <v>Tipo 4 (&gt;0,75) uT</v>
      </c>
      <c r="BE218" s="78" t="str">
        <f t="shared" si="77"/>
        <v>Tipo 3 (0,50-0,75) uT</v>
      </c>
      <c r="BF218" s="78" t="str">
        <f t="shared" si="78"/>
        <v>Tipo 4 (&gt;0,75) uT</v>
      </c>
      <c r="BG218" s="78" t="str">
        <f t="shared" si="79"/>
        <v>Tipo 4 (&gt;0,75) uT</v>
      </c>
    </row>
    <row r="219" spans="1:59" x14ac:dyDescent="0.2">
      <c r="A219" s="21">
        <v>46150</v>
      </c>
      <c r="B219" s="48">
        <v>0.64583333333333337</v>
      </c>
      <c r="C219" s="57">
        <v>1776</v>
      </c>
      <c r="D219" s="57">
        <v>89</v>
      </c>
      <c r="E219" s="57">
        <v>449</v>
      </c>
      <c r="F219" s="57">
        <v>2225</v>
      </c>
      <c r="G219" s="10" t="s">
        <v>78</v>
      </c>
      <c r="H219" s="63">
        <v>5</v>
      </c>
      <c r="I219" s="57">
        <v>90</v>
      </c>
      <c r="J219" s="57">
        <v>90</v>
      </c>
      <c r="K219" s="57">
        <v>90</v>
      </c>
      <c r="L219" s="63">
        <v>24.5</v>
      </c>
      <c r="M219" s="63">
        <v>6.7</v>
      </c>
      <c r="N219" s="36">
        <v>5.15</v>
      </c>
      <c r="O219" s="57">
        <v>18</v>
      </c>
      <c r="P219" s="63">
        <v>7.3</v>
      </c>
      <c r="Q219" s="36">
        <v>0.83</v>
      </c>
      <c r="R219" s="36">
        <v>22.36</v>
      </c>
      <c r="S219" s="36">
        <v>0.88</v>
      </c>
      <c r="T219" s="36">
        <v>0.7</v>
      </c>
      <c r="U219" s="42">
        <f t="shared" si="57"/>
        <v>1919.0625</v>
      </c>
      <c r="V219" s="36">
        <f t="shared" si="58"/>
        <v>1458.1892919775999</v>
      </c>
      <c r="W219" s="36">
        <f t="shared" si="59"/>
        <v>0.75984460744639626</v>
      </c>
      <c r="X219" s="57">
        <v>3</v>
      </c>
      <c r="Y219" s="57">
        <v>4</v>
      </c>
      <c r="Z219" s="63">
        <v>6.48</v>
      </c>
      <c r="AA219" s="57">
        <v>18.13</v>
      </c>
      <c r="AB219" s="63">
        <v>6.6</v>
      </c>
      <c r="AC219" s="63">
        <v>6.1</v>
      </c>
      <c r="AD219" s="10">
        <v>0.81</v>
      </c>
      <c r="AE219" s="36">
        <v>4.87</v>
      </c>
      <c r="AF219" s="42">
        <f t="shared" si="60"/>
        <v>1919.0625</v>
      </c>
      <c r="AG219" s="42">
        <f t="shared" si="61"/>
        <v>1816.031943258</v>
      </c>
      <c r="AH219" s="42">
        <f t="shared" si="62"/>
        <v>0.94631203687112841</v>
      </c>
      <c r="AI219" s="57">
        <v>3</v>
      </c>
      <c r="AJ219" s="57">
        <v>4</v>
      </c>
      <c r="AK219" s="36">
        <v>6.45</v>
      </c>
      <c r="AL219" s="36">
        <v>22.71</v>
      </c>
      <c r="AM219" s="63">
        <v>6.5</v>
      </c>
      <c r="AN219" s="63">
        <v>5.5</v>
      </c>
      <c r="AO219" s="36">
        <v>0.28999999999999998</v>
      </c>
      <c r="AP219" s="68">
        <v>0.4</v>
      </c>
      <c r="AQ219" s="73">
        <f t="shared" si="63"/>
        <v>2314</v>
      </c>
      <c r="AR219" s="75">
        <f t="shared" si="64"/>
        <v>0.76750216076058775</v>
      </c>
      <c r="AS219" s="75">
        <f t="shared" si="65"/>
        <v>3.8461538461538464E-2</v>
      </c>
      <c r="AT219" s="75">
        <f t="shared" si="66"/>
        <v>0.19403630077787382</v>
      </c>
      <c r="AU219" s="26">
        <f t="shared" si="67"/>
        <v>6.5186516853932577E-2</v>
      </c>
      <c r="AV219" s="26">
        <f t="shared" si="68"/>
        <v>8.1653932584269673E-2</v>
      </c>
      <c r="AW219" s="24">
        <f t="shared" si="69"/>
        <v>0.92233009708737868</v>
      </c>
      <c r="AX219" s="24">
        <f t="shared" si="70"/>
        <v>5.4368932038834972E-2</v>
      </c>
      <c r="AY219" s="77" t="str">
        <f t="shared" si="71"/>
        <v>5,0 ≤ Alc. Bruta &lt; 7,5 mg/L</v>
      </c>
      <c r="AZ219" s="77" t="str">
        <f t="shared" si="72"/>
        <v>15 ≤ Cor &lt; 30 uC</v>
      </c>
      <c r="BA219" s="78" t="str">
        <f t="shared" si="73"/>
        <v>5,0 ≤ Turb &lt; 7,5 uT</v>
      </c>
      <c r="BB219" s="79" t="str">
        <f t="shared" si="74"/>
        <v>TOR &gt; BNN &gt; SM</v>
      </c>
      <c r="BC219" s="78" t="str">
        <f t="shared" si="75"/>
        <v>Tipo 4 (&gt;0,75) uT</v>
      </c>
      <c r="BD219" s="78" t="str">
        <f t="shared" si="76"/>
        <v>Tipo 2 (0,25-0,50) uT</v>
      </c>
      <c r="BE219" s="78" t="str">
        <f t="shared" si="77"/>
        <v>Tipo 4 (&gt;0,75) uT</v>
      </c>
      <c r="BF219" s="78" t="str">
        <f t="shared" si="78"/>
        <v>Tipo 2 (0,25-0,50) uT</v>
      </c>
      <c r="BG219" s="78" t="str">
        <f t="shared" si="79"/>
        <v>Tipo 4 (&gt;0,75) uT</v>
      </c>
    </row>
    <row r="220" spans="1:59" x14ac:dyDescent="0.2">
      <c r="A220" s="21">
        <v>46150</v>
      </c>
      <c r="B220" s="48">
        <v>0.72916666666666663</v>
      </c>
      <c r="C220" s="57">
        <v>1578</v>
      </c>
      <c r="D220" s="57">
        <v>88</v>
      </c>
      <c r="E220" s="57">
        <v>449</v>
      </c>
      <c r="F220" s="57">
        <v>2136</v>
      </c>
      <c r="G220" s="10" t="s">
        <v>78</v>
      </c>
      <c r="H220" s="63">
        <v>5</v>
      </c>
      <c r="I220" s="57">
        <v>90</v>
      </c>
      <c r="J220" s="57">
        <v>90</v>
      </c>
      <c r="K220" s="57">
        <v>90</v>
      </c>
      <c r="L220" s="63">
        <v>24.1</v>
      </c>
      <c r="M220" s="63">
        <v>6.7</v>
      </c>
      <c r="N220" s="36">
        <v>5.33</v>
      </c>
      <c r="O220" s="57">
        <v>16</v>
      </c>
      <c r="P220" s="63">
        <v>6.6</v>
      </c>
      <c r="Q220" s="36">
        <v>0.37</v>
      </c>
      <c r="R220" s="36">
        <v>22.36</v>
      </c>
      <c r="S220" s="36">
        <v>0.88</v>
      </c>
      <c r="T220" s="36">
        <v>0.7</v>
      </c>
      <c r="U220" s="42">
        <f t="shared" si="57"/>
        <v>1890.3600000000001</v>
      </c>
      <c r="V220" s="36">
        <f t="shared" si="58"/>
        <v>1435.8123851344001</v>
      </c>
      <c r="W220" s="36">
        <f t="shared" si="59"/>
        <v>0.75954441753655388</v>
      </c>
      <c r="X220" s="57">
        <v>2</v>
      </c>
      <c r="Y220" s="57">
        <v>4</v>
      </c>
      <c r="Z220" s="63">
        <v>6.44</v>
      </c>
      <c r="AA220" s="57">
        <v>17.989999999999998</v>
      </c>
      <c r="AB220" s="63">
        <v>6.6</v>
      </c>
      <c r="AC220" s="63">
        <v>5.9</v>
      </c>
      <c r="AD220" s="10">
        <v>0.35</v>
      </c>
      <c r="AE220" s="36">
        <v>0.72</v>
      </c>
      <c r="AF220" s="42">
        <f t="shared" si="60"/>
        <v>1890.3600000000001</v>
      </c>
      <c r="AG220" s="42">
        <f t="shared" si="61"/>
        <v>1860.21748224</v>
      </c>
      <c r="AH220" s="42">
        <f t="shared" si="62"/>
        <v>0.98405461512092929</v>
      </c>
      <c r="AI220" s="57">
        <v>3</v>
      </c>
      <c r="AJ220" s="57">
        <v>4</v>
      </c>
      <c r="AK220" s="36">
        <v>6.5</v>
      </c>
      <c r="AL220" s="36">
        <v>23.04</v>
      </c>
      <c r="AM220" s="63">
        <v>6.5</v>
      </c>
      <c r="AN220" s="63">
        <v>5.7</v>
      </c>
      <c r="AO220" s="36">
        <v>0.21</v>
      </c>
      <c r="AP220" s="68">
        <v>0.45</v>
      </c>
      <c r="AQ220" s="73">
        <f t="shared" si="63"/>
        <v>2115</v>
      </c>
      <c r="AR220" s="75">
        <f t="shared" si="64"/>
        <v>0.74609929078014181</v>
      </c>
      <c r="AS220" s="75">
        <f t="shared" si="65"/>
        <v>4.1607565011820329E-2</v>
      </c>
      <c r="AT220" s="75">
        <f t="shared" si="66"/>
        <v>0.21229314420803783</v>
      </c>
      <c r="AU220" s="26">
        <f t="shared" si="67"/>
        <v>6.7378277153558042E-2</v>
      </c>
      <c r="AV220" s="26">
        <f t="shared" si="68"/>
        <v>8.6292134831460671E-2</v>
      </c>
      <c r="AW220" s="24">
        <f t="shared" si="69"/>
        <v>0.91557223264540333</v>
      </c>
      <c r="AX220" s="24">
        <f t="shared" si="70"/>
        <v>0.86491557223264537</v>
      </c>
      <c r="AY220" s="77" t="str">
        <f t="shared" si="71"/>
        <v>5,0 ≤ Alc. Bruta &lt; 7,5 mg/L</v>
      </c>
      <c r="AZ220" s="77" t="str">
        <f t="shared" si="72"/>
        <v>15 ≤ Cor &lt; 30 uC</v>
      </c>
      <c r="BA220" s="78" t="str">
        <f t="shared" si="73"/>
        <v>5,0 ≤ Turb &lt; 7,5 uT</v>
      </c>
      <c r="BB220" s="79" t="str">
        <f t="shared" si="74"/>
        <v>TOR &gt; BNN &gt; SM</v>
      </c>
      <c r="BC220" s="78" t="str">
        <f t="shared" si="75"/>
        <v>Tipo 2 (0,25-0,50) uT</v>
      </c>
      <c r="BD220" s="78" t="str">
        <f t="shared" si="76"/>
        <v>Tipo 1 (≤0,25) uT</v>
      </c>
      <c r="BE220" s="78" t="str">
        <f t="shared" si="77"/>
        <v>Tipo 3 (0,50-0,75) uT</v>
      </c>
      <c r="BF220" s="78" t="str">
        <f t="shared" si="78"/>
        <v>Tipo 2 (0,25-0,50) uT</v>
      </c>
      <c r="BG220" s="78" t="str">
        <f t="shared" si="79"/>
        <v>Tipo 2 (0,25-0,50) uT</v>
      </c>
    </row>
    <row r="221" spans="1:59" x14ac:dyDescent="0.2">
      <c r="A221" s="21">
        <v>46150</v>
      </c>
      <c r="B221" s="48">
        <v>0.8125</v>
      </c>
      <c r="C221" s="57">
        <v>1544</v>
      </c>
      <c r="D221" s="57">
        <v>82</v>
      </c>
      <c r="E221" s="57">
        <v>449</v>
      </c>
      <c r="F221" s="57">
        <v>2172</v>
      </c>
      <c r="G221" s="10" t="s">
        <v>78</v>
      </c>
      <c r="H221" s="63">
        <v>5</v>
      </c>
      <c r="I221" s="57">
        <v>90</v>
      </c>
      <c r="J221" s="57">
        <v>90</v>
      </c>
      <c r="K221" s="57">
        <v>90</v>
      </c>
      <c r="L221" s="63">
        <v>24.6</v>
      </c>
      <c r="M221" s="63">
        <v>6.7</v>
      </c>
      <c r="N221" s="36">
        <v>4.03</v>
      </c>
      <c r="O221" s="57">
        <v>13</v>
      </c>
      <c r="P221" s="63">
        <v>6.4</v>
      </c>
      <c r="Q221" s="36">
        <v>0.15</v>
      </c>
      <c r="R221" s="36">
        <v>22.36</v>
      </c>
      <c r="S221" s="36">
        <v>0.88</v>
      </c>
      <c r="T221" s="36">
        <v>0.7</v>
      </c>
      <c r="U221" s="42">
        <f t="shared" si="57"/>
        <v>1569.27</v>
      </c>
      <c r="V221" s="36">
        <f t="shared" si="58"/>
        <v>1426.1478377119997</v>
      </c>
      <c r="W221" s="36">
        <f t="shared" si="59"/>
        <v>0.90879698057823044</v>
      </c>
      <c r="X221" s="57">
        <v>2</v>
      </c>
      <c r="Y221" s="57">
        <v>4</v>
      </c>
      <c r="Z221" s="63">
        <v>6.46</v>
      </c>
      <c r="AA221" s="57">
        <v>17.8</v>
      </c>
      <c r="AB221" s="63">
        <v>6.7</v>
      </c>
      <c r="AC221" s="63">
        <v>6</v>
      </c>
      <c r="AD221" s="10">
        <v>0.34</v>
      </c>
      <c r="AE221" s="36">
        <v>0.68</v>
      </c>
      <c r="AF221" s="42">
        <f t="shared" si="60"/>
        <v>1569.27</v>
      </c>
      <c r="AG221" s="42">
        <f t="shared" si="61"/>
        <v>1709.2124689120001</v>
      </c>
      <c r="AH221" s="42">
        <f t="shared" si="62"/>
        <v>1.0891767948867945</v>
      </c>
      <c r="AI221" s="57">
        <v>3</v>
      </c>
      <c r="AJ221" s="57">
        <v>4</v>
      </c>
      <c r="AK221" s="36">
        <v>6.28</v>
      </c>
      <c r="AL221" s="36">
        <v>22.1</v>
      </c>
      <c r="AM221" s="63">
        <v>6.5</v>
      </c>
      <c r="AN221" s="63">
        <v>5.9</v>
      </c>
      <c r="AO221" s="36">
        <v>0.2</v>
      </c>
      <c r="AP221" s="68">
        <v>0.41</v>
      </c>
      <c r="AQ221" s="73">
        <f t="shared" si="63"/>
        <v>2075</v>
      </c>
      <c r="AR221" s="75">
        <f t="shared" si="64"/>
        <v>0.74409638554216873</v>
      </c>
      <c r="AS221" s="75">
        <f t="shared" si="65"/>
        <v>3.9518072289156624E-2</v>
      </c>
      <c r="AT221" s="75">
        <f t="shared" si="66"/>
        <v>0.2163855421686747</v>
      </c>
      <c r="AU221" s="26">
        <f t="shared" si="67"/>
        <v>6.5561694290976066E-2</v>
      </c>
      <c r="AV221" s="26">
        <f t="shared" si="68"/>
        <v>8.1399631675874773E-2</v>
      </c>
      <c r="AW221" s="24">
        <f t="shared" si="69"/>
        <v>0.8982630272952854</v>
      </c>
      <c r="AX221" s="24">
        <f t="shared" si="70"/>
        <v>0.83126550868486349</v>
      </c>
      <c r="AY221" s="77" t="str">
        <f t="shared" si="71"/>
        <v>5,0 ≤ Alc. Bruta &lt; 7,5 mg/L</v>
      </c>
      <c r="AZ221" s="77" t="str">
        <f t="shared" si="72"/>
        <v>10 ≤ Cor &lt;15 uC</v>
      </c>
      <c r="BA221" s="78" t="str">
        <f t="shared" si="73"/>
        <v>2,5 ≤ Turb &lt; 5,0 uT</v>
      </c>
      <c r="BB221" s="79" t="str">
        <f t="shared" si="74"/>
        <v>TOR &gt; BNN &gt; SM</v>
      </c>
      <c r="BC221" s="78" t="str">
        <f t="shared" si="75"/>
        <v>Tipo 2 (0,25-0,50) uT</v>
      </c>
      <c r="BD221" s="78" t="str">
        <f t="shared" si="76"/>
        <v>Tipo 1 (≤0,25) uT</v>
      </c>
      <c r="BE221" s="78" t="str">
        <f t="shared" si="77"/>
        <v>Tipo 3 (0,50-0,75) uT</v>
      </c>
      <c r="BF221" s="78" t="str">
        <f t="shared" si="78"/>
        <v>Tipo 2 (0,25-0,50) uT</v>
      </c>
      <c r="BG221" s="78" t="str">
        <f t="shared" si="79"/>
        <v>Tipo 1 (≤0,25) uT</v>
      </c>
    </row>
    <row r="222" spans="1:59" x14ac:dyDescent="0.2">
      <c r="A222" s="21">
        <v>46150</v>
      </c>
      <c r="B222" s="48">
        <v>0.89583333333333337</v>
      </c>
      <c r="C222" s="57">
        <v>1561</v>
      </c>
      <c r="D222" s="57">
        <v>83</v>
      </c>
      <c r="E222" s="57">
        <v>450</v>
      </c>
      <c r="F222" s="57">
        <v>2273</v>
      </c>
      <c r="G222" s="10" t="s">
        <v>78</v>
      </c>
      <c r="H222" s="63">
        <v>5</v>
      </c>
      <c r="I222" s="57">
        <v>90</v>
      </c>
      <c r="J222" s="57">
        <v>90</v>
      </c>
      <c r="K222" s="57">
        <v>90</v>
      </c>
      <c r="L222" s="63">
        <v>24.5</v>
      </c>
      <c r="M222" s="63">
        <v>6.7</v>
      </c>
      <c r="N222" s="36">
        <v>3.71</v>
      </c>
      <c r="O222" s="57">
        <v>11</v>
      </c>
      <c r="P222" s="63">
        <v>5.7</v>
      </c>
      <c r="Q222" s="36">
        <v>0.27</v>
      </c>
      <c r="R222" s="36">
        <v>22.36</v>
      </c>
      <c r="S222" s="36">
        <v>0.88</v>
      </c>
      <c r="T222" s="36">
        <v>0.7</v>
      </c>
      <c r="U222" s="42">
        <f t="shared" si="57"/>
        <v>1551.3225</v>
      </c>
      <c r="V222" s="36">
        <f t="shared" si="58"/>
        <v>1439.3912363999998</v>
      </c>
      <c r="W222" s="36">
        <f t="shared" si="59"/>
        <v>0.92784784363019279</v>
      </c>
      <c r="X222" s="57">
        <v>2</v>
      </c>
      <c r="Y222" s="57">
        <v>4</v>
      </c>
      <c r="Z222" s="63">
        <v>6.45</v>
      </c>
      <c r="AA222" s="57">
        <v>18</v>
      </c>
      <c r="AB222" s="63">
        <v>6.4</v>
      </c>
      <c r="AC222" s="63">
        <v>5.6</v>
      </c>
      <c r="AD222" s="10">
        <v>0.1</v>
      </c>
      <c r="AE222" s="36">
        <v>0.18</v>
      </c>
      <c r="AF222" s="42">
        <f t="shared" si="60"/>
        <v>1551.3225</v>
      </c>
      <c r="AG222" s="42">
        <f t="shared" si="61"/>
        <v>1769.1851461439994</v>
      </c>
      <c r="AH222" s="42">
        <f t="shared" si="62"/>
        <v>1.140436721664257</v>
      </c>
      <c r="AI222" s="57">
        <v>3</v>
      </c>
      <c r="AJ222" s="57">
        <v>4</v>
      </c>
      <c r="AK222" s="36">
        <v>6.35</v>
      </c>
      <c r="AL222" s="36">
        <v>22.56</v>
      </c>
      <c r="AM222" s="63">
        <v>6.5</v>
      </c>
      <c r="AN222" s="63">
        <v>5.4</v>
      </c>
      <c r="AO222" s="36">
        <v>0.1</v>
      </c>
      <c r="AP222" s="68">
        <v>0.6</v>
      </c>
      <c r="AQ222" s="73">
        <f t="shared" si="63"/>
        <v>2094</v>
      </c>
      <c r="AR222" s="75">
        <f t="shared" si="64"/>
        <v>0.74546322827125122</v>
      </c>
      <c r="AS222" s="75">
        <f t="shared" si="65"/>
        <v>3.9637058261700095E-2</v>
      </c>
      <c r="AT222" s="75">
        <f t="shared" si="66"/>
        <v>0.2148997134670487</v>
      </c>
      <c r="AU222" s="26">
        <f t="shared" si="67"/>
        <v>6.3352397712274522E-2</v>
      </c>
      <c r="AV222" s="26">
        <f t="shared" si="68"/>
        <v>7.9401671799384066E-2</v>
      </c>
      <c r="AW222" s="24">
        <f t="shared" si="69"/>
        <v>0.83827493261455532</v>
      </c>
      <c r="AX222" s="24">
        <f t="shared" si="70"/>
        <v>0.95148247978436662</v>
      </c>
      <c r="AY222" s="77" t="str">
        <f t="shared" si="71"/>
        <v>5,0 ≤ Alc. Bruta &lt; 7,5 mg/L</v>
      </c>
      <c r="AZ222" s="77" t="str">
        <f t="shared" si="72"/>
        <v>10 ≤ Cor &lt;15 uC</v>
      </c>
      <c r="BA222" s="78" t="str">
        <f t="shared" si="73"/>
        <v>2,5 ≤ Turb &lt; 5,0 uT</v>
      </c>
      <c r="BB222" s="79" t="str">
        <f t="shared" si="74"/>
        <v>TOR &gt; BNN &gt; SM</v>
      </c>
      <c r="BC222" s="78" t="str">
        <f t="shared" si="75"/>
        <v>Tipo 1 (≤0,25) uT</v>
      </c>
      <c r="BD222" s="78" t="str">
        <f t="shared" si="76"/>
        <v>Tipo 1 (≤0,25) uT</v>
      </c>
      <c r="BE222" s="78" t="str">
        <f t="shared" si="77"/>
        <v>Tipo 1 (≤0,25) uT</v>
      </c>
      <c r="BF222" s="78" t="str">
        <f t="shared" si="78"/>
        <v>Tipo 3 (0,50-0,75) uT</v>
      </c>
      <c r="BG222" s="78" t="str">
        <f t="shared" si="79"/>
        <v>Tipo 2 (0,25-0,50) uT</v>
      </c>
    </row>
    <row r="223" spans="1:59" x14ac:dyDescent="0.2">
      <c r="A223" s="21">
        <v>46151</v>
      </c>
      <c r="B223" s="48">
        <v>6.25E-2</v>
      </c>
      <c r="C223" s="57">
        <v>1596</v>
      </c>
      <c r="D223" s="57">
        <v>84</v>
      </c>
      <c r="E223" s="57">
        <v>450</v>
      </c>
      <c r="F223" s="57">
        <v>2170</v>
      </c>
      <c r="G223" s="10" t="s">
        <v>78</v>
      </c>
      <c r="H223" s="63">
        <v>5</v>
      </c>
      <c r="I223" s="57">
        <v>90</v>
      </c>
      <c r="J223" s="57">
        <v>90</v>
      </c>
      <c r="K223" s="57">
        <v>90</v>
      </c>
      <c r="L223" s="63">
        <v>23.9</v>
      </c>
      <c r="M223" s="63">
        <v>6.6</v>
      </c>
      <c r="N223" s="36">
        <v>4.1399999999999997</v>
      </c>
      <c r="O223" s="57">
        <v>13</v>
      </c>
      <c r="P223" s="63">
        <v>5.8</v>
      </c>
      <c r="Q223" s="36">
        <v>0.21</v>
      </c>
      <c r="R223" s="36">
        <v>22.36</v>
      </c>
      <c r="S223" s="36">
        <v>0.88</v>
      </c>
      <c r="T223" s="36">
        <v>0.7</v>
      </c>
      <c r="U223" s="42">
        <f t="shared" si="57"/>
        <v>1597.6624999999999</v>
      </c>
      <c r="V223" s="36">
        <f t="shared" si="58"/>
        <v>1428.629332624</v>
      </c>
      <c r="W223" s="36">
        <f t="shared" si="59"/>
        <v>0.89419970276826299</v>
      </c>
      <c r="X223" s="57">
        <v>2</v>
      </c>
      <c r="Y223" s="57">
        <v>4</v>
      </c>
      <c r="Z223" s="63">
        <v>6.44</v>
      </c>
      <c r="AA223" s="57">
        <v>17.899999999999999</v>
      </c>
      <c r="AB223" s="63">
        <v>6.5</v>
      </c>
      <c r="AC223" s="63">
        <v>5.7</v>
      </c>
      <c r="AD223" s="10">
        <v>0.16</v>
      </c>
      <c r="AE223" s="36">
        <v>0.21</v>
      </c>
      <c r="AF223" s="42">
        <f t="shared" si="60"/>
        <v>1597.6624999999999</v>
      </c>
      <c r="AG223" s="42">
        <f t="shared" si="61"/>
        <v>1735.0155176119999</v>
      </c>
      <c r="AH223" s="42">
        <f t="shared" si="62"/>
        <v>1.0859712346080603</v>
      </c>
      <c r="AI223" s="57">
        <v>3</v>
      </c>
      <c r="AJ223" s="57">
        <v>4</v>
      </c>
      <c r="AK223" s="36">
        <v>6.31</v>
      </c>
      <c r="AL223" s="36">
        <v>22.3</v>
      </c>
      <c r="AM223" s="63">
        <v>6.5</v>
      </c>
      <c r="AN223" s="63">
        <v>5.6</v>
      </c>
      <c r="AO223" s="36">
        <v>0.13</v>
      </c>
      <c r="AP223" s="68">
        <v>0.41</v>
      </c>
      <c r="AQ223" s="73">
        <f t="shared" si="63"/>
        <v>2130</v>
      </c>
      <c r="AR223" s="75">
        <f t="shared" si="64"/>
        <v>0.74929577464788732</v>
      </c>
      <c r="AS223" s="75">
        <f t="shared" si="65"/>
        <v>3.9436619718309862E-2</v>
      </c>
      <c r="AT223" s="75">
        <f t="shared" si="66"/>
        <v>0.21126760563380281</v>
      </c>
      <c r="AU223" s="26">
        <f t="shared" si="67"/>
        <v>6.599078341013824E-2</v>
      </c>
      <c r="AV223" s="26">
        <f t="shared" si="68"/>
        <v>8.2211981566820275E-2</v>
      </c>
      <c r="AW223" s="24">
        <f t="shared" si="69"/>
        <v>0.90096618357487923</v>
      </c>
      <c r="AX223" s="24">
        <f t="shared" si="70"/>
        <v>0.94927536231884058</v>
      </c>
      <c r="AY223" s="77" t="str">
        <f t="shared" si="71"/>
        <v>5,0 ≤ Alc. Bruta &lt; 7,5 mg/L</v>
      </c>
      <c r="AZ223" s="77" t="str">
        <f t="shared" si="72"/>
        <v>10 ≤ Cor &lt;15 uC</v>
      </c>
      <c r="BA223" s="78" t="str">
        <f t="shared" si="73"/>
        <v>2,5 ≤ Turb &lt; 5,0 uT</v>
      </c>
      <c r="BB223" s="79" t="str">
        <f t="shared" si="74"/>
        <v>TOR &gt; BNN &gt; SM</v>
      </c>
      <c r="BC223" s="78" t="str">
        <f t="shared" si="75"/>
        <v>Tipo 1 (≤0,25) uT</v>
      </c>
      <c r="BD223" s="78" t="str">
        <f t="shared" si="76"/>
        <v>Tipo 1 (≤0,25) uT</v>
      </c>
      <c r="BE223" s="78" t="str">
        <f t="shared" si="77"/>
        <v>Tipo 1 (≤0,25) uT</v>
      </c>
      <c r="BF223" s="78" t="str">
        <f t="shared" si="78"/>
        <v>Tipo 2 (0,25-0,50) uT</v>
      </c>
      <c r="BG223" s="78" t="str">
        <f t="shared" si="79"/>
        <v>Tipo 1 (≤0,25) uT</v>
      </c>
    </row>
    <row r="224" spans="1:59" x14ac:dyDescent="0.2">
      <c r="A224" s="21">
        <v>46151</v>
      </c>
      <c r="B224" s="48">
        <v>0.14583333333333334</v>
      </c>
      <c r="C224" s="57">
        <v>1600</v>
      </c>
      <c r="D224" s="57">
        <v>90</v>
      </c>
      <c r="E224" s="57">
        <v>450</v>
      </c>
      <c r="F224" s="57">
        <v>2170</v>
      </c>
      <c r="G224" s="10" t="s">
        <v>78</v>
      </c>
      <c r="H224" s="63">
        <v>5</v>
      </c>
      <c r="I224" s="57">
        <v>90</v>
      </c>
      <c r="J224" s="57">
        <v>90</v>
      </c>
      <c r="K224" s="57">
        <v>90</v>
      </c>
      <c r="L224" s="63">
        <v>23</v>
      </c>
      <c r="M224" s="63">
        <v>6.7</v>
      </c>
      <c r="N224" s="36">
        <v>3.58</v>
      </c>
      <c r="O224" s="57">
        <v>12</v>
      </c>
      <c r="P224" s="63">
        <v>5.9</v>
      </c>
      <c r="Q224" s="36">
        <v>0.36</v>
      </c>
      <c r="R224" s="36">
        <v>22.36</v>
      </c>
      <c r="S224" s="36">
        <v>0.88</v>
      </c>
      <c r="T224" s="36">
        <v>0.7</v>
      </c>
      <c r="U224" s="42">
        <f t="shared" si="57"/>
        <v>1445.7625</v>
      </c>
      <c r="V224" s="36">
        <f t="shared" si="58"/>
        <v>1425.4875648</v>
      </c>
      <c r="W224" s="36">
        <f t="shared" si="59"/>
        <v>0.98597630302349104</v>
      </c>
      <c r="X224" s="57">
        <v>2</v>
      </c>
      <c r="Y224" s="57">
        <v>4</v>
      </c>
      <c r="Z224" s="63">
        <v>6.4</v>
      </c>
      <c r="AA224" s="57">
        <v>18</v>
      </c>
      <c r="AB224" s="63">
        <v>6.5</v>
      </c>
      <c r="AC224" s="63">
        <v>5.4</v>
      </c>
      <c r="AD224" s="10">
        <v>0.14000000000000001</v>
      </c>
      <c r="AE224" s="36">
        <v>0.4</v>
      </c>
      <c r="AF224" s="42">
        <f t="shared" si="60"/>
        <v>1445.7625</v>
      </c>
      <c r="AG224" s="42">
        <f t="shared" si="61"/>
        <v>1708.2758263999997</v>
      </c>
      <c r="AH224" s="42">
        <f t="shared" si="62"/>
        <v>1.1815743086433628</v>
      </c>
      <c r="AI224" s="57">
        <v>3</v>
      </c>
      <c r="AJ224" s="57">
        <v>4</v>
      </c>
      <c r="AK224" s="36">
        <v>6.3</v>
      </c>
      <c r="AL224" s="36">
        <v>22</v>
      </c>
      <c r="AM224" s="63">
        <v>6.5</v>
      </c>
      <c r="AN224" s="63">
        <v>5.5</v>
      </c>
      <c r="AO224" s="36">
        <v>0.23</v>
      </c>
      <c r="AP224" s="68">
        <v>0.54</v>
      </c>
      <c r="AQ224" s="73">
        <f t="shared" si="63"/>
        <v>2140</v>
      </c>
      <c r="AR224" s="75">
        <f t="shared" si="64"/>
        <v>0.74766355140186913</v>
      </c>
      <c r="AS224" s="75">
        <f t="shared" si="65"/>
        <v>4.2056074766355138E-2</v>
      </c>
      <c r="AT224" s="75">
        <f t="shared" si="66"/>
        <v>0.2102803738317757</v>
      </c>
      <c r="AU224" s="26">
        <f t="shared" si="67"/>
        <v>6.6359447004608302E-2</v>
      </c>
      <c r="AV224" s="26">
        <f t="shared" si="68"/>
        <v>8.1105990783410145E-2</v>
      </c>
      <c r="AW224" s="24">
        <f t="shared" si="69"/>
        <v>0.84916201117318435</v>
      </c>
      <c r="AX224" s="24">
        <f t="shared" si="70"/>
        <v>0.88826815642458101</v>
      </c>
      <c r="AY224" s="77" t="str">
        <f t="shared" si="71"/>
        <v>5,0 ≤ Alc. Bruta &lt; 7,5 mg/L</v>
      </c>
      <c r="AZ224" s="77" t="str">
        <f t="shared" si="72"/>
        <v>10 ≤ Cor &lt;15 uC</v>
      </c>
      <c r="BA224" s="78" t="str">
        <f t="shared" si="73"/>
        <v>2,5 ≤ Turb &lt; 5,0 uT</v>
      </c>
      <c r="BB224" s="79" t="str">
        <f t="shared" si="74"/>
        <v>TOR &gt; BNN &gt; SM</v>
      </c>
      <c r="BC224" s="78" t="str">
        <f t="shared" si="75"/>
        <v>Tipo 1 (≤0,25) uT</v>
      </c>
      <c r="BD224" s="78" t="str">
        <f t="shared" si="76"/>
        <v>Tipo 1 (≤0,25) uT</v>
      </c>
      <c r="BE224" s="78" t="str">
        <f t="shared" si="77"/>
        <v>Tipo 2 (0,25-0,50) uT</v>
      </c>
      <c r="BF224" s="78" t="str">
        <f t="shared" si="78"/>
        <v>Tipo 3 (0,50-0,75) uT</v>
      </c>
      <c r="BG224" s="78" t="str">
        <f t="shared" si="79"/>
        <v>Tipo 2 (0,25-0,50) uT</v>
      </c>
    </row>
    <row r="225" spans="1:59" ht="15.75" thickBot="1" x14ac:dyDescent="0.25">
      <c r="A225" s="21">
        <v>46151</v>
      </c>
      <c r="B225" s="51">
        <v>0.22916666666666666</v>
      </c>
      <c r="C225" s="58">
        <v>1603</v>
      </c>
      <c r="D225" s="58">
        <v>90</v>
      </c>
      <c r="E225" s="58">
        <v>450</v>
      </c>
      <c r="F225" s="58">
        <v>2179</v>
      </c>
      <c r="G225" s="11" t="s">
        <v>78</v>
      </c>
      <c r="H225" s="64">
        <v>5</v>
      </c>
      <c r="I225" s="58">
        <v>90</v>
      </c>
      <c r="J225" s="58">
        <v>90</v>
      </c>
      <c r="K225" s="58">
        <v>90</v>
      </c>
      <c r="L225" s="64">
        <v>23</v>
      </c>
      <c r="M225" s="64">
        <v>6.7</v>
      </c>
      <c r="N225" s="37">
        <v>3.36</v>
      </c>
      <c r="O225" s="58">
        <v>12</v>
      </c>
      <c r="P225" s="64">
        <v>5.9</v>
      </c>
      <c r="Q225" s="37">
        <v>0.41</v>
      </c>
      <c r="R225" s="36">
        <v>22.36</v>
      </c>
      <c r="S225" s="36">
        <v>0.88</v>
      </c>
      <c r="T225" s="36">
        <v>0.7</v>
      </c>
      <c r="U225" s="42">
        <f t="shared" si="57"/>
        <v>1391.8362499999998</v>
      </c>
      <c r="V225" s="36">
        <f t="shared" si="58"/>
        <v>1425.4875648</v>
      </c>
      <c r="W225" s="36">
        <f t="shared" si="59"/>
        <v>1.0241776392876678</v>
      </c>
      <c r="X225" s="58">
        <v>2</v>
      </c>
      <c r="Y225" s="58">
        <v>4</v>
      </c>
      <c r="Z225" s="64">
        <v>6.4</v>
      </c>
      <c r="AA225" s="58">
        <v>18</v>
      </c>
      <c r="AB225" s="64">
        <v>6.5</v>
      </c>
      <c r="AC225" s="64">
        <v>4.8</v>
      </c>
      <c r="AD225" s="11">
        <v>0.5</v>
      </c>
      <c r="AE225" s="37">
        <v>0.47</v>
      </c>
      <c r="AF225" s="42">
        <f t="shared" si="60"/>
        <v>1391.8362499999998</v>
      </c>
      <c r="AG225" s="42">
        <f t="shared" si="61"/>
        <v>1758.7476121799996</v>
      </c>
      <c r="AH225" s="42">
        <f t="shared" si="62"/>
        <v>1.2636167596439594</v>
      </c>
      <c r="AI225" s="58">
        <v>3</v>
      </c>
      <c r="AJ225" s="58">
        <v>4</v>
      </c>
      <c r="AK225" s="37">
        <v>6.3</v>
      </c>
      <c r="AL225" s="37">
        <v>22.65</v>
      </c>
      <c r="AM225" s="64">
        <v>6.5</v>
      </c>
      <c r="AN225" s="64">
        <v>4.8</v>
      </c>
      <c r="AO225" s="37">
        <v>0.28999999999999998</v>
      </c>
      <c r="AP225" s="69">
        <v>0.57999999999999996</v>
      </c>
      <c r="AQ225" s="73">
        <f t="shared" si="63"/>
        <v>2143</v>
      </c>
      <c r="AR225" s="75">
        <f t="shared" si="64"/>
        <v>0.74801679888007466</v>
      </c>
      <c r="AS225" s="75">
        <f t="shared" si="65"/>
        <v>4.1997200186654225E-2</v>
      </c>
      <c r="AT225" s="75">
        <f t="shared" si="66"/>
        <v>0.20998600093327111</v>
      </c>
      <c r="AU225" s="26">
        <f t="shared" si="67"/>
        <v>6.6085360256998626E-2</v>
      </c>
      <c r="AV225" s="26">
        <f t="shared" si="68"/>
        <v>8.315741165672326E-2</v>
      </c>
      <c r="AW225" s="24">
        <f t="shared" si="69"/>
        <v>0.82738095238095233</v>
      </c>
      <c r="AX225" s="24">
        <f t="shared" si="70"/>
        <v>0.86011904761904767</v>
      </c>
      <c r="AY225" s="77" t="str">
        <f t="shared" si="71"/>
        <v>5,0 ≤ Alc. Bruta &lt; 7,5 mg/L</v>
      </c>
      <c r="AZ225" s="77" t="str">
        <f t="shared" si="72"/>
        <v>10 ≤ Cor &lt;15 uC</v>
      </c>
      <c r="BA225" s="78" t="str">
        <f t="shared" si="73"/>
        <v>2,5 ≤ Turb &lt; 5,0 uT</v>
      </c>
      <c r="BB225" s="79" t="str">
        <f t="shared" si="74"/>
        <v>TOR &gt; BNN &gt; SM</v>
      </c>
      <c r="BC225" s="78" t="str">
        <f t="shared" si="75"/>
        <v>Tipo 2 (0,25-0,50) uT</v>
      </c>
      <c r="BD225" s="78" t="str">
        <f t="shared" si="76"/>
        <v>Tipo 2 (0,25-0,50) uT</v>
      </c>
      <c r="BE225" s="78" t="str">
        <f t="shared" si="77"/>
        <v>Tipo 2 (0,25-0,50) uT</v>
      </c>
      <c r="BF225" s="78" t="str">
        <f t="shared" si="78"/>
        <v>Tipo 3 (0,50-0,75) uT</v>
      </c>
      <c r="BG225" s="78" t="str">
        <f t="shared" si="79"/>
        <v>Tipo 2 (0,25-0,50) uT</v>
      </c>
    </row>
    <row r="226" spans="1:59" ht="15.75" thickBot="1" x14ac:dyDescent="0.25">
      <c r="A226" s="21">
        <v>46151</v>
      </c>
      <c r="B226" s="52">
        <v>0.3125</v>
      </c>
      <c r="C226" s="59">
        <v>0</v>
      </c>
      <c r="D226" s="57">
        <v>790</v>
      </c>
      <c r="E226" s="59">
        <v>507</v>
      </c>
      <c r="F226" s="58">
        <v>2179</v>
      </c>
      <c r="G226" s="9" t="s">
        <v>78</v>
      </c>
      <c r="H226" s="65">
        <v>4.7</v>
      </c>
      <c r="I226" s="59">
        <v>90</v>
      </c>
      <c r="J226" s="59">
        <v>90</v>
      </c>
      <c r="K226" s="59">
        <v>90</v>
      </c>
      <c r="L226" s="65">
        <v>23.1</v>
      </c>
      <c r="M226" s="65">
        <v>6.7</v>
      </c>
      <c r="N226" s="38">
        <v>3.4</v>
      </c>
      <c r="O226" s="59">
        <v>17</v>
      </c>
      <c r="P226" s="65">
        <v>6.7</v>
      </c>
      <c r="Q226" s="38">
        <v>0.39</v>
      </c>
      <c r="R226" s="36">
        <v>22.36</v>
      </c>
      <c r="S226" s="36">
        <v>0.88</v>
      </c>
      <c r="T226" s="36">
        <v>0.7</v>
      </c>
      <c r="U226" s="42">
        <f t="shared" si="57"/>
        <v>1378.2175</v>
      </c>
      <c r="V226" s="36">
        <f t="shared" si="58"/>
        <v>1803.6905301999996</v>
      </c>
      <c r="W226" s="36">
        <f t="shared" si="59"/>
        <v>1.3087125437022817</v>
      </c>
      <c r="X226" s="58">
        <v>2</v>
      </c>
      <c r="Y226" s="58">
        <v>4</v>
      </c>
      <c r="Z226" s="65">
        <v>6.35</v>
      </c>
      <c r="AA226" s="59">
        <v>23</v>
      </c>
      <c r="AB226" s="65">
        <v>6.8</v>
      </c>
      <c r="AC226" s="65">
        <v>7</v>
      </c>
      <c r="AD226" s="9">
        <v>0.12</v>
      </c>
      <c r="AE226" s="38">
        <v>0.51</v>
      </c>
      <c r="AF226" s="42" t="e">
        <f t="shared" si="60"/>
        <v>#DIV/0!</v>
      </c>
      <c r="AG226" s="42">
        <f t="shared" si="61"/>
        <v>1919.1883151999998</v>
      </c>
      <c r="AH226" s="42" t="e">
        <f t="shared" si="62"/>
        <v>#DIV/0!</v>
      </c>
      <c r="AI226" s="59"/>
      <c r="AJ226" s="59"/>
      <c r="AK226" s="38">
        <v>6.45</v>
      </c>
      <c r="AL226" s="38">
        <v>24</v>
      </c>
      <c r="AM226" s="65">
        <v>6.7</v>
      </c>
      <c r="AN226" s="65">
        <v>7.3</v>
      </c>
      <c r="AO226" s="38">
        <v>0.08</v>
      </c>
      <c r="AP226" s="70">
        <v>0.43</v>
      </c>
      <c r="AQ226" s="73">
        <f t="shared" si="63"/>
        <v>1297</v>
      </c>
      <c r="AR226" s="75">
        <f t="shared" si="64"/>
        <v>0</v>
      </c>
      <c r="AS226" s="75">
        <f t="shared" si="65"/>
        <v>0.60909791827293758</v>
      </c>
      <c r="AT226" s="75">
        <f t="shared" si="66"/>
        <v>0.39090208172706248</v>
      </c>
      <c r="AU226" s="26">
        <f t="shared" si="67"/>
        <v>8.4442404772831575E-2</v>
      </c>
      <c r="AV226" s="26" t="str">
        <f t="shared" si="68"/>
        <v/>
      </c>
      <c r="AW226" s="24">
        <f t="shared" si="69"/>
        <v>0.87352941176470589</v>
      </c>
      <c r="AX226" s="24">
        <f t="shared" si="70"/>
        <v>0.85</v>
      </c>
      <c r="AY226" s="77" t="str">
        <f t="shared" si="71"/>
        <v>5,0 ≤ Alc. Bruta &lt; 7,5 mg/L</v>
      </c>
      <c r="AZ226" s="77" t="str">
        <f t="shared" si="72"/>
        <v>15 ≤ Cor &lt; 30 uC</v>
      </c>
      <c r="BA226" s="78" t="str">
        <f t="shared" si="73"/>
        <v>2,5 ≤ Turb &lt; 5,0 uT</v>
      </c>
      <c r="BB226" s="79" t="str">
        <f t="shared" si="74"/>
        <v>SM &gt; BNN &gt; TOR</v>
      </c>
      <c r="BC226" s="78" t="str">
        <f t="shared" si="75"/>
        <v>Tipo 1 (≤0,25) uT</v>
      </c>
      <c r="BD226" s="78" t="str">
        <f t="shared" si="76"/>
        <v>Tipo 1 (≤0,25) uT</v>
      </c>
      <c r="BE226" s="78" t="str">
        <f t="shared" si="77"/>
        <v>Tipo 3 (0,50-0,75) uT</v>
      </c>
      <c r="BF226" s="78" t="str">
        <f t="shared" si="78"/>
        <v>Tipo 2 (0,25-0,50) uT</v>
      </c>
      <c r="BG226" s="78" t="str">
        <f t="shared" si="79"/>
        <v>Tipo 2 (0,25-0,50) uT</v>
      </c>
    </row>
    <row r="227" spans="1:59" ht="15.75" thickBot="1" x14ac:dyDescent="0.25">
      <c r="A227" s="21">
        <v>46151</v>
      </c>
      <c r="B227" s="48">
        <v>0.47916666666666669</v>
      </c>
      <c r="C227" s="57">
        <v>0</v>
      </c>
      <c r="D227" s="57">
        <v>0</v>
      </c>
      <c r="E227" s="57">
        <v>550</v>
      </c>
      <c r="F227" s="58">
        <v>2179</v>
      </c>
      <c r="G227" s="10" t="s">
        <v>78</v>
      </c>
      <c r="H227" s="63">
        <v>4.7</v>
      </c>
      <c r="I227" s="57">
        <v>90</v>
      </c>
      <c r="J227" s="57">
        <v>90</v>
      </c>
      <c r="K227" s="57">
        <v>90</v>
      </c>
      <c r="L227" s="63">
        <v>24.4</v>
      </c>
      <c r="M227" s="63">
        <v>6.7</v>
      </c>
      <c r="N227" s="36">
        <v>2.29</v>
      </c>
      <c r="O227" s="57">
        <v>13</v>
      </c>
      <c r="P227" s="63">
        <v>8.8000000000000007</v>
      </c>
      <c r="Q227" s="36">
        <v>0.61</v>
      </c>
      <c r="R227" s="36">
        <v>22.36</v>
      </c>
      <c r="S227" s="36">
        <v>0.88</v>
      </c>
      <c r="T227" s="36">
        <v>0.7</v>
      </c>
      <c r="U227" s="42">
        <f t="shared" si="57"/>
        <v>1075.8812500000001</v>
      </c>
      <c r="V227" s="36">
        <f t="shared" si="58"/>
        <v>1663.0688255999999</v>
      </c>
      <c r="W227" s="36">
        <f t="shared" si="59"/>
        <v>1.5457735931358592</v>
      </c>
      <c r="X227" s="58">
        <v>2</v>
      </c>
      <c r="Y227" s="58">
        <v>4</v>
      </c>
      <c r="Z227" s="63">
        <v>6.4</v>
      </c>
      <c r="AA227" s="57">
        <v>21</v>
      </c>
      <c r="AB227" s="63">
        <v>6.7</v>
      </c>
      <c r="AC227" s="63">
        <v>8</v>
      </c>
      <c r="AD227" s="10">
        <v>0.81</v>
      </c>
      <c r="AE227" s="36">
        <v>1.21</v>
      </c>
      <c r="AF227" s="42" t="e">
        <f t="shared" si="60"/>
        <v>#DIV/0!</v>
      </c>
      <c r="AG227" s="42">
        <f t="shared" si="61"/>
        <v>1959.1714050999999</v>
      </c>
      <c r="AH227" s="42" t="e">
        <f t="shared" si="62"/>
        <v>#DIV/0!</v>
      </c>
      <c r="AI227" s="57"/>
      <c r="AJ227" s="57"/>
      <c r="AK227" s="36">
        <v>6.45</v>
      </c>
      <c r="AL227" s="36">
        <v>24.5</v>
      </c>
      <c r="AM227" s="63">
        <v>6.7</v>
      </c>
      <c r="AN227" s="63">
        <v>10.1</v>
      </c>
      <c r="AO227" s="36">
        <v>0.89</v>
      </c>
      <c r="AP227" s="68">
        <v>1.29</v>
      </c>
      <c r="AQ227" s="73">
        <f t="shared" si="63"/>
        <v>550</v>
      </c>
      <c r="AR227" s="75">
        <f t="shared" si="64"/>
        <v>0</v>
      </c>
      <c r="AS227" s="75">
        <f t="shared" si="65"/>
        <v>0</v>
      </c>
      <c r="AT227" s="75">
        <f t="shared" si="66"/>
        <v>1</v>
      </c>
      <c r="AU227" s="26">
        <f t="shared" si="67"/>
        <v>7.7099586966498393E-2</v>
      </c>
      <c r="AV227" s="26" t="str">
        <f t="shared" si="68"/>
        <v/>
      </c>
      <c r="AW227" s="24">
        <f t="shared" si="69"/>
        <v>0.4366812227074236</v>
      </c>
      <c r="AX227" s="24">
        <f t="shared" si="70"/>
        <v>0.47161572052401746</v>
      </c>
      <c r="AY227" s="77" t="str">
        <f t="shared" si="71"/>
        <v>7,5 ≤ Alc. Bruta &lt; 10,0 mg/L</v>
      </c>
      <c r="AZ227" s="77" t="str">
        <f t="shared" si="72"/>
        <v>10 ≤ Cor &lt;15 uC</v>
      </c>
      <c r="BA227" s="78" t="str">
        <f t="shared" si="73"/>
        <v>Turbidez &lt; 2,5 uT</v>
      </c>
      <c r="BB227" s="79" t="str">
        <f t="shared" si="74"/>
        <v>Comb. diferentes</v>
      </c>
      <c r="BC227" s="78" t="str">
        <f t="shared" si="75"/>
        <v>Tipo 4 (&gt;0,75) uT</v>
      </c>
      <c r="BD227" s="78" t="str">
        <f t="shared" si="76"/>
        <v>Tipo 4 (&gt;0,75) uT</v>
      </c>
      <c r="BE227" s="78" t="str">
        <f t="shared" si="77"/>
        <v>Tipo 4 (&gt;0,75) uT</v>
      </c>
      <c r="BF227" s="78" t="str">
        <f t="shared" si="78"/>
        <v>Tipo 4 (&gt;0,75) uT</v>
      </c>
      <c r="BG227" s="78" t="str">
        <f t="shared" si="79"/>
        <v>Tipo 3 (0,50-0,75) uT</v>
      </c>
    </row>
    <row r="228" spans="1:59" x14ac:dyDescent="0.2">
      <c r="A228" s="21">
        <v>46151</v>
      </c>
      <c r="B228" s="48">
        <v>0.64583333333333337</v>
      </c>
      <c r="C228" s="57">
        <v>1200</v>
      </c>
      <c r="D228" s="57">
        <v>80</v>
      </c>
      <c r="E228" s="57">
        <v>500</v>
      </c>
      <c r="F228" s="57">
        <v>1884</v>
      </c>
      <c r="G228" s="10" t="s">
        <v>78</v>
      </c>
      <c r="H228" s="63">
        <v>4.7</v>
      </c>
      <c r="I228" s="57">
        <v>90</v>
      </c>
      <c r="J228" s="57">
        <v>90</v>
      </c>
      <c r="K228" s="57">
        <v>90</v>
      </c>
      <c r="L228" s="63">
        <v>25.5</v>
      </c>
      <c r="M228" s="63">
        <v>6.8</v>
      </c>
      <c r="N228" s="36">
        <v>2.75</v>
      </c>
      <c r="O228" s="57">
        <v>17</v>
      </c>
      <c r="P228" s="63">
        <v>7</v>
      </c>
      <c r="Q228" s="36">
        <v>1.79</v>
      </c>
      <c r="R228" s="36">
        <v>22.36</v>
      </c>
      <c r="S228" s="36">
        <v>0.88</v>
      </c>
      <c r="T228" s="36">
        <v>0.7</v>
      </c>
      <c r="U228" s="42">
        <f t="shared" ref="U228:U291" si="80">(N228+0.3*H228+0.25)*(F228/2/Y228)</f>
        <v>1038.5550000000001</v>
      </c>
      <c r="V228" s="36">
        <f t="shared" ref="V228:V291" si="81">R228*(T228*Z228*0.987-S228)*AA228</f>
        <v>1924.40821248</v>
      </c>
      <c r="W228" s="36">
        <f t="shared" ref="W228:W291" si="82">V228/U228</f>
        <v>1.8529670672039515</v>
      </c>
      <c r="X228" s="57">
        <v>2</v>
      </c>
      <c r="Y228" s="57">
        <v>4</v>
      </c>
      <c r="Z228" s="63">
        <v>6.4</v>
      </c>
      <c r="AA228" s="57">
        <v>24.3</v>
      </c>
      <c r="AB228" s="63">
        <v>6.7</v>
      </c>
      <c r="AC228" s="63">
        <v>8.4</v>
      </c>
      <c r="AD228" s="10">
        <v>2.09</v>
      </c>
      <c r="AE228" s="36">
        <v>2.16</v>
      </c>
      <c r="AF228" s="42">
        <f t="shared" si="60"/>
        <v>1384.74</v>
      </c>
      <c r="AG228" s="42">
        <f t="shared" si="61"/>
        <v>1959.1714050999999</v>
      </c>
      <c r="AH228" s="42">
        <f t="shared" si="62"/>
        <v>1.4148297912243453</v>
      </c>
      <c r="AI228" s="57">
        <v>2</v>
      </c>
      <c r="AJ228" s="57">
        <v>3</v>
      </c>
      <c r="AK228" s="36">
        <v>6.45</v>
      </c>
      <c r="AL228" s="36">
        <v>24.5</v>
      </c>
      <c r="AM228" s="63">
        <v>6.7</v>
      </c>
      <c r="AN228" s="63">
        <v>8.1</v>
      </c>
      <c r="AO228" s="36">
        <v>1.1000000000000001</v>
      </c>
      <c r="AP228" s="68">
        <v>1.79</v>
      </c>
      <c r="AQ228" s="73">
        <f t="shared" si="63"/>
        <v>1780</v>
      </c>
      <c r="AR228" s="75">
        <f t="shared" si="64"/>
        <v>0.6741573033707865</v>
      </c>
      <c r="AS228" s="75">
        <f t="shared" si="65"/>
        <v>4.49438202247191E-2</v>
      </c>
      <c r="AT228" s="75">
        <f t="shared" si="66"/>
        <v>0.2808988764044944</v>
      </c>
      <c r="AU228" s="26">
        <f t="shared" si="67"/>
        <v>0.10318471337579618</v>
      </c>
      <c r="AV228" s="26">
        <f t="shared" si="68"/>
        <v>7.8025477707006366E-2</v>
      </c>
      <c r="AW228" s="24">
        <f t="shared" si="69"/>
        <v>0.34909090909090912</v>
      </c>
      <c r="AX228" s="24">
        <f t="shared" si="70"/>
        <v>0.21454545454545448</v>
      </c>
      <c r="AY228" s="77" t="str">
        <f t="shared" si="71"/>
        <v>5,0 ≤ Alc. Bruta &lt; 7,5 mg/L</v>
      </c>
      <c r="AZ228" s="77" t="str">
        <f t="shared" si="72"/>
        <v>15 ≤ Cor &lt; 30 uC</v>
      </c>
      <c r="BA228" s="78" t="str">
        <f t="shared" si="73"/>
        <v>2,5 ≤ Turb &lt; 5,0 uT</v>
      </c>
      <c r="BB228" s="79" t="str">
        <f t="shared" si="74"/>
        <v>TOR &gt; BNN &gt; SM</v>
      </c>
      <c r="BC228" s="78" t="str">
        <f t="shared" si="75"/>
        <v>Tipo 4 (&gt;0,75) uT</v>
      </c>
      <c r="BD228" s="78" t="str">
        <f t="shared" si="76"/>
        <v>Tipo 4 (&gt;0,75) uT</v>
      </c>
      <c r="BE228" s="78" t="str">
        <f t="shared" si="77"/>
        <v>Tipo 4 (&gt;0,75) uT</v>
      </c>
      <c r="BF228" s="78" t="str">
        <f t="shared" si="78"/>
        <v>Tipo 4 (&gt;0,75) uT</v>
      </c>
      <c r="BG228" s="78" t="str">
        <f t="shared" si="79"/>
        <v>Tipo 4 (&gt;0,75) uT</v>
      </c>
    </row>
    <row r="229" spans="1:59" x14ac:dyDescent="0.2">
      <c r="A229" s="21">
        <v>46151</v>
      </c>
      <c r="B229" s="48">
        <v>0.72916666666666663</v>
      </c>
      <c r="C229" s="57">
        <v>1180</v>
      </c>
      <c r="D229" s="57">
        <v>80</v>
      </c>
      <c r="E229" s="57">
        <v>500</v>
      </c>
      <c r="F229" s="57">
        <v>1760</v>
      </c>
      <c r="G229" s="10" t="s">
        <v>78</v>
      </c>
      <c r="H229" s="63">
        <v>6.5</v>
      </c>
      <c r="I229" s="57">
        <v>90</v>
      </c>
      <c r="J229" s="57">
        <v>90</v>
      </c>
      <c r="K229" s="57">
        <v>90</v>
      </c>
      <c r="L229" s="63">
        <v>25.1</v>
      </c>
      <c r="M229" s="63">
        <v>6.8</v>
      </c>
      <c r="N229" s="36">
        <v>3.67</v>
      </c>
      <c r="O229" s="57">
        <v>17</v>
      </c>
      <c r="P229" s="63">
        <v>7.6</v>
      </c>
      <c r="Q229" s="36">
        <v>1.83</v>
      </c>
      <c r="R229" s="36">
        <v>22.36</v>
      </c>
      <c r="S229" s="36">
        <v>0.88</v>
      </c>
      <c r="T229" s="36">
        <v>0.7</v>
      </c>
      <c r="U229" s="42">
        <f t="shared" si="80"/>
        <v>1721.8666666666666</v>
      </c>
      <c r="V229" s="36">
        <f t="shared" si="81"/>
        <v>1951.6016283399995</v>
      </c>
      <c r="W229" s="36">
        <f t="shared" si="82"/>
        <v>1.1334220390700014</v>
      </c>
      <c r="X229" s="57">
        <v>2</v>
      </c>
      <c r="Y229" s="57">
        <v>3</v>
      </c>
      <c r="Z229" s="63">
        <v>6.43</v>
      </c>
      <c r="AA229" s="57">
        <v>24.5</v>
      </c>
      <c r="AB229" s="63">
        <v>6.7</v>
      </c>
      <c r="AC229" s="63">
        <v>7.1</v>
      </c>
      <c r="AD229" s="10">
        <v>0.28000000000000003</v>
      </c>
      <c r="AE229" s="36">
        <v>1.97</v>
      </c>
      <c r="AF229" s="42">
        <f t="shared" ref="AF229:AF292" si="83">(N229+0.3*H229+0.25)*(F229/2/AJ229)</f>
        <v>1721.8666666666666</v>
      </c>
      <c r="AG229" s="42">
        <f t="shared" ref="AG229:AG292" si="84">R229*(T229*AK229*0.987-S229)*AL229</f>
        <v>1959.1714050999999</v>
      </c>
      <c r="AH229" s="42">
        <f t="shared" ref="AH229:AH292" si="85">AG229/AF229</f>
        <v>1.1378183009330958</v>
      </c>
      <c r="AI229" s="57">
        <v>2</v>
      </c>
      <c r="AJ229" s="57">
        <v>3</v>
      </c>
      <c r="AK229" s="36">
        <v>6.45</v>
      </c>
      <c r="AL229" s="36">
        <v>24.5</v>
      </c>
      <c r="AM229" s="63">
        <v>6.7</v>
      </c>
      <c r="AN229" s="63">
        <v>6.5</v>
      </c>
      <c r="AO229" s="36">
        <v>0.15</v>
      </c>
      <c r="AP229" s="68">
        <v>1.59</v>
      </c>
      <c r="AQ229" s="73">
        <f t="shared" si="63"/>
        <v>1760</v>
      </c>
      <c r="AR229" s="75">
        <f t="shared" si="64"/>
        <v>0.67045454545454541</v>
      </c>
      <c r="AS229" s="75">
        <f t="shared" si="65"/>
        <v>4.5454545454545456E-2</v>
      </c>
      <c r="AT229" s="75">
        <f t="shared" si="66"/>
        <v>0.28409090909090912</v>
      </c>
      <c r="AU229" s="26">
        <f t="shared" si="67"/>
        <v>8.3522727272727276E-2</v>
      </c>
      <c r="AV229" s="26">
        <f t="shared" si="68"/>
        <v>8.3522727272727276E-2</v>
      </c>
      <c r="AW229" s="24">
        <f t="shared" si="69"/>
        <v>0.56675749318801083</v>
      </c>
      <c r="AX229" s="24">
        <f t="shared" si="70"/>
        <v>0.46321525885558579</v>
      </c>
      <c r="AY229" s="77" t="str">
        <f t="shared" si="71"/>
        <v>7,5 ≤ Alc. Bruta &lt; 10,0 mg/L</v>
      </c>
      <c r="AZ229" s="77" t="str">
        <f t="shared" si="72"/>
        <v>15 ≤ Cor &lt; 30 uC</v>
      </c>
      <c r="BA229" s="78" t="str">
        <f t="shared" si="73"/>
        <v>2,5 ≤ Turb &lt; 5,0 uT</v>
      </c>
      <c r="BB229" s="79" t="str">
        <f t="shared" si="74"/>
        <v>TOR &gt; BNN &gt; SM</v>
      </c>
      <c r="BC229" s="78" t="str">
        <f t="shared" si="75"/>
        <v>Tipo 2 (0,25-0,50) uT</v>
      </c>
      <c r="BD229" s="78" t="str">
        <f t="shared" si="76"/>
        <v>Tipo 1 (≤0,25) uT</v>
      </c>
      <c r="BE229" s="78" t="str">
        <f t="shared" si="77"/>
        <v>Tipo 4 (&gt;0,75) uT</v>
      </c>
      <c r="BF229" s="78" t="str">
        <f t="shared" si="78"/>
        <v>Tipo 4 (&gt;0,75) uT</v>
      </c>
      <c r="BG229" s="78" t="str">
        <f t="shared" si="79"/>
        <v>Tipo 4 (&gt;0,75) uT</v>
      </c>
    </row>
    <row r="230" spans="1:59" x14ac:dyDescent="0.2">
      <c r="A230" s="21">
        <v>46151</v>
      </c>
      <c r="B230" s="48">
        <v>0.8125</v>
      </c>
      <c r="C230" s="57">
        <v>1131</v>
      </c>
      <c r="D230" s="57">
        <v>89</v>
      </c>
      <c r="E230" s="57">
        <v>499</v>
      </c>
      <c r="F230" s="57">
        <v>1712</v>
      </c>
      <c r="G230" s="10" t="s">
        <v>78</v>
      </c>
      <c r="H230" s="63">
        <v>6.5</v>
      </c>
      <c r="I230" s="57">
        <v>90</v>
      </c>
      <c r="J230" s="57">
        <v>90</v>
      </c>
      <c r="K230" s="57">
        <v>90</v>
      </c>
      <c r="L230" s="63">
        <v>24.5</v>
      </c>
      <c r="M230" s="63">
        <v>6.7</v>
      </c>
      <c r="N230" s="36">
        <v>3.7</v>
      </c>
      <c r="O230" s="57">
        <v>16</v>
      </c>
      <c r="P230" s="63">
        <v>8.1999999999999993</v>
      </c>
      <c r="Q230" s="36">
        <v>0.16</v>
      </c>
      <c r="R230" s="36">
        <v>22.36</v>
      </c>
      <c r="S230" s="36">
        <v>0.88</v>
      </c>
      <c r="T230" s="36">
        <v>0.7</v>
      </c>
      <c r="U230" s="42">
        <f t="shared" si="80"/>
        <v>1683.4666666666667</v>
      </c>
      <c r="V230" s="36">
        <f t="shared" si="81"/>
        <v>1951.6016283399995</v>
      </c>
      <c r="W230" s="36">
        <f t="shared" si="82"/>
        <v>1.1592754801639471</v>
      </c>
      <c r="X230" s="57">
        <v>2</v>
      </c>
      <c r="Y230" s="57">
        <v>3</v>
      </c>
      <c r="Z230" s="63">
        <v>6.43</v>
      </c>
      <c r="AA230" s="57">
        <v>24.5</v>
      </c>
      <c r="AB230" s="63">
        <v>6.5</v>
      </c>
      <c r="AC230" s="63">
        <v>7.6</v>
      </c>
      <c r="AD230" s="10">
        <v>0.56000000000000005</v>
      </c>
      <c r="AE230" s="36">
        <v>0.12</v>
      </c>
      <c r="AF230" s="42">
        <f t="shared" si="83"/>
        <v>1683.4666666666667</v>
      </c>
      <c r="AG230" s="42">
        <f t="shared" si="84"/>
        <v>0</v>
      </c>
      <c r="AH230" s="42">
        <f t="shared" si="85"/>
        <v>0</v>
      </c>
      <c r="AI230" s="57">
        <v>2</v>
      </c>
      <c r="AJ230" s="57">
        <v>3</v>
      </c>
      <c r="AK230" s="36"/>
      <c r="AL230" s="36"/>
      <c r="AM230" s="63">
        <v>6.7</v>
      </c>
      <c r="AN230" s="63">
        <v>6.4</v>
      </c>
      <c r="AO230" s="36">
        <v>0.13</v>
      </c>
      <c r="AP230" s="68">
        <v>0.16</v>
      </c>
      <c r="AQ230" s="73">
        <f t="shared" si="63"/>
        <v>1719</v>
      </c>
      <c r="AR230" s="75">
        <f t="shared" si="64"/>
        <v>0.65794066317626532</v>
      </c>
      <c r="AS230" s="75">
        <f t="shared" si="65"/>
        <v>5.1774287376381616E-2</v>
      </c>
      <c r="AT230" s="75">
        <f t="shared" si="66"/>
        <v>0.29028504944735312</v>
      </c>
      <c r="AU230" s="26">
        <f t="shared" si="67"/>
        <v>8.5864485981308414E-2</v>
      </c>
      <c r="AV230" s="26">
        <f t="shared" si="68"/>
        <v>0</v>
      </c>
      <c r="AW230" s="24">
        <f t="shared" si="69"/>
        <v>0.95675675675675675</v>
      </c>
      <c r="AX230" s="24">
        <f t="shared" si="70"/>
        <v>0.96756756756756757</v>
      </c>
      <c r="AY230" s="77" t="str">
        <f t="shared" si="71"/>
        <v>7,5 ≤ Alc. Bruta &lt; 10,0 mg/L</v>
      </c>
      <c r="AZ230" s="77" t="str">
        <f t="shared" si="72"/>
        <v>15 ≤ Cor &lt; 30 uC</v>
      </c>
      <c r="BA230" s="78" t="str">
        <f t="shared" si="73"/>
        <v>2,5 ≤ Turb &lt; 5,0 uT</v>
      </c>
      <c r="BB230" s="79" t="str">
        <f t="shared" si="74"/>
        <v>TOR &gt; BNN &gt; SM</v>
      </c>
      <c r="BC230" s="78" t="str">
        <f t="shared" si="75"/>
        <v>Tipo 3 (0,50-0,75) uT</v>
      </c>
      <c r="BD230" s="78" t="str">
        <f t="shared" si="76"/>
        <v>Tipo 1 (≤0,25) uT</v>
      </c>
      <c r="BE230" s="78" t="str">
        <f t="shared" si="77"/>
        <v>Tipo 1 (≤0,25) uT</v>
      </c>
      <c r="BF230" s="78" t="str">
        <f t="shared" si="78"/>
        <v>Tipo 1 (≤0,25) uT</v>
      </c>
      <c r="BG230" s="78" t="str">
        <f t="shared" si="79"/>
        <v>Tipo 1 (≤0,25) uT</v>
      </c>
    </row>
    <row r="231" spans="1:59" x14ac:dyDescent="0.2">
      <c r="A231" s="21">
        <v>46151</v>
      </c>
      <c r="B231" s="48">
        <v>0.89583333333333337</v>
      </c>
      <c r="C231" s="57">
        <v>1212</v>
      </c>
      <c r="D231" s="57">
        <v>87</v>
      </c>
      <c r="E231" s="57">
        <v>500</v>
      </c>
      <c r="F231" s="57">
        <v>1819</v>
      </c>
      <c r="G231" s="10" t="s">
        <v>78</v>
      </c>
      <c r="H231" s="63">
        <v>6.4</v>
      </c>
      <c r="I231" s="57">
        <v>90</v>
      </c>
      <c r="J231" s="57">
        <v>90</v>
      </c>
      <c r="K231" s="57">
        <v>90</v>
      </c>
      <c r="L231" s="63">
        <v>24.4</v>
      </c>
      <c r="M231" s="63">
        <v>6.8</v>
      </c>
      <c r="N231" s="36">
        <v>4.07</v>
      </c>
      <c r="O231" s="57">
        <v>13</v>
      </c>
      <c r="P231" s="63">
        <v>7.8</v>
      </c>
      <c r="Q231" s="36">
        <v>0.08</v>
      </c>
      <c r="R231" s="36">
        <v>22.36</v>
      </c>
      <c r="S231" s="36">
        <v>0.88</v>
      </c>
      <c r="T231" s="36">
        <v>0.7</v>
      </c>
      <c r="U231" s="42">
        <f t="shared" si="80"/>
        <v>1891.7600000000002</v>
      </c>
      <c r="V231" s="36">
        <f t="shared" si="81"/>
        <v>1446.9291430047997</v>
      </c>
      <c r="W231" s="36">
        <f t="shared" si="82"/>
        <v>0.76485872573941704</v>
      </c>
      <c r="X231" s="57">
        <v>2</v>
      </c>
      <c r="Y231" s="57">
        <v>3</v>
      </c>
      <c r="Z231" s="63">
        <v>6.48</v>
      </c>
      <c r="AA231" s="57">
        <v>17.989999999999998</v>
      </c>
      <c r="AB231" s="63">
        <v>6.5</v>
      </c>
      <c r="AC231" s="63">
        <v>7.1</v>
      </c>
      <c r="AD231" s="10">
        <v>0.28000000000000003</v>
      </c>
      <c r="AE231" s="36">
        <v>0.22</v>
      </c>
      <c r="AF231" s="42">
        <f t="shared" si="83"/>
        <v>1891.7600000000002</v>
      </c>
      <c r="AG231" s="42">
        <f t="shared" si="84"/>
        <v>1849.5188796239997</v>
      </c>
      <c r="AH231" s="42">
        <f t="shared" si="85"/>
        <v>0.9776709940076963</v>
      </c>
      <c r="AI231" s="57">
        <v>2</v>
      </c>
      <c r="AJ231" s="57">
        <v>3</v>
      </c>
      <c r="AK231" s="36">
        <v>6.39</v>
      </c>
      <c r="AL231" s="36">
        <v>23.4</v>
      </c>
      <c r="AM231" s="63">
        <v>6.4</v>
      </c>
      <c r="AN231" s="63">
        <v>5.7</v>
      </c>
      <c r="AO231" s="36">
        <v>0.14000000000000001</v>
      </c>
      <c r="AP231" s="68">
        <v>0.16</v>
      </c>
      <c r="AQ231" s="73">
        <f t="shared" si="63"/>
        <v>1799</v>
      </c>
      <c r="AR231" s="75">
        <f t="shared" si="64"/>
        <v>0.67370761534185664</v>
      </c>
      <c r="AS231" s="75">
        <f t="shared" si="65"/>
        <v>4.8360200111172875E-2</v>
      </c>
      <c r="AT231" s="75">
        <f t="shared" si="66"/>
        <v>0.27793218454697055</v>
      </c>
      <c r="AU231" s="26">
        <f t="shared" si="67"/>
        <v>5.9340296866410104E-2</v>
      </c>
      <c r="AV231" s="26">
        <f t="shared" si="68"/>
        <v>7.7185266630016486E-2</v>
      </c>
      <c r="AW231" s="24">
        <f t="shared" si="69"/>
        <v>0.9606879606879607</v>
      </c>
      <c r="AX231" s="24">
        <f t="shared" si="70"/>
        <v>0.94594594594594594</v>
      </c>
      <c r="AY231" s="77" t="str">
        <f t="shared" si="71"/>
        <v>7,5 ≤ Alc. Bruta &lt; 10,0 mg/L</v>
      </c>
      <c r="AZ231" s="77" t="str">
        <f t="shared" si="72"/>
        <v>10 ≤ Cor &lt;15 uC</v>
      </c>
      <c r="BA231" s="78" t="str">
        <f t="shared" si="73"/>
        <v>2,5 ≤ Turb &lt; 5,0 uT</v>
      </c>
      <c r="BB231" s="79" t="str">
        <f t="shared" si="74"/>
        <v>TOR &gt; BNN &gt; SM</v>
      </c>
      <c r="BC231" s="78" t="str">
        <f t="shared" si="75"/>
        <v>Tipo 2 (0,25-0,50) uT</v>
      </c>
      <c r="BD231" s="78" t="str">
        <f t="shared" si="76"/>
        <v>Tipo 1 (≤0,25) uT</v>
      </c>
      <c r="BE231" s="78" t="str">
        <f t="shared" si="77"/>
        <v>Tipo 1 (≤0,25) uT</v>
      </c>
      <c r="BF231" s="78" t="str">
        <f t="shared" si="78"/>
        <v>Tipo 1 (≤0,25) uT</v>
      </c>
      <c r="BG231" s="78" t="str">
        <f t="shared" si="79"/>
        <v>Tipo 1 (≤0,25) uT</v>
      </c>
    </row>
    <row r="232" spans="1:59" x14ac:dyDescent="0.2">
      <c r="A232" s="21">
        <v>46151</v>
      </c>
      <c r="B232" s="48">
        <v>0.97916666666666663</v>
      </c>
      <c r="C232" s="57">
        <v>1212</v>
      </c>
      <c r="D232" s="57">
        <v>87</v>
      </c>
      <c r="E232" s="57">
        <v>500</v>
      </c>
      <c r="F232" s="57">
        <v>1870</v>
      </c>
      <c r="G232" s="10" t="s">
        <v>78</v>
      </c>
      <c r="H232" s="63">
        <v>6</v>
      </c>
      <c r="I232" s="57">
        <v>90</v>
      </c>
      <c r="J232" s="57">
        <v>90</v>
      </c>
      <c r="K232" s="57">
        <v>90</v>
      </c>
      <c r="L232" s="63">
        <v>23.4</v>
      </c>
      <c r="M232" s="63">
        <v>6.7</v>
      </c>
      <c r="N232" s="36">
        <v>4.2300000000000004</v>
      </c>
      <c r="O232" s="57">
        <v>17</v>
      </c>
      <c r="P232" s="63">
        <v>8.1999999999999993</v>
      </c>
      <c r="Q232" s="36">
        <v>7.0000000000000007E-2</v>
      </c>
      <c r="R232" s="36">
        <v>22.36</v>
      </c>
      <c r="S232" s="36">
        <v>0.88</v>
      </c>
      <c r="T232" s="36">
        <v>0.7</v>
      </c>
      <c r="U232" s="42">
        <f t="shared" si="80"/>
        <v>1957.2666666666669</v>
      </c>
      <c r="V232" s="36">
        <f t="shared" si="81"/>
        <v>1626.1536685680001</v>
      </c>
      <c r="W232" s="36">
        <f t="shared" si="82"/>
        <v>0.8308288779767703</v>
      </c>
      <c r="X232" s="57">
        <v>2</v>
      </c>
      <c r="Y232" s="57">
        <v>3</v>
      </c>
      <c r="Z232" s="63">
        <v>6.59</v>
      </c>
      <c r="AA232" s="57">
        <v>19.8</v>
      </c>
      <c r="AB232" s="63">
        <v>6.5</v>
      </c>
      <c r="AC232" s="63">
        <v>7.1</v>
      </c>
      <c r="AD232" s="10">
        <v>0.2</v>
      </c>
      <c r="AE232" s="36">
        <v>0.16</v>
      </c>
      <c r="AF232" s="42">
        <f t="shared" si="83"/>
        <v>1957.2666666666669</v>
      </c>
      <c r="AG232" s="42">
        <f t="shared" si="84"/>
        <v>1901.3924902751996</v>
      </c>
      <c r="AH232" s="42">
        <f t="shared" si="85"/>
        <v>0.9714529566445721</v>
      </c>
      <c r="AI232" s="57">
        <v>2</v>
      </c>
      <c r="AJ232" s="57">
        <v>3</v>
      </c>
      <c r="AK232" s="36">
        <v>6.32</v>
      </c>
      <c r="AL232" s="36">
        <v>24.39</v>
      </c>
      <c r="AM232" s="63">
        <v>6.5</v>
      </c>
      <c r="AN232" s="63">
        <v>6.1</v>
      </c>
      <c r="AO232" s="36">
        <v>0.14000000000000001</v>
      </c>
      <c r="AP232" s="68">
        <v>0.21</v>
      </c>
      <c r="AQ232" s="73">
        <f t="shared" si="63"/>
        <v>1799</v>
      </c>
      <c r="AR232" s="75">
        <f t="shared" si="64"/>
        <v>0.67370761534185664</v>
      </c>
      <c r="AS232" s="75">
        <f t="shared" si="65"/>
        <v>4.8360200111172875E-2</v>
      </c>
      <c r="AT232" s="75">
        <f t="shared" si="66"/>
        <v>0.27793218454697055</v>
      </c>
      <c r="AU232" s="26">
        <f t="shared" si="67"/>
        <v>6.3529411764705876E-2</v>
      </c>
      <c r="AV232" s="26">
        <f t="shared" si="68"/>
        <v>7.8256684491978604E-2</v>
      </c>
      <c r="AW232" s="24">
        <f t="shared" si="69"/>
        <v>0.95035460992907805</v>
      </c>
      <c r="AX232" s="24">
        <f t="shared" si="70"/>
        <v>0.9621749408983451</v>
      </c>
      <c r="AY232" s="77" t="str">
        <f t="shared" si="71"/>
        <v>7,5 ≤ Alc. Bruta &lt; 10,0 mg/L</v>
      </c>
      <c r="AZ232" s="77" t="str">
        <f t="shared" si="72"/>
        <v>15 ≤ Cor &lt; 30 uC</v>
      </c>
      <c r="BA232" s="78" t="str">
        <f t="shared" si="73"/>
        <v>2,5 ≤ Turb &lt; 5,0 uT</v>
      </c>
      <c r="BB232" s="79" t="str">
        <f t="shared" si="74"/>
        <v>TOR &gt; BNN &gt; SM</v>
      </c>
      <c r="BC232" s="78" t="str">
        <f t="shared" si="75"/>
        <v>Tipo 1 (≤0,25) uT</v>
      </c>
      <c r="BD232" s="78" t="str">
        <f t="shared" si="76"/>
        <v>Tipo 1 (≤0,25) uT</v>
      </c>
      <c r="BE232" s="78" t="str">
        <f t="shared" si="77"/>
        <v>Tipo 1 (≤0,25) uT</v>
      </c>
      <c r="BF232" s="78" t="str">
        <f t="shared" si="78"/>
        <v>Tipo 1 (≤0,25) uT</v>
      </c>
      <c r="BG232" s="78" t="str">
        <f t="shared" si="79"/>
        <v>Tipo 1 (≤0,25) uT</v>
      </c>
    </row>
    <row r="233" spans="1:59" x14ac:dyDescent="0.2">
      <c r="A233" s="21">
        <v>46152</v>
      </c>
      <c r="B233" s="48">
        <v>6.25E-2</v>
      </c>
      <c r="C233" s="57">
        <v>1101</v>
      </c>
      <c r="D233" s="57">
        <v>86</v>
      </c>
      <c r="E233" s="57">
        <v>501</v>
      </c>
      <c r="F233" s="57">
        <v>1881</v>
      </c>
      <c r="G233" s="10" t="s">
        <v>78</v>
      </c>
      <c r="H233" s="63">
        <v>6</v>
      </c>
      <c r="I233" s="57">
        <v>90</v>
      </c>
      <c r="J233" s="57">
        <v>90</v>
      </c>
      <c r="K233" s="57">
        <v>90</v>
      </c>
      <c r="L233" s="63">
        <v>23.4</v>
      </c>
      <c r="M233" s="63">
        <v>6.7</v>
      </c>
      <c r="N233" s="36">
        <v>4.2300000000000004</v>
      </c>
      <c r="O233" s="57">
        <v>17</v>
      </c>
      <c r="P233" s="63">
        <v>8.1999999999999993</v>
      </c>
      <c r="Q233" s="36">
        <v>7.0000000000000007E-2</v>
      </c>
      <c r="R233" s="36">
        <v>22.36</v>
      </c>
      <c r="S233" s="36">
        <v>0.88</v>
      </c>
      <c r="T233" s="36">
        <v>0.7</v>
      </c>
      <c r="U233" s="42">
        <f t="shared" si="80"/>
        <v>1968.78</v>
      </c>
      <c r="V233" s="36">
        <f t="shared" si="81"/>
        <v>1626.1536685680001</v>
      </c>
      <c r="W233" s="36">
        <f t="shared" si="82"/>
        <v>0.82597022956754951</v>
      </c>
      <c r="X233" s="57">
        <v>2</v>
      </c>
      <c r="Y233" s="57">
        <v>3</v>
      </c>
      <c r="Z233" s="63">
        <v>6.59</v>
      </c>
      <c r="AA233" s="57">
        <v>19.8</v>
      </c>
      <c r="AB233" s="63">
        <v>6.5</v>
      </c>
      <c r="AC233" s="63">
        <v>7.1</v>
      </c>
      <c r="AD233" s="10">
        <v>0.2</v>
      </c>
      <c r="AE233" s="36">
        <v>0.16</v>
      </c>
      <c r="AF233" s="42">
        <f t="shared" si="83"/>
        <v>1968.78</v>
      </c>
      <c r="AG233" s="42">
        <f t="shared" si="84"/>
        <v>1897.4945966911996</v>
      </c>
      <c r="AH233" s="42">
        <f t="shared" si="85"/>
        <v>0.96379209291601886</v>
      </c>
      <c r="AI233" s="57">
        <v>2</v>
      </c>
      <c r="AJ233" s="57">
        <v>3</v>
      </c>
      <c r="AK233" s="36">
        <v>6.32</v>
      </c>
      <c r="AL233" s="36">
        <v>24.34</v>
      </c>
      <c r="AM233" s="63">
        <v>6.5</v>
      </c>
      <c r="AN233" s="63">
        <v>6.1</v>
      </c>
      <c r="AO233" s="36">
        <v>0.14000000000000001</v>
      </c>
      <c r="AP233" s="68">
        <v>0.21</v>
      </c>
      <c r="AQ233" s="73">
        <f t="shared" si="63"/>
        <v>1688</v>
      </c>
      <c r="AR233" s="75">
        <f t="shared" si="64"/>
        <v>0.65225118483412325</v>
      </c>
      <c r="AS233" s="75">
        <f t="shared" si="65"/>
        <v>5.0947867298578198E-2</v>
      </c>
      <c r="AT233" s="75">
        <f t="shared" si="66"/>
        <v>0.2968009478672986</v>
      </c>
      <c r="AU233" s="26">
        <f t="shared" si="67"/>
        <v>6.3157894736842107E-2</v>
      </c>
      <c r="AV233" s="26">
        <f t="shared" si="68"/>
        <v>7.7639553429027119E-2</v>
      </c>
      <c r="AW233" s="24">
        <f t="shared" si="69"/>
        <v>0.95035460992907805</v>
      </c>
      <c r="AX233" s="24">
        <f t="shared" si="70"/>
        <v>0.9621749408983451</v>
      </c>
      <c r="AY233" s="77" t="str">
        <f t="shared" si="71"/>
        <v>7,5 ≤ Alc. Bruta &lt; 10,0 mg/L</v>
      </c>
      <c r="AZ233" s="77" t="str">
        <f t="shared" si="72"/>
        <v>15 ≤ Cor &lt; 30 uC</v>
      </c>
      <c r="BA233" s="78" t="str">
        <f t="shared" si="73"/>
        <v>2,5 ≤ Turb &lt; 5,0 uT</v>
      </c>
      <c r="BB233" s="79" t="str">
        <f t="shared" si="74"/>
        <v>TOR &gt; BNN &gt; SM</v>
      </c>
      <c r="BC233" s="78" t="str">
        <f t="shared" si="75"/>
        <v>Tipo 1 (≤0,25) uT</v>
      </c>
      <c r="BD233" s="78" t="str">
        <f t="shared" si="76"/>
        <v>Tipo 1 (≤0,25) uT</v>
      </c>
      <c r="BE233" s="78" t="str">
        <f t="shared" si="77"/>
        <v>Tipo 1 (≤0,25) uT</v>
      </c>
      <c r="BF233" s="78" t="str">
        <f t="shared" si="78"/>
        <v>Tipo 1 (≤0,25) uT</v>
      </c>
      <c r="BG233" s="78" t="str">
        <f t="shared" si="79"/>
        <v>Tipo 1 (≤0,25) uT</v>
      </c>
    </row>
    <row r="234" spans="1:59" x14ac:dyDescent="0.2">
      <c r="A234" s="21">
        <v>46152</v>
      </c>
      <c r="B234" s="48">
        <v>0.14583333333333334</v>
      </c>
      <c r="C234" s="57">
        <v>1103</v>
      </c>
      <c r="D234" s="57">
        <v>90</v>
      </c>
      <c r="E234" s="57">
        <v>500</v>
      </c>
      <c r="F234" s="57">
        <v>1784</v>
      </c>
      <c r="G234" s="10" t="s">
        <v>78</v>
      </c>
      <c r="H234" s="63">
        <v>5.6</v>
      </c>
      <c r="I234" s="57">
        <v>90</v>
      </c>
      <c r="J234" s="57">
        <v>90</v>
      </c>
      <c r="K234" s="57">
        <v>90</v>
      </c>
      <c r="L234" s="63">
        <v>23.3</v>
      </c>
      <c r="M234" s="63">
        <v>6.7</v>
      </c>
      <c r="N234" s="36">
        <v>3.47</v>
      </c>
      <c r="O234" s="57">
        <v>21</v>
      </c>
      <c r="P234" s="63">
        <v>7.9</v>
      </c>
      <c r="Q234" s="36">
        <v>0.09</v>
      </c>
      <c r="R234" s="36">
        <v>22.36</v>
      </c>
      <c r="S234" s="36">
        <v>0.88</v>
      </c>
      <c r="T234" s="36">
        <v>0.7</v>
      </c>
      <c r="U234" s="42">
        <f t="shared" si="80"/>
        <v>1605.6</v>
      </c>
      <c r="V234" s="36">
        <f t="shared" si="81"/>
        <v>1452.3725705215998</v>
      </c>
      <c r="W234" s="36">
        <f t="shared" si="82"/>
        <v>0.90456687252217227</v>
      </c>
      <c r="X234" s="57">
        <v>2</v>
      </c>
      <c r="Y234" s="57">
        <v>3</v>
      </c>
      <c r="Z234" s="63">
        <v>6.52</v>
      </c>
      <c r="AA234" s="57">
        <v>17.920000000000002</v>
      </c>
      <c r="AB234" s="63">
        <v>6.5</v>
      </c>
      <c r="AC234" s="63">
        <v>5.8</v>
      </c>
      <c r="AD234" s="10">
        <v>0.2</v>
      </c>
      <c r="AE234" s="36">
        <v>0.16</v>
      </c>
      <c r="AF234" s="42">
        <f t="shared" si="83"/>
        <v>1605.6</v>
      </c>
      <c r="AG234" s="42">
        <f t="shared" si="84"/>
        <v>2036.8692910228003</v>
      </c>
      <c r="AH234" s="42">
        <f t="shared" si="85"/>
        <v>1.2686031957042854</v>
      </c>
      <c r="AI234" s="57">
        <v>2</v>
      </c>
      <c r="AJ234" s="57">
        <v>3</v>
      </c>
      <c r="AK234" s="36">
        <v>6.41</v>
      </c>
      <c r="AL234" s="36">
        <v>25.67</v>
      </c>
      <c r="AM234" s="63">
        <v>6.5</v>
      </c>
      <c r="AN234" s="63">
        <v>6.3</v>
      </c>
      <c r="AO234" s="36">
        <v>0.24</v>
      </c>
      <c r="AP234" s="68">
        <v>0.27</v>
      </c>
      <c r="AQ234" s="73">
        <f t="shared" si="63"/>
        <v>1693</v>
      </c>
      <c r="AR234" s="75">
        <f t="shared" si="64"/>
        <v>0.65150620200826936</v>
      </c>
      <c r="AS234" s="75">
        <f t="shared" si="65"/>
        <v>5.3160070880094508E-2</v>
      </c>
      <c r="AT234" s="75">
        <f t="shared" si="66"/>
        <v>0.29533372711163614</v>
      </c>
      <c r="AU234" s="26">
        <f t="shared" si="67"/>
        <v>6.0269058295964135E-2</v>
      </c>
      <c r="AV234" s="26">
        <f t="shared" si="68"/>
        <v>8.6334080717488798E-2</v>
      </c>
      <c r="AW234" s="24">
        <f t="shared" si="69"/>
        <v>0.9221902017291066</v>
      </c>
      <c r="AX234" s="24">
        <f t="shared" si="70"/>
        <v>0.95389048991354464</v>
      </c>
      <c r="AY234" s="77" t="str">
        <f t="shared" si="71"/>
        <v>7,5 ≤ Alc. Bruta &lt; 10,0 mg/L</v>
      </c>
      <c r="AZ234" s="77" t="str">
        <f t="shared" si="72"/>
        <v>15 ≤ Cor &lt; 30 uC</v>
      </c>
      <c r="BA234" s="78" t="str">
        <f t="shared" si="73"/>
        <v>2,5 ≤ Turb &lt; 5,0 uT</v>
      </c>
      <c r="BB234" s="79" t="str">
        <f t="shared" si="74"/>
        <v>TOR &gt; BNN &gt; SM</v>
      </c>
      <c r="BC234" s="78" t="str">
        <f t="shared" si="75"/>
        <v>Tipo 1 (≤0,25) uT</v>
      </c>
      <c r="BD234" s="78" t="str">
        <f t="shared" si="76"/>
        <v>Tipo 1 (≤0,25) uT</v>
      </c>
      <c r="BE234" s="78" t="str">
        <f t="shared" si="77"/>
        <v>Tipo 1 (≤0,25) uT</v>
      </c>
      <c r="BF234" s="78" t="str">
        <f t="shared" si="78"/>
        <v>Tipo 2 (0,25-0,50) uT</v>
      </c>
      <c r="BG234" s="78" t="str">
        <f t="shared" si="79"/>
        <v>Tipo 1 (≤0,25) uT</v>
      </c>
    </row>
    <row r="235" spans="1:59" ht="15.75" thickBot="1" x14ac:dyDescent="0.25">
      <c r="A235" s="21">
        <v>46152</v>
      </c>
      <c r="B235" s="51">
        <v>0.22916666666666666</v>
      </c>
      <c r="C235" s="58">
        <v>1150</v>
      </c>
      <c r="D235" s="58">
        <v>92</v>
      </c>
      <c r="E235" s="58">
        <v>499</v>
      </c>
      <c r="F235" s="58">
        <v>1873</v>
      </c>
      <c r="G235" s="11" t="s">
        <v>78</v>
      </c>
      <c r="H235" s="64">
        <v>5.5</v>
      </c>
      <c r="I235" s="58">
        <v>90</v>
      </c>
      <c r="J235" s="58">
        <v>90</v>
      </c>
      <c r="K235" s="58">
        <v>90</v>
      </c>
      <c r="L235" s="64">
        <v>23.2</v>
      </c>
      <c r="M235" s="64">
        <v>6.7</v>
      </c>
      <c r="N235" s="37">
        <v>3.81</v>
      </c>
      <c r="O235" s="58">
        <v>19</v>
      </c>
      <c r="P235" s="64">
        <v>7.7</v>
      </c>
      <c r="Q235" s="37">
        <v>0.13</v>
      </c>
      <c r="R235" s="36">
        <v>22.36</v>
      </c>
      <c r="S235" s="36">
        <v>0.88</v>
      </c>
      <c r="T235" s="36">
        <v>0.7</v>
      </c>
      <c r="U235" s="42">
        <f t="shared" si="80"/>
        <v>1782.4716666666668</v>
      </c>
      <c r="V235" s="36">
        <f t="shared" si="81"/>
        <v>1444.5162539391999</v>
      </c>
      <c r="W235" s="36">
        <f t="shared" si="82"/>
        <v>0.81040068179065949</v>
      </c>
      <c r="X235" s="58">
        <v>2</v>
      </c>
      <c r="Y235" s="58">
        <v>3</v>
      </c>
      <c r="Z235" s="64">
        <v>6.48</v>
      </c>
      <c r="AA235" s="58">
        <v>17.96</v>
      </c>
      <c r="AB235" s="64">
        <v>6.5</v>
      </c>
      <c r="AC235" s="64">
        <v>6.3</v>
      </c>
      <c r="AD235" s="11">
        <v>0.23</v>
      </c>
      <c r="AE235" s="37">
        <v>0.28000000000000003</v>
      </c>
      <c r="AF235" s="42">
        <f t="shared" si="83"/>
        <v>1782.4716666666668</v>
      </c>
      <c r="AG235" s="42">
        <f t="shared" si="84"/>
        <v>1793.8760223071999</v>
      </c>
      <c r="AH235" s="42">
        <f t="shared" si="85"/>
        <v>1.0063980571774584</v>
      </c>
      <c r="AI235" s="58">
        <v>2</v>
      </c>
      <c r="AJ235" s="58">
        <v>3</v>
      </c>
      <c r="AK235" s="37">
        <v>6.34</v>
      </c>
      <c r="AL235" s="37">
        <v>22.92</v>
      </c>
      <c r="AM235" s="64">
        <v>6.5</v>
      </c>
      <c r="AN235" s="64">
        <v>6.2</v>
      </c>
      <c r="AO235" s="37">
        <v>0.11</v>
      </c>
      <c r="AP235" s="69">
        <v>0.26</v>
      </c>
      <c r="AQ235" s="73">
        <f t="shared" si="63"/>
        <v>1741</v>
      </c>
      <c r="AR235" s="75">
        <f t="shared" si="64"/>
        <v>0.66053991958644453</v>
      </c>
      <c r="AS235" s="75">
        <f t="shared" si="65"/>
        <v>5.2843193566915567E-2</v>
      </c>
      <c r="AT235" s="75">
        <f t="shared" si="66"/>
        <v>0.28661688684663988</v>
      </c>
      <c r="AU235" s="26">
        <f t="shared" si="67"/>
        <v>5.7533368926855309E-2</v>
      </c>
      <c r="AV235" s="26">
        <f t="shared" si="68"/>
        <v>7.3422317138280832E-2</v>
      </c>
      <c r="AW235" s="24">
        <f t="shared" si="69"/>
        <v>0.93175853018372701</v>
      </c>
      <c r="AX235" s="24">
        <f t="shared" si="70"/>
        <v>0.92650918635170598</v>
      </c>
      <c r="AY235" s="77" t="str">
        <f t="shared" si="71"/>
        <v>7,5 ≤ Alc. Bruta &lt; 10,0 mg/L</v>
      </c>
      <c r="AZ235" s="77" t="str">
        <f t="shared" si="72"/>
        <v>15 ≤ Cor &lt; 30 uC</v>
      </c>
      <c r="BA235" s="78" t="str">
        <f t="shared" si="73"/>
        <v>2,5 ≤ Turb &lt; 5,0 uT</v>
      </c>
      <c r="BB235" s="79" t="str">
        <f t="shared" si="74"/>
        <v>TOR &gt; BNN &gt; SM</v>
      </c>
      <c r="BC235" s="78" t="str">
        <f t="shared" si="75"/>
        <v>Tipo 1 (≤0,25) uT</v>
      </c>
      <c r="BD235" s="78" t="str">
        <f t="shared" si="76"/>
        <v>Tipo 1 (≤0,25) uT</v>
      </c>
      <c r="BE235" s="78" t="str">
        <f t="shared" si="77"/>
        <v>Tipo 2 (0,25-0,50) uT</v>
      </c>
      <c r="BF235" s="78" t="str">
        <f t="shared" si="78"/>
        <v>Tipo 2 (0,25-0,50) uT</v>
      </c>
      <c r="BG235" s="78" t="str">
        <f t="shared" si="79"/>
        <v>Tipo 1 (≤0,25) uT</v>
      </c>
    </row>
    <row r="236" spans="1:59" x14ac:dyDescent="0.2">
      <c r="A236" s="21">
        <v>46152</v>
      </c>
      <c r="B236" s="52">
        <v>0.3125</v>
      </c>
      <c r="C236" s="59">
        <v>1186</v>
      </c>
      <c r="D236" s="57">
        <v>90</v>
      </c>
      <c r="E236" s="59">
        <v>500</v>
      </c>
      <c r="F236" s="59">
        <v>1775</v>
      </c>
      <c r="G236" s="9" t="s">
        <v>78</v>
      </c>
      <c r="H236" s="65">
        <v>5.5</v>
      </c>
      <c r="I236" s="59">
        <v>90</v>
      </c>
      <c r="J236" s="59">
        <v>90</v>
      </c>
      <c r="K236" s="59">
        <v>90</v>
      </c>
      <c r="L236" s="65">
        <v>22.9</v>
      </c>
      <c r="M236" s="65">
        <v>6.7</v>
      </c>
      <c r="N236" s="38">
        <v>3.93</v>
      </c>
      <c r="O236" s="59">
        <v>16</v>
      </c>
      <c r="P236" s="65">
        <v>5.9</v>
      </c>
      <c r="Q236" s="38">
        <v>0.11</v>
      </c>
      <c r="R236" s="36">
        <v>22.36</v>
      </c>
      <c r="S236" s="36">
        <v>0.88</v>
      </c>
      <c r="T236" s="36">
        <v>0.7</v>
      </c>
      <c r="U236" s="42">
        <f t="shared" si="80"/>
        <v>1724.7083333333333</v>
      </c>
      <c r="V236" s="36">
        <f t="shared" si="81"/>
        <v>1602.4921374643998</v>
      </c>
      <c r="W236" s="36">
        <f t="shared" si="82"/>
        <v>0.92913804989117954</v>
      </c>
      <c r="X236" s="59">
        <v>2</v>
      </c>
      <c r="Y236" s="59">
        <v>3</v>
      </c>
      <c r="Z236" s="65">
        <v>6.51</v>
      </c>
      <c r="AA236" s="59">
        <v>19.809999999999999</v>
      </c>
      <c r="AB236" s="65">
        <v>6.5</v>
      </c>
      <c r="AC236" s="65">
        <v>5.3</v>
      </c>
      <c r="AD236" s="9">
        <v>0.14000000000000001</v>
      </c>
      <c r="AE236" s="38">
        <v>0.22</v>
      </c>
      <c r="AF236" s="42">
        <f t="shared" si="83"/>
        <v>1724.7083333333333</v>
      </c>
      <c r="AG236" s="42">
        <f t="shared" si="84"/>
        <v>1814.3500117599995</v>
      </c>
      <c r="AH236" s="42">
        <f t="shared" si="85"/>
        <v>1.0519749784321017</v>
      </c>
      <c r="AI236" s="59">
        <v>2</v>
      </c>
      <c r="AJ236" s="59">
        <v>3</v>
      </c>
      <c r="AK236" s="38">
        <v>6.38</v>
      </c>
      <c r="AL236" s="38">
        <v>23</v>
      </c>
      <c r="AM236" s="65">
        <v>6.5</v>
      </c>
      <c r="AN236" s="65">
        <v>5.2</v>
      </c>
      <c r="AO236" s="38">
        <v>0.12</v>
      </c>
      <c r="AP236" s="70">
        <v>0.23</v>
      </c>
      <c r="AQ236" s="73">
        <f t="shared" si="63"/>
        <v>1776</v>
      </c>
      <c r="AR236" s="75">
        <f t="shared" si="64"/>
        <v>0.6677927927927928</v>
      </c>
      <c r="AS236" s="75">
        <f t="shared" si="65"/>
        <v>5.0675675675675678E-2</v>
      </c>
      <c r="AT236" s="75">
        <f t="shared" si="66"/>
        <v>0.28153153153153154</v>
      </c>
      <c r="AU236" s="26">
        <f t="shared" si="67"/>
        <v>6.6963380281690146E-2</v>
      </c>
      <c r="AV236" s="26">
        <f t="shared" si="68"/>
        <v>7.7746478873239447E-2</v>
      </c>
      <c r="AW236" s="24">
        <f t="shared" si="69"/>
        <v>0.94147582697201015</v>
      </c>
      <c r="AX236" s="24">
        <f t="shared" si="70"/>
        <v>0.94402035623409675</v>
      </c>
      <c r="AY236" s="77" t="str">
        <f t="shared" si="71"/>
        <v>5,0 ≤ Alc. Bruta &lt; 7,5 mg/L</v>
      </c>
      <c r="AZ236" s="77" t="str">
        <f t="shared" si="72"/>
        <v>15 ≤ Cor &lt; 30 uC</v>
      </c>
      <c r="BA236" s="78" t="str">
        <f t="shared" si="73"/>
        <v>2,5 ≤ Turb &lt; 5,0 uT</v>
      </c>
      <c r="BB236" s="79" t="str">
        <f t="shared" si="74"/>
        <v>TOR &gt; BNN &gt; SM</v>
      </c>
      <c r="BC236" s="78" t="str">
        <f t="shared" si="75"/>
        <v>Tipo 1 (≤0,25) uT</v>
      </c>
      <c r="BD236" s="78" t="str">
        <f t="shared" si="76"/>
        <v>Tipo 1 (≤0,25) uT</v>
      </c>
      <c r="BE236" s="78" t="str">
        <f t="shared" si="77"/>
        <v>Tipo 1 (≤0,25) uT</v>
      </c>
      <c r="BF236" s="78" t="str">
        <f t="shared" si="78"/>
        <v>Tipo 1 (≤0,25) uT</v>
      </c>
      <c r="BG236" s="78" t="str">
        <f t="shared" si="79"/>
        <v>Tipo 1 (≤0,25) uT</v>
      </c>
    </row>
    <row r="237" spans="1:59" x14ac:dyDescent="0.2">
      <c r="A237" s="21">
        <v>46152</v>
      </c>
      <c r="B237" s="48">
        <v>0.39583333333333331</v>
      </c>
      <c r="C237" s="57">
        <v>1130</v>
      </c>
      <c r="D237" s="57">
        <v>82</v>
      </c>
      <c r="E237" s="57">
        <v>501</v>
      </c>
      <c r="F237" s="57">
        <v>1749</v>
      </c>
      <c r="G237" s="10" t="s">
        <v>78</v>
      </c>
      <c r="H237" s="63">
        <v>5.2</v>
      </c>
      <c r="I237" s="57">
        <v>90</v>
      </c>
      <c r="J237" s="57">
        <v>90</v>
      </c>
      <c r="K237" s="57">
        <v>90</v>
      </c>
      <c r="L237" s="63">
        <v>23</v>
      </c>
      <c r="M237" s="63">
        <v>6.7</v>
      </c>
      <c r="N237" s="36">
        <v>3.66</v>
      </c>
      <c r="O237" s="57">
        <v>15</v>
      </c>
      <c r="P237" s="63">
        <v>6.5</v>
      </c>
      <c r="Q237" s="36">
        <v>0.23</v>
      </c>
      <c r="R237" s="36">
        <v>22.36</v>
      </c>
      <c r="S237" s="36">
        <v>0.88</v>
      </c>
      <c r="T237" s="36">
        <v>0.7</v>
      </c>
      <c r="U237" s="42">
        <f t="shared" si="80"/>
        <v>1594.5050000000001</v>
      </c>
      <c r="V237" s="36">
        <f t="shared" si="81"/>
        <v>1601.6832065519998</v>
      </c>
      <c r="W237" s="36">
        <f t="shared" si="82"/>
        <v>1.0045018401021004</v>
      </c>
      <c r="X237" s="57">
        <v>2</v>
      </c>
      <c r="Y237" s="57">
        <v>3</v>
      </c>
      <c r="Z237" s="63">
        <v>6.51</v>
      </c>
      <c r="AA237" s="57">
        <v>19.8</v>
      </c>
      <c r="AB237" s="63">
        <v>6.6</v>
      </c>
      <c r="AC237" s="63">
        <v>6.1</v>
      </c>
      <c r="AD237" s="10">
        <v>0.31</v>
      </c>
      <c r="AE237" s="36">
        <v>0.53</v>
      </c>
      <c r="AF237" s="42">
        <f t="shared" si="83"/>
        <v>1195.8787500000001</v>
      </c>
      <c r="AG237" s="42">
        <f t="shared" si="84"/>
        <v>1817.9031722799998</v>
      </c>
      <c r="AH237" s="42">
        <f t="shared" si="85"/>
        <v>1.5201400411872856</v>
      </c>
      <c r="AI237" s="57">
        <v>2</v>
      </c>
      <c r="AJ237" s="57">
        <v>4</v>
      </c>
      <c r="AK237" s="36">
        <v>6.39</v>
      </c>
      <c r="AL237" s="36">
        <v>23</v>
      </c>
      <c r="AM237" s="63">
        <v>6.5</v>
      </c>
      <c r="AN237" s="63">
        <v>5.4</v>
      </c>
      <c r="AO237" s="36">
        <v>0.22</v>
      </c>
      <c r="AP237" s="68">
        <v>0.25</v>
      </c>
      <c r="AQ237" s="73">
        <f t="shared" si="63"/>
        <v>1713</v>
      </c>
      <c r="AR237" s="75">
        <f t="shared" si="64"/>
        <v>0.65966141272621137</v>
      </c>
      <c r="AS237" s="75">
        <f t="shared" si="65"/>
        <v>4.7869235259778167E-2</v>
      </c>
      <c r="AT237" s="75">
        <f t="shared" si="66"/>
        <v>0.29246935201401053</v>
      </c>
      <c r="AU237" s="26">
        <f t="shared" si="67"/>
        <v>6.7924528301886791E-2</v>
      </c>
      <c r="AV237" s="26">
        <f t="shared" si="68"/>
        <v>0.10520297312750143</v>
      </c>
      <c r="AW237" s="24">
        <f t="shared" si="69"/>
        <v>0.93169398907103829</v>
      </c>
      <c r="AX237" s="24">
        <f t="shared" si="70"/>
        <v>0.85519125683060104</v>
      </c>
      <c r="AY237" s="77" t="str">
        <f t="shared" si="71"/>
        <v>5,0 ≤ Alc. Bruta &lt; 7,5 mg/L</v>
      </c>
      <c r="AZ237" s="77" t="str">
        <f t="shared" si="72"/>
        <v>15 ≤ Cor &lt; 30 uC</v>
      </c>
      <c r="BA237" s="78" t="str">
        <f t="shared" si="73"/>
        <v>2,5 ≤ Turb &lt; 5,0 uT</v>
      </c>
      <c r="BB237" s="79" t="str">
        <f t="shared" si="74"/>
        <v>TOR &gt; BNN &gt; SM</v>
      </c>
      <c r="BC237" s="78" t="str">
        <f t="shared" si="75"/>
        <v>Tipo 2 (0,25-0,50) uT</v>
      </c>
      <c r="BD237" s="78" t="str">
        <f t="shared" si="76"/>
        <v>Tipo 1 (≤0,25) uT</v>
      </c>
      <c r="BE237" s="78" t="str">
        <f t="shared" si="77"/>
        <v>Tipo 3 (0,50-0,75) uT</v>
      </c>
      <c r="BF237" s="78" t="str">
        <f t="shared" si="78"/>
        <v>Tipo 1 (≤0,25) uT</v>
      </c>
      <c r="BG237" s="78" t="str">
        <f t="shared" si="79"/>
        <v>Tipo 1 (≤0,25) uT</v>
      </c>
    </row>
    <row r="238" spans="1:59" x14ac:dyDescent="0.2">
      <c r="A238" s="21">
        <v>46152</v>
      </c>
      <c r="B238" s="48">
        <v>0.47916666666666669</v>
      </c>
      <c r="C238" s="57">
        <v>1075</v>
      </c>
      <c r="D238" s="57">
        <v>89</v>
      </c>
      <c r="E238" s="57">
        <v>500</v>
      </c>
      <c r="F238" s="57">
        <v>1726</v>
      </c>
      <c r="G238" s="10" t="s">
        <v>78</v>
      </c>
      <c r="H238" s="63">
        <v>5.2</v>
      </c>
      <c r="I238" s="57">
        <v>90</v>
      </c>
      <c r="J238" s="57">
        <v>90</v>
      </c>
      <c r="K238" s="57">
        <v>90</v>
      </c>
      <c r="L238" s="63">
        <v>23.4</v>
      </c>
      <c r="M238" s="63">
        <v>6.8</v>
      </c>
      <c r="N238" s="36">
        <v>3.86</v>
      </c>
      <c r="O238" s="57">
        <v>16</v>
      </c>
      <c r="P238" s="63">
        <v>6.2</v>
      </c>
      <c r="Q238" s="36">
        <v>0.37</v>
      </c>
      <c r="R238" s="36">
        <v>22.36</v>
      </c>
      <c r="S238" s="36">
        <v>0.88</v>
      </c>
      <c r="T238" s="36">
        <v>0.7</v>
      </c>
      <c r="U238" s="42">
        <f t="shared" si="80"/>
        <v>1631.0700000000002</v>
      </c>
      <c r="V238" s="36">
        <f t="shared" si="81"/>
        <v>1590.5505382000001</v>
      </c>
      <c r="W238" s="36">
        <f t="shared" si="82"/>
        <v>0.9751577419730606</v>
      </c>
      <c r="X238" s="57">
        <v>2</v>
      </c>
      <c r="Y238" s="57">
        <v>3</v>
      </c>
      <c r="Z238" s="63">
        <v>6.5</v>
      </c>
      <c r="AA238" s="57">
        <v>19.7</v>
      </c>
      <c r="AB238" s="63">
        <v>6.7</v>
      </c>
      <c r="AC238" s="63">
        <v>5.8</v>
      </c>
      <c r="AD238" s="10">
        <v>0.39</v>
      </c>
      <c r="AE238" s="36">
        <v>0.64</v>
      </c>
      <c r="AF238" s="42">
        <f t="shared" si="83"/>
        <v>1223.3025</v>
      </c>
      <c r="AG238" s="42">
        <f t="shared" si="84"/>
        <v>1814.3500117599995</v>
      </c>
      <c r="AH238" s="42">
        <f t="shared" si="85"/>
        <v>1.4831572826508566</v>
      </c>
      <c r="AI238" s="57">
        <v>2</v>
      </c>
      <c r="AJ238" s="57">
        <v>4</v>
      </c>
      <c r="AK238" s="36">
        <v>6.38</v>
      </c>
      <c r="AL238" s="36">
        <v>23</v>
      </c>
      <c r="AM238" s="63">
        <v>6.8</v>
      </c>
      <c r="AN238" s="63">
        <v>5.6</v>
      </c>
      <c r="AO238" s="36">
        <v>0.4</v>
      </c>
      <c r="AP238" s="68">
        <v>0.39</v>
      </c>
      <c r="AQ238" s="73">
        <f t="shared" si="63"/>
        <v>1664</v>
      </c>
      <c r="AR238" s="75">
        <f t="shared" si="64"/>
        <v>0.64603365384615385</v>
      </c>
      <c r="AS238" s="75">
        <f t="shared" si="65"/>
        <v>5.348557692307692E-2</v>
      </c>
      <c r="AT238" s="75">
        <f t="shared" si="66"/>
        <v>0.30048076923076922</v>
      </c>
      <c r="AU238" s="26">
        <f t="shared" si="67"/>
        <v>6.8482039397450747E-2</v>
      </c>
      <c r="AV238" s="26">
        <f t="shared" si="68"/>
        <v>0.10660486674391657</v>
      </c>
      <c r="AW238" s="24">
        <f t="shared" si="69"/>
        <v>0.89896373056994816</v>
      </c>
      <c r="AX238" s="24">
        <f t="shared" si="70"/>
        <v>0.83419689119170981</v>
      </c>
      <c r="AY238" s="77" t="str">
        <f t="shared" si="71"/>
        <v>5,0 ≤ Alc. Bruta &lt; 7,5 mg/L</v>
      </c>
      <c r="AZ238" s="77" t="str">
        <f t="shared" si="72"/>
        <v>15 ≤ Cor &lt; 30 uC</v>
      </c>
      <c r="BA238" s="78" t="str">
        <f t="shared" si="73"/>
        <v>2,5 ≤ Turb &lt; 5,0 uT</v>
      </c>
      <c r="BB238" s="79" t="str">
        <f t="shared" si="74"/>
        <v>TOR &gt; BNN &gt; SM</v>
      </c>
      <c r="BC238" s="78" t="str">
        <f t="shared" si="75"/>
        <v>Tipo 2 (0,25-0,50) uT</v>
      </c>
      <c r="BD238" s="78" t="str">
        <f t="shared" si="76"/>
        <v>Tipo 2 (0,25-0,50) uT</v>
      </c>
      <c r="BE238" s="78" t="str">
        <f t="shared" si="77"/>
        <v>Tipo 3 (0,50-0,75) uT</v>
      </c>
      <c r="BF238" s="78" t="str">
        <f t="shared" si="78"/>
        <v>Tipo 2 (0,25-0,50) uT</v>
      </c>
      <c r="BG238" s="78" t="str">
        <f t="shared" si="79"/>
        <v>Tipo 2 (0,25-0,50) uT</v>
      </c>
    </row>
    <row r="239" spans="1:59" x14ac:dyDescent="0.2">
      <c r="A239" s="21">
        <v>46152</v>
      </c>
      <c r="B239" s="48">
        <v>0.64583333333333337</v>
      </c>
      <c r="C239" s="57">
        <v>1167</v>
      </c>
      <c r="D239" s="57">
        <v>88</v>
      </c>
      <c r="E239" s="57">
        <v>500</v>
      </c>
      <c r="F239" s="57">
        <v>1720</v>
      </c>
      <c r="G239" s="10" t="s">
        <v>78</v>
      </c>
      <c r="H239" s="63">
        <v>5.2</v>
      </c>
      <c r="I239" s="57">
        <v>90</v>
      </c>
      <c r="J239" s="57">
        <v>90</v>
      </c>
      <c r="K239" s="57">
        <v>90</v>
      </c>
      <c r="L239" s="63">
        <v>24.5</v>
      </c>
      <c r="M239" s="63">
        <v>6.7</v>
      </c>
      <c r="N239" s="36">
        <v>3.66</v>
      </c>
      <c r="O239" s="57">
        <v>14</v>
      </c>
      <c r="P239" s="63">
        <v>6.5</v>
      </c>
      <c r="Q239" s="36">
        <v>0.36</v>
      </c>
      <c r="R239" s="36">
        <v>22.36</v>
      </c>
      <c r="S239" s="36">
        <v>0.88</v>
      </c>
      <c r="T239" s="36">
        <v>0.7</v>
      </c>
      <c r="U239" s="42">
        <f t="shared" si="80"/>
        <v>1568.0666666666671</v>
      </c>
      <c r="V239" s="36">
        <f t="shared" si="81"/>
        <v>1598.6243988000001</v>
      </c>
      <c r="W239" s="36">
        <f t="shared" si="82"/>
        <v>1.0194875210237657</v>
      </c>
      <c r="X239" s="57">
        <v>2</v>
      </c>
      <c r="Y239" s="57">
        <v>3</v>
      </c>
      <c r="Z239" s="63">
        <v>6.5</v>
      </c>
      <c r="AA239" s="57">
        <v>19.8</v>
      </c>
      <c r="AB239" s="63">
        <v>6.7</v>
      </c>
      <c r="AC239" s="63">
        <v>6.1</v>
      </c>
      <c r="AD239" s="10">
        <v>0.43</v>
      </c>
      <c r="AE239" s="36">
        <v>0.41</v>
      </c>
      <c r="AF239" s="42">
        <f t="shared" si="83"/>
        <v>1176.0500000000002</v>
      </c>
      <c r="AG239" s="42">
        <f t="shared" si="84"/>
        <v>1817.9031722799998</v>
      </c>
      <c r="AH239" s="42">
        <f t="shared" si="85"/>
        <v>1.5457703093235828</v>
      </c>
      <c r="AI239" s="57">
        <v>2</v>
      </c>
      <c r="AJ239" s="57">
        <v>4</v>
      </c>
      <c r="AK239" s="36">
        <v>6.39</v>
      </c>
      <c r="AL239" s="36">
        <v>23</v>
      </c>
      <c r="AM239" s="63">
        <v>6.8</v>
      </c>
      <c r="AN239" s="63">
        <v>5.2</v>
      </c>
      <c r="AO239" s="36">
        <v>0.51</v>
      </c>
      <c r="AP239" s="68">
        <v>0.5</v>
      </c>
      <c r="AQ239" s="73">
        <f t="shared" si="63"/>
        <v>1755</v>
      </c>
      <c r="AR239" s="75">
        <f t="shared" si="64"/>
        <v>0.66495726495726493</v>
      </c>
      <c r="AS239" s="75">
        <f t="shared" si="65"/>
        <v>5.014245014245014E-2</v>
      </c>
      <c r="AT239" s="75">
        <f t="shared" si="66"/>
        <v>0.28490028490028491</v>
      </c>
      <c r="AU239" s="26">
        <f t="shared" si="67"/>
        <v>6.9069767441860469E-2</v>
      </c>
      <c r="AV239" s="26">
        <f t="shared" si="68"/>
        <v>0.10697674418604651</v>
      </c>
      <c r="AW239" s="24">
        <f t="shared" si="69"/>
        <v>0.86338797814207657</v>
      </c>
      <c r="AX239" s="24">
        <f t="shared" si="70"/>
        <v>0.88797814207650272</v>
      </c>
      <c r="AY239" s="77" t="str">
        <f t="shared" si="71"/>
        <v>5,0 ≤ Alc. Bruta &lt; 7,5 mg/L</v>
      </c>
      <c r="AZ239" s="77" t="str">
        <f t="shared" si="72"/>
        <v>10 ≤ Cor &lt;15 uC</v>
      </c>
      <c r="BA239" s="78" t="str">
        <f t="shared" si="73"/>
        <v>2,5 ≤ Turb &lt; 5,0 uT</v>
      </c>
      <c r="BB239" s="79" t="str">
        <f t="shared" si="74"/>
        <v>TOR &gt; BNN &gt; SM</v>
      </c>
      <c r="BC239" s="78" t="str">
        <f t="shared" si="75"/>
        <v>Tipo 2 (0,25-0,50) uT</v>
      </c>
      <c r="BD239" s="78" t="str">
        <f t="shared" si="76"/>
        <v>Tipo 3 (0,50-0,75) uT</v>
      </c>
      <c r="BE239" s="78" t="str">
        <f t="shared" si="77"/>
        <v>Tipo 2 (0,25-0,50) uT</v>
      </c>
      <c r="BF239" s="78" t="str">
        <f t="shared" si="78"/>
        <v>Tipo 2 (0,25-0,50) uT</v>
      </c>
      <c r="BG239" s="78" t="str">
        <f t="shared" si="79"/>
        <v>Tipo 2 (0,25-0,50) uT</v>
      </c>
    </row>
    <row r="240" spans="1:59" x14ac:dyDescent="0.2">
      <c r="A240" s="21">
        <v>46152</v>
      </c>
      <c r="B240" s="48">
        <v>0.72916666666666663</v>
      </c>
      <c r="C240" s="57">
        <v>575</v>
      </c>
      <c r="D240" s="57">
        <v>86</v>
      </c>
      <c r="E240" s="57">
        <v>503</v>
      </c>
      <c r="F240" s="57">
        <v>1263</v>
      </c>
      <c r="G240" s="10" t="s">
        <v>78</v>
      </c>
      <c r="H240" s="63">
        <v>5</v>
      </c>
      <c r="I240" s="57">
        <v>90</v>
      </c>
      <c r="J240" s="57">
        <v>90</v>
      </c>
      <c r="K240" s="57">
        <v>90</v>
      </c>
      <c r="L240" s="63">
        <v>24.6</v>
      </c>
      <c r="M240" s="63">
        <v>6.7</v>
      </c>
      <c r="N240" s="36">
        <v>3.94</v>
      </c>
      <c r="O240" s="57">
        <v>15</v>
      </c>
      <c r="P240" s="63">
        <v>6.8</v>
      </c>
      <c r="Q240" s="36">
        <v>0.38</v>
      </c>
      <c r="R240" s="36">
        <v>22.36</v>
      </c>
      <c r="S240" s="36">
        <v>0.88</v>
      </c>
      <c r="T240" s="36">
        <v>0.7</v>
      </c>
      <c r="U240" s="42">
        <f t="shared" si="80"/>
        <v>1197.7449999999999</v>
      </c>
      <c r="V240" s="36">
        <f t="shared" si="81"/>
        <v>1598.6243988000001</v>
      </c>
      <c r="W240" s="36">
        <f t="shared" si="82"/>
        <v>1.3346951135675793</v>
      </c>
      <c r="X240" s="57">
        <v>2</v>
      </c>
      <c r="Y240" s="57">
        <v>3</v>
      </c>
      <c r="Z240" s="63">
        <v>6.5</v>
      </c>
      <c r="AA240" s="57">
        <v>19.8</v>
      </c>
      <c r="AB240" s="63">
        <v>6.6</v>
      </c>
      <c r="AC240" s="63">
        <v>6.1</v>
      </c>
      <c r="AD240" s="10">
        <v>0.35</v>
      </c>
      <c r="AE240" s="36">
        <v>0.38</v>
      </c>
      <c r="AF240" s="42">
        <f t="shared" si="83"/>
        <v>1796.6174999999998</v>
      </c>
      <c r="AG240" s="42">
        <f t="shared" si="84"/>
        <v>1845.0354</v>
      </c>
      <c r="AH240" s="42">
        <f t="shared" si="85"/>
        <v>1.0269494758901103</v>
      </c>
      <c r="AI240" s="57">
        <v>1</v>
      </c>
      <c r="AJ240" s="57">
        <v>2</v>
      </c>
      <c r="AK240" s="36">
        <v>6.25</v>
      </c>
      <c r="AL240" s="36">
        <v>24</v>
      </c>
      <c r="AM240" s="63">
        <v>6.5</v>
      </c>
      <c r="AN240" s="63">
        <v>5.3</v>
      </c>
      <c r="AO240" s="36">
        <v>0.28999999999999998</v>
      </c>
      <c r="AP240" s="68">
        <v>0.49</v>
      </c>
      <c r="AQ240" s="73">
        <f t="shared" si="63"/>
        <v>1164</v>
      </c>
      <c r="AR240" s="75">
        <f t="shared" si="64"/>
        <v>0.49398625429553267</v>
      </c>
      <c r="AS240" s="75">
        <f t="shared" si="65"/>
        <v>7.3883161512027493E-2</v>
      </c>
      <c r="AT240" s="75">
        <f t="shared" si="66"/>
        <v>0.43213058419243988</v>
      </c>
      <c r="AU240" s="26">
        <f t="shared" si="67"/>
        <v>9.4061757719714964E-2</v>
      </c>
      <c r="AV240" s="26">
        <f t="shared" si="68"/>
        <v>7.6009501187648459E-2</v>
      </c>
      <c r="AW240" s="24">
        <f t="shared" si="69"/>
        <v>0.87563451776649748</v>
      </c>
      <c r="AX240" s="24">
        <f t="shared" si="70"/>
        <v>0.90355329949238583</v>
      </c>
      <c r="AY240" s="77" t="str">
        <f t="shared" si="71"/>
        <v>5,0 ≤ Alc. Bruta &lt; 7,5 mg/L</v>
      </c>
      <c r="AZ240" s="77" t="str">
        <f t="shared" si="72"/>
        <v>15 ≤ Cor &lt; 30 uC</v>
      </c>
      <c r="BA240" s="78" t="str">
        <f t="shared" si="73"/>
        <v>2,5 ≤ Turb &lt; 5,0 uT</v>
      </c>
      <c r="BB240" s="79" t="str">
        <f t="shared" si="74"/>
        <v>TOR &gt; BNN &gt; SM</v>
      </c>
      <c r="BC240" s="78" t="str">
        <f t="shared" si="75"/>
        <v>Tipo 2 (0,25-0,50) uT</v>
      </c>
      <c r="BD240" s="78" t="str">
        <f t="shared" si="76"/>
        <v>Tipo 2 (0,25-0,50) uT</v>
      </c>
      <c r="BE240" s="78" t="str">
        <f t="shared" si="77"/>
        <v>Tipo 2 (0,25-0,50) uT</v>
      </c>
      <c r="BF240" s="78" t="str">
        <f t="shared" si="78"/>
        <v>Tipo 2 (0,25-0,50) uT</v>
      </c>
      <c r="BG240" s="78" t="str">
        <f t="shared" si="79"/>
        <v>Tipo 2 (0,25-0,50) uT</v>
      </c>
    </row>
    <row r="241" spans="1:59" x14ac:dyDescent="0.2">
      <c r="A241" s="21">
        <v>46152</v>
      </c>
      <c r="B241" s="48">
        <v>0.8125</v>
      </c>
      <c r="C241" s="57">
        <v>602</v>
      </c>
      <c r="D241" s="57">
        <v>88</v>
      </c>
      <c r="E241" s="57">
        <v>502</v>
      </c>
      <c r="F241" s="57">
        <v>1224</v>
      </c>
      <c r="G241" s="10" t="s">
        <v>78</v>
      </c>
      <c r="H241" s="63">
        <v>5</v>
      </c>
      <c r="I241" s="57">
        <v>90</v>
      </c>
      <c r="J241" s="57">
        <v>90</v>
      </c>
      <c r="K241" s="57">
        <v>90</v>
      </c>
      <c r="L241" s="63">
        <v>24.4</v>
      </c>
      <c r="M241" s="63">
        <v>6.7</v>
      </c>
      <c r="N241" s="36">
        <v>4.9000000000000004</v>
      </c>
      <c r="O241" s="57">
        <v>15</v>
      </c>
      <c r="P241" s="63">
        <v>6.6</v>
      </c>
      <c r="Q241" s="36">
        <v>0.26</v>
      </c>
      <c r="R241" s="36">
        <v>22.36</v>
      </c>
      <c r="S241" s="36">
        <v>0.88</v>
      </c>
      <c r="T241" s="36">
        <v>0.7</v>
      </c>
      <c r="U241" s="42">
        <f t="shared" si="80"/>
        <v>1356.6000000000001</v>
      </c>
      <c r="V241" s="36">
        <f t="shared" si="81"/>
        <v>1490.8062340599997</v>
      </c>
      <c r="W241" s="36">
        <f t="shared" si="82"/>
        <v>1.0989283753943679</v>
      </c>
      <c r="X241" s="57">
        <v>2</v>
      </c>
      <c r="Y241" s="57">
        <v>3</v>
      </c>
      <c r="Z241" s="63">
        <v>6.49</v>
      </c>
      <c r="AA241" s="57">
        <v>18.5</v>
      </c>
      <c r="AB241" s="63">
        <v>6.7</v>
      </c>
      <c r="AC241" s="63">
        <v>5.6</v>
      </c>
      <c r="AD241" s="10">
        <v>0.21</v>
      </c>
      <c r="AE241" s="36">
        <v>0.3</v>
      </c>
      <c r="AF241" s="42">
        <f t="shared" si="83"/>
        <v>2034.9</v>
      </c>
      <c r="AG241" s="42">
        <f t="shared" si="84"/>
        <v>1752.4586050399996</v>
      </c>
      <c r="AH241" s="42">
        <f t="shared" si="85"/>
        <v>0.86120133915180086</v>
      </c>
      <c r="AI241" s="57">
        <v>1</v>
      </c>
      <c r="AJ241" s="57">
        <v>2</v>
      </c>
      <c r="AK241" s="36">
        <v>6.43</v>
      </c>
      <c r="AL241" s="36">
        <v>22</v>
      </c>
      <c r="AM241" s="63">
        <v>6.6</v>
      </c>
      <c r="AN241" s="63">
        <v>5.7</v>
      </c>
      <c r="AO241" s="36">
        <v>0.17</v>
      </c>
      <c r="AP241" s="68">
        <v>0.36</v>
      </c>
      <c r="AQ241" s="73">
        <f t="shared" si="63"/>
        <v>1192</v>
      </c>
      <c r="AR241" s="75">
        <f t="shared" si="64"/>
        <v>0.50503355704697983</v>
      </c>
      <c r="AS241" s="75">
        <f t="shared" si="65"/>
        <v>7.3825503355704702E-2</v>
      </c>
      <c r="AT241" s="75">
        <f t="shared" si="66"/>
        <v>0.42114093959731541</v>
      </c>
      <c r="AU241" s="26">
        <f t="shared" si="67"/>
        <v>9.0686274509803919E-2</v>
      </c>
      <c r="AV241" s="26">
        <f t="shared" si="68"/>
        <v>7.1895424836601302E-2</v>
      </c>
      <c r="AW241" s="24">
        <f t="shared" si="69"/>
        <v>0.92653061224489797</v>
      </c>
      <c r="AX241" s="24">
        <f t="shared" si="70"/>
        <v>0.93877551020408168</v>
      </c>
      <c r="AY241" s="77" t="str">
        <f t="shared" si="71"/>
        <v>5,0 ≤ Alc. Bruta &lt; 7,5 mg/L</v>
      </c>
      <c r="AZ241" s="77" t="str">
        <f t="shared" si="72"/>
        <v>15 ≤ Cor &lt; 30 uC</v>
      </c>
      <c r="BA241" s="78" t="str">
        <f t="shared" si="73"/>
        <v>2,5 ≤ Turb &lt; 5,0 uT</v>
      </c>
      <c r="BB241" s="79" t="str">
        <f t="shared" si="74"/>
        <v>TOR &gt; BNN &gt; SM</v>
      </c>
      <c r="BC241" s="78" t="str">
        <f t="shared" si="75"/>
        <v>Tipo 1 (≤0,25) uT</v>
      </c>
      <c r="BD241" s="78" t="str">
        <f t="shared" si="76"/>
        <v>Tipo 1 (≤0,25) uT</v>
      </c>
      <c r="BE241" s="78" t="str">
        <f t="shared" si="77"/>
        <v>Tipo 2 (0,25-0,50) uT</v>
      </c>
      <c r="BF241" s="78" t="str">
        <f t="shared" si="78"/>
        <v>Tipo 2 (0,25-0,50) uT</v>
      </c>
      <c r="BG241" s="78" t="str">
        <f t="shared" si="79"/>
        <v>Tipo 2 (0,25-0,50) uT</v>
      </c>
    </row>
    <row r="242" spans="1:59" x14ac:dyDescent="0.2">
      <c r="A242" s="21">
        <v>46152</v>
      </c>
      <c r="B242" s="48">
        <v>0.89583333333333337</v>
      </c>
      <c r="C242" s="57">
        <v>583</v>
      </c>
      <c r="D242" s="57">
        <v>86</v>
      </c>
      <c r="E242" s="57">
        <v>500</v>
      </c>
      <c r="F242" s="57">
        <v>1234</v>
      </c>
      <c r="G242" s="10" t="s">
        <v>78</v>
      </c>
      <c r="H242" s="63">
        <v>4.7</v>
      </c>
      <c r="I242" s="57">
        <v>90</v>
      </c>
      <c r="J242" s="57">
        <v>90</v>
      </c>
      <c r="K242" s="57">
        <v>90</v>
      </c>
      <c r="L242" s="63">
        <v>23.9</v>
      </c>
      <c r="M242" s="63">
        <v>6.8</v>
      </c>
      <c r="N242" s="36">
        <v>3.29</v>
      </c>
      <c r="O242" s="57">
        <v>14</v>
      </c>
      <c r="P242" s="63">
        <v>8.1</v>
      </c>
      <c r="Q242" s="36">
        <v>0.26</v>
      </c>
      <c r="R242" s="36">
        <v>22.36</v>
      </c>
      <c r="S242" s="36">
        <v>0.88</v>
      </c>
      <c r="T242" s="36">
        <v>0.7</v>
      </c>
      <c r="U242" s="42">
        <f t="shared" si="80"/>
        <v>1221.6600000000001</v>
      </c>
      <c r="V242" s="36">
        <f t="shared" si="81"/>
        <v>1531.0982944399998</v>
      </c>
      <c r="W242" s="36">
        <f t="shared" si="82"/>
        <v>1.2532933012785878</v>
      </c>
      <c r="X242" s="57">
        <v>2</v>
      </c>
      <c r="Y242" s="57">
        <v>2.5</v>
      </c>
      <c r="Z242" s="63">
        <v>6.49</v>
      </c>
      <c r="AA242" s="57">
        <v>19</v>
      </c>
      <c r="AB242" s="63">
        <v>6.6</v>
      </c>
      <c r="AC242" s="63">
        <v>9.1</v>
      </c>
      <c r="AD242" s="10">
        <v>0.2</v>
      </c>
      <c r="AE242" s="36">
        <v>0.26</v>
      </c>
      <c r="AF242" s="42">
        <f t="shared" si="83"/>
        <v>1527.075</v>
      </c>
      <c r="AG242" s="42">
        <f t="shared" si="84"/>
        <v>1830.2048169599998</v>
      </c>
      <c r="AH242" s="42">
        <f t="shared" si="85"/>
        <v>1.1985035554638768</v>
      </c>
      <c r="AI242" s="57">
        <v>1</v>
      </c>
      <c r="AJ242" s="57">
        <v>2</v>
      </c>
      <c r="AK242" s="36">
        <v>6.21</v>
      </c>
      <c r="AL242" s="36">
        <v>24</v>
      </c>
      <c r="AM242" s="63">
        <v>6.7</v>
      </c>
      <c r="AN242" s="63">
        <v>8.6</v>
      </c>
      <c r="AO242" s="36">
        <v>0.26</v>
      </c>
      <c r="AP242" s="68">
        <v>0.3</v>
      </c>
      <c r="AQ242" s="73">
        <f t="shared" si="63"/>
        <v>1169</v>
      </c>
      <c r="AR242" s="75">
        <f t="shared" si="64"/>
        <v>0.49871685201026517</v>
      </c>
      <c r="AS242" s="75">
        <f t="shared" si="65"/>
        <v>7.3567151411462792E-2</v>
      </c>
      <c r="AT242" s="75">
        <f t="shared" si="66"/>
        <v>0.42771599657827203</v>
      </c>
      <c r="AU242" s="26">
        <f t="shared" si="67"/>
        <v>7.698541329011345E-2</v>
      </c>
      <c r="AV242" s="26">
        <f t="shared" si="68"/>
        <v>7.7795786061588337E-2</v>
      </c>
      <c r="AW242" s="24">
        <f t="shared" si="69"/>
        <v>0.90881458966565354</v>
      </c>
      <c r="AX242" s="24">
        <f t="shared" si="70"/>
        <v>0.92097264437689974</v>
      </c>
      <c r="AY242" s="77" t="str">
        <f t="shared" si="71"/>
        <v>7,5 ≤ Alc. Bruta &lt; 10,0 mg/L</v>
      </c>
      <c r="AZ242" s="77" t="str">
        <f t="shared" si="72"/>
        <v>10 ≤ Cor &lt;15 uC</v>
      </c>
      <c r="BA242" s="78" t="str">
        <f t="shared" si="73"/>
        <v>2,5 ≤ Turb &lt; 5,0 uT</v>
      </c>
      <c r="BB242" s="79" t="str">
        <f t="shared" si="74"/>
        <v>TOR &gt; BNN &gt; SM</v>
      </c>
      <c r="BC242" s="78" t="str">
        <f t="shared" si="75"/>
        <v>Tipo 1 (≤0,25) uT</v>
      </c>
      <c r="BD242" s="78" t="str">
        <f t="shared" si="76"/>
        <v>Tipo 2 (0,25-0,50) uT</v>
      </c>
      <c r="BE242" s="78" t="str">
        <f t="shared" si="77"/>
        <v>Tipo 2 (0,25-0,50) uT</v>
      </c>
      <c r="BF242" s="78" t="str">
        <f t="shared" si="78"/>
        <v>Tipo 2 (0,25-0,50) uT</v>
      </c>
      <c r="BG242" s="78" t="str">
        <f t="shared" si="79"/>
        <v>Tipo 2 (0,25-0,50) uT</v>
      </c>
    </row>
    <row r="243" spans="1:59" x14ac:dyDescent="0.2">
      <c r="A243" s="21">
        <v>46153</v>
      </c>
      <c r="B243" s="48">
        <v>6.25E-2</v>
      </c>
      <c r="C243" s="57">
        <v>1140</v>
      </c>
      <c r="D243" s="57">
        <v>90</v>
      </c>
      <c r="E243" s="57">
        <v>500</v>
      </c>
      <c r="F243" s="57">
        <v>1860</v>
      </c>
      <c r="G243" s="10" t="s">
        <v>78</v>
      </c>
      <c r="H243" s="63">
        <v>4.9000000000000004</v>
      </c>
      <c r="I243" s="57">
        <v>90</v>
      </c>
      <c r="J243" s="57">
        <v>90</v>
      </c>
      <c r="K243" s="57">
        <v>90</v>
      </c>
      <c r="L243" s="63">
        <v>23.7</v>
      </c>
      <c r="M243" s="63">
        <v>6.8</v>
      </c>
      <c r="N243" s="36">
        <v>4.25</v>
      </c>
      <c r="O243" s="57">
        <v>16</v>
      </c>
      <c r="P243" s="63">
        <v>5.5</v>
      </c>
      <c r="Q243" s="36">
        <v>1.1399999999999999</v>
      </c>
      <c r="R243" s="36">
        <v>22.36</v>
      </c>
      <c r="S243" s="36">
        <v>0.88</v>
      </c>
      <c r="T243" s="36">
        <v>0.7</v>
      </c>
      <c r="U243" s="42">
        <f t="shared" si="80"/>
        <v>1388.0249999999999</v>
      </c>
      <c r="V243" s="36">
        <f t="shared" si="81"/>
        <v>1447.7334393599999</v>
      </c>
      <c r="W243" s="36">
        <f t="shared" si="82"/>
        <v>1.0430168328092073</v>
      </c>
      <c r="X243" s="57">
        <v>2</v>
      </c>
      <c r="Y243" s="57">
        <v>4</v>
      </c>
      <c r="Z243" s="63">
        <v>6.48</v>
      </c>
      <c r="AA243" s="57">
        <v>18</v>
      </c>
      <c r="AB243" s="63">
        <v>6.6</v>
      </c>
      <c r="AC243" s="63">
        <v>4.4000000000000004</v>
      </c>
      <c r="AD243" s="10">
        <v>0.77</v>
      </c>
      <c r="AE243" s="36">
        <v>1.28</v>
      </c>
      <c r="AF243" s="42">
        <f t="shared" si="83"/>
        <v>1850.6999999999998</v>
      </c>
      <c r="AG243" s="42">
        <f t="shared" si="84"/>
        <v>1810.7968512399998</v>
      </c>
      <c r="AH243" s="42">
        <f t="shared" si="85"/>
        <v>0.9784388886583455</v>
      </c>
      <c r="AI243" s="57">
        <v>2</v>
      </c>
      <c r="AJ243" s="57">
        <v>3</v>
      </c>
      <c r="AK243" s="36">
        <v>6.37</v>
      </c>
      <c r="AL243" s="36">
        <v>23</v>
      </c>
      <c r="AM243" s="63">
        <v>6.5</v>
      </c>
      <c r="AN243" s="63">
        <v>5.5</v>
      </c>
      <c r="AO243" s="36">
        <v>1.03</v>
      </c>
      <c r="AP243" s="68">
        <v>1.06</v>
      </c>
      <c r="AQ243" s="73">
        <f t="shared" si="63"/>
        <v>1730</v>
      </c>
      <c r="AR243" s="75">
        <f t="shared" si="64"/>
        <v>0.65895953757225434</v>
      </c>
      <c r="AS243" s="75">
        <f t="shared" si="65"/>
        <v>5.2023121387283239E-2</v>
      </c>
      <c r="AT243" s="75">
        <f t="shared" si="66"/>
        <v>0.28901734104046245</v>
      </c>
      <c r="AU243" s="26">
        <f t="shared" si="67"/>
        <v>7.7419354838709681E-2</v>
      </c>
      <c r="AV243" s="26">
        <f t="shared" si="68"/>
        <v>7.4193548387096769E-2</v>
      </c>
      <c r="AW243" s="24">
        <f t="shared" si="69"/>
        <v>0.75058823529411767</v>
      </c>
      <c r="AX243" s="24">
        <f t="shared" si="70"/>
        <v>0.69882352941176462</v>
      </c>
      <c r="AY243" s="77" t="str">
        <f t="shared" si="71"/>
        <v>5,0 ≤ Alc. Bruta &lt; 7,5 mg/L</v>
      </c>
      <c r="AZ243" s="77" t="str">
        <f t="shared" si="72"/>
        <v>15 ≤ Cor &lt; 30 uC</v>
      </c>
      <c r="BA243" s="78" t="str">
        <f t="shared" si="73"/>
        <v>2,5 ≤ Turb &lt; 5,0 uT</v>
      </c>
      <c r="BB243" s="79" t="str">
        <f t="shared" si="74"/>
        <v>TOR &gt; BNN &gt; SM</v>
      </c>
      <c r="BC243" s="78" t="str">
        <f t="shared" si="75"/>
        <v>Tipo 4 (&gt;0,75) uT</v>
      </c>
      <c r="BD243" s="78" t="str">
        <f t="shared" si="76"/>
        <v>Tipo 4 (&gt;0,75) uT</v>
      </c>
      <c r="BE243" s="78" t="str">
        <f t="shared" si="77"/>
        <v>Tipo 4 (&gt;0,75) uT</v>
      </c>
      <c r="BF243" s="78" t="str">
        <f t="shared" si="78"/>
        <v>Tipo 4 (&gt;0,75) uT</v>
      </c>
      <c r="BG243" s="78" t="str">
        <f t="shared" si="79"/>
        <v>Tipo 4 (&gt;0,75) uT</v>
      </c>
    </row>
    <row r="244" spans="1:59" x14ac:dyDescent="0.2">
      <c r="A244" s="21">
        <v>46153</v>
      </c>
      <c r="B244" s="48">
        <v>0.14583333333333334</v>
      </c>
      <c r="C244" s="57">
        <v>1045</v>
      </c>
      <c r="D244" s="57">
        <v>88</v>
      </c>
      <c r="E244" s="57">
        <v>500</v>
      </c>
      <c r="F244" s="57">
        <v>1786</v>
      </c>
      <c r="G244" s="10" t="s">
        <v>78</v>
      </c>
      <c r="H244" s="63">
        <v>5</v>
      </c>
      <c r="I244" s="57">
        <v>90</v>
      </c>
      <c r="J244" s="57">
        <v>90</v>
      </c>
      <c r="K244" s="57">
        <v>90</v>
      </c>
      <c r="L244" s="63">
        <v>23.3</v>
      </c>
      <c r="M244" s="63">
        <v>6.8</v>
      </c>
      <c r="N244" s="36">
        <v>3.91</v>
      </c>
      <c r="O244" s="57">
        <v>17</v>
      </c>
      <c r="P244" s="63">
        <v>6.9</v>
      </c>
      <c r="Q244" s="36">
        <v>0.54</v>
      </c>
      <c r="R244" s="36">
        <v>22.36</v>
      </c>
      <c r="S244" s="36">
        <v>0.88</v>
      </c>
      <c r="T244" s="36">
        <v>0.7</v>
      </c>
      <c r="U244" s="42">
        <f t="shared" si="80"/>
        <v>1263.595</v>
      </c>
      <c r="V244" s="36">
        <f t="shared" si="81"/>
        <v>1531.0982944399998</v>
      </c>
      <c r="W244" s="36">
        <f t="shared" si="82"/>
        <v>1.2117001843470414</v>
      </c>
      <c r="X244" s="57">
        <v>2</v>
      </c>
      <c r="Y244" s="57">
        <v>4</v>
      </c>
      <c r="Z244" s="63">
        <v>6.49</v>
      </c>
      <c r="AA244" s="57">
        <v>19</v>
      </c>
      <c r="AB244" s="63">
        <v>6.7</v>
      </c>
      <c r="AC244" s="63">
        <v>7.2</v>
      </c>
      <c r="AD244" s="10">
        <v>0.49</v>
      </c>
      <c r="AE244" s="36">
        <v>0.4</v>
      </c>
      <c r="AF244" s="42">
        <f t="shared" si="83"/>
        <v>1684.7933333333335</v>
      </c>
      <c r="AG244" s="42">
        <f t="shared" si="84"/>
        <v>1878.4042118399998</v>
      </c>
      <c r="AH244" s="42">
        <f t="shared" si="85"/>
        <v>1.114916693149308</v>
      </c>
      <c r="AI244" s="57">
        <v>2</v>
      </c>
      <c r="AJ244" s="57">
        <v>3</v>
      </c>
      <c r="AK244" s="36">
        <v>6.34</v>
      </c>
      <c r="AL244" s="36">
        <v>24</v>
      </c>
      <c r="AM244" s="63">
        <v>6.7</v>
      </c>
      <c r="AN244" s="63">
        <v>6.4</v>
      </c>
      <c r="AO244" s="36">
        <v>0.56000000000000005</v>
      </c>
      <c r="AP244" s="68">
        <v>0.36</v>
      </c>
      <c r="AQ244" s="73">
        <f t="shared" si="63"/>
        <v>1633</v>
      </c>
      <c r="AR244" s="75">
        <f t="shared" si="64"/>
        <v>0.63992651561543168</v>
      </c>
      <c r="AS244" s="75">
        <f t="shared" si="65"/>
        <v>5.3888548683404779E-2</v>
      </c>
      <c r="AT244" s="75">
        <f t="shared" si="66"/>
        <v>0.30618493570116351</v>
      </c>
      <c r="AU244" s="26">
        <f t="shared" si="67"/>
        <v>8.5106382978723402E-2</v>
      </c>
      <c r="AV244" s="26">
        <f t="shared" si="68"/>
        <v>8.062709966405375E-2</v>
      </c>
      <c r="AW244" s="24">
        <f t="shared" si="69"/>
        <v>0.90792838874680304</v>
      </c>
      <c r="AX244" s="24">
        <f t="shared" si="70"/>
        <v>0.89769820971867009</v>
      </c>
      <c r="AY244" s="77" t="str">
        <f t="shared" si="71"/>
        <v>5,0 ≤ Alc. Bruta &lt; 7,5 mg/L</v>
      </c>
      <c r="AZ244" s="77" t="str">
        <f t="shared" si="72"/>
        <v>15 ≤ Cor &lt; 30 uC</v>
      </c>
      <c r="BA244" s="78" t="str">
        <f t="shared" si="73"/>
        <v>2,5 ≤ Turb &lt; 5,0 uT</v>
      </c>
      <c r="BB244" s="79" t="str">
        <f t="shared" si="74"/>
        <v>TOR &gt; BNN &gt; SM</v>
      </c>
      <c r="BC244" s="78" t="str">
        <f t="shared" si="75"/>
        <v>Tipo 2 (0,25-0,50) uT</v>
      </c>
      <c r="BD244" s="78" t="str">
        <f t="shared" si="76"/>
        <v>Tipo 3 (0,50-0,75) uT</v>
      </c>
      <c r="BE244" s="78" t="str">
        <f t="shared" si="77"/>
        <v>Tipo 2 (0,25-0,50) uT</v>
      </c>
      <c r="BF244" s="78" t="str">
        <f t="shared" si="78"/>
        <v>Tipo 2 (0,25-0,50) uT</v>
      </c>
      <c r="BG244" s="78" t="str">
        <f t="shared" si="79"/>
        <v>Tipo 3 (0,50-0,75) uT</v>
      </c>
    </row>
    <row r="245" spans="1:59" ht="15.75" thickBot="1" x14ac:dyDescent="0.25">
      <c r="A245" s="21">
        <v>46153</v>
      </c>
      <c r="B245" s="51">
        <v>0.22916666666666666</v>
      </c>
      <c r="C245" s="58">
        <v>1652</v>
      </c>
      <c r="D245" s="58">
        <v>90</v>
      </c>
      <c r="E245" s="58">
        <v>500</v>
      </c>
      <c r="F245" s="58">
        <v>2318</v>
      </c>
      <c r="G245" s="11" t="s">
        <v>78</v>
      </c>
      <c r="H245" s="64">
        <v>5.2</v>
      </c>
      <c r="I245" s="58">
        <v>90</v>
      </c>
      <c r="J245" s="58">
        <v>90</v>
      </c>
      <c r="K245" s="58">
        <v>90</v>
      </c>
      <c r="L245" s="64">
        <v>23.2</v>
      </c>
      <c r="M245" s="64">
        <v>6.8</v>
      </c>
      <c r="N245" s="37">
        <v>3.56</v>
      </c>
      <c r="O245" s="58">
        <v>16</v>
      </c>
      <c r="P245" s="64">
        <v>6.8</v>
      </c>
      <c r="Q245" s="37">
        <v>0.63</v>
      </c>
      <c r="R245" s="36">
        <v>22.36</v>
      </c>
      <c r="S245" s="36">
        <v>0.88</v>
      </c>
      <c r="T245" s="36">
        <v>0.7</v>
      </c>
      <c r="U245" s="42">
        <f t="shared" si="80"/>
        <v>1555.9575</v>
      </c>
      <c r="V245" s="36">
        <f t="shared" si="81"/>
        <v>1536.9687335599997</v>
      </c>
      <c r="W245" s="36">
        <f t="shared" si="82"/>
        <v>0.98779608926336337</v>
      </c>
      <c r="X245" s="58">
        <v>3</v>
      </c>
      <c r="Y245" s="58">
        <v>4</v>
      </c>
      <c r="Z245" s="64">
        <v>6.51</v>
      </c>
      <c r="AA245" s="58">
        <v>19</v>
      </c>
      <c r="AB245" s="64">
        <v>6.7</v>
      </c>
      <c r="AC245" s="64">
        <v>7.2</v>
      </c>
      <c r="AD245" s="11">
        <v>0.54</v>
      </c>
      <c r="AE245" s="37">
        <v>0.89</v>
      </c>
      <c r="AF245" s="42">
        <f t="shared" si="83"/>
        <v>1555.9575</v>
      </c>
      <c r="AG245" s="42">
        <f t="shared" si="84"/>
        <v>1911.7730236799994</v>
      </c>
      <c r="AH245" s="42">
        <f t="shared" si="85"/>
        <v>1.2286794617976387</v>
      </c>
      <c r="AI245" s="58">
        <v>3</v>
      </c>
      <c r="AJ245" s="58">
        <v>4</v>
      </c>
      <c r="AK245" s="37">
        <v>6.43</v>
      </c>
      <c r="AL245" s="37">
        <v>24</v>
      </c>
      <c r="AM245" s="64">
        <v>6.7</v>
      </c>
      <c r="AN245" s="64">
        <v>8.3000000000000007</v>
      </c>
      <c r="AO245" s="37">
        <v>0.67</v>
      </c>
      <c r="AP245" s="69">
        <v>0.85</v>
      </c>
      <c r="AQ245" s="73">
        <f t="shared" si="63"/>
        <v>2242</v>
      </c>
      <c r="AR245" s="75">
        <f t="shared" si="64"/>
        <v>0.73684210526315785</v>
      </c>
      <c r="AS245" s="75">
        <f t="shared" si="65"/>
        <v>4.0142729705619981E-2</v>
      </c>
      <c r="AT245" s="75">
        <f t="shared" si="66"/>
        <v>0.22301516503122212</v>
      </c>
      <c r="AU245" s="26">
        <f t="shared" si="67"/>
        <v>6.5573770491803282E-2</v>
      </c>
      <c r="AV245" s="26">
        <f t="shared" si="68"/>
        <v>8.2830025884383082E-2</v>
      </c>
      <c r="AW245" s="24">
        <f t="shared" si="69"/>
        <v>0.7612359550561798</v>
      </c>
      <c r="AX245" s="24">
        <f t="shared" si="70"/>
        <v>0.75</v>
      </c>
      <c r="AY245" s="77" t="str">
        <f t="shared" si="71"/>
        <v>5,0 ≤ Alc. Bruta &lt; 7,5 mg/L</v>
      </c>
      <c r="AZ245" s="77" t="str">
        <f t="shared" si="72"/>
        <v>15 ≤ Cor &lt; 30 uC</v>
      </c>
      <c r="BA245" s="78" t="str">
        <f t="shared" si="73"/>
        <v>2,5 ≤ Turb &lt; 5,0 uT</v>
      </c>
      <c r="BB245" s="79" t="str">
        <f t="shared" si="74"/>
        <v>TOR &gt; BNN &gt; SM</v>
      </c>
      <c r="BC245" s="78" t="str">
        <f t="shared" si="75"/>
        <v>Tipo 3 (0,50-0,75) uT</v>
      </c>
      <c r="BD245" s="78" t="str">
        <f t="shared" si="76"/>
        <v>Tipo 3 (0,50-0,75) uT</v>
      </c>
      <c r="BE245" s="78" t="str">
        <f t="shared" si="77"/>
        <v>Tipo 4 (&gt;0,75) uT</v>
      </c>
      <c r="BF245" s="78" t="str">
        <f t="shared" si="78"/>
        <v>Tipo 4 (&gt;0,75) uT</v>
      </c>
      <c r="BG245" s="78" t="str">
        <f t="shared" si="79"/>
        <v>Tipo 3 (0,50-0,75) uT</v>
      </c>
    </row>
    <row r="246" spans="1:59" x14ac:dyDescent="0.2">
      <c r="A246" s="21">
        <v>46153</v>
      </c>
      <c r="B246" s="52">
        <v>0.3125</v>
      </c>
      <c r="C246" s="59">
        <v>1533</v>
      </c>
      <c r="D246" s="57">
        <v>88.5</v>
      </c>
      <c r="E246" s="59">
        <v>500</v>
      </c>
      <c r="F246" s="59">
        <v>2303</v>
      </c>
      <c r="G246" s="9" t="s">
        <v>78</v>
      </c>
      <c r="H246" s="65">
        <v>5.3</v>
      </c>
      <c r="I246" s="59">
        <v>90</v>
      </c>
      <c r="J246" s="59">
        <v>90</v>
      </c>
      <c r="K246" s="59">
        <v>90</v>
      </c>
      <c r="L246" s="65">
        <v>22.5</v>
      </c>
      <c r="M246" s="65">
        <v>6.7</v>
      </c>
      <c r="N246" s="38">
        <v>3.85</v>
      </c>
      <c r="O246" s="59">
        <v>15</v>
      </c>
      <c r="P246" s="65">
        <v>5.2</v>
      </c>
      <c r="Q246" s="38">
        <v>0.31</v>
      </c>
      <c r="R246" s="36">
        <v>22.36</v>
      </c>
      <c r="S246" s="36">
        <v>0.88</v>
      </c>
      <c r="T246" s="36">
        <v>0.7</v>
      </c>
      <c r="U246" s="42">
        <f t="shared" si="80"/>
        <v>1638.00875</v>
      </c>
      <c r="V246" s="36">
        <f t="shared" si="81"/>
        <v>1447.7334393599999</v>
      </c>
      <c r="W246" s="36">
        <f t="shared" si="82"/>
        <v>0.88383742721765068</v>
      </c>
      <c r="X246" s="59">
        <v>3</v>
      </c>
      <c r="Y246" s="59">
        <v>4</v>
      </c>
      <c r="Z246" s="65">
        <v>6.48</v>
      </c>
      <c r="AA246" s="59">
        <v>18</v>
      </c>
      <c r="AB246" s="65">
        <v>6.6</v>
      </c>
      <c r="AC246" s="65">
        <v>4.5</v>
      </c>
      <c r="AD246" s="9">
        <v>0.25</v>
      </c>
      <c r="AE246" s="38">
        <v>0.41</v>
      </c>
      <c r="AF246" s="42">
        <f t="shared" si="83"/>
        <v>1638.00875</v>
      </c>
      <c r="AG246" s="42">
        <f t="shared" si="84"/>
        <v>1807.2436907199999</v>
      </c>
      <c r="AH246" s="42">
        <f t="shared" si="85"/>
        <v>1.1033174827179646</v>
      </c>
      <c r="AI246" s="59">
        <v>3</v>
      </c>
      <c r="AJ246" s="59">
        <v>4</v>
      </c>
      <c r="AK246" s="38">
        <v>6.36</v>
      </c>
      <c r="AL246" s="38">
        <v>23</v>
      </c>
      <c r="AM246" s="65">
        <v>6.7</v>
      </c>
      <c r="AN246" s="65">
        <v>4.4000000000000004</v>
      </c>
      <c r="AO246" s="38">
        <v>0.27</v>
      </c>
      <c r="AP246" s="70">
        <v>0.33</v>
      </c>
      <c r="AQ246" s="73">
        <f t="shared" si="63"/>
        <v>2121.5</v>
      </c>
      <c r="AR246" s="75">
        <f t="shared" si="64"/>
        <v>0.72260193259486216</v>
      </c>
      <c r="AS246" s="75">
        <f t="shared" si="65"/>
        <v>4.1715767145887345E-2</v>
      </c>
      <c r="AT246" s="75">
        <f t="shared" si="66"/>
        <v>0.23568230025925052</v>
      </c>
      <c r="AU246" s="26">
        <f t="shared" si="67"/>
        <v>6.2527138514980457E-2</v>
      </c>
      <c r="AV246" s="26">
        <f t="shared" si="68"/>
        <v>7.9895788102475038E-2</v>
      </c>
      <c r="AW246" s="24">
        <f t="shared" si="69"/>
        <v>0.91428571428571426</v>
      </c>
      <c r="AX246" s="24">
        <f t="shared" si="70"/>
        <v>0.89350649350649347</v>
      </c>
      <c r="AY246" s="77" t="str">
        <f t="shared" si="71"/>
        <v>5,0 ≤ Alc. Bruta &lt; 7,5 mg/L</v>
      </c>
      <c r="AZ246" s="77" t="str">
        <f t="shared" si="72"/>
        <v>15 ≤ Cor &lt; 30 uC</v>
      </c>
      <c r="BA246" s="78" t="str">
        <f t="shared" si="73"/>
        <v>2,5 ≤ Turb &lt; 5,0 uT</v>
      </c>
      <c r="BB246" s="79" t="str">
        <f t="shared" si="74"/>
        <v>TOR &gt; BNN &gt; SM</v>
      </c>
      <c r="BC246" s="78" t="str">
        <f t="shared" si="75"/>
        <v>Tipo 1 (≤0,25) uT</v>
      </c>
      <c r="BD246" s="78" t="str">
        <f t="shared" si="76"/>
        <v>Tipo 2 (0,25-0,50) uT</v>
      </c>
      <c r="BE246" s="78" t="str">
        <f t="shared" si="77"/>
        <v>Tipo 2 (0,25-0,50) uT</v>
      </c>
      <c r="BF246" s="78" t="str">
        <f t="shared" si="78"/>
        <v>Tipo 2 (0,25-0,50) uT</v>
      </c>
      <c r="BG246" s="78" t="str">
        <f t="shared" si="79"/>
        <v>Tipo 2 (0,25-0,50) uT</v>
      </c>
    </row>
    <row r="247" spans="1:59" x14ac:dyDescent="0.2">
      <c r="A247" s="21">
        <v>46153</v>
      </c>
      <c r="B247" s="48">
        <v>0.39583333333333331</v>
      </c>
      <c r="C247" s="57">
        <v>1861</v>
      </c>
      <c r="D247" s="57">
        <v>89</v>
      </c>
      <c r="E247" s="57">
        <v>0</v>
      </c>
      <c r="F247" s="57">
        <v>1807</v>
      </c>
      <c r="G247" s="10" t="s">
        <v>78</v>
      </c>
      <c r="H247" s="63">
        <v>5</v>
      </c>
      <c r="I247" s="57">
        <v>90</v>
      </c>
      <c r="J247" s="57">
        <v>90</v>
      </c>
      <c r="K247" s="57">
        <v>90</v>
      </c>
      <c r="L247" s="63">
        <v>22.9</v>
      </c>
      <c r="M247" s="63">
        <v>6.8</v>
      </c>
      <c r="N247" s="36">
        <v>3.29</v>
      </c>
      <c r="O247" s="57">
        <v>12</v>
      </c>
      <c r="P247" s="63">
        <v>5.9</v>
      </c>
      <c r="Q247" s="36">
        <v>0.33</v>
      </c>
      <c r="R247" s="36">
        <v>22.36</v>
      </c>
      <c r="S247" s="36">
        <v>0.88</v>
      </c>
      <c r="T247" s="36">
        <v>0.7</v>
      </c>
      <c r="U247" s="42">
        <f t="shared" si="80"/>
        <v>1138.4100000000001</v>
      </c>
      <c r="V247" s="36">
        <f t="shared" si="81"/>
        <v>1439.3912363999998</v>
      </c>
      <c r="W247" s="36">
        <f t="shared" si="82"/>
        <v>1.2643873792394653</v>
      </c>
      <c r="X247" s="57">
        <v>2</v>
      </c>
      <c r="Y247" s="57">
        <v>4</v>
      </c>
      <c r="Z247" s="63">
        <v>6.45</v>
      </c>
      <c r="AA247" s="57">
        <v>18</v>
      </c>
      <c r="AB247" s="63">
        <v>6.4</v>
      </c>
      <c r="AC247" s="63">
        <v>4.4000000000000004</v>
      </c>
      <c r="AD247" s="10">
        <v>0.16</v>
      </c>
      <c r="AE247" s="36">
        <v>0.19</v>
      </c>
      <c r="AF247" s="42">
        <f t="shared" si="83"/>
        <v>1517.88</v>
      </c>
      <c r="AG247" s="42">
        <f t="shared" si="84"/>
        <v>1846.3284564400001</v>
      </c>
      <c r="AH247" s="42">
        <f t="shared" si="85"/>
        <v>1.2163863127783487</v>
      </c>
      <c r="AI247" s="57">
        <v>2</v>
      </c>
      <c r="AJ247" s="57">
        <v>3</v>
      </c>
      <c r="AK247" s="36">
        <v>6.47</v>
      </c>
      <c r="AL247" s="36">
        <v>23</v>
      </c>
      <c r="AM247" s="63">
        <v>6.5</v>
      </c>
      <c r="AN247" s="63">
        <v>5.4</v>
      </c>
      <c r="AO247" s="36">
        <v>0.16</v>
      </c>
      <c r="AP247" s="68">
        <v>0.36</v>
      </c>
      <c r="AQ247" s="73">
        <f t="shared" si="63"/>
        <v>1950</v>
      </c>
      <c r="AR247" s="75">
        <f t="shared" si="64"/>
        <v>0.95435897435897432</v>
      </c>
      <c r="AS247" s="75">
        <f t="shared" si="65"/>
        <v>4.5641025641025644E-2</v>
      </c>
      <c r="AT247" s="75">
        <f t="shared" si="66"/>
        <v>0</v>
      </c>
      <c r="AU247" s="26">
        <f t="shared" si="67"/>
        <v>7.9690094078583282E-2</v>
      </c>
      <c r="AV247" s="26">
        <f t="shared" si="68"/>
        <v>7.636967349197564E-2</v>
      </c>
      <c r="AW247" s="24">
        <f t="shared" si="69"/>
        <v>0.89057750759878418</v>
      </c>
      <c r="AX247" s="24">
        <f t="shared" si="70"/>
        <v>0.94224924012158051</v>
      </c>
      <c r="AY247" s="77" t="str">
        <f t="shared" si="71"/>
        <v>5,0 ≤ Alc. Bruta &lt; 7,5 mg/L</v>
      </c>
      <c r="AZ247" s="77" t="str">
        <f t="shared" si="72"/>
        <v>10 ≤ Cor &lt;15 uC</v>
      </c>
      <c r="BA247" s="78" t="str">
        <f t="shared" si="73"/>
        <v>2,5 ≤ Turb &lt; 5,0 uT</v>
      </c>
      <c r="BB247" s="79" t="str">
        <f t="shared" si="74"/>
        <v>TOR &gt; SM &gt; BNN</v>
      </c>
      <c r="BC247" s="78" t="str">
        <f t="shared" si="75"/>
        <v>Tipo 1 (≤0,25) uT</v>
      </c>
      <c r="BD247" s="78" t="str">
        <f t="shared" si="76"/>
        <v>Tipo 1 (≤0,25) uT</v>
      </c>
      <c r="BE247" s="78" t="str">
        <f t="shared" si="77"/>
        <v>Tipo 1 (≤0,25) uT</v>
      </c>
      <c r="BF247" s="78" t="str">
        <f t="shared" si="78"/>
        <v>Tipo 2 (0,25-0,50) uT</v>
      </c>
      <c r="BG247" s="78" t="str">
        <f t="shared" si="79"/>
        <v>Tipo 2 (0,25-0,50) uT</v>
      </c>
    </row>
    <row r="248" spans="1:59" x14ac:dyDescent="0.2">
      <c r="A248" s="21">
        <v>46153</v>
      </c>
      <c r="B248" s="48">
        <v>0.47916666666666669</v>
      </c>
      <c r="C248" s="57">
        <v>1580</v>
      </c>
      <c r="D248" s="57">
        <v>89</v>
      </c>
      <c r="E248" s="57">
        <v>0</v>
      </c>
      <c r="F248" s="57">
        <v>1792</v>
      </c>
      <c r="G248" s="10" t="s">
        <v>78</v>
      </c>
      <c r="H248" s="63">
        <v>5</v>
      </c>
      <c r="I248" s="57">
        <v>90</v>
      </c>
      <c r="J248" s="57">
        <v>90</v>
      </c>
      <c r="K248" s="57">
        <v>90</v>
      </c>
      <c r="L248" s="63">
        <v>23.7</v>
      </c>
      <c r="M248" s="63">
        <v>6.7</v>
      </c>
      <c r="N248" s="36">
        <v>3.87</v>
      </c>
      <c r="O248" s="57">
        <v>15</v>
      </c>
      <c r="P248" s="63">
        <v>4.0999999999999996</v>
      </c>
      <c r="Q248" s="36">
        <v>0.22</v>
      </c>
      <c r="R248" s="36">
        <v>22.36</v>
      </c>
      <c r="S248" s="36">
        <v>0.88</v>
      </c>
      <c r="T248" s="36">
        <v>0.7</v>
      </c>
      <c r="U248" s="42">
        <f t="shared" si="80"/>
        <v>1258.8800000000001</v>
      </c>
      <c r="V248" s="36">
        <f t="shared" si="81"/>
        <v>1442.1719707199995</v>
      </c>
      <c r="W248" s="36">
        <f t="shared" si="82"/>
        <v>1.1455992395780372</v>
      </c>
      <c r="X248" s="57">
        <v>2</v>
      </c>
      <c r="Y248" s="57">
        <v>4</v>
      </c>
      <c r="Z248" s="63">
        <v>6.46</v>
      </c>
      <c r="AA248" s="57">
        <v>18</v>
      </c>
      <c r="AB248" s="63">
        <v>6.2</v>
      </c>
      <c r="AC248" s="63">
        <v>3.2</v>
      </c>
      <c r="AD248" s="10">
        <v>0.25</v>
      </c>
      <c r="AE248" s="36">
        <v>0.13</v>
      </c>
      <c r="AF248" s="42">
        <f t="shared" si="83"/>
        <v>1678.5066666666669</v>
      </c>
      <c r="AG248" s="42">
        <f t="shared" si="84"/>
        <v>1839.2221353999998</v>
      </c>
      <c r="AH248" s="42">
        <f t="shared" si="85"/>
        <v>1.095749079777262</v>
      </c>
      <c r="AI248" s="57">
        <v>2</v>
      </c>
      <c r="AJ248" s="57">
        <v>3</v>
      </c>
      <c r="AK248" s="36">
        <v>6.45</v>
      </c>
      <c r="AL248" s="36">
        <v>23</v>
      </c>
      <c r="AM248" s="63">
        <v>6.5</v>
      </c>
      <c r="AN248" s="63">
        <v>4.5</v>
      </c>
      <c r="AO248" s="36">
        <v>0.39</v>
      </c>
      <c r="AP248" s="68">
        <v>0.36</v>
      </c>
      <c r="AQ248" s="73">
        <f t="shared" si="63"/>
        <v>1669</v>
      </c>
      <c r="AR248" s="75">
        <f t="shared" si="64"/>
        <v>0.94667465548232477</v>
      </c>
      <c r="AS248" s="75">
        <f t="shared" si="65"/>
        <v>5.3325344517675254E-2</v>
      </c>
      <c r="AT248" s="75">
        <f t="shared" si="66"/>
        <v>0</v>
      </c>
      <c r="AU248" s="26">
        <f t="shared" si="67"/>
        <v>8.0357142857142863E-2</v>
      </c>
      <c r="AV248" s="26">
        <f t="shared" si="68"/>
        <v>7.7008928571428562E-2</v>
      </c>
      <c r="AW248" s="24">
        <f t="shared" si="69"/>
        <v>0.90697674418604657</v>
      </c>
      <c r="AX248" s="24">
        <f t="shared" si="70"/>
        <v>0.96640826873385011</v>
      </c>
      <c r="AY248" s="77" t="str">
        <f t="shared" si="71"/>
        <v>2,5 ≤ Alc. Bruta &lt; 5,0 mg/L</v>
      </c>
      <c r="AZ248" s="77" t="str">
        <f t="shared" si="72"/>
        <v>15 ≤ Cor &lt; 30 uC</v>
      </c>
      <c r="BA248" s="78" t="str">
        <f t="shared" si="73"/>
        <v>2,5 ≤ Turb &lt; 5,0 uT</v>
      </c>
      <c r="BB248" s="79" t="str">
        <f t="shared" si="74"/>
        <v>TOR &gt; SM &gt; BNN</v>
      </c>
      <c r="BC248" s="78" t="str">
        <f t="shared" si="75"/>
        <v>Tipo 1 (≤0,25) uT</v>
      </c>
      <c r="BD248" s="78" t="str">
        <f t="shared" si="76"/>
        <v>Tipo 2 (0,25-0,50) uT</v>
      </c>
      <c r="BE248" s="78" t="str">
        <f t="shared" si="77"/>
        <v>Tipo 1 (≤0,25) uT</v>
      </c>
      <c r="BF248" s="78" t="str">
        <f t="shared" si="78"/>
        <v>Tipo 2 (0,25-0,50) uT</v>
      </c>
      <c r="BG248" s="78" t="str">
        <f t="shared" si="79"/>
        <v>Tipo 1 (≤0,25) uT</v>
      </c>
    </row>
    <row r="249" spans="1:59" x14ac:dyDescent="0.2">
      <c r="A249" s="21">
        <v>46153</v>
      </c>
      <c r="B249" s="48">
        <v>0.64583333333333337</v>
      </c>
      <c r="C249" s="57">
        <v>1650</v>
      </c>
      <c r="D249" s="57">
        <v>90</v>
      </c>
      <c r="E249" s="57">
        <v>0</v>
      </c>
      <c r="F249" s="57">
        <v>1761</v>
      </c>
      <c r="G249" s="10" t="s">
        <v>78</v>
      </c>
      <c r="H249" s="63">
        <v>5.2</v>
      </c>
      <c r="I249" s="57">
        <v>90</v>
      </c>
      <c r="J249" s="57">
        <v>90</v>
      </c>
      <c r="K249" s="57">
        <v>90</v>
      </c>
      <c r="L249" s="63">
        <v>24.8</v>
      </c>
      <c r="M249" s="63">
        <v>6.7</v>
      </c>
      <c r="N249" s="36">
        <v>3.56</v>
      </c>
      <c r="O249" s="57">
        <v>15</v>
      </c>
      <c r="P249" s="63">
        <v>2.8</v>
      </c>
      <c r="Q249" s="36">
        <v>0.48</v>
      </c>
      <c r="R249" s="36">
        <v>22.36</v>
      </c>
      <c r="S249" s="36">
        <v>0.88</v>
      </c>
      <c r="T249" s="36">
        <v>0.7</v>
      </c>
      <c r="U249" s="42">
        <f t="shared" si="80"/>
        <v>1182.07125</v>
      </c>
      <c r="V249" s="36">
        <f t="shared" si="81"/>
        <v>1439.3912363999998</v>
      </c>
      <c r="W249" s="36">
        <f t="shared" si="82"/>
        <v>1.2176856821447943</v>
      </c>
      <c r="X249" s="57">
        <v>2</v>
      </c>
      <c r="Y249" s="57">
        <v>4</v>
      </c>
      <c r="Z249" s="63">
        <v>6.45</v>
      </c>
      <c r="AA249" s="57">
        <v>18</v>
      </c>
      <c r="AB249" s="63">
        <v>6.2</v>
      </c>
      <c r="AC249" s="63">
        <v>3.2</v>
      </c>
      <c r="AD249" s="10">
        <v>0.54</v>
      </c>
      <c r="AE249" s="36">
        <v>0.35</v>
      </c>
      <c r="AF249" s="42">
        <f t="shared" si="83"/>
        <v>1576.095</v>
      </c>
      <c r="AG249" s="42">
        <f t="shared" si="84"/>
        <v>1766.0533061600001</v>
      </c>
      <c r="AH249" s="42">
        <f t="shared" si="85"/>
        <v>1.1205246550239676</v>
      </c>
      <c r="AI249" s="57">
        <v>2</v>
      </c>
      <c r="AJ249" s="57">
        <v>3</v>
      </c>
      <c r="AK249" s="36">
        <v>6.47</v>
      </c>
      <c r="AL249" s="36">
        <v>22</v>
      </c>
      <c r="AM249" s="63">
        <v>6.3</v>
      </c>
      <c r="AN249" s="63">
        <v>2.6</v>
      </c>
      <c r="AO249" s="36">
        <v>0.47</v>
      </c>
      <c r="AP249" s="68">
        <v>0.38</v>
      </c>
      <c r="AQ249" s="73">
        <f t="shared" si="63"/>
        <v>1740</v>
      </c>
      <c r="AR249" s="75">
        <f t="shared" si="64"/>
        <v>0.94827586206896552</v>
      </c>
      <c r="AS249" s="75">
        <f t="shared" si="65"/>
        <v>5.1724137931034482E-2</v>
      </c>
      <c r="AT249" s="75">
        <f t="shared" si="66"/>
        <v>0</v>
      </c>
      <c r="AU249" s="26">
        <f t="shared" si="67"/>
        <v>8.1771720613287899E-2</v>
      </c>
      <c r="AV249" s="26">
        <f t="shared" si="68"/>
        <v>7.4957410562180582E-2</v>
      </c>
      <c r="AW249" s="24">
        <f t="shared" si="69"/>
        <v>0.8932584269662921</v>
      </c>
      <c r="AX249" s="24">
        <f t="shared" si="70"/>
        <v>0.901685393258427</v>
      </c>
      <c r="AY249" s="77" t="str">
        <f t="shared" si="71"/>
        <v>2,5 ≤ Alc. Bruta &lt; 5,0 mg/L</v>
      </c>
      <c r="AZ249" s="77" t="str">
        <f t="shared" si="72"/>
        <v>15 ≤ Cor &lt; 30 uC</v>
      </c>
      <c r="BA249" s="78" t="str">
        <f t="shared" si="73"/>
        <v>2,5 ≤ Turb &lt; 5,0 uT</v>
      </c>
      <c r="BB249" s="79" t="str">
        <f t="shared" si="74"/>
        <v>TOR &gt; SM &gt; BNN</v>
      </c>
      <c r="BC249" s="78" t="str">
        <f t="shared" si="75"/>
        <v>Tipo 3 (0,50-0,75) uT</v>
      </c>
      <c r="BD249" s="78" t="str">
        <f t="shared" si="76"/>
        <v>Tipo 2 (0,25-0,50) uT</v>
      </c>
      <c r="BE249" s="78" t="str">
        <f t="shared" si="77"/>
        <v>Tipo 2 (0,25-0,50) uT</v>
      </c>
      <c r="BF249" s="78" t="str">
        <f t="shared" si="78"/>
        <v>Tipo 2 (0,25-0,50) uT</v>
      </c>
      <c r="BG249" s="78" t="str">
        <f t="shared" si="79"/>
        <v>Tipo 2 (0,25-0,50) uT</v>
      </c>
    </row>
    <row r="250" spans="1:59" x14ac:dyDescent="0.2">
      <c r="A250" s="21">
        <v>46153</v>
      </c>
      <c r="B250" s="48">
        <v>0.72916666666666663</v>
      </c>
      <c r="C250" s="57">
        <v>1144</v>
      </c>
      <c r="D250" s="57">
        <v>82</v>
      </c>
      <c r="E250" s="57">
        <v>550</v>
      </c>
      <c r="F250" s="57">
        <v>1801</v>
      </c>
      <c r="G250" s="10" t="s">
        <v>78</v>
      </c>
      <c r="H250" s="63">
        <v>5.2</v>
      </c>
      <c r="I250" s="57">
        <v>90</v>
      </c>
      <c r="J250" s="57">
        <v>90</v>
      </c>
      <c r="K250" s="57">
        <v>90</v>
      </c>
      <c r="L250" s="63">
        <v>24.6</v>
      </c>
      <c r="M250" s="63">
        <v>6.7</v>
      </c>
      <c r="N250" s="36">
        <v>3.92</v>
      </c>
      <c r="O250" s="57">
        <v>18</v>
      </c>
      <c r="P250" s="63">
        <v>3</v>
      </c>
      <c r="Q250" s="36">
        <v>0.38</v>
      </c>
      <c r="R250" s="36">
        <v>22.36</v>
      </c>
      <c r="S250" s="36">
        <v>0.88</v>
      </c>
      <c r="T250" s="36">
        <v>0.7</v>
      </c>
      <c r="U250" s="42">
        <f t="shared" si="80"/>
        <v>1289.9662500000002</v>
      </c>
      <c r="V250" s="36">
        <f t="shared" si="81"/>
        <v>1439.3912363999998</v>
      </c>
      <c r="W250" s="36">
        <f t="shared" si="82"/>
        <v>1.1158363533929663</v>
      </c>
      <c r="X250" s="57">
        <v>2</v>
      </c>
      <c r="Y250" s="57">
        <v>4</v>
      </c>
      <c r="Z250" s="63">
        <v>6.45</v>
      </c>
      <c r="AA250" s="57">
        <v>18</v>
      </c>
      <c r="AB250" s="63">
        <v>6.2</v>
      </c>
      <c r="AC250" s="63">
        <v>4.0999999999999996</v>
      </c>
      <c r="AD250" s="10">
        <v>0.33</v>
      </c>
      <c r="AE250" s="36">
        <v>0.28000000000000003</v>
      </c>
      <c r="AF250" s="42">
        <f t="shared" si="83"/>
        <v>1719.9550000000002</v>
      </c>
      <c r="AG250" s="42">
        <f t="shared" si="84"/>
        <v>1759.2559555999999</v>
      </c>
      <c r="AH250" s="42">
        <f t="shared" si="85"/>
        <v>1.0228499906102193</v>
      </c>
      <c r="AI250" s="57">
        <v>2</v>
      </c>
      <c r="AJ250" s="57">
        <v>3</v>
      </c>
      <c r="AK250" s="36">
        <v>6.45</v>
      </c>
      <c r="AL250" s="36">
        <v>22</v>
      </c>
      <c r="AM250" s="63">
        <v>6.3</v>
      </c>
      <c r="AN250" s="63">
        <v>2.1</v>
      </c>
      <c r="AO250" s="36">
        <v>0.37</v>
      </c>
      <c r="AP250" s="68">
        <v>0.33</v>
      </c>
      <c r="AQ250" s="73">
        <f t="shared" si="63"/>
        <v>1776</v>
      </c>
      <c r="AR250" s="75">
        <f t="shared" si="64"/>
        <v>0.64414414414414412</v>
      </c>
      <c r="AS250" s="75">
        <f t="shared" si="65"/>
        <v>4.6171171171171171E-2</v>
      </c>
      <c r="AT250" s="75">
        <f t="shared" si="66"/>
        <v>0.30968468468468469</v>
      </c>
      <c r="AU250" s="26">
        <f t="shared" si="67"/>
        <v>7.9955580233203774E-2</v>
      </c>
      <c r="AV250" s="26">
        <f t="shared" si="68"/>
        <v>7.3292615213770118E-2</v>
      </c>
      <c r="AW250" s="24">
        <f t="shared" si="69"/>
        <v>0.91581632653061229</v>
      </c>
      <c r="AX250" s="24">
        <f t="shared" si="70"/>
        <v>0.9285714285714286</v>
      </c>
      <c r="AY250" s="77" t="str">
        <f t="shared" si="71"/>
        <v>2,5 ≤ Alc. Bruta &lt; 5,0 mg/L</v>
      </c>
      <c r="AZ250" s="77" t="str">
        <f t="shared" si="72"/>
        <v>15 ≤ Cor &lt; 30 uC</v>
      </c>
      <c r="BA250" s="78" t="str">
        <f t="shared" si="73"/>
        <v>2,5 ≤ Turb &lt; 5,0 uT</v>
      </c>
      <c r="BB250" s="79" t="str">
        <f t="shared" si="74"/>
        <v>TOR &gt; BNN &gt; SM</v>
      </c>
      <c r="BC250" s="78" t="str">
        <f t="shared" si="75"/>
        <v>Tipo 2 (0,25-0,50) uT</v>
      </c>
      <c r="BD250" s="78" t="str">
        <f t="shared" si="76"/>
        <v>Tipo 2 (0,25-0,50) uT</v>
      </c>
      <c r="BE250" s="78" t="str">
        <f t="shared" si="77"/>
        <v>Tipo 2 (0,25-0,50) uT</v>
      </c>
      <c r="BF250" s="78" t="str">
        <f t="shared" si="78"/>
        <v>Tipo 2 (0,25-0,50) uT</v>
      </c>
      <c r="BG250" s="78" t="str">
        <f t="shared" si="79"/>
        <v>Tipo 2 (0,25-0,50) uT</v>
      </c>
    </row>
    <row r="251" spans="1:59" x14ac:dyDescent="0.2">
      <c r="A251" s="21">
        <v>46153</v>
      </c>
      <c r="B251" s="48">
        <v>0.8125</v>
      </c>
      <c r="C251" s="57">
        <v>1120</v>
      </c>
      <c r="D251" s="57">
        <v>112</v>
      </c>
      <c r="E251" s="57">
        <v>550</v>
      </c>
      <c r="F251" s="57">
        <v>2007</v>
      </c>
      <c r="G251" s="10" t="s">
        <v>78</v>
      </c>
      <c r="H251" s="63">
        <v>5.2</v>
      </c>
      <c r="I251" s="57">
        <v>90</v>
      </c>
      <c r="J251" s="57">
        <v>80</v>
      </c>
      <c r="K251" s="57">
        <v>90</v>
      </c>
      <c r="L251" s="63">
        <v>23.6</v>
      </c>
      <c r="M251" s="63">
        <v>6.8</v>
      </c>
      <c r="N251" s="36">
        <v>3.3</v>
      </c>
      <c r="O251" s="57">
        <v>11</v>
      </c>
      <c r="P251" s="63">
        <v>5.6</v>
      </c>
      <c r="Q251" s="36">
        <v>0.37</v>
      </c>
      <c r="R251" s="36">
        <v>22.36</v>
      </c>
      <c r="S251" s="36">
        <v>0.88</v>
      </c>
      <c r="T251" s="36">
        <v>0.7</v>
      </c>
      <c r="U251" s="42">
        <f t="shared" si="80"/>
        <v>1281.9712499999998</v>
      </c>
      <c r="V251" s="36">
        <f t="shared" si="81"/>
        <v>1461.63711096</v>
      </c>
      <c r="W251" s="36">
        <f t="shared" si="82"/>
        <v>1.1401481202952095</v>
      </c>
      <c r="X251" s="57">
        <v>2</v>
      </c>
      <c r="Y251" s="57">
        <v>4</v>
      </c>
      <c r="Z251" s="63">
        <v>6.53</v>
      </c>
      <c r="AA251" s="57">
        <v>18</v>
      </c>
      <c r="AB251" s="63">
        <v>6.6</v>
      </c>
      <c r="AC251" s="63">
        <v>5.4</v>
      </c>
      <c r="AD251" s="10">
        <v>0.38</v>
      </c>
      <c r="AE251" s="36">
        <v>0.37</v>
      </c>
      <c r="AF251" s="42">
        <f t="shared" si="83"/>
        <v>1709.2949999999998</v>
      </c>
      <c r="AG251" s="42">
        <f t="shared" si="84"/>
        <v>1867.6474195600001</v>
      </c>
      <c r="AH251" s="42">
        <f t="shared" si="85"/>
        <v>1.0926419486162426</v>
      </c>
      <c r="AI251" s="57">
        <v>2</v>
      </c>
      <c r="AJ251" s="57">
        <v>3</v>
      </c>
      <c r="AK251" s="36">
        <v>6.53</v>
      </c>
      <c r="AL251" s="36">
        <v>23</v>
      </c>
      <c r="AM251" s="63">
        <v>6.5</v>
      </c>
      <c r="AN251" s="63">
        <v>5.9</v>
      </c>
      <c r="AO251" s="36">
        <v>0.28999999999999998</v>
      </c>
      <c r="AP251" s="68">
        <v>0.38</v>
      </c>
      <c r="AQ251" s="73">
        <f t="shared" si="63"/>
        <v>1782</v>
      </c>
      <c r="AR251" s="75">
        <f t="shared" si="64"/>
        <v>0.62850729517396187</v>
      </c>
      <c r="AS251" s="75">
        <f t="shared" si="65"/>
        <v>6.2850729517396189E-2</v>
      </c>
      <c r="AT251" s="75">
        <f t="shared" si="66"/>
        <v>0.30864197530864196</v>
      </c>
      <c r="AU251" s="26">
        <f t="shared" si="67"/>
        <v>7.1748878923766815E-2</v>
      </c>
      <c r="AV251" s="26">
        <f t="shared" si="68"/>
        <v>6.8759342301943194E-2</v>
      </c>
      <c r="AW251" s="24">
        <f t="shared" si="69"/>
        <v>0.88484848484848488</v>
      </c>
      <c r="AX251" s="24">
        <f t="shared" si="70"/>
        <v>0.88787878787878793</v>
      </c>
      <c r="AY251" s="77" t="str">
        <f t="shared" si="71"/>
        <v>5,0 ≤ Alc. Bruta &lt; 7,5 mg/L</v>
      </c>
      <c r="AZ251" s="77" t="str">
        <f t="shared" si="72"/>
        <v>10 ≤ Cor &lt;15 uC</v>
      </c>
      <c r="BA251" s="78" t="str">
        <f t="shared" si="73"/>
        <v>2,5 ≤ Turb &lt; 5,0 uT</v>
      </c>
      <c r="BB251" s="79" t="str">
        <f t="shared" si="74"/>
        <v>TOR &gt; BNN &gt; SM</v>
      </c>
      <c r="BC251" s="78" t="str">
        <f t="shared" si="75"/>
        <v>Tipo 2 (0,25-0,50) uT</v>
      </c>
      <c r="BD251" s="78" t="str">
        <f t="shared" si="76"/>
        <v>Tipo 2 (0,25-0,50) uT</v>
      </c>
      <c r="BE251" s="78" t="str">
        <f t="shared" si="77"/>
        <v>Tipo 2 (0,25-0,50) uT</v>
      </c>
      <c r="BF251" s="78" t="str">
        <f t="shared" si="78"/>
        <v>Tipo 2 (0,25-0,50) uT</v>
      </c>
      <c r="BG251" s="78" t="str">
        <f t="shared" si="79"/>
        <v>Tipo 2 (0,25-0,50) uT</v>
      </c>
    </row>
    <row r="252" spans="1:59" x14ac:dyDescent="0.2">
      <c r="A252" s="21">
        <v>46153</v>
      </c>
      <c r="B252" s="48">
        <v>0.89583333333333337</v>
      </c>
      <c r="C252" s="57">
        <v>1418</v>
      </c>
      <c r="D252" s="57">
        <v>90</v>
      </c>
      <c r="E252" s="57">
        <v>540</v>
      </c>
      <c r="F252" s="57">
        <v>2347</v>
      </c>
      <c r="G252" s="10" t="s">
        <v>78</v>
      </c>
      <c r="H252" s="63">
        <v>5.2</v>
      </c>
      <c r="I252" s="57">
        <v>90</v>
      </c>
      <c r="J252" s="57">
        <v>90</v>
      </c>
      <c r="K252" s="57">
        <v>90</v>
      </c>
      <c r="L252" s="63">
        <v>22.4</v>
      </c>
      <c r="M252" s="63">
        <v>6.9</v>
      </c>
      <c r="N252" s="36">
        <v>4.0999999999999996</v>
      </c>
      <c r="O252" s="57">
        <v>17</v>
      </c>
      <c r="P252" s="63">
        <v>5.2</v>
      </c>
      <c r="Q252" s="36">
        <v>0.38</v>
      </c>
      <c r="R252" s="36">
        <v>22.36</v>
      </c>
      <c r="S252" s="36">
        <v>0.88</v>
      </c>
      <c r="T252" s="36">
        <v>0.7</v>
      </c>
      <c r="U252" s="42">
        <f t="shared" si="80"/>
        <v>1733.8462500000001</v>
      </c>
      <c r="V252" s="36">
        <f t="shared" si="81"/>
        <v>1453.2949080000001</v>
      </c>
      <c r="W252" s="36">
        <f t="shared" si="82"/>
        <v>0.83819133789977052</v>
      </c>
      <c r="X252" s="57">
        <v>2</v>
      </c>
      <c r="Y252" s="57">
        <v>4</v>
      </c>
      <c r="Z252" s="63">
        <v>6.5</v>
      </c>
      <c r="AA252" s="57">
        <v>18</v>
      </c>
      <c r="AB252" s="63">
        <v>6.6</v>
      </c>
      <c r="AC252" s="63">
        <v>5.8</v>
      </c>
      <c r="AD252" s="10">
        <v>0.35</v>
      </c>
      <c r="AE252" s="36">
        <v>0.59</v>
      </c>
      <c r="AF252" s="42">
        <f t="shared" si="83"/>
        <v>2311.7950000000001</v>
      </c>
      <c r="AG252" s="42">
        <f t="shared" si="84"/>
        <v>1871.2005800799998</v>
      </c>
      <c r="AH252" s="42">
        <f t="shared" si="85"/>
        <v>0.80941458047967041</v>
      </c>
      <c r="AI252" s="57">
        <v>2</v>
      </c>
      <c r="AJ252" s="57">
        <v>3</v>
      </c>
      <c r="AK252" s="36">
        <v>6.54</v>
      </c>
      <c r="AL252" s="36">
        <v>23</v>
      </c>
      <c r="AM252" s="63">
        <v>6.5</v>
      </c>
      <c r="AN252" s="63">
        <v>6</v>
      </c>
      <c r="AO252" s="36">
        <v>0.32</v>
      </c>
      <c r="AP252" s="68">
        <v>0.46</v>
      </c>
      <c r="AQ252" s="73">
        <f t="shared" si="63"/>
        <v>2048</v>
      </c>
      <c r="AR252" s="75">
        <f t="shared" si="64"/>
        <v>0.6923828125</v>
      </c>
      <c r="AS252" s="75">
        <f t="shared" si="65"/>
        <v>4.39453125E-2</v>
      </c>
      <c r="AT252" s="75">
        <f t="shared" si="66"/>
        <v>0.263671875</v>
      </c>
      <c r="AU252" s="26">
        <f t="shared" si="67"/>
        <v>6.1354921175969322E-2</v>
      </c>
      <c r="AV252" s="26">
        <f t="shared" si="68"/>
        <v>5.8798466126970601E-2</v>
      </c>
      <c r="AW252" s="24">
        <f t="shared" si="69"/>
        <v>0.8878048780487805</v>
      </c>
      <c r="AX252" s="24">
        <f t="shared" si="70"/>
        <v>0.85609756097560974</v>
      </c>
      <c r="AY252" s="77" t="str">
        <f t="shared" si="71"/>
        <v>5,0 ≤ Alc. Bruta &lt; 7,5 mg/L</v>
      </c>
      <c r="AZ252" s="77" t="str">
        <f t="shared" si="72"/>
        <v>15 ≤ Cor &lt; 30 uC</v>
      </c>
      <c r="BA252" s="78" t="str">
        <f t="shared" si="73"/>
        <v>2,5 ≤ Turb &lt; 5,0 uT</v>
      </c>
      <c r="BB252" s="79" t="str">
        <f t="shared" si="74"/>
        <v>TOR &gt; BNN &gt; SM</v>
      </c>
      <c r="BC252" s="78" t="str">
        <f t="shared" si="75"/>
        <v>Tipo 2 (0,25-0,50) uT</v>
      </c>
      <c r="BD252" s="78" t="str">
        <f t="shared" si="76"/>
        <v>Tipo 2 (0,25-0,50) uT</v>
      </c>
      <c r="BE252" s="78" t="str">
        <f t="shared" si="77"/>
        <v>Tipo 3 (0,50-0,75) uT</v>
      </c>
      <c r="BF252" s="78" t="str">
        <f t="shared" si="78"/>
        <v>Tipo 2 (0,25-0,50) uT</v>
      </c>
      <c r="BG252" s="78" t="str">
        <f t="shared" si="79"/>
        <v>Tipo 2 (0,25-0,50) uT</v>
      </c>
    </row>
    <row r="253" spans="1:59" x14ac:dyDescent="0.2">
      <c r="A253" s="21">
        <v>46153</v>
      </c>
      <c r="B253" s="48">
        <v>0.97916666666666663</v>
      </c>
      <c r="C253" s="57">
        <v>1513</v>
      </c>
      <c r="D253" s="57">
        <v>92</v>
      </c>
      <c r="E253" s="57">
        <v>542</v>
      </c>
      <c r="F253" s="57">
        <v>2340</v>
      </c>
      <c r="G253" s="10" t="s">
        <v>78</v>
      </c>
      <c r="H253" s="63">
        <v>5.2</v>
      </c>
      <c r="I253" s="57">
        <v>90</v>
      </c>
      <c r="J253" s="57">
        <v>90</v>
      </c>
      <c r="K253" s="57">
        <v>90</v>
      </c>
      <c r="L253" s="63">
        <v>22.3</v>
      </c>
      <c r="M253" s="63">
        <v>6.8</v>
      </c>
      <c r="N253" s="36">
        <v>4.3600000000000003</v>
      </c>
      <c r="O253" s="57">
        <v>16</v>
      </c>
      <c r="P253" s="63">
        <v>5.4</v>
      </c>
      <c r="Q253" s="36">
        <v>0.54</v>
      </c>
      <c r="R253" s="36">
        <v>22.36</v>
      </c>
      <c r="S253" s="36">
        <v>0.88</v>
      </c>
      <c r="T253" s="36">
        <v>0.7</v>
      </c>
      <c r="U253" s="42">
        <f t="shared" si="80"/>
        <v>1804.7249999999999</v>
      </c>
      <c r="V253" s="36">
        <f t="shared" si="81"/>
        <v>1444.9527050400002</v>
      </c>
      <c r="W253" s="36">
        <f t="shared" si="82"/>
        <v>0.80064979708265815</v>
      </c>
      <c r="X253" s="57">
        <v>2</v>
      </c>
      <c r="Y253" s="57">
        <v>4</v>
      </c>
      <c r="Z253" s="63">
        <v>6.47</v>
      </c>
      <c r="AA253" s="57">
        <v>18</v>
      </c>
      <c r="AB253" s="63">
        <v>6.5</v>
      </c>
      <c r="AC253" s="63">
        <v>5.8</v>
      </c>
      <c r="AD253" s="10">
        <v>0.42</v>
      </c>
      <c r="AE253" s="36">
        <v>0.52</v>
      </c>
      <c r="AF253" s="42">
        <f t="shared" si="83"/>
        <v>2406.3000000000002</v>
      </c>
      <c r="AG253" s="42">
        <f t="shared" si="84"/>
        <v>1871.2005800799998</v>
      </c>
      <c r="AH253" s="42">
        <f t="shared" si="85"/>
        <v>0.77762564105888698</v>
      </c>
      <c r="AI253" s="57">
        <v>2</v>
      </c>
      <c r="AJ253" s="57">
        <v>3</v>
      </c>
      <c r="AK253" s="36">
        <v>6.54</v>
      </c>
      <c r="AL253" s="36">
        <v>23</v>
      </c>
      <c r="AM253" s="63">
        <v>6.5</v>
      </c>
      <c r="AN253" s="63">
        <v>5.8</v>
      </c>
      <c r="AO253" s="36">
        <v>0.26</v>
      </c>
      <c r="AP253" s="68">
        <v>0.42</v>
      </c>
      <c r="AQ253" s="73">
        <f t="shared" si="63"/>
        <v>2147</v>
      </c>
      <c r="AR253" s="75">
        <f t="shared" si="64"/>
        <v>0.70470423847228691</v>
      </c>
      <c r="AS253" s="75">
        <f t="shared" si="65"/>
        <v>4.2850489054494643E-2</v>
      </c>
      <c r="AT253" s="75">
        <f t="shared" si="66"/>
        <v>0.25244527247321846</v>
      </c>
      <c r="AU253" s="26">
        <f t="shared" si="67"/>
        <v>6.1538461538461542E-2</v>
      </c>
      <c r="AV253" s="26">
        <f t="shared" si="68"/>
        <v>5.8974358974358973E-2</v>
      </c>
      <c r="AW253" s="24">
        <f t="shared" si="69"/>
        <v>0.90366972477064222</v>
      </c>
      <c r="AX253" s="24">
        <f t="shared" si="70"/>
        <v>0.88073394495412849</v>
      </c>
      <c r="AY253" s="77" t="str">
        <f t="shared" si="71"/>
        <v>5,0 ≤ Alc. Bruta &lt; 7,5 mg/L</v>
      </c>
      <c r="AZ253" s="77" t="str">
        <f t="shared" si="72"/>
        <v>15 ≤ Cor &lt; 30 uC</v>
      </c>
      <c r="BA253" s="78" t="str">
        <f t="shared" si="73"/>
        <v>2,5 ≤ Turb &lt; 5,0 uT</v>
      </c>
      <c r="BB253" s="79" t="str">
        <f t="shared" si="74"/>
        <v>TOR &gt; BNN &gt; SM</v>
      </c>
      <c r="BC253" s="78" t="str">
        <f t="shared" si="75"/>
        <v>Tipo 2 (0,25-0,50) uT</v>
      </c>
      <c r="BD253" s="78" t="str">
        <f t="shared" si="76"/>
        <v>Tipo 2 (0,25-0,50) uT</v>
      </c>
      <c r="BE253" s="78" t="str">
        <f t="shared" si="77"/>
        <v>Tipo 3 (0,50-0,75) uT</v>
      </c>
      <c r="BF253" s="78" t="str">
        <f t="shared" si="78"/>
        <v>Tipo 2 (0,25-0,50) uT</v>
      </c>
      <c r="BG253" s="78" t="str">
        <f t="shared" si="79"/>
        <v>Tipo 3 (0,50-0,75) uT</v>
      </c>
    </row>
    <row r="254" spans="1:59" x14ac:dyDescent="0.2">
      <c r="A254" s="21">
        <v>46154</v>
      </c>
      <c r="B254" s="48">
        <v>0.14583333333333334</v>
      </c>
      <c r="C254" s="57">
        <v>1597</v>
      </c>
      <c r="D254" s="57">
        <v>92</v>
      </c>
      <c r="E254" s="57">
        <v>592</v>
      </c>
      <c r="F254" s="57">
        <v>2334</v>
      </c>
      <c r="G254" s="10" t="s">
        <v>78</v>
      </c>
      <c r="H254" s="63">
        <v>5.2</v>
      </c>
      <c r="I254" s="57">
        <v>90</v>
      </c>
      <c r="J254" s="57">
        <v>90</v>
      </c>
      <c r="K254" s="57">
        <v>90</v>
      </c>
      <c r="L254" s="63">
        <v>22.2</v>
      </c>
      <c r="M254" s="63">
        <v>6.8</v>
      </c>
      <c r="N254" s="36">
        <v>3.82</v>
      </c>
      <c r="O254" s="57">
        <v>17</v>
      </c>
      <c r="P254" s="63">
        <v>4.7</v>
      </c>
      <c r="Q254" s="36">
        <v>0.36</v>
      </c>
      <c r="R254" s="36">
        <v>22.36</v>
      </c>
      <c r="S254" s="36">
        <v>0.88</v>
      </c>
      <c r="T254" s="36">
        <v>0.7</v>
      </c>
      <c r="U254" s="42">
        <f t="shared" si="80"/>
        <v>1642.5525</v>
      </c>
      <c r="V254" s="36">
        <f t="shared" si="81"/>
        <v>1450.5141736799999</v>
      </c>
      <c r="W254" s="36">
        <f t="shared" si="82"/>
        <v>0.88308542568958981</v>
      </c>
      <c r="X254" s="57">
        <v>2</v>
      </c>
      <c r="Y254" s="57">
        <v>4</v>
      </c>
      <c r="Z254" s="63">
        <v>6.49</v>
      </c>
      <c r="AA254" s="57">
        <v>18</v>
      </c>
      <c r="AB254" s="63">
        <v>6.5</v>
      </c>
      <c r="AC254" s="63">
        <v>5.2</v>
      </c>
      <c r="AD254" s="10">
        <v>0.27</v>
      </c>
      <c r="AE254" s="36">
        <v>0.44</v>
      </c>
      <c r="AF254" s="42">
        <f t="shared" si="83"/>
        <v>2190.0700000000002</v>
      </c>
      <c r="AG254" s="42">
        <f t="shared" si="84"/>
        <v>1853.4347774799999</v>
      </c>
      <c r="AH254" s="42">
        <f t="shared" si="85"/>
        <v>0.84629019961919016</v>
      </c>
      <c r="AI254" s="57">
        <v>2</v>
      </c>
      <c r="AJ254" s="57">
        <v>3</v>
      </c>
      <c r="AK254" s="36">
        <v>6.49</v>
      </c>
      <c r="AL254" s="36">
        <v>23</v>
      </c>
      <c r="AM254" s="63">
        <v>6.5</v>
      </c>
      <c r="AN254" s="63">
        <v>5</v>
      </c>
      <c r="AO254" s="36">
        <v>0.25</v>
      </c>
      <c r="AP254" s="68">
        <v>0.36</v>
      </c>
      <c r="AQ254" s="73">
        <f t="shared" si="63"/>
        <v>2281</v>
      </c>
      <c r="AR254" s="75">
        <f t="shared" si="64"/>
        <v>0.70013152126260414</v>
      </c>
      <c r="AS254" s="75">
        <f t="shared" si="65"/>
        <v>4.0333187198597104E-2</v>
      </c>
      <c r="AT254" s="75">
        <f t="shared" si="66"/>
        <v>0.25953529153879878</v>
      </c>
      <c r="AU254" s="26">
        <f t="shared" si="67"/>
        <v>6.1696658097686374E-2</v>
      </c>
      <c r="AV254" s="26">
        <f t="shared" si="68"/>
        <v>5.9125964010282778E-2</v>
      </c>
      <c r="AW254" s="24">
        <f t="shared" si="69"/>
        <v>0.90575916230366493</v>
      </c>
      <c r="AX254" s="24">
        <f t="shared" si="70"/>
        <v>0.88481675392670156</v>
      </c>
      <c r="AY254" s="77" t="str">
        <f t="shared" si="71"/>
        <v>2,5 ≤ Alc. Bruta &lt; 5,0 mg/L</v>
      </c>
      <c r="AZ254" s="77" t="str">
        <f t="shared" si="72"/>
        <v>15 ≤ Cor &lt; 30 uC</v>
      </c>
      <c r="BA254" s="78" t="str">
        <f t="shared" si="73"/>
        <v>2,5 ≤ Turb &lt; 5,0 uT</v>
      </c>
      <c r="BB254" s="79" t="str">
        <f t="shared" si="74"/>
        <v>TOR &gt; BNN &gt; SM</v>
      </c>
      <c r="BC254" s="78" t="str">
        <f t="shared" si="75"/>
        <v>Tipo 2 (0,25-0,50) uT</v>
      </c>
      <c r="BD254" s="78" t="str">
        <f t="shared" si="76"/>
        <v>Tipo 1 (≤0,25) uT</v>
      </c>
      <c r="BE254" s="78" t="str">
        <f t="shared" si="77"/>
        <v>Tipo 2 (0,25-0,50) uT</v>
      </c>
      <c r="BF254" s="78" t="str">
        <f t="shared" si="78"/>
        <v>Tipo 2 (0,25-0,50) uT</v>
      </c>
      <c r="BG254" s="78" t="str">
        <f t="shared" si="79"/>
        <v>Tipo 2 (0,25-0,50) uT</v>
      </c>
    </row>
    <row r="255" spans="1:59" ht="15.75" thickBot="1" x14ac:dyDescent="0.25">
      <c r="A255" s="21">
        <v>46154</v>
      </c>
      <c r="B255" s="51">
        <v>0.22916666666666666</v>
      </c>
      <c r="C255" s="58">
        <v>1575</v>
      </c>
      <c r="D255" s="58">
        <v>93</v>
      </c>
      <c r="E255" s="58">
        <v>543</v>
      </c>
      <c r="F255" s="58">
        <v>2333</v>
      </c>
      <c r="G255" s="11" t="s">
        <v>78</v>
      </c>
      <c r="H255" s="64">
        <v>5.2</v>
      </c>
      <c r="I255" s="58">
        <v>90</v>
      </c>
      <c r="J255" s="58">
        <v>90</v>
      </c>
      <c r="K255" s="58">
        <v>90</v>
      </c>
      <c r="L255" s="64">
        <v>22.9</v>
      </c>
      <c r="M255" s="64">
        <v>6.7</v>
      </c>
      <c r="N255" s="37">
        <v>4.07</v>
      </c>
      <c r="O255" s="58">
        <v>18</v>
      </c>
      <c r="P255" s="64">
        <v>5.5</v>
      </c>
      <c r="Q255" s="37">
        <v>0.33</v>
      </c>
      <c r="R255" s="36">
        <v>22.36</v>
      </c>
      <c r="S255" s="36">
        <v>0.88</v>
      </c>
      <c r="T255" s="36">
        <v>0.7</v>
      </c>
      <c r="U255" s="42">
        <f t="shared" si="80"/>
        <v>1714.7550000000003</v>
      </c>
      <c r="V255" s="36">
        <f t="shared" si="81"/>
        <v>1442.1719707199995</v>
      </c>
      <c r="W255" s="36">
        <f t="shared" si="82"/>
        <v>0.84103674910993076</v>
      </c>
      <c r="X255" s="58">
        <v>2</v>
      </c>
      <c r="Y255" s="58">
        <v>4</v>
      </c>
      <c r="Z255" s="64">
        <v>6.46</v>
      </c>
      <c r="AA255" s="58">
        <v>18</v>
      </c>
      <c r="AB255" s="64">
        <v>6.5</v>
      </c>
      <c r="AC255" s="64">
        <v>6.5</v>
      </c>
      <c r="AD255" s="11">
        <v>0.38</v>
      </c>
      <c r="AE255" s="37">
        <v>0.55000000000000004</v>
      </c>
      <c r="AF255" s="42">
        <f t="shared" si="83"/>
        <v>2286.34</v>
      </c>
      <c r="AG255" s="42">
        <f t="shared" si="84"/>
        <v>1853.4347774799999</v>
      </c>
      <c r="AH255" s="42">
        <f t="shared" si="85"/>
        <v>0.81065579812276378</v>
      </c>
      <c r="AI255" s="58">
        <v>2</v>
      </c>
      <c r="AJ255" s="58">
        <v>3</v>
      </c>
      <c r="AK255" s="37">
        <v>6.49</v>
      </c>
      <c r="AL255" s="37">
        <v>23</v>
      </c>
      <c r="AM255" s="64">
        <v>6.5</v>
      </c>
      <c r="AN255" s="64">
        <v>5.7</v>
      </c>
      <c r="AO255" s="37">
        <v>0.31</v>
      </c>
      <c r="AP255" s="69">
        <v>0.51</v>
      </c>
      <c r="AQ255" s="73">
        <f t="shared" si="63"/>
        <v>2211</v>
      </c>
      <c r="AR255" s="75">
        <f t="shared" si="64"/>
        <v>0.71234735413839889</v>
      </c>
      <c r="AS255" s="75">
        <f t="shared" si="65"/>
        <v>4.2062415196743558E-2</v>
      </c>
      <c r="AT255" s="75">
        <f t="shared" si="66"/>
        <v>0.24559023066485752</v>
      </c>
      <c r="AU255" s="26">
        <f t="shared" si="67"/>
        <v>6.1723103300471496E-2</v>
      </c>
      <c r="AV255" s="26">
        <f t="shared" si="68"/>
        <v>5.915130732961852E-2</v>
      </c>
      <c r="AW255" s="24">
        <f t="shared" si="69"/>
        <v>0.87469287469287471</v>
      </c>
      <c r="AX255" s="24">
        <f t="shared" si="70"/>
        <v>0.86486486486486491</v>
      </c>
      <c r="AY255" s="77" t="str">
        <f t="shared" si="71"/>
        <v>5,0 ≤ Alc. Bruta &lt; 7,5 mg/L</v>
      </c>
      <c r="AZ255" s="77" t="str">
        <f t="shared" si="72"/>
        <v>15 ≤ Cor &lt; 30 uC</v>
      </c>
      <c r="BA255" s="78" t="str">
        <f t="shared" si="73"/>
        <v>2,5 ≤ Turb &lt; 5,0 uT</v>
      </c>
      <c r="BB255" s="79" t="str">
        <f t="shared" si="74"/>
        <v>TOR &gt; BNN &gt; SM</v>
      </c>
      <c r="BC255" s="78" t="str">
        <f t="shared" si="75"/>
        <v>Tipo 2 (0,25-0,50) uT</v>
      </c>
      <c r="BD255" s="78" t="str">
        <f t="shared" si="76"/>
        <v>Tipo 2 (0,25-0,50) uT</v>
      </c>
      <c r="BE255" s="78" t="str">
        <f t="shared" si="77"/>
        <v>Tipo 3 (0,50-0,75) uT</v>
      </c>
      <c r="BF255" s="78" t="str">
        <f t="shared" si="78"/>
        <v>Tipo 3 (0,50-0,75) uT</v>
      </c>
      <c r="BG255" s="78" t="str">
        <f t="shared" si="79"/>
        <v>Tipo 2 (0,25-0,50) uT</v>
      </c>
    </row>
    <row r="256" spans="1:59" x14ac:dyDescent="0.2">
      <c r="A256" s="21">
        <v>46154</v>
      </c>
      <c r="B256" s="52">
        <v>0.3125</v>
      </c>
      <c r="C256" s="59">
        <v>1620</v>
      </c>
      <c r="D256" s="57">
        <v>92</v>
      </c>
      <c r="E256" s="59">
        <v>541</v>
      </c>
      <c r="F256" s="59">
        <v>2349</v>
      </c>
      <c r="G256" s="9" t="s">
        <v>78</v>
      </c>
      <c r="H256" s="65">
        <v>5</v>
      </c>
      <c r="I256" s="59">
        <v>90</v>
      </c>
      <c r="J256" s="59">
        <v>90</v>
      </c>
      <c r="K256" s="59">
        <v>90</v>
      </c>
      <c r="L256" s="65">
        <v>22.8</v>
      </c>
      <c r="M256" s="65">
        <v>6.7</v>
      </c>
      <c r="N256" s="38">
        <v>3.76</v>
      </c>
      <c r="O256" s="59">
        <v>18</v>
      </c>
      <c r="P256" s="65">
        <v>5.6</v>
      </c>
      <c r="Q256" s="38">
        <v>0.45</v>
      </c>
      <c r="R256" s="36">
        <v>22.36</v>
      </c>
      <c r="S256" s="36">
        <v>0.88</v>
      </c>
      <c r="T256" s="36">
        <v>0.7</v>
      </c>
      <c r="U256" s="42">
        <f t="shared" si="80"/>
        <v>1617.87375</v>
      </c>
      <c r="V256" s="36">
        <f t="shared" si="81"/>
        <v>1428.2682991200002</v>
      </c>
      <c r="W256" s="36">
        <f t="shared" si="82"/>
        <v>0.88280578080953487</v>
      </c>
      <c r="X256" s="59">
        <v>3</v>
      </c>
      <c r="Y256" s="59">
        <v>4</v>
      </c>
      <c r="Z256" s="65">
        <v>6.41</v>
      </c>
      <c r="AA256" s="59">
        <v>18</v>
      </c>
      <c r="AB256" s="65">
        <v>6.6</v>
      </c>
      <c r="AC256" s="65">
        <v>5.6</v>
      </c>
      <c r="AD256" s="9">
        <v>0.34</v>
      </c>
      <c r="AE256" s="38">
        <v>0.78</v>
      </c>
      <c r="AF256" s="42">
        <f t="shared" si="83"/>
        <v>2157.165</v>
      </c>
      <c r="AG256" s="42">
        <f t="shared" si="84"/>
        <v>1874.7537405999997</v>
      </c>
      <c r="AH256" s="42">
        <f t="shared" si="85"/>
        <v>0.86908221698386523</v>
      </c>
      <c r="AI256" s="59">
        <v>2</v>
      </c>
      <c r="AJ256" s="59">
        <v>3</v>
      </c>
      <c r="AK256" s="38">
        <v>6.55</v>
      </c>
      <c r="AL256" s="38">
        <v>23</v>
      </c>
      <c r="AM256" s="65">
        <v>6.5</v>
      </c>
      <c r="AN256" s="65">
        <v>5.8</v>
      </c>
      <c r="AO256" s="38">
        <v>0.28999999999999998</v>
      </c>
      <c r="AP256" s="70">
        <v>0.44</v>
      </c>
      <c r="AQ256" s="73">
        <f t="shared" si="63"/>
        <v>2253</v>
      </c>
      <c r="AR256" s="75">
        <f t="shared" si="64"/>
        <v>0.71904127829560582</v>
      </c>
      <c r="AS256" s="75">
        <f t="shared" si="65"/>
        <v>4.0834442964935644E-2</v>
      </c>
      <c r="AT256" s="75">
        <f t="shared" si="66"/>
        <v>0.24012427873945849</v>
      </c>
      <c r="AU256" s="26">
        <f t="shared" si="67"/>
        <v>6.1302681992337162E-2</v>
      </c>
      <c r="AV256" s="26">
        <f t="shared" si="68"/>
        <v>5.8748403575989781E-2</v>
      </c>
      <c r="AW256" s="24">
        <f t="shared" si="69"/>
        <v>0.88297872340425532</v>
      </c>
      <c r="AX256" s="24">
        <f t="shared" si="70"/>
        <v>0.79255319148936165</v>
      </c>
      <c r="AY256" s="77" t="str">
        <f t="shared" si="71"/>
        <v>5,0 ≤ Alc. Bruta &lt; 7,5 mg/L</v>
      </c>
      <c r="AZ256" s="77" t="str">
        <f t="shared" si="72"/>
        <v>15 ≤ Cor &lt; 30 uC</v>
      </c>
      <c r="BA256" s="78" t="str">
        <f t="shared" si="73"/>
        <v>2,5 ≤ Turb &lt; 5,0 uT</v>
      </c>
      <c r="BB256" s="79" t="str">
        <f t="shared" si="74"/>
        <v>TOR &gt; BNN &gt; SM</v>
      </c>
      <c r="BC256" s="78" t="str">
        <f t="shared" si="75"/>
        <v>Tipo 2 (0,25-0,50) uT</v>
      </c>
      <c r="BD256" s="78" t="str">
        <f t="shared" si="76"/>
        <v>Tipo 2 (0,25-0,50) uT</v>
      </c>
      <c r="BE256" s="78" t="str">
        <f t="shared" si="77"/>
        <v>Tipo 4 (&gt;0,75) uT</v>
      </c>
      <c r="BF256" s="78" t="str">
        <f t="shared" si="78"/>
        <v>Tipo 2 (0,25-0,50) uT</v>
      </c>
      <c r="BG256" s="78" t="str">
        <f t="shared" si="79"/>
        <v>Tipo 2 (0,25-0,50) uT</v>
      </c>
    </row>
    <row r="257" spans="1:59" x14ac:dyDescent="0.2">
      <c r="A257" s="21">
        <v>46154</v>
      </c>
      <c r="B257" s="48">
        <v>0.39583333333333331</v>
      </c>
      <c r="C257" s="57">
        <v>1188</v>
      </c>
      <c r="D257" s="57">
        <v>90</v>
      </c>
      <c r="E257" s="57">
        <v>549</v>
      </c>
      <c r="F257" s="57">
        <v>1750</v>
      </c>
      <c r="G257" s="10" t="s">
        <v>78</v>
      </c>
      <c r="H257" s="63">
        <v>5</v>
      </c>
      <c r="I257" s="57">
        <v>90</v>
      </c>
      <c r="J257" s="57">
        <v>90</v>
      </c>
      <c r="K257" s="57">
        <v>90</v>
      </c>
      <c r="L257" s="63">
        <v>23.1</v>
      </c>
      <c r="M257" s="63">
        <v>6.8</v>
      </c>
      <c r="N257" s="36">
        <v>3.7</v>
      </c>
      <c r="O257" s="57">
        <v>18</v>
      </c>
      <c r="P257" s="63">
        <v>6.1</v>
      </c>
      <c r="Q257" s="36">
        <v>0.49</v>
      </c>
      <c r="R257" s="36">
        <v>22.36</v>
      </c>
      <c r="S257" s="36">
        <v>0.88</v>
      </c>
      <c r="T257" s="36">
        <v>0.7</v>
      </c>
      <c r="U257" s="42">
        <f t="shared" si="80"/>
        <v>1192.1875</v>
      </c>
      <c r="V257" s="36">
        <f t="shared" si="81"/>
        <v>1425.4875648</v>
      </c>
      <c r="W257" s="36">
        <f t="shared" si="82"/>
        <v>1.1956907489803408</v>
      </c>
      <c r="X257" s="57">
        <v>3</v>
      </c>
      <c r="Y257" s="57">
        <v>4</v>
      </c>
      <c r="Z257" s="63">
        <v>6.4</v>
      </c>
      <c r="AA257" s="57">
        <v>18</v>
      </c>
      <c r="AB257" s="63">
        <v>6.7</v>
      </c>
      <c r="AC257" s="63">
        <v>6</v>
      </c>
      <c r="AD257" s="10">
        <v>0.33</v>
      </c>
      <c r="AE257" s="36">
        <v>0.9</v>
      </c>
      <c r="AF257" s="42">
        <f t="shared" si="83"/>
        <v>1589.5833333333335</v>
      </c>
      <c r="AG257" s="42">
        <f t="shared" si="84"/>
        <v>1849.8816169599997</v>
      </c>
      <c r="AH257" s="42">
        <f t="shared" si="85"/>
        <v>1.1637525244309304</v>
      </c>
      <c r="AI257" s="57">
        <v>2</v>
      </c>
      <c r="AJ257" s="57">
        <v>3</v>
      </c>
      <c r="AK257" s="36">
        <v>6.48</v>
      </c>
      <c r="AL257" s="36">
        <v>23</v>
      </c>
      <c r="AM257" s="63">
        <v>6.6</v>
      </c>
      <c r="AN257" s="63">
        <v>6.1</v>
      </c>
      <c r="AO257" s="36">
        <v>0.32</v>
      </c>
      <c r="AP257" s="68">
        <v>0.57999999999999996</v>
      </c>
      <c r="AQ257" s="73">
        <f t="shared" si="63"/>
        <v>1827</v>
      </c>
      <c r="AR257" s="75">
        <f t="shared" si="64"/>
        <v>0.65024630541871919</v>
      </c>
      <c r="AS257" s="75">
        <f t="shared" si="65"/>
        <v>4.9261083743842367E-2</v>
      </c>
      <c r="AT257" s="75">
        <f t="shared" si="66"/>
        <v>0.30049261083743845</v>
      </c>
      <c r="AU257" s="26">
        <f t="shared" si="67"/>
        <v>8.2285714285714281E-2</v>
      </c>
      <c r="AV257" s="26">
        <f t="shared" si="68"/>
        <v>7.8857142857142848E-2</v>
      </c>
      <c r="AW257" s="24">
        <f t="shared" si="69"/>
        <v>0.84324324324324329</v>
      </c>
      <c r="AX257" s="24">
        <f t="shared" si="70"/>
        <v>0.7567567567567568</v>
      </c>
      <c r="AY257" s="77" t="str">
        <f t="shared" si="71"/>
        <v>5,0 ≤ Alc. Bruta &lt; 7,5 mg/L</v>
      </c>
      <c r="AZ257" s="77" t="str">
        <f t="shared" si="72"/>
        <v>15 ≤ Cor &lt; 30 uC</v>
      </c>
      <c r="BA257" s="78" t="str">
        <f t="shared" si="73"/>
        <v>2,5 ≤ Turb &lt; 5,0 uT</v>
      </c>
      <c r="BB257" s="79" t="str">
        <f t="shared" si="74"/>
        <v>TOR &gt; BNN &gt; SM</v>
      </c>
      <c r="BC257" s="78" t="str">
        <f t="shared" si="75"/>
        <v>Tipo 2 (0,25-0,50) uT</v>
      </c>
      <c r="BD257" s="78" t="str">
        <f t="shared" si="76"/>
        <v>Tipo 2 (0,25-0,50) uT</v>
      </c>
      <c r="BE257" s="78" t="str">
        <f t="shared" si="77"/>
        <v>Tipo 4 (&gt;0,75) uT</v>
      </c>
      <c r="BF257" s="78" t="str">
        <f t="shared" si="78"/>
        <v>Tipo 3 (0,50-0,75) uT</v>
      </c>
      <c r="BG257" s="78" t="str">
        <f t="shared" si="79"/>
        <v>Tipo 2 (0,25-0,50) uT</v>
      </c>
    </row>
    <row r="258" spans="1:59" x14ac:dyDescent="0.2">
      <c r="A258" s="21">
        <v>46154</v>
      </c>
      <c r="B258" s="48">
        <v>0.47916666666666669</v>
      </c>
      <c r="C258" s="57">
        <v>1188</v>
      </c>
      <c r="D258" s="57">
        <v>91</v>
      </c>
      <c r="E258" s="57">
        <v>555</v>
      </c>
      <c r="F258" s="57">
        <v>1816</v>
      </c>
      <c r="G258" s="10" t="s">
        <v>78</v>
      </c>
      <c r="H258" s="63">
        <v>4.8</v>
      </c>
      <c r="I258" s="57">
        <v>90</v>
      </c>
      <c r="J258" s="57">
        <v>90</v>
      </c>
      <c r="K258" s="57">
        <v>90</v>
      </c>
      <c r="L258" s="63">
        <v>23.6</v>
      </c>
      <c r="M258" s="63">
        <v>6.8</v>
      </c>
      <c r="N258" s="36">
        <v>6.28</v>
      </c>
      <c r="O258" s="57">
        <v>23</v>
      </c>
      <c r="P258" s="63">
        <v>6.2</v>
      </c>
      <c r="Q258" s="36">
        <v>0.75</v>
      </c>
      <c r="R258" s="36">
        <v>22.36</v>
      </c>
      <c r="S258" s="36">
        <v>0.88</v>
      </c>
      <c r="T258" s="36">
        <v>0.7</v>
      </c>
      <c r="U258" s="42">
        <f t="shared" si="80"/>
        <v>1809.19</v>
      </c>
      <c r="V258" s="36">
        <f t="shared" si="81"/>
        <v>1372.556302</v>
      </c>
      <c r="W258" s="36">
        <f t="shared" si="82"/>
        <v>0.75865790878791062</v>
      </c>
      <c r="X258" s="57">
        <v>3</v>
      </c>
      <c r="Y258" s="57">
        <v>4</v>
      </c>
      <c r="Z258" s="63">
        <v>6.5</v>
      </c>
      <c r="AA258" s="57">
        <v>17</v>
      </c>
      <c r="AB258" s="63">
        <v>6.6</v>
      </c>
      <c r="AC258" s="63">
        <v>6</v>
      </c>
      <c r="AD258" s="10">
        <v>0.28999999999999998</v>
      </c>
      <c r="AE258" s="36">
        <v>1.19</v>
      </c>
      <c r="AF258" s="42">
        <f t="shared" si="83"/>
        <v>2412.2533333333336</v>
      </c>
      <c r="AG258" s="42">
        <f t="shared" si="84"/>
        <v>1856.9879380000002</v>
      </c>
      <c r="AH258" s="42">
        <f t="shared" si="85"/>
        <v>0.76981464274067402</v>
      </c>
      <c r="AI258" s="57">
        <v>2</v>
      </c>
      <c r="AJ258" s="57">
        <v>3</v>
      </c>
      <c r="AK258" s="36">
        <v>6.5</v>
      </c>
      <c r="AL258" s="36">
        <v>23</v>
      </c>
      <c r="AM258" s="63">
        <v>6.6</v>
      </c>
      <c r="AN258" s="63">
        <v>6.5</v>
      </c>
      <c r="AO258" s="36">
        <v>0.28999999999999998</v>
      </c>
      <c r="AP258" s="68">
        <v>0.64</v>
      </c>
      <c r="AQ258" s="73">
        <f t="shared" ref="AQ258:AQ321" si="86">SUM(C258:E258)</f>
        <v>1834</v>
      </c>
      <c r="AR258" s="75">
        <f t="shared" ref="AR258:AR321" si="87">C258/AQ258</f>
        <v>0.64776444929116683</v>
      </c>
      <c r="AS258" s="75">
        <f t="shared" ref="AS258:AS321" si="88">D258/AQ258</f>
        <v>4.9618320610687022E-2</v>
      </c>
      <c r="AT258" s="75">
        <f t="shared" ref="AT258:AT321" si="89">E258/AQ258</f>
        <v>0.30261723009814612</v>
      </c>
      <c r="AU258" s="26">
        <f t="shared" ref="AU258:AU321" si="90">IF(AND(F258&lt;&gt;"",Y258&lt;&gt;""),AA258/(F258/2/Y258),"")</f>
        <v>7.4889867841409691E-2</v>
      </c>
      <c r="AV258" s="26">
        <f t="shared" ref="AV258:AV321" si="91">IF(AND(F258&lt;&gt;"",AJ258&lt;&gt;""),AL258/(F258/2/AJ258),"")</f>
        <v>7.5991189427312769E-2</v>
      </c>
      <c r="AW258" s="24">
        <f t="shared" ref="AW258:AW321" si="92">IF(AND(AP258&lt;&gt;"",1-(AP258/N258)&gt;0),1-(AP258/N258),"")</f>
        <v>0.89808917197452232</v>
      </c>
      <c r="AX258" s="24">
        <f t="shared" ref="AX258:AX321" si="93">IF(AND(AE258&lt;&gt;"",1-(AE258/N258)&gt;0),1-(AE258/N258),"")</f>
        <v>0.81050955414012738</v>
      </c>
      <c r="AY258" s="77" t="str">
        <f t="shared" ref="AY258:AY321" si="94">IF(P258="","",IF(P258&lt;2.5,"Alc. Bruta &lt; 2,5 mg/L",IF(P258&lt;5,"2,5 ≤ Alc. Bruta &lt; 5,0 mg/L",IF(P258&lt;7.5,"5,0 ≤ Alc. Bruta &lt; 7,5 mg/L",IF(P258&lt;10,"7,5 ≤ Alc. Bruta &lt; 10,0 mg/L",IF(P258&lt;15,"10,0 ≤ Alca. Bruta &lt; 15,0 mg/L","Alc. Bruta &gt; 15 mg/L"))))))</f>
        <v>5,0 ≤ Alc. Bruta &lt; 7,5 mg/L</v>
      </c>
      <c r="AZ258" s="77" t="str">
        <f t="shared" ref="AZ258:AZ321" si="95">IF(O258="","",IF(O258&lt;5,"Cor &lt;5 uC",IF(O258&lt;10,"5 ≤ Cor &lt; 10 uC",IF(O258&lt;15,"10 ≤ Cor &lt;15 uC",IF(O258&lt;30,"15 ≤ Cor &lt; 30 uC",IF(O258&lt;50,"30 ≤ Cor &lt; 50 uC","Cor &gt; 50 uC"))))))</f>
        <v>15 ≤ Cor &lt; 30 uC</v>
      </c>
      <c r="BA258" s="78" t="str">
        <f t="shared" ref="BA258:BA321" si="96">IF(N258="","",IF(N258&lt;2.5,"Turbidez &lt; 2,5 uT",IF(N258&lt;5,"2,5 ≤ Turb &lt; 5,0 uT",IF(N258&lt;7.5,"5,0 ≤ Turb &lt; 7,5 uT",IF(N258&lt;10,"7,5 ≤ Turb &lt; 10,0 uT",IF(N258&lt;15,"10,0 ≤ Turb &lt; 15,0 uT","Turb &gt; 15 uT"))))))</f>
        <v>5,0 ≤ Turb &lt; 7,5 uT</v>
      </c>
      <c r="BB258" s="79" t="str">
        <f t="shared" ref="BB258:BB321" si="97">IF(AND(C258&gt;D258,D258&gt;E258),"TOR &gt; SM &gt; BNN",IF(AND(C258&gt;E258,E258&gt;D258),"TOR &gt; BNN &gt; SM",IF(AND(D258&gt;C258,C258&gt;E258),"SM &gt; TOR &gt; BNN",IF(AND(D258&gt;E258,E258&gt;C258),"SM &gt; BNN &gt; TOR",IF(AND(C258=D258,D258=E258),"TOR = SM = BNN","Comb. diferentes")))))</f>
        <v>TOR &gt; BNN &gt; SM</v>
      </c>
      <c r="BC258" s="78" t="str">
        <f t="shared" ref="BC258:BC321" si="98">IF(OR(AD258="",AP258="-"),"",IF(AD258&lt;=0.25,"Tipo 1 (≤0,25) uT",IF(AD258&lt;=0.5,"Tipo 2 (0,25-0,50) uT",IF(AD258&lt;=0.75,"Tipo 3 (0,50-0,75) uT","Tipo 4 (&gt;0,75) uT"))))</f>
        <v>Tipo 2 (0,25-0,50) uT</v>
      </c>
      <c r="BD258" s="78" t="str">
        <f t="shared" ref="BD258:BD321" si="99">IF(OR(AO258="",AY258="-"),"",IF(AO258&lt;=0.25,"Tipo 1 (≤0,25) uT",IF(AO258&lt;=0.5,"Tipo 2 (0,25-0,50) uT",IF(AO258&lt;=0.75,"Tipo 3 (0,50-0,75) uT","Tipo 4 (&gt;0,75) uT"))))</f>
        <v>Tipo 2 (0,25-0,50) uT</v>
      </c>
      <c r="BE258" s="78" t="str">
        <f t="shared" ref="BE258:BE321" si="100">IF(OR(AE258="",AP258="-"),"",IF(AE258&lt;=0.25,"Tipo 1 (≤0,25) uT",IF(AE258&lt;=0.5,"Tipo 2 (0,25-0,50) uT",IF(AE258&lt;=0.75,"Tipo 3 (0,50-0,75) uT","Tipo 4 (&gt;0,75) uT"))))</f>
        <v>Tipo 4 (&gt;0,75) uT</v>
      </c>
      <c r="BF258" s="78" t="str">
        <f t="shared" ref="BF258:BF321" si="101">IF(OR(AP258="",AP258="-"),"",IF(AP258&lt;=0.25,"Tipo 1 (≤0,25) uT",IF(AP258&lt;=0.5,"Tipo 2 (0,25-0,50) uT",IF(AP258&lt;=0.75,"Tipo 3 (0,50-0,75) uT","Tipo 4 (&gt;0,75) uT"))))</f>
        <v>Tipo 3 (0,50-0,75) uT</v>
      </c>
      <c r="BG258" s="78" t="str">
        <f t="shared" ref="BG258:BG321" si="102">IF(OR(Q258="",Q258="-"),"",IF(Q258&lt;=0.25,"Tipo 1 (≤0,25) uT",IF(Q258&lt;=0.5,"Tipo 2 (0,25-0,50) uT",IF(Q258&lt;=0.75,"Tipo 3 (0,50-0,75) uT","Tipo 4 (&gt;0,75) uT"))))</f>
        <v>Tipo 3 (0,50-0,75) uT</v>
      </c>
    </row>
    <row r="259" spans="1:59" x14ac:dyDescent="0.2">
      <c r="A259" s="21">
        <v>46154</v>
      </c>
      <c r="B259" s="48">
        <v>0.64583333333333337</v>
      </c>
      <c r="C259" s="57">
        <v>1216</v>
      </c>
      <c r="D259" s="57">
        <v>88</v>
      </c>
      <c r="E259" s="57">
        <v>550</v>
      </c>
      <c r="F259" s="57">
        <v>1878</v>
      </c>
      <c r="G259" s="10" t="s">
        <v>78</v>
      </c>
      <c r="H259" s="63">
        <v>5</v>
      </c>
      <c r="I259" s="57">
        <v>90</v>
      </c>
      <c r="J259" s="57">
        <v>90</v>
      </c>
      <c r="K259" s="57">
        <v>90</v>
      </c>
      <c r="L259" s="63">
        <v>24.6</v>
      </c>
      <c r="M259" s="63">
        <v>6.9</v>
      </c>
      <c r="N259" s="36">
        <v>7.48</v>
      </c>
      <c r="O259" s="57">
        <v>24</v>
      </c>
      <c r="P259" s="63">
        <v>7</v>
      </c>
      <c r="Q259" s="36">
        <v>1.38</v>
      </c>
      <c r="R259" s="36">
        <v>22.36</v>
      </c>
      <c r="S259" s="36">
        <v>0.88</v>
      </c>
      <c r="T259" s="36">
        <v>0.7</v>
      </c>
      <c r="U259" s="42">
        <f t="shared" si="80"/>
        <v>2166.7425000000003</v>
      </c>
      <c r="V259" s="36">
        <f t="shared" si="81"/>
        <v>1453.2949080000001</v>
      </c>
      <c r="W259" s="36">
        <f t="shared" si="82"/>
        <v>0.67072802051928182</v>
      </c>
      <c r="X259" s="57">
        <v>3</v>
      </c>
      <c r="Y259" s="57">
        <v>4</v>
      </c>
      <c r="Z259" s="63">
        <v>6.5</v>
      </c>
      <c r="AA259" s="57">
        <v>18</v>
      </c>
      <c r="AB259" s="63">
        <v>6.8</v>
      </c>
      <c r="AC259" s="63">
        <v>8.1</v>
      </c>
      <c r="AD259" s="10">
        <v>0.1</v>
      </c>
      <c r="AE259" s="36">
        <v>1.78</v>
      </c>
      <c r="AF259" s="42">
        <f t="shared" si="83"/>
        <v>2888.9900000000002</v>
      </c>
      <c r="AG259" s="42">
        <f t="shared" si="84"/>
        <v>1926.6036067200002</v>
      </c>
      <c r="AH259" s="42">
        <f t="shared" si="85"/>
        <v>0.66687790775322864</v>
      </c>
      <c r="AI259" s="57">
        <v>2</v>
      </c>
      <c r="AJ259" s="57">
        <v>3</v>
      </c>
      <c r="AK259" s="36">
        <v>6.47</v>
      </c>
      <c r="AL259" s="36">
        <v>24</v>
      </c>
      <c r="AM259" s="63">
        <v>6.7</v>
      </c>
      <c r="AN259" s="63">
        <v>7.4</v>
      </c>
      <c r="AO259" s="36">
        <v>0.81</v>
      </c>
      <c r="AP259" s="68">
        <v>0.96</v>
      </c>
      <c r="AQ259" s="73">
        <f t="shared" si="86"/>
        <v>1854</v>
      </c>
      <c r="AR259" s="75">
        <f t="shared" si="87"/>
        <v>0.65587918015102487</v>
      </c>
      <c r="AS259" s="75">
        <f t="shared" si="88"/>
        <v>4.7464940668824167E-2</v>
      </c>
      <c r="AT259" s="75">
        <f t="shared" si="89"/>
        <v>0.29665587918015102</v>
      </c>
      <c r="AU259" s="26">
        <f t="shared" si="90"/>
        <v>7.6677316293929709E-2</v>
      </c>
      <c r="AV259" s="26">
        <f t="shared" si="91"/>
        <v>7.6677316293929709E-2</v>
      </c>
      <c r="AW259" s="24">
        <f t="shared" si="92"/>
        <v>0.87165775401069523</v>
      </c>
      <c r="AX259" s="24">
        <f t="shared" si="93"/>
        <v>0.76203208556149737</v>
      </c>
      <c r="AY259" s="77" t="str">
        <f t="shared" si="94"/>
        <v>5,0 ≤ Alc. Bruta &lt; 7,5 mg/L</v>
      </c>
      <c r="AZ259" s="77" t="str">
        <f t="shared" si="95"/>
        <v>15 ≤ Cor &lt; 30 uC</v>
      </c>
      <c r="BA259" s="78" t="str">
        <f t="shared" si="96"/>
        <v>5,0 ≤ Turb &lt; 7,5 uT</v>
      </c>
      <c r="BB259" s="79" t="str">
        <f t="shared" si="97"/>
        <v>TOR &gt; BNN &gt; SM</v>
      </c>
      <c r="BC259" s="78" t="str">
        <f t="shared" si="98"/>
        <v>Tipo 1 (≤0,25) uT</v>
      </c>
      <c r="BD259" s="78" t="str">
        <f t="shared" si="99"/>
        <v>Tipo 4 (&gt;0,75) uT</v>
      </c>
      <c r="BE259" s="78" t="str">
        <f t="shared" si="100"/>
        <v>Tipo 4 (&gt;0,75) uT</v>
      </c>
      <c r="BF259" s="78" t="str">
        <f t="shared" si="101"/>
        <v>Tipo 4 (&gt;0,75) uT</v>
      </c>
      <c r="BG259" s="78" t="str">
        <f t="shared" si="102"/>
        <v>Tipo 4 (&gt;0,75) uT</v>
      </c>
    </row>
    <row r="260" spans="1:59" x14ac:dyDescent="0.2">
      <c r="A260" s="21">
        <v>46154</v>
      </c>
      <c r="B260" s="48">
        <v>0.72916666666666663</v>
      </c>
      <c r="C260" s="57">
        <v>1191</v>
      </c>
      <c r="D260" s="57">
        <v>88</v>
      </c>
      <c r="E260" s="57">
        <v>550</v>
      </c>
      <c r="F260" s="57">
        <v>1861</v>
      </c>
      <c r="G260" s="10" t="s">
        <v>78</v>
      </c>
      <c r="H260" s="63">
        <v>5.4</v>
      </c>
      <c r="I260" s="57">
        <v>90</v>
      </c>
      <c r="J260" s="57">
        <v>90</v>
      </c>
      <c r="K260" s="57">
        <v>90</v>
      </c>
      <c r="L260" s="63">
        <v>25.1</v>
      </c>
      <c r="M260" s="63">
        <v>6.8</v>
      </c>
      <c r="N260" s="36">
        <v>3.63</v>
      </c>
      <c r="O260" s="57">
        <v>16</v>
      </c>
      <c r="P260" s="63">
        <v>8.3000000000000007</v>
      </c>
      <c r="Q260" s="36">
        <v>0.3</v>
      </c>
      <c r="R260" s="36">
        <v>22.36</v>
      </c>
      <c r="S260" s="36">
        <v>0.88</v>
      </c>
      <c r="T260" s="36">
        <v>0.7</v>
      </c>
      <c r="U260" s="42">
        <f t="shared" si="80"/>
        <v>1705.9166666666667</v>
      </c>
      <c r="V260" s="36">
        <f t="shared" si="81"/>
        <v>1453.2949080000001</v>
      </c>
      <c r="W260" s="36">
        <f t="shared" si="82"/>
        <v>0.85191436158468081</v>
      </c>
      <c r="X260" s="57">
        <v>3</v>
      </c>
      <c r="Y260" s="57">
        <v>3</v>
      </c>
      <c r="Z260" s="63">
        <v>6.5</v>
      </c>
      <c r="AA260" s="57">
        <v>18</v>
      </c>
      <c r="AB260" s="63">
        <v>6.7</v>
      </c>
      <c r="AC260" s="63">
        <v>6</v>
      </c>
      <c r="AD260" s="10">
        <v>0.39</v>
      </c>
      <c r="AE260" s="36">
        <v>0.21</v>
      </c>
      <c r="AF260" s="42">
        <f t="shared" si="83"/>
        <v>1279.4375</v>
      </c>
      <c r="AG260" s="42">
        <f t="shared" si="84"/>
        <v>1926.6036067200002</v>
      </c>
      <c r="AH260" s="42">
        <f t="shared" si="85"/>
        <v>1.5058208054086271</v>
      </c>
      <c r="AI260" s="57">
        <v>2</v>
      </c>
      <c r="AJ260" s="57">
        <v>4</v>
      </c>
      <c r="AK260" s="36">
        <v>6.47</v>
      </c>
      <c r="AL260" s="36">
        <v>24</v>
      </c>
      <c r="AM260" s="63">
        <v>6.7</v>
      </c>
      <c r="AN260" s="63">
        <v>6.1</v>
      </c>
      <c r="AO260" s="36">
        <v>0.32</v>
      </c>
      <c r="AP260" s="68">
        <v>0.44</v>
      </c>
      <c r="AQ260" s="73">
        <f t="shared" si="86"/>
        <v>1829</v>
      </c>
      <c r="AR260" s="75">
        <f t="shared" si="87"/>
        <v>0.65117550574084204</v>
      </c>
      <c r="AS260" s="75">
        <f t="shared" si="88"/>
        <v>4.8113723346090757E-2</v>
      </c>
      <c r="AT260" s="75">
        <f t="shared" si="89"/>
        <v>0.30071077091306725</v>
      </c>
      <c r="AU260" s="26">
        <f t="shared" si="90"/>
        <v>5.8033315421816223E-2</v>
      </c>
      <c r="AV260" s="26">
        <f t="shared" si="91"/>
        <v>0.10317033852767329</v>
      </c>
      <c r="AW260" s="24">
        <f t="shared" si="92"/>
        <v>0.87878787878787878</v>
      </c>
      <c r="AX260" s="24">
        <f t="shared" si="93"/>
        <v>0.94214876033057848</v>
      </c>
      <c r="AY260" s="77" t="str">
        <f t="shared" si="94"/>
        <v>7,5 ≤ Alc. Bruta &lt; 10,0 mg/L</v>
      </c>
      <c r="AZ260" s="77" t="str">
        <f t="shared" si="95"/>
        <v>15 ≤ Cor &lt; 30 uC</v>
      </c>
      <c r="BA260" s="78" t="str">
        <f t="shared" si="96"/>
        <v>2,5 ≤ Turb &lt; 5,0 uT</v>
      </c>
      <c r="BB260" s="79" t="str">
        <f t="shared" si="97"/>
        <v>TOR &gt; BNN &gt; SM</v>
      </c>
      <c r="BC260" s="78" t="str">
        <f t="shared" si="98"/>
        <v>Tipo 2 (0,25-0,50) uT</v>
      </c>
      <c r="BD260" s="78" t="str">
        <f t="shared" si="99"/>
        <v>Tipo 2 (0,25-0,50) uT</v>
      </c>
      <c r="BE260" s="78" t="str">
        <f t="shared" si="100"/>
        <v>Tipo 1 (≤0,25) uT</v>
      </c>
      <c r="BF260" s="78" t="str">
        <f t="shared" si="101"/>
        <v>Tipo 2 (0,25-0,50) uT</v>
      </c>
      <c r="BG260" s="78" t="str">
        <f t="shared" si="102"/>
        <v>Tipo 2 (0,25-0,50) uT</v>
      </c>
    </row>
    <row r="261" spans="1:59" x14ac:dyDescent="0.2">
      <c r="A261" s="21">
        <v>46154</v>
      </c>
      <c r="B261" s="48">
        <v>0.8125</v>
      </c>
      <c r="C261" s="57">
        <v>1145</v>
      </c>
      <c r="D261" s="57">
        <v>89</v>
      </c>
      <c r="E261" s="57">
        <v>550</v>
      </c>
      <c r="F261" s="57">
        <v>1843</v>
      </c>
      <c r="G261" s="10" t="s">
        <v>78</v>
      </c>
      <c r="H261" s="63">
        <v>5.6</v>
      </c>
      <c r="I261" s="57">
        <v>90</v>
      </c>
      <c r="J261" s="57">
        <v>90</v>
      </c>
      <c r="K261" s="57">
        <v>90</v>
      </c>
      <c r="L261" s="63">
        <v>24.9</v>
      </c>
      <c r="M261" s="63">
        <v>6.8</v>
      </c>
      <c r="N261" s="36">
        <v>3.74</v>
      </c>
      <c r="O261" s="57">
        <v>18</v>
      </c>
      <c r="P261" s="63">
        <v>6</v>
      </c>
      <c r="Q261" s="36">
        <v>0.18</v>
      </c>
      <c r="R261" s="36">
        <v>22.36</v>
      </c>
      <c r="S261" s="36">
        <v>0.88</v>
      </c>
      <c r="T261" s="36">
        <v>0.7</v>
      </c>
      <c r="U261" s="42">
        <f t="shared" si="80"/>
        <v>1741.635</v>
      </c>
      <c r="V261" s="36">
        <f t="shared" si="81"/>
        <v>1453.2949080000001</v>
      </c>
      <c r="W261" s="36">
        <f t="shared" si="82"/>
        <v>0.83444287006175233</v>
      </c>
      <c r="X261" s="57">
        <v>3</v>
      </c>
      <c r="Y261" s="57">
        <v>3</v>
      </c>
      <c r="Z261" s="63">
        <v>6.5</v>
      </c>
      <c r="AA261" s="57">
        <v>18</v>
      </c>
      <c r="AB261" s="63">
        <v>6.6</v>
      </c>
      <c r="AC261" s="63">
        <v>6</v>
      </c>
      <c r="AD261" s="10">
        <v>0.21</v>
      </c>
      <c r="AE261" s="36">
        <v>0.2</v>
      </c>
      <c r="AF261" s="42">
        <f t="shared" si="83"/>
        <v>1306.2262499999999</v>
      </c>
      <c r="AG261" s="42">
        <f t="shared" si="84"/>
        <v>1842.7752959199995</v>
      </c>
      <c r="AH261" s="42">
        <f t="shared" si="85"/>
        <v>1.410762718878142</v>
      </c>
      <c r="AI261" s="57">
        <v>2</v>
      </c>
      <c r="AJ261" s="57">
        <v>4</v>
      </c>
      <c r="AK261" s="36">
        <v>6.46</v>
      </c>
      <c r="AL261" s="36">
        <v>23</v>
      </c>
      <c r="AM261" s="63">
        <v>6.6</v>
      </c>
      <c r="AN261" s="63">
        <v>6</v>
      </c>
      <c r="AO261" s="36">
        <v>0.48</v>
      </c>
      <c r="AP261" s="68">
        <v>0.41</v>
      </c>
      <c r="AQ261" s="73">
        <f t="shared" si="86"/>
        <v>1784</v>
      </c>
      <c r="AR261" s="75">
        <f t="shared" si="87"/>
        <v>0.64181614349775784</v>
      </c>
      <c r="AS261" s="75">
        <f t="shared" si="88"/>
        <v>4.9887892376681613E-2</v>
      </c>
      <c r="AT261" s="75">
        <f t="shared" si="89"/>
        <v>0.30829596412556054</v>
      </c>
      <c r="AU261" s="26">
        <f t="shared" si="90"/>
        <v>5.8600108518719475E-2</v>
      </c>
      <c r="AV261" s="26">
        <f t="shared" si="91"/>
        <v>9.983722192078133E-2</v>
      </c>
      <c r="AW261" s="24">
        <f t="shared" si="92"/>
        <v>0.89037433155080214</v>
      </c>
      <c r="AX261" s="24">
        <f t="shared" si="93"/>
        <v>0.946524064171123</v>
      </c>
      <c r="AY261" s="77" t="str">
        <f t="shared" si="94"/>
        <v>5,0 ≤ Alc. Bruta &lt; 7,5 mg/L</v>
      </c>
      <c r="AZ261" s="77" t="str">
        <f t="shared" si="95"/>
        <v>15 ≤ Cor &lt; 30 uC</v>
      </c>
      <c r="BA261" s="78" t="str">
        <f t="shared" si="96"/>
        <v>2,5 ≤ Turb &lt; 5,0 uT</v>
      </c>
      <c r="BB261" s="79" t="str">
        <f t="shared" si="97"/>
        <v>TOR &gt; BNN &gt; SM</v>
      </c>
      <c r="BC261" s="78" t="str">
        <f t="shared" si="98"/>
        <v>Tipo 1 (≤0,25) uT</v>
      </c>
      <c r="BD261" s="78" t="str">
        <f t="shared" si="99"/>
        <v>Tipo 2 (0,25-0,50) uT</v>
      </c>
      <c r="BE261" s="78" t="str">
        <f t="shared" si="100"/>
        <v>Tipo 1 (≤0,25) uT</v>
      </c>
      <c r="BF261" s="78" t="str">
        <f t="shared" si="101"/>
        <v>Tipo 2 (0,25-0,50) uT</v>
      </c>
      <c r="BG261" s="78" t="str">
        <f t="shared" si="102"/>
        <v>Tipo 1 (≤0,25) uT</v>
      </c>
    </row>
    <row r="262" spans="1:59" x14ac:dyDescent="0.2">
      <c r="A262" s="21">
        <v>46154</v>
      </c>
      <c r="B262" s="48">
        <v>0.89583333333333337</v>
      </c>
      <c r="C262" s="57">
        <v>1438</v>
      </c>
      <c r="D262" s="57">
        <v>90</v>
      </c>
      <c r="E262" s="57">
        <v>539</v>
      </c>
      <c r="F262" s="57">
        <v>2383</v>
      </c>
      <c r="G262" s="10" t="s">
        <v>78</v>
      </c>
      <c r="H262" s="63">
        <v>5.6</v>
      </c>
      <c r="I262" s="57">
        <v>90</v>
      </c>
      <c r="J262" s="57">
        <v>90</v>
      </c>
      <c r="K262" s="57">
        <v>90</v>
      </c>
      <c r="L262" s="63">
        <v>24.6</v>
      </c>
      <c r="M262" s="63">
        <v>6.7</v>
      </c>
      <c r="N262" s="36">
        <v>4.05</v>
      </c>
      <c r="O262" s="57">
        <v>17</v>
      </c>
      <c r="P262" s="63">
        <v>6.5</v>
      </c>
      <c r="Q262" s="36">
        <v>0.19</v>
      </c>
      <c r="R262" s="36">
        <v>22.36</v>
      </c>
      <c r="S262" s="36">
        <v>0.88</v>
      </c>
      <c r="T262" s="36">
        <v>0.7</v>
      </c>
      <c r="U262" s="42">
        <f t="shared" si="80"/>
        <v>1781.2924999999998</v>
      </c>
      <c r="V262" s="36">
        <f t="shared" si="81"/>
        <v>1467.1985795999999</v>
      </c>
      <c r="W262" s="36">
        <f t="shared" si="82"/>
        <v>0.82367077815687206</v>
      </c>
      <c r="X262" s="57">
        <v>3</v>
      </c>
      <c r="Y262" s="57">
        <v>4</v>
      </c>
      <c r="Z262" s="63">
        <v>6.55</v>
      </c>
      <c r="AA262" s="57">
        <v>18</v>
      </c>
      <c r="AB262" s="63">
        <v>6.6</v>
      </c>
      <c r="AC262" s="63">
        <v>5.4</v>
      </c>
      <c r="AD262" s="10">
        <v>0.31</v>
      </c>
      <c r="AE262" s="36">
        <v>0.27</v>
      </c>
      <c r="AF262" s="42">
        <f t="shared" si="83"/>
        <v>1781.2924999999998</v>
      </c>
      <c r="AG262" s="42">
        <f t="shared" si="84"/>
        <v>1874.7537405999997</v>
      </c>
      <c r="AH262" s="42">
        <f t="shared" si="85"/>
        <v>1.0524682165337809</v>
      </c>
      <c r="AI262" s="57">
        <v>3</v>
      </c>
      <c r="AJ262" s="57">
        <v>4</v>
      </c>
      <c r="AK262" s="36">
        <v>6.55</v>
      </c>
      <c r="AL262" s="36">
        <v>23</v>
      </c>
      <c r="AM262" s="63">
        <v>6.6</v>
      </c>
      <c r="AN262" s="63">
        <v>5.9</v>
      </c>
      <c r="AO262" s="36">
        <v>0.39</v>
      </c>
      <c r="AP262" s="68">
        <v>0.4</v>
      </c>
      <c r="AQ262" s="73">
        <f t="shared" si="86"/>
        <v>2067</v>
      </c>
      <c r="AR262" s="75">
        <f t="shared" si="87"/>
        <v>0.69569424286405424</v>
      </c>
      <c r="AS262" s="75">
        <f t="shared" si="88"/>
        <v>4.3541364296081277E-2</v>
      </c>
      <c r="AT262" s="75">
        <f t="shared" si="89"/>
        <v>0.26076439283986452</v>
      </c>
      <c r="AU262" s="26">
        <f t="shared" si="90"/>
        <v>6.0428031892572391E-2</v>
      </c>
      <c r="AV262" s="26">
        <f t="shared" si="91"/>
        <v>7.7213596307175822E-2</v>
      </c>
      <c r="AW262" s="24">
        <f t="shared" si="92"/>
        <v>0.90123456790123457</v>
      </c>
      <c r="AX262" s="24">
        <f t="shared" si="93"/>
        <v>0.93333333333333335</v>
      </c>
      <c r="AY262" s="77" t="str">
        <f t="shared" si="94"/>
        <v>5,0 ≤ Alc. Bruta &lt; 7,5 mg/L</v>
      </c>
      <c r="AZ262" s="77" t="str">
        <f t="shared" si="95"/>
        <v>15 ≤ Cor &lt; 30 uC</v>
      </c>
      <c r="BA262" s="78" t="str">
        <f t="shared" si="96"/>
        <v>2,5 ≤ Turb &lt; 5,0 uT</v>
      </c>
      <c r="BB262" s="79" t="str">
        <f t="shared" si="97"/>
        <v>TOR &gt; BNN &gt; SM</v>
      </c>
      <c r="BC262" s="78" t="str">
        <f t="shared" si="98"/>
        <v>Tipo 2 (0,25-0,50) uT</v>
      </c>
      <c r="BD262" s="78" t="str">
        <f t="shared" si="99"/>
        <v>Tipo 2 (0,25-0,50) uT</v>
      </c>
      <c r="BE262" s="78" t="str">
        <f t="shared" si="100"/>
        <v>Tipo 2 (0,25-0,50) uT</v>
      </c>
      <c r="BF262" s="78" t="str">
        <f t="shared" si="101"/>
        <v>Tipo 2 (0,25-0,50) uT</v>
      </c>
      <c r="BG262" s="78" t="str">
        <f t="shared" si="102"/>
        <v>Tipo 1 (≤0,25) uT</v>
      </c>
    </row>
    <row r="263" spans="1:59" x14ac:dyDescent="0.2">
      <c r="A263" s="21">
        <v>46155</v>
      </c>
      <c r="B263" s="48">
        <v>6.25E-2</v>
      </c>
      <c r="C263" s="57">
        <v>1540</v>
      </c>
      <c r="D263" s="57">
        <v>88</v>
      </c>
      <c r="E263" s="57">
        <v>540</v>
      </c>
      <c r="F263" s="57">
        <v>2231</v>
      </c>
      <c r="G263" s="10" t="s">
        <v>78</v>
      </c>
      <c r="H263" s="63">
        <v>5.6</v>
      </c>
      <c r="I263" s="57">
        <v>90</v>
      </c>
      <c r="J263" s="57">
        <v>90</v>
      </c>
      <c r="K263" s="57">
        <v>90</v>
      </c>
      <c r="L263" s="63">
        <v>24.5</v>
      </c>
      <c r="M263" s="63">
        <v>6.6</v>
      </c>
      <c r="N263" s="36">
        <v>4.5199999999999996</v>
      </c>
      <c r="O263" s="57">
        <v>20</v>
      </c>
      <c r="P263" s="63">
        <v>5.6</v>
      </c>
      <c r="Q263" s="36">
        <v>0.24</v>
      </c>
      <c r="R263" s="36">
        <v>22.36</v>
      </c>
      <c r="S263" s="36">
        <v>0.88</v>
      </c>
      <c r="T263" s="36">
        <v>0.7</v>
      </c>
      <c r="U263" s="42">
        <f t="shared" si="80"/>
        <v>1798.7437499999999</v>
      </c>
      <c r="V263" s="36">
        <f t="shared" si="81"/>
        <v>1453.2949080000001</v>
      </c>
      <c r="W263" s="36">
        <f t="shared" si="82"/>
        <v>0.80794994173016599</v>
      </c>
      <c r="X263" s="57">
        <v>3</v>
      </c>
      <c r="Y263" s="57">
        <v>4</v>
      </c>
      <c r="Z263" s="63">
        <v>6.5</v>
      </c>
      <c r="AA263" s="57">
        <v>18</v>
      </c>
      <c r="AB263" s="63">
        <v>6.5</v>
      </c>
      <c r="AC263" s="63">
        <v>5.2</v>
      </c>
      <c r="AD263" s="10">
        <v>0.25</v>
      </c>
      <c r="AE263" s="36">
        <v>0.33</v>
      </c>
      <c r="AF263" s="42">
        <f t="shared" si="83"/>
        <v>1798.7437499999999</v>
      </c>
      <c r="AG263" s="42">
        <f t="shared" si="84"/>
        <v>1832.1158143599996</v>
      </c>
      <c r="AH263" s="42">
        <f t="shared" si="85"/>
        <v>1.0185529841924397</v>
      </c>
      <c r="AI263" s="57">
        <v>3</v>
      </c>
      <c r="AJ263" s="57">
        <v>4</v>
      </c>
      <c r="AK263" s="36">
        <v>6.43</v>
      </c>
      <c r="AL263" s="36">
        <v>23</v>
      </c>
      <c r="AM263" s="63">
        <v>6.5</v>
      </c>
      <c r="AN263" s="63">
        <v>5.7</v>
      </c>
      <c r="AO263" s="36">
        <v>0.23</v>
      </c>
      <c r="AP263" s="68">
        <v>0.38</v>
      </c>
      <c r="AQ263" s="73">
        <f t="shared" si="86"/>
        <v>2168</v>
      </c>
      <c r="AR263" s="75">
        <f t="shared" si="87"/>
        <v>0.71033210332103325</v>
      </c>
      <c r="AS263" s="75">
        <f t="shared" si="88"/>
        <v>4.0590405904059039E-2</v>
      </c>
      <c r="AT263" s="75">
        <f t="shared" si="89"/>
        <v>0.24907749077490776</v>
      </c>
      <c r="AU263" s="26">
        <f t="shared" si="90"/>
        <v>6.4545047064096819E-2</v>
      </c>
      <c r="AV263" s="26">
        <f t="shared" si="91"/>
        <v>8.247422680412371E-2</v>
      </c>
      <c r="AW263" s="24">
        <f t="shared" si="92"/>
        <v>0.91592920353982299</v>
      </c>
      <c r="AX263" s="24">
        <f t="shared" si="93"/>
        <v>0.92699115044247782</v>
      </c>
      <c r="AY263" s="77" t="str">
        <f t="shared" si="94"/>
        <v>5,0 ≤ Alc. Bruta &lt; 7,5 mg/L</v>
      </c>
      <c r="AZ263" s="77" t="str">
        <f t="shared" si="95"/>
        <v>15 ≤ Cor &lt; 30 uC</v>
      </c>
      <c r="BA263" s="78" t="str">
        <f t="shared" si="96"/>
        <v>2,5 ≤ Turb &lt; 5,0 uT</v>
      </c>
      <c r="BB263" s="79" t="str">
        <f t="shared" si="97"/>
        <v>TOR &gt; BNN &gt; SM</v>
      </c>
      <c r="BC263" s="78" t="str">
        <f t="shared" si="98"/>
        <v>Tipo 1 (≤0,25) uT</v>
      </c>
      <c r="BD263" s="78" t="str">
        <f t="shared" si="99"/>
        <v>Tipo 1 (≤0,25) uT</v>
      </c>
      <c r="BE263" s="78" t="str">
        <f t="shared" si="100"/>
        <v>Tipo 2 (0,25-0,50) uT</v>
      </c>
      <c r="BF263" s="78" t="str">
        <f t="shared" si="101"/>
        <v>Tipo 2 (0,25-0,50) uT</v>
      </c>
      <c r="BG263" s="78" t="str">
        <f t="shared" si="102"/>
        <v>Tipo 1 (≤0,25) uT</v>
      </c>
    </row>
    <row r="264" spans="1:59" x14ac:dyDescent="0.2">
      <c r="A264" s="21">
        <v>46155</v>
      </c>
      <c r="B264" s="48">
        <v>0.14583333333333334</v>
      </c>
      <c r="C264" s="57">
        <v>1433</v>
      </c>
      <c r="D264" s="57">
        <v>90</v>
      </c>
      <c r="E264" s="57">
        <v>540</v>
      </c>
      <c r="F264" s="57">
        <v>2333</v>
      </c>
      <c r="G264" s="10" t="s">
        <v>78</v>
      </c>
      <c r="H264" s="63">
        <v>5.6</v>
      </c>
      <c r="I264" s="57">
        <v>90</v>
      </c>
      <c r="J264" s="57">
        <v>90</v>
      </c>
      <c r="K264" s="57">
        <v>90</v>
      </c>
      <c r="L264" s="63">
        <v>24.4</v>
      </c>
      <c r="M264" s="63">
        <v>6.6</v>
      </c>
      <c r="N264" s="36">
        <v>4.3499999999999996</v>
      </c>
      <c r="O264" s="57">
        <v>18</v>
      </c>
      <c r="P264" s="63">
        <v>5.8</v>
      </c>
      <c r="Q264" s="36">
        <v>0.19</v>
      </c>
      <c r="R264" s="36">
        <v>22.36</v>
      </c>
      <c r="S264" s="36">
        <v>0.88</v>
      </c>
      <c r="T264" s="36">
        <v>0.7</v>
      </c>
      <c r="U264" s="42">
        <f t="shared" si="80"/>
        <v>1831.4049999999997</v>
      </c>
      <c r="V264" s="36">
        <f t="shared" si="81"/>
        <v>1453.2949080000001</v>
      </c>
      <c r="W264" s="36">
        <f t="shared" si="82"/>
        <v>0.79354097427931025</v>
      </c>
      <c r="X264" s="57">
        <v>3</v>
      </c>
      <c r="Y264" s="57">
        <v>4</v>
      </c>
      <c r="Z264" s="63">
        <v>6.5</v>
      </c>
      <c r="AA264" s="57">
        <v>18</v>
      </c>
      <c r="AB264" s="63">
        <v>6.6</v>
      </c>
      <c r="AC264" s="63">
        <v>7.2</v>
      </c>
      <c r="AD264" s="10">
        <v>0.2</v>
      </c>
      <c r="AE264" s="36">
        <v>0.31</v>
      </c>
      <c r="AF264" s="42">
        <f t="shared" si="83"/>
        <v>1831.4049999999997</v>
      </c>
      <c r="AG264" s="42">
        <f t="shared" si="84"/>
        <v>1853.4347774799999</v>
      </c>
      <c r="AH264" s="42">
        <f t="shared" si="85"/>
        <v>1.0120288944717308</v>
      </c>
      <c r="AI264" s="57">
        <v>3</v>
      </c>
      <c r="AJ264" s="57">
        <v>4</v>
      </c>
      <c r="AK264" s="36">
        <v>6.49</v>
      </c>
      <c r="AL264" s="36">
        <v>23</v>
      </c>
      <c r="AM264" s="63">
        <v>6.6</v>
      </c>
      <c r="AN264" s="63">
        <v>6.5</v>
      </c>
      <c r="AO264" s="36">
        <v>0.17</v>
      </c>
      <c r="AP264" s="68">
        <v>0.41</v>
      </c>
      <c r="AQ264" s="73">
        <f t="shared" si="86"/>
        <v>2063</v>
      </c>
      <c r="AR264" s="75">
        <f t="shared" si="87"/>
        <v>0.69461948618516722</v>
      </c>
      <c r="AS264" s="75">
        <f t="shared" si="88"/>
        <v>4.3625787687833255E-2</v>
      </c>
      <c r="AT264" s="75">
        <f t="shared" si="89"/>
        <v>0.26175472612699952</v>
      </c>
      <c r="AU264" s="26">
        <f t="shared" si="90"/>
        <v>6.1723103300471496E-2</v>
      </c>
      <c r="AV264" s="26">
        <f t="shared" si="91"/>
        <v>7.8868409772824694E-2</v>
      </c>
      <c r="AW264" s="24">
        <f t="shared" si="92"/>
        <v>0.90574712643678157</v>
      </c>
      <c r="AX264" s="24">
        <f t="shared" si="93"/>
        <v>0.92873563218390809</v>
      </c>
      <c r="AY264" s="77" t="str">
        <f t="shared" si="94"/>
        <v>5,0 ≤ Alc. Bruta &lt; 7,5 mg/L</v>
      </c>
      <c r="AZ264" s="77" t="str">
        <f t="shared" si="95"/>
        <v>15 ≤ Cor &lt; 30 uC</v>
      </c>
      <c r="BA264" s="78" t="str">
        <f t="shared" si="96"/>
        <v>2,5 ≤ Turb &lt; 5,0 uT</v>
      </c>
      <c r="BB264" s="79" t="str">
        <f t="shared" si="97"/>
        <v>TOR &gt; BNN &gt; SM</v>
      </c>
      <c r="BC264" s="78" t="str">
        <f t="shared" si="98"/>
        <v>Tipo 1 (≤0,25) uT</v>
      </c>
      <c r="BD264" s="78" t="str">
        <f t="shared" si="99"/>
        <v>Tipo 1 (≤0,25) uT</v>
      </c>
      <c r="BE264" s="78" t="str">
        <f t="shared" si="100"/>
        <v>Tipo 2 (0,25-0,50) uT</v>
      </c>
      <c r="BF264" s="78" t="str">
        <f t="shared" si="101"/>
        <v>Tipo 2 (0,25-0,50) uT</v>
      </c>
      <c r="BG264" s="78" t="str">
        <f t="shared" si="102"/>
        <v>Tipo 1 (≤0,25) uT</v>
      </c>
    </row>
    <row r="265" spans="1:59" ht="15.75" thickBot="1" x14ac:dyDescent="0.25">
      <c r="A265" s="21">
        <v>46155</v>
      </c>
      <c r="B265" s="51">
        <v>0.22916666666666666</v>
      </c>
      <c r="C265" s="58">
        <v>1411</v>
      </c>
      <c r="D265" s="58">
        <v>91</v>
      </c>
      <c r="E265" s="58">
        <v>540</v>
      </c>
      <c r="F265" s="58">
        <v>2309</v>
      </c>
      <c r="G265" s="11" t="s">
        <v>78</v>
      </c>
      <c r="H265" s="64">
        <v>5.6</v>
      </c>
      <c r="I265" s="58">
        <v>90</v>
      </c>
      <c r="J265" s="58">
        <v>90</v>
      </c>
      <c r="K265" s="58">
        <v>90</v>
      </c>
      <c r="L265" s="64">
        <v>23.9</v>
      </c>
      <c r="M265" s="64">
        <v>6.6</v>
      </c>
      <c r="N265" s="37">
        <v>4.84</v>
      </c>
      <c r="O265" s="58">
        <v>13</v>
      </c>
      <c r="P265" s="64">
        <v>6.2</v>
      </c>
      <c r="Q265" s="37">
        <v>0.18</v>
      </c>
      <c r="R265" s="36">
        <v>22.36</v>
      </c>
      <c r="S265" s="36">
        <v>0.88</v>
      </c>
      <c r="T265" s="36">
        <v>0.7</v>
      </c>
      <c r="U265" s="42">
        <f t="shared" si="80"/>
        <v>1953.9912499999998</v>
      </c>
      <c r="V265" s="36">
        <f t="shared" si="81"/>
        <v>1453.2949080000001</v>
      </c>
      <c r="W265" s="36">
        <f t="shared" si="82"/>
        <v>0.74375712173736719</v>
      </c>
      <c r="X265" s="58">
        <v>3</v>
      </c>
      <c r="Y265" s="58">
        <v>4</v>
      </c>
      <c r="Z265" s="64">
        <v>6.5</v>
      </c>
      <c r="AA265" s="58">
        <v>18</v>
      </c>
      <c r="AB265" s="64">
        <v>6.5</v>
      </c>
      <c r="AC265" s="64">
        <v>5.5</v>
      </c>
      <c r="AD265" s="11">
        <v>0.17</v>
      </c>
      <c r="AE265" s="37">
        <v>0.27</v>
      </c>
      <c r="AF265" s="42">
        <f t="shared" si="83"/>
        <v>1953.9912499999998</v>
      </c>
      <c r="AG265" s="42">
        <f t="shared" si="84"/>
        <v>1853.4347774799999</v>
      </c>
      <c r="AH265" s="42">
        <f t="shared" si="85"/>
        <v>0.94853791053567926</v>
      </c>
      <c r="AI265" s="58">
        <v>3</v>
      </c>
      <c r="AJ265" s="58">
        <v>4</v>
      </c>
      <c r="AK265" s="37">
        <v>6.49</v>
      </c>
      <c r="AL265" s="37">
        <v>23</v>
      </c>
      <c r="AM265" s="64">
        <v>6.5</v>
      </c>
      <c r="AN265" s="64">
        <v>6.4</v>
      </c>
      <c r="AO265" s="37">
        <v>0.2</v>
      </c>
      <c r="AP265" s="69">
        <v>0.28000000000000003</v>
      </c>
      <c r="AQ265" s="73">
        <f t="shared" si="86"/>
        <v>2042</v>
      </c>
      <c r="AR265" s="75">
        <f t="shared" si="87"/>
        <v>0.69098922624877568</v>
      </c>
      <c r="AS265" s="75">
        <f t="shared" si="88"/>
        <v>4.4564152791380998E-2</v>
      </c>
      <c r="AT265" s="75">
        <f t="shared" si="89"/>
        <v>0.26444662095984328</v>
      </c>
      <c r="AU265" s="26">
        <f t="shared" si="90"/>
        <v>6.2364660025985272E-2</v>
      </c>
      <c r="AV265" s="26">
        <f t="shared" si="91"/>
        <v>7.9688176699870078E-2</v>
      </c>
      <c r="AW265" s="24">
        <f t="shared" si="92"/>
        <v>0.94214876033057848</v>
      </c>
      <c r="AX265" s="24">
        <f t="shared" si="93"/>
        <v>0.94421487603305787</v>
      </c>
      <c r="AY265" s="77" t="str">
        <f t="shared" si="94"/>
        <v>5,0 ≤ Alc. Bruta &lt; 7,5 mg/L</v>
      </c>
      <c r="AZ265" s="77" t="str">
        <f t="shared" si="95"/>
        <v>10 ≤ Cor &lt;15 uC</v>
      </c>
      <c r="BA265" s="78" t="str">
        <f t="shared" si="96"/>
        <v>2,5 ≤ Turb &lt; 5,0 uT</v>
      </c>
      <c r="BB265" s="79" t="str">
        <f t="shared" si="97"/>
        <v>TOR &gt; BNN &gt; SM</v>
      </c>
      <c r="BC265" s="78" t="str">
        <f t="shared" si="98"/>
        <v>Tipo 1 (≤0,25) uT</v>
      </c>
      <c r="BD265" s="78" t="str">
        <f t="shared" si="99"/>
        <v>Tipo 1 (≤0,25) uT</v>
      </c>
      <c r="BE265" s="78" t="str">
        <f t="shared" si="100"/>
        <v>Tipo 2 (0,25-0,50) uT</v>
      </c>
      <c r="BF265" s="78" t="str">
        <f t="shared" si="101"/>
        <v>Tipo 2 (0,25-0,50) uT</v>
      </c>
      <c r="BG265" s="78" t="str">
        <f t="shared" si="102"/>
        <v>Tipo 1 (≤0,25) uT</v>
      </c>
    </row>
    <row r="266" spans="1:59" x14ac:dyDescent="0.2">
      <c r="A266" s="21">
        <v>46155</v>
      </c>
      <c r="B266" s="52">
        <v>0.3125</v>
      </c>
      <c r="C266" s="59">
        <v>1076</v>
      </c>
      <c r="D266" s="57">
        <v>86</v>
      </c>
      <c r="E266" s="59">
        <v>549</v>
      </c>
      <c r="F266" s="59">
        <v>1810</v>
      </c>
      <c r="G266" s="9" t="s">
        <v>78</v>
      </c>
      <c r="H266" s="65">
        <v>5.6</v>
      </c>
      <c r="I266" s="59">
        <v>90</v>
      </c>
      <c r="J266" s="59">
        <v>90</v>
      </c>
      <c r="K266" s="59">
        <v>90</v>
      </c>
      <c r="L266" s="65">
        <v>23.3</v>
      </c>
      <c r="M266" s="65">
        <v>6.6</v>
      </c>
      <c r="N266" s="38">
        <v>3.07</v>
      </c>
      <c r="O266" s="59">
        <v>15</v>
      </c>
      <c r="P266" s="65">
        <v>6.9</v>
      </c>
      <c r="Q266" s="38">
        <v>0.2</v>
      </c>
      <c r="R266" s="36">
        <v>22.36</v>
      </c>
      <c r="S266" s="36">
        <v>0.88</v>
      </c>
      <c r="T266" s="36">
        <v>0.7</v>
      </c>
      <c r="U266" s="42">
        <f t="shared" si="80"/>
        <v>1508.3333333333335</v>
      </c>
      <c r="V266" s="36">
        <f t="shared" si="81"/>
        <v>1579.1305764935998</v>
      </c>
      <c r="W266" s="36">
        <f t="shared" si="82"/>
        <v>1.046937398780287</v>
      </c>
      <c r="X266" s="59">
        <v>2</v>
      </c>
      <c r="Y266" s="59">
        <v>3</v>
      </c>
      <c r="Z266" s="65">
        <v>6.54</v>
      </c>
      <c r="AA266" s="59">
        <v>19.41</v>
      </c>
      <c r="AB266" s="65">
        <v>6.5</v>
      </c>
      <c r="AC266" s="65">
        <v>5.6</v>
      </c>
      <c r="AD266" s="9">
        <v>0.25</v>
      </c>
      <c r="AE266" s="38">
        <v>0.31</v>
      </c>
      <c r="AF266" s="42">
        <f t="shared" si="83"/>
        <v>1131.25</v>
      </c>
      <c r="AG266" s="42">
        <f t="shared" si="84"/>
        <v>1828.9295259871997</v>
      </c>
      <c r="AH266" s="42">
        <f t="shared" si="85"/>
        <v>1.6167332826406184</v>
      </c>
      <c r="AI266" s="59">
        <v>2</v>
      </c>
      <c r="AJ266" s="59">
        <v>4</v>
      </c>
      <c r="AK266" s="38">
        <v>6.43</v>
      </c>
      <c r="AL266" s="38">
        <v>22.96</v>
      </c>
      <c r="AM266" s="65">
        <v>6.5</v>
      </c>
      <c r="AN266" s="65">
        <v>5.5</v>
      </c>
      <c r="AO266" s="38">
        <v>0.23</v>
      </c>
      <c r="AP266" s="70">
        <v>0.26</v>
      </c>
      <c r="AQ266" s="73">
        <f t="shared" si="86"/>
        <v>1711</v>
      </c>
      <c r="AR266" s="75">
        <f t="shared" si="87"/>
        <v>0.62887200467562832</v>
      </c>
      <c r="AS266" s="75">
        <f t="shared" si="88"/>
        <v>5.0263004091174748E-2</v>
      </c>
      <c r="AT266" s="75">
        <f t="shared" si="89"/>
        <v>0.32086499123319695</v>
      </c>
      <c r="AU266" s="26">
        <f t="shared" si="90"/>
        <v>6.434254143646409E-2</v>
      </c>
      <c r="AV266" s="26">
        <f t="shared" si="91"/>
        <v>0.10148066298342542</v>
      </c>
      <c r="AW266" s="24">
        <f t="shared" si="92"/>
        <v>0.91530944625407162</v>
      </c>
      <c r="AX266" s="24">
        <f t="shared" si="93"/>
        <v>0.89902280130293155</v>
      </c>
      <c r="AY266" s="77" t="str">
        <f t="shared" si="94"/>
        <v>5,0 ≤ Alc. Bruta &lt; 7,5 mg/L</v>
      </c>
      <c r="AZ266" s="77" t="str">
        <f t="shared" si="95"/>
        <v>15 ≤ Cor &lt; 30 uC</v>
      </c>
      <c r="BA266" s="78" t="str">
        <f t="shared" si="96"/>
        <v>2,5 ≤ Turb &lt; 5,0 uT</v>
      </c>
      <c r="BB266" s="79" t="str">
        <f t="shared" si="97"/>
        <v>TOR &gt; BNN &gt; SM</v>
      </c>
      <c r="BC266" s="78" t="str">
        <f t="shared" si="98"/>
        <v>Tipo 1 (≤0,25) uT</v>
      </c>
      <c r="BD266" s="78" t="str">
        <f t="shared" si="99"/>
        <v>Tipo 1 (≤0,25) uT</v>
      </c>
      <c r="BE266" s="78" t="str">
        <f t="shared" si="100"/>
        <v>Tipo 2 (0,25-0,50) uT</v>
      </c>
      <c r="BF266" s="78" t="str">
        <f t="shared" si="101"/>
        <v>Tipo 2 (0,25-0,50) uT</v>
      </c>
      <c r="BG266" s="78" t="str">
        <f t="shared" si="102"/>
        <v>Tipo 1 (≤0,25) uT</v>
      </c>
    </row>
    <row r="267" spans="1:59" x14ac:dyDescent="0.2">
      <c r="A267" s="21">
        <v>46155</v>
      </c>
      <c r="B267" s="48">
        <v>0.39583333333333331</v>
      </c>
      <c r="C267" s="57">
        <v>1075</v>
      </c>
      <c r="D267" s="57">
        <v>85</v>
      </c>
      <c r="E267" s="57">
        <v>550</v>
      </c>
      <c r="F267" s="57">
        <v>1815</v>
      </c>
      <c r="G267" s="10" t="s">
        <v>78</v>
      </c>
      <c r="H267" s="63">
        <v>5.5</v>
      </c>
      <c r="I267" s="57">
        <v>90</v>
      </c>
      <c r="J267" s="57">
        <v>90</v>
      </c>
      <c r="K267" s="57">
        <v>90</v>
      </c>
      <c r="L267" s="63">
        <v>23.6</v>
      </c>
      <c r="M267" s="63">
        <v>6.7</v>
      </c>
      <c r="N267" s="36">
        <v>8.7100000000000009</v>
      </c>
      <c r="O267" s="57">
        <v>17</v>
      </c>
      <c r="P267" s="63">
        <v>6.8</v>
      </c>
      <c r="Q267" s="36">
        <v>0.15</v>
      </c>
      <c r="R267" s="36">
        <v>22.36</v>
      </c>
      <c r="S267" s="36">
        <v>0.88</v>
      </c>
      <c r="T267" s="36">
        <v>0.7</v>
      </c>
      <c r="U267" s="42">
        <f t="shared" si="80"/>
        <v>3209.5250000000005</v>
      </c>
      <c r="V267" s="36">
        <f t="shared" si="81"/>
        <v>1596.6372566559994</v>
      </c>
      <c r="W267" s="36">
        <f t="shared" si="82"/>
        <v>0.49746839692976347</v>
      </c>
      <c r="X267" s="57">
        <v>2</v>
      </c>
      <c r="Y267" s="57">
        <v>3</v>
      </c>
      <c r="Z267" s="63">
        <v>6.52</v>
      </c>
      <c r="AA267" s="57">
        <v>19.7</v>
      </c>
      <c r="AB267" s="63">
        <v>6.6</v>
      </c>
      <c r="AC267" s="63">
        <v>6.1</v>
      </c>
      <c r="AD267" s="10">
        <v>0.21</v>
      </c>
      <c r="AE267" s="36">
        <v>0.24</v>
      </c>
      <c r="AF267" s="42">
        <f t="shared" si="83"/>
        <v>2407.1437500000002</v>
      </c>
      <c r="AG267" s="42">
        <f t="shared" si="84"/>
        <v>1836.911729146</v>
      </c>
      <c r="AH267" s="42">
        <f t="shared" si="85"/>
        <v>0.76310844715692605</v>
      </c>
      <c r="AI267" s="57">
        <v>2</v>
      </c>
      <c r="AJ267" s="57">
        <v>4</v>
      </c>
      <c r="AK267" s="36">
        <v>6.41</v>
      </c>
      <c r="AL267" s="36">
        <v>23.15</v>
      </c>
      <c r="AM267" s="63">
        <v>6.6</v>
      </c>
      <c r="AN267" s="63">
        <v>6.3</v>
      </c>
      <c r="AO267" s="36">
        <v>0.18</v>
      </c>
      <c r="AP267" s="68">
        <v>0.26</v>
      </c>
      <c r="AQ267" s="73">
        <f t="shared" si="86"/>
        <v>1710</v>
      </c>
      <c r="AR267" s="75">
        <f t="shared" si="87"/>
        <v>0.62865497076023391</v>
      </c>
      <c r="AS267" s="75">
        <f t="shared" si="88"/>
        <v>4.9707602339181284E-2</v>
      </c>
      <c r="AT267" s="75">
        <f t="shared" si="89"/>
        <v>0.32163742690058478</v>
      </c>
      <c r="AU267" s="26">
        <f t="shared" si="90"/>
        <v>6.5123966942148753E-2</v>
      </c>
      <c r="AV267" s="26">
        <f t="shared" si="91"/>
        <v>0.10203856749311294</v>
      </c>
      <c r="AW267" s="24">
        <f t="shared" si="92"/>
        <v>0.97014925373134331</v>
      </c>
      <c r="AX267" s="24">
        <f t="shared" si="93"/>
        <v>0.9724454649827784</v>
      </c>
      <c r="AY267" s="77" t="str">
        <f t="shared" si="94"/>
        <v>5,0 ≤ Alc. Bruta &lt; 7,5 mg/L</v>
      </c>
      <c r="AZ267" s="77" t="str">
        <f t="shared" si="95"/>
        <v>15 ≤ Cor &lt; 30 uC</v>
      </c>
      <c r="BA267" s="78" t="str">
        <f t="shared" si="96"/>
        <v>7,5 ≤ Turb &lt; 10,0 uT</v>
      </c>
      <c r="BB267" s="79" t="str">
        <f t="shared" si="97"/>
        <v>TOR &gt; BNN &gt; SM</v>
      </c>
      <c r="BC267" s="78" t="str">
        <f t="shared" si="98"/>
        <v>Tipo 1 (≤0,25) uT</v>
      </c>
      <c r="BD267" s="78" t="str">
        <f t="shared" si="99"/>
        <v>Tipo 1 (≤0,25) uT</v>
      </c>
      <c r="BE267" s="78" t="str">
        <f t="shared" si="100"/>
        <v>Tipo 1 (≤0,25) uT</v>
      </c>
      <c r="BF267" s="78" t="str">
        <f t="shared" si="101"/>
        <v>Tipo 2 (0,25-0,50) uT</v>
      </c>
      <c r="BG267" s="78" t="str">
        <f t="shared" si="102"/>
        <v>Tipo 1 (≤0,25) uT</v>
      </c>
    </row>
    <row r="268" spans="1:59" x14ac:dyDescent="0.2">
      <c r="A268" s="21">
        <v>46155</v>
      </c>
      <c r="B268" s="48">
        <v>0.47916666666666669</v>
      </c>
      <c r="C268" s="57">
        <v>1180</v>
      </c>
      <c r="D268" s="57">
        <v>89</v>
      </c>
      <c r="E268" s="57">
        <v>549</v>
      </c>
      <c r="F268" s="57">
        <v>1800</v>
      </c>
      <c r="G268" s="10" t="s">
        <v>78</v>
      </c>
      <c r="H268" s="63">
        <v>5.5</v>
      </c>
      <c r="I268" s="57">
        <v>90</v>
      </c>
      <c r="J268" s="57">
        <v>90</v>
      </c>
      <c r="K268" s="57">
        <v>90</v>
      </c>
      <c r="L268" s="63">
        <v>24.6</v>
      </c>
      <c r="M268" s="63">
        <v>6.7</v>
      </c>
      <c r="N268" s="36">
        <v>4.6399999999999997</v>
      </c>
      <c r="O268" s="57">
        <v>19</v>
      </c>
      <c r="P268" s="63">
        <v>7.6</v>
      </c>
      <c r="Q268" s="36">
        <v>0.18</v>
      </c>
      <c r="R268" s="36">
        <v>22.36</v>
      </c>
      <c r="S268" s="36">
        <v>0.88</v>
      </c>
      <c r="T268" s="36">
        <v>0.7</v>
      </c>
      <c r="U268" s="42">
        <f t="shared" si="80"/>
        <v>1961.9999999999998</v>
      </c>
      <c r="V268" s="36">
        <f t="shared" si="81"/>
        <v>1563.3388150899998</v>
      </c>
      <c r="W268" s="36">
        <f t="shared" si="82"/>
        <v>0.79680877425586139</v>
      </c>
      <c r="X268" s="57">
        <v>2</v>
      </c>
      <c r="Y268" s="57">
        <v>3</v>
      </c>
      <c r="Z268" s="63">
        <v>6.45</v>
      </c>
      <c r="AA268" s="57">
        <v>19.55</v>
      </c>
      <c r="AB268" s="63">
        <v>6.6</v>
      </c>
      <c r="AC268" s="63">
        <v>6.4</v>
      </c>
      <c r="AD268" s="10">
        <v>0.13</v>
      </c>
      <c r="AE268" s="36">
        <v>0.32</v>
      </c>
      <c r="AF268" s="42">
        <f t="shared" si="83"/>
        <v>1471.4999999999998</v>
      </c>
      <c r="AG268" s="42">
        <f t="shared" si="84"/>
        <v>1833.7956898559999</v>
      </c>
      <c r="AH268" s="42">
        <f t="shared" si="85"/>
        <v>1.2462084198817533</v>
      </c>
      <c r="AI268" s="57">
        <v>2</v>
      </c>
      <c r="AJ268" s="57">
        <v>4</v>
      </c>
      <c r="AK268" s="36">
        <v>6.48</v>
      </c>
      <c r="AL268" s="36">
        <v>22.8</v>
      </c>
      <c r="AM268" s="63">
        <v>6.6</v>
      </c>
      <c r="AN268" s="63">
        <v>5.8</v>
      </c>
      <c r="AO268" s="36">
        <v>0.25</v>
      </c>
      <c r="AP268" s="68">
        <v>0.28999999999999998</v>
      </c>
      <c r="AQ268" s="73">
        <f t="shared" si="86"/>
        <v>1818</v>
      </c>
      <c r="AR268" s="75">
        <f t="shared" si="87"/>
        <v>0.64906490649064907</v>
      </c>
      <c r="AS268" s="75">
        <f t="shared" si="88"/>
        <v>4.8954895489548955E-2</v>
      </c>
      <c r="AT268" s="75">
        <f t="shared" si="89"/>
        <v>0.30198019801980197</v>
      </c>
      <c r="AU268" s="26">
        <f t="shared" si="90"/>
        <v>6.5166666666666664E-2</v>
      </c>
      <c r="AV268" s="26">
        <f t="shared" si="91"/>
        <v>0.10133333333333333</v>
      </c>
      <c r="AW268" s="24">
        <f t="shared" si="92"/>
        <v>0.9375</v>
      </c>
      <c r="AX268" s="24">
        <f t="shared" si="93"/>
        <v>0.93103448275862066</v>
      </c>
      <c r="AY268" s="77" t="str">
        <f t="shared" si="94"/>
        <v>7,5 ≤ Alc. Bruta &lt; 10,0 mg/L</v>
      </c>
      <c r="AZ268" s="77" t="str">
        <f t="shared" si="95"/>
        <v>15 ≤ Cor &lt; 30 uC</v>
      </c>
      <c r="BA268" s="78" t="str">
        <f t="shared" si="96"/>
        <v>2,5 ≤ Turb &lt; 5,0 uT</v>
      </c>
      <c r="BB268" s="79" t="str">
        <f t="shared" si="97"/>
        <v>TOR &gt; BNN &gt; SM</v>
      </c>
      <c r="BC268" s="78" t="str">
        <f t="shared" si="98"/>
        <v>Tipo 1 (≤0,25) uT</v>
      </c>
      <c r="BD268" s="78" t="str">
        <f t="shared" si="99"/>
        <v>Tipo 1 (≤0,25) uT</v>
      </c>
      <c r="BE268" s="78" t="str">
        <f t="shared" si="100"/>
        <v>Tipo 2 (0,25-0,50) uT</v>
      </c>
      <c r="BF268" s="78" t="str">
        <f t="shared" si="101"/>
        <v>Tipo 2 (0,25-0,50) uT</v>
      </c>
      <c r="BG268" s="78" t="str">
        <f t="shared" si="102"/>
        <v>Tipo 1 (≤0,25) uT</v>
      </c>
    </row>
    <row r="269" spans="1:59" x14ac:dyDescent="0.2">
      <c r="A269" s="21">
        <v>46155</v>
      </c>
      <c r="B269" s="48">
        <v>0.64583333333333337</v>
      </c>
      <c r="C269" s="57">
        <v>1148</v>
      </c>
      <c r="D269" s="57">
        <v>87</v>
      </c>
      <c r="E269" s="57">
        <v>549</v>
      </c>
      <c r="F269" s="57">
        <v>1804</v>
      </c>
      <c r="G269" s="10" t="s">
        <v>78</v>
      </c>
      <c r="H269" s="63">
        <v>5.5</v>
      </c>
      <c r="I269" s="57">
        <v>90</v>
      </c>
      <c r="J269" s="57">
        <v>90</v>
      </c>
      <c r="K269" s="57">
        <v>90</v>
      </c>
      <c r="L269" s="63">
        <v>25.5</v>
      </c>
      <c r="M269" s="63">
        <v>6.7</v>
      </c>
      <c r="N269" s="36">
        <v>2.93</v>
      </c>
      <c r="O269" s="57">
        <v>13</v>
      </c>
      <c r="P269" s="63">
        <v>7.9</v>
      </c>
      <c r="Q269" s="36">
        <v>0.25</v>
      </c>
      <c r="R269" s="36">
        <v>22.36</v>
      </c>
      <c r="S269" s="36">
        <v>0.88</v>
      </c>
      <c r="T269" s="36">
        <v>0.7</v>
      </c>
      <c r="U269" s="42">
        <f t="shared" si="80"/>
        <v>1452.22</v>
      </c>
      <c r="V269" s="36">
        <f t="shared" si="81"/>
        <v>1596.2022406200001</v>
      </c>
      <c r="W269" s="36">
        <f t="shared" si="82"/>
        <v>1.0991463005742932</v>
      </c>
      <c r="X269" s="57">
        <v>2</v>
      </c>
      <c r="Y269" s="57">
        <v>3</v>
      </c>
      <c r="Z269" s="63">
        <v>6.5</v>
      </c>
      <c r="AA269" s="57">
        <v>19.77</v>
      </c>
      <c r="AB269" s="63">
        <v>6.7</v>
      </c>
      <c r="AC269" s="63">
        <v>6.5</v>
      </c>
      <c r="AD269" s="10">
        <v>0.36</v>
      </c>
      <c r="AE269" s="36">
        <v>0.63</v>
      </c>
      <c r="AF269" s="42">
        <f t="shared" si="83"/>
        <v>1089.165</v>
      </c>
      <c r="AG269" s="42">
        <f t="shared" si="84"/>
        <v>1825.6278848339996</v>
      </c>
      <c r="AH269" s="42">
        <f t="shared" si="85"/>
        <v>1.6761720077619091</v>
      </c>
      <c r="AI269" s="57">
        <v>2</v>
      </c>
      <c r="AJ269" s="57">
        <v>4</v>
      </c>
      <c r="AK269" s="36">
        <v>6.45</v>
      </c>
      <c r="AL269" s="36">
        <v>22.83</v>
      </c>
      <c r="AM269" s="63">
        <v>6.7</v>
      </c>
      <c r="AN269" s="63">
        <v>6.8</v>
      </c>
      <c r="AO269" s="36">
        <v>0.28999999999999998</v>
      </c>
      <c r="AP269" s="68">
        <v>0.49</v>
      </c>
      <c r="AQ269" s="73">
        <f t="shared" si="86"/>
        <v>1784</v>
      </c>
      <c r="AR269" s="75">
        <f t="shared" si="87"/>
        <v>0.6434977578475336</v>
      </c>
      <c r="AS269" s="75">
        <f t="shared" si="88"/>
        <v>4.876681614349776E-2</v>
      </c>
      <c r="AT269" s="75">
        <f t="shared" si="89"/>
        <v>0.30773542600896858</v>
      </c>
      <c r="AU269" s="26">
        <f t="shared" si="90"/>
        <v>6.5753880266075385E-2</v>
      </c>
      <c r="AV269" s="26">
        <f t="shared" si="91"/>
        <v>0.10124168514412415</v>
      </c>
      <c r="AW269" s="24">
        <f t="shared" si="92"/>
        <v>0.83276450511945388</v>
      </c>
      <c r="AX269" s="24">
        <f t="shared" si="93"/>
        <v>0.78498293515358364</v>
      </c>
      <c r="AY269" s="77" t="str">
        <f t="shared" si="94"/>
        <v>7,5 ≤ Alc. Bruta &lt; 10,0 mg/L</v>
      </c>
      <c r="AZ269" s="77" t="str">
        <f t="shared" si="95"/>
        <v>10 ≤ Cor &lt;15 uC</v>
      </c>
      <c r="BA269" s="78" t="str">
        <f t="shared" si="96"/>
        <v>2,5 ≤ Turb &lt; 5,0 uT</v>
      </c>
      <c r="BB269" s="79" t="str">
        <f t="shared" si="97"/>
        <v>TOR &gt; BNN &gt; SM</v>
      </c>
      <c r="BC269" s="78" t="str">
        <f t="shared" si="98"/>
        <v>Tipo 2 (0,25-0,50) uT</v>
      </c>
      <c r="BD269" s="78" t="str">
        <f t="shared" si="99"/>
        <v>Tipo 2 (0,25-0,50) uT</v>
      </c>
      <c r="BE269" s="78" t="str">
        <f t="shared" si="100"/>
        <v>Tipo 3 (0,50-0,75) uT</v>
      </c>
      <c r="BF269" s="78" t="str">
        <f t="shared" si="101"/>
        <v>Tipo 2 (0,25-0,50) uT</v>
      </c>
      <c r="BG269" s="78" t="str">
        <f t="shared" si="102"/>
        <v>Tipo 1 (≤0,25) uT</v>
      </c>
    </row>
    <row r="270" spans="1:59" x14ac:dyDescent="0.2">
      <c r="A270" s="21">
        <v>46155</v>
      </c>
      <c r="B270" s="48">
        <v>0.8125</v>
      </c>
      <c r="C270" s="57">
        <v>1170</v>
      </c>
      <c r="D270" s="57">
        <v>86</v>
      </c>
      <c r="E270" s="57">
        <v>550</v>
      </c>
      <c r="F270" s="57">
        <v>1830</v>
      </c>
      <c r="G270" s="10" t="s">
        <v>78</v>
      </c>
      <c r="H270" s="63">
        <v>5.6</v>
      </c>
      <c r="I270" s="57">
        <v>90</v>
      </c>
      <c r="J270" s="57">
        <v>90</v>
      </c>
      <c r="K270" s="57">
        <v>90</v>
      </c>
      <c r="L270" s="63">
        <v>24.9</v>
      </c>
      <c r="M270" s="63">
        <v>6.7</v>
      </c>
      <c r="N270" s="36">
        <v>4.7699999999999996</v>
      </c>
      <c r="O270" s="57">
        <v>14</v>
      </c>
      <c r="P270" s="63">
        <v>7</v>
      </c>
      <c r="Q270" s="36">
        <v>0.25</v>
      </c>
      <c r="R270" s="36">
        <v>22.36</v>
      </c>
      <c r="S270" s="36">
        <v>0.88</v>
      </c>
      <c r="T270" s="36">
        <v>0.7</v>
      </c>
      <c r="U270" s="42">
        <f t="shared" si="80"/>
        <v>2043.4999999999998</v>
      </c>
      <c r="V270" s="36">
        <f t="shared" si="81"/>
        <v>1587.5071789719998</v>
      </c>
      <c r="W270" s="36">
        <f t="shared" si="82"/>
        <v>0.77685695080597017</v>
      </c>
      <c r="X270" s="57">
        <v>2</v>
      </c>
      <c r="Y270" s="57">
        <v>3</v>
      </c>
      <c r="Z270" s="63">
        <v>6.49</v>
      </c>
      <c r="AA270" s="57">
        <v>19.7</v>
      </c>
      <c r="AB270" s="63">
        <v>6.7</v>
      </c>
      <c r="AC270" s="63">
        <v>6.7</v>
      </c>
      <c r="AD270" s="10">
        <v>0.34</v>
      </c>
      <c r="AE270" s="36">
        <v>0.34</v>
      </c>
      <c r="AF270" s="42">
        <f t="shared" si="83"/>
        <v>1532.6249999999998</v>
      </c>
      <c r="AG270" s="42">
        <f t="shared" si="84"/>
        <v>1824.9466655211995</v>
      </c>
      <c r="AH270" s="42">
        <f t="shared" si="85"/>
        <v>1.1907326746733218</v>
      </c>
      <c r="AI270" s="57">
        <v>2</v>
      </c>
      <c r="AJ270" s="57">
        <v>4</v>
      </c>
      <c r="AK270" s="36">
        <v>6.43</v>
      </c>
      <c r="AL270" s="36">
        <v>22.91</v>
      </c>
      <c r="AM270" s="63">
        <v>6.7</v>
      </c>
      <c r="AN270" s="63">
        <v>6.8</v>
      </c>
      <c r="AO270" s="36">
        <v>0.27</v>
      </c>
      <c r="AP270" s="68">
        <v>0.4</v>
      </c>
      <c r="AQ270" s="73">
        <f t="shared" si="86"/>
        <v>1806</v>
      </c>
      <c r="AR270" s="75">
        <f t="shared" si="87"/>
        <v>0.64784053156146182</v>
      </c>
      <c r="AS270" s="75">
        <f t="shared" si="88"/>
        <v>4.7619047619047616E-2</v>
      </c>
      <c r="AT270" s="75">
        <f t="shared" si="89"/>
        <v>0.30454042081949056</v>
      </c>
      <c r="AU270" s="26">
        <f t="shared" si="90"/>
        <v>6.4590163934426223E-2</v>
      </c>
      <c r="AV270" s="26">
        <f t="shared" si="91"/>
        <v>0.10015300546448087</v>
      </c>
      <c r="AW270" s="24">
        <f t="shared" si="92"/>
        <v>0.9161425576519916</v>
      </c>
      <c r="AX270" s="24">
        <f t="shared" si="93"/>
        <v>0.92872117400419285</v>
      </c>
      <c r="AY270" s="77" t="str">
        <f t="shared" si="94"/>
        <v>5,0 ≤ Alc. Bruta &lt; 7,5 mg/L</v>
      </c>
      <c r="AZ270" s="77" t="str">
        <f t="shared" si="95"/>
        <v>10 ≤ Cor &lt;15 uC</v>
      </c>
      <c r="BA270" s="78" t="str">
        <f t="shared" si="96"/>
        <v>2,5 ≤ Turb &lt; 5,0 uT</v>
      </c>
      <c r="BB270" s="79" t="str">
        <f t="shared" si="97"/>
        <v>TOR &gt; BNN &gt; SM</v>
      </c>
      <c r="BC270" s="78" t="str">
        <f t="shared" si="98"/>
        <v>Tipo 2 (0,25-0,50) uT</v>
      </c>
      <c r="BD270" s="78" t="str">
        <f t="shared" si="99"/>
        <v>Tipo 2 (0,25-0,50) uT</v>
      </c>
      <c r="BE270" s="78" t="str">
        <f t="shared" si="100"/>
        <v>Tipo 2 (0,25-0,50) uT</v>
      </c>
      <c r="BF270" s="78" t="str">
        <f t="shared" si="101"/>
        <v>Tipo 2 (0,25-0,50) uT</v>
      </c>
      <c r="BG270" s="78" t="str">
        <f t="shared" si="102"/>
        <v>Tipo 1 (≤0,25) uT</v>
      </c>
    </row>
    <row r="271" spans="1:59" x14ac:dyDescent="0.2">
      <c r="A271" s="21">
        <v>46155</v>
      </c>
      <c r="B271" s="48">
        <v>0.89583333333333337</v>
      </c>
      <c r="C271" s="57">
        <v>1137</v>
      </c>
      <c r="D271" s="57">
        <v>85</v>
      </c>
      <c r="E271" s="57">
        <v>550</v>
      </c>
      <c r="F271" s="57">
        <v>1930</v>
      </c>
      <c r="G271" s="10" t="s">
        <v>78</v>
      </c>
      <c r="H271" s="63">
        <v>5.6</v>
      </c>
      <c r="I271" s="57">
        <v>90</v>
      </c>
      <c r="J271" s="57">
        <v>90</v>
      </c>
      <c r="K271" s="57">
        <v>90</v>
      </c>
      <c r="L271" s="63">
        <v>23.7</v>
      </c>
      <c r="M271" s="63">
        <v>6.8</v>
      </c>
      <c r="N271" s="36">
        <v>3.72</v>
      </c>
      <c r="O271" s="57">
        <v>13</v>
      </c>
      <c r="P271" s="63">
        <v>6.4</v>
      </c>
      <c r="Q271" s="36">
        <v>0.23</v>
      </c>
      <c r="R271" s="36">
        <v>22.36</v>
      </c>
      <c r="S271" s="36">
        <v>0.88</v>
      </c>
      <c r="T271" s="36">
        <v>0.7</v>
      </c>
      <c r="U271" s="42">
        <f t="shared" si="80"/>
        <v>1817.416666666667</v>
      </c>
      <c r="V271" s="36">
        <f t="shared" si="81"/>
        <v>1447.7334393599999</v>
      </c>
      <c r="W271" s="36">
        <f t="shared" si="82"/>
        <v>0.79658862269338326</v>
      </c>
      <c r="X271" s="57">
        <v>2</v>
      </c>
      <c r="Y271" s="57">
        <v>3</v>
      </c>
      <c r="Z271" s="63">
        <v>6.48</v>
      </c>
      <c r="AA271" s="57">
        <v>18</v>
      </c>
      <c r="AB271" s="63">
        <v>6.6</v>
      </c>
      <c r="AC271" s="63">
        <v>6.1</v>
      </c>
      <c r="AD271" s="10">
        <v>0.36</v>
      </c>
      <c r="AE271" s="36">
        <v>0.34</v>
      </c>
      <c r="AF271" s="42">
        <f t="shared" si="83"/>
        <v>1363.0625</v>
      </c>
      <c r="AG271" s="42">
        <f t="shared" si="84"/>
        <v>1832.1158143599996</v>
      </c>
      <c r="AH271" s="42">
        <f t="shared" si="85"/>
        <v>1.3441172465385847</v>
      </c>
      <c r="AI271" s="57">
        <v>2</v>
      </c>
      <c r="AJ271" s="57">
        <v>4</v>
      </c>
      <c r="AK271" s="36">
        <v>6.43</v>
      </c>
      <c r="AL271" s="36">
        <v>23</v>
      </c>
      <c r="AM271" s="63">
        <v>6.6</v>
      </c>
      <c r="AN271" s="63">
        <v>6.4</v>
      </c>
      <c r="AO271" s="36">
        <v>0.4</v>
      </c>
      <c r="AP271" s="68">
        <v>0.34</v>
      </c>
      <c r="AQ271" s="73">
        <f t="shared" si="86"/>
        <v>1772</v>
      </c>
      <c r="AR271" s="75">
        <f t="shared" si="87"/>
        <v>0.64164785553047399</v>
      </c>
      <c r="AS271" s="75">
        <f t="shared" si="88"/>
        <v>4.7968397291196389E-2</v>
      </c>
      <c r="AT271" s="75">
        <f t="shared" si="89"/>
        <v>0.31038374717832956</v>
      </c>
      <c r="AU271" s="26">
        <f t="shared" si="90"/>
        <v>5.5958549222797922E-2</v>
      </c>
      <c r="AV271" s="26">
        <f t="shared" si="91"/>
        <v>9.5336787564766837E-2</v>
      </c>
      <c r="AW271" s="24">
        <f t="shared" si="92"/>
        <v>0.90860215053763438</v>
      </c>
      <c r="AX271" s="24">
        <f t="shared" si="93"/>
        <v>0.90860215053763438</v>
      </c>
      <c r="AY271" s="77" t="str">
        <f t="shared" si="94"/>
        <v>5,0 ≤ Alc. Bruta &lt; 7,5 mg/L</v>
      </c>
      <c r="AZ271" s="77" t="str">
        <f t="shared" si="95"/>
        <v>10 ≤ Cor &lt;15 uC</v>
      </c>
      <c r="BA271" s="78" t="str">
        <f t="shared" si="96"/>
        <v>2,5 ≤ Turb &lt; 5,0 uT</v>
      </c>
      <c r="BB271" s="79" t="str">
        <f t="shared" si="97"/>
        <v>TOR &gt; BNN &gt; SM</v>
      </c>
      <c r="BC271" s="78" t="str">
        <f t="shared" si="98"/>
        <v>Tipo 2 (0,25-0,50) uT</v>
      </c>
      <c r="BD271" s="78" t="str">
        <f t="shared" si="99"/>
        <v>Tipo 2 (0,25-0,50) uT</v>
      </c>
      <c r="BE271" s="78" t="str">
        <f t="shared" si="100"/>
        <v>Tipo 2 (0,25-0,50) uT</v>
      </c>
      <c r="BF271" s="78" t="str">
        <f t="shared" si="101"/>
        <v>Tipo 2 (0,25-0,50) uT</v>
      </c>
      <c r="BG271" s="78" t="str">
        <f t="shared" si="102"/>
        <v>Tipo 1 (≤0,25) uT</v>
      </c>
    </row>
    <row r="272" spans="1:59" x14ac:dyDescent="0.2">
      <c r="A272" s="21">
        <v>46155</v>
      </c>
      <c r="B272" s="48">
        <v>0.97916666666666663</v>
      </c>
      <c r="C272" s="57">
        <v>1574</v>
      </c>
      <c r="D272" s="57">
        <v>92</v>
      </c>
      <c r="E272" s="57">
        <v>542</v>
      </c>
      <c r="F272" s="57">
        <v>2214</v>
      </c>
      <c r="G272" s="10" t="s">
        <v>78</v>
      </c>
      <c r="H272" s="63">
        <v>5.6</v>
      </c>
      <c r="I272" s="57">
        <v>90</v>
      </c>
      <c r="J272" s="57">
        <v>90</v>
      </c>
      <c r="K272" s="57">
        <v>90</v>
      </c>
      <c r="L272" s="63">
        <v>23.4</v>
      </c>
      <c r="M272" s="63">
        <v>6.8</v>
      </c>
      <c r="N272" s="36">
        <v>4.0199999999999996</v>
      </c>
      <c r="O272" s="57">
        <v>14</v>
      </c>
      <c r="P272" s="63">
        <v>6.5</v>
      </c>
      <c r="Q272" s="36">
        <v>0.42</v>
      </c>
      <c r="R272" s="36">
        <v>22.36</v>
      </c>
      <c r="S272" s="36">
        <v>0.88</v>
      </c>
      <c r="T272" s="36">
        <v>0.7</v>
      </c>
      <c r="U272" s="42">
        <f t="shared" si="80"/>
        <v>1646.6624999999999</v>
      </c>
      <c r="V272" s="36">
        <f t="shared" si="81"/>
        <v>1534.0335140000002</v>
      </c>
      <c r="W272" s="36">
        <f t="shared" si="82"/>
        <v>0.93160165729164313</v>
      </c>
      <c r="X272" s="57">
        <v>3</v>
      </c>
      <c r="Y272" s="57">
        <v>4</v>
      </c>
      <c r="Z272" s="63">
        <v>6.5</v>
      </c>
      <c r="AA272" s="57">
        <v>19</v>
      </c>
      <c r="AB272" s="63">
        <v>6.6</v>
      </c>
      <c r="AC272" s="63">
        <v>6.3</v>
      </c>
      <c r="AD272" s="10">
        <v>0.4</v>
      </c>
      <c r="AE272" s="36">
        <v>0.68</v>
      </c>
      <c r="AF272" s="42">
        <f t="shared" si="83"/>
        <v>1646.6624999999999</v>
      </c>
      <c r="AG272" s="42">
        <f t="shared" si="84"/>
        <v>1856.9879380000002</v>
      </c>
      <c r="AH272" s="42">
        <f t="shared" si="85"/>
        <v>1.1277283219846206</v>
      </c>
      <c r="AI272" s="57">
        <v>3</v>
      </c>
      <c r="AJ272" s="57">
        <v>4</v>
      </c>
      <c r="AK272" s="36">
        <v>6.5</v>
      </c>
      <c r="AL272" s="36">
        <v>23</v>
      </c>
      <c r="AM272" s="63">
        <v>6.6</v>
      </c>
      <c r="AN272" s="63">
        <v>6.5</v>
      </c>
      <c r="AO272" s="36">
        <v>0.39</v>
      </c>
      <c r="AP272" s="68">
        <v>0.48</v>
      </c>
      <c r="AQ272" s="73">
        <f t="shared" si="86"/>
        <v>2208</v>
      </c>
      <c r="AR272" s="75">
        <f t="shared" si="87"/>
        <v>0.71286231884057971</v>
      </c>
      <c r="AS272" s="75">
        <f t="shared" si="88"/>
        <v>4.1666666666666664E-2</v>
      </c>
      <c r="AT272" s="75">
        <f t="shared" si="89"/>
        <v>0.24547101449275363</v>
      </c>
      <c r="AU272" s="26">
        <f t="shared" si="90"/>
        <v>6.8654019873532063E-2</v>
      </c>
      <c r="AV272" s="26">
        <f t="shared" si="91"/>
        <v>8.3107497741644082E-2</v>
      </c>
      <c r="AW272" s="24">
        <f t="shared" si="92"/>
        <v>0.88059701492537312</v>
      </c>
      <c r="AX272" s="24">
        <f t="shared" si="93"/>
        <v>0.8308457711442786</v>
      </c>
      <c r="AY272" s="77" t="str">
        <f t="shared" si="94"/>
        <v>5,0 ≤ Alc. Bruta &lt; 7,5 mg/L</v>
      </c>
      <c r="AZ272" s="77" t="str">
        <f t="shared" si="95"/>
        <v>10 ≤ Cor &lt;15 uC</v>
      </c>
      <c r="BA272" s="78" t="str">
        <f t="shared" si="96"/>
        <v>2,5 ≤ Turb &lt; 5,0 uT</v>
      </c>
      <c r="BB272" s="79" t="str">
        <f t="shared" si="97"/>
        <v>TOR &gt; BNN &gt; SM</v>
      </c>
      <c r="BC272" s="78" t="str">
        <f t="shared" si="98"/>
        <v>Tipo 2 (0,25-0,50) uT</v>
      </c>
      <c r="BD272" s="78" t="str">
        <f t="shared" si="99"/>
        <v>Tipo 2 (0,25-0,50) uT</v>
      </c>
      <c r="BE272" s="78" t="str">
        <f t="shared" si="100"/>
        <v>Tipo 3 (0,50-0,75) uT</v>
      </c>
      <c r="BF272" s="78" t="str">
        <f t="shared" si="101"/>
        <v>Tipo 2 (0,25-0,50) uT</v>
      </c>
      <c r="BG272" s="78" t="str">
        <f t="shared" si="102"/>
        <v>Tipo 2 (0,25-0,50) uT</v>
      </c>
    </row>
    <row r="273" spans="1:59" x14ac:dyDescent="0.2">
      <c r="A273" s="21">
        <v>46156</v>
      </c>
      <c r="B273" s="48">
        <v>6.25E-2</v>
      </c>
      <c r="C273" s="57">
        <v>1558</v>
      </c>
      <c r="D273" s="57">
        <v>94</v>
      </c>
      <c r="E273" s="57">
        <v>542</v>
      </c>
      <c r="F273" s="57">
        <v>2226</v>
      </c>
      <c r="G273" s="10" t="s">
        <v>78</v>
      </c>
      <c r="H273" s="63">
        <v>5.6</v>
      </c>
      <c r="I273" s="57">
        <v>90</v>
      </c>
      <c r="J273" s="57">
        <v>90</v>
      </c>
      <c r="K273" s="57">
        <v>90</v>
      </c>
      <c r="L273" s="63">
        <v>23.4</v>
      </c>
      <c r="M273" s="63">
        <v>6.8</v>
      </c>
      <c r="N273" s="36">
        <v>3.86</v>
      </c>
      <c r="O273" s="57">
        <v>15</v>
      </c>
      <c r="P273" s="63">
        <v>6.4</v>
      </c>
      <c r="Q273" s="36">
        <v>0.3</v>
      </c>
      <c r="R273" s="36">
        <v>22.36</v>
      </c>
      <c r="S273" s="36">
        <v>0.88</v>
      </c>
      <c r="T273" s="36">
        <v>0.7</v>
      </c>
      <c r="U273" s="42">
        <f t="shared" si="80"/>
        <v>1611.0675000000001</v>
      </c>
      <c r="V273" s="36">
        <f t="shared" si="81"/>
        <v>1447.7334393599999</v>
      </c>
      <c r="W273" s="36">
        <f t="shared" si="82"/>
        <v>0.89861749390388657</v>
      </c>
      <c r="X273" s="57">
        <v>3</v>
      </c>
      <c r="Y273" s="57">
        <v>4</v>
      </c>
      <c r="Z273" s="63">
        <v>6.48</v>
      </c>
      <c r="AA273" s="57">
        <v>18</v>
      </c>
      <c r="AB273" s="63">
        <v>6.7</v>
      </c>
      <c r="AC273" s="63">
        <v>6.1</v>
      </c>
      <c r="AD273" s="10">
        <v>0.31</v>
      </c>
      <c r="AE273" s="36">
        <v>0.43</v>
      </c>
      <c r="AF273" s="42">
        <f t="shared" si="83"/>
        <v>1611.0675000000001</v>
      </c>
      <c r="AG273" s="42">
        <f t="shared" si="84"/>
        <v>1804.0370162879997</v>
      </c>
      <c r="AH273" s="42">
        <f t="shared" si="85"/>
        <v>1.1197774247745669</v>
      </c>
      <c r="AI273" s="57">
        <v>3</v>
      </c>
      <c r="AJ273" s="57">
        <v>4</v>
      </c>
      <c r="AK273" s="36">
        <v>6.45</v>
      </c>
      <c r="AL273" s="36">
        <v>22.56</v>
      </c>
      <c r="AM273" s="63">
        <v>6.7</v>
      </c>
      <c r="AN273" s="63">
        <v>6.2</v>
      </c>
      <c r="AO273" s="36">
        <v>0.28000000000000003</v>
      </c>
      <c r="AP273" s="68">
        <v>0.35</v>
      </c>
      <c r="AQ273" s="73">
        <f t="shared" si="86"/>
        <v>2194</v>
      </c>
      <c r="AR273" s="75">
        <f t="shared" si="87"/>
        <v>0.71011850501367368</v>
      </c>
      <c r="AS273" s="75">
        <f t="shared" si="88"/>
        <v>4.2844120328167729E-2</v>
      </c>
      <c r="AT273" s="75">
        <f t="shared" si="89"/>
        <v>0.24703737465815861</v>
      </c>
      <c r="AU273" s="26">
        <f t="shared" si="90"/>
        <v>6.4690026954177901E-2</v>
      </c>
      <c r="AV273" s="26">
        <f t="shared" si="91"/>
        <v>8.107816711590296E-2</v>
      </c>
      <c r="AW273" s="24">
        <f t="shared" si="92"/>
        <v>0.90932642487046633</v>
      </c>
      <c r="AX273" s="24">
        <f t="shared" si="93"/>
        <v>0.8886010362694301</v>
      </c>
      <c r="AY273" s="77" t="str">
        <f t="shared" si="94"/>
        <v>5,0 ≤ Alc. Bruta &lt; 7,5 mg/L</v>
      </c>
      <c r="AZ273" s="77" t="str">
        <f t="shared" si="95"/>
        <v>15 ≤ Cor &lt; 30 uC</v>
      </c>
      <c r="BA273" s="78" t="str">
        <f t="shared" si="96"/>
        <v>2,5 ≤ Turb &lt; 5,0 uT</v>
      </c>
      <c r="BB273" s="79" t="str">
        <f t="shared" si="97"/>
        <v>TOR &gt; BNN &gt; SM</v>
      </c>
      <c r="BC273" s="78" t="str">
        <f t="shared" si="98"/>
        <v>Tipo 2 (0,25-0,50) uT</v>
      </c>
      <c r="BD273" s="78" t="str">
        <f t="shared" si="99"/>
        <v>Tipo 2 (0,25-0,50) uT</v>
      </c>
      <c r="BE273" s="78" t="str">
        <f t="shared" si="100"/>
        <v>Tipo 2 (0,25-0,50) uT</v>
      </c>
      <c r="BF273" s="78" t="str">
        <f t="shared" si="101"/>
        <v>Tipo 2 (0,25-0,50) uT</v>
      </c>
      <c r="BG273" s="78" t="str">
        <f t="shared" si="102"/>
        <v>Tipo 2 (0,25-0,50) uT</v>
      </c>
    </row>
    <row r="274" spans="1:59" x14ac:dyDescent="0.2">
      <c r="A274" s="21">
        <v>46156</v>
      </c>
      <c r="B274" s="48">
        <v>0.14583333333333334</v>
      </c>
      <c r="C274" s="57">
        <v>1550</v>
      </c>
      <c r="D274" s="57">
        <v>80</v>
      </c>
      <c r="E274" s="57">
        <v>540</v>
      </c>
      <c r="F274" s="57">
        <v>2300</v>
      </c>
      <c r="G274" s="10" t="s">
        <v>78</v>
      </c>
      <c r="H274" s="63">
        <v>5.6</v>
      </c>
      <c r="I274" s="57">
        <v>90</v>
      </c>
      <c r="J274" s="57">
        <v>90</v>
      </c>
      <c r="K274" s="57">
        <v>90</v>
      </c>
      <c r="L274" s="63">
        <v>23.5</v>
      </c>
      <c r="M274" s="63">
        <v>6.7</v>
      </c>
      <c r="N274" s="36">
        <v>3.68</v>
      </c>
      <c r="O274" s="57">
        <v>15</v>
      </c>
      <c r="P274" s="63">
        <v>6.6</v>
      </c>
      <c r="Q274" s="36">
        <v>0.32</v>
      </c>
      <c r="R274" s="36">
        <v>22.36</v>
      </c>
      <c r="S274" s="36">
        <v>0.88</v>
      </c>
      <c r="T274" s="36">
        <v>0.7</v>
      </c>
      <c r="U274" s="42">
        <f t="shared" si="80"/>
        <v>1612.875</v>
      </c>
      <c r="V274" s="36">
        <f t="shared" si="81"/>
        <v>1450.5141736799999</v>
      </c>
      <c r="W274" s="36">
        <f t="shared" si="82"/>
        <v>0.89933452603580555</v>
      </c>
      <c r="X274" s="57">
        <v>3</v>
      </c>
      <c r="Y274" s="57">
        <v>4</v>
      </c>
      <c r="Z274" s="63">
        <v>6.49</v>
      </c>
      <c r="AA274" s="57">
        <v>18</v>
      </c>
      <c r="AB274" s="63">
        <v>6.7</v>
      </c>
      <c r="AC274" s="63">
        <v>6.2</v>
      </c>
      <c r="AD274" s="10">
        <v>0.3</v>
      </c>
      <c r="AE274" s="36">
        <v>0.44</v>
      </c>
      <c r="AF274" s="42">
        <f t="shared" si="83"/>
        <v>1612.875</v>
      </c>
      <c r="AG274" s="42">
        <f t="shared" si="84"/>
        <v>1812.9980841231995</v>
      </c>
      <c r="AH274" s="42">
        <f t="shared" si="85"/>
        <v>1.1240784835298454</v>
      </c>
      <c r="AI274" s="57">
        <v>3</v>
      </c>
      <c r="AJ274" s="57">
        <v>4</v>
      </c>
      <c r="AK274" s="36">
        <v>6.43</v>
      </c>
      <c r="AL274" s="36">
        <v>22.76</v>
      </c>
      <c r="AM274" s="63">
        <v>6.7</v>
      </c>
      <c r="AN274" s="63">
        <v>6.3</v>
      </c>
      <c r="AO274" s="36">
        <v>0.28999999999999998</v>
      </c>
      <c r="AP274" s="68">
        <v>0.37</v>
      </c>
      <c r="AQ274" s="73">
        <f t="shared" si="86"/>
        <v>2170</v>
      </c>
      <c r="AR274" s="75">
        <f t="shared" si="87"/>
        <v>0.7142857142857143</v>
      </c>
      <c r="AS274" s="75">
        <f t="shared" si="88"/>
        <v>3.6866359447004608E-2</v>
      </c>
      <c r="AT274" s="75">
        <f t="shared" si="89"/>
        <v>0.24884792626728111</v>
      </c>
      <c r="AU274" s="26">
        <f t="shared" si="90"/>
        <v>6.2608695652173918E-2</v>
      </c>
      <c r="AV274" s="26">
        <f t="shared" si="91"/>
        <v>7.916521739130436E-2</v>
      </c>
      <c r="AW274" s="24">
        <f t="shared" si="92"/>
        <v>0.89945652173913049</v>
      </c>
      <c r="AX274" s="24">
        <f t="shared" si="93"/>
        <v>0.88043478260869568</v>
      </c>
      <c r="AY274" s="77" t="str">
        <f t="shared" si="94"/>
        <v>5,0 ≤ Alc. Bruta &lt; 7,5 mg/L</v>
      </c>
      <c r="AZ274" s="77" t="str">
        <f t="shared" si="95"/>
        <v>15 ≤ Cor &lt; 30 uC</v>
      </c>
      <c r="BA274" s="78" t="str">
        <f t="shared" si="96"/>
        <v>2,5 ≤ Turb &lt; 5,0 uT</v>
      </c>
      <c r="BB274" s="79" t="str">
        <f t="shared" si="97"/>
        <v>TOR &gt; BNN &gt; SM</v>
      </c>
      <c r="BC274" s="78" t="str">
        <f t="shared" si="98"/>
        <v>Tipo 2 (0,25-0,50) uT</v>
      </c>
      <c r="BD274" s="78" t="str">
        <f t="shared" si="99"/>
        <v>Tipo 2 (0,25-0,50) uT</v>
      </c>
      <c r="BE274" s="78" t="str">
        <f t="shared" si="100"/>
        <v>Tipo 2 (0,25-0,50) uT</v>
      </c>
      <c r="BF274" s="78" t="str">
        <f t="shared" si="101"/>
        <v>Tipo 2 (0,25-0,50) uT</v>
      </c>
      <c r="BG274" s="78" t="str">
        <f t="shared" si="102"/>
        <v>Tipo 2 (0,25-0,50) uT</v>
      </c>
    </row>
    <row r="275" spans="1:59" ht="15.75" thickBot="1" x14ac:dyDescent="0.25">
      <c r="A275" s="21">
        <v>46156</v>
      </c>
      <c r="B275" s="51">
        <v>0.22916666666666666</v>
      </c>
      <c r="C275" s="58">
        <v>1560</v>
      </c>
      <c r="D275" s="58">
        <v>87</v>
      </c>
      <c r="E275" s="58">
        <v>541</v>
      </c>
      <c r="F275" s="58">
        <v>2300</v>
      </c>
      <c r="G275" s="11" t="s">
        <v>78</v>
      </c>
      <c r="H275" s="64">
        <v>5.6</v>
      </c>
      <c r="I275" s="58">
        <v>90</v>
      </c>
      <c r="J275" s="58">
        <v>90</v>
      </c>
      <c r="K275" s="58">
        <v>90</v>
      </c>
      <c r="L275" s="64">
        <v>23.4</v>
      </c>
      <c r="M275" s="64">
        <v>6.7</v>
      </c>
      <c r="N275" s="37">
        <v>3.6</v>
      </c>
      <c r="O275" s="58">
        <v>14</v>
      </c>
      <c r="P275" s="64">
        <v>6.5</v>
      </c>
      <c r="Q275" s="37">
        <v>0.35</v>
      </c>
      <c r="R275" s="36">
        <v>22.36</v>
      </c>
      <c r="S275" s="36">
        <v>0.88</v>
      </c>
      <c r="T275" s="36">
        <v>0.7</v>
      </c>
      <c r="U275" s="42">
        <f t="shared" si="80"/>
        <v>1589.875</v>
      </c>
      <c r="V275" s="36">
        <f t="shared" si="81"/>
        <v>1528.1630748799998</v>
      </c>
      <c r="W275" s="36">
        <f t="shared" si="82"/>
        <v>0.96118441693843848</v>
      </c>
      <c r="X275" s="58">
        <v>3</v>
      </c>
      <c r="Y275" s="58">
        <v>4</v>
      </c>
      <c r="Z275" s="64">
        <v>6.48</v>
      </c>
      <c r="AA275" s="58">
        <v>19</v>
      </c>
      <c r="AB275" s="64">
        <v>6.6</v>
      </c>
      <c r="AC275" s="64">
        <v>6.3</v>
      </c>
      <c r="AD275" s="11">
        <v>0.32</v>
      </c>
      <c r="AE275" s="37">
        <v>0.46</v>
      </c>
      <c r="AF275" s="42">
        <f t="shared" si="83"/>
        <v>1589.875</v>
      </c>
      <c r="AG275" s="42">
        <f t="shared" si="84"/>
        <v>1803.7442970560003</v>
      </c>
      <c r="AH275" s="42">
        <f t="shared" si="85"/>
        <v>1.1345195672968003</v>
      </c>
      <c r="AI275" s="58">
        <v>3</v>
      </c>
      <c r="AJ275" s="58">
        <v>4</v>
      </c>
      <c r="AK275" s="37">
        <v>6.44</v>
      </c>
      <c r="AL275" s="37">
        <v>22.6</v>
      </c>
      <c r="AM275" s="64">
        <v>6.7</v>
      </c>
      <c r="AN275" s="64">
        <v>6.4</v>
      </c>
      <c r="AO275" s="37">
        <v>0.3</v>
      </c>
      <c r="AP275" s="69">
        <v>0.32</v>
      </c>
      <c r="AQ275" s="73">
        <f t="shared" si="86"/>
        <v>2188</v>
      </c>
      <c r="AR275" s="75">
        <f t="shared" si="87"/>
        <v>0.71297989031078612</v>
      </c>
      <c r="AS275" s="75">
        <f t="shared" si="88"/>
        <v>3.9762340036563072E-2</v>
      </c>
      <c r="AT275" s="75">
        <f t="shared" si="89"/>
        <v>0.24725776965265081</v>
      </c>
      <c r="AU275" s="26">
        <f t="shared" si="90"/>
        <v>6.6086956521739126E-2</v>
      </c>
      <c r="AV275" s="26">
        <f t="shared" si="91"/>
        <v>7.8608695652173918E-2</v>
      </c>
      <c r="AW275" s="24">
        <f t="shared" si="92"/>
        <v>0.91111111111111109</v>
      </c>
      <c r="AX275" s="24">
        <f t="shared" si="93"/>
        <v>0.87222222222222223</v>
      </c>
      <c r="AY275" s="77" t="str">
        <f t="shared" si="94"/>
        <v>5,0 ≤ Alc. Bruta &lt; 7,5 mg/L</v>
      </c>
      <c r="AZ275" s="77" t="str">
        <f t="shared" si="95"/>
        <v>10 ≤ Cor &lt;15 uC</v>
      </c>
      <c r="BA275" s="78" t="str">
        <f t="shared" si="96"/>
        <v>2,5 ≤ Turb &lt; 5,0 uT</v>
      </c>
      <c r="BB275" s="79" t="str">
        <f t="shared" si="97"/>
        <v>TOR &gt; BNN &gt; SM</v>
      </c>
      <c r="BC275" s="78" t="str">
        <f t="shared" si="98"/>
        <v>Tipo 2 (0,25-0,50) uT</v>
      </c>
      <c r="BD275" s="78" t="str">
        <f t="shared" si="99"/>
        <v>Tipo 2 (0,25-0,50) uT</v>
      </c>
      <c r="BE275" s="78" t="str">
        <f t="shared" si="100"/>
        <v>Tipo 2 (0,25-0,50) uT</v>
      </c>
      <c r="BF275" s="78" t="str">
        <f t="shared" si="101"/>
        <v>Tipo 2 (0,25-0,50) uT</v>
      </c>
      <c r="BG275" s="78" t="str">
        <f t="shared" si="102"/>
        <v>Tipo 2 (0,25-0,50) uT</v>
      </c>
    </row>
    <row r="276" spans="1:59" x14ac:dyDescent="0.2">
      <c r="A276" s="21">
        <v>46156</v>
      </c>
      <c r="B276" s="52">
        <v>0.3125</v>
      </c>
      <c r="C276" s="59">
        <v>1611</v>
      </c>
      <c r="D276" s="57">
        <v>93</v>
      </c>
      <c r="E276" s="59">
        <v>539</v>
      </c>
      <c r="F276" s="59">
        <v>2332</v>
      </c>
      <c r="G276" s="9" t="s">
        <v>78</v>
      </c>
      <c r="H276" s="65">
        <v>5.6</v>
      </c>
      <c r="I276" s="59">
        <v>90</v>
      </c>
      <c r="J276" s="59">
        <v>90</v>
      </c>
      <c r="K276" s="59">
        <v>90</v>
      </c>
      <c r="L276" s="65">
        <v>23.1</v>
      </c>
      <c r="M276" s="65">
        <v>6.7</v>
      </c>
      <c r="N276" s="38">
        <v>3.86</v>
      </c>
      <c r="O276" s="59">
        <v>18</v>
      </c>
      <c r="P276" s="65">
        <v>6.7</v>
      </c>
      <c r="Q276" s="38">
        <v>0.31</v>
      </c>
      <c r="R276" s="36">
        <v>22.36</v>
      </c>
      <c r="S276" s="36">
        <v>0.88</v>
      </c>
      <c r="T276" s="36">
        <v>0.7</v>
      </c>
      <c r="U276" s="42">
        <f t="shared" si="80"/>
        <v>1687.7850000000001</v>
      </c>
      <c r="V276" s="36">
        <f t="shared" si="81"/>
        <v>1436.9735309903997</v>
      </c>
      <c r="W276" s="36">
        <f t="shared" si="82"/>
        <v>0.85139607887876689</v>
      </c>
      <c r="X276" s="59">
        <v>3</v>
      </c>
      <c r="Y276" s="59">
        <v>4</v>
      </c>
      <c r="Z276" s="65">
        <v>6.52</v>
      </c>
      <c r="AA276" s="59">
        <v>17.73</v>
      </c>
      <c r="AB276" s="65">
        <v>6.5</v>
      </c>
      <c r="AC276" s="65">
        <v>5.7</v>
      </c>
      <c r="AD276" s="9">
        <v>0.34</v>
      </c>
      <c r="AE276" s="38">
        <v>0.45</v>
      </c>
      <c r="AF276" s="42">
        <f t="shared" si="83"/>
        <v>1687.7850000000001</v>
      </c>
      <c r="AG276" s="42">
        <f t="shared" si="84"/>
        <v>1821.4074086727999</v>
      </c>
      <c r="AH276" s="42">
        <f t="shared" si="85"/>
        <v>1.0791702786034949</v>
      </c>
      <c r="AI276" s="59">
        <v>3</v>
      </c>
      <c r="AJ276" s="59">
        <v>4</v>
      </c>
      <c r="AK276" s="38">
        <v>6.42</v>
      </c>
      <c r="AL276" s="38">
        <v>22.91</v>
      </c>
      <c r="AM276" s="65">
        <v>6.5</v>
      </c>
      <c r="AN276" s="65">
        <v>6.5</v>
      </c>
      <c r="AO276" s="38">
        <v>0.24</v>
      </c>
      <c r="AP276" s="70">
        <v>0.33</v>
      </c>
      <c r="AQ276" s="73">
        <f t="shared" si="86"/>
        <v>2243</v>
      </c>
      <c r="AR276" s="75">
        <f t="shared" si="87"/>
        <v>0.7182345073562193</v>
      </c>
      <c r="AS276" s="75">
        <f t="shared" si="88"/>
        <v>4.1462327240303166E-2</v>
      </c>
      <c r="AT276" s="75">
        <f t="shared" si="89"/>
        <v>0.24030316540347749</v>
      </c>
      <c r="AU276" s="26">
        <f t="shared" si="90"/>
        <v>6.0823327615780451E-2</v>
      </c>
      <c r="AV276" s="26">
        <f t="shared" si="91"/>
        <v>7.8593481989708405E-2</v>
      </c>
      <c r="AW276" s="24">
        <f t="shared" si="92"/>
        <v>0.91450777202072542</v>
      </c>
      <c r="AX276" s="24">
        <f t="shared" si="93"/>
        <v>0.88341968911917101</v>
      </c>
      <c r="AY276" s="77" t="str">
        <f t="shared" si="94"/>
        <v>5,0 ≤ Alc. Bruta &lt; 7,5 mg/L</v>
      </c>
      <c r="AZ276" s="77" t="str">
        <f t="shared" si="95"/>
        <v>15 ≤ Cor &lt; 30 uC</v>
      </c>
      <c r="BA276" s="78" t="str">
        <f t="shared" si="96"/>
        <v>2,5 ≤ Turb &lt; 5,0 uT</v>
      </c>
      <c r="BB276" s="79" t="str">
        <f t="shared" si="97"/>
        <v>TOR &gt; BNN &gt; SM</v>
      </c>
      <c r="BC276" s="78" t="str">
        <f t="shared" si="98"/>
        <v>Tipo 2 (0,25-0,50) uT</v>
      </c>
      <c r="BD276" s="78" t="str">
        <f t="shared" si="99"/>
        <v>Tipo 1 (≤0,25) uT</v>
      </c>
      <c r="BE276" s="78" t="str">
        <f t="shared" si="100"/>
        <v>Tipo 2 (0,25-0,50) uT</v>
      </c>
      <c r="BF276" s="78" t="str">
        <f t="shared" si="101"/>
        <v>Tipo 2 (0,25-0,50) uT</v>
      </c>
      <c r="BG276" s="78" t="str">
        <f t="shared" si="102"/>
        <v>Tipo 2 (0,25-0,50) uT</v>
      </c>
    </row>
    <row r="277" spans="1:59" x14ac:dyDescent="0.2">
      <c r="A277" s="21">
        <v>46156</v>
      </c>
      <c r="B277" s="48">
        <v>0.39583333333333331</v>
      </c>
      <c r="C277" s="57">
        <v>1738</v>
      </c>
      <c r="D277" s="57">
        <v>93</v>
      </c>
      <c r="E277" s="57">
        <v>0</v>
      </c>
      <c r="F277" s="57">
        <v>1804</v>
      </c>
      <c r="G277" s="10" t="s">
        <v>78</v>
      </c>
      <c r="H277" s="63">
        <v>5.6</v>
      </c>
      <c r="I277" s="57">
        <v>90</v>
      </c>
      <c r="J277" s="57">
        <v>90</v>
      </c>
      <c r="K277" s="57">
        <v>90</v>
      </c>
      <c r="L277" s="63">
        <v>25.5</v>
      </c>
      <c r="M277" s="63">
        <v>6.7</v>
      </c>
      <c r="N277" s="36">
        <v>3.21</v>
      </c>
      <c r="O277" s="57">
        <v>15</v>
      </c>
      <c r="P277" s="63">
        <v>5.0999999999999996</v>
      </c>
      <c r="Q277" s="36">
        <v>0.28000000000000003</v>
      </c>
      <c r="R277" s="36">
        <v>22.36</v>
      </c>
      <c r="S277" s="36">
        <v>0.88</v>
      </c>
      <c r="T277" s="36">
        <v>0.7</v>
      </c>
      <c r="U277" s="42">
        <f t="shared" si="80"/>
        <v>1159.07</v>
      </c>
      <c r="V277" s="36">
        <f t="shared" si="81"/>
        <v>1450.2688223191999</v>
      </c>
      <c r="W277" s="36">
        <f t="shared" si="82"/>
        <v>1.2512348885910256</v>
      </c>
      <c r="X277" s="57">
        <v>2</v>
      </c>
      <c r="Y277" s="57">
        <v>4</v>
      </c>
      <c r="Z277" s="63">
        <v>6.53</v>
      </c>
      <c r="AA277" s="57">
        <v>17.86</v>
      </c>
      <c r="AB277" s="63">
        <v>6.5</v>
      </c>
      <c r="AC277" s="63">
        <v>5.4</v>
      </c>
      <c r="AD277" s="10">
        <v>0.52</v>
      </c>
      <c r="AE277" s="36">
        <v>0.48</v>
      </c>
      <c r="AF277" s="42">
        <f t="shared" si="83"/>
        <v>1545.4266666666667</v>
      </c>
      <c r="AG277" s="42">
        <f t="shared" si="84"/>
        <v>1816.9809445891995</v>
      </c>
      <c r="AH277" s="42">
        <f t="shared" si="85"/>
        <v>1.1757147613534122</v>
      </c>
      <c r="AI277" s="57">
        <v>2</v>
      </c>
      <c r="AJ277" s="57">
        <v>3</v>
      </c>
      <c r="AK277" s="36">
        <v>6.43</v>
      </c>
      <c r="AL277" s="36">
        <v>22.81</v>
      </c>
      <c r="AM277" s="63">
        <v>6.5</v>
      </c>
      <c r="AN277" s="63">
        <v>5.9</v>
      </c>
      <c r="AO277" s="36">
        <v>0.21</v>
      </c>
      <c r="AP277" s="68">
        <v>0.33</v>
      </c>
      <c r="AQ277" s="73">
        <f t="shared" si="86"/>
        <v>1831</v>
      </c>
      <c r="AR277" s="75">
        <f t="shared" si="87"/>
        <v>0.94920808301474602</v>
      </c>
      <c r="AS277" s="75">
        <f t="shared" si="88"/>
        <v>5.0791916985253961E-2</v>
      </c>
      <c r="AT277" s="75">
        <f t="shared" si="89"/>
        <v>0</v>
      </c>
      <c r="AU277" s="26">
        <f t="shared" si="90"/>
        <v>7.920177383592017E-2</v>
      </c>
      <c r="AV277" s="26">
        <f t="shared" si="91"/>
        <v>7.5864745011086462E-2</v>
      </c>
      <c r="AW277" s="24">
        <f t="shared" si="92"/>
        <v>0.89719626168224298</v>
      </c>
      <c r="AX277" s="24">
        <f t="shared" si="93"/>
        <v>0.85046728971962615</v>
      </c>
      <c r="AY277" s="77" t="str">
        <f t="shared" si="94"/>
        <v>5,0 ≤ Alc. Bruta &lt; 7,5 mg/L</v>
      </c>
      <c r="AZ277" s="77" t="str">
        <f t="shared" si="95"/>
        <v>15 ≤ Cor &lt; 30 uC</v>
      </c>
      <c r="BA277" s="78" t="str">
        <f t="shared" si="96"/>
        <v>2,5 ≤ Turb &lt; 5,0 uT</v>
      </c>
      <c r="BB277" s="79" t="str">
        <f t="shared" si="97"/>
        <v>TOR &gt; SM &gt; BNN</v>
      </c>
      <c r="BC277" s="78" t="str">
        <f t="shared" si="98"/>
        <v>Tipo 3 (0,50-0,75) uT</v>
      </c>
      <c r="BD277" s="78" t="str">
        <f t="shared" si="99"/>
        <v>Tipo 1 (≤0,25) uT</v>
      </c>
      <c r="BE277" s="78" t="str">
        <f t="shared" si="100"/>
        <v>Tipo 2 (0,25-0,50) uT</v>
      </c>
      <c r="BF277" s="78" t="str">
        <f t="shared" si="101"/>
        <v>Tipo 2 (0,25-0,50) uT</v>
      </c>
      <c r="BG277" s="78" t="str">
        <f t="shared" si="102"/>
        <v>Tipo 2 (0,25-0,50) uT</v>
      </c>
    </row>
    <row r="278" spans="1:59" x14ac:dyDescent="0.2">
      <c r="A278" s="21">
        <v>46156</v>
      </c>
      <c r="B278" s="48">
        <v>0.47916666666666669</v>
      </c>
      <c r="C278" s="57">
        <v>1644</v>
      </c>
      <c r="D278" s="57">
        <v>92</v>
      </c>
      <c r="E278" s="57">
        <v>0</v>
      </c>
      <c r="F278" s="57">
        <v>1769</v>
      </c>
      <c r="G278" s="10" t="s">
        <v>78</v>
      </c>
      <c r="H278" s="63">
        <v>5.6</v>
      </c>
      <c r="I278" s="57">
        <v>90</v>
      </c>
      <c r="J278" s="57">
        <v>90</v>
      </c>
      <c r="K278" s="57">
        <v>80</v>
      </c>
      <c r="L278" s="63">
        <v>24.3</v>
      </c>
      <c r="M278" s="63">
        <v>6.7</v>
      </c>
      <c r="N278" s="36">
        <v>3.55</v>
      </c>
      <c r="O278" s="57">
        <v>13</v>
      </c>
      <c r="P278" s="63">
        <v>5.6</v>
      </c>
      <c r="Q278" s="36">
        <v>0.68</v>
      </c>
      <c r="R278" s="36">
        <v>22.36</v>
      </c>
      <c r="S278" s="36">
        <v>0.88</v>
      </c>
      <c r="T278" s="36">
        <v>0.7</v>
      </c>
      <c r="U278" s="42">
        <f t="shared" si="80"/>
        <v>1211.7649999999999</v>
      </c>
      <c r="V278" s="36">
        <f t="shared" si="81"/>
        <v>1412.0398934252</v>
      </c>
      <c r="W278" s="36">
        <f t="shared" si="82"/>
        <v>1.1652753573714376</v>
      </c>
      <c r="X278" s="57">
        <v>2</v>
      </c>
      <c r="Y278" s="57">
        <v>4</v>
      </c>
      <c r="Z278" s="63">
        <v>6.47</v>
      </c>
      <c r="AA278" s="57">
        <v>17.59</v>
      </c>
      <c r="AB278" s="63">
        <v>6.1</v>
      </c>
      <c r="AC278" s="63">
        <v>5.5</v>
      </c>
      <c r="AD278" s="10">
        <v>0.31</v>
      </c>
      <c r="AE278" s="36">
        <v>0.45</v>
      </c>
      <c r="AF278" s="42">
        <f t="shared" si="83"/>
        <v>1615.6866666666665</v>
      </c>
      <c r="AG278" s="42">
        <f t="shared" si="84"/>
        <v>1776.885883188</v>
      </c>
      <c r="AH278" s="42">
        <f t="shared" si="85"/>
        <v>1.0997713355238021</v>
      </c>
      <c r="AI278" s="57">
        <v>2</v>
      </c>
      <c r="AJ278" s="57">
        <v>3</v>
      </c>
      <c r="AK278" s="36">
        <v>6.42</v>
      </c>
      <c r="AL278" s="36">
        <v>22.35</v>
      </c>
      <c r="AM278" s="63">
        <v>6.3</v>
      </c>
      <c r="AN278" s="63">
        <v>5.3</v>
      </c>
      <c r="AO278" s="36">
        <v>0.19</v>
      </c>
      <c r="AP278" s="68">
        <v>0.57999999999999996</v>
      </c>
      <c r="AQ278" s="73">
        <f t="shared" si="86"/>
        <v>1736</v>
      </c>
      <c r="AR278" s="75">
        <f t="shared" si="87"/>
        <v>0.94700460829493083</v>
      </c>
      <c r="AS278" s="75">
        <f t="shared" si="88"/>
        <v>5.2995391705069124E-2</v>
      </c>
      <c r="AT278" s="75">
        <f t="shared" si="89"/>
        <v>0</v>
      </c>
      <c r="AU278" s="26">
        <f t="shared" si="90"/>
        <v>7.9547767100056524E-2</v>
      </c>
      <c r="AV278" s="26">
        <f t="shared" si="91"/>
        <v>7.5805539853024323E-2</v>
      </c>
      <c r="AW278" s="24">
        <f t="shared" si="92"/>
        <v>0.83661971830985915</v>
      </c>
      <c r="AX278" s="24">
        <f t="shared" si="93"/>
        <v>0.87323943661971826</v>
      </c>
      <c r="AY278" s="77" t="str">
        <f t="shared" si="94"/>
        <v>5,0 ≤ Alc. Bruta &lt; 7,5 mg/L</v>
      </c>
      <c r="AZ278" s="77" t="str">
        <f t="shared" si="95"/>
        <v>10 ≤ Cor &lt;15 uC</v>
      </c>
      <c r="BA278" s="78" t="str">
        <f t="shared" si="96"/>
        <v>2,5 ≤ Turb &lt; 5,0 uT</v>
      </c>
      <c r="BB278" s="79" t="str">
        <f t="shared" si="97"/>
        <v>TOR &gt; SM &gt; BNN</v>
      </c>
      <c r="BC278" s="78" t="str">
        <f t="shared" si="98"/>
        <v>Tipo 2 (0,25-0,50) uT</v>
      </c>
      <c r="BD278" s="78" t="str">
        <f t="shared" si="99"/>
        <v>Tipo 1 (≤0,25) uT</v>
      </c>
      <c r="BE278" s="78" t="str">
        <f t="shared" si="100"/>
        <v>Tipo 2 (0,25-0,50) uT</v>
      </c>
      <c r="BF278" s="78" t="str">
        <f t="shared" si="101"/>
        <v>Tipo 3 (0,50-0,75) uT</v>
      </c>
      <c r="BG278" s="78" t="str">
        <f t="shared" si="102"/>
        <v>Tipo 3 (0,50-0,75) uT</v>
      </c>
    </row>
    <row r="279" spans="1:59" x14ac:dyDescent="0.2">
      <c r="A279" s="21">
        <v>46156</v>
      </c>
      <c r="B279" s="48">
        <v>0.64583333333333337</v>
      </c>
      <c r="C279" s="57">
        <v>1458</v>
      </c>
      <c r="D279" s="57">
        <v>685</v>
      </c>
      <c r="E279" s="57">
        <v>0</v>
      </c>
      <c r="F279" s="57">
        <v>2235</v>
      </c>
      <c r="G279" s="10" t="s">
        <v>34</v>
      </c>
      <c r="H279" s="63">
        <v>5.8</v>
      </c>
      <c r="I279" s="57">
        <v>90</v>
      </c>
      <c r="J279" s="57">
        <v>90</v>
      </c>
      <c r="K279" s="57">
        <v>90</v>
      </c>
      <c r="L279" s="63">
        <v>26.2</v>
      </c>
      <c r="M279" s="63">
        <v>6.7</v>
      </c>
      <c r="N279" s="36">
        <v>3.23</v>
      </c>
      <c r="O279" s="57">
        <v>13</v>
      </c>
      <c r="P279" s="63">
        <v>5.2</v>
      </c>
      <c r="Q279" s="36">
        <v>1.06</v>
      </c>
      <c r="R279" s="36">
        <v>22.36</v>
      </c>
      <c r="S279" s="36">
        <v>0.88</v>
      </c>
      <c r="T279" s="36">
        <v>0.7</v>
      </c>
      <c r="U279" s="42">
        <f t="shared" si="80"/>
        <v>1458.3374999999999</v>
      </c>
      <c r="V279" s="36">
        <f t="shared" si="81"/>
        <v>1432.3028704399999</v>
      </c>
      <c r="W279" s="36">
        <f t="shared" si="82"/>
        <v>0.98214773359390406</v>
      </c>
      <c r="X279" s="57">
        <v>3</v>
      </c>
      <c r="Y279" s="57">
        <v>4</v>
      </c>
      <c r="Z279" s="63">
        <v>6.5</v>
      </c>
      <c r="AA279" s="57">
        <v>17.739999999999998</v>
      </c>
      <c r="AB279" s="63">
        <v>6.8</v>
      </c>
      <c r="AC279" s="63">
        <v>5.5</v>
      </c>
      <c r="AD279" s="10">
        <v>0.45</v>
      </c>
      <c r="AE279" s="36">
        <v>1.1100000000000001</v>
      </c>
      <c r="AF279" s="42">
        <f t="shared" si="83"/>
        <v>1458.3374999999999</v>
      </c>
      <c r="AG279" s="42">
        <f t="shared" si="84"/>
        <v>1813.3217004032001</v>
      </c>
      <c r="AH279" s="42">
        <f t="shared" si="85"/>
        <v>1.2434170419420747</v>
      </c>
      <c r="AI279" s="57">
        <v>3</v>
      </c>
      <c r="AJ279" s="57">
        <v>4</v>
      </c>
      <c r="AK279" s="36">
        <v>6.44</v>
      </c>
      <c r="AL279" s="36">
        <v>22.72</v>
      </c>
      <c r="AM279" s="63">
        <v>6.5</v>
      </c>
      <c r="AN279" s="63">
        <v>5.2</v>
      </c>
      <c r="AO279" s="36">
        <v>0.56999999999999995</v>
      </c>
      <c r="AP279" s="68">
        <v>0.73</v>
      </c>
      <c r="AQ279" s="73">
        <f t="shared" si="86"/>
        <v>2143</v>
      </c>
      <c r="AR279" s="75">
        <f t="shared" si="87"/>
        <v>0.68035464302379844</v>
      </c>
      <c r="AS279" s="75">
        <f t="shared" si="88"/>
        <v>0.31964535697620161</v>
      </c>
      <c r="AT279" s="75">
        <f t="shared" si="89"/>
        <v>0</v>
      </c>
      <c r="AU279" s="26">
        <f t="shared" si="90"/>
        <v>6.3498881431767337E-2</v>
      </c>
      <c r="AV279" s="26">
        <f t="shared" si="91"/>
        <v>8.1324384787472032E-2</v>
      </c>
      <c r="AW279" s="24">
        <f t="shared" si="92"/>
        <v>0.77399380804953566</v>
      </c>
      <c r="AX279" s="24">
        <f t="shared" si="93"/>
        <v>0.65634674922600622</v>
      </c>
      <c r="AY279" s="77" t="str">
        <f t="shared" si="94"/>
        <v>5,0 ≤ Alc. Bruta &lt; 7,5 mg/L</v>
      </c>
      <c r="AZ279" s="77" t="str">
        <f t="shared" si="95"/>
        <v>10 ≤ Cor &lt;15 uC</v>
      </c>
      <c r="BA279" s="78" t="str">
        <f t="shared" si="96"/>
        <v>2,5 ≤ Turb &lt; 5,0 uT</v>
      </c>
      <c r="BB279" s="79" t="str">
        <f t="shared" si="97"/>
        <v>TOR &gt; SM &gt; BNN</v>
      </c>
      <c r="BC279" s="78" t="str">
        <f t="shared" si="98"/>
        <v>Tipo 2 (0,25-0,50) uT</v>
      </c>
      <c r="BD279" s="78" t="str">
        <f t="shared" si="99"/>
        <v>Tipo 3 (0,50-0,75) uT</v>
      </c>
      <c r="BE279" s="78" t="str">
        <f t="shared" si="100"/>
        <v>Tipo 4 (&gt;0,75) uT</v>
      </c>
      <c r="BF279" s="78" t="str">
        <f t="shared" si="101"/>
        <v>Tipo 3 (0,50-0,75) uT</v>
      </c>
      <c r="BG279" s="78" t="str">
        <f t="shared" si="102"/>
        <v>Tipo 4 (&gt;0,75) uT</v>
      </c>
    </row>
    <row r="280" spans="1:59" x14ac:dyDescent="0.2">
      <c r="A280" s="21">
        <v>46156</v>
      </c>
      <c r="B280" s="48">
        <v>0.72916666666666663</v>
      </c>
      <c r="C280" s="57">
        <v>1543</v>
      </c>
      <c r="D280" s="57">
        <v>698</v>
      </c>
      <c r="E280" s="57">
        <v>0</v>
      </c>
      <c r="F280" s="57">
        <v>2378</v>
      </c>
      <c r="G280" s="10" t="s">
        <v>34</v>
      </c>
      <c r="H280" s="63">
        <v>5.8</v>
      </c>
      <c r="I280" s="57">
        <v>90</v>
      </c>
      <c r="J280" s="57">
        <v>90</v>
      </c>
      <c r="K280" s="57">
        <v>90</v>
      </c>
      <c r="L280" s="63">
        <v>26.2</v>
      </c>
      <c r="M280" s="63">
        <v>6.7</v>
      </c>
      <c r="N280" s="36">
        <v>3.23</v>
      </c>
      <c r="O280" s="57">
        <v>18</v>
      </c>
      <c r="P280" s="63">
        <v>5.6</v>
      </c>
      <c r="Q280" s="36">
        <v>1.38</v>
      </c>
      <c r="R280" s="36">
        <v>22.36</v>
      </c>
      <c r="S280" s="36">
        <v>0.88</v>
      </c>
      <c r="T280" s="36">
        <v>0.7</v>
      </c>
      <c r="U280" s="42">
        <f t="shared" si="80"/>
        <v>1551.645</v>
      </c>
      <c r="V280" s="36">
        <f t="shared" si="81"/>
        <v>1440.8440791887997</v>
      </c>
      <c r="W280" s="36">
        <f t="shared" si="82"/>
        <v>0.92859132030122848</v>
      </c>
      <c r="X280" s="57">
        <v>3</v>
      </c>
      <c r="Y280" s="57">
        <v>4</v>
      </c>
      <c r="Z280" s="63">
        <v>6.49</v>
      </c>
      <c r="AA280" s="57">
        <v>17.88</v>
      </c>
      <c r="AB280" s="63">
        <v>6.7</v>
      </c>
      <c r="AC280" s="63">
        <v>5.2</v>
      </c>
      <c r="AD280" s="10">
        <v>0.71</v>
      </c>
      <c r="AE280" s="36">
        <v>1.65</v>
      </c>
      <c r="AF280" s="42">
        <f t="shared" si="83"/>
        <v>1551.645</v>
      </c>
      <c r="AG280" s="42">
        <f t="shared" si="84"/>
        <v>1787.7158210652003</v>
      </c>
      <c r="AH280" s="42">
        <f t="shared" si="85"/>
        <v>1.1521422883876147</v>
      </c>
      <c r="AI280" s="57">
        <v>3</v>
      </c>
      <c r="AJ280" s="57">
        <v>4</v>
      </c>
      <c r="AK280" s="36">
        <v>6.41</v>
      </c>
      <c r="AL280" s="36">
        <v>22.53</v>
      </c>
      <c r="AM280" s="63">
        <v>6.6</v>
      </c>
      <c r="AN280" s="63">
        <v>5.0999999999999996</v>
      </c>
      <c r="AO280" s="36">
        <v>0.53</v>
      </c>
      <c r="AP280" s="68">
        <v>1.07</v>
      </c>
      <c r="AQ280" s="73">
        <f t="shared" si="86"/>
        <v>2241</v>
      </c>
      <c r="AR280" s="75">
        <f t="shared" si="87"/>
        <v>0.68853190539937525</v>
      </c>
      <c r="AS280" s="75">
        <f t="shared" si="88"/>
        <v>0.31146809460062475</v>
      </c>
      <c r="AT280" s="75">
        <f t="shared" si="89"/>
        <v>0</v>
      </c>
      <c r="AU280" s="26">
        <f t="shared" si="90"/>
        <v>6.0151387720773754E-2</v>
      </c>
      <c r="AV280" s="26">
        <f t="shared" si="91"/>
        <v>7.5794785534062242E-2</v>
      </c>
      <c r="AW280" s="24">
        <f t="shared" si="92"/>
        <v>0.66873065015479871</v>
      </c>
      <c r="AX280" s="24">
        <f t="shared" si="93"/>
        <v>0.48916408668730649</v>
      </c>
      <c r="AY280" s="77" t="str">
        <f t="shared" si="94"/>
        <v>5,0 ≤ Alc. Bruta &lt; 7,5 mg/L</v>
      </c>
      <c r="AZ280" s="77" t="str">
        <f t="shared" si="95"/>
        <v>15 ≤ Cor &lt; 30 uC</v>
      </c>
      <c r="BA280" s="78" t="str">
        <f t="shared" si="96"/>
        <v>2,5 ≤ Turb &lt; 5,0 uT</v>
      </c>
      <c r="BB280" s="79" t="str">
        <f t="shared" si="97"/>
        <v>TOR &gt; SM &gt; BNN</v>
      </c>
      <c r="BC280" s="78" t="str">
        <f t="shared" si="98"/>
        <v>Tipo 3 (0,50-0,75) uT</v>
      </c>
      <c r="BD280" s="78" t="str">
        <f t="shared" si="99"/>
        <v>Tipo 3 (0,50-0,75) uT</v>
      </c>
      <c r="BE280" s="78" t="str">
        <f t="shared" si="100"/>
        <v>Tipo 4 (&gt;0,75) uT</v>
      </c>
      <c r="BF280" s="78" t="str">
        <f t="shared" si="101"/>
        <v>Tipo 4 (&gt;0,75) uT</v>
      </c>
      <c r="BG280" s="78" t="str">
        <f t="shared" si="102"/>
        <v>Tipo 4 (&gt;0,75) uT</v>
      </c>
    </row>
    <row r="281" spans="1:59" x14ac:dyDescent="0.2">
      <c r="A281" s="21">
        <v>46156</v>
      </c>
      <c r="B281" s="48">
        <v>0.8125</v>
      </c>
      <c r="C281" s="57">
        <v>1746</v>
      </c>
      <c r="D281" s="57">
        <v>96</v>
      </c>
      <c r="E281" s="57">
        <v>0</v>
      </c>
      <c r="F281" s="57">
        <v>1914</v>
      </c>
      <c r="G281" s="10" t="s">
        <v>34</v>
      </c>
      <c r="H281" s="63">
        <v>5.8</v>
      </c>
      <c r="I281" s="57">
        <v>90</v>
      </c>
      <c r="J281" s="57">
        <v>90</v>
      </c>
      <c r="K281" s="57">
        <v>90</v>
      </c>
      <c r="L281" s="63">
        <v>25.2</v>
      </c>
      <c r="M281" s="63">
        <v>6.5</v>
      </c>
      <c r="N281" s="36">
        <v>3.06</v>
      </c>
      <c r="O281" s="57">
        <v>17</v>
      </c>
      <c r="P281" s="63">
        <v>5</v>
      </c>
      <c r="Q281" s="36">
        <v>2.39</v>
      </c>
      <c r="R281" s="36">
        <v>22.36</v>
      </c>
      <c r="S281" s="36">
        <v>0.88</v>
      </c>
      <c r="T281" s="36">
        <v>0.7</v>
      </c>
      <c r="U281" s="42">
        <f t="shared" si="80"/>
        <v>1208.2124999999999</v>
      </c>
      <c r="V281" s="36">
        <f t="shared" si="81"/>
        <v>1450.1840372239997</v>
      </c>
      <c r="W281" s="36">
        <f t="shared" si="82"/>
        <v>1.200272333901528</v>
      </c>
      <c r="X281" s="57">
        <v>2</v>
      </c>
      <c r="Y281" s="57">
        <v>4</v>
      </c>
      <c r="Z281" s="63">
        <v>6.46</v>
      </c>
      <c r="AA281" s="57">
        <v>18.100000000000001</v>
      </c>
      <c r="AB281" s="63">
        <v>6.6</v>
      </c>
      <c r="AC281" s="63">
        <v>4.3</v>
      </c>
      <c r="AD281" s="10">
        <v>2.78</v>
      </c>
      <c r="AE281" s="36">
        <v>2.23</v>
      </c>
      <c r="AF281" s="42">
        <f t="shared" si="83"/>
        <v>1610.95</v>
      </c>
      <c r="AG281" s="42">
        <f t="shared" si="84"/>
        <v>1913.0860384324001</v>
      </c>
      <c r="AH281" s="42">
        <f t="shared" si="85"/>
        <v>1.1875514686566311</v>
      </c>
      <c r="AI281" s="57">
        <v>2</v>
      </c>
      <c r="AJ281" s="57">
        <v>3</v>
      </c>
      <c r="AK281" s="36">
        <v>6.41</v>
      </c>
      <c r="AL281" s="36">
        <v>24.11</v>
      </c>
      <c r="AM281" s="63">
        <v>6.7</v>
      </c>
      <c r="AN281" s="63">
        <v>4.2</v>
      </c>
      <c r="AO281" s="36">
        <v>0.85</v>
      </c>
      <c r="AP281" s="68">
        <v>1.65</v>
      </c>
      <c r="AQ281" s="73">
        <f t="shared" si="86"/>
        <v>1842</v>
      </c>
      <c r="AR281" s="75">
        <f t="shared" si="87"/>
        <v>0.94788273615635177</v>
      </c>
      <c r="AS281" s="75">
        <f t="shared" si="88"/>
        <v>5.2117263843648211E-2</v>
      </c>
      <c r="AT281" s="75">
        <f t="shared" si="89"/>
        <v>0</v>
      </c>
      <c r="AU281" s="26">
        <f t="shared" si="90"/>
        <v>7.5653082549634279E-2</v>
      </c>
      <c r="AV281" s="26">
        <f t="shared" si="91"/>
        <v>7.5579937304075237E-2</v>
      </c>
      <c r="AW281" s="24">
        <f t="shared" si="92"/>
        <v>0.46078431372549022</v>
      </c>
      <c r="AX281" s="24">
        <f t="shared" si="93"/>
        <v>0.27124183006535951</v>
      </c>
      <c r="AY281" s="77" t="str">
        <f t="shared" si="94"/>
        <v>5,0 ≤ Alc. Bruta &lt; 7,5 mg/L</v>
      </c>
      <c r="AZ281" s="77" t="str">
        <f t="shared" si="95"/>
        <v>15 ≤ Cor &lt; 30 uC</v>
      </c>
      <c r="BA281" s="78" t="str">
        <f t="shared" si="96"/>
        <v>2,5 ≤ Turb &lt; 5,0 uT</v>
      </c>
      <c r="BB281" s="79" t="str">
        <f t="shared" si="97"/>
        <v>TOR &gt; SM &gt; BNN</v>
      </c>
      <c r="BC281" s="78" t="str">
        <f t="shared" si="98"/>
        <v>Tipo 4 (&gt;0,75) uT</v>
      </c>
      <c r="BD281" s="78" t="str">
        <f t="shared" si="99"/>
        <v>Tipo 4 (&gt;0,75) uT</v>
      </c>
      <c r="BE281" s="78" t="str">
        <f t="shared" si="100"/>
        <v>Tipo 4 (&gt;0,75) uT</v>
      </c>
      <c r="BF281" s="78" t="str">
        <f t="shared" si="101"/>
        <v>Tipo 4 (&gt;0,75) uT</v>
      </c>
      <c r="BG281" s="78" t="str">
        <f t="shared" si="102"/>
        <v>Tipo 4 (&gt;0,75) uT</v>
      </c>
    </row>
    <row r="282" spans="1:59" x14ac:dyDescent="0.2">
      <c r="A282" s="21">
        <v>46156</v>
      </c>
      <c r="B282" s="48">
        <v>0.89583333333333337</v>
      </c>
      <c r="C282" s="57">
        <v>1734</v>
      </c>
      <c r="D282" s="57">
        <v>87</v>
      </c>
      <c r="E282" s="57">
        <v>0</v>
      </c>
      <c r="F282" s="57">
        <v>1822</v>
      </c>
      <c r="G282" s="10" t="s">
        <v>34</v>
      </c>
      <c r="H282" s="63">
        <v>6.5</v>
      </c>
      <c r="I282" s="57">
        <v>90</v>
      </c>
      <c r="J282" s="57">
        <v>90</v>
      </c>
      <c r="K282" s="57">
        <v>90</v>
      </c>
      <c r="L282" s="63">
        <v>24.8</v>
      </c>
      <c r="M282" s="63">
        <v>6.7</v>
      </c>
      <c r="N282" s="36">
        <v>3.98</v>
      </c>
      <c r="O282" s="57">
        <v>21</v>
      </c>
      <c r="P282" s="63">
        <v>3.2</v>
      </c>
      <c r="Q282" s="36">
        <v>0.96</v>
      </c>
      <c r="R282" s="36">
        <v>22.36</v>
      </c>
      <c r="S282" s="36">
        <v>0.88</v>
      </c>
      <c r="T282" s="36">
        <v>0.7</v>
      </c>
      <c r="U282" s="42">
        <f t="shared" si="80"/>
        <v>1407.4949999999999</v>
      </c>
      <c r="V282" s="36">
        <f t="shared" si="81"/>
        <v>1461.812762176</v>
      </c>
      <c r="W282" s="36">
        <f t="shared" si="82"/>
        <v>1.0385917976092278</v>
      </c>
      <c r="X282" s="57">
        <v>2</v>
      </c>
      <c r="Y282" s="57">
        <v>4</v>
      </c>
      <c r="Z282" s="63">
        <v>6.56</v>
      </c>
      <c r="AA282" s="57">
        <v>17.899999999999999</v>
      </c>
      <c r="AB282" s="63">
        <v>6.3</v>
      </c>
      <c r="AC282" s="63">
        <v>2.8</v>
      </c>
      <c r="AD282" s="10">
        <v>0.11</v>
      </c>
      <c r="AE282" s="36">
        <v>0.92</v>
      </c>
      <c r="AF282" s="42">
        <f t="shared" si="83"/>
        <v>1876.66</v>
      </c>
      <c r="AG282" s="42">
        <f t="shared" si="84"/>
        <v>1846.3284564400001</v>
      </c>
      <c r="AH282" s="42">
        <f t="shared" si="85"/>
        <v>0.98383748598041199</v>
      </c>
      <c r="AI282" s="57">
        <v>2</v>
      </c>
      <c r="AJ282" s="57">
        <v>3</v>
      </c>
      <c r="AK282" s="36">
        <v>6.47</v>
      </c>
      <c r="AL282" s="36">
        <v>23</v>
      </c>
      <c r="AM282" s="63">
        <v>6.3</v>
      </c>
      <c r="AN282" s="63">
        <v>2.7</v>
      </c>
      <c r="AO282" s="36">
        <v>0.15</v>
      </c>
      <c r="AP282" s="68">
        <v>0.94</v>
      </c>
      <c r="AQ282" s="73">
        <f t="shared" si="86"/>
        <v>1821</v>
      </c>
      <c r="AR282" s="75">
        <f t="shared" si="87"/>
        <v>0.9522240527182867</v>
      </c>
      <c r="AS282" s="75">
        <f t="shared" si="88"/>
        <v>4.7775947281713346E-2</v>
      </c>
      <c r="AT282" s="75">
        <f t="shared" si="89"/>
        <v>0</v>
      </c>
      <c r="AU282" s="26">
        <f t="shared" si="90"/>
        <v>7.8594950603732158E-2</v>
      </c>
      <c r="AV282" s="26">
        <f t="shared" si="91"/>
        <v>7.5740944017563108E-2</v>
      </c>
      <c r="AW282" s="24">
        <f t="shared" si="92"/>
        <v>0.76381909547738691</v>
      </c>
      <c r="AX282" s="24">
        <f t="shared" si="93"/>
        <v>0.76884422110552764</v>
      </c>
      <c r="AY282" s="77" t="str">
        <f t="shared" si="94"/>
        <v>2,5 ≤ Alc. Bruta &lt; 5,0 mg/L</v>
      </c>
      <c r="AZ282" s="77" t="str">
        <f t="shared" si="95"/>
        <v>15 ≤ Cor &lt; 30 uC</v>
      </c>
      <c r="BA282" s="78" t="str">
        <f t="shared" si="96"/>
        <v>2,5 ≤ Turb &lt; 5,0 uT</v>
      </c>
      <c r="BB282" s="79" t="str">
        <f t="shared" si="97"/>
        <v>TOR &gt; SM &gt; BNN</v>
      </c>
      <c r="BC282" s="78" t="str">
        <f t="shared" si="98"/>
        <v>Tipo 1 (≤0,25) uT</v>
      </c>
      <c r="BD282" s="78" t="str">
        <f t="shared" si="99"/>
        <v>Tipo 1 (≤0,25) uT</v>
      </c>
      <c r="BE282" s="78" t="str">
        <f t="shared" si="100"/>
        <v>Tipo 4 (&gt;0,75) uT</v>
      </c>
      <c r="BF282" s="78" t="str">
        <f t="shared" si="101"/>
        <v>Tipo 4 (&gt;0,75) uT</v>
      </c>
      <c r="BG282" s="78" t="str">
        <f t="shared" si="102"/>
        <v>Tipo 4 (&gt;0,75) uT</v>
      </c>
    </row>
    <row r="283" spans="1:59" x14ac:dyDescent="0.2">
      <c r="A283" s="21">
        <v>46157</v>
      </c>
      <c r="B283" s="48">
        <v>6.25E-2</v>
      </c>
      <c r="C283" s="57">
        <v>1438</v>
      </c>
      <c r="D283" s="57">
        <v>782</v>
      </c>
      <c r="E283" s="57">
        <v>0</v>
      </c>
      <c r="F283" s="57">
        <v>2252</v>
      </c>
      <c r="G283" s="10" t="s">
        <v>34</v>
      </c>
      <c r="H283" s="63">
        <v>6.2</v>
      </c>
      <c r="I283" s="57">
        <v>90</v>
      </c>
      <c r="J283" s="57">
        <v>90</v>
      </c>
      <c r="K283" s="57">
        <v>90</v>
      </c>
      <c r="L283" s="63">
        <v>24.5</v>
      </c>
      <c r="M283" s="63">
        <v>6.7</v>
      </c>
      <c r="N283" s="36">
        <v>3.42</v>
      </c>
      <c r="O283" s="57">
        <v>17</v>
      </c>
      <c r="P283" s="63">
        <v>5.4</v>
      </c>
      <c r="Q283" s="36">
        <v>0.61</v>
      </c>
      <c r="R283" s="36">
        <v>22.36</v>
      </c>
      <c r="S283" s="36">
        <v>0.88</v>
      </c>
      <c r="T283" s="36">
        <v>0.7</v>
      </c>
      <c r="U283" s="42">
        <f t="shared" si="80"/>
        <v>1556.6949999999997</v>
      </c>
      <c r="V283" s="36">
        <f t="shared" si="81"/>
        <v>1447.5097159327995</v>
      </c>
      <c r="W283" s="36">
        <f t="shared" si="82"/>
        <v>0.92986083717928036</v>
      </c>
      <c r="X283" s="57">
        <v>3</v>
      </c>
      <c r="Y283" s="57">
        <v>4</v>
      </c>
      <c r="Z283" s="63">
        <v>6.52</v>
      </c>
      <c r="AA283" s="57">
        <v>17.86</v>
      </c>
      <c r="AB283" s="63">
        <v>6.5</v>
      </c>
      <c r="AC283" s="63">
        <v>4.2</v>
      </c>
      <c r="AD283" s="10">
        <v>0.65</v>
      </c>
      <c r="AE283" s="36">
        <v>0.8</v>
      </c>
      <c r="AF283" s="42">
        <f t="shared" si="83"/>
        <v>1556.6949999999997</v>
      </c>
      <c r="AG283" s="42">
        <f t="shared" si="84"/>
        <v>1819.8173541911999</v>
      </c>
      <c r="AH283" s="42">
        <f t="shared" si="85"/>
        <v>1.1690262730921601</v>
      </c>
      <c r="AI283" s="57">
        <v>3</v>
      </c>
      <c r="AJ283" s="57">
        <v>4</v>
      </c>
      <c r="AK283" s="36">
        <v>6.42</v>
      </c>
      <c r="AL283" s="36">
        <v>22.89</v>
      </c>
      <c r="AM283" s="63">
        <v>6.4</v>
      </c>
      <c r="AN283" s="63">
        <v>4.2</v>
      </c>
      <c r="AO283" s="36">
        <v>0.3</v>
      </c>
      <c r="AP283" s="68">
        <v>0.5</v>
      </c>
      <c r="AQ283" s="73">
        <f t="shared" si="86"/>
        <v>2220</v>
      </c>
      <c r="AR283" s="75">
        <f t="shared" si="87"/>
        <v>0.64774774774774779</v>
      </c>
      <c r="AS283" s="75">
        <f t="shared" si="88"/>
        <v>0.35225225225225226</v>
      </c>
      <c r="AT283" s="75">
        <f t="shared" si="89"/>
        <v>0</v>
      </c>
      <c r="AU283" s="26">
        <f t="shared" si="90"/>
        <v>6.3445825932504432E-2</v>
      </c>
      <c r="AV283" s="26">
        <f t="shared" si="91"/>
        <v>8.1314387211367675E-2</v>
      </c>
      <c r="AW283" s="24">
        <f t="shared" si="92"/>
        <v>0.85380116959064334</v>
      </c>
      <c r="AX283" s="24">
        <f t="shared" si="93"/>
        <v>0.76608187134502925</v>
      </c>
      <c r="AY283" s="77" t="str">
        <f t="shared" si="94"/>
        <v>5,0 ≤ Alc. Bruta &lt; 7,5 mg/L</v>
      </c>
      <c r="AZ283" s="77" t="str">
        <f t="shared" si="95"/>
        <v>15 ≤ Cor &lt; 30 uC</v>
      </c>
      <c r="BA283" s="78" t="str">
        <f t="shared" si="96"/>
        <v>2,5 ≤ Turb &lt; 5,0 uT</v>
      </c>
      <c r="BB283" s="79" t="str">
        <f t="shared" si="97"/>
        <v>TOR &gt; SM &gt; BNN</v>
      </c>
      <c r="BC283" s="78" t="str">
        <f t="shared" si="98"/>
        <v>Tipo 3 (0,50-0,75) uT</v>
      </c>
      <c r="BD283" s="78" t="str">
        <f t="shared" si="99"/>
        <v>Tipo 2 (0,25-0,50) uT</v>
      </c>
      <c r="BE283" s="78" t="str">
        <f t="shared" si="100"/>
        <v>Tipo 4 (&gt;0,75) uT</v>
      </c>
      <c r="BF283" s="78" t="str">
        <f t="shared" si="101"/>
        <v>Tipo 2 (0,25-0,50) uT</v>
      </c>
      <c r="BG283" s="78" t="str">
        <f t="shared" si="102"/>
        <v>Tipo 3 (0,50-0,75) uT</v>
      </c>
    </row>
    <row r="284" spans="1:59" x14ac:dyDescent="0.2">
      <c r="A284" s="21">
        <v>46157</v>
      </c>
      <c r="B284" s="48">
        <v>0.14583333333333334</v>
      </c>
      <c r="C284" s="57">
        <v>1443</v>
      </c>
      <c r="D284" s="57">
        <v>775</v>
      </c>
      <c r="E284" s="57">
        <v>0</v>
      </c>
      <c r="F284" s="57">
        <v>2178</v>
      </c>
      <c r="G284" s="10" t="s">
        <v>34</v>
      </c>
      <c r="H284" s="63">
        <v>6.2</v>
      </c>
      <c r="I284" s="57">
        <v>90</v>
      </c>
      <c r="J284" s="57">
        <v>90</v>
      </c>
      <c r="K284" s="57">
        <v>90</v>
      </c>
      <c r="L284" s="63">
        <v>24.2</v>
      </c>
      <c r="M284" s="63">
        <v>6.6</v>
      </c>
      <c r="N284" s="36">
        <v>3.08</v>
      </c>
      <c r="O284" s="57">
        <v>16</v>
      </c>
      <c r="P284" s="63">
        <v>3.3</v>
      </c>
      <c r="Q284" s="36">
        <v>1</v>
      </c>
      <c r="R284" s="36">
        <v>22.36</v>
      </c>
      <c r="S284" s="36">
        <v>0.88</v>
      </c>
      <c r="T284" s="36">
        <v>0.7</v>
      </c>
      <c r="U284" s="42">
        <f t="shared" si="80"/>
        <v>1412.9775</v>
      </c>
      <c r="V284" s="36">
        <f t="shared" si="81"/>
        <v>1448.7952641083998</v>
      </c>
      <c r="W284" s="36">
        <f t="shared" si="82"/>
        <v>1.0253491397480849</v>
      </c>
      <c r="X284" s="57">
        <v>3</v>
      </c>
      <c r="Y284" s="57">
        <v>4</v>
      </c>
      <c r="Z284" s="63">
        <v>6.51</v>
      </c>
      <c r="AA284" s="57">
        <v>17.91</v>
      </c>
      <c r="AB284" s="63">
        <v>6.4</v>
      </c>
      <c r="AC284" s="63">
        <v>3</v>
      </c>
      <c r="AD284" s="10">
        <v>1.32</v>
      </c>
      <c r="AE284" s="36">
        <v>1.33</v>
      </c>
      <c r="AF284" s="42">
        <f t="shared" si="83"/>
        <v>1412.9775</v>
      </c>
      <c r="AG284" s="42">
        <f t="shared" si="84"/>
        <v>1829.2840393152003</v>
      </c>
      <c r="AH284" s="42">
        <f t="shared" si="85"/>
        <v>1.2946306925023225</v>
      </c>
      <c r="AI284" s="57">
        <v>3</v>
      </c>
      <c r="AJ284" s="57">
        <v>4</v>
      </c>
      <c r="AK284" s="36">
        <v>6.44</v>
      </c>
      <c r="AL284" s="36">
        <v>22.92</v>
      </c>
      <c r="AM284" s="63">
        <v>6.4</v>
      </c>
      <c r="AN284" s="63">
        <v>3</v>
      </c>
      <c r="AO284" s="36">
        <v>0.72</v>
      </c>
      <c r="AP284" s="68">
        <v>0.64</v>
      </c>
      <c r="AQ284" s="73">
        <f t="shared" si="86"/>
        <v>2218</v>
      </c>
      <c r="AR284" s="75">
        <f t="shared" si="87"/>
        <v>0.65058611361587015</v>
      </c>
      <c r="AS284" s="75">
        <f t="shared" si="88"/>
        <v>0.34941388638412985</v>
      </c>
      <c r="AT284" s="75">
        <f t="shared" si="89"/>
        <v>0</v>
      </c>
      <c r="AU284" s="26">
        <f t="shared" si="90"/>
        <v>6.5785123966942152E-2</v>
      </c>
      <c r="AV284" s="26">
        <f t="shared" si="91"/>
        <v>8.4187327823691468E-2</v>
      </c>
      <c r="AW284" s="24">
        <f t="shared" si="92"/>
        <v>0.79220779220779225</v>
      </c>
      <c r="AX284" s="24">
        <f t="shared" si="93"/>
        <v>0.56818181818181812</v>
      </c>
      <c r="AY284" s="77" t="str">
        <f t="shared" si="94"/>
        <v>2,5 ≤ Alc. Bruta &lt; 5,0 mg/L</v>
      </c>
      <c r="AZ284" s="77" t="str">
        <f t="shared" si="95"/>
        <v>15 ≤ Cor &lt; 30 uC</v>
      </c>
      <c r="BA284" s="78" t="str">
        <f t="shared" si="96"/>
        <v>2,5 ≤ Turb &lt; 5,0 uT</v>
      </c>
      <c r="BB284" s="79" t="str">
        <f t="shared" si="97"/>
        <v>TOR &gt; SM &gt; BNN</v>
      </c>
      <c r="BC284" s="78" t="str">
        <f t="shared" si="98"/>
        <v>Tipo 4 (&gt;0,75) uT</v>
      </c>
      <c r="BD284" s="78" t="str">
        <f t="shared" si="99"/>
        <v>Tipo 3 (0,50-0,75) uT</v>
      </c>
      <c r="BE284" s="78" t="str">
        <f t="shared" si="100"/>
        <v>Tipo 4 (&gt;0,75) uT</v>
      </c>
      <c r="BF284" s="78" t="str">
        <f t="shared" si="101"/>
        <v>Tipo 3 (0,50-0,75) uT</v>
      </c>
      <c r="BG284" s="78" t="str">
        <f t="shared" si="102"/>
        <v>Tipo 4 (&gt;0,75) uT</v>
      </c>
    </row>
    <row r="285" spans="1:59" ht="15.75" thickBot="1" x14ac:dyDescent="0.25">
      <c r="A285" s="21">
        <v>46157</v>
      </c>
      <c r="B285" s="51">
        <v>0.22916666666666666</v>
      </c>
      <c r="C285" s="58">
        <v>1750</v>
      </c>
      <c r="D285" s="58">
        <v>88</v>
      </c>
      <c r="E285" s="58">
        <v>0</v>
      </c>
      <c r="F285" s="58">
        <v>1873</v>
      </c>
      <c r="G285" s="11" t="s">
        <v>34</v>
      </c>
      <c r="H285" s="64">
        <v>6.5</v>
      </c>
      <c r="I285" s="58">
        <v>90</v>
      </c>
      <c r="J285" s="58">
        <v>90</v>
      </c>
      <c r="K285" s="58">
        <v>90</v>
      </c>
      <c r="L285" s="64">
        <v>24.1</v>
      </c>
      <c r="M285" s="64">
        <v>6.6</v>
      </c>
      <c r="N285" s="37">
        <v>3.09</v>
      </c>
      <c r="O285" s="58">
        <v>16</v>
      </c>
      <c r="P285" s="64">
        <v>3.7</v>
      </c>
      <c r="Q285" s="37">
        <v>1.98</v>
      </c>
      <c r="R285" s="36">
        <v>22.36</v>
      </c>
      <c r="S285" s="36">
        <v>0.88</v>
      </c>
      <c r="T285" s="36">
        <v>0.7</v>
      </c>
      <c r="U285" s="42">
        <f t="shared" si="80"/>
        <v>1651.3616666666667</v>
      </c>
      <c r="V285" s="36">
        <f t="shared" si="81"/>
        <v>1442.6468613439997</v>
      </c>
      <c r="W285" s="36">
        <f t="shared" si="82"/>
        <v>0.87361048186133239</v>
      </c>
      <c r="X285" s="58">
        <v>2</v>
      </c>
      <c r="Y285" s="58">
        <v>3</v>
      </c>
      <c r="Z285" s="64">
        <v>6.52</v>
      </c>
      <c r="AA285" s="58">
        <v>17.8</v>
      </c>
      <c r="AB285" s="64">
        <v>6.3</v>
      </c>
      <c r="AC285" s="64">
        <v>2.8</v>
      </c>
      <c r="AD285" s="11">
        <v>0.47</v>
      </c>
      <c r="AE285" s="37">
        <v>1.9</v>
      </c>
      <c r="AF285" s="42">
        <f t="shared" si="83"/>
        <v>1238.52125</v>
      </c>
      <c r="AG285" s="42">
        <f t="shared" si="84"/>
        <v>1842.7752959199995</v>
      </c>
      <c r="AH285" s="42">
        <f t="shared" si="85"/>
        <v>1.4878834706469506</v>
      </c>
      <c r="AI285" s="58">
        <v>2</v>
      </c>
      <c r="AJ285" s="58">
        <v>4</v>
      </c>
      <c r="AK285" s="37">
        <v>6.46</v>
      </c>
      <c r="AL285" s="37">
        <v>23</v>
      </c>
      <c r="AM285" s="64">
        <v>6.3</v>
      </c>
      <c r="AN285" s="64">
        <v>2.5</v>
      </c>
      <c r="AO285" s="37">
        <v>0.49</v>
      </c>
      <c r="AP285" s="69">
        <v>1.26</v>
      </c>
      <c r="AQ285" s="73">
        <f t="shared" si="86"/>
        <v>1838</v>
      </c>
      <c r="AR285" s="75">
        <f t="shared" si="87"/>
        <v>0.95212187159956474</v>
      </c>
      <c r="AS285" s="75">
        <f t="shared" si="88"/>
        <v>4.7878128400435253E-2</v>
      </c>
      <c r="AT285" s="75">
        <f t="shared" si="89"/>
        <v>0</v>
      </c>
      <c r="AU285" s="26">
        <f t="shared" si="90"/>
        <v>5.7020822210357716E-2</v>
      </c>
      <c r="AV285" s="26">
        <f t="shared" si="91"/>
        <v>9.8238120662039505E-2</v>
      </c>
      <c r="AW285" s="24">
        <f t="shared" si="92"/>
        <v>0.59223300970873782</v>
      </c>
      <c r="AX285" s="24">
        <f t="shared" si="93"/>
        <v>0.38511326860841422</v>
      </c>
      <c r="AY285" s="77" t="str">
        <f t="shared" si="94"/>
        <v>2,5 ≤ Alc. Bruta &lt; 5,0 mg/L</v>
      </c>
      <c r="AZ285" s="77" t="str">
        <f t="shared" si="95"/>
        <v>15 ≤ Cor &lt; 30 uC</v>
      </c>
      <c r="BA285" s="78" t="str">
        <f t="shared" si="96"/>
        <v>2,5 ≤ Turb &lt; 5,0 uT</v>
      </c>
      <c r="BB285" s="79" t="str">
        <f t="shared" si="97"/>
        <v>TOR &gt; SM &gt; BNN</v>
      </c>
      <c r="BC285" s="78" t="str">
        <f t="shared" si="98"/>
        <v>Tipo 2 (0,25-0,50) uT</v>
      </c>
      <c r="BD285" s="78" t="str">
        <f t="shared" si="99"/>
        <v>Tipo 2 (0,25-0,50) uT</v>
      </c>
      <c r="BE285" s="78" t="str">
        <f t="shared" si="100"/>
        <v>Tipo 4 (&gt;0,75) uT</v>
      </c>
      <c r="BF285" s="78" t="str">
        <f t="shared" si="101"/>
        <v>Tipo 4 (&gt;0,75) uT</v>
      </c>
      <c r="BG285" s="78" t="str">
        <f t="shared" si="102"/>
        <v>Tipo 4 (&gt;0,75) uT</v>
      </c>
    </row>
    <row r="286" spans="1:59" x14ac:dyDescent="0.2">
      <c r="A286" s="21">
        <v>46157</v>
      </c>
      <c r="B286" s="52">
        <v>0.3125</v>
      </c>
      <c r="C286" s="59">
        <v>1697</v>
      </c>
      <c r="D286" s="57">
        <v>88</v>
      </c>
      <c r="E286" s="59">
        <v>0</v>
      </c>
      <c r="F286" s="59">
        <v>1925</v>
      </c>
      <c r="G286" s="9" t="s">
        <v>34</v>
      </c>
      <c r="H286" s="65">
        <v>6.5</v>
      </c>
      <c r="I286" s="59">
        <v>90</v>
      </c>
      <c r="J286" s="59">
        <v>90</v>
      </c>
      <c r="K286" s="59">
        <v>90</v>
      </c>
      <c r="L286" s="65">
        <v>23.8</v>
      </c>
      <c r="M286" s="65">
        <v>6.6</v>
      </c>
      <c r="N286" s="38">
        <v>2.61</v>
      </c>
      <c r="O286" s="59">
        <v>14</v>
      </c>
      <c r="P286" s="65">
        <v>5.0999999999999996</v>
      </c>
      <c r="Q286" s="38">
        <v>1.66</v>
      </c>
      <c r="R286" s="36">
        <v>22.36</v>
      </c>
      <c r="S286" s="36">
        <v>0.88</v>
      </c>
      <c r="T286" s="36">
        <v>0.7</v>
      </c>
      <c r="U286" s="42">
        <f t="shared" si="80"/>
        <v>1543.208333333333</v>
      </c>
      <c r="V286" s="36">
        <f t="shared" si="81"/>
        <v>1534.0335140000002</v>
      </c>
      <c r="W286" s="36">
        <f t="shared" si="82"/>
        <v>0.9940547111267114</v>
      </c>
      <c r="X286" s="59">
        <v>2</v>
      </c>
      <c r="Y286" s="59">
        <v>3</v>
      </c>
      <c r="Z286" s="65">
        <v>6.5</v>
      </c>
      <c r="AA286" s="59">
        <v>19</v>
      </c>
      <c r="AB286" s="65">
        <v>6.5</v>
      </c>
      <c r="AC286" s="65">
        <v>5.5</v>
      </c>
      <c r="AD286" s="9">
        <v>0.36</v>
      </c>
      <c r="AE286" s="38">
        <v>1.1100000000000001</v>
      </c>
      <c r="AF286" s="42">
        <f t="shared" si="83"/>
        <v>1157.40625</v>
      </c>
      <c r="AG286" s="42">
        <f t="shared" si="84"/>
        <v>1759.2559555999999</v>
      </c>
      <c r="AH286" s="42">
        <f t="shared" si="85"/>
        <v>1.5199986656370654</v>
      </c>
      <c r="AI286" s="59">
        <v>2</v>
      </c>
      <c r="AJ286" s="59">
        <v>4</v>
      </c>
      <c r="AK286" s="38">
        <v>6.45</v>
      </c>
      <c r="AL286" s="38">
        <v>22</v>
      </c>
      <c r="AM286" s="65">
        <v>6.5</v>
      </c>
      <c r="AN286" s="65">
        <v>5.3</v>
      </c>
      <c r="AO286" s="38">
        <v>0.24</v>
      </c>
      <c r="AP286" s="70">
        <v>0.96</v>
      </c>
      <c r="AQ286" s="73">
        <f t="shared" si="86"/>
        <v>1785</v>
      </c>
      <c r="AR286" s="75">
        <f t="shared" si="87"/>
        <v>0.95070028011204477</v>
      </c>
      <c r="AS286" s="75">
        <f t="shared" si="88"/>
        <v>4.929971988795518E-2</v>
      </c>
      <c r="AT286" s="75">
        <f t="shared" si="89"/>
        <v>0</v>
      </c>
      <c r="AU286" s="26">
        <f t="shared" si="90"/>
        <v>5.9220779220779222E-2</v>
      </c>
      <c r="AV286" s="26">
        <f t="shared" si="91"/>
        <v>9.1428571428571428E-2</v>
      </c>
      <c r="AW286" s="24">
        <f t="shared" si="92"/>
        <v>0.63218390804597702</v>
      </c>
      <c r="AX286" s="24">
        <f t="shared" si="93"/>
        <v>0.57471264367816088</v>
      </c>
      <c r="AY286" s="77" t="str">
        <f t="shared" si="94"/>
        <v>5,0 ≤ Alc. Bruta &lt; 7,5 mg/L</v>
      </c>
      <c r="AZ286" s="77" t="str">
        <f t="shared" si="95"/>
        <v>10 ≤ Cor &lt;15 uC</v>
      </c>
      <c r="BA286" s="78" t="str">
        <f t="shared" si="96"/>
        <v>2,5 ≤ Turb &lt; 5,0 uT</v>
      </c>
      <c r="BB286" s="79" t="str">
        <f t="shared" si="97"/>
        <v>TOR &gt; SM &gt; BNN</v>
      </c>
      <c r="BC286" s="78" t="str">
        <f t="shared" si="98"/>
        <v>Tipo 2 (0,25-0,50) uT</v>
      </c>
      <c r="BD286" s="78" t="str">
        <f t="shared" si="99"/>
        <v>Tipo 1 (≤0,25) uT</v>
      </c>
      <c r="BE286" s="78" t="str">
        <f t="shared" si="100"/>
        <v>Tipo 4 (&gt;0,75) uT</v>
      </c>
      <c r="BF286" s="78" t="str">
        <f t="shared" si="101"/>
        <v>Tipo 4 (&gt;0,75) uT</v>
      </c>
      <c r="BG286" s="78" t="str">
        <f t="shared" si="102"/>
        <v>Tipo 4 (&gt;0,75) uT</v>
      </c>
    </row>
    <row r="287" spans="1:59" x14ac:dyDescent="0.2">
      <c r="A287" s="21">
        <v>46157</v>
      </c>
      <c r="B287" s="48">
        <v>0.39583333333333331</v>
      </c>
      <c r="C287" s="57">
        <v>1505</v>
      </c>
      <c r="D287" s="57">
        <v>92</v>
      </c>
      <c r="E287" s="57">
        <v>0</v>
      </c>
      <c r="F287" s="57">
        <v>1922</v>
      </c>
      <c r="G287" s="10" t="s">
        <v>34</v>
      </c>
      <c r="H287" s="63">
        <v>6</v>
      </c>
      <c r="I287" s="57">
        <v>90</v>
      </c>
      <c r="J287" s="57">
        <v>90</v>
      </c>
      <c r="K287" s="57">
        <v>90</v>
      </c>
      <c r="L287" s="63">
        <v>23.5</v>
      </c>
      <c r="M287" s="63">
        <v>6.6</v>
      </c>
      <c r="N287" s="36">
        <v>3.4</v>
      </c>
      <c r="O287" s="57">
        <v>19</v>
      </c>
      <c r="P287" s="63">
        <v>3.9</v>
      </c>
      <c r="Q287" s="36">
        <v>0.3</v>
      </c>
      <c r="R287" s="36">
        <v>22.36</v>
      </c>
      <c r="S287" s="36">
        <v>0.88</v>
      </c>
      <c r="T287" s="36">
        <v>0.7</v>
      </c>
      <c r="U287" s="42">
        <f t="shared" si="80"/>
        <v>1745.8166666666664</v>
      </c>
      <c r="V287" s="36">
        <f t="shared" si="81"/>
        <v>1525.2278553200001</v>
      </c>
      <c r="W287" s="36">
        <f t="shared" si="82"/>
        <v>0.87364720731653789</v>
      </c>
      <c r="X287" s="57">
        <v>2</v>
      </c>
      <c r="Y287" s="57">
        <v>3</v>
      </c>
      <c r="Z287" s="63">
        <v>6.47</v>
      </c>
      <c r="AA287" s="57">
        <v>19</v>
      </c>
      <c r="AB287" s="63">
        <v>6.4</v>
      </c>
      <c r="AC287" s="63">
        <v>3.7</v>
      </c>
      <c r="AD287" s="10">
        <v>0.28999999999999998</v>
      </c>
      <c r="AE287" s="36">
        <v>0.42</v>
      </c>
      <c r="AF287" s="42">
        <f t="shared" si="83"/>
        <v>1309.3624999999997</v>
      </c>
      <c r="AG287" s="42">
        <f t="shared" si="84"/>
        <v>1849.8816169599997</v>
      </c>
      <c r="AH287" s="42">
        <f t="shared" si="85"/>
        <v>1.412810903748962</v>
      </c>
      <c r="AI287" s="57">
        <v>2</v>
      </c>
      <c r="AJ287" s="57">
        <v>4</v>
      </c>
      <c r="AK287" s="36">
        <v>6.48</v>
      </c>
      <c r="AL287" s="36">
        <v>23</v>
      </c>
      <c r="AM287" s="63">
        <v>6.4</v>
      </c>
      <c r="AN287" s="63">
        <v>3.9</v>
      </c>
      <c r="AO287" s="36">
        <v>0.4</v>
      </c>
      <c r="AP287" s="68">
        <v>0.28000000000000003</v>
      </c>
      <c r="AQ287" s="73">
        <f t="shared" si="86"/>
        <v>1597</v>
      </c>
      <c r="AR287" s="75">
        <f t="shared" si="87"/>
        <v>0.94239198497182219</v>
      </c>
      <c r="AS287" s="75">
        <f t="shared" si="88"/>
        <v>5.7608015028177834E-2</v>
      </c>
      <c r="AT287" s="75">
        <f t="shared" si="89"/>
        <v>0</v>
      </c>
      <c r="AU287" s="26">
        <f t="shared" si="90"/>
        <v>5.9313215400624356E-2</v>
      </c>
      <c r="AV287" s="26">
        <f t="shared" si="91"/>
        <v>9.5733610822060347E-2</v>
      </c>
      <c r="AW287" s="24">
        <f t="shared" si="92"/>
        <v>0.91764705882352937</v>
      </c>
      <c r="AX287" s="24">
        <f t="shared" si="93"/>
        <v>0.87647058823529411</v>
      </c>
      <c r="AY287" s="77" t="str">
        <f t="shared" si="94"/>
        <v>2,5 ≤ Alc. Bruta &lt; 5,0 mg/L</v>
      </c>
      <c r="AZ287" s="77" t="str">
        <f t="shared" si="95"/>
        <v>15 ≤ Cor &lt; 30 uC</v>
      </c>
      <c r="BA287" s="78" t="str">
        <f t="shared" si="96"/>
        <v>2,5 ≤ Turb &lt; 5,0 uT</v>
      </c>
      <c r="BB287" s="79" t="str">
        <f t="shared" si="97"/>
        <v>TOR &gt; SM &gt; BNN</v>
      </c>
      <c r="BC287" s="78" t="str">
        <f t="shared" si="98"/>
        <v>Tipo 2 (0,25-0,50) uT</v>
      </c>
      <c r="BD287" s="78" t="str">
        <f t="shared" si="99"/>
        <v>Tipo 2 (0,25-0,50) uT</v>
      </c>
      <c r="BE287" s="78" t="str">
        <f t="shared" si="100"/>
        <v>Tipo 2 (0,25-0,50) uT</v>
      </c>
      <c r="BF287" s="78" t="str">
        <f t="shared" si="101"/>
        <v>Tipo 2 (0,25-0,50) uT</v>
      </c>
      <c r="BG287" s="78" t="str">
        <f t="shared" si="102"/>
        <v>Tipo 2 (0,25-0,50) uT</v>
      </c>
    </row>
    <row r="288" spans="1:59" x14ac:dyDescent="0.2">
      <c r="A288" s="21">
        <v>46157</v>
      </c>
      <c r="B288" s="48">
        <v>0.47916666666666669</v>
      </c>
      <c r="C288" s="57">
        <v>1546</v>
      </c>
      <c r="D288" s="57">
        <v>680</v>
      </c>
      <c r="E288" s="57">
        <v>0</v>
      </c>
      <c r="F288" s="57">
        <v>2340</v>
      </c>
      <c r="G288" s="10" t="s">
        <v>34</v>
      </c>
      <c r="H288" s="63">
        <v>5</v>
      </c>
      <c r="I288" s="57">
        <v>90</v>
      </c>
      <c r="J288" s="57">
        <v>90</v>
      </c>
      <c r="K288" s="57">
        <v>90</v>
      </c>
      <c r="L288" s="63">
        <v>24.9</v>
      </c>
      <c r="M288" s="63">
        <v>6.7</v>
      </c>
      <c r="N288" s="36">
        <v>3.61</v>
      </c>
      <c r="O288" s="57">
        <v>21</v>
      </c>
      <c r="P288" s="63">
        <v>4.2</v>
      </c>
      <c r="Q288" s="36">
        <v>2.2799999999999998</v>
      </c>
      <c r="R288" s="36">
        <v>22.36</v>
      </c>
      <c r="S288" s="36">
        <v>0.88</v>
      </c>
      <c r="T288" s="36">
        <v>0.7</v>
      </c>
      <c r="U288" s="42">
        <f t="shared" si="80"/>
        <v>1567.7999999999997</v>
      </c>
      <c r="V288" s="36">
        <f t="shared" si="81"/>
        <v>1444.9527050400002</v>
      </c>
      <c r="W288" s="36">
        <f t="shared" si="82"/>
        <v>0.92164351641791076</v>
      </c>
      <c r="X288" s="57">
        <v>3</v>
      </c>
      <c r="Y288" s="57">
        <v>4</v>
      </c>
      <c r="Z288" s="63">
        <v>6.47</v>
      </c>
      <c r="AA288" s="57">
        <v>18</v>
      </c>
      <c r="AB288" s="63">
        <v>6.5</v>
      </c>
      <c r="AC288" s="63">
        <v>3.2</v>
      </c>
      <c r="AD288" s="10">
        <v>1.1000000000000001</v>
      </c>
      <c r="AE288" s="36">
        <v>2.0499999999999998</v>
      </c>
      <c r="AF288" s="42">
        <f t="shared" si="83"/>
        <v>1567.7999999999997</v>
      </c>
      <c r="AG288" s="42">
        <f t="shared" si="84"/>
        <v>1835.6689748800002</v>
      </c>
      <c r="AH288" s="42">
        <f t="shared" si="85"/>
        <v>1.1708565983416255</v>
      </c>
      <c r="AI288" s="57">
        <v>3</v>
      </c>
      <c r="AJ288" s="57">
        <v>4</v>
      </c>
      <c r="AK288" s="36">
        <v>6.44</v>
      </c>
      <c r="AL288" s="36">
        <v>23</v>
      </c>
      <c r="AM288" s="63">
        <v>6.5</v>
      </c>
      <c r="AN288" s="63">
        <v>3.4</v>
      </c>
      <c r="AO288" s="36">
        <v>1.03</v>
      </c>
      <c r="AP288" s="68">
        <v>1.44</v>
      </c>
      <c r="AQ288" s="73">
        <f t="shared" si="86"/>
        <v>2226</v>
      </c>
      <c r="AR288" s="75">
        <f t="shared" si="87"/>
        <v>0.6945193171608266</v>
      </c>
      <c r="AS288" s="75">
        <f t="shared" si="88"/>
        <v>0.3054806828391734</v>
      </c>
      <c r="AT288" s="75">
        <f t="shared" si="89"/>
        <v>0</v>
      </c>
      <c r="AU288" s="26">
        <f t="shared" si="90"/>
        <v>6.1538461538461542E-2</v>
      </c>
      <c r="AV288" s="26">
        <f t="shared" si="91"/>
        <v>7.8632478632478631E-2</v>
      </c>
      <c r="AW288" s="24">
        <f t="shared" si="92"/>
        <v>0.60110803324099726</v>
      </c>
      <c r="AX288" s="24">
        <f t="shared" si="93"/>
        <v>0.43213296398891965</v>
      </c>
      <c r="AY288" s="77" t="str">
        <f t="shared" si="94"/>
        <v>2,5 ≤ Alc. Bruta &lt; 5,0 mg/L</v>
      </c>
      <c r="AZ288" s="77" t="str">
        <f t="shared" si="95"/>
        <v>15 ≤ Cor &lt; 30 uC</v>
      </c>
      <c r="BA288" s="78" t="str">
        <f t="shared" si="96"/>
        <v>2,5 ≤ Turb &lt; 5,0 uT</v>
      </c>
      <c r="BB288" s="79" t="str">
        <f t="shared" si="97"/>
        <v>TOR &gt; SM &gt; BNN</v>
      </c>
      <c r="BC288" s="78" t="str">
        <f t="shared" si="98"/>
        <v>Tipo 4 (&gt;0,75) uT</v>
      </c>
      <c r="BD288" s="78" t="str">
        <f t="shared" si="99"/>
        <v>Tipo 4 (&gt;0,75) uT</v>
      </c>
      <c r="BE288" s="78" t="str">
        <f t="shared" si="100"/>
        <v>Tipo 4 (&gt;0,75) uT</v>
      </c>
      <c r="BF288" s="78" t="str">
        <f t="shared" si="101"/>
        <v>Tipo 4 (&gt;0,75) uT</v>
      </c>
      <c r="BG288" s="78" t="str">
        <f t="shared" si="102"/>
        <v>Tipo 4 (&gt;0,75) uT</v>
      </c>
    </row>
    <row r="289" spans="1:59" x14ac:dyDescent="0.2">
      <c r="A289" s="21">
        <v>46157</v>
      </c>
      <c r="B289" s="48">
        <v>0.5625</v>
      </c>
      <c r="C289" s="57">
        <v>1410</v>
      </c>
      <c r="D289" s="57">
        <v>690</v>
      </c>
      <c r="E289" s="57">
        <v>0</v>
      </c>
      <c r="F289" s="57">
        <v>2334</v>
      </c>
      <c r="G289" s="10" t="s">
        <v>34</v>
      </c>
      <c r="H289" s="63">
        <v>5</v>
      </c>
      <c r="I289" s="57">
        <v>90</v>
      </c>
      <c r="J289" s="57">
        <v>90</v>
      </c>
      <c r="K289" s="57">
        <v>90</v>
      </c>
      <c r="L289" s="63">
        <v>24.9</v>
      </c>
      <c r="M289" s="63">
        <v>6.7</v>
      </c>
      <c r="N289" s="36">
        <v>2.78</v>
      </c>
      <c r="O289" s="57">
        <v>17</v>
      </c>
      <c r="P289" s="63">
        <v>4</v>
      </c>
      <c r="Q289" s="36">
        <v>3.2</v>
      </c>
      <c r="R289" s="36">
        <v>22.36</v>
      </c>
      <c r="S289" s="36">
        <v>0.88</v>
      </c>
      <c r="T289" s="36">
        <v>0.7</v>
      </c>
      <c r="U289" s="42">
        <f t="shared" si="80"/>
        <v>1321.6274999999998</v>
      </c>
      <c r="V289" s="36">
        <f t="shared" si="81"/>
        <v>1447.7334393599999</v>
      </c>
      <c r="W289" s="36">
        <f t="shared" si="82"/>
        <v>1.095417157527367</v>
      </c>
      <c r="X289" s="57">
        <v>3</v>
      </c>
      <c r="Y289" s="57">
        <v>4</v>
      </c>
      <c r="Z289" s="63">
        <v>6.48</v>
      </c>
      <c r="AA289" s="57">
        <v>18</v>
      </c>
      <c r="AB289" s="63">
        <v>6.9</v>
      </c>
      <c r="AC289" s="63">
        <v>4.4000000000000004</v>
      </c>
      <c r="AD289" s="10">
        <v>1.1399999999999999</v>
      </c>
      <c r="AE289" s="36">
        <v>2.75</v>
      </c>
      <c r="AF289" s="42">
        <f t="shared" si="83"/>
        <v>1321.6274999999998</v>
      </c>
      <c r="AG289" s="42">
        <f t="shared" si="84"/>
        <v>1835.6689748800002</v>
      </c>
      <c r="AH289" s="42">
        <f t="shared" si="85"/>
        <v>1.3889458072565837</v>
      </c>
      <c r="AI289" s="57">
        <v>3</v>
      </c>
      <c r="AJ289" s="57">
        <v>4</v>
      </c>
      <c r="AK289" s="36">
        <v>6.44</v>
      </c>
      <c r="AL289" s="36">
        <v>23</v>
      </c>
      <c r="AM289" s="63">
        <v>7.2</v>
      </c>
      <c r="AN289" s="63">
        <v>4.9000000000000004</v>
      </c>
      <c r="AO289" s="36">
        <v>1.46</v>
      </c>
      <c r="AP289" s="68">
        <v>2.2999999999999998</v>
      </c>
      <c r="AQ289" s="73">
        <f t="shared" si="86"/>
        <v>2100</v>
      </c>
      <c r="AR289" s="75">
        <f t="shared" si="87"/>
        <v>0.67142857142857137</v>
      </c>
      <c r="AS289" s="75">
        <f t="shared" si="88"/>
        <v>0.32857142857142857</v>
      </c>
      <c r="AT289" s="75">
        <f t="shared" si="89"/>
        <v>0</v>
      </c>
      <c r="AU289" s="26">
        <f t="shared" si="90"/>
        <v>6.1696658097686374E-2</v>
      </c>
      <c r="AV289" s="26">
        <f t="shared" si="91"/>
        <v>7.8834618680377042E-2</v>
      </c>
      <c r="AW289" s="24">
        <f t="shared" si="92"/>
        <v>0.17266187050359716</v>
      </c>
      <c r="AX289" s="24">
        <f t="shared" si="93"/>
        <v>1.0791366906474753E-2</v>
      </c>
      <c r="AY289" s="77" t="str">
        <f t="shared" si="94"/>
        <v>2,5 ≤ Alc. Bruta &lt; 5,0 mg/L</v>
      </c>
      <c r="AZ289" s="77" t="str">
        <f t="shared" si="95"/>
        <v>15 ≤ Cor &lt; 30 uC</v>
      </c>
      <c r="BA289" s="78" t="str">
        <f t="shared" si="96"/>
        <v>2,5 ≤ Turb &lt; 5,0 uT</v>
      </c>
      <c r="BB289" s="79" t="str">
        <f t="shared" si="97"/>
        <v>TOR &gt; SM &gt; BNN</v>
      </c>
      <c r="BC289" s="78" t="str">
        <f t="shared" si="98"/>
        <v>Tipo 4 (&gt;0,75) uT</v>
      </c>
      <c r="BD289" s="78" t="str">
        <f t="shared" si="99"/>
        <v>Tipo 4 (&gt;0,75) uT</v>
      </c>
      <c r="BE289" s="78" t="str">
        <f t="shared" si="100"/>
        <v>Tipo 4 (&gt;0,75) uT</v>
      </c>
      <c r="BF289" s="78" t="str">
        <f t="shared" si="101"/>
        <v>Tipo 4 (&gt;0,75) uT</v>
      </c>
      <c r="BG289" s="78" t="str">
        <f t="shared" si="102"/>
        <v>Tipo 4 (&gt;0,75) uT</v>
      </c>
    </row>
    <row r="290" spans="1:59" x14ac:dyDescent="0.2">
      <c r="A290" s="21">
        <v>46157</v>
      </c>
      <c r="B290" s="48">
        <v>0.64583333333333337</v>
      </c>
      <c r="C290" s="57">
        <v>1417</v>
      </c>
      <c r="D290" s="57">
        <v>685</v>
      </c>
      <c r="E290" s="57">
        <v>0</v>
      </c>
      <c r="F290" s="57">
        <v>2337</v>
      </c>
      <c r="G290" s="10" t="s">
        <v>78</v>
      </c>
      <c r="H290" s="63">
        <v>6.5</v>
      </c>
      <c r="I290" s="57">
        <v>90</v>
      </c>
      <c r="J290" s="57">
        <v>90</v>
      </c>
      <c r="K290" s="57">
        <v>90</v>
      </c>
      <c r="L290" s="63">
        <v>26.7</v>
      </c>
      <c r="M290" s="63">
        <v>6.9</v>
      </c>
      <c r="N290" s="36">
        <v>3.01</v>
      </c>
      <c r="O290" s="57">
        <v>14</v>
      </c>
      <c r="P290" s="63">
        <v>3.6</v>
      </c>
      <c r="Q290" s="36">
        <v>3.16</v>
      </c>
      <c r="R290" s="36">
        <v>22.36</v>
      </c>
      <c r="S290" s="36">
        <v>0.88</v>
      </c>
      <c r="T290" s="36">
        <v>0.7</v>
      </c>
      <c r="U290" s="42">
        <f t="shared" si="80"/>
        <v>1521.9712500000001</v>
      </c>
      <c r="V290" s="36">
        <f t="shared" si="81"/>
        <v>1442.1719707199995</v>
      </c>
      <c r="W290" s="36">
        <f t="shared" si="82"/>
        <v>0.94756847129668154</v>
      </c>
      <c r="X290" s="57">
        <v>3</v>
      </c>
      <c r="Y290" s="57">
        <v>4</v>
      </c>
      <c r="Z290" s="63">
        <v>6.46</v>
      </c>
      <c r="AA290" s="57">
        <v>18</v>
      </c>
      <c r="AB290" s="63">
        <v>6.3</v>
      </c>
      <c r="AC290" s="63">
        <v>3.9</v>
      </c>
      <c r="AD290" s="10">
        <v>0.95</v>
      </c>
      <c r="AE290" s="36">
        <v>2.5099999999999998</v>
      </c>
      <c r="AF290" s="42">
        <f t="shared" si="83"/>
        <v>1521.9712500000001</v>
      </c>
      <c r="AG290" s="42">
        <f t="shared" si="84"/>
        <v>1853.4347774799999</v>
      </c>
      <c r="AH290" s="42">
        <f t="shared" si="85"/>
        <v>1.2177856693942148</v>
      </c>
      <c r="AI290" s="57">
        <v>3</v>
      </c>
      <c r="AJ290" s="57">
        <v>4</v>
      </c>
      <c r="AK290" s="36">
        <v>6.49</v>
      </c>
      <c r="AL290" s="36">
        <v>23</v>
      </c>
      <c r="AM290" s="63">
        <v>6.3</v>
      </c>
      <c r="AN290" s="63">
        <v>2.9</v>
      </c>
      <c r="AO290" s="36">
        <v>0.91</v>
      </c>
      <c r="AP290" s="68">
        <v>2.75</v>
      </c>
      <c r="AQ290" s="73">
        <f t="shared" si="86"/>
        <v>2102</v>
      </c>
      <c r="AR290" s="75">
        <f t="shared" si="87"/>
        <v>0.67411988582302573</v>
      </c>
      <c r="AS290" s="75">
        <f t="shared" si="88"/>
        <v>0.32588011417697432</v>
      </c>
      <c r="AT290" s="75">
        <f t="shared" si="89"/>
        <v>0</v>
      </c>
      <c r="AU290" s="26">
        <f t="shared" si="90"/>
        <v>6.1617458279845959E-2</v>
      </c>
      <c r="AV290" s="26">
        <f t="shared" si="91"/>
        <v>7.8733418913136496E-2</v>
      </c>
      <c r="AW290" s="24">
        <f t="shared" si="92"/>
        <v>8.6378737541528139E-2</v>
      </c>
      <c r="AX290" s="24">
        <f t="shared" si="93"/>
        <v>0.16611295681063121</v>
      </c>
      <c r="AY290" s="77" t="str">
        <f t="shared" si="94"/>
        <v>2,5 ≤ Alc. Bruta &lt; 5,0 mg/L</v>
      </c>
      <c r="AZ290" s="77" t="str">
        <f t="shared" si="95"/>
        <v>10 ≤ Cor &lt;15 uC</v>
      </c>
      <c r="BA290" s="78" t="str">
        <f t="shared" si="96"/>
        <v>2,5 ≤ Turb &lt; 5,0 uT</v>
      </c>
      <c r="BB290" s="79" t="str">
        <f t="shared" si="97"/>
        <v>TOR &gt; SM &gt; BNN</v>
      </c>
      <c r="BC290" s="78" t="str">
        <f t="shared" si="98"/>
        <v>Tipo 4 (&gt;0,75) uT</v>
      </c>
      <c r="BD290" s="78" t="str">
        <f t="shared" si="99"/>
        <v>Tipo 4 (&gt;0,75) uT</v>
      </c>
      <c r="BE290" s="78" t="str">
        <f t="shared" si="100"/>
        <v>Tipo 4 (&gt;0,75) uT</v>
      </c>
      <c r="BF290" s="78" t="str">
        <f t="shared" si="101"/>
        <v>Tipo 4 (&gt;0,75) uT</v>
      </c>
      <c r="BG290" s="78" t="str">
        <f t="shared" si="102"/>
        <v>Tipo 4 (&gt;0,75) uT</v>
      </c>
    </row>
    <row r="291" spans="1:59" x14ac:dyDescent="0.2">
      <c r="A291" s="21">
        <v>46157</v>
      </c>
      <c r="B291" s="48">
        <v>0.72916666666666663</v>
      </c>
      <c r="C291" s="57">
        <v>1503</v>
      </c>
      <c r="D291" s="57">
        <v>89</v>
      </c>
      <c r="E291" s="57">
        <v>500</v>
      </c>
      <c r="F291" s="57">
        <v>2304</v>
      </c>
      <c r="G291" s="10" t="s">
        <v>78</v>
      </c>
      <c r="H291" s="63">
        <v>8.5</v>
      </c>
      <c r="I291" s="57">
        <v>90</v>
      </c>
      <c r="J291" s="57">
        <v>90</v>
      </c>
      <c r="K291" s="57">
        <v>90</v>
      </c>
      <c r="L291" s="63">
        <v>26.4</v>
      </c>
      <c r="M291" s="63">
        <v>6.7</v>
      </c>
      <c r="N291" s="36">
        <v>2.72</v>
      </c>
      <c r="O291" s="57">
        <v>22</v>
      </c>
      <c r="P291" s="63">
        <v>3.8</v>
      </c>
      <c r="Q291" s="36">
        <v>0.67</v>
      </c>
      <c r="R291" s="36">
        <v>22.36</v>
      </c>
      <c r="S291" s="36">
        <v>0.88</v>
      </c>
      <c r="T291" s="36">
        <v>0.7</v>
      </c>
      <c r="U291" s="42">
        <f t="shared" si="80"/>
        <v>1589.7599999999998</v>
      </c>
      <c r="V291" s="36">
        <f t="shared" si="81"/>
        <v>1444.9527050400002</v>
      </c>
      <c r="W291" s="36">
        <f t="shared" si="82"/>
        <v>0.90891248052536255</v>
      </c>
      <c r="X291" s="57">
        <v>3</v>
      </c>
      <c r="Y291" s="57">
        <v>4</v>
      </c>
      <c r="Z291" s="63">
        <v>6.47</v>
      </c>
      <c r="AA291" s="57">
        <v>18</v>
      </c>
      <c r="AB291" s="63">
        <v>6.1</v>
      </c>
      <c r="AC291" s="63">
        <v>2.9</v>
      </c>
      <c r="AD291" s="10">
        <v>0.24</v>
      </c>
      <c r="AE291" s="36">
        <v>0.48</v>
      </c>
      <c r="AF291" s="42">
        <f t="shared" si="83"/>
        <v>1589.7599999999998</v>
      </c>
      <c r="AG291" s="42">
        <f t="shared" si="84"/>
        <v>1839.2221353999998</v>
      </c>
      <c r="AH291" s="42">
        <f t="shared" si="85"/>
        <v>1.1569181105324076</v>
      </c>
      <c r="AI291" s="57">
        <v>3</v>
      </c>
      <c r="AJ291" s="57">
        <v>4</v>
      </c>
      <c r="AK291" s="36">
        <v>6.45</v>
      </c>
      <c r="AL291" s="36">
        <v>23</v>
      </c>
      <c r="AM291" s="63">
        <v>6.2</v>
      </c>
      <c r="AN291" s="63">
        <v>2.8</v>
      </c>
      <c r="AO291" s="36">
        <v>0.36</v>
      </c>
      <c r="AP291" s="68">
        <v>0.34</v>
      </c>
      <c r="AQ291" s="73">
        <f t="shared" si="86"/>
        <v>2092</v>
      </c>
      <c r="AR291" s="75">
        <f t="shared" si="87"/>
        <v>0.71845124282982786</v>
      </c>
      <c r="AS291" s="75">
        <f t="shared" si="88"/>
        <v>4.2543021032504777E-2</v>
      </c>
      <c r="AT291" s="75">
        <f t="shared" si="89"/>
        <v>0.23900573613766729</v>
      </c>
      <c r="AU291" s="26">
        <f t="shared" si="90"/>
        <v>6.25E-2</v>
      </c>
      <c r="AV291" s="26">
        <f t="shared" si="91"/>
        <v>7.9861111111111105E-2</v>
      </c>
      <c r="AW291" s="24">
        <f t="shared" si="92"/>
        <v>0.875</v>
      </c>
      <c r="AX291" s="24">
        <f t="shared" si="93"/>
        <v>0.82352941176470584</v>
      </c>
      <c r="AY291" s="77" t="str">
        <f t="shared" si="94"/>
        <v>2,5 ≤ Alc. Bruta &lt; 5,0 mg/L</v>
      </c>
      <c r="AZ291" s="77" t="str">
        <f t="shared" si="95"/>
        <v>15 ≤ Cor &lt; 30 uC</v>
      </c>
      <c r="BA291" s="78" t="str">
        <f t="shared" si="96"/>
        <v>2,5 ≤ Turb &lt; 5,0 uT</v>
      </c>
      <c r="BB291" s="79" t="str">
        <f t="shared" si="97"/>
        <v>TOR &gt; BNN &gt; SM</v>
      </c>
      <c r="BC291" s="78" t="str">
        <f t="shared" si="98"/>
        <v>Tipo 1 (≤0,25) uT</v>
      </c>
      <c r="BD291" s="78" t="str">
        <f t="shared" si="99"/>
        <v>Tipo 2 (0,25-0,50) uT</v>
      </c>
      <c r="BE291" s="78" t="str">
        <f t="shared" si="100"/>
        <v>Tipo 2 (0,25-0,50) uT</v>
      </c>
      <c r="BF291" s="78" t="str">
        <f t="shared" si="101"/>
        <v>Tipo 2 (0,25-0,50) uT</v>
      </c>
      <c r="BG291" s="78" t="str">
        <f t="shared" si="102"/>
        <v>Tipo 3 (0,50-0,75) uT</v>
      </c>
    </row>
    <row r="292" spans="1:59" x14ac:dyDescent="0.2">
      <c r="A292" s="21">
        <v>46157</v>
      </c>
      <c r="B292" s="48">
        <v>0.8125</v>
      </c>
      <c r="C292" s="57">
        <v>1130</v>
      </c>
      <c r="D292" s="57">
        <v>90</v>
      </c>
      <c r="E292" s="57">
        <v>500</v>
      </c>
      <c r="F292" s="57">
        <v>1879</v>
      </c>
      <c r="G292" s="10" t="s">
        <v>78</v>
      </c>
      <c r="H292" s="63">
        <v>8.5</v>
      </c>
      <c r="I292" s="57">
        <v>90</v>
      </c>
      <c r="J292" s="57">
        <v>90</v>
      </c>
      <c r="K292" s="57">
        <v>90</v>
      </c>
      <c r="L292" s="63">
        <v>25.1</v>
      </c>
      <c r="M292" s="63">
        <v>6.7</v>
      </c>
      <c r="N292" s="36">
        <v>3.04</v>
      </c>
      <c r="O292" s="57">
        <v>13</v>
      </c>
      <c r="P292" s="63">
        <v>7.1</v>
      </c>
      <c r="Q292" s="36">
        <v>0.16</v>
      </c>
      <c r="R292" s="36">
        <v>22.36</v>
      </c>
      <c r="S292" s="36">
        <v>0.88</v>
      </c>
      <c r="T292" s="36">
        <v>0.7</v>
      </c>
      <c r="U292" s="42">
        <f t="shared" ref="U292:U355" si="103">(N292+0.3*H292+0.25)*(F292/2/Y292)</f>
        <v>1371.67</v>
      </c>
      <c r="V292" s="36">
        <f t="shared" ref="V292:V355" si="104">R292*(T292*Z292*0.987-S292)*AA292</f>
        <v>1545.7743922399998</v>
      </c>
      <c r="W292" s="36">
        <f t="shared" ref="W292:W355" si="105">V292/U292</f>
        <v>1.1269287745886398</v>
      </c>
      <c r="X292" s="57">
        <v>3</v>
      </c>
      <c r="Y292" s="57">
        <v>4</v>
      </c>
      <c r="Z292" s="63">
        <v>6.54</v>
      </c>
      <c r="AA292" s="57">
        <v>19</v>
      </c>
      <c r="AB292" s="63">
        <v>5.4</v>
      </c>
      <c r="AC292" s="63">
        <v>5.0999999999999996</v>
      </c>
      <c r="AD292" s="10">
        <v>0.37</v>
      </c>
      <c r="AE292" s="36">
        <v>0.1</v>
      </c>
      <c r="AF292" s="42">
        <f t="shared" si="83"/>
        <v>1371.67</v>
      </c>
      <c r="AG292" s="42">
        <f t="shared" si="84"/>
        <v>1839.2221353999998</v>
      </c>
      <c r="AH292" s="42">
        <f t="shared" si="85"/>
        <v>1.3408634258968992</v>
      </c>
      <c r="AI292" s="57">
        <v>3</v>
      </c>
      <c r="AJ292" s="57">
        <v>4</v>
      </c>
      <c r="AK292" s="36">
        <v>6.45</v>
      </c>
      <c r="AL292" s="36">
        <v>23</v>
      </c>
      <c r="AM292" s="63">
        <v>6.5</v>
      </c>
      <c r="AN292" s="63">
        <v>4.8</v>
      </c>
      <c r="AO292" s="36">
        <v>0.31</v>
      </c>
      <c r="AP292" s="68">
        <v>0.13</v>
      </c>
      <c r="AQ292" s="73">
        <f t="shared" si="86"/>
        <v>1720</v>
      </c>
      <c r="AR292" s="75">
        <f t="shared" si="87"/>
        <v>0.65697674418604646</v>
      </c>
      <c r="AS292" s="75">
        <f t="shared" si="88"/>
        <v>5.232558139534884E-2</v>
      </c>
      <c r="AT292" s="75">
        <f t="shared" si="89"/>
        <v>0.29069767441860467</v>
      </c>
      <c r="AU292" s="26">
        <f t="shared" si="90"/>
        <v>8.0894092602448106E-2</v>
      </c>
      <c r="AV292" s="26">
        <f t="shared" si="91"/>
        <v>9.7924427887174023E-2</v>
      </c>
      <c r="AW292" s="24">
        <f t="shared" si="92"/>
        <v>0.95723684210526316</v>
      </c>
      <c r="AX292" s="24">
        <f t="shared" si="93"/>
        <v>0.96710526315789469</v>
      </c>
      <c r="AY292" s="77" t="str">
        <f t="shared" si="94"/>
        <v>5,0 ≤ Alc. Bruta &lt; 7,5 mg/L</v>
      </c>
      <c r="AZ292" s="77" t="str">
        <f t="shared" si="95"/>
        <v>10 ≤ Cor &lt;15 uC</v>
      </c>
      <c r="BA292" s="78" t="str">
        <f t="shared" si="96"/>
        <v>2,5 ≤ Turb &lt; 5,0 uT</v>
      </c>
      <c r="BB292" s="79" t="str">
        <f t="shared" si="97"/>
        <v>TOR &gt; BNN &gt; SM</v>
      </c>
      <c r="BC292" s="78" t="str">
        <f t="shared" si="98"/>
        <v>Tipo 2 (0,25-0,50) uT</v>
      </c>
      <c r="BD292" s="78" t="str">
        <f t="shared" si="99"/>
        <v>Tipo 2 (0,25-0,50) uT</v>
      </c>
      <c r="BE292" s="78" t="str">
        <f t="shared" si="100"/>
        <v>Tipo 1 (≤0,25) uT</v>
      </c>
      <c r="BF292" s="78" t="str">
        <f t="shared" si="101"/>
        <v>Tipo 1 (≤0,25) uT</v>
      </c>
      <c r="BG292" s="78" t="str">
        <f t="shared" si="102"/>
        <v>Tipo 1 (≤0,25) uT</v>
      </c>
    </row>
    <row r="293" spans="1:59" x14ac:dyDescent="0.2">
      <c r="A293" s="21">
        <v>46157</v>
      </c>
      <c r="B293" s="48">
        <v>0.89583333333333337</v>
      </c>
      <c r="C293" s="57">
        <v>1170</v>
      </c>
      <c r="D293" s="57">
        <v>86</v>
      </c>
      <c r="E293" s="57">
        <v>500</v>
      </c>
      <c r="F293" s="57">
        <v>1882</v>
      </c>
      <c r="G293" s="10" t="s">
        <v>78</v>
      </c>
      <c r="H293" s="63">
        <v>8.5</v>
      </c>
      <c r="I293" s="57">
        <v>90</v>
      </c>
      <c r="J293" s="57">
        <v>90</v>
      </c>
      <c r="K293" s="57">
        <v>90</v>
      </c>
      <c r="L293" s="63">
        <v>25.5</v>
      </c>
      <c r="M293" s="63">
        <v>6.7</v>
      </c>
      <c r="N293" s="36">
        <v>2.93</v>
      </c>
      <c r="O293" s="57">
        <v>14</v>
      </c>
      <c r="P293" s="63">
        <v>5.5</v>
      </c>
      <c r="Q293" s="36">
        <v>0.06</v>
      </c>
      <c r="R293" s="36">
        <v>22.36</v>
      </c>
      <c r="S293" s="36">
        <v>0.88</v>
      </c>
      <c r="T293" s="36">
        <v>0.7</v>
      </c>
      <c r="U293" s="42">
        <f t="shared" si="103"/>
        <v>1797.3100000000002</v>
      </c>
      <c r="V293" s="36">
        <f t="shared" si="104"/>
        <v>1536.9687335599997</v>
      </c>
      <c r="W293" s="36">
        <f t="shared" si="105"/>
        <v>0.85514949205201085</v>
      </c>
      <c r="X293" s="57">
        <v>3</v>
      </c>
      <c r="Y293" s="57">
        <v>3</v>
      </c>
      <c r="Z293" s="63">
        <v>6.51</v>
      </c>
      <c r="AA293" s="57">
        <v>19</v>
      </c>
      <c r="AB293" s="63">
        <v>6.4</v>
      </c>
      <c r="AC293" s="63">
        <v>5.5</v>
      </c>
      <c r="AD293" s="10">
        <v>0.11</v>
      </c>
      <c r="AE293" s="36">
        <v>0.06</v>
      </c>
      <c r="AF293" s="42">
        <f t="shared" ref="AF293:AF356" si="106">(N293+0.3*H293+0.25)*(F293/2/AJ293)</f>
        <v>1347.9825000000001</v>
      </c>
      <c r="AG293" s="42">
        <f t="shared" ref="AG293:AG356" si="107">R293*(T293*AK293*0.987-S293)*AL293</f>
        <v>1846.3284564400001</v>
      </c>
      <c r="AH293" s="42">
        <f t="shared" ref="AH293:AH356" si="108">AG293/AF293</f>
        <v>1.3696976455109766</v>
      </c>
      <c r="AI293" s="57">
        <v>3</v>
      </c>
      <c r="AJ293" s="57">
        <v>4</v>
      </c>
      <c r="AK293" s="36">
        <v>6.47</v>
      </c>
      <c r="AL293" s="36">
        <v>23</v>
      </c>
      <c r="AM293" s="63">
        <v>6.5</v>
      </c>
      <c r="AN293" s="63">
        <v>5.0999999999999996</v>
      </c>
      <c r="AO293" s="36">
        <v>0.1</v>
      </c>
      <c r="AP293" s="68">
        <v>0.06</v>
      </c>
      <c r="AQ293" s="73">
        <f t="shared" si="86"/>
        <v>1756</v>
      </c>
      <c r="AR293" s="75">
        <f t="shared" si="87"/>
        <v>0.66628701594533024</v>
      </c>
      <c r="AS293" s="75">
        <f t="shared" si="88"/>
        <v>4.8974943052391799E-2</v>
      </c>
      <c r="AT293" s="75">
        <f t="shared" si="89"/>
        <v>0.2847380410022779</v>
      </c>
      <c r="AU293" s="26">
        <f t="shared" si="90"/>
        <v>6.0573857598299675E-2</v>
      </c>
      <c r="AV293" s="26">
        <f t="shared" si="91"/>
        <v>9.7768331562167909E-2</v>
      </c>
      <c r="AW293" s="24">
        <f t="shared" si="92"/>
        <v>0.97952218430034133</v>
      </c>
      <c r="AX293" s="24">
        <f t="shared" si="93"/>
        <v>0.97952218430034133</v>
      </c>
      <c r="AY293" s="77" t="str">
        <f t="shared" si="94"/>
        <v>5,0 ≤ Alc. Bruta &lt; 7,5 mg/L</v>
      </c>
      <c r="AZ293" s="77" t="str">
        <f t="shared" si="95"/>
        <v>10 ≤ Cor &lt;15 uC</v>
      </c>
      <c r="BA293" s="78" t="str">
        <f t="shared" si="96"/>
        <v>2,5 ≤ Turb &lt; 5,0 uT</v>
      </c>
      <c r="BB293" s="79" t="str">
        <f t="shared" si="97"/>
        <v>TOR &gt; BNN &gt; SM</v>
      </c>
      <c r="BC293" s="78" t="str">
        <f t="shared" si="98"/>
        <v>Tipo 1 (≤0,25) uT</v>
      </c>
      <c r="BD293" s="78" t="str">
        <f t="shared" si="99"/>
        <v>Tipo 1 (≤0,25) uT</v>
      </c>
      <c r="BE293" s="78" t="str">
        <f t="shared" si="100"/>
        <v>Tipo 1 (≤0,25) uT</v>
      </c>
      <c r="BF293" s="78" t="str">
        <f t="shared" si="101"/>
        <v>Tipo 1 (≤0,25) uT</v>
      </c>
      <c r="BG293" s="78" t="str">
        <f t="shared" si="102"/>
        <v>Tipo 1 (≤0,25) uT</v>
      </c>
    </row>
    <row r="294" spans="1:59" x14ac:dyDescent="0.2">
      <c r="A294" s="21">
        <v>46157</v>
      </c>
      <c r="B294" s="48">
        <v>0.97916666666666663</v>
      </c>
      <c r="C294" s="57">
        <v>1084</v>
      </c>
      <c r="D294" s="57">
        <v>788</v>
      </c>
      <c r="E294" s="57">
        <v>500</v>
      </c>
      <c r="F294" s="57">
        <v>2529</v>
      </c>
      <c r="G294" s="10" t="s">
        <v>78</v>
      </c>
      <c r="H294" s="63">
        <v>8.5</v>
      </c>
      <c r="I294" s="57">
        <v>90</v>
      </c>
      <c r="J294" s="57">
        <v>90</v>
      </c>
      <c r="K294" s="57">
        <v>90</v>
      </c>
      <c r="L294" s="63">
        <v>25.1</v>
      </c>
      <c r="M294" s="63">
        <v>6.6</v>
      </c>
      <c r="N294" s="36">
        <v>3.2</v>
      </c>
      <c r="O294" s="57">
        <v>15</v>
      </c>
      <c r="P294" s="63">
        <v>6.4</v>
      </c>
      <c r="Q294" s="36">
        <v>0.11</v>
      </c>
      <c r="R294" s="36">
        <v>22.36</v>
      </c>
      <c r="S294" s="36">
        <v>0.88</v>
      </c>
      <c r="T294" s="36">
        <v>0.7</v>
      </c>
      <c r="U294" s="42">
        <f t="shared" si="103"/>
        <v>1896.75</v>
      </c>
      <c r="V294" s="36">
        <f t="shared" si="104"/>
        <v>1458.8563766399996</v>
      </c>
      <c r="W294" s="36">
        <f t="shared" si="105"/>
        <v>0.76913477086595472</v>
      </c>
      <c r="X294" s="57">
        <v>3</v>
      </c>
      <c r="Y294" s="57">
        <v>4</v>
      </c>
      <c r="Z294" s="63">
        <v>6.52</v>
      </c>
      <c r="AA294" s="57">
        <v>18</v>
      </c>
      <c r="AB294" s="63">
        <v>6.7</v>
      </c>
      <c r="AC294" s="63">
        <v>6.2</v>
      </c>
      <c r="AD294" s="10">
        <v>1.1299999999999999</v>
      </c>
      <c r="AE294" s="36">
        <v>0.54</v>
      </c>
      <c r="AF294" s="42">
        <f t="shared" si="106"/>
        <v>1896.75</v>
      </c>
      <c r="AG294" s="42">
        <f t="shared" si="107"/>
        <v>1860.5410985199997</v>
      </c>
      <c r="AH294" s="42">
        <f t="shared" si="108"/>
        <v>0.98091002953473028</v>
      </c>
      <c r="AI294" s="57">
        <v>2</v>
      </c>
      <c r="AJ294" s="57">
        <v>4</v>
      </c>
      <c r="AK294" s="36">
        <v>6.51</v>
      </c>
      <c r="AL294" s="36">
        <v>23</v>
      </c>
      <c r="AM294" s="63">
        <v>6.7</v>
      </c>
      <c r="AN294" s="63">
        <v>6.4</v>
      </c>
      <c r="AO294" s="36">
        <v>1.0900000000000001</v>
      </c>
      <c r="AP294" s="68">
        <v>0.39</v>
      </c>
      <c r="AQ294" s="73">
        <f t="shared" si="86"/>
        <v>2372</v>
      </c>
      <c r="AR294" s="75">
        <f t="shared" si="87"/>
        <v>0.45699831365935917</v>
      </c>
      <c r="AS294" s="75">
        <f t="shared" si="88"/>
        <v>0.33220910623946037</v>
      </c>
      <c r="AT294" s="75">
        <f t="shared" si="89"/>
        <v>0.21079258010118043</v>
      </c>
      <c r="AU294" s="26">
        <f t="shared" si="90"/>
        <v>5.6939501779359428E-2</v>
      </c>
      <c r="AV294" s="26">
        <f t="shared" si="91"/>
        <v>7.2756030051403714E-2</v>
      </c>
      <c r="AW294" s="24">
        <f t="shared" si="92"/>
        <v>0.87812500000000004</v>
      </c>
      <c r="AX294" s="24">
        <f t="shared" si="93"/>
        <v>0.83125000000000004</v>
      </c>
      <c r="AY294" s="77" t="str">
        <f t="shared" si="94"/>
        <v>5,0 ≤ Alc. Bruta &lt; 7,5 mg/L</v>
      </c>
      <c r="AZ294" s="77" t="str">
        <f t="shared" si="95"/>
        <v>15 ≤ Cor &lt; 30 uC</v>
      </c>
      <c r="BA294" s="78" t="str">
        <f t="shared" si="96"/>
        <v>2,5 ≤ Turb &lt; 5,0 uT</v>
      </c>
      <c r="BB294" s="79" t="str">
        <f t="shared" si="97"/>
        <v>TOR &gt; SM &gt; BNN</v>
      </c>
      <c r="BC294" s="78" t="str">
        <f t="shared" si="98"/>
        <v>Tipo 4 (&gt;0,75) uT</v>
      </c>
      <c r="BD294" s="78" t="str">
        <f t="shared" si="99"/>
        <v>Tipo 4 (&gt;0,75) uT</v>
      </c>
      <c r="BE294" s="78" t="str">
        <f t="shared" si="100"/>
        <v>Tipo 3 (0,50-0,75) uT</v>
      </c>
      <c r="BF294" s="78" t="str">
        <f t="shared" si="101"/>
        <v>Tipo 2 (0,25-0,50) uT</v>
      </c>
      <c r="BG294" s="78" t="str">
        <f t="shared" si="102"/>
        <v>Tipo 1 (≤0,25) uT</v>
      </c>
    </row>
    <row r="295" spans="1:59" x14ac:dyDescent="0.2">
      <c r="A295" s="21">
        <v>46158</v>
      </c>
      <c r="B295" s="48">
        <v>6.25E-2</v>
      </c>
      <c r="C295" s="57">
        <v>1215</v>
      </c>
      <c r="D295" s="57">
        <v>705</v>
      </c>
      <c r="E295" s="57">
        <v>480</v>
      </c>
      <c r="F295" s="57">
        <v>2467</v>
      </c>
      <c r="G295" s="10" t="s">
        <v>78</v>
      </c>
      <c r="H295" s="63">
        <v>8.5</v>
      </c>
      <c r="I295" s="57">
        <v>90</v>
      </c>
      <c r="J295" s="57">
        <v>90</v>
      </c>
      <c r="K295" s="57">
        <v>90</v>
      </c>
      <c r="L295" s="63">
        <v>24.9</v>
      </c>
      <c r="M295" s="63">
        <v>6.6</v>
      </c>
      <c r="N295" s="36">
        <v>2.69</v>
      </c>
      <c r="O295" s="57">
        <v>12</v>
      </c>
      <c r="P295" s="63">
        <v>6.3</v>
      </c>
      <c r="Q295" s="36">
        <v>0.45</v>
      </c>
      <c r="R295" s="36">
        <v>22.36</v>
      </c>
      <c r="S295" s="36">
        <v>0.88</v>
      </c>
      <c r="T295" s="36">
        <v>0.7</v>
      </c>
      <c r="U295" s="42">
        <f t="shared" si="103"/>
        <v>1692.97875</v>
      </c>
      <c r="V295" s="36">
        <f t="shared" si="104"/>
        <v>1456.0756423199998</v>
      </c>
      <c r="W295" s="36">
        <f t="shared" si="105"/>
        <v>0.86006728809797517</v>
      </c>
      <c r="X295" s="57">
        <v>3</v>
      </c>
      <c r="Y295" s="57">
        <v>4</v>
      </c>
      <c r="Z295" s="63">
        <v>6.51</v>
      </c>
      <c r="AA295" s="57">
        <v>18</v>
      </c>
      <c r="AB295" s="63">
        <v>6.4</v>
      </c>
      <c r="AC295" s="63">
        <v>4.5999999999999996</v>
      </c>
      <c r="AD295" s="10">
        <v>0.36</v>
      </c>
      <c r="AE295" s="36">
        <v>0.26</v>
      </c>
      <c r="AF295" s="42">
        <f t="shared" si="106"/>
        <v>1692.97875</v>
      </c>
      <c r="AG295" s="42">
        <f t="shared" si="107"/>
        <v>2045.5000669999999</v>
      </c>
      <c r="AH295" s="42">
        <f t="shared" si="108"/>
        <v>1.2082254824521572</v>
      </c>
      <c r="AI295" s="57">
        <v>3</v>
      </c>
      <c r="AJ295" s="57">
        <v>4</v>
      </c>
      <c r="AK295" s="36">
        <v>6.57</v>
      </c>
      <c r="AL295" s="36">
        <v>25</v>
      </c>
      <c r="AM295" s="63">
        <v>6.4</v>
      </c>
      <c r="AN295" s="63">
        <v>4.7</v>
      </c>
      <c r="AO295" s="36">
        <v>0.46</v>
      </c>
      <c r="AP295" s="68">
        <v>0.27</v>
      </c>
      <c r="AQ295" s="73">
        <f t="shared" si="86"/>
        <v>2400</v>
      </c>
      <c r="AR295" s="75">
        <f t="shared" si="87"/>
        <v>0.50624999999999998</v>
      </c>
      <c r="AS295" s="75">
        <f t="shared" si="88"/>
        <v>0.29375000000000001</v>
      </c>
      <c r="AT295" s="75">
        <f t="shared" si="89"/>
        <v>0.2</v>
      </c>
      <c r="AU295" s="26">
        <f t="shared" si="90"/>
        <v>5.8370490474260232E-2</v>
      </c>
      <c r="AV295" s="26">
        <f t="shared" si="91"/>
        <v>8.1070125658694772E-2</v>
      </c>
      <c r="AW295" s="24">
        <f t="shared" si="92"/>
        <v>0.8996282527881041</v>
      </c>
      <c r="AX295" s="24">
        <f t="shared" si="93"/>
        <v>0.90334572490706322</v>
      </c>
      <c r="AY295" s="77" t="str">
        <f t="shared" si="94"/>
        <v>5,0 ≤ Alc. Bruta &lt; 7,5 mg/L</v>
      </c>
      <c r="AZ295" s="77" t="str">
        <f t="shared" si="95"/>
        <v>10 ≤ Cor &lt;15 uC</v>
      </c>
      <c r="BA295" s="78" t="str">
        <f t="shared" si="96"/>
        <v>2,5 ≤ Turb &lt; 5,0 uT</v>
      </c>
      <c r="BB295" s="79" t="str">
        <f t="shared" si="97"/>
        <v>TOR &gt; SM &gt; BNN</v>
      </c>
      <c r="BC295" s="78" t="str">
        <f t="shared" si="98"/>
        <v>Tipo 2 (0,25-0,50) uT</v>
      </c>
      <c r="BD295" s="78" t="str">
        <f t="shared" si="99"/>
        <v>Tipo 2 (0,25-0,50) uT</v>
      </c>
      <c r="BE295" s="78" t="str">
        <f t="shared" si="100"/>
        <v>Tipo 2 (0,25-0,50) uT</v>
      </c>
      <c r="BF295" s="78" t="str">
        <f t="shared" si="101"/>
        <v>Tipo 2 (0,25-0,50) uT</v>
      </c>
      <c r="BG295" s="78" t="str">
        <f t="shared" si="102"/>
        <v>Tipo 2 (0,25-0,50) uT</v>
      </c>
    </row>
    <row r="296" spans="1:59" x14ac:dyDescent="0.2">
      <c r="A296" s="21">
        <v>46158</v>
      </c>
      <c r="B296" s="48">
        <v>0.14583333333333334</v>
      </c>
      <c r="C296" s="57">
        <v>1170</v>
      </c>
      <c r="D296" s="57">
        <v>700</v>
      </c>
      <c r="E296" s="57">
        <v>280</v>
      </c>
      <c r="F296" s="57">
        <v>2289</v>
      </c>
      <c r="G296" s="10" t="s">
        <v>78</v>
      </c>
      <c r="H296" s="63">
        <v>8.5</v>
      </c>
      <c r="I296" s="57">
        <v>90</v>
      </c>
      <c r="J296" s="57">
        <v>90</v>
      </c>
      <c r="K296" s="57">
        <v>90</v>
      </c>
      <c r="L296" s="63">
        <v>24.9</v>
      </c>
      <c r="M296" s="63">
        <v>6.6</v>
      </c>
      <c r="N296" s="36">
        <v>2.66</v>
      </c>
      <c r="O296" s="57">
        <v>13</v>
      </c>
      <c r="P296" s="63">
        <v>4.5999999999999996</v>
      </c>
      <c r="Q296" s="36">
        <v>7.0000000000000007E-2</v>
      </c>
      <c r="R296" s="36">
        <v>22.36</v>
      </c>
      <c r="S296" s="36">
        <v>0.88</v>
      </c>
      <c r="T296" s="36">
        <v>0.7</v>
      </c>
      <c r="U296" s="42">
        <f t="shared" si="103"/>
        <v>1562.2425000000001</v>
      </c>
      <c r="V296" s="36">
        <f t="shared" si="104"/>
        <v>1456.0756423199998</v>
      </c>
      <c r="W296" s="36">
        <f t="shared" si="105"/>
        <v>0.9320420116083129</v>
      </c>
      <c r="X296" s="57">
        <v>3</v>
      </c>
      <c r="Y296" s="57">
        <v>4</v>
      </c>
      <c r="Z296" s="63">
        <v>6.51</v>
      </c>
      <c r="AA296" s="57">
        <v>18</v>
      </c>
      <c r="AB296" s="63">
        <v>6.3</v>
      </c>
      <c r="AC296" s="63">
        <v>4.0999999999999996</v>
      </c>
      <c r="AD296" s="10">
        <v>0.22</v>
      </c>
      <c r="AE296" s="36">
        <v>0.11</v>
      </c>
      <c r="AF296" s="42">
        <f t="shared" si="106"/>
        <v>1562.2425000000001</v>
      </c>
      <c r="AG296" s="42">
        <f t="shared" si="107"/>
        <v>1828.5626538399999</v>
      </c>
      <c r="AH296" s="42">
        <f t="shared" si="108"/>
        <v>1.1704729924067485</v>
      </c>
      <c r="AI296" s="57">
        <v>3</v>
      </c>
      <c r="AJ296" s="57">
        <v>4</v>
      </c>
      <c r="AK296" s="36">
        <v>6.42</v>
      </c>
      <c r="AL296" s="36">
        <v>23</v>
      </c>
      <c r="AM296" s="63">
        <v>6.2</v>
      </c>
      <c r="AN296" s="63">
        <v>4.5999999999999996</v>
      </c>
      <c r="AO296" s="36">
        <v>0.22</v>
      </c>
      <c r="AP296" s="68">
        <v>0.11</v>
      </c>
      <c r="AQ296" s="73">
        <f t="shared" si="86"/>
        <v>2150</v>
      </c>
      <c r="AR296" s="75">
        <f t="shared" si="87"/>
        <v>0.54418604651162794</v>
      </c>
      <c r="AS296" s="75">
        <f t="shared" si="88"/>
        <v>0.32558139534883723</v>
      </c>
      <c r="AT296" s="75">
        <f t="shared" si="89"/>
        <v>0.13023255813953488</v>
      </c>
      <c r="AU296" s="26">
        <f t="shared" si="90"/>
        <v>6.2909567496723454E-2</v>
      </c>
      <c r="AV296" s="26">
        <f t="shared" si="91"/>
        <v>8.0384447356924418E-2</v>
      </c>
      <c r="AW296" s="24">
        <f t="shared" si="92"/>
        <v>0.95864661654135341</v>
      </c>
      <c r="AX296" s="24">
        <f t="shared" si="93"/>
        <v>0.95864661654135341</v>
      </c>
      <c r="AY296" s="77" t="str">
        <f t="shared" si="94"/>
        <v>2,5 ≤ Alc. Bruta &lt; 5,0 mg/L</v>
      </c>
      <c r="AZ296" s="77" t="str">
        <f t="shared" si="95"/>
        <v>10 ≤ Cor &lt;15 uC</v>
      </c>
      <c r="BA296" s="78" t="str">
        <f t="shared" si="96"/>
        <v>2,5 ≤ Turb &lt; 5,0 uT</v>
      </c>
      <c r="BB296" s="79" t="str">
        <f t="shared" si="97"/>
        <v>TOR &gt; SM &gt; BNN</v>
      </c>
      <c r="BC296" s="78" t="str">
        <f t="shared" si="98"/>
        <v>Tipo 1 (≤0,25) uT</v>
      </c>
      <c r="BD296" s="78" t="str">
        <f t="shared" si="99"/>
        <v>Tipo 1 (≤0,25) uT</v>
      </c>
      <c r="BE296" s="78" t="str">
        <f t="shared" si="100"/>
        <v>Tipo 1 (≤0,25) uT</v>
      </c>
      <c r="BF296" s="78" t="str">
        <f t="shared" si="101"/>
        <v>Tipo 1 (≤0,25) uT</v>
      </c>
      <c r="BG296" s="78" t="str">
        <f t="shared" si="102"/>
        <v>Tipo 1 (≤0,25) uT</v>
      </c>
    </row>
    <row r="297" spans="1:59" ht="15.75" thickBot="1" x14ac:dyDescent="0.25">
      <c r="A297" s="21">
        <v>46158</v>
      </c>
      <c r="B297" s="51">
        <v>0.22916666666666666</v>
      </c>
      <c r="C297" s="58">
        <v>1160</v>
      </c>
      <c r="D297" s="58">
        <v>84</v>
      </c>
      <c r="E297" s="58">
        <v>590</v>
      </c>
      <c r="F297" s="58">
        <v>1920</v>
      </c>
      <c r="G297" s="11" t="s">
        <v>78</v>
      </c>
      <c r="H297" s="64">
        <v>8.5</v>
      </c>
      <c r="I297" s="58">
        <v>90</v>
      </c>
      <c r="J297" s="58">
        <v>90</v>
      </c>
      <c r="K297" s="58">
        <v>90</v>
      </c>
      <c r="L297" s="64">
        <v>24.9</v>
      </c>
      <c r="M297" s="64">
        <v>6.5</v>
      </c>
      <c r="N297" s="37">
        <v>2.56</v>
      </c>
      <c r="O297" s="58">
        <v>16</v>
      </c>
      <c r="P297" s="64">
        <v>4</v>
      </c>
      <c r="Q297" s="37">
        <v>0.06</v>
      </c>
      <c r="R297" s="36">
        <v>22.36</v>
      </c>
      <c r="S297" s="36">
        <v>0.88</v>
      </c>
      <c r="T297" s="36">
        <v>0.7</v>
      </c>
      <c r="U297" s="42">
        <f t="shared" si="103"/>
        <v>1286.3999999999999</v>
      </c>
      <c r="V297" s="36">
        <f t="shared" si="104"/>
        <v>1456.0756423199998</v>
      </c>
      <c r="W297" s="36">
        <f t="shared" si="105"/>
        <v>1.1318995975746269</v>
      </c>
      <c r="X297" s="58">
        <v>3</v>
      </c>
      <c r="Y297" s="58">
        <v>4</v>
      </c>
      <c r="Z297" s="64">
        <v>6.51</v>
      </c>
      <c r="AA297" s="58">
        <v>18</v>
      </c>
      <c r="AB297" s="64">
        <v>5.9</v>
      </c>
      <c r="AC297" s="64">
        <v>3.1</v>
      </c>
      <c r="AD297" s="11">
        <v>0.19</v>
      </c>
      <c r="AE297" s="37">
        <v>0.1</v>
      </c>
      <c r="AF297" s="42">
        <f t="shared" si="106"/>
        <v>1286.3999999999999</v>
      </c>
      <c r="AG297" s="42">
        <f t="shared" si="107"/>
        <v>1825.0094933200003</v>
      </c>
      <c r="AH297" s="42">
        <f t="shared" si="108"/>
        <v>1.4186951907027368</v>
      </c>
      <c r="AI297" s="58">
        <v>3</v>
      </c>
      <c r="AJ297" s="58">
        <v>4</v>
      </c>
      <c r="AK297" s="37">
        <v>6.41</v>
      </c>
      <c r="AL297" s="37">
        <v>23</v>
      </c>
      <c r="AM297" s="64">
        <v>5.9</v>
      </c>
      <c r="AN297" s="64">
        <v>2.9</v>
      </c>
      <c r="AO297" s="37">
        <v>0.11</v>
      </c>
      <c r="AP297" s="69">
        <v>0.11</v>
      </c>
      <c r="AQ297" s="73">
        <f t="shared" si="86"/>
        <v>1834</v>
      </c>
      <c r="AR297" s="75">
        <f t="shared" si="87"/>
        <v>0.63249727371864772</v>
      </c>
      <c r="AS297" s="75">
        <f t="shared" si="88"/>
        <v>4.5801526717557252E-2</v>
      </c>
      <c r="AT297" s="75">
        <f t="shared" si="89"/>
        <v>0.321701199563795</v>
      </c>
      <c r="AU297" s="26">
        <f t="shared" si="90"/>
        <v>7.4999999999999997E-2</v>
      </c>
      <c r="AV297" s="26">
        <f t="shared" si="91"/>
        <v>9.583333333333334E-2</v>
      </c>
      <c r="AW297" s="24">
        <f t="shared" si="92"/>
        <v>0.95703125</v>
      </c>
      <c r="AX297" s="24">
        <f t="shared" si="93"/>
        <v>0.9609375</v>
      </c>
      <c r="AY297" s="77" t="str">
        <f t="shared" si="94"/>
        <v>2,5 ≤ Alc. Bruta &lt; 5,0 mg/L</v>
      </c>
      <c r="AZ297" s="77" t="str">
        <f t="shared" si="95"/>
        <v>15 ≤ Cor &lt; 30 uC</v>
      </c>
      <c r="BA297" s="78" t="str">
        <f t="shared" si="96"/>
        <v>2,5 ≤ Turb &lt; 5,0 uT</v>
      </c>
      <c r="BB297" s="79" t="str">
        <f t="shared" si="97"/>
        <v>TOR &gt; BNN &gt; SM</v>
      </c>
      <c r="BC297" s="78" t="str">
        <f t="shared" si="98"/>
        <v>Tipo 1 (≤0,25) uT</v>
      </c>
      <c r="BD297" s="78" t="str">
        <f t="shared" si="99"/>
        <v>Tipo 1 (≤0,25) uT</v>
      </c>
      <c r="BE297" s="78" t="str">
        <f t="shared" si="100"/>
        <v>Tipo 1 (≤0,25) uT</v>
      </c>
      <c r="BF297" s="78" t="str">
        <f t="shared" si="101"/>
        <v>Tipo 1 (≤0,25) uT</v>
      </c>
      <c r="BG297" s="78" t="str">
        <f t="shared" si="102"/>
        <v>Tipo 1 (≤0,25) uT</v>
      </c>
    </row>
    <row r="298" spans="1:59" x14ac:dyDescent="0.2">
      <c r="A298" s="21">
        <v>46158</v>
      </c>
      <c r="B298" s="52">
        <v>0.3125</v>
      </c>
      <c r="C298" s="59">
        <v>1128</v>
      </c>
      <c r="D298" s="57">
        <v>93</v>
      </c>
      <c r="E298" s="59">
        <v>590</v>
      </c>
      <c r="F298" s="59">
        <v>1913</v>
      </c>
      <c r="G298" s="9" t="s">
        <v>78</v>
      </c>
      <c r="H298" s="65">
        <v>8.5</v>
      </c>
      <c r="I298" s="59">
        <v>90</v>
      </c>
      <c r="J298" s="59">
        <v>90</v>
      </c>
      <c r="K298" s="59">
        <v>90</v>
      </c>
      <c r="L298" s="65">
        <v>24.5</v>
      </c>
      <c r="M298" s="65">
        <v>6.6</v>
      </c>
      <c r="N298" s="38">
        <v>2.36</v>
      </c>
      <c r="O298" s="59">
        <v>13</v>
      </c>
      <c r="P298" s="65">
        <v>4.8</v>
      </c>
      <c r="Q298" s="38">
        <v>0.08</v>
      </c>
      <c r="R298" s="36">
        <v>22.36</v>
      </c>
      <c r="S298" s="36">
        <v>0.88</v>
      </c>
      <c r="T298" s="36">
        <v>0.7</v>
      </c>
      <c r="U298" s="42">
        <f t="shared" si="103"/>
        <v>1233.885</v>
      </c>
      <c r="V298" s="36">
        <f t="shared" si="104"/>
        <v>1453.2949080000001</v>
      </c>
      <c r="W298" s="36">
        <f t="shared" si="105"/>
        <v>1.1778203868269734</v>
      </c>
      <c r="X298" s="59">
        <v>3</v>
      </c>
      <c r="Y298" s="59">
        <v>4</v>
      </c>
      <c r="Z298" s="65">
        <v>6.5</v>
      </c>
      <c r="AA298" s="59">
        <v>18</v>
      </c>
      <c r="AB298" s="65">
        <v>6.9</v>
      </c>
      <c r="AC298" s="65">
        <v>5.0999999999999996</v>
      </c>
      <c r="AD298" s="9">
        <v>0.09</v>
      </c>
      <c r="AE298" s="38">
        <v>0.17</v>
      </c>
      <c r="AF298" s="42">
        <f t="shared" si="106"/>
        <v>1645.1799999999998</v>
      </c>
      <c r="AG298" s="42">
        <f t="shared" si="107"/>
        <v>1832.1158143599996</v>
      </c>
      <c r="AH298" s="42">
        <f t="shared" si="108"/>
        <v>1.1136263596445373</v>
      </c>
      <c r="AI298" s="59">
        <v>3</v>
      </c>
      <c r="AJ298" s="59">
        <v>3</v>
      </c>
      <c r="AK298" s="38">
        <v>6.43</v>
      </c>
      <c r="AL298" s="38">
        <v>23</v>
      </c>
      <c r="AM298" s="65">
        <v>6.4</v>
      </c>
      <c r="AN298" s="65">
        <v>5.8</v>
      </c>
      <c r="AO298" s="38">
        <v>0.11</v>
      </c>
      <c r="AP298" s="70">
        <v>0.14000000000000001</v>
      </c>
      <c r="AQ298" s="73">
        <f t="shared" si="86"/>
        <v>1811</v>
      </c>
      <c r="AR298" s="75">
        <f t="shared" si="87"/>
        <v>0.62286029817780231</v>
      </c>
      <c r="AS298" s="75">
        <f t="shared" si="88"/>
        <v>5.135284373274434E-2</v>
      </c>
      <c r="AT298" s="75">
        <f t="shared" si="89"/>
        <v>0.32578685808945335</v>
      </c>
      <c r="AU298" s="26">
        <f t="shared" si="90"/>
        <v>7.5274438055410356E-2</v>
      </c>
      <c r="AV298" s="26">
        <f t="shared" si="91"/>
        <v>7.2138003136434925E-2</v>
      </c>
      <c r="AW298" s="24">
        <f t="shared" si="92"/>
        <v>0.94067796610169485</v>
      </c>
      <c r="AX298" s="24">
        <f t="shared" si="93"/>
        <v>0.92796610169491522</v>
      </c>
      <c r="AY298" s="77" t="str">
        <f t="shared" si="94"/>
        <v>2,5 ≤ Alc. Bruta &lt; 5,0 mg/L</v>
      </c>
      <c r="AZ298" s="77" t="str">
        <f t="shared" si="95"/>
        <v>10 ≤ Cor &lt;15 uC</v>
      </c>
      <c r="BA298" s="78" t="str">
        <f t="shared" si="96"/>
        <v>Turbidez &lt; 2,5 uT</v>
      </c>
      <c r="BB298" s="79" t="str">
        <f t="shared" si="97"/>
        <v>TOR &gt; BNN &gt; SM</v>
      </c>
      <c r="BC298" s="78" t="str">
        <f t="shared" si="98"/>
        <v>Tipo 1 (≤0,25) uT</v>
      </c>
      <c r="BD298" s="78" t="str">
        <f t="shared" si="99"/>
        <v>Tipo 1 (≤0,25) uT</v>
      </c>
      <c r="BE298" s="78" t="str">
        <f t="shared" si="100"/>
        <v>Tipo 1 (≤0,25) uT</v>
      </c>
      <c r="BF298" s="78" t="str">
        <f t="shared" si="101"/>
        <v>Tipo 1 (≤0,25) uT</v>
      </c>
      <c r="BG298" s="78" t="str">
        <f t="shared" si="102"/>
        <v>Tipo 1 (≤0,25) uT</v>
      </c>
    </row>
    <row r="299" spans="1:59" x14ac:dyDescent="0.2">
      <c r="A299" s="21">
        <v>46158</v>
      </c>
      <c r="B299" s="48">
        <v>0.39583333333333331</v>
      </c>
      <c r="C299" s="57">
        <v>1140</v>
      </c>
      <c r="D299" s="57">
        <v>92</v>
      </c>
      <c r="E299" s="57">
        <v>589</v>
      </c>
      <c r="F299" s="57">
        <v>1833</v>
      </c>
      <c r="G299" s="10" t="s">
        <v>78</v>
      </c>
      <c r="H299" s="63">
        <v>8.1999999999999993</v>
      </c>
      <c r="I299" s="57">
        <v>90</v>
      </c>
      <c r="J299" s="57">
        <v>90</v>
      </c>
      <c r="K299" s="57">
        <v>90</v>
      </c>
      <c r="L299" s="63">
        <v>24.7</v>
      </c>
      <c r="M299" s="63">
        <v>6.7</v>
      </c>
      <c r="N299" s="36">
        <v>2.4</v>
      </c>
      <c r="O299" s="57">
        <v>11</v>
      </c>
      <c r="P299" s="63">
        <v>6.9</v>
      </c>
      <c r="Q299" s="36">
        <v>0.06</v>
      </c>
      <c r="R299" s="36">
        <v>22.36</v>
      </c>
      <c r="S299" s="36">
        <v>0.88</v>
      </c>
      <c r="T299" s="36">
        <v>0.7</v>
      </c>
      <c r="U299" s="42">
        <f t="shared" si="103"/>
        <v>1170.8287499999999</v>
      </c>
      <c r="V299" s="36">
        <f t="shared" si="104"/>
        <v>1453.2949080000001</v>
      </c>
      <c r="W299" s="36">
        <f t="shared" si="105"/>
        <v>1.2412531789982097</v>
      </c>
      <c r="X299" s="57">
        <v>3</v>
      </c>
      <c r="Y299" s="57">
        <v>4</v>
      </c>
      <c r="Z299" s="63">
        <v>6.5</v>
      </c>
      <c r="AA299" s="57">
        <v>18</v>
      </c>
      <c r="AB299" s="63">
        <v>6.5</v>
      </c>
      <c r="AC299" s="63">
        <v>5.6</v>
      </c>
      <c r="AD299" s="10">
        <v>0.13</v>
      </c>
      <c r="AE299" s="36">
        <v>0.2</v>
      </c>
      <c r="AF299" s="42">
        <f t="shared" si="106"/>
        <v>1561.1049999999998</v>
      </c>
      <c r="AG299" s="42">
        <f t="shared" si="107"/>
        <v>1825.0094933200003</v>
      </c>
      <c r="AH299" s="42">
        <f t="shared" si="108"/>
        <v>1.1690498033892662</v>
      </c>
      <c r="AI299" s="57">
        <v>3</v>
      </c>
      <c r="AJ299" s="57">
        <v>3</v>
      </c>
      <c r="AK299" s="36">
        <v>6.41</v>
      </c>
      <c r="AL299" s="36">
        <v>23</v>
      </c>
      <c r="AM299" s="63">
        <v>6.5</v>
      </c>
      <c r="AN299" s="63">
        <v>6.1</v>
      </c>
      <c r="AO299" s="36">
        <v>0.21</v>
      </c>
      <c r="AP299" s="68">
        <v>0.18</v>
      </c>
      <c r="AQ299" s="73">
        <f t="shared" si="86"/>
        <v>1821</v>
      </c>
      <c r="AR299" s="75">
        <f t="shared" si="87"/>
        <v>0.62602965403624378</v>
      </c>
      <c r="AS299" s="75">
        <f t="shared" si="88"/>
        <v>5.0521691378363535E-2</v>
      </c>
      <c r="AT299" s="75">
        <f t="shared" si="89"/>
        <v>0.32344865458539263</v>
      </c>
      <c r="AU299" s="26">
        <f t="shared" si="90"/>
        <v>7.855973813420622E-2</v>
      </c>
      <c r="AV299" s="26">
        <f t="shared" si="91"/>
        <v>7.5286415711947621E-2</v>
      </c>
      <c r="AW299" s="24">
        <f t="shared" si="92"/>
        <v>0.92500000000000004</v>
      </c>
      <c r="AX299" s="24">
        <f t="shared" si="93"/>
        <v>0.91666666666666663</v>
      </c>
      <c r="AY299" s="77" t="str">
        <f t="shared" si="94"/>
        <v>5,0 ≤ Alc. Bruta &lt; 7,5 mg/L</v>
      </c>
      <c r="AZ299" s="77" t="str">
        <f t="shared" si="95"/>
        <v>10 ≤ Cor &lt;15 uC</v>
      </c>
      <c r="BA299" s="78" t="str">
        <f t="shared" si="96"/>
        <v>Turbidez &lt; 2,5 uT</v>
      </c>
      <c r="BB299" s="79" t="str">
        <f t="shared" si="97"/>
        <v>TOR &gt; BNN &gt; SM</v>
      </c>
      <c r="BC299" s="78" t="str">
        <f t="shared" si="98"/>
        <v>Tipo 1 (≤0,25) uT</v>
      </c>
      <c r="BD299" s="78" t="str">
        <f t="shared" si="99"/>
        <v>Tipo 1 (≤0,25) uT</v>
      </c>
      <c r="BE299" s="78" t="str">
        <f t="shared" si="100"/>
        <v>Tipo 1 (≤0,25) uT</v>
      </c>
      <c r="BF299" s="78" t="str">
        <f t="shared" si="101"/>
        <v>Tipo 1 (≤0,25) uT</v>
      </c>
      <c r="BG299" s="78" t="str">
        <f t="shared" si="102"/>
        <v>Tipo 1 (≤0,25) uT</v>
      </c>
    </row>
    <row r="300" spans="1:59" x14ac:dyDescent="0.2">
      <c r="A300" s="21">
        <v>46158</v>
      </c>
      <c r="B300" s="48">
        <v>0.47916666666666669</v>
      </c>
      <c r="C300" s="57">
        <v>1145</v>
      </c>
      <c r="D300" s="57">
        <v>91</v>
      </c>
      <c r="E300" s="57">
        <v>589</v>
      </c>
      <c r="F300" s="57">
        <v>1891</v>
      </c>
      <c r="G300" s="10" t="s">
        <v>78</v>
      </c>
      <c r="H300" s="63">
        <v>7.8</v>
      </c>
      <c r="I300" s="57">
        <v>90</v>
      </c>
      <c r="J300" s="57">
        <v>90</v>
      </c>
      <c r="K300" s="57">
        <v>90</v>
      </c>
      <c r="L300" s="63">
        <v>24.9</v>
      </c>
      <c r="M300" s="63">
        <v>6.7</v>
      </c>
      <c r="N300" s="36">
        <v>2.65</v>
      </c>
      <c r="O300" s="57">
        <v>14</v>
      </c>
      <c r="P300" s="63">
        <v>7.4</v>
      </c>
      <c r="Q300" s="36">
        <v>0.05</v>
      </c>
      <c r="R300" s="36">
        <v>22.36</v>
      </c>
      <c r="S300" s="36">
        <v>0.88</v>
      </c>
      <c r="T300" s="36">
        <v>0.7</v>
      </c>
      <c r="U300" s="42">
        <f t="shared" si="103"/>
        <v>1238.605</v>
      </c>
      <c r="V300" s="36">
        <f t="shared" si="104"/>
        <v>1453.2949080000001</v>
      </c>
      <c r="W300" s="36">
        <f t="shared" si="105"/>
        <v>1.1733320211043876</v>
      </c>
      <c r="X300" s="57">
        <v>3</v>
      </c>
      <c r="Y300" s="57">
        <v>4</v>
      </c>
      <c r="Z300" s="63">
        <v>6.5</v>
      </c>
      <c r="AA300" s="57">
        <v>18</v>
      </c>
      <c r="AB300" s="63">
        <v>6.4</v>
      </c>
      <c r="AC300" s="63">
        <v>5.5</v>
      </c>
      <c r="AD300" s="10">
        <v>0.11</v>
      </c>
      <c r="AE300" s="36">
        <v>0.23</v>
      </c>
      <c r="AF300" s="42">
        <f t="shared" si="106"/>
        <v>1651.4733333333336</v>
      </c>
      <c r="AG300" s="42">
        <f t="shared" si="107"/>
        <v>1825.0094933200003</v>
      </c>
      <c r="AH300" s="42">
        <f t="shared" si="108"/>
        <v>1.1050796016405553</v>
      </c>
      <c r="AI300" s="57">
        <v>3</v>
      </c>
      <c r="AJ300" s="57">
        <v>3</v>
      </c>
      <c r="AK300" s="36">
        <v>6.41</v>
      </c>
      <c r="AL300" s="36">
        <v>23</v>
      </c>
      <c r="AM300" s="63">
        <v>6.4</v>
      </c>
      <c r="AN300" s="63">
        <v>5.4</v>
      </c>
      <c r="AO300" s="36">
        <v>0.2</v>
      </c>
      <c r="AP300" s="68">
        <v>0.15</v>
      </c>
      <c r="AQ300" s="73">
        <f t="shared" si="86"/>
        <v>1825</v>
      </c>
      <c r="AR300" s="75">
        <f t="shared" si="87"/>
        <v>0.62739726027397258</v>
      </c>
      <c r="AS300" s="75">
        <f t="shared" si="88"/>
        <v>4.9863013698630138E-2</v>
      </c>
      <c r="AT300" s="75">
        <f t="shared" si="89"/>
        <v>0.32273972602739726</v>
      </c>
      <c r="AU300" s="26">
        <f t="shared" si="90"/>
        <v>7.615018508725542E-2</v>
      </c>
      <c r="AV300" s="26">
        <f t="shared" si="91"/>
        <v>7.2977260708619776E-2</v>
      </c>
      <c r="AW300" s="24">
        <f t="shared" si="92"/>
        <v>0.94339622641509435</v>
      </c>
      <c r="AX300" s="24">
        <f t="shared" si="93"/>
        <v>0.91320754716981134</v>
      </c>
      <c r="AY300" s="77" t="str">
        <f t="shared" si="94"/>
        <v>5,0 ≤ Alc. Bruta &lt; 7,5 mg/L</v>
      </c>
      <c r="AZ300" s="77" t="str">
        <f t="shared" si="95"/>
        <v>10 ≤ Cor &lt;15 uC</v>
      </c>
      <c r="BA300" s="78" t="str">
        <f t="shared" si="96"/>
        <v>2,5 ≤ Turb &lt; 5,0 uT</v>
      </c>
      <c r="BB300" s="79" t="str">
        <f t="shared" si="97"/>
        <v>TOR &gt; BNN &gt; SM</v>
      </c>
      <c r="BC300" s="78" t="str">
        <f t="shared" si="98"/>
        <v>Tipo 1 (≤0,25) uT</v>
      </c>
      <c r="BD300" s="78" t="str">
        <f t="shared" si="99"/>
        <v>Tipo 1 (≤0,25) uT</v>
      </c>
      <c r="BE300" s="78" t="str">
        <f t="shared" si="100"/>
        <v>Tipo 1 (≤0,25) uT</v>
      </c>
      <c r="BF300" s="78" t="str">
        <f t="shared" si="101"/>
        <v>Tipo 1 (≤0,25) uT</v>
      </c>
      <c r="BG300" s="78" t="str">
        <f t="shared" si="102"/>
        <v>Tipo 1 (≤0,25) uT</v>
      </c>
    </row>
    <row r="301" spans="1:59" x14ac:dyDescent="0.2">
      <c r="A301" s="21">
        <v>46158</v>
      </c>
      <c r="B301" s="48">
        <v>0.64583333333333337</v>
      </c>
      <c r="C301" s="57">
        <v>1202</v>
      </c>
      <c r="D301" s="57">
        <v>83</v>
      </c>
      <c r="E301" s="57">
        <v>588</v>
      </c>
      <c r="F301" s="57">
        <v>1895</v>
      </c>
      <c r="G301" s="10" t="s">
        <v>78</v>
      </c>
      <c r="H301" s="63">
        <v>6.9</v>
      </c>
      <c r="I301" s="57">
        <v>90</v>
      </c>
      <c r="J301" s="57">
        <v>90</v>
      </c>
      <c r="K301" s="57">
        <v>90</v>
      </c>
      <c r="L301" s="63">
        <v>25.5</v>
      </c>
      <c r="M301" s="63">
        <v>6.7</v>
      </c>
      <c r="N301" s="36">
        <v>2.86</v>
      </c>
      <c r="O301" s="57">
        <v>14</v>
      </c>
      <c r="P301" s="63">
        <v>7</v>
      </c>
      <c r="Q301" s="36">
        <v>0.06</v>
      </c>
      <c r="R301" s="36">
        <v>22.36</v>
      </c>
      <c r="S301" s="36">
        <v>0.88</v>
      </c>
      <c r="T301" s="36">
        <v>0.7</v>
      </c>
      <c r="U301" s="42">
        <f t="shared" si="103"/>
        <v>1227.0125</v>
      </c>
      <c r="V301" s="36">
        <f t="shared" si="104"/>
        <v>1447.7334393599999</v>
      </c>
      <c r="W301" s="36">
        <f t="shared" si="105"/>
        <v>1.1798848335774899</v>
      </c>
      <c r="X301" s="57">
        <v>3</v>
      </c>
      <c r="Y301" s="57">
        <v>4</v>
      </c>
      <c r="Z301" s="63">
        <v>6.48</v>
      </c>
      <c r="AA301" s="57">
        <v>18</v>
      </c>
      <c r="AB301" s="63">
        <v>6.5</v>
      </c>
      <c r="AC301" s="63">
        <v>5.4</v>
      </c>
      <c r="AD301" s="10">
        <v>0.18</v>
      </c>
      <c r="AE301" s="36">
        <v>0.24</v>
      </c>
      <c r="AF301" s="42">
        <f t="shared" si="106"/>
        <v>1636.0166666666664</v>
      </c>
      <c r="AG301" s="42">
        <f t="shared" si="107"/>
        <v>1825.0094933200003</v>
      </c>
      <c r="AH301" s="42">
        <f t="shared" si="108"/>
        <v>1.1155201108301671</v>
      </c>
      <c r="AI301" s="57">
        <v>3</v>
      </c>
      <c r="AJ301" s="57">
        <v>3</v>
      </c>
      <c r="AK301" s="36">
        <v>6.41</v>
      </c>
      <c r="AL301" s="36">
        <v>23</v>
      </c>
      <c r="AM301" s="63">
        <v>6.5</v>
      </c>
      <c r="AN301" s="63">
        <v>6</v>
      </c>
      <c r="AO301" s="36">
        <v>0.16</v>
      </c>
      <c r="AP301" s="68">
        <v>0.16</v>
      </c>
      <c r="AQ301" s="73">
        <f t="shared" si="86"/>
        <v>1873</v>
      </c>
      <c r="AR301" s="75">
        <f t="shared" si="87"/>
        <v>0.64175120128136676</v>
      </c>
      <c r="AS301" s="75">
        <f t="shared" si="88"/>
        <v>4.4313934863854779E-2</v>
      </c>
      <c r="AT301" s="75">
        <f t="shared" si="89"/>
        <v>0.31393486385477842</v>
      </c>
      <c r="AU301" s="26">
        <f t="shared" si="90"/>
        <v>7.5989445910290235E-2</v>
      </c>
      <c r="AV301" s="26">
        <f t="shared" si="91"/>
        <v>7.282321899736148E-2</v>
      </c>
      <c r="AW301" s="24">
        <f t="shared" si="92"/>
        <v>0.94405594405594406</v>
      </c>
      <c r="AX301" s="24">
        <f t="shared" si="93"/>
        <v>0.91608391608391604</v>
      </c>
      <c r="AY301" s="77" t="str">
        <f t="shared" si="94"/>
        <v>5,0 ≤ Alc. Bruta &lt; 7,5 mg/L</v>
      </c>
      <c r="AZ301" s="77" t="str">
        <f t="shared" si="95"/>
        <v>10 ≤ Cor &lt;15 uC</v>
      </c>
      <c r="BA301" s="78" t="str">
        <f t="shared" si="96"/>
        <v>2,5 ≤ Turb &lt; 5,0 uT</v>
      </c>
      <c r="BB301" s="79" t="str">
        <f t="shared" si="97"/>
        <v>TOR &gt; BNN &gt; SM</v>
      </c>
      <c r="BC301" s="78" t="str">
        <f t="shared" si="98"/>
        <v>Tipo 1 (≤0,25) uT</v>
      </c>
      <c r="BD301" s="78" t="str">
        <f t="shared" si="99"/>
        <v>Tipo 1 (≤0,25) uT</v>
      </c>
      <c r="BE301" s="78" t="str">
        <f t="shared" si="100"/>
        <v>Tipo 1 (≤0,25) uT</v>
      </c>
      <c r="BF301" s="78" t="str">
        <f t="shared" si="101"/>
        <v>Tipo 1 (≤0,25) uT</v>
      </c>
      <c r="BG301" s="78" t="str">
        <f t="shared" si="102"/>
        <v>Tipo 1 (≤0,25) uT</v>
      </c>
    </row>
    <row r="302" spans="1:59" x14ac:dyDescent="0.2">
      <c r="A302" s="21">
        <v>46158</v>
      </c>
      <c r="B302" s="48">
        <v>0.72916666666666663</v>
      </c>
      <c r="C302" s="57">
        <v>1072</v>
      </c>
      <c r="D302" s="57">
        <v>87</v>
      </c>
      <c r="E302" s="57">
        <v>588</v>
      </c>
      <c r="F302" s="57">
        <v>1930</v>
      </c>
      <c r="G302" s="10" t="s">
        <v>78</v>
      </c>
      <c r="H302" s="63">
        <v>6.5</v>
      </c>
      <c r="I302" s="57">
        <v>90</v>
      </c>
      <c r="J302" s="57">
        <v>90</v>
      </c>
      <c r="K302" s="57">
        <v>90</v>
      </c>
      <c r="L302" s="63">
        <v>26.3</v>
      </c>
      <c r="M302" s="63">
        <v>6.6</v>
      </c>
      <c r="N302" s="36">
        <v>2.62</v>
      </c>
      <c r="O302" s="57">
        <v>12</v>
      </c>
      <c r="P302" s="63">
        <v>7</v>
      </c>
      <c r="Q302" s="36">
        <v>0.08</v>
      </c>
      <c r="R302" s="36">
        <v>22.36</v>
      </c>
      <c r="S302" s="36">
        <v>0.88</v>
      </c>
      <c r="T302" s="36">
        <v>0.7</v>
      </c>
      <c r="U302" s="42">
        <f t="shared" si="103"/>
        <v>1162.825</v>
      </c>
      <c r="V302" s="36">
        <f t="shared" si="104"/>
        <v>1447.7334393599999</v>
      </c>
      <c r="W302" s="36">
        <f t="shared" si="105"/>
        <v>1.2450140299357169</v>
      </c>
      <c r="X302" s="57">
        <v>3</v>
      </c>
      <c r="Y302" s="57">
        <v>4</v>
      </c>
      <c r="Z302" s="63">
        <v>6.48</v>
      </c>
      <c r="AA302" s="57">
        <v>18</v>
      </c>
      <c r="AB302" s="63">
        <v>6.6</v>
      </c>
      <c r="AC302" s="63">
        <v>6.1</v>
      </c>
      <c r="AD302" s="10">
        <v>0.33</v>
      </c>
      <c r="AE302" s="36">
        <v>0.27</v>
      </c>
      <c r="AF302" s="42">
        <f t="shared" si="106"/>
        <v>1550.4333333333336</v>
      </c>
      <c r="AG302" s="42">
        <f t="shared" si="107"/>
        <v>1825.0094933200003</v>
      </c>
      <c r="AH302" s="42">
        <f t="shared" si="108"/>
        <v>1.177096398847634</v>
      </c>
      <c r="AI302" s="57">
        <v>3</v>
      </c>
      <c r="AJ302" s="57">
        <v>3</v>
      </c>
      <c r="AK302" s="36">
        <v>6.41</v>
      </c>
      <c r="AL302" s="36">
        <v>23</v>
      </c>
      <c r="AM302" s="63">
        <v>6.6</v>
      </c>
      <c r="AN302" s="63">
        <v>5.5</v>
      </c>
      <c r="AO302" s="36">
        <v>0.4</v>
      </c>
      <c r="AP302" s="68">
        <v>0.18</v>
      </c>
      <c r="AQ302" s="73">
        <f t="shared" si="86"/>
        <v>1747</v>
      </c>
      <c r="AR302" s="75">
        <f t="shared" si="87"/>
        <v>0.61362335432169435</v>
      </c>
      <c r="AS302" s="75">
        <f t="shared" si="88"/>
        <v>4.9799656554092728E-2</v>
      </c>
      <c r="AT302" s="75">
        <f t="shared" si="89"/>
        <v>0.33657698912421291</v>
      </c>
      <c r="AU302" s="26">
        <f t="shared" si="90"/>
        <v>7.4611398963730563E-2</v>
      </c>
      <c r="AV302" s="26">
        <f t="shared" si="91"/>
        <v>7.1502590673575131E-2</v>
      </c>
      <c r="AW302" s="24">
        <f t="shared" si="92"/>
        <v>0.93129770992366412</v>
      </c>
      <c r="AX302" s="24">
        <f t="shared" si="93"/>
        <v>0.89694656488549618</v>
      </c>
      <c r="AY302" s="77" t="str">
        <f t="shared" si="94"/>
        <v>5,0 ≤ Alc. Bruta &lt; 7,5 mg/L</v>
      </c>
      <c r="AZ302" s="77" t="str">
        <f t="shared" si="95"/>
        <v>10 ≤ Cor &lt;15 uC</v>
      </c>
      <c r="BA302" s="78" t="str">
        <f t="shared" si="96"/>
        <v>2,5 ≤ Turb &lt; 5,0 uT</v>
      </c>
      <c r="BB302" s="79" t="str">
        <f t="shared" si="97"/>
        <v>TOR &gt; BNN &gt; SM</v>
      </c>
      <c r="BC302" s="78" t="str">
        <f t="shared" si="98"/>
        <v>Tipo 2 (0,25-0,50) uT</v>
      </c>
      <c r="BD302" s="78" t="str">
        <f t="shared" si="99"/>
        <v>Tipo 2 (0,25-0,50) uT</v>
      </c>
      <c r="BE302" s="78" t="str">
        <f t="shared" si="100"/>
        <v>Tipo 2 (0,25-0,50) uT</v>
      </c>
      <c r="BF302" s="78" t="str">
        <f t="shared" si="101"/>
        <v>Tipo 1 (≤0,25) uT</v>
      </c>
      <c r="BG302" s="78" t="str">
        <f t="shared" si="102"/>
        <v>Tipo 1 (≤0,25) uT</v>
      </c>
    </row>
    <row r="303" spans="1:59" x14ac:dyDescent="0.2">
      <c r="A303" s="21">
        <v>46158</v>
      </c>
      <c r="B303" s="48">
        <v>0.8125</v>
      </c>
      <c r="C303" s="57">
        <v>1156</v>
      </c>
      <c r="D303" s="57">
        <v>88</v>
      </c>
      <c r="E303" s="57">
        <v>588</v>
      </c>
      <c r="F303" s="57">
        <v>1968</v>
      </c>
      <c r="G303" s="10" t="s">
        <v>78</v>
      </c>
      <c r="H303" s="63">
        <v>6.9</v>
      </c>
      <c r="I303" s="57">
        <v>90</v>
      </c>
      <c r="J303" s="57">
        <v>90</v>
      </c>
      <c r="K303" s="57">
        <v>90</v>
      </c>
      <c r="L303" s="63">
        <v>26.4</v>
      </c>
      <c r="M303" s="63">
        <v>6.7</v>
      </c>
      <c r="N303" s="36">
        <v>2.48</v>
      </c>
      <c r="O303" s="57">
        <v>11</v>
      </c>
      <c r="P303" s="63">
        <v>6.1</v>
      </c>
      <c r="Q303" s="36">
        <v>0.37</v>
      </c>
      <c r="R303" s="36">
        <v>22.36</v>
      </c>
      <c r="S303" s="36">
        <v>0.88</v>
      </c>
      <c r="T303" s="36">
        <v>0.7</v>
      </c>
      <c r="U303" s="42">
        <f t="shared" si="103"/>
        <v>1180.8</v>
      </c>
      <c r="V303" s="36">
        <f t="shared" si="104"/>
        <v>1456.0756423199998</v>
      </c>
      <c r="W303" s="36">
        <f t="shared" si="105"/>
        <v>1.2331263908536585</v>
      </c>
      <c r="X303" s="57">
        <v>2</v>
      </c>
      <c r="Y303" s="57">
        <v>4</v>
      </c>
      <c r="Z303" s="63">
        <v>6.51</v>
      </c>
      <c r="AA303" s="57">
        <v>18</v>
      </c>
      <c r="AB303" s="63">
        <v>6.6</v>
      </c>
      <c r="AC303" s="63">
        <v>6</v>
      </c>
      <c r="AD303" s="10">
        <v>0.3</v>
      </c>
      <c r="AE303" s="36">
        <v>0.48</v>
      </c>
      <c r="AF303" s="42">
        <f t="shared" si="106"/>
        <v>1574.3999999999999</v>
      </c>
      <c r="AG303" s="42">
        <f t="shared" si="107"/>
        <v>1749.0599297599999</v>
      </c>
      <c r="AH303" s="42">
        <f t="shared" si="108"/>
        <v>1.1109374553861788</v>
      </c>
      <c r="AI303" s="57">
        <v>2</v>
      </c>
      <c r="AJ303" s="57">
        <v>3</v>
      </c>
      <c r="AK303" s="36">
        <v>6.42</v>
      </c>
      <c r="AL303" s="36">
        <v>22</v>
      </c>
      <c r="AM303" s="63">
        <v>6.6</v>
      </c>
      <c r="AN303" s="63">
        <v>5.7</v>
      </c>
      <c r="AO303" s="36">
        <v>0.41</v>
      </c>
      <c r="AP303" s="68">
        <v>0.41</v>
      </c>
      <c r="AQ303" s="73">
        <f t="shared" si="86"/>
        <v>1832</v>
      </c>
      <c r="AR303" s="75">
        <f t="shared" si="87"/>
        <v>0.63100436681222705</v>
      </c>
      <c r="AS303" s="75">
        <f t="shared" si="88"/>
        <v>4.8034934497816595E-2</v>
      </c>
      <c r="AT303" s="75">
        <f t="shared" si="89"/>
        <v>0.32096069868995636</v>
      </c>
      <c r="AU303" s="26">
        <f t="shared" si="90"/>
        <v>7.3170731707317069E-2</v>
      </c>
      <c r="AV303" s="26">
        <f t="shared" si="91"/>
        <v>6.7073170731707321E-2</v>
      </c>
      <c r="AW303" s="24">
        <f t="shared" si="92"/>
        <v>0.83467741935483875</v>
      </c>
      <c r="AX303" s="24">
        <f t="shared" si="93"/>
        <v>0.80645161290322576</v>
      </c>
      <c r="AY303" s="77" t="str">
        <f t="shared" si="94"/>
        <v>5,0 ≤ Alc. Bruta &lt; 7,5 mg/L</v>
      </c>
      <c r="AZ303" s="77" t="str">
        <f t="shared" si="95"/>
        <v>10 ≤ Cor &lt;15 uC</v>
      </c>
      <c r="BA303" s="78" t="str">
        <f t="shared" si="96"/>
        <v>Turbidez &lt; 2,5 uT</v>
      </c>
      <c r="BB303" s="79" t="str">
        <f t="shared" si="97"/>
        <v>TOR &gt; BNN &gt; SM</v>
      </c>
      <c r="BC303" s="78" t="str">
        <f t="shared" si="98"/>
        <v>Tipo 2 (0,25-0,50) uT</v>
      </c>
      <c r="BD303" s="78" t="str">
        <f t="shared" si="99"/>
        <v>Tipo 2 (0,25-0,50) uT</v>
      </c>
      <c r="BE303" s="78" t="str">
        <f t="shared" si="100"/>
        <v>Tipo 2 (0,25-0,50) uT</v>
      </c>
      <c r="BF303" s="78" t="str">
        <f t="shared" si="101"/>
        <v>Tipo 2 (0,25-0,50) uT</v>
      </c>
      <c r="BG303" s="78" t="str">
        <f t="shared" si="102"/>
        <v>Tipo 2 (0,25-0,50) uT</v>
      </c>
    </row>
    <row r="304" spans="1:59" x14ac:dyDescent="0.2">
      <c r="A304" s="21">
        <v>46158</v>
      </c>
      <c r="B304" s="48">
        <v>0.89583333333333337</v>
      </c>
      <c r="C304" s="57">
        <v>1167</v>
      </c>
      <c r="D304" s="57">
        <v>88</v>
      </c>
      <c r="E304" s="57">
        <v>588</v>
      </c>
      <c r="F304" s="57">
        <v>1965</v>
      </c>
      <c r="G304" s="10" t="s">
        <v>78</v>
      </c>
      <c r="H304" s="63">
        <v>6.9</v>
      </c>
      <c r="I304" s="57">
        <v>90</v>
      </c>
      <c r="J304" s="57">
        <v>90</v>
      </c>
      <c r="K304" s="57">
        <v>90</v>
      </c>
      <c r="L304" s="63">
        <v>25.9</v>
      </c>
      <c r="M304" s="63">
        <v>6.6</v>
      </c>
      <c r="N304" s="36">
        <v>2.4300000000000002</v>
      </c>
      <c r="O304" s="57">
        <v>17</v>
      </c>
      <c r="P304" s="63">
        <v>6.8</v>
      </c>
      <c r="Q304" s="36">
        <v>0.3</v>
      </c>
      <c r="R304" s="36">
        <v>22.36</v>
      </c>
      <c r="S304" s="36">
        <v>0.88</v>
      </c>
      <c r="T304" s="36">
        <v>0.7</v>
      </c>
      <c r="U304" s="42">
        <f t="shared" si="103"/>
        <v>1166.71875</v>
      </c>
      <c r="V304" s="36">
        <f t="shared" si="104"/>
        <v>1458.8563766399996</v>
      </c>
      <c r="W304" s="36">
        <f t="shared" si="105"/>
        <v>1.2503925017404576</v>
      </c>
      <c r="X304" s="57">
        <v>3</v>
      </c>
      <c r="Y304" s="57">
        <v>4</v>
      </c>
      <c r="Z304" s="63">
        <v>6.52</v>
      </c>
      <c r="AA304" s="57">
        <v>18</v>
      </c>
      <c r="AB304" s="63">
        <v>6.5</v>
      </c>
      <c r="AC304" s="63">
        <v>6</v>
      </c>
      <c r="AD304" s="10">
        <v>0.21</v>
      </c>
      <c r="AE304" s="36">
        <v>0.47</v>
      </c>
      <c r="AF304" s="42">
        <f t="shared" si="106"/>
        <v>1555.625</v>
      </c>
      <c r="AG304" s="42">
        <f t="shared" si="107"/>
        <v>1749.0599297599999</v>
      </c>
      <c r="AH304" s="42">
        <f t="shared" si="108"/>
        <v>1.1243454751370028</v>
      </c>
      <c r="AI304" s="57">
        <v>3</v>
      </c>
      <c r="AJ304" s="57">
        <v>3</v>
      </c>
      <c r="AK304" s="36">
        <v>6.42</v>
      </c>
      <c r="AL304" s="36">
        <v>22</v>
      </c>
      <c r="AM304" s="63">
        <v>6.6</v>
      </c>
      <c r="AN304" s="63">
        <v>5.9</v>
      </c>
      <c r="AO304" s="36">
        <v>0.34</v>
      </c>
      <c r="AP304" s="68">
        <v>0.39</v>
      </c>
      <c r="AQ304" s="73">
        <f t="shared" si="86"/>
        <v>1843</v>
      </c>
      <c r="AR304" s="75">
        <f t="shared" si="87"/>
        <v>0.63320672816060775</v>
      </c>
      <c r="AS304" s="75">
        <f t="shared" si="88"/>
        <v>4.7748236570808462E-2</v>
      </c>
      <c r="AT304" s="75">
        <f t="shared" si="89"/>
        <v>0.31904503526858385</v>
      </c>
      <c r="AU304" s="26">
        <f t="shared" si="90"/>
        <v>7.3282442748091606E-2</v>
      </c>
      <c r="AV304" s="26">
        <f t="shared" si="91"/>
        <v>6.7175572519083973E-2</v>
      </c>
      <c r="AW304" s="24">
        <f t="shared" si="92"/>
        <v>0.83950617283950613</v>
      </c>
      <c r="AX304" s="24">
        <f t="shared" si="93"/>
        <v>0.80658436213991769</v>
      </c>
      <c r="AY304" s="77" t="str">
        <f t="shared" si="94"/>
        <v>5,0 ≤ Alc. Bruta &lt; 7,5 mg/L</v>
      </c>
      <c r="AZ304" s="77" t="str">
        <f t="shared" si="95"/>
        <v>15 ≤ Cor &lt; 30 uC</v>
      </c>
      <c r="BA304" s="78" t="str">
        <f t="shared" si="96"/>
        <v>Turbidez &lt; 2,5 uT</v>
      </c>
      <c r="BB304" s="79" t="str">
        <f t="shared" si="97"/>
        <v>TOR &gt; BNN &gt; SM</v>
      </c>
      <c r="BC304" s="78" t="str">
        <f t="shared" si="98"/>
        <v>Tipo 1 (≤0,25) uT</v>
      </c>
      <c r="BD304" s="78" t="str">
        <f t="shared" si="99"/>
        <v>Tipo 2 (0,25-0,50) uT</v>
      </c>
      <c r="BE304" s="78" t="str">
        <f t="shared" si="100"/>
        <v>Tipo 2 (0,25-0,50) uT</v>
      </c>
      <c r="BF304" s="78" t="str">
        <f t="shared" si="101"/>
        <v>Tipo 2 (0,25-0,50) uT</v>
      </c>
      <c r="BG304" s="78" t="str">
        <f t="shared" si="102"/>
        <v>Tipo 2 (0,25-0,50) uT</v>
      </c>
    </row>
    <row r="305" spans="1:59" x14ac:dyDescent="0.2">
      <c r="A305" s="21">
        <v>46159</v>
      </c>
      <c r="B305" s="48">
        <v>6.25E-2</v>
      </c>
      <c r="C305" s="57">
        <v>1087</v>
      </c>
      <c r="D305" s="57">
        <v>88</v>
      </c>
      <c r="E305" s="57">
        <v>588</v>
      </c>
      <c r="F305" s="57">
        <v>1965</v>
      </c>
      <c r="G305" s="10" t="s">
        <v>78</v>
      </c>
      <c r="H305" s="63">
        <v>6.9</v>
      </c>
      <c r="I305" s="57">
        <v>90</v>
      </c>
      <c r="J305" s="57">
        <v>90</v>
      </c>
      <c r="K305" s="57">
        <v>90</v>
      </c>
      <c r="L305" s="63">
        <v>25.1</v>
      </c>
      <c r="M305" s="63">
        <v>6.7</v>
      </c>
      <c r="N305" s="36">
        <v>2.74</v>
      </c>
      <c r="O305" s="57">
        <v>11</v>
      </c>
      <c r="P305" s="63">
        <v>6.6</v>
      </c>
      <c r="Q305" s="36">
        <v>0.3</v>
      </c>
      <c r="R305" s="36">
        <v>22.36</v>
      </c>
      <c r="S305" s="36">
        <v>0.88</v>
      </c>
      <c r="T305" s="36">
        <v>0.7</v>
      </c>
      <c r="U305" s="42">
        <f t="shared" si="103"/>
        <v>1242.8625000000002</v>
      </c>
      <c r="V305" s="36">
        <f t="shared" si="104"/>
        <v>1377.8088001599995</v>
      </c>
      <c r="W305" s="36">
        <f t="shared" si="105"/>
        <v>1.1085770148829812</v>
      </c>
      <c r="X305" s="57">
        <v>2</v>
      </c>
      <c r="Y305" s="57">
        <v>4</v>
      </c>
      <c r="Z305" s="63">
        <v>6.52</v>
      </c>
      <c r="AA305" s="57">
        <v>17</v>
      </c>
      <c r="AB305" s="63">
        <v>6.5</v>
      </c>
      <c r="AC305" s="63">
        <v>5.6</v>
      </c>
      <c r="AD305" s="10">
        <v>0.3</v>
      </c>
      <c r="AE305" s="36">
        <v>0.6</v>
      </c>
      <c r="AF305" s="42">
        <f t="shared" si="106"/>
        <v>1657.15</v>
      </c>
      <c r="AG305" s="42">
        <f t="shared" si="107"/>
        <v>1814.3500117599995</v>
      </c>
      <c r="AH305" s="42">
        <f t="shared" si="108"/>
        <v>1.0948616671755722</v>
      </c>
      <c r="AI305" s="57">
        <v>2</v>
      </c>
      <c r="AJ305" s="57">
        <v>3</v>
      </c>
      <c r="AK305" s="36">
        <v>6.38</v>
      </c>
      <c r="AL305" s="36">
        <v>23</v>
      </c>
      <c r="AM305" s="63">
        <v>6.5</v>
      </c>
      <c r="AN305" s="63">
        <v>6</v>
      </c>
      <c r="AO305" s="36">
        <v>0.39</v>
      </c>
      <c r="AP305" s="68">
        <v>0.4</v>
      </c>
      <c r="AQ305" s="73">
        <f t="shared" si="86"/>
        <v>1763</v>
      </c>
      <c r="AR305" s="75">
        <f t="shared" si="87"/>
        <v>0.6165626772546795</v>
      </c>
      <c r="AS305" s="75">
        <f t="shared" si="88"/>
        <v>4.9914917753828704E-2</v>
      </c>
      <c r="AT305" s="75">
        <f t="shared" si="89"/>
        <v>0.33352240499149177</v>
      </c>
      <c r="AU305" s="26">
        <f t="shared" si="90"/>
        <v>6.9211195928753175E-2</v>
      </c>
      <c r="AV305" s="26">
        <f t="shared" si="91"/>
        <v>7.0229007633587789E-2</v>
      </c>
      <c r="AW305" s="24">
        <f t="shared" si="92"/>
        <v>0.85401459854014594</v>
      </c>
      <c r="AX305" s="24">
        <f t="shared" si="93"/>
        <v>0.78102189781021902</v>
      </c>
      <c r="AY305" s="77" t="str">
        <f t="shared" si="94"/>
        <v>5,0 ≤ Alc. Bruta &lt; 7,5 mg/L</v>
      </c>
      <c r="AZ305" s="77" t="str">
        <f t="shared" si="95"/>
        <v>10 ≤ Cor &lt;15 uC</v>
      </c>
      <c r="BA305" s="78" t="str">
        <f t="shared" si="96"/>
        <v>2,5 ≤ Turb &lt; 5,0 uT</v>
      </c>
      <c r="BB305" s="79" t="str">
        <f t="shared" si="97"/>
        <v>TOR &gt; BNN &gt; SM</v>
      </c>
      <c r="BC305" s="78" t="str">
        <f t="shared" si="98"/>
        <v>Tipo 2 (0,25-0,50) uT</v>
      </c>
      <c r="BD305" s="78" t="str">
        <f t="shared" si="99"/>
        <v>Tipo 2 (0,25-0,50) uT</v>
      </c>
      <c r="BE305" s="78" t="str">
        <f t="shared" si="100"/>
        <v>Tipo 3 (0,50-0,75) uT</v>
      </c>
      <c r="BF305" s="78" t="str">
        <f t="shared" si="101"/>
        <v>Tipo 2 (0,25-0,50) uT</v>
      </c>
      <c r="BG305" s="78" t="str">
        <f t="shared" si="102"/>
        <v>Tipo 2 (0,25-0,50) uT</v>
      </c>
    </row>
    <row r="306" spans="1:59" x14ac:dyDescent="0.2">
      <c r="A306" s="21">
        <v>46159</v>
      </c>
      <c r="B306" s="48">
        <v>0.14583333333333334</v>
      </c>
      <c r="C306" s="57">
        <v>565</v>
      </c>
      <c r="D306" s="57">
        <v>91</v>
      </c>
      <c r="E306" s="57">
        <v>600</v>
      </c>
      <c r="F306" s="57">
        <v>1417</v>
      </c>
      <c r="G306" s="10" t="s">
        <v>78</v>
      </c>
      <c r="H306" s="63">
        <v>6.9</v>
      </c>
      <c r="I306" s="57">
        <v>90</v>
      </c>
      <c r="J306" s="57">
        <v>90</v>
      </c>
      <c r="K306" s="57">
        <v>90</v>
      </c>
      <c r="L306" s="63">
        <v>23.9</v>
      </c>
      <c r="M306" s="63">
        <v>6.7</v>
      </c>
      <c r="N306" s="36">
        <v>2.75</v>
      </c>
      <c r="O306" s="57">
        <v>10</v>
      </c>
      <c r="P306" s="63">
        <v>6.4</v>
      </c>
      <c r="Q306" s="36">
        <v>0.2</v>
      </c>
      <c r="R306" s="36">
        <v>22.36</v>
      </c>
      <c r="S306" s="36">
        <v>0.88</v>
      </c>
      <c r="T306" s="36">
        <v>0.7</v>
      </c>
      <c r="U306" s="42">
        <f t="shared" si="103"/>
        <v>1796.0475000000001</v>
      </c>
      <c r="V306" s="36">
        <f t="shared" si="104"/>
        <v>1375.1825510799999</v>
      </c>
      <c r="W306" s="36">
        <f t="shared" si="105"/>
        <v>0.76567159336264756</v>
      </c>
      <c r="X306" s="57">
        <v>2</v>
      </c>
      <c r="Y306" s="57">
        <v>2</v>
      </c>
      <c r="Z306" s="63">
        <v>6.51</v>
      </c>
      <c r="AA306" s="57">
        <v>17</v>
      </c>
      <c r="AB306" s="63">
        <v>6.6</v>
      </c>
      <c r="AC306" s="63">
        <v>5.9</v>
      </c>
      <c r="AD306" s="10">
        <v>0.27</v>
      </c>
      <c r="AE306" s="36">
        <v>0.35</v>
      </c>
      <c r="AF306" s="42">
        <f t="shared" si="106"/>
        <v>1197.365</v>
      </c>
      <c r="AG306" s="42">
        <f t="shared" si="107"/>
        <v>1825.0094933200003</v>
      </c>
      <c r="AH306" s="42">
        <f t="shared" si="108"/>
        <v>1.5241881074860215</v>
      </c>
      <c r="AI306" s="57">
        <v>2</v>
      </c>
      <c r="AJ306" s="57">
        <v>3</v>
      </c>
      <c r="AK306" s="36">
        <v>6.41</v>
      </c>
      <c r="AL306" s="36">
        <v>23</v>
      </c>
      <c r="AM306" s="63">
        <v>6.5</v>
      </c>
      <c r="AN306" s="63">
        <v>6</v>
      </c>
      <c r="AO306" s="36">
        <v>0.32</v>
      </c>
      <c r="AP306" s="68">
        <v>0.4</v>
      </c>
      <c r="AQ306" s="73">
        <f t="shared" si="86"/>
        <v>1256</v>
      </c>
      <c r="AR306" s="75">
        <f t="shared" si="87"/>
        <v>0.44984076433121017</v>
      </c>
      <c r="AS306" s="75">
        <f t="shared" si="88"/>
        <v>7.2452229299363055E-2</v>
      </c>
      <c r="AT306" s="75">
        <f t="shared" si="89"/>
        <v>0.47770700636942676</v>
      </c>
      <c r="AU306" s="26">
        <f t="shared" si="90"/>
        <v>4.7988708539167257E-2</v>
      </c>
      <c r="AV306" s="26">
        <f t="shared" si="91"/>
        <v>9.7388849682427669E-2</v>
      </c>
      <c r="AW306" s="24">
        <f t="shared" si="92"/>
        <v>0.8545454545454545</v>
      </c>
      <c r="AX306" s="24">
        <f t="shared" si="93"/>
        <v>0.8727272727272728</v>
      </c>
      <c r="AY306" s="77" t="str">
        <f t="shared" si="94"/>
        <v>5,0 ≤ Alc. Bruta &lt; 7,5 mg/L</v>
      </c>
      <c r="AZ306" s="77" t="str">
        <f t="shared" si="95"/>
        <v>10 ≤ Cor &lt;15 uC</v>
      </c>
      <c r="BA306" s="78" t="str">
        <f t="shared" si="96"/>
        <v>2,5 ≤ Turb &lt; 5,0 uT</v>
      </c>
      <c r="BB306" s="79" t="str">
        <f t="shared" si="97"/>
        <v>Comb. diferentes</v>
      </c>
      <c r="BC306" s="78" t="str">
        <f t="shared" si="98"/>
        <v>Tipo 2 (0,25-0,50) uT</v>
      </c>
      <c r="BD306" s="78" t="str">
        <f t="shared" si="99"/>
        <v>Tipo 2 (0,25-0,50) uT</v>
      </c>
      <c r="BE306" s="78" t="str">
        <f t="shared" si="100"/>
        <v>Tipo 2 (0,25-0,50) uT</v>
      </c>
      <c r="BF306" s="78" t="str">
        <f t="shared" si="101"/>
        <v>Tipo 2 (0,25-0,50) uT</v>
      </c>
      <c r="BG306" s="78" t="str">
        <f t="shared" si="102"/>
        <v>Tipo 1 (≤0,25) uT</v>
      </c>
    </row>
    <row r="307" spans="1:59" ht="15.75" thickBot="1" x14ac:dyDescent="0.25">
      <c r="A307" s="21">
        <v>46159</v>
      </c>
      <c r="B307" s="51">
        <v>0.22916666666666666</v>
      </c>
      <c r="C307" s="58">
        <v>570</v>
      </c>
      <c r="D307" s="58">
        <v>91</v>
      </c>
      <c r="E307" s="58">
        <v>621</v>
      </c>
      <c r="F307" s="58">
        <v>1416</v>
      </c>
      <c r="G307" s="11" t="s">
        <v>78</v>
      </c>
      <c r="H307" s="64">
        <v>6.9</v>
      </c>
      <c r="I307" s="58">
        <v>90</v>
      </c>
      <c r="J307" s="58">
        <v>90</v>
      </c>
      <c r="K307" s="58">
        <v>90</v>
      </c>
      <c r="L307" s="64">
        <v>23.7</v>
      </c>
      <c r="M307" s="64">
        <v>6.7</v>
      </c>
      <c r="N307" s="37">
        <v>2.67</v>
      </c>
      <c r="O307" s="58">
        <v>10</v>
      </c>
      <c r="P307" s="64">
        <v>6.6</v>
      </c>
      <c r="Q307" s="37">
        <v>0.22</v>
      </c>
      <c r="R307" s="36">
        <v>22.36</v>
      </c>
      <c r="S307" s="36">
        <v>0.88</v>
      </c>
      <c r="T307" s="36">
        <v>0.7</v>
      </c>
      <c r="U307" s="42">
        <f t="shared" si="103"/>
        <v>1766.46</v>
      </c>
      <c r="V307" s="36">
        <f t="shared" si="104"/>
        <v>1458.8563766399996</v>
      </c>
      <c r="W307" s="36">
        <f t="shared" si="105"/>
        <v>0.82586437091131393</v>
      </c>
      <c r="X307" s="58">
        <v>2</v>
      </c>
      <c r="Y307" s="58">
        <v>2</v>
      </c>
      <c r="Z307" s="64">
        <v>6.52</v>
      </c>
      <c r="AA307" s="58">
        <v>18</v>
      </c>
      <c r="AB307" s="64">
        <v>6.5</v>
      </c>
      <c r="AC307" s="64">
        <v>5.7</v>
      </c>
      <c r="AD307" s="11">
        <v>0.31</v>
      </c>
      <c r="AE307" s="37">
        <v>0.36</v>
      </c>
      <c r="AF307" s="42">
        <f t="shared" si="106"/>
        <v>1177.6400000000001</v>
      </c>
      <c r="AG307" s="42">
        <f t="shared" si="107"/>
        <v>1821.4563327999999</v>
      </c>
      <c r="AH307" s="42">
        <f t="shared" si="108"/>
        <v>1.5467004626201555</v>
      </c>
      <c r="AI307" s="58">
        <v>2</v>
      </c>
      <c r="AJ307" s="58">
        <v>3</v>
      </c>
      <c r="AK307" s="37">
        <v>6.4</v>
      </c>
      <c r="AL307" s="37">
        <v>23</v>
      </c>
      <c r="AM307" s="64">
        <v>6.6</v>
      </c>
      <c r="AN307" s="64">
        <v>5.9</v>
      </c>
      <c r="AO307" s="37">
        <v>0.34</v>
      </c>
      <c r="AP307" s="69">
        <v>0.36</v>
      </c>
      <c r="AQ307" s="73">
        <f t="shared" si="86"/>
        <v>1282</v>
      </c>
      <c r="AR307" s="75">
        <f t="shared" si="87"/>
        <v>0.44461778471138846</v>
      </c>
      <c r="AS307" s="75">
        <f t="shared" si="88"/>
        <v>7.0982839313572549E-2</v>
      </c>
      <c r="AT307" s="75">
        <f t="shared" si="89"/>
        <v>0.48439937597503901</v>
      </c>
      <c r="AU307" s="26">
        <f t="shared" si="90"/>
        <v>5.0847457627118647E-2</v>
      </c>
      <c r="AV307" s="26">
        <f t="shared" si="91"/>
        <v>9.7457627118644072E-2</v>
      </c>
      <c r="AW307" s="24">
        <f t="shared" si="92"/>
        <v>0.8651685393258427</v>
      </c>
      <c r="AX307" s="24">
        <f t="shared" si="93"/>
        <v>0.8651685393258427</v>
      </c>
      <c r="AY307" s="77" t="str">
        <f t="shared" si="94"/>
        <v>5,0 ≤ Alc. Bruta &lt; 7,5 mg/L</v>
      </c>
      <c r="AZ307" s="77" t="str">
        <f t="shared" si="95"/>
        <v>10 ≤ Cor &lt;15 uC</v>
      </c>
      <c r="BA307" s="78" t="str">
        <f t="shared" si="96"/>
        <v>2,5 ≤ Turb &lt; 5,0 uT</v>
      </c>
      <c r="BB307" s="79" t="str">
        <f t="shared" si="97"/>
        <v>Comb. diferentes</v>
      </c>
      <c r="BC307" s="78" t="str">
        <f t="shared" si="98"/>
        <v>Tipo 2 (0,25-0,50) uT</v>
      </c>
      <c r="BD307" s="78" t="str">
        <f t="shared" si="99"/>
        <v>Tipo 2 (0,25-0,50) uT</v>
      </c>
      <c r="BE307" s="78" t="str">
        <f t="shared" si="100"/>
        <v>Tipo 2 (0,25-0,50) uT</v>
      </c>
      <c r="BF307" s="78" t="str">
        <f t="shared" si="101"/>
        <v>Tipo 2 (0,25-0,50) uT</v>
      </c>
      <c r="BG307" s="78" t="str">
        <f t="shared" si="102"/>
        <v>Tipo 1 (≤0,25) uT</v>
      </c>
    </row>
    <row r="308" spans="1:59" x14ac:dyDescent="0.2">
      <c r="A308" s="21">
        <v>46159</v>
      </c>
      <c r="B308" s="52">
        <v>0.3125</v>
      </c>
      <c r="C308" s="59">
        <v>571</v>
      </c>
      <c r="D308" s="57">
        <v>87</v>
      </c>
      <c r="E308" s="59">
        <v>619</v>
      </c>
      <c r="F308" s="59">
        <v>1363</v>
      </c>
      <c r="G308" s="9" t="s">
        <v>78</v>
      </c>
      <c r="H308" s="65">
        <v>6.9</v>
      </c>
      <c r="I308" s="59">
        <v>90</v>
      </c>
      <c r="J308" s="59">
        <v>90</v>
      </c>
      <c r="K308" s="59">
        <v>90</v>
      </c>
      <c r="L308" s="65">
        <v>24.2</v>
      </c>
      <c r="M308" s="65">
        <v>6.9</v>
      </c>
      <c r="N308" s="38">
        <v>2.4300000000000002</v>
      </c>
      <c r="O308" s="59">
        <v>11</v>
      </c>
      <c r="P308" s="65">
        <v>8.1</v>
      </c>
      <c r="Q308" s="38">
        <v>0.11</v>
      </c>
      <c r="R308" s="36">
        <v>22.36</v>
      </c>
      <c r="S308" s="36">
        <v>0.88</v>
      </c>
      <c r="T308" s="36">
        <v>0.7</v>
      </c>
      <c r="U308" s="42">
        <f t="shared" si="103"/>
        <v>1618.5625</v>
      </c>
      <c r="V308" s="36">
        <f t="shared" si="104"/>
        <v>1437.1471868000001</v>
      </c>
      <c r="W308" s="36">
        <f t="shared" si="105"/>
        <v>0.88791578131829951</v>
      </c>
      <c r="X308" s="59">
        <v>1</v>
      </c>
      <c r="Y308" s="59">
        <v>2</v>
      </c>
      <c r="Z308" s="65">
        <v>6.5</v>
      </c>
      <c r="AA308" s="59">
        <v>17.8</v>
      </c>
      <c r="AB308" s="65">
        <v>6.6</v>
      </c>
      <c r="AC308" s="65">
        <v>6</v>
      </c>
      <c r="AD308" s="9">
        <v>0.31</v>
      </c>
      <c r="AE308" s="38">
        <v>0.26</v>
      </c>
      <c r="AF308" s="42">
        <f t="shared" si="106"/>
        <v>1079.0416666666665</v>
      </c>
      <c r="AG308" s="42">
        <f t="shared" si="107"/>
        <v>1872.6184366240002</v>
      </c>
      <c r="AH308" s="42">
        <f t="shared" si="108"/>
        <v>1.7354459002577909</v>
      </c>
      <c r="AI308" s="59">
        <v>1</v>
      </c>
      <c r="AJ308" s="59">
        <v>3</v>
      </c>
      <c r="AK308" s="38">
        <v>6.41</v>
      </c>
      <c r="AL308" s="38">
        <v>23.6</v>
      </c>
      <c r="AM308" s="65">
        <v>6.7</v>
      </c>
      <c r="AN308" s="65">
        <v>7.5</v>
      </c>
      <c r="AO308" s="38">
        <v>0.32</v>
      </c>
      <c r="AP308" s="70">
        <v>0.32</v>
      </c>
      <c r="AQ308" s="73">
        <f t="shared" si="86"/>
        <v>1277</v>
      </c>
      <c r="AR308" s="75">
        <f t="shared" si="87"/>
        <v>0.44714173844949101</v>
      </c>
      <c r="AS308" s="75">
        <f t="shared" si="88"/>
        <v>6.8128425998433828E-2</v>
      </c>
      <c r="AT308" s="75">
        <f t="shared" si="89"/>
        <v>0.48472983555207516</v>
      </c>
      <c r="AU308" s="26">
        <f t="shared" si="90"/>
        <v>5.2237710931768162E-2</v>
      </c>
      <c r="AV308" s="26">
        <f t="shared" si="91"/>
        <v>0.10388848129126926</v>
      </c>
      <c r="AW308" s="24">
        <f t="shared" si="92"/>
        <v>0.86831275720164613</v>
      </c>
      <c r="AX308" s="24">
        <f t="shared" si="93"/>
        <v>0.89300411522633749</v>
      </c>
      <c r="AY308" s="77" t="str">
        <f t="shared" si="94"/>
        <v>7,5 ≤ Alc. Bruta &lt; 10,0 mg/L</v>
      </c>
      <c r="AZ308" s="77" t="str">
        <f t="shared" si="95"/>
        <v>10 ≤ Cor &lt;15 uC</v>
      </c>
      <c r="BA308" s="78" t="str">
        <f t="shared" si="96"/>
        <v>Turbidez &lt; 2,5 uT</v>
      </c>
      <c r="BB308" s="79" t="str">
        <f t="shared" si="97"/>
        <v>Comb. diferentes</v>
      </c>
      <c r="BC308" s="78" t="str">
        <f t="shared" si="98"/>
        <v>Tipo 2 (0,25-0,50) uT</v>
      </c>
      <c r="BD308" s="78" t="str">
        <f t="shared" si="99"/>
        <v>Tipo 2 (0,25-0,50) uT</v>
      </c>
      <c r="BE308" s="78" t="str">
        <f t="shared" si="100"/>
        <v>Tipo 2 (0,25-0,50) uT</v>
      </c>
      <c r="BF308" s="78" t="str">
        <f t="shared" si="101"/>
        <v>Tipo 2 (0,25-0,50) uT</v>
      </c>
      <c r="BG308" s="78" t="str">
        <f t="shared" si="102"/>
        <v>Tipo 1 (≤0,25) uT</v>
      </c>
    </row>
    <row r="309" spans="1:59" x14ac:dyDescent="0.2">
      <c r="A309" s="21">
        <v>46159</v>
      </c>
      <c r="B309" s="48">
        <v>0.39583333333333331</v>
      </c>
      <c r="C309" s="57">
        <v>549</v>
      </c>
      <c r="D309" s="57">
        <v>89</v>
      </c>
      <c r="E309" s="57">
        <v>619</v>
      </c>
      <c r="F309" s="57">
        <v>1317</v>
      </c>
      <c r="G309" s="10" t="s">
        <v>78</v>
      </c>
      <c r="H309" s="63">
        <v>6.9</v>
      </c>
      <c r="I309" s="57">
        <v>90</v>
      </c>
      <c r="J309" s="57">
        <v>90</v>
      </c>
      <c r="K309" s="57">
        <v>90</v>
      </c>
      <c r="L309" s="63">
        <v>24.4</v>
      </c>
      <c r="M309" s="63">
        <v>6.9</v>
      </c>
      <c r="N309" s="36">
        <v>2.4700000000000002</v>
      </c>
      <c r="O309" s="57">
        <v>13</v>
      </c>
      <c r="P309" s="63">
        <v>8.4</v>
      </c>
      <c r="Q309" s="36">
        <v>0.12</v>
      </c>
      <c r="R309" s="36">
        <v>22.36</v>
      </c>
      <c r="S309" s="36">
        <v>0.88</v>
      </c>
      <c r="T309" s="36">
        <v>0.7</v>
      </c>
      <c r="U309" s="42">
        <f t="shared" si="103"/>
        <v>1577.1075000000001</v>
      </c>
      <c r="V309" s="36">
        <f t="shared" si="104"/>
        <v>1423.6680466319999</v>
      </c>
      <c r="W309" s="36">
        <f t="shared" si="105"/>
        <v>0.9027083103922845</v>
      </c>
      <c r="X309" s="57">
        <v>1</v>
      </c>
      <c r="Y309" s="57">
        <v>2</v>
      </c>
      <c r="Z309" s="63">
        <v>6.57</v>
      </c>
      <c r="AA309" s="57">
        <v>17.399999999999999</v>
      </c>
      <c r="AB309" s="63">
        <v>6.5</v>
      </c>
      <c r="AC309" s="63">
        <v>6.9</v>
      </c>
      <c r="AD309" s="10">
        <v>0.27</v>
      </c>
      <c r="AE309" s="36">
        <v>0.33</v>
      </c>
      <c r="AF309" s="42">
        <f t="shared" si="106"/>
        <v>1051.405</v>
      </c>
      <c r="AG309" s="42">
        <f t="shared" si="107"/>
        <v>1714.3453925000001</v>
      </c>
      <c r="AH309" s="42">
        <f t="shared" si="108"/>
        <v>1.6305280957385595</v>
      </c>
      <c r="AI309" s="57">
        <v>1</v>
      </c>
      <c r="AJ309" s="57">
        <v>3</v>
      </c>
      <c r="AK309" s="36">
        <v>6.25</v>
      </c>
      <c r="AL309" s="36">
        <v>22.3</v>
      </c>
      <c r="AM309" s="63">
        <v>6.6</v>
      </c>
      <c r="AN309" s="63">
        <v>7.4</v>
      </c>
      <c r="AO309" s="36">
        <v>0.38</v>
      </c>
      <c r="AP309" s="68">
        <v>0.28000000000000003</v>
      </c>
      <c r="AQ309" s="73">
        <f t="shared" si="86"/>
        <v>1257</v>
      </c>
      <c r="AR309" s="75">
        <f t="shared" si="87"/>
        <v>0.43675417661097854</v>
      </c>
      <c r="AS309" s="75">
        <f t="shared" si="88"/>
        <v>7.0803500397772473E-2</v>
      </c>
      <c r="AT309" s="75">
        <f t="shared" si="89"/>
        <v>0.49244232299124902</v>
      </c>
      <c r="AU309" s="26">
        <f t="shared" si="90"/>
        <v>5.2847380410022772E-2</v>
      </c>
      <c r="AV309" s="26">
        <f t="shared" si="91"/>
        <v>0.10159453302961276</v>
      </c>
      <c r="AW309" s="24">
        <f t="shared" si="92"/>
        <v>0.88663967611336036</v>
      </c>
      <c r="AX309" s="24">
        <f t="shared" si="93"/>
        <v>0.8663967611336032</v>
      </c>
      <c r="AY309" s="77" t="str">
        <f t="shared" si="94"/>
        <v>7,5 ≤ Alc. Bruta &lt; 10,0 mg/L</v>
      </c>
      <c r="AZ309" s="77" t="str">
        <f t="shared" si="95"/>
        <v>10 ≤ Cor &lt;15 uC</v>
      </c>
      <c r="BA309" s="78" t="str">
        <f t="shared" si="96"/>
        <v>Turbidez &lt; 2,5 uT</v>
      </c>
      <c r="BB309" s="79" t="str">
        <f t="shared" si="97"/>
        <v>Comb. diferentes</v>
      </c>
      <c r="BC309" s="78" t="str">
        <f t="shared" si="98"/>
        <v>Tipo 2 (0,25-0,50) uT</v>
      </c>
      <c r="BD309" s="78" t="str">
        <f t="shared" si="99"/>
        <v>Tipo 2 (0,25-0,50) uT</v>
      </c>
      <c r="BE309" s="78" t="str">
        <f t="shared" si="100"/>
        <v>Tipo 2 (0,25-0,50) uT</v>
      </c>
      <c r="BF309" s="78" t="str">
        <f t="shared" si="101"/>
        <v>Tipo 2 (0,25-0,50) uT</v>
      </c>
      <c r="BG309" s="78" t="str">
        <f t="shared" si="102"/>
        <v>Tipo 1 (≤0,25) uT</v>
      </c>
    </row>
    <row r="310" spans="1:59" x14ac:dyDescent="0.2">
      <c r="A310" s="21">
        <v>46159</v>
      </c>
      <c r="B310" s="48">
        <v>0.47916666666666669</v>
      </c>
      <c r="C310" s="57">
        <v>555</v>
      </c>
      <c r="D310" s="57">
        <v>86</v>
      </c>
      <c r="E310" s="57">
        <v>620</v>
      </c>
      <c r="F310" s="57">
        <v>1291</v>
      </c>
      <c r="G310" s="10" t="s">
        <v>78</v>
      </c>
      <c r="H310" s="63">
        <v>6.9</v>
      </c>
      <c r="I310" s="57">
        <v>90</v>
      </c>
      <c r="J310" s="57">
        <v>90</v>
      </c>
      <c r="K310" s="57">
        <v>90</v>
      </c>
      <c r="L310" s="63">
        <v>25.2</v>
      </c>
      <c r="M310" s="63">
        <v>6.8</v>
      </c>
      <c r="N310" s="36">
        <v>2.2999999999999998</v>
      </c>
      <c r="O310" s="57">
        <v>10</v>
      </c>
      <c r="P310" s="63">
        <v>8.9</v>
      </c>
      <c r="Q310" s="36">
        <v>0.21</v>
      </c>
      <c r="R310" s="36">
        <v>22.36</v>
      </c>
      <c r="S310" s="36">
        <v>0.88</v>
      </c>
      <c r="T310" s="36">
        <v>0.7</v>
      </c>
      <c r="U310" s="42">
        <f t="shared" si="103"/>
        <v>1491.1049999999998</v>
      </c>
      <c r="V310" s="36">
        <f t="shared" si="104"/>
        <v>1445.2210473999999</v>
      </c>
      <c r="W310" s="36">
        <f t="shared" si="105"/>
        <v>0.96922822162087852</v>
      </c>
      <c r="X310" s="57">
        <v>1</v>
      </c>
      <c r="Y310" s="57">
        <v>2</v>
      </c>
      <c r="Z310" s="63">
        <v>6.5</v>
      </c>
      <c r="AA310" s="57">
        <v>17.899999999999999</v>
      </c>
      <c r="AB310" s="63">
        <v>6.7</v>
      </c>
      <c r="AC310" s="63">
        <v>7.5</v>
      </c>
      <c r="AD310" s="10">
        <v>0.2</v>
      </c>
      <c r="AE310" s="36">
        <v>0.36</v>
      </c>
      <c r="AF310" s="42">
        <f t="shared" si="106"/>
        <v>994.06999999999982</v>
      </c>
      <c r="AG310" s="42">
        <f t="shared" si="107"/>
        <v>1785.3353739000001</v>
      </c>
      <c r="AH310" s="42">
        <f t="shared" si="108"/>
        <v>1.7959855683201389</v>
      </c>
      <c r="AI310" s="57">
        <v>1</v>
      </c>
      <c r="AJ310" s="57">
        <v>3</v>
      </c>
      <c r="AK310" s="36">
        <v>6.41</v>
      </c>
      <c r="AL310" s="36">
        <v>22.5</v>
      </c>
      <c r="AM310" s="63">
        <v>6.8</v>
      </c>
      <c r="AN310" s="63">
        <v>7.1</v>
      </c>
      <c r="AO310" s="36">
        <v>0.46</v>
      </c>
      <c r="AP310" s="68">
        <v>0.26</v>
      </c>
      <c r="AQ310" s="73">
        <f t="shared" si="86"/>
        <v>1261</v>
      </c>
      <c r="AR310" s="75">
        <f t="shared" si="87"/>
        <v>0.44012688342585249</v>
      </c>
      <c r="AS310" s="75">
        <f t="shared" si="88"/>
        <v>6.8199841395717678E-2</v>
      </c>
      <c r="AT310" s="75">
        <f t="shared" si="89"/>
        <v>0.49167327517842979</v>
      </c>
      <c r="AU310" s="26">
        <f t="shared" si="90"/>
        <v>5.5460883036405881E-2</v>
      </c>
      <c r="AV310" s="26">
        <f t="shared" si="91"/>
        <v>0.104570100697134</v>
      </c>
      <c r="AW310" s="24">
        <f t="shared" si="92"/>
        <v>0.88695652173913042</v>
      </c>
      <c r="AX310" s="24">
        <f t="shared" si="93"/>
        <v>0.84347826086956523</v>
      </c>
      <c r="AY310" s="77" t="str">
        <f t="shared" si="94"/>
        <v>7,5 ≤ Alc. Bruta &lt; 10,0 mg/L</v>
      </c>
      <c r="AZ310" s="77" t="str">
        <f t="shared" si="95"/>
        <v>10 ≤ Cor &lt;15 uC</v>
      </c>
      <c r="BA310" s="78" t="str">
        <f t="shared" si="96"/>
        <v>Turbidez &lt; 2,5 uT</v>
      </c>
      <c r="BB310" s="79" t="str">
        <f t="shared" si="97"/>
        <v>Comb. diferentes</v>
      </c>
      <c r="BC310" s="78" t="str">
        <f t="shared" si="98"/>
        <v>Tipo 1 (≤0,25) uT</v>
      </c>
      <c r="BD310" s="78" t="str">
        <f t="shared" si="99"/>
        <v>Tipo 2 (0,25-0,50) uT</v>
      </c>
      <c r="BE310" s="78" t="str">
        <f t="shared" si="100"/>
        <v>Tipo 2 (0,25-0,50) uT</v>
      </c>
      <c r="BF310" s="78" t="str">
        <f t="shared" si="101"/>
        <v>Tipo 2 (0,25-0,50) uT</v>
      </c>
      <c r="BG310" s="78" t="str">
        <f t="shared" si="102"/>
        <v>Tipo 1 (≤0,25) uT</v>
      </c>
    </row>
    <row r="311" spans="1:59" x14ac:dyDescent="0.2">
      <c r="A311" s="21">
        <v>46159</v>
      </c>
      <c r="B311" s="48">
        <v>0.64583333333333337</v>
      </c>
      <c r="C311" s="57">
        <v>1188</v>
      </c>
      <c r="D311" s="57">
        <v>87</v>
      </c>
      <c r="E311" s="57">
        <v>590</v>
      </c>
      <c r="F311" s="57">
        <v>1805</v>
      </c>
      <c r="G311" s="10" t="s">
        <v>78</v>
      </c>
      <c r="H311" s="63">
        <v>6.9</v>
      </c>
      <c r="I311" s="57">
        <v>90</v>
      </c>
      <c r="J311" s="57">
        <v>90</v>
      </c>
      <c r="K311" s="57">
        <v>90</v>
      </c>
      <c r="L311" s="63">
        <v>26.6</v>
      </c>
      <c r="M311" s="63">
        <v>6.9</v>
      </c>
      <c r="N311" s="36">
        <v>2.4700000000000002</v>
      </c>
      <c r="O311" s="57">
        <v>11</v>
      </c>
      <c r="P311" s="63">
        <v>8.1</v>
      </c>
      <c r="Q311" s="36">
        <v>0.49</v>
      </c>
      <c r="R311" s="36">
        <v>22.36</v>
      </c>
      <c r="S311" s="36">
        <v>0.88</v>
      </c>
      <c r="T311" s="36">
        <v>0.7</v>
      </c>
      <c r="U311" s="42">
        <f t="shared" si="103"/>
        <v>1440.9916666666666</v>
      </c>
      <c r="V311" s="36">
        <f t="shared" si="104"/>
        <v>1404.7956677560001</v>
      </c>
      <c r="W311" s="36">
        <f t="shared" si="105"/>
        <v>0.97488118790138745</v>
      </c>
      <c r="X311" s="57">
        <v>2</v>
      </c>
      <c r="Y311" s="57">
        <v>3</v>
      </c>
      <c r="Z311" s="63">
        <v>6.53</v>
      </c>
      <c r="AA311" s="57">
        <v>17.3</v>
      </c>
      <c r="AB311" s="63">
        <v>6.8</v>
      </c>
      <c r="AC311" s="63">
        <v>8.5</v>
      </c>
      <c r="AD311" s="10">
        <v>0.67</v>
      </c>
      <c r="AE311" s="36">
        <v>0.71</v>
      </c>
      <c r="AF311" s="42">
        <f t="shared" si="106"/>
        <v>1440.9916666666666</v>
      </c>
      <c r="AG311" s="42">
        <f t="shared" si="107"/>
        <v>1772.9107469839998</v>
      </c>
      <c r="AH311" s="42">
        <f t="shared" si="108"/>
        <v>1.2303407354777671</v>
      </c>
      <c r="AI311" s="57">
        <v>2</v>
      </c>
      <c r="AJ311" s="57">
        <v>3</v>
      </c>
      <c r="AK311" s="36">
        <v>6.42</v>
      </c>
      <c r="AL311" s="36">
        <v>22.3</v>
      </c>
      <c r="AM311" s="63">
        <v>6.9</v>
      </c>
      <c r="AN311" s="63">
        <v>7.9</v>
      </c>
      <c r="AO311" s="36">
        <v>0.42</v>
      </c>
      <c r="AP311" s="68">
        <v>0.5</v>
      </c>
      <c r="AQ311" s="73">
        <f t="shared" si="86"/>
        <v>1865</v>
      </c>
      <c r="AR311" s="75">
        <f t="shared" si="87"/>
        <v>0.63699731903485257</v>
      </c>
      <c r="AS311" s="75">
        <f t="shared" si="88"/>
        <v>4.6648793565683647E-2</v>
      </c>
      <c r="AT311" s="75">
        <f t="shared" si="89"/>
        <v>0.3163538873994638</v>
      </c>
      <c r="AU311" s="26">
        <f t="shared" si="90"/>
        <v>5.7506925207756236E-2</v>
      </c>
      <c r="AV311" s="26">
        <f t="shared" si="91"/>
        <v>7.4127423822714686E-2</v>
      </c>
      <c r="AW311" s="24">
        <f t="shared" si="92"/>
        <v>0.79757085020242913</v>
      </c>
      <c r="AX311" s="24">
        <f t="shared" si="93"/>
        <v>0.71255060728744946</v>
      </c>
      <c r="AY311" s="77" t="str">
        <f t="shared" si="94"/>
        <v>7,5 ≤ Alc. Bruta &lt; 10,0 mg/L</v>
      </c>
      <c r="AZ311" s="77" t="str">
        <f t="shared" si="95"/>
        <v>10 ≤ Cor &lt;15 uC</v>
      </c>
      <c r="BA311" s="78" t="str">
        <f t="shared" si="96"/>
        <v>Turbidez &lt; 2,5 uT</v>
      </c>
      <c r="BB311" s="79" t="str">
        <f t="shared" si="97"/>
        <v>TOR &gt; BNN &gt; SM</v>
      </c>
      <c r="BC311" s="78" t="str">
        <f t="shared" si="98"/>
        <v>Tipo 3 (0,50-0,75) uT</v>
      </c>
      <c r="BD311" s="78" t="str">
        <f t="shared" si="99"/>
        <v>Tipo 2 (0,25-0,50) uT</v>
      </c>
      <c r="BE311" s="78" t="str">
        <f t="shared" si="100"/>
        <v>Tipo 3 (0,50-0,75) uT</v>
      </c>
      <c r="BF311" s="78" t="str">
        <f t="shared" si="101"/>
        <v>Tipo 2 (0,25-0,50) uT</v>
      </c>
      <c r="BG311" s="78" t="str">
        <f t="shared" si="102"/>
        <v>Tipo 2 (0,25-0,50) uT</v>
      </c>
    </row>
    <row r="312" spans="1:59" x14ac:dyDescent="0.2">
      <c r="A312" s="21">
        <v>46159</v>
      </c>
      <c r="B312" s="48">
        <v>0.72916666666666663</v>
      </c>
      <c r="C312" s="57">
        <v>1176</v>
      </c>
      <c r="D312" s="57">
        <v>87</v>
      </c>
      <c r="E312" s="57">
        <v>588</v>
      </c>
      <c r="F312" s="57">
        <v>1846</v>
      </c>
      <c r="G312" s="10" t="s">
        <v>78</v>
      </c>
      <c r="H312" s="63">
        <v>6.9</v>
      </c>
      <c r="I312" s="57">
        <v>90</v>
      </c>
      <c r="J312" s="57">
        <v>90</v>
      </c>
      <c r="K312" s="57">
        <v>90</v>
      </c>
      <c r="L312" s="63">
        <v>27.5</v>
      </c>
      <c r="M312" s="63">
        <v>6.8</v>
      </c>
      <c r="N312" s="36">
        <v>2.52</v>
      </c>
      <c r="O312" s="57">
        <v>12</v>
      </c>
      <c r="P312" s="63">
        <v>8.1999999999999993</v>
      </c>
      <c r="Q312" s="36">
        <v>0.75</v>
      </c>
      <c r="R312" s="36">
        <v>22.36</v>
      </c>
      <c r="S312" s="36">
        <v>0.88</v>
      </c>
      <c r="T312" s="36">
        <v>0.7</v>
      </c>
      <c r="U312" s="42">
        <f t="shared" si="103"/>
        <v>1489.1066666666668</v>
      </c>
      <c r="V312" s="36">
        <f t="shared" si="104"/>
        <v>1448.2140474359999</v>
      </c>
      <c r="W312" s="36">
        <f t="shared" si="105"/>
        <v>0.97253882468862751</v>
      </c>
      <c r="X312" s="57">
        <v>2</v>
      </c>
      <c r="Y312" s="57">
        <v>3</v>
      </c>
      <c r="Z312" s="63">
        <v>6.57</v>
      </c>
      <c r="AA312" s="57">
        <v>17.7</v>
      </c>
      <c r="AB312" s="63">
        <v>6.7</v>
      </c>
      <c r="AC312" s="63">
        <v>8.3000000000000007</v>
      </c>
      <c r="AD312" s="10">
        <v>0.89</v>
      </c>
      <c r="AE312" s="36">
        <v>1.1499999999999999</v>
      </c>
      <c r="AF312" s="42">
        <f t="shared" si="106"/>
        <v>1489.1066666666668</v>
      </c>
      <c r="AG312" s="42">
        <f t="shared" si="107"/>
        <v>1767.0191418879995</v>
      </c>
      <c r="AH312" s="42">
        <f t="shared" si="108"/>
        <v>1.1866303344430214</v>
      </c>
      <c r="AI312" s="57">
        <v>2</v>
      </c>
      <c r="AJ312" s="57">
        <v>3</v>
      </c>
      <c r="AK312" s="36">
        <v>6.38</v>
      </c>
      <c r="AL312" s="36">
        <v>22.4</v>
      </c>
      <c r="AM312" s="63">
        <v>6.8</v>
      </c>
      <c r="AN312" s="63">
        <v>7.7</v>
      </c>
      <c r="AO312" s="36">
        <v>0.45</v>
      </c>
      <c r="AP312" s="68">
        <v>0.43</v>
      </c>
      <c r="AQ312" s="73">
        <f t="shared" si="86"/>
        <v>1851</v>
      </c>
      <c r="AR312" s="75">
        <f t="shared" si="87"/>
        <v>0.63533225283630468</v>
      </c>
      <c r="AS312" s="75">
        <f t="shared" si="88"/>
        <v>4.7001620745542948E-2</v>
      </c>
      <c r="AT312" s="75">
        <f t="shared" si="89"/>
        <v>0.31766612641815234</v>
      </c>
      <c r="AU312" s="26">
        <f t="shared" si="90"/>
        <v>5.7529794149512453E-2</v>
      </c>
      <c r="AV312" s="26">
        <f t="shared" si="91"/>
        <v>7.2806067172264344E-2</v>
      </c>
      <c r="AW312" s="24">
        <f t="shared" si="92"/>
        <v>0.82936507936507931</v>
      </c>
      <c r="AX312" s="24">
        <f t="shared" si="93"/>
        <v>0.54365079365079372</v>
      </c>
      <c r="AY312" s="77" t="str">
        <f t="shared" si="94"/>
        <v>7,5 ≤ Alc. Bruta &lt; 10,0 mg/L</v>
      </c>
      <c r="AZ312" s="77" t="str">
        <f t="shared" si="95"/>
        <v>10 ≤ Cor &lt;15 uC</v>
      </c>
      <c r="BA312" s="78" t="str">
        <f t="shared" si="96"/>
        <v>2,5 ≤ Turb &lt; 5,0 uT</v>
      </c>
      <c r="BB312" s="79" t="str">
        <f t="shared" si="97"/>
        <v>TOR &gt; BNN &gt; SM</v>
      </c>
      <c r="BC312" s="78" t="str">
        <f t="shared" si="98"/>
        <v>Tipo 4 (&gt;0,75) uT</v>
      </c>
      <c r="BD312" s="78" t="str">
        <f t="shared" si="99"/>
        <v>Tipo 2 (0,25-0,50) uT</v>
      </c>
      <c r="BE312" s="78" t="str">
        <f t="shared" si="100"/>
        <v>Tipo 4 (&gt;0,75) uT</v>
      </c>
      <c r="BF312" s="78" t="str">
        <f t="shared" si="101"/>
        <v>Tipo 2 (0,25-0,50) uT</v>
      </c>
      <c r="BG312" s="78" t="str">
        <f t="shared" si="102"/>
        <v>Tipo 3 (0,50-0,75) uT</v>
      </c>
    </row>
    <row r="313" spans="1:59" x14ac:dyDescent="0.2">
      <c r="A313" s="21">
        <v>46159</v>
      </c>
      <c r="B313" s="48">
        <v>0.8125</v>
      </c>
      <c r="C313" s="57">
        <v>1096</v>
      </c>
      <c r="D313" s="57">
        <v>87</v>
      </c>
      <c r="E313" s="57">
        <v>588</v>
      </c>
      <c r="F313" s="57">
        <v>1771</v>
      </c>
      <c r="G313" s="10" t="s">
        <v>78</v>
      </c>
      <c r="H313" s="63">
        <v>6.9</v>
      </c>
      <c r="I313" s="57">
        <v>90</v>
      </c>
      <c r="J313" s="57">
        <v>90</v>
      </c>
      <c r="K313" s="57">
        <v>90</v>
      </c>
      <c r="L313" s="63">
        <v>25.1</v>
      </c>
      <c r="M313" s="63">
        <v>6.7</v>
      </c>
      <c r="N313" s="36">
        <v>2.39</v>
      </c>
      <c r="O313" s="57">
        <v>11</v>
      </c>
      <c r="P313" s="63">
        <v>6.7</v>
      </c>
      <c r="Q313" s="36">
        <v>0.69</v>
      </c>
      <c r="R313" s="36">
        <v>22.36</v>
      </c>
      <c r="S313" s="36">
        <v>0.88</v>
      </c>
      <c r="T313" s="36">
        <v>0.7</v>
      </c>
      <c r="U313" s="42">
        <f t="shared" si="103"/>
        <v>1390.2350000000001</v>
      </c>
      <c r="V313" s="36">
        <f t="shared" si="104"/>
        <v>1372.556302</v>
      </c>
      <c r="W313" s="36">
        <f t="shared" si="105"/>
        <v>0.98728366211467833</v>
      </c>
      <c r="X313" s="57">
        <v>2</v>
      </c>
      <c r="Y313" s="57">
        <v>3</v>
      </c>
      <c r="Z313" s="63">
        <v>6.5</v>
      </c>
      <c r="AA313" s="57">
        <v>17</v>
      </c>
      <c r="AB313" s="63">
        <v>6.6</v>
      </c>
      <c r="AC313" s="63">
        <v>6.3</v>
      </c>
      <c r="AD313" s="10">
        <v>0.75</v>
      </c>
      <c r="AE313" s="36">
        <v>1.06</v>
      </c>
      <c r="AF313" s="42">
        <f t="shared" si="106"/>
        <v>1042.67625</v>
      </c>
      <c r="AG313" s="42">
        <f t="shared" si="107"/>
        <v>1832.1158143599996</v>
      </c>
      <c r="AH313" s="42">
        <f t="shared" si="108"/>
        <v>1.7571281731601729</v>
      </c>
      <c r="AI313" s="57">
        <v>2</v>
      </c>
      <c r="AJ313" s="57">
        <v>4</v>
      </c>
      <c r="AK313" s="36">
        <v>6.43</v>
      </c>
      <c r="AL313" s="36">
        <v>23</v>
      </c>
      <c r="AM313" s="63">
        <v>6.6</v>
      </c>
      <c r="AN313" s="63">
        <v>6</v>
      </c>
      <c r="AO313" s="36">
        <v>0.32</v>
      </c>
      <c r="AP313" s="68">
        <v>0.4</v>
      </c>
      <c r="AQ313" s="73">
        <f t="shared" si="86"/>
        <v>1771</v>
      </c>
      <c r="AR313" s="75">
        <f t="shared" si="87"/>
        <v>0.61885940146809715</v>
      </c>
      <c r="AS313" s="75">
        <f t="shared" si="88"/>
        <v>4.912478825522304E-2</v>
      </c>
      <c r="AT313" s="75">
        <f t="shared" si="89"/>
        <v>0.33201581027667987</v>
      </c>
      <c r="AU313" s="26">
        <f t="shared" si="90"/>
        <v>5.7594579333709768E-2</v>
      </c>
      <c r="AV313" s="26">
        <f t="shared" si="91"/>
        <v>0.1038961038961039</v>
      </c>
      <c r="AW313" s="24">
        <f t="shared" si="92"/>
        <v>0.83263598326359833</v>
      </c>
      <c r="AX313" s="24">
        <f t="shared" si="93"/>
        <v>0.55648535564853563</v>
      </c>
      <c r="AY313" s="77" t="str">
        <f t="shared" si="94"/>
        <v>5,0 ≤ Alc. Bruta &lt; 7,5 mg/L</v>
      </c>
      <c r="AZ313" s="77" t="str">
        <f t="shared" si="95"/>
        <v>10 ≤ Cor &lt;15 uC</v>
      </c>
      <c r="BA313" s="78" t="str">
        <f t="shared" si="96"/>
        <v>Turbidez &lt; 2,5 uT</v>
      </c>
      <c r="BB313" s="79" t="str">
        <f t="shared" si="97"/>
        <v>TOR &gt; BNN &gt; SM</v>
      </c>
      <c r="BC313" s="78" t="str">
        <f t="shared" si="98"/>
        <v>Tipo 3 (0,50-0,75) uT</v>
      </c>
      <c r="BD313" s="78" t="str">
        <f t="shared" si="99"/>
        <v>Tipo 2 (0,25-0,50) uT</v>
      </c>
      <c r="BE313" s="78" t="str">
        <f t="shared" si="100"/>
        <v>Tipo 4 (&gt;0,75) uT</v>
      </c>
      <c r="BF313" s="78" t="str">
        <f t="shared" si="101"/>
        <v>Tipo 2 (0,25-0,50) uT</v>
      </c>
      <c r="BG313" s="78" t="str">
        <f t="shared" si="102"/>
        <v>Tipo 3 (0,50-0,75) uT</v>
      </c>
    </row>
    <row r="314" spans="1:59" x14ac:dyDescent="0.2">
      <c r="A314" s="21">
        <v>46159</v>
      </c>
      <c r="B314" s="48">
        <v>0.89583333333333337</v>
      </c>
      <c r="C314" s="57">
        <v>1201</v>
      </c>
      <c r="D314" s="57">
        <v>88</v>
      </c>
      <c r="E314" s="57">
        <v>587</v>
      </c>
      <c r="F314" s="57">
        <v>1876</v>
      </c>
      <c r="G314" s="10" t="s">
        <v>78</v>
      </c>
      <c r="H314" s="63">
        <v>6.9</v>
      </c>
      <c r="I314" s="57">
        <v>90</v>
      </c>
      <c r="J314" s="57">
        <v>90</v>
      </c>
      <c r="K314" s="57">
        <v>90</v>
      </c>
      <c r="L314" s="63">
        <v>24.8</v>
      </c>
      <c r="M314" s="63">
        <v>6.7</v>
      </c>
      <c r="N314" s="36">
        <v>3.09</v>
      </c>
      <c r="O314" s="57">
        <v>13</v>
      </c>
      <c r="P314" s="63">
        <v>6.9</v>
      </c>
      <c r="Q314" s="36">
        <v>0.49</v>
      </c>
      <c r="R314" s="36">
        <v>22.36</v>
      </c>
      <c r="S314" s="36">
        <v>0.88</v>
      </c>
      <c r="T314" s="36">
        <v>0.7</v>
      </c>
      <c r="U314" s="42">
        <f t="shared" si="103"/>
        <v>1691.5266666666669</v>
      </c>
      <c r="V314" s="36">
        <f t="shared" si="104"/>
        <v>1367.3038038399998</v>
      </c>
      <c r="W314" s="36">
        <f t="shared" si="105"/>
        <v>0.80832530209790743</v>
      </c>
      <c r="X314" s="57">
        <v>2</v>
      </c>
      <c r="Y314" s="57">
        <v>3</v>
      </c>
      <c r="Z314" s="63">
        <v>6.48</v>
      </c>
      <c r="AA314" s="57">
        <v>17</v>
      </c>
      <c r="AB314" s="63">
        <v>6.6</v>
      </c>
      <c r="AC314" s="63">
        <v>6.1</v>
      </c>
      <c r="AD314" s="10">
        <v>0.37</v>
      </c>
      <c r="AE314" s="36">
        <v>0.76</v>
      </c>
      <c r="AF314" s="42">
        <f t="shared" si="106"/>
        <v>1268.645</v>
      </c>
      <c r="AG314" s="42">
        <f t="shared" si="107"/>
        <v>1821.4563327999999</v>
      </c>
      <c r="AH314" s="42">
        <f t="shared" si="108"/>
        <v>1.4357494277753036</v>
      </c>
      <c r="AI314" s="57">
        <v>2</v>
      </c>
      <c r="AJ314" s="57">
        <v>4</v>
      </c>
      <c r="AK314" s="36">
        <v>6.4</v>
      </c>
      <c r="AL314" s="36">
        <v>23</v>
      </c>
      <c r="AM314" s="63">
        <v>6.5</v>
      </c>
      <c r="AN314" s="63">
        <v>6.2</v>
      </c>
      <c r="AO314" s="36">
        <v>0.28000000000000003</v>
      </c>
      <c r="AP314" s="68">
        <v>0.38</v>
      </c>
      <c r="AQ314" s="73">
        <f t="shared" si="86"/>
        <v>1876</v>
      </c>
      <c r="AR314" s="75">
        <f t="shared" si="87"/>
        <v>0.64019189765458417</v>
      </c>
      <c r="AS314" s="75">
        <f t="shared" si="88"/>
        <v>4.6908315565031986E-2</v>
      </c>
      <c r="AT314" s="75">
        <f t="shared" si="89"/>
        <v>0.31289978678038377</v>
      </c>
      <c r="AU314" s="26">
        <f t="shared" si="90"/>
        <v>5.4371002132196158E-2</v>
      </c>
      <c r="AV314" s="26">
        <f t="shared" si="91"/>
        <v>9.8081023454157784E-2</v>
      </c>
      <c r="AW314" s="24">
        <f t="shared" si="92"/>
        <v>0.87702265372168287</v>
      </c>
      <c r="AX314" s="24">
        <f t="shared" si="93"/>
        <v>0.75404530744336573</v>
      </c>
      <c r="AY314" s="77" t="str">
        <f t="shared" si="94"/>
        <v>5,0 ≤ Alc. Bruta &lt; 7,5 mg/L</v>
      </c>
      <c r="AZ314" s="77" t="str">
        <f t="shared" si="95"/>
        <v>10 ≤ Cor &lt;15 uC</v>
      </c>
      <c r="BA314" s="78" t="str">
        <f t="shared" si="96"/>
        <v>2,5 ≤ Turb &lt; 5,0 uT</v>
      </c>
      <c r="BB314" s="79" t="str">
        <f t="shared" si="97"/>
        <v>TOR &gt; BNN &gt; SM</v>
      </c>
      <c r="BC314" s="78" t="str">
        <f t="shared" si="98"/>
        <v>Tipo 2 (0,25-0,50) uT</v>
      </c>
      <c r="BD314" s="78" t="str">
        <f t="shared" si="99"/>
        <v>Tipo 2 (0,25-0,50) uT</v>
      </c>
      <c r="BE314" s="78" t="str">
        <f t="shared" si="100"/>
        <v>Tipo 4 (&gt;0,75) uT</v>
      </c>
      <c r="BF314" s="78" t="str">
        <f t="shared" si="101"/>
        <v>Tipo 2 (0,25-0,50) uT</v>
      </c>
      <c r="BG314" s="78" t="str">
        <f t="shared" si="102"/>
        <v>Tipo 2 (0,25-0,50) uT</v>
      </c>
    </row>
    <row r="315" spans="1:59" x14ac:dyDescent="0.2">
      <c r="A315" s="21">
        <v>46160</v>
      </c>
      <c r="B315" s="48">
        <v>6.25E-2</v>
      </c>
      <c r="C315" s="57">
        <v>1203</v>
      </c>
      <c r="D315" s="57">
        <v>88</v>
      </c>
      <c r="E315" s="57">
        <v>588</v>
      </c>
      <c r="F315" s="57">
        <v>1879</v>
      </c>
      <c r="G315" s="10" t="s">
        <v>78</v>
      </c>
      <c r="H315" s="63">
        <v>6.9</v>
      </c>
      <c r="I315" s="57">
        <v>90</v>
      </c>
      <c r="J315" s="57">
        <v>90</v>
      </c>
      <c r="K315" s="57">
        <v>90</v>
      </c>
      <c r="L315" s="63">
        <v>24.8</v>
      </c>
      <c r="M315" s="63">
        <v>6.7</v>
      </c>
      <c r="N315" s="36">
        <v>2.38</v>
      </c>
      <c r="O315" s="57">
        <v>11</v>
      </c>
      <c r="P315" s="63">
        <v>7.2</v>
      </c>
      <c r="Q315" s="36">
        <v>0.42</v>
      </c>
      <c r="R315" s="36">
        <v>22.36</v>
      </c>
      <c r="S315" s="36">
        <v>0.88</v>
      </c>
      <c r="T315" s="36">
        <v>0.7</v>
      </c>
      <c r="U315" s="42">
        <f t="shared" si="103"/>
        <v>1471.8833333333332</v>
      </c>
      <c r="V315" s="36">
        <f t="shared" si="104"/>
        <v>1372.556302</v>
      </c>
      <c r="W315" s="36">
        <f t="shared" si="105"/>
        <v>0.93251704867912999</v>
      </c>
      <c r="X315" s="57">
        <v>2</v>
      </c>
      <c r="Y315" s="57">
        <v>3</v>
      </c>
      <c r="Z315" s="63">
        <v>6.5</v>
      </c>
      <c r="AA315" s="57">
        <v>17</v>
      </c>
      <c r="AB315" s="63">
        <v>6.6</v>
      </c>
      <c r="AC315" s="63">
        <v>6.1</v>
      </c>
      <c r="AD315" s="10">
        <v>0.64</v>
      </c>
      <c r="AE315" s="36">
        <v>0.8</v>
      </c>
      <c r="AF315" s="42">
        <f t="shared" si="106"/>
        <v>1103.9124999999999</v>
      </c>
      <c r="AG315" s="42">
        <f t="shared" si="107"/>
        <v>1825.0094933200003</v>
      </c>
      <c r="AH315" s="42">
        <f t="shared" si="108"/>
        <v>1.6532193387791156</v>
      </c>
      <c r="AI315" s="57">
        <v>2</v>
      </c>
      <c r="AJ315" s="57">
        <v>4</v>
      </c>
      <c r="AK315" s="36">
        <v>6.41</v>
      </c>
      <c r="AL315" s="36">
        <v>23</v>
      </c>
      <c r="AM315" s="63">
        <v>6.5</v>
      </c>
      <c r="AN315" s="63">
        <v>6.2</v>
      </c>
      <c r="AO315" s="36">
        <v>0.24</v>
      </c>
      <c r="AP315" s="68">
        <v>0.28999999999999998</v>
      </c>
      <c r="AQ315" s="73">
        <f t="shared" si="86"/>
        <v>1879</v>
      </c>
      <c r="AR315" s="75">
        <f t="shared" si="87"/>
        <v>0.64023416711016501</v>
      </c>
      <c r="AS315" s="75">
        <f t="shared" si="88"/>
        <v>4.6833422032996272E-2</v>
      </c>
      <c r="AT315" s="75">
        <f t="shared" si="89"/>
        <v>0.31293241085683876</v>
      </c>
      <c r="AU315" s="26">
        <f t="shared" si="90"/>
        <v>5.4284193720063857E-2</v>
      </c>
      <c r="AV315" s="26">
        <f t="shared" si="91"/>
        <v>9.7924427887174023E-2</v>
      </c>
      <c r="AW315" s="24">
        <f t="shared" si="92"/>
        <v>0.87815126050420167</v>
      </c>
      <c r="AX315" s="24">
        <f t="shared" si="93"/>
        <v>0.66386554621848737</v>
      </c>
      <c r="AY315" s="77" t="str">
        <f t="shared" si="94"/>
        <v>5,0 ≤ Alc. Bruta &lt; 7,5 mg/L</v>
      </c>
      <c r="AZ315" s="77" t="str">
        <f t="shared" si="95"/>
        <v>10 ≤ Cor &lt;15 uC</v>
      </c>
      <c r="BA315" s="78" t="str">
        <f t="shared" si="96"/>
        <v>Turbidez &lt; 2,5 uT</v>
      </c>
      <c r="BB315" s="79" t="str">
        <f t="shared" si="97"/>
        <v>TOR &gt; BNN &gt; SM</v>
      </c>
      <c r="BC315" s="78" t="str">
        <f t="shared" si="98"/>
        <v>Tipo 3 (0,50-0,75) uT</v>
      </c>
      <c r="BD315" s="78" t="str">
        <f t="shared" si="99"/>
        <v>Tipo 1 (≤0,25) uT</v>
      </c>
      <c r="BE315" s="78" t="str">
        <f t="shared" si="100"/>
        <v>Tipo 4 (&gt;0,75) uT</v>
      </c>
      <c r="BF315" s="78" t="str">
        <f t="shared" si="101"/>
        <v>Tipo 2 (0,25-0,50) uT</v>
      </c>
      <c r="BG315" s="78" t="str">
        <f t="shared" si="102"/>
        <v>Tipo 2 (0,25-0,50) uT</v>
      </c>
    </row>
    <row r="316" spans="1:59" x14ac:dyDescent="0.2">
      <c r="A316" s="21">
        <v>46160</v>
      </c>
      <c r="B316" s="48">
        <v>0.14583333333333334</v>
      </c>
      <c r="C316" s="57">
        <v>1038</v>
      </c>
      <c r="D316" s="57">
        <v>88</v>
      </c>
      <c r="E316" s="57">
        <v>588</v>
      </c>
      <c r="F316" s="57">
        <v>1714</v>
      </c>
      <c r="G316" s="10" t="s">
        <v>78</v>
      </c>
      <c r="H316" s="63">
        <v>6.9</v>
      </c>
      <c r="I316" s="57">
        <v>90</v>
      </c>
      <c r="J316" s="57">
        <v>90</v>
      </c>
      <c r="K316" s="57">
        <v>90</v>
      </c>
      <c r="L316" s="63">
        <v>24.8</v>
      </c>
      <c r="M316" s="63">
        <v>6.7</v>
      </c>
      <c r="N316" s="36">
        <v>2.5</v>
      </c>
      <c r="O316" s="57">
        <v>12</v>
      </c>
      <c r="P316" s="63">
        <v>6.4</v>
      </c>
      <c r="Q316" s="36">
        <v>0.39</v>
      </c>
      <c r="R316" s="36">
        <v>22.36</v>
      </c>
      <c r="S316" s="36">
        <v>0.88</v>
      </c>
      <c r="T316" s="36">
        <v>0.7</v>
      </c>
      <c r="U316" s="42">
        <f t="shared" si="103"/>
        <v>1376.9133333333334</v>
      </c>
      <c r="V316" s="36">
        <f t="shared" si="104"/>
        <v>1372.556302</v>
      </c>
      <c r="W316" s="36">
        <f t="shared" si="105"/>
        <v>0.99683565317594414</v>
      </c>
      <c r="X316" s="57">
        <v>2</v>
      </c>
      <c r="Y316" s="57">
        <v>3</v>
      </c>
      <c r="Z316" s="63">
        <v>6.5</v>
      </c>
      <c r="AA316" s="57">
        <v>17</v>
      </c>
      <c r="AB316" s="63">
        <v>6.5</v>
      </c>
      <c r="AC316" s="63">
        <v>5.6</v>
      </c>
      <c r="AD316" s="10">
        <v>0.18</v>
      </c>
      <c r="AE316" s="36">
        <v>0.38</v>
      </c>
      <c r="AF316" s="42">
        <f t="shared" si="106"/>
        <v>1032.6850000000002</v>
      </c>
      <c r="AG316" s="42">
        <f t="shared" si="107"/>
        <v>1832.1158143599996</v>
      </c>
      <c r="AH316" s="42">
        <f t="shared" si="108"/>
        <v>1.7741284267322555</v>
      </c>
      <c r="AI316" s="57">
        <v>2</v>
      </c>
      <c r="AJ316" s="57">
        <v>4</v>
      </c>
      <c r="AK316" s="36">
        <v>6.43</v>
      </c>
      <c r="AL316" s="36">
        <v>23</v>
      </c>
      <c r="AM316" s="63">
        <v>6.6</v>
      </c>
      <c r="AN316" s="63">
        <v>5.8</v>
      </c>
      <c r="AO316" s="36">
        <v>0.99</v>
      </c>
      <c r="AP316" s="68">
        <v>0.71</v>
      </c>
      <c r="AQ316" s="73">
        <f t="shared" si="86"/>
        <v>1714</v>
      </c>
      <c r="AR316" s="75">
        <f t="shared" si="87"/>
        <v>0.60560093348891486</v>
      </c>
      <c r="AS316" s="75">
        <f t="shared" si="88"/>
        <v>5.1341890315052506E-2</v>
      </c>
      <c r="AT316" s="75">
        <f t="shared" si="89"/>
        <v>0.34305717619603265</v>
      </c>
      <c r="AU316" s="26">
        <f t="shared" si="90"/>
        <v>5.9509918319719947E-2</v>
      </c>
      <c r="AV316" s="26">
        <f t="shared" si="91"/>
        <v>0.10735122520420071</v>
      </c>
      <c r="AW316" s="24">
        <f t="shared" si="92"/>
        <v>0.71599999999999997</v>
      </c>
      <c r="AX316" s="24">
        <f t="shared" si="93"/>
        <v>0.84799999999999998</v>
      </c>
      <c r="AY316" s="77" t="str">
        <f t="shared" si="94"/>
        <v>5,0 ≤ Alc. Bruta &lt; 7,5 mg/L</v>
      </c>
      <c r="AZ316" s="77" t="str">
        <f t="shared" si="95"/>
        <v>10 ≤ Cor &lt;15 uC</v>
      </c>
      <c r="BA316" s="78" t="str">
        <f t="shared" si="96"/>
        <v>2,5 ≤ Turb &lt; 5,0 uT</v>
      </c>
      <c r="BB316" s="79" t="str">
        <f t="shared" si="97"/>
        <v>TOR &gt; BNN &gt; SM</v>
      </c>
      <c r="BC316" s="78" t="str">
        <f t="shared" si="98"/>
        <v>Tipo 1 (≤0,25) uT</v>
      </c>
      <c r="BD316" s="78" t="str">
        <f t="shared" si="99"/>
        <v>Tipo 4 (&gt;0,75) uT</v>
      </c>
      <c r="BE316" s="78" t="str">
        <f t="shared" si="100"/>
        <v>Tipo 2 (0,25-0,50) uT</v>
      </c>
      <c r="BF316" s="78" t="str">
        <f t="shared" si="101"/>
        <v>Tipo 3 (0,50-0,75) uT</v>
      </c>
      <c r="BG316" s="78" t="str">
        <f t="shared" si="102"/>
        <v>Tipo 2 (0,25-0,50) uT</v>
      </c>
    </row>
    <row r="317" spans="1:59" ht="15.75" thickBot="1" x14ac:dyDescent="0.25">
      <c r="A317" s="21">
        <v>46160</v>
      </c>
      <c r="B317" s="51">
        <v>0.22916666666666666</v>
      </c>
      <c r="C317" s="58">
        <v>1177</v>
      </c>
      <c r="D317" s="58">
        <v>84</v>
      </c>
      <c r="E317" s="58">
        <v>588</v>
      </c>
      <c r="F317" s="58">
        <v>1849</v>
      </c>
      <c r="G317" s="11" t="s">
        <v>78</v>
      </c>
      <c r="H317" s="64">
        <v>6.9</v>
      </c>
      <c r="I317" s="58">
        <v>90</v>
      </c>
      <c r="J317" s="58">
        <v>90</v>
      </c>
      <c r="K317" s="58">
        <v>90</v>
      </c>
      <c r="L317" s="64">
        <v>24.4</v>
      </c>
      <c r="M317" s="64">
        <v>6.7</v>
      </c>
      <c r="N317" s="37">
        <v>2.35</v>
      </c>
      <c r="O317" s="58">
        <v>11</v>
      </c>
      <c r="P317" s="64">
        <v>6.9</v>
      </c>
      <c r="Q317" s="37">
        <v>0.45</v>
      </c>
      <c r="R317" s="36">
        <v>22.36</v>
      </c>
      <c r="S317" s="36">
        <v>0.88</v>
      </c>
      <c r="T317" s="36">
        <v>0.7</v>
      </c>
      <c r="U317" s="42">
        <f t="shared" si="103"/>
        <v>1439.1383333333333</v>
      </c>
      <c r="V317" s="36">
        <f t="shared" si="104"/>
        <v>1369.9300529199998</v>
      </c>
      <c r="W317" s="36">
        <f t="shared" si="105"/>
        <v>0.95190991803197034</v>
      </c>
      <c r="X317" s="58">
        <v>2</v>
      </c>
      <c r="Y317" s="58">
        <v>3</v>
      </c>
      <c r="Z317" s="64">
        <v>6.49</v>
      </c>
      <c r="AA317" s="58">
        <v>17</v>
      </c>
      <c r="AB317" s="64">
        <v>6.6</v>
      </c>
      <c r="AC317" s="64">
        <v>5.8</v>
      </c>
      <c r="AD317" s="11">
        <v>0.35</v>
      </c>
      <c r="AE317" s="37">
        <v>0.47</v>
      </c>
      <c r="AF317" s="42">
        <f t="shared" si="106"/>
        <v>1079.35375</v>
      </c>
      <c r="AG317" s="42">
        <f t="shared" si="107"/>
        <v>1825.0094933200003</v>
      </c>
      <c r="AH317" s="42">
        <f t="shared" si="108"/>
        <v>1.690835366366217</v>
      </c>
      <c r="AI317" s="58">
        <v>2</v>
      </c>
      <c r="AJ317" s="58">
        <v>4</v>
      </c>
      <c r="AK317" s="37">
        <v>6.41</v>
      </c>
      <c r="AL317" s="37">
        <v>23</v>
      </c>
      <c r="AM317" s="64">
        <v>6.6</v>
      </c>
      <c r="AN317" s="64">
        <v>5.9</v>
      </c>
      <c r="AO317" s="37">
        <v>0.44</v>
      </c>
      <c r="AP317" s="69">
        <v>0.39</v>
      </c>
      <c r="AQ317" s="73">
        <f t="shared" si="86"/>
        <v>1849</v>
      </c>
      <c r="AR317" s="75">
        <f t="shared" si="87"/>
        <v>0.6365603028664143</v>
      </c>
      <c r="AS317" s="75">
        <f t="shared" si="88"/>
        <v>4.5429962141698213E-2</v>
      </c>
      <c r="AT317" s="75">
        <f t="shared" si="89"/>
        <v>0.3180097349918875</v>
      </c>
      <c r="AU317" s="26">
        <f t="shared" si="90"/>
        <v>5.5164954029204974E-2</v>
      </c>
      <c r="AV317" s="26">
        <f t="shared" si="91"/>
        <v>9.9513250405624656E-2</v>
      </c>
      <c r="AW317" s="24">
        <f t="shared" si="92"/>
        <v>0.83404255319148934</v>
      </c>
      <c r="AX317" s="24">
        <f t="shared" si="93"/>
        <v>0.8</v>
      </c>
      <c r="AY317" s="77" t="str">
        <f t="shared" si="94"/>
        <v>5,0 ≤ Alc. Bruta &lt; 7,5 mg/L</v>
      </c>
      <c r="AZ317" s="77" t="str">
        <f t="shared" si="95"/>
        <v>10 ≤ Cor &lt;15 uC</v>
      </c>
      <c r="BA317" s="78" t="str">
        <f t="shared" si="96"/>
        <v>Turbidez &lt; 2,5 uT</v>
      </c>
      <c r="BB317" s="79" t="str">
        <f t="shared" si="97"/>
        <v>TOR &gt; BNN &gt; SM</v>
      </c>
      <c r="BC317" s="78" t="str">
        <f t="shared" si="98"/>
        <v>Tipo 2 (0,25-0,50) uT</v>
      </c>
      <c r="BD317" s="78" t="str">
        <f t="shared" si="99"/>
        <v>Tipo 2 (0,25-0,50) uT</v>
      </c>
      <c r="BE317" s="78" t="str">
        <f t="shared" si="100"/>
        <v>Tipo 2 (0,25-0,50) uT</v>
      </c>
      <c r="BF317" s="78" t="str">
        <f t="shared" si="101"/>
        <v>Tipo 2 (0,25-0,50) uT</v>
      </c>
      <c r="BG317" s="78" t="str">
        <f t="shared" si="102"/>
        <v>Tipo 2 (0,25-0,50) uT</v>
      </c>
    </row>
    <row r="318" spans="1:59" x14ac:dyDescent="0.2">
      <c r="A318" s="21">
        <v>46160</v>
      </c>
      <c r="B318" s="52">
        <v>0.3125</v>
      </c>
      <c r="C318" s="59">
        <v>1159</v>
      </c>
      <c r="D318" s="57">
        <v>88</v>
      </c>
      <c r="E318" s="59">
        <v>589</v>
      </c>
      <c r="F318" s="59">
        <v>1939</v>
      </c>
      <c r="G318" s="9" t="s">
        <v>78</v>
      </c>
      <c r="H318" s="65">
        <v>6.9</v>
      </c>
      <c r="I318" s="59">
        <v>90</v>
      </c>
      <c r="J318" s="59">
        <v>90</v>
      </c>
      <c r="K318" s="59">
        <v>90</v>
      </c>
      <c r="L318" s="65">
        <v>24.2</v>
      </c>
      <c r="M318" s="65">
        <v>6.8</v>
      </c>
      <c r="N318" s="38">
        <v>2.95</v>
      </c>
      <c r="O318" s="59">
        <v>14</v>
      </c>
      <c r="P318" s="65">
        <v>6.9</v>
      </c>
      <c r="Q318" s="38">
        <v>0.44</v>
      </c>
      <c r="R318" s="36">
        <v>22.36</v>
      </c>
      <c r="S318" s="36">
        <v>0.88</v>
      </c>
      <c r="T318" s="36">
        <v>0.7</v>
      </c>
      <c r="U318" s="42">
        <f t="shared" si="103"/>
        <v>1703.0883333333334</v>
      </c>
      <c r="V318" s="36">
        <f t="shared" si="104"/>
        <v>1365.1628579887999</v>
      </c>
      <c r="W318" s="36">
        <f t="shared" si="105"/>
        <v>0.80158077022162677</v>
      </c>
      <c r="X318" s="59">
        <v>2</v>
      </c>
      <c r="Y318" s="59">
        <v>3</v>
      </c>
      <c r="Z318" s="65">
        <v>6.54</v>
      </c>
      <c r="AA318" s="59">
        <v>16.78</v>
      </c>
      <c r="AB318" s="65">
        <v>6.6</v>
      </c>
      <c r="AC318" s="65">
        <v>6.9</v>
      </c>
      <c r="AD318" s="9">
        <v>0.44</v>
      </c>
      <c r="AE318" s="38">
        <v>0.55000000000000004</v>
      </c>
      <c r="AF318" s="42">
        <f t="shared" si="106"/>
        <v>1277.3162499999999</v>
      </c>
      <c r="AG318" s="42">
        <f t="shared" si="107"/>
        <v>1842.3146989260001</v>
      </c>
      <c r="AH318" s="42">
        <f t="shared" si="108"/>
        <v>1.4423324677236355</v>
      </c>
      <c r="AI318" s="59">
        <v>2</v>
      </c>
      <c r="AJ318" s="59">
        <v>4</v>
      </c>
      <c r="AK318" s="38">
        <v>6.47</v>
      </c>
      <c r="AL318" s="38">
        <v>22.95</v>
      </c>
      <c r="AM318" s="65">
        <v>6.6</v>
      </c>
      <c r="AN318" s="65">
        <v>6.8</v>
      </c>
      <c r="AO318" s="38">
        <v>0.39</v>
      </c>
      <c r="AP318" s="70">
        <v>0.42</v>
      </c>
      <c r="AQ318" s="73">
        <f t="shared" si="86"/>
        <v>1836</v>
      </c>
      <c r="AR318" s="75">
        <f t="shared" si="87"/>
        <v>0.63126361655773422</v>
      </c>
      <c r="AS318" s="75">
        <f t="shared" si="88"/>
        <v>4.793028322440087E-2</v>
      </c>
      <c r="AT318" s="75">
        <f t="shared" si="89"/>
        <v>0.32080610021786493</v>
      </c>
      <c r="AU318" s="26">
        <f t="shared" si="90"/>
        <v>5.1923671995874165E-2</v>
      </c>
      <c r="AV318" s="26">
        <f t="shared" si="91"/>
        <v>9.4687983496647754E-2</v>
      </c>
      <c r="AW318" s="24">
        <f t="shared" si="92"/>
        <v>0.85762711864406782</v>
      </c>
      <c r="AX318" s="24">
        <f t="shared" si="93"/>
        <v>0.81355932203389836</v>
      </c>
      <c r="AY318" s="77" t="str">
        <f t="shared" si="94"/>
        <v>5,0 ≤ Alc. Bruta &lt; 7,5 mg/L</v>
      </c>
      <c r="AZ318" s="77" t="str">
        <f t="shared" si="95"/>
        <v>10 ≤ Cor &lt;15 uC</v>
      </c>
      <c r="BA318" s="78" t="str">
        <f t="shared" si="96"/>
        <v>2,5 ≤ Turb &lt; 5,0 uT</v>
      </c>
      <c r="BB318" s="79" t="str">
        <f t="shared" si="97"/>
        <v>TOR &gt; BNN &gt; SM</v>
      </c>
      <c r="BC318" s="78" t="str">
        <f t="shared" si="98"/>
        <v>Tipo 2 (0,25-0,50) uT</v>
      </c>
      <c r="BD318" s="78" t="str">
        <f t="shared" si="99"/>
        <v>Tipo 2 (0,25-0,50) uT</v>
      </c>
      <c r="BE318" s="78" t="str">
        <f t="shared" si="100"/>
        <v>Tipo 3 (0,50-0,75) uT</v>
      </c>
      <c r="BF318" s="78" t="str">
        <f t="shared" si="101"/>
        <v>Tipo 2 (0,25-0,50) uT</v>
      </c>
      <c r="BG318" s="78" t="str">
        <f t="shared" si="102"/>
        <v>Tipo 2 (0,25-0,50) uT</v>
      </c>
    </row>
    <row r="319" spans="1:59" x14ac:dyDescent="0.2">
      <c r="A319" s="21">
        <v>46160</v>
      </c>
      <c r="B319" s="48">
        <v>0.39583333333333331</v>
      </c>
      <c r="C319" s="57">
        <v>1225</v>
      </c>
      <c r="D319" s="57">
        <v>85</v>
      </c>
      <c r="E319" s="57">
        <v>589</v>
      </c>
      <c r="F319" s="57">
        <v>1907</v>
      </c>
      <c r="G319" s="10" t="s">
        <v>78</v>
      </c>
      <c r="H319" s="63">
        <v>6.9</v>
      </c>
      <c r="I319" s="57">
        <v>90</v>
      </c>
      <c r="J319" s="57">
        <v>90</v>
      </c>
      <c r="K319" s="57">
        <v>90</v>
      </c>
      <c r="L319" s="63">
        <v>24</v>
      </c>
      <c r="M319" s="63">
        <v>6.8</v>
      </c>
      <c r="N319" s="36">
        <v>3</v>
      </c>
      <c r="O319" s="57">
        <v>14</v>
      </c>
      <c r="P319" s="63">
        <v>6.9</v>
      </c>
      <c r="Q319" s="36">
        <v>0.48</v>
      </c>
      <c r="R319" s="36">
        <v>22.36</v>
      </c>
      <c r="S319" s="36">
        <v>0.88</v>
      </c>
      <c r="T319" s="36">
        <v>0.7</v>
      </c>
      <c r="U319" s="42">
        <f t="shared" si="103"/>
        <v>1690.8733333333332</v>
      </c>
      <c r="V319" s="36">
        <f t="shared" si="104"/>
        <v>1583.0259635216</v>
      </c>
      <c r="W319" s="36">
        <f t="shared" si="105"/>
        <v>0.93621794862710006</v>
      </c>
      <c r="X319" s="57">
        <v>2</v>
      </c>
      <c r="Y319" s="57">
        <v>3</v>
      </c>
      <c r="Z319" s="63">
        <v>6.47</v>
      </c>
      <c r="AA319" s="57">
        <v>19.72</v>
      </c>
      <c r="AB319" s="63">
        <v>6.6</v>
      </c>
      <c r="AC319" s="63">
        <v>6.4</v>
      </c>
      <c r="AD319" s="10">
        <v>0.25</v>
      </c>
      <c r="AE319" s="36">
        <v>0.56999999999999995</v>
      </c>
      <c r="AF319" s="42">
        <f t="shared" si="106"/>
        <v>1268.155</v>
      </c>
      <c r="AG319" s="42">
        <f t="shared" si="107"/>
        <v>1864.9047348047995</v>
      </c>
      <c r="AH319" s="42">
        <f t="shared" si="108"/>
        <v>1.4705652974634802</v>
      </c>
      <c r="AI319" s="57">
        <v>2</v>
      </c>
      <c r="AJ319" s="57">
        <v>4</v>
      </c>
      <c r="AK319" s="36">
        <v>6.52</v>
      </c>
      <c r="AL319" s="36">
        <v>23.01</v>
      </c>
      <c r="AM319" s="63">
        <v>6.6</v>
      </c>
      <c r="AN319" s="63">
        <v>6.5</v>
      </c>
      <c r="AO319" s="36">
        <v>0.55000000000000004</v>
      </c>
      <c r="AP319" s="68">
        <v>0.46</v>
      </c>
      <c r="AQ319" s="73">
        <f t="shared" si="86"/>
        <v>1899</v>
      </c>
      <c r="AR319" s="75">
        <f t="shared" si="87"/>
        <v>0.64507635597682988</v>
      </c>
      <c r="AS319" s="75">
        <f t="shared" si="88"/>
        <v>4.476040021063718E-2</v>
      </c>
      <c r="AT319" s="75">
        <f t="shared" si="89"/>
        <v>0.31016324381253291</v>
      </c>
      <c r="AU319" s="26">
        <f t="shared" si="90"/>
        <v>6.204509701101206E-2</v>
      </c>
      <c r="AV319" s="26">
        <f t="shared" si="91"/>
        <v>9.6528578919769278E-2</v>
      </c>
      <c r="AW319" s="24">
        <f t="shared" si="92"/>
        <v>0.84666666666666668</v>
      </c>
      <c r="AX319" s="24">
        <f t="shared" si="93"/>
        <v>0.81</v>
      </c>
      <c r="AY319" s="77" t="str">
        <f t="shared" si="94"/>
        <v>5,0 ≤ Alc. Bruta &lt; 7,5 mg/L</v>
      </c>
      <c r="AZ319" s="77" t="str">
        <f t="shared" si="95"/>
        <v>10 ≤ Cor &lt;15 uC</v>
      </c>
      <c r="BA319" s="78" t="str">
        <f t="shared" si="96"/>
        <v>2,5 ≤ Turb &lt; 5,0 uT</v>
      </c>
      <c r="BB319" s="79" t="str">
        <f t="shared" si="97"/>
        <v>TOR &gt; BNN &gt; SM</v>
      </c>
      <c r="BC319" s="78" t="str">
        <f t="shared" si="98"/>
        <v>Tipo 1 (≤0,25) uT</v>
      </c>
      <c r="BD319" s="78" t="str">
        <f t="shared" si="99"/>
        <v>Tipo 3 (0,50-0,75) uT</v>
      </c>
      <c r="BE319" s="78" t="str">
        <f t="shared" si="100"/>
        <v>Tipo 3 (0,50-0,75) uT</v>
      </c>
      <c r="BF319" s="78" t="str">
        <f t="shared" si="101"/>
        <v>Tipo 2 (0,25-0,50) uT</v>
      </c>
      <c r="BG319" s="78" t="str">
        <f t="shared" si="102"/>
        <v>Tipo 2 (0,25-0,50) uT</v>
      </c>
    </row>
    <row r="320" spans="1:59" x14ac:dyDescent="0.2">
      <c r="A320" s="21">
        <v>46160</v>
      </c>
      <c r="B320" s="48">
        <v>0.47916666666666669</v>
      </c>
      <c r="C320" s="57">
        <v>1145</v>
      </c>
      <c r="D320" s="57">
        <v>90</v>
      </c>
      <c r="E320" s="57">
        <v>587</v>
      </c>
      <c r="F320" s="57">
        <v>1815</v>
      </c>
      <c r="G320" s="10" t="s">
        <v>78</v>
      </c>
      <c r="H320" s="63">
        <v>7.2</v>
      </c>
      <c r="I320" s="57">
        <v>90</v>
      </c>
      <c r="J320" s="57">
        <v>90</v>
      </c>
      <c r="K320" s="57">
        <v>90</v>
      </c>
      <c r="L320" s="63">
        <v>24</v>
      </c>
      <c r="M320" s="63">
        <v>6.7</v>
      </c>
      <c r="N320" s="36">
        <v>3.17</v>
      </c>
      <c r="O320" s="57">
        <v>14</v>
      </c>
      <c r="P320" s="63">
        <v>7.6</v>
      </c>
      <c r="Q320" s="36">
        <v>0.99</v>
      </c>
      <c r="R320" s="36">
        <v>22.36</v>
      </c>
      <c r="S320" s="36">
        <v>0.88</v>
      </c>
      <c r="T320" s="36">
        <v>0.7</v>
      </c>
      <c r="U320" s="42">
        <f t="shared" si="103"/>
        <v>1687.95</v>
      </c>
      <c r="V320" s="36">
        <f t="shared" si="104"/>
        <v>1584.2838141415998</v>
      </c>
      <c r="W320" s="36">
        <f t="shared" si="105"/>
        <v>0.93858456360768971</v>
      </c>
      <c r="X320" s="57">
        <v>2</v>
      </c>
      <c r="Y320" s="57">
        <v>3</v>
      </c>
      <c r="Z320" s="63">
        <v>6.49</v>
      </c>
      <c r="AA320" s="57">
        <v>19.66</v>
      </c>
      <c r="AB320" s="63">
        <v>6.7</v>
      </c>
      <c r="AC320" s="63">
        <v>6.4</v>
      </c>
      <c r="AD320" s="10">
        <v>0.53</v>
      </c>
      <c r="AE320" s="36">
        <v>0.88</v>
      </c>
      <c r="AF320" s="42">
        <f t="shared" si="106"/>
        <v>1265.9625000000001</v>
      </c>
      <c r="AG320" s="42">
        <f t="shared" si="107"/>
        <v>1896.0681411620003</v>
      </c>
      <c r="AH320" s="42">
        <f t="shared" si="108"/>
        <v>1.4977285197326147</v>
      </c>
      <c r="AI320" s="57">
        <v>2</v>
      </c>
      <c r="AJ320" s="57">
        <v>4</v>
      </c>
      <c r="AK320" s="36">
        <v>6.53</v>
      </c>
      <c r="AL320" s="36">
        <v>23.35</v>
      </c>
      <c r="AM320" s="63">
        <v>6.7</v>
      </c>
      <c r="AN320" s="63">
        <v>6.5</v>
      </c>
      <c r="AO320" s="36">
        <v>0.48</v>
      </c>
      <c r="AP320" s="68">
        <v>0.81</v>
      </c>
      <c r="AQ320" s="73">
        <f t="shared" si="86"/>
        <v>1822</v>
      </c>
      <c r="AR320" s="75">
        <f t="shared" si="87"/>
        <v>0.62843029637760706</v>
      </c>
      <c r="AS320" s="75">
        <f t="shared" si="88"/>
        <v>4.9396267837541162E-2</v>
      </c>
      <c r="AT320" s="75">
        <f t="shared" si="89"/>
        <v>0.3221734357848518</v>
      </c>
      <c r="AU320" s="26">
        <f t="shared" si="90"/>
        <v>6.4991735537190079E-2</v>
      </c>
      <c r="AV320" s="26">
        <f t="shared" si="91"/>
        <v>0.10292011019283748</v>
      </c>
      <c r="AW320" s="24">
        <f t="shared" si="92"/>
        <v>0.74447949526813884</v>
      </c>
      <c r="AX320" s="24">
        <f t="shared" si="93"/>
        <v>0.72239747634069396</v>
      </c>
      <c r="AY320" s="77" t="str">
        <f t="shared" si="94"/>
        <v>7,5 ≤ Alc. Bruta &lt; 10,0 mg/L</v>
      </c>
      <c r="AZ320" s="77" t="str">
        <f t="shared" si="95"/>
        <v>10 ≤ Cor &lt;15 uC</v>
      </c>
      <c r="BA320" s="78" t="str">
        <f t="shared" si="96"/>
        <v>2,5 ≤ Turb &lt; 5,0 uT</v>
      </c>
      <c r="BB320" s="79" t="str">
        <f t="shared" si="97"/>
        <v>TOR &gt; BNN &gt; SM</v>
      </c>
      <c r="BC320" s="78" t="str">
        <f t="shared" si="98"/>
        <v>Tipo 3 (0,50-0,75) uT</v>
      </c>
      <c r="BD320" s="78" t="str">
        <f t="shared" si="99"/>
        <v>Tipo 2 (0,25-0,50) uT</v>
      </c>
      <c r="BE320" s="78" t="str">
        <f t="shared" si="100"/>
        <v>Tipo 4 (&gt;0,75) uT</v>
      </c>
      <c r="BF320" s="78" t="str">
        <f t="shared" si="101"/>
        <v>Tipo 4 (&gt;0,75) uT</v>
      </c>
      <c r="BG320" s="78" t="str">
        <f t="shared" si="102"/>
        <v>Tipo 4 (&gt;0,75) uT</v>
      </c>
    </row>
    <row r="321" spans="1:59" x14ac:dyDescent="0.2">
      <c r="A321" s="21">
        <v>46160</v>
      </c>
      <c r="B321" s="48">
        <v>0.64583333333333337</v>
      </c>
      <c r="C321" s="57">
        <v>1182</v>
      </c>
      <c r="D321" s="57">
        <v>87</v>
      </c>
      <c r="E321" s="57">
        <v>587</v>
      </c>
      <c r="F321" s="57">
        <v>1884</v>
      </c>
      <c r="G321" s="10" t="s">
        <v>78</v>
      </c>
      <c r="H321" s="63">
        <v>7.5</v>
      </c>
      <c r="I321" s="57">
        <v>90</v>
      </c>
      <c r="J321" s="57">
        <v>90</v>
      </c>
      <c r="K321" s="57">
        <v>90</v>
      </c>
      <c r="L321" s="63">
        <v>24.4</v>
      </c>
      <c r="M321" s="63">
        <v>6.7</v>
      </c>
      <c r="N321" s="36">
        <v>3.43</v>
      </c>
      <c r="O321" s="57">
        <v>15</v>
      </c>
      <c r="P321" s="63">
        <v>7.8</v>
      </c>
      <c r="Q321" s="36">
        <v>0.21</v>
      </c>
      <c r="R321" s="36">
        <v>22.36</v>
      </c>
      <c r="S321" s="36">
        <v>0.88</v>
      </c>
      <c r="T321" s="36">
        <v>0.7</v>
      </c>
      <c r="U321" s="42">
        <f t="shared" si="103"/>
        <v>1862.02</v>
      </c>
      <c r="V321" s="36">
        <f t="shared" si="104"/>
        <v>1575.9734813367998</v>
      </c>
      <c r="W321" s="36">
        <f t="shared" si="105"/>
        <v>0.84637838548286259</v>
      </c>
      <c r="X321" s="57">
        <v>2</v>
      </c>
      <c r="Y321" s="57">
        <v>3</v>
      </c>
      <c r="Z321" s="63">
        <v>6.46</v>
      </c>
      <c r="AA321" s="57">
        <v>19.670000000000002</v>
      </c>
      <c r="AB321" s="63">
        <v>6.6</v>
      </c>
      <c r="AC321" s="63">
        <v>6.3</v>
      </c>
      <c r="AD321" s="10">
        <v>0.26</v>
      </c>
      <c r="AE321" s="36">
        <v>0.41</v>
      </c>
      <c r="AF321" s="42">
        <f t="shared" si="106"/>
        <v>1396.5149999999999</v>
      </c>
      <c r="AG321" s="42">
        <f t="shared" si="107"/>
        <v>1821.7124147247998</v>
      </c>
      <c r="AH321" s="42">
        <f t="shared" si="108"/>
        <v>1.3044703527887636</v>
      </c>
      <c r="AI321" s="57">
        <v>2</v>
      </c>
      <c r="AJ321" s="57">
        <v>4</v>
      </c>
      <c r="AK321" s="36">
        <v>6.51</v>
      </c>
      <c r="AL321" s="36">
        <v>22.52</v>
      </c>
      <c r="AM321" s="63">
        <v>6.5</v>
      </c>
      <c r="AN321" s="63">
        <v>6.1</v>
      </c>
      <c r="AO321" s="36">
        <v>0.42</v>
      </c>
      <c r="AP321" s="68">
        <v>0.3</v>
      </c>
      <c r="AQ321" s="73">
        <f t="shared" si="86"/>
        <v>1856</v>
      </c>
      <c r="AR321" s="75">
        <f t="shared" si="87"/>
        <v>0.6368534482758621</v>
      </c>
      <c r="AS321" s="75">
        <f t="shared" si="88"/>
        <v>4.6875E-2</v>
      </c>
      <c r="AT321" s="75">
        <f t="shared" si="89"/>
        <v>0.31627155172413796</v>
      </c>
      <c r="AU321" s="26">
        <f t="shared" si="90"/>
        <v>6.2643312101910834E-2</v>
      </c>
      <c r="AV321" s="26">
        <f t="shared" si="91"/>
        <v>9.5626326963906577E-2</v>
      </c>
      <c r="AW321" s="24">
        <f t="shared" si="92"/>
        <v>0.91253644314868809</v>
      </c>
      <c r="AX321" s="24">
        <f t="shared" si="93"/>
        <v>0.88046647230320696</v>
      </c>
      <c r="AY321" s="77" t="str">
        <f t="shared" si="94"/>
        <v>7,5 ≤ Alc. Bruta &lt; 10,0 mg/L</v>
      </c>
      <c r="AZ321" s="77" t="str">
        <f t="shared" si="95"/>
        <v>15 ≤ Cor &lt; 30 uC</v>
      </c>
      <c r="BA321" s="78" t="str">
        <f t="shared" si="96"/>
        <v>2,5 ≤ Turb &lt; 5,0 uT</v>
      </c>
      <c r="BB321" s="79" t="str">
        <f t="shared" si="97"/>
        <v>TOR &gt; BNN &gt; SM</v>
      </c>
      <c r="BC321" s="78" t="str">
        <f t="shared" si="98"/>
        <v>Tipo 2 (0,25-0,50) uT</v>
      </c>
      <c r="BD321" s="78" t="str">
        <f t="shared" si="99"/>
        <v>Tipo 2 (0,25-0,50) uT</v>
      </c>
      <c r="BE321" s="78" t="str">
        <f t="shared" si="100"/>
        <v>Tipo 2 (0,25-0,50) uT</v>
      </c>
      <c r="BF321" s="78" t="str">
        <f t="shared" si="101"/>
        <v>Tipo 2 (0,25-0,50) uT</v>
      </c>
      <c r="BG321" s="78" t="str">
        <f t="shared" si="102"/>
        <v>Tipo 1 (≤0,25) uT</v>
      </c>
    </row>
    <row r="322" spans="1:59" x14ac:dyDescent="0.2">
      <c r="A322" s="21">
        <v>46160</v>
      </c>
      <c r="B322" s="48">
        <v>0.72916666666666663</v>
      </c>
      <c r="C322" s="57">
        <v>1208</v>
      </c>
      <c r="D322" s="57">
        <v>86</v>
      </c>
      <c r="E322" s="57">
        <v>588</v>
      </c>
      <c r="F322" s="57">
        <v>1916</v>
      </c>
      <c r="G322" s="10" t="s">
        <v>78</v>
      </c>
      <c r="H322" s="63">
        <v>7</v>
      </c>
      <c r="I322" s="57">
        <v>90</v>
      </c>
      <c r="J322" s="57">
        <v>90</v>
      </c>
      <c r="K322" s="57">
        <v>90</v>
      </c>
      <c r="L322" s="63">
        <v>24.8</v>
      </c>
      <c r="M322" s="63">
        <v>6.8</v>
      </c>
      <c r="N322" s="36">
        <v>3.31</v>
      </c>
      <c r="O322" s="57">
        <v>15</v>
      </c>
      <c r="P322" s="63">
        <v>7.1</v>
      </c>
      <c r="Q322" s="36">
        <v>0.15</v>
      </c>
      <c r="R322" s="36">
        <v>22.36</v>
      </c>
      <c r="S322" s="36">
        <v>0.88</v>
      </c>
      <c r="T322" s="36">
        <v>0.7</v>
      </c>
      <c r="U322" s="42">
        <f t="shared" si="103"/>
        <v>1807.4266666666665</v>
      </c>
      <c r="V322" s="36">
        <f t="shared" si="104"/>
        <v>1580.6177090132003</v>
      </c>
      <c r="W322" s="36">
        <f t="shared" si="105"/>
        <v>0.87451277452282095</v>
      </c>
      <c r="X322" s="57">
        <v>2</v>
      </c>
      <c r="Y322" s="57">
        <v>3</v>
      </c>
      <c r="Z322" s="63">
        <v>6.47</v>
      </c>
      <c r="AA322" s="57">
        <v>19.690000000000001</v>
      </c>
      <c r="AB322" s="63">
        <v>6.7</v>
      </c>
      <c r="AC322" s="63">
        <v>6.4</v>
      </c>
      <c r="AD322" s="10">
        <v>0.35</v>
      </c>
      <c r="AE322" s="36">
        <v>0.25</v>
      </c>
      <c r="AF322" s="42">
        <f t="shared" si="106"/>
        <v>1355.57</v>
      </c>
      <c r="AG322" s="42">
        <f t="shared" si="107"/>
        <v>1766.8371672639996</v>
      </c>
      <c r="AH322" s="42">
        <f t="shared" si="108"/>
        <v>1.3033905790656326</v>
      </c>
      <c r="AI322" s="57">
        <v>2</v>
      </c>
      <c r="AJ322" s="57">
        <v>4</v>
      </c>
      <c r="AK322" s="36">
        <v>6.52</v>
      </c>
      <c r="AL322" s="36">
        <v>21.8</v>
      </c>
      <c r="AM322" s="63">
        <v>6.6</v>
      </c>
      <c r="AN322" s="63">
        <v>6.4</v>
      </c>
      <c r="AO322" s="36">
        <v>0.33</v>
      </c>
      <c r="AP322" s="68">
        <v>0.28000000000000003</v>
      </c>
      <c r="AQ322" s="73">
        <f t="shared" ref="AQ322:AQ385" si="109">SUM(C322:E322)</f>
        <v>1882</v>
      </c>
      <c r="AR322" s="75">
        <f t="shared" ref="AR322:AR385" si="110">C322/AQ322</f>
        <v>0.64187035069075449</v>
      </c>
      <c r="AS322" s="75">
        <f t="shared" ref="AS322:AS385" si="111">D322/AQ322</f>
        <v>4.5696068012752389E-2</v>
      </c>
      <c r="AT322" s="75">
        <f t="shared" ref="AT322:AT385" si="112">E322/AQ322</f>
        <v>0.31243358129649307</v>
      </c>
      <c r="AU322" s="26">
        <f t="shared" ref="AU322:AU385" si="113">IF(AND(F322&lt;&gt;"",Y322&lt;&gt;""),AA322/(F322/2/Y322),"")</f>
        <v>6.1659707724425895E-2</v>
      </c>
      <c r="AV322" s="26">
        <f t="shared" ref="AV322:AV385" si="114">IF(AND(F322&lt;&gt;"",AJ322&lt;&gt;""),AL322/(F322/2/AJ322),"")</f>
        <v>9.102296450939458E-2</v>
      </c>
      <c r="AW322" s="24">
        <f t="shared" ref="AW322:AW385" si="115">IF(AND(AP322&lt;&gt;"",1-(AP322/N322)&gt;0),1-(AP322/N322),"")</f>
        <v>0.9154078549848943</v>
      </c>
      <c r="AX322" s="24">
        <f t="shared" ref="AX322:AX385" si="116">IF(AND(AE322&lt;&gt;"",1-(AE322/N322)&gt;0),1-(AE322/N322),"")</f>
        <v>0.92447129909365555</v>
      </c>
      <c r="AY322" s="77" t="str">
        <f t="shared" ref="AY322:AY385" si="117">IF(P322="","",IF(P322&lt;2.5,"Alc. Bruta &lt; 2,5 mg/L",IF(P322&lt;5,"2,5 ≤ Alc. Bruta &lt; 5,0 mg/L",IF(P322&lt;7.5,"5,0 ≤ Alc. Bruta &lt; 7,5 mg/L",IF(P322&lt;10,"7,5 ≤ Alc. Bruta &lt; 10,0 mg/L",IF(P322&lt;15,"10,0 ≤ Alca. Bruta &lt; 15,0 mg/L","Alc. Bruta &gt; 15 mg/L"))))))</f>
        <v>5,0 ≤ Alc. Bruta &lt; 7,5 mg/L</v>
      </c>
      <c r="AZ322" s="77" t="str">
        <f t="shared" ref="AZ322:AZ385" si="118">IF(O322="","",IF(O322&lt;5,"Cor &lt;5 uC",IF(O322&lt;10,"5 ≤ Cor &lt; 10 uC",IF(O322&lt;15,"10 ≤ Cor &lt;15 uC",IF(O322&lt;30,"15 ≤ Cor &lt; 30 uC",IF(O322&lt;50,"30 ≤ Cor &lt; 50 uC","Cor &gt; 50 uC"))))))</f>
        <v>15 ≤ Cor &lt; 30 uC</v>
      </c>
      <c r="BA322" s="78" t="str">
        <f t="shared" ref="BA322:BA385" si="119">IF(N322="","",IF(N322&lt;2.5,"Turbidez &lt; 2,5 uT",IF(N322&lt;5,"2,5 ≤ Turb &lt; 5,0 uT",IF(N322&lt;7.5,"5,0 ≤ Turb &lt; 7,5 uT",IF(N322&lt;10,"7,5 ≤ Turb &lt; 10,0 uT",IF(N322&lt;15,"10,0 ≤ Turb &lt; 15,0 uT","Turb &gt; 15 uT"))))))</f>
        <v>2,5 ≤ Turb &lt; 5,0 uT</v>
      </c>
      <c r="BB322" s="79" t="str">
        <f t="shared" ref="BB322:BB385" si="120">IF(AND(C322&gt;D322,D322&gt;E322),"TOR &gt; SM &gt; BNN",IF(AND(C322&gt;E322,E322&gt;D322),"TOR &gt; BNN &gt; SM",IF(AND(D322&gt;C322,C322&gt;E322),"SM &gt; TOR &gt; BNN",IF(AND(D322&gt;E322,E322&gt;C322),"SM &gt; BNN &gt; TOR",IF(AND(C322=D322,D322=E322),"TOR = SM = BNN","Comb. diferentes")))))</f>
        <v>TOR &gt; BNN &gt; SM</v>
      </c>
      <c r="BC322" s="78" t="str">
        <f t="shared" ref="BC322:BC385" si="121">IF(OR(AD322="",AP322="-"),"",IF(AD322&lt;=0.25,"Tipo 1 (≤0,25) uT",IF(AD322&lt;=0.5,"Tipo 2 (0,25-0,50) uT",IF(AD322&lt;=0.75,"Tipo 3 (0,50-0,75) uT","Tipo 4 (&gt;0,75) uT"))))</f>
        <v>Tipo 2 (0,25-0,50) uT</v>
      </c>
      <c r="BD322" s="78" t="str">
        <f t="shared" ref="BD322:BD385" si="122">IF(OR(AO322="",AY322="-"),"",IF(AO322&lt;=0.25,"Tipo 1 (≤0,25) uT",IF(AO322&lt;=0.5,"Tipo 2 (0,25-0,50) uT",IF(AO322&lt;=0.75,"Tipo 3 (0,50-0,75) uT","Tipo 4 (&gt;0,75) uT"))))</f>
        <v>Tipo 2 (0,25-0,50) uT</v>
      </c>
      <c r="BE322" s="78" t="str">
        <f t="shared" ref="BE322:BE385" si="123">IF(OR(AE322="",AP322="-"),"",IF(AE322&lt;=0.25,"Tipo 1 (≤0,25) uT",IF(AE322&lt;=0.5,"Tipo 2 (0,25-0,50) uT",IF(AE322&lt;=0.75,"Tipo 3 (0,50-0,75) uT","Tipo 4 (&gt;0,75) uT"))))</f>
        <v>Tipo 1 (≤0,25) uT</v>
      </c>
      <c r="BF322" s="78" t="str">
        <f t="shared" ref="BF322:BF385" si="124">IF(OR(AP322="",AP322="-"),"",IF(AP322&lt;=0.25,"Tipo 1 (≤0,25) uT",IF(AP322&lt;=0.5,"Tipo 2 (0,25-0,50) uT",IF(AP322&lt;=0.75,"Tipo 3 (0,50-0,75) uT","Tipo 4 (&gt;0,75) uT"))))</f>
        <v>Tipo 2 (0,25-0,50) uT</v>
      </c>
      <c r="BG322" s="78" t="str">
        <f t="shared" ref="BG322:BG385" si="125">IF(OR(Q322="",Q322="-"),"",IF(Q322&lt;=0.25,"Tipo 1 (≤0,25) uT",IF(Q322&lt;=0.5,"Tipo 2 (0,25-0,50) uT",IF(Q322&lt;=0.75,"Tipo 3 (0,50-0,75) uT","Tipo 4 (&gt;0,75) uT"))))</f>
        <v>Tipo 1 (≤0,25) uT</v>
      </c>
    </row>
    <row r="323" spans="1:59" x14ac:dyDescent="0.2">
      <c r="A323" s="21">
        <v>46160</v>
      </c>
      <c r="B323" s="48">
        <v>0.8125</v>
      </c>
      <c r="C323" s="57">
        <v>1196</v>
      </c>
      <c r="D323" s="57">
        <v>88</v>
      </c>
      <c r="E323" s="57">
        <v>588</v>
      </c>
      <c r="F323" s="57">
        <v>1863</v>
      </c>
      <c r="G323" s="10" t="s">
        <v>78</v>
      </c>
      <c r="H323" s="63">
        <v>6.8</v>
      </c>
      <c r="I323" s="57">
        <v>90</v>
      </c>
      <c r="J323" s="57">
        <v>90</v>
      </c>
      <c r="K323" s="57">
        <v>90</v>
      </c>
      <c r="L323" s="63">
        <v>25.3</v>
      </c>
      <c r="M323" s="63">
        <v>6.8</v>
      </c>
      <c r="N323" s="36">
        <v>3.12</v>
      </c>
      <c r="O323" s="57">
        <v>15</v>
      </c>
      <c r="P323" s="63">
        <v>7</v>
      </c>
      <c r="Q323" s="36">
        <v>0.21</v>
      </c>
      <c r="R323" s="36">
        <v>22.36</v>
      </c>
      <c r="S323" s="36">
        <v>0.88</v>
      </c>
      <c r="T323" s="36">
        <v>0.7</v>
      </c>
      <c r="U323" s="42">
        <f t="shared" si="103"/>
        <v>1679.8050000000001</v>
      </c>
      <c r="V323" s="36">
        <f t="shared" si="104"/>
        <v>1487.9482571199999</v>
      </c>
      <c r="W323" s="36">
        <f t="shared" si="105"/>
        <v>0.88578630086230237</v>
      </c>
      <c r="X323" s="57">
        <v>2</v>
      </c>
      <c r="Y323" s="57">
        <v>3</v>
      </c>
      <c r="Z323" s="63">
        <v>6.48</v>
      </c>
      <c r="AA323" s="57">
        <v>18.5</v>
      </c>
      <c r="AB323" s="63">
        <v>6.6</v>
      </c>
      <c r="AC323" s="63">
        <v>6.4</v>
      </c>
      <c r="AD323" s="10">
        <v>0.28000000000000003</v>
      </c>
      <c r="AE323" s="36">
        <v>0.3</v>
      </c>
      <c r="AF323" s="42">
        <f t="shared" si="106"/>
        <v>1259.85375</v>
      </c>
      <c r="AG323" s="42">
        <f t="shared" si="107"/>
        <v>1900.6500864</v>
      </c>
      <c r="AH323" s="42">
        <f t="shared" si="108"/>
        <v>1.508627558079658</v>
      </c>
      <c r="AI323" s="57">
        <v>2</v>
      </c>
      <c r="AJ323" s="57">
        <v>4</v>
      </c>
      <c r="AK323" s="36">
        <v>6.4</v>
      </c>
      <c r="AL323" s="36">
        <v>24</v>
      </c>
      <c r="AM323" s="63">
        <v>6.6</v>
      </c>
      <c r="AN323" s="63">
        <v>5.4</v>
      </c>
      <c r="AO323" s="36">
        <v>0.34</v>
      </c>
      <c r="AP323" s="68">
        <v>0.24</v>
      </c>
      <c r="AQ323" s="73">
        <f t="shared" si="109"/>
        <v>1872</v>
      </c>
      <c r="AR323" s="75">
        <f t="shared" si="110"/>
        <v>0.63888888888888884</v>
      </c>
      <c r="AS323" s="75">
        <f t="shared" si="111"/>
        <v>4.7008547008547008E-2</v>
      </c>
      <c r="AT323" s="75">
        <f t="shared" si="112"/>
        <v>0.3141025641025641</v>
      </c>
      <c r="AU323" s="26">
        <f t="shared" si="113"/>
        <v>5.9581320450885669E-2</v>
      </c>
      <c r="AV323" s="26">
        <f t="shared" si="114"/>
        <v>0.10305958132045089</v>
      </c>
      <c r="AW323" s="24">
        <f t="shared" si="115"/>
        <v>0.92307692307692313</v>
      </c>
      <c r="AX323" s="24">
        <f t="shared" si="116"/>
        <v>0.90384615384615385</v>
      </c>
      <c r="AY323" s="77" t="str">
        <f t="shared" si="117"/>
        <v>5,0 ≤ Alc. Bruta &lt; 7,5 mg/L</v>
      </c>
      <c r="AZ323" s="77" t="str">
        <f t="shared" si="118"/>
        <v>15 ≤ Cor &lt; 30 uC</v>
      </c>
      <c r="BA323" s="78" t="str">
        <f t="shared" si="119"/>
        <v>2,5 ≤ Turb &lt; 5,0 uT</v>
      </c>
      <c r="BB323" s="79" t="str">
        <f t="shared" si="120"/>
        <v>TOR &gt; BNN &gt; SM</v>
      </c>
      <c r="BC323" s="78" t="str">
        <f t="shared" si="121"/>
        <v>Tipo 2 (0,25-0,50) uT</v>
      </c>
      <c r="BD323" s="78" t="str">
        <f t="shared" si="122"/>
        <v>Tipo 2 (0,25-0,50) uT</v>
      </c>
      <c r="BE323" s="78" t="str">
        <f t="shared" si="123"/>
        <v>Tipo 2 (0,25-0,50) uT</v>
      </c>
      <c r="BF323" s="78" t="str">
        <f t="shared" si="124"/>
        <v>Tipo 1 (≤0,25) uT</v>
      </c>
      <c r="BG323" s="78" t="str">
        <f t="shared" si="125"/>
        <v>Tipo 1 (≤0,25) uT</v>
      </c>
    </row>
    <row r="324" spans="1:59" x14ac:dyDescent="0.2">
      <c r="A324" s="21">
        <v>46160</v>
      </c>
      <c r="B324" s="48">
        <v>0.89583333333333337</v>
      </c>
      <c r="C324" s="57">
        <v>1168</v>
      </c>
      <c r="D324" s="57">
        <v>87</v>
      </c>
      <c r="E324" s="57">
        <v>589</v>
      </c>
      <c r="F324" s="57">
        <v>1937</v>
      </c>
      <c r="G324" s="10" t="s">
        <v>78</v>
      </c>
      <c r="H324" s="63">
        <v>6.8</v>
      </c>
      <c r="I324" s="57">
        <v>90</v>
      </c>
      <c r="J324" s="57">
        <v>90</v>
      </c>
      <c r="K324" s="57">
        <v>90</v>
      </c>
      <c r="L324" s="63">
        <v>25</v>
      </c>
      <c r="M324" s="63">
        <v>6.8</v>
      </c>
      <c r="N324" s="36">
        <v>3.32</v>
      </c>
      <c r="O324" s="57">
        <v>13</v>
      </c>
      <c r="P324" s="63">
        <v>7.5</v>
      </c>
      <c r="Q324" s="36">
        <v>0.25</v>
      </c>
      <c r="R324" s="36">
        <v>22.36</v>
      </c>
      <c r="S324" s="36">
        <v>0.88</v>
      </c>
      <c r="T324" s="36">
        <v>0.7</v>
      </c>
      <c r="U324" s="42">
        <f t="shared" si="103"/>
        <v>1811.0949999999998</v>
      </c>
      <c r="V324" s="36">
        <f t="shared" si="104"/>
        <v>1586.2369695328002</v>
      </c>
      <c r="W324" s="36">
        <f t="shared" si="105"/>
        <v>0.87584415479740174</v>
      </c>
      <c r="X324" s="57">
        <v>2</v>
      </c>
      <c r="Y324" s="57">
        <v>3</v>
      </c>
      <c r="Z324" s="63">
        <v>6.47</v>
      </c>
      <c r="AA324" s="57">
        <v>19.760000000000002</v>
      </c>
      <c r="AB324" s="63">
        <v>6.6</v>
      </c>
      <c r="AC324" s="63">
        <v>6.9</v>
      </c>
      <c r="AD324" s="10">
        <v>0.27</v>
      </c>
      <c r="AE324" s="36">
        <v>0.37</v>
      </c>
      <c r="AF324" s="42">
        <f t="shared" si="106"/>
        <v>1358.32125</v>
      </c>
      <c r="AG324" s="42">
        <f t="shared" si="107"/>
        <v>1828.1329538939995</v>
      </c>
      <c r="AH324" s="42">
        <f t="shared" si="108"/>
        <v>1.3458767238560094</v>
      </c>
      <c r="AI324" s="57">
        <v>2</v>
      </c>
      <c r="AJ324" s="57">
        <v>4</v>
      </c>
      <c r="AK324" s="36">
        <v>6.43</v>
      </c>
      <c r="AL324" s="36">
        <v>22.95</v>
      </c>
      <c r="AM324" s="63">
        <v>6.7</v>
      </c>
      <c r="AN324" s="63">
        <v>6.6</v>
      </c>
      <c r="AO324" s="36">
        <v>0.28999999999999998</v>
      </c>
      <c r="AP324" s="68">
        <v>0.22</v>
      </c>
      <c r="AQ324" s="73">
        <f t="shared" si="109"/>
        <v>1844</v>
      </c>
      <c r="AR324" s="75">
        <f t="shared" si="110"/>
        <v>0.63340563991323207</v>
      </c>
      <c r="AS324" s="75">
        <f t="shared" si="111"/>
        <v>4.7180043383947941E-2</v>
      </c>
      <c r="AT324" s="75">
        <f t="shared" si="112"/>
        <v>0.31941431670281994</v>
      </c>
      <c r="AU324" s="26">
        <f t="shared" si="113"/>
        <v>6.1208053691275174E-2</v>
      </c>
      <c r="AV324" s="26">
        <f t="shared" si="114"/>
        <v>9.478575116159009E-2</v>
      </c>
      <c r="AW324" s="24">
        <f t="shared" si="115"/>
        <v>0.9337349397590361</v>
      </c>
      <c r="AX324" s="24">
        <f t="shared" si="116"/>
        <v>0.88855421686746983</v>
      </c>
      <c r="AY324" s="77" t="str">
        <f t="shared" si="117"/>
        <v>7,5 ≤ Alc. Bruta &lt; 10,0 mg/L</v>
      </c>
      <c r="AZ324" s="77" t="str">
        <f t="shared" si="118"/>
        <v>10 ≤ Cor &lt;15 uC</v>
      </c>
      <c r="BA324" s="78" t="str">
        <f t="shared" si="119"/>
        <v>2,5 ≤ Turb &lt; 5,0 uT</v>
      </c>
      <c r="BB324" s="79" t="str">
        <f t="shared" si="120"/>
        <v>TOR &gt; BNN &gt; SM</v>
      </c>
      <c r="BC324" s="78" t="str">
        <f t="shared" si="121"/>
        <v>Tipo 2 (0,25-0,50) uT</v>
      </c>
      <c r="BD324" s="78" t="str">
        <f t="shared" si="122"/>
        <v>Tipo 2 (0,25-0,50) uT</v>
      </c>
      <c r="BE324" s="78" t="str">
        <f t="shared" si="123"/>
        <v>Tipo 2 (0,25-0,50) uT</v>
      </c>
      <c r="BF324" s="78" t="str">
        <f t="shared" si="124"/>
        <v>Tipo 1 (≤0,25) uT</v>
      </c>
      <c r="BG324" s="78" t="str">
        <f t="shared" si="125"/>
        <v>Tipo 1 (≤0,25) uT</v>
      </c>
    </row>
    <row r="325" spans="1:59" x14ac:dyDescent="0.2">
      <c r="A325" s="21">
        <v>46160</v>
      </c>
      <c r="B325" s="48">
        <v>0.97916666666666663</v>
      </c>
      <c r="C325" s="57">
        <v>1196</v>
      </c>
      <c r="D325" s="57">
        <v>89</v>
      </c>
      <c r="E325" s="57">
        <v>588</v>
      </c>
      <c r="F325" s="57">
        <v>1940</v>
      </c>
      <c r="G325" s="10" t="s">
        <v>78</v>
      </c>
      <c r="H325" s="63">
        <v>6.8</v>
      </c>
      <c r="I325" s="57">
        <v>90</v>
      </c>
      <c r="J325" s="57">
        <v>90</v>
      </c>
      <c r="K325" s="57">
        <v>90</v>
      </c>
      <c r="L325" s="63">
        <v>24.2</v>
      </c>
      <c r="M325" s="63">
        <v>6.8</v>
      </c>
      <c r="N325" s="36">
        <v>3.48</v>
      </c>
      <c r="O325" s="57">
        <v>14</v>
      </c>
      <c r="P325" s="63">
        <v>7</v>
      </c>
      <c r="Q325" s="36">
        <v>0.26</v>
      </c>
      <c r="R325" s="36">
        <v>22.36</v>
      </c>
      <c r="S325" s="36">
        <v>0.88</v>
      </c>
      <c r="T325" s="36">
        <v>0.7</v>
      </c>
      <c r="U325" s="42">
        <f t="shared" si="103"/>
        <v>1865.633333333333</v>
      </c>
      <c r="V325" s="36">
        <f t="shared" si="104"/>
        <v>1367.3038038399998</v>
      </c>
      <c r="W325" s="36">
        <f t="shared" si="105"/>
        <v>0.73288988753059736</v>
      </c>
      <c r="X325" s="57">
        <v>2</v>
      </c>
      <c r="Y325" s="57">
        <v>3</v>
      </c>
      <c r="Z325" s="63">
        <v>6.48</v>
      </c>
      <c r="AA325" s="57">
        <v>17</v>
      </c>
      <c r="AB325" s="63">
        <v>6.6</v>
      </c>
      <c r="AC325" s="63">
        <v>5.4</v>
      </c>
      <c r="AD325" s="10">
        <v>0.26</v>
      </c>
      <c r="AE325" s="36">
        <v>0.37</v>
      </c>
      <c r="AF325" s="42">
        <f t="shared" si="106"/>
        <v>1399.2249999999999</v>
      </c>
      <c r="AG325" s="42">
        <f t="shared" si="107"/>
        <v>1900.6500864</v>
      </c>
      <c r="AH325" s="42">
        <f t="shared" si="108"/>
        <v>1.3583591533884829</v>
      </c>
      <c r="AI325" s="57">
        <v>2</v>
      </c>
      <c r="AJ325" s="57">
        <v>4</v>
      </c>
      <c r="AK325" s="36">
        <v>6.4</v>
      </c>
      <c r="AL325" s="36">
        <v>24</v>
      </c>
      <c r="AM325" s="63">
        <v>6.5</v>
      </c>
      <c r="AN325" s="63">
        <v>5</v>
      </c>
      <c r="AO325" s="36">
        <v>0.21</v>
      </c>
      <c r="AP325" s="68">
        <v>0.21</v>
      </c>
      <c r="AQ325" s="73">
        <f t="shared" si="109"/>
        <v>1873</v>
      </c>
      <c r="AR325" s="75">
        <f t="shared" si="110"/>
        <v>0.63854778430325676</v>
      </c>
      <c r="AS325" s="75">
        <f t="shared" si="111"/>
        <v>4.7517351841964761E-2</v>
      </c>
      <c r="AT325" s="75">
        <f t="shared" si="112"/>
        <v>0.31393486385477842</v>
      </c>
      <c r="AU325" s="26">
        <f t="shared" si="113"/>
        <v>5.2577319587628867E-2</v>
      </c>
      <c r="AV325" s="26">
        <f t="shared" si="114"/>
        <v>9.8969072164948449E-2</v>
      </c>
      <c r="AW325" s="24">
        <f t="shared" si="115"/>
        <v>0.93965517241379315</v>
      </c>
      <c r="AX325" s="24">
        <f t="shared" si="116"/>
        <v>0.89367816091954022</v>
      </c>
      <c r="AY325" s="77" t="str">
        <f t="shared" si="117"/>
        <v>5,0 ≤ Alc. Bruta &lt; 7,5 mg/L</v>
      </c>
      <c r="AZ325" s="77" t="str">
        <f t="shared" si="118"/>
        <v>10 ≤ Cor &lt;15 uC</v>
      </c>
      <c r="BA325" s="78" t="str">
        <f t="shared" si="119"/>
        <v>2,5 ≤ Turb &lt; 5,0 uT</v>
      </c>
      <c r="BB325" s="79" t="str">
        <f t="shared" si="120"/>
        <v>TOR &gt; BNN &gt; SM</v>
      </c>
      <c r="BC325" s="78" t="str">
        <f t="shared" si="121"/>
        <v>Tipo 2 (0,25-0,50) uT</v>
      </c>
      <c r="BD325" s="78" t="str">
        <f t="shared" si="122"/>
        <v>Tipo 1 (≤0,25) uT</v>
      </c>
      <c r="BE325" s="78" t="str">
        <f t="shared" si="123"/>
        <v>Tipo 2 (0,25-0,50) uT</v>
      </c>
      <c r="BF325" s="78" t="str">
        <f t="shared" si="124"/>
        <v>Tipo 1 (≤0,25) uT</v>
      </c>
      <c r="BG325" s="78" t="str">
        <f t="shared" si="125"/>
        <v>Tipo 2 (0,25-0,50) uT</v>
      </c>
    </row>
    <row r="326" spans="1:59" x14ac:dyDescent="0.2">
      <c r="A326" s="21">
        <v>46161</v>
      </c>
      <c r="B326" s="48">
        <v>6.25E-2</v>
      </c>
      <c r="C326" s="57">
        <v>1210</v>
      </c>
      <c r="D326" s="57">
        <v>92</v>
      </c>
      <c r="E326" s="57">
        <v>589</v>
      </c>
      <c r="F326" s="57">
        <v>1960</v>
      </c>
      <c r="G326" s="10" t="s">
        <v>78</v>
      </c>
      <c r="H326" s="63">
        <v>6.8</v>
      </c>
      <c r="I326" s="57">
        <v>90</v>
      </c>
      <c r="J326" s="57">
        <v>90</v>
      </c>
      <c r="K326" s="57">
        <v>90</v>
      </c>
      <c r="L326" s="63">
        <v>24.1</v>
      </c>
      <c r="M326" s="63">
        <v>6.8</v>
      </c>
      <c r="N326" s="36">
        <v>3.66</v>
      </c>
      <c r="O326" s="57">
        <v>14</v>
      </c>
      <c r="P326" s="63">
        <v>6.9</v>
      </c>
      <c r="Q326" s="36">
        <v>0.3</v>
      </c>
      <c r="R326" s="36">
        <v>22.36</v>
      </c>
      <c r="S326" s="36">
        <v>0.88</v>
      </c>
      <c r="T326" s="36">
        <v>0.7</v>
      </c>
      <c r="U326" s="42">
        <f t="shared" si="103"/>
        <v>1943.6666666666667</v>
      </c>
      <c r="V326" s="36">
        <f t="shared" si="104"/>
        <v>1410.2221132999998</v>
      </c>
      <c r="W326" s="36">
        <f t="shared" si="105"/>
        <v>0.72554730576230475</v>
      </c>
      <c r="X326" s="57">
        <v>2</v>
      </c>
      <c r="Y326" s="57">
        <v>3</v>
      </c>
      <c r="Z326" s="63">
        <v>6.49</v>
      </c>
      <c r="AA326" s="57">
        <v>17.5</v>
      </c>
      <c r="AB326" s="63">
        <v>6.7</v>
      </c>
      <c r="AC326" s="63">
        <v>5.6</v>
      </c>
      <c r="AD326" s="10">
        <v>0.28999999999999998</v>
      </c>
      <c r="AE326" s="36">
        <v>0.38</v>
      </c>
      <c r="AF326" s="42">
        <f t="shared" si="106"/>
        <v>1457.75</v>
      </c>
      <c r="AG326" s="42">
        <f t="shared" si="107"/>
        <v>1905.4311016000001</v>
      </c>
      <c r="AH326" s="42">
        <f t="shared" si="108"/>
        <v>1.3071041684788203</v>
      </c>
      <c r="AI326" s="57">
        <v>2</v>
      </c>
      <c r="AJ326" s="57">
        <v>4</v>
      </c>
      <c r="AK326" s="36">
        <v>6.5</v>
      </c>
      <c r="AL326" s="36">
        <v>23.6</v>
      </c>
      <c r="AM326" s="63">
        <v>6.6</v>
      </c>
      <c r="AN326" s="63">
        <v>5.5</v>
      </c>
      <c r="AO326" s="36">
        <v>0.26</v>
      </c>
      <c r="AP326" s="68">
        <v>0.19</v>
      </c>
      <c r="AQ326" s="73">
        <f t="shared" si="109"/>
        <v>1891</v>
      </c>
      <c r="AR326" s="75">
        <f t="shared" si="110"/>
        <v>0.63987308302485457</v>
      </c>
      <c r="AS326" s="75">
        <f t="shared" si="111"/>
        <v>4.8651507139079855E-2</v>
      </c>
      <c r="AT326" s="75">
        <f t="shared" si="112"/>
        <v>0.31147540983606559</v>
      </c>
      <c r="AU326" s="26">
        <f t="shared" si="113"/>
        <v>5.3571428571428568E-2</v>
      </c>
      <c r="AV326" s="26">
        <f t="shared" si="114"/>
        <v>9.6326530612244901E-2</v>
      </c>
      <c r="AW326" s="24">
        <f t="shared" si="115"/>
        <v>0.94808743169398912</v>
      </c>
      <c r="AX326" s="24">
        <f t="shared" si="116"/>
        <v>0.89617486338797814</v>
      </c>
      <c r="AY326" s="77" t="str">
        <f t="shared" si="117"/>
        <v>5,0 ≤ Alc. Bruta &lt; 7,5 mg/L</v>
      </c>
      <c r="AZ326" s="77" t="str">
        <f t="shared" si="118"/>
        <v>10 ≤ Cor &lt;15 uC</v>
      </c>
      <c r="BA326" s="78" t="str">
        <f t="shared" si="119"/>
        <v>2,5 ≤ Turb &lt; 5,0 uT</v>
      </c>
      <c r="BB326" s="79" t="str">
        <f t="shared" si="120"/>
        <v>TOR &gt; BNN &gt; SM</v>
      </c>
      <c r="BC326" s="78" t="str">
        <f t="shared" si="121"/>
        <v>Tipo 2 (0,25-0,50) uT</v>
      </c>
      <c r="BD326" s="78" t="str">
        <f t="shared" si="122"/>
        <v>Tipo 2 (0,25-0,50) uT</v>
      </c>
      <c r="BE326" s="78" t="str">
        <f t="shared" si="123"/>
        <v>Tipo 2 (0,25-0,50) uT</v>
      </c>
      <c r="BF326" s="78" t="str">
        <f t="shared" si="124"/>
        <v>Tipo 1 (≤0,25) uT</v>
      </c>
      <c r="BG326" s="78" t="str">
        <f t="shared" si="125"/>
        <v>Tipo 2 (0,25-0,50) uT</v>
      </c>
    </row>
    <row r="327" spans="1:59" x14ac:dyDescent="0.2">
      <c r="A327" s="21">
        <v>46161</v>
      </c>
      <c r="B327" s="48">
        <v>0.14583333333333334</v>
      </c>
      <c r="C327" s="57">
        <v>1550</v>
      </c>
      <c r="D327" s="57">
        <v>94</v>
      </c>
      <c r="E327" s="57">
        <v>539</v>
      </c>
      <c r="F327" s="57">
        <v>2295</v>
      </c>
      <c r="G327" s="10" t="s">
        <v>78</v>
      </c>
      <c r="H327" s="63">
        <v>6.8</v>
      </c>
      <c r="I327" s="57">
        <v>90</v>
      </c>
      <c r="J327" s="57">
        <v>90</v>
      </c>
      <c r="K327" s="57">
        <v>90</v>
      </c>
      <c r="L327" s="63">
        <v>23.6</v>
      </c>
      <c r="M327" s="63">
        <v>6.7</v>
      </c>
      <c r="N327" s="36">
        <v>3.61</v>
      </c>
      <c r="O327" s="57">
        <v>14</v>
      </c>
      <c r="P327" s="63">
        <v>5.7</v>
      </c>
      <c r="Q327" s="36">
        <v>0.27</v>
      </c>
      <c r="R327" s="36">
        <v>22.36</v>
      </c>
      <c r="S327" s="36">
        <v>0.88</v>
      </c>
      <c r="T327" s="36">
        <v>0.7</v>
      </c>
      <c r="U327" s="42">
        <f t="shared" si="103"/>
        <v>1692.5625</v>
      </c>
      <c r="V327" s="36">
        <f t="shared" si="104"/>
        <v>1452.0309877579998</v>
      </c>
      <c r="W327" s="36">
        <f t="shared" si="105"/>
        <v>0.8578891401398766</v>
      </c>
      <c r="X327" s="57">
        <v>3</v>
      </c>
      <c r="Y327" s="57">
        <v>4</v>
      </c>
      <c r="Z327" s="63">
        <v>6.51</v>
      </c>
      <c r="AA327" s="57">
        <v>17.95</v>
      </c>
      <c r="AB327" s="63">
        <v>6.7</v>
      </c>
      <c r="AC327" s="63">
        <v>5</v>
      </c>
      <c r="AD327" s="10">
        <v>0.41</v>
      </c>
      <c r="AE327" s="36">
        <v>0.49</v>
      </c>
      <c r="AF327" s="42">
        <f t="shared" si="106"/>
        <v>1692.5625</v>
      </c>
      <c r="AG327" s="42">
        <f t="shared" si="107"/>
        <v>1829.7260980803994</v>
      </c>
      <c r="AH327" s="42">
        <f t="shared" si="108"/>
        <v>1.0810390151503413</v>
      </c>
      <c r="AI327" s="57">
        <v>3</v>
      </c>
      <c r="AJ327" s="57">
        <v>4</v>
      </c>
      <c r="AK327" s="36">
        <v>6.43</v>
      </c>
      <c r="AL327" s="36">
        <v>22.97</v>
      </c>
      <c r="AM327" s="63">
        <v>6.5</v>
      </c>
      <c r="AN327" s="63">
        <v>4.7</v>
      </c>
      <c r="AO327" s="36">
        <v>0.19</v>
      </c>
      <c r="AP327" s="68">
        <v>0.23</v>
      </c>
      <c r="AQ327" s="73">
        <f t="shared" si="109"/>
        <v>2183</v>
      </c>
      <c r="AR327" s="75">
        <f t="shared" si="110"/>
        <v>0.71003206596426938</v>
      </c>
      <c r="AS327" s="75">
        <f t="shared" si="111"/>
        <v>4.3060009161704077E-2</v>
      </c>
      <c r="AT327" s="75">
        <f t="shared" si="112"/>
        <v>0.24690792487402657</v>
      </c>
      <c r="AU327" s="26">
        <f t="shared" si="113"/>
        <v>6.2570806100217868E-2</v>
      </c>
      <c r="AV327" s="26">
        <f t="shared" si="114"/>
        <v>8.0069716775599126E-2</v>
      </c>
      <c r="AW327" s="24">
        <f t="shared" si="115"/>
        <v>0.93628808864265922</v>
      </c>
      <c r="AX327" s="24">
        <f t="shared" si="116"/>
        <v>0.8642659279778393</v>
      </c>
      <c r="AY327" s="77" t="str">
        <f t="shared" si="117"/>
        <v>5,0 ≤ Alc. Bruta &lt; 7,5 mg/L</v>
      </c>
      <c r="AZ327" s="77" t="str">
        <f t="shared" si="118"/>
        <v>10 ≤ Cor &lt;15 uC</v>
      </c>
      <c r="BA327" s="78" t="str">
        <f t="shared" si="119"/>
        <v>2,5 ≤ Turb &lt; 5,0 uT</v>
      </c>
      <c r="BB327" s="79" t="str">
        <f t="shared" si="120"/>
        <v>TOR &gt; BNN &gt; SM</v>
      </c>
      <c r="BC327" s="78" t="str">
        <f t="shared" si="121"/>
        <v>Tipo 2 (0,25-0,50) uT</v>
      </c>
      <c r="BD327" s="78" t="str">
        <f t="shared" si="122"/>
        <v>Tipo 1 (≤0,25) uT</v>
      </c>
      <c r="BE327" s="78" t="str">
        <f t="shared" si="123"/>
        <v>Tipo 2 (0,25-0,50) uT</v>
      </c>
      <c r="BF327" s="78" t="str">
        <f t="shared" si="124"/>
        <v>Tipo 1 (≤0,25) uT</v>
      </c>
      <c r="BG327" s="78" t="str">
        <f t="shared" si="125"/>
        <v>Tipo 2 (0,25-0,50) uT</v>
      </c>
    </row>
    <row r="328" spans="1:59" ht="15.75" thickBot="1" x14ac:dyDescent="0.25">
      <c r="A328" s="21">
        <v>46161</v>
      </c>
      <c r="B328" s="51">
        <v>0.22916666666666666</v>
      </c>
      <c r="C328" s="58">
        <v>1566</v>
      </c>
      <c r="D328" s="58">
        <v>90</v>
      </c>
      <c r="E328" s="58">
        <v>539</v>
      </c>
      <c r="F328" s="58">
        <v>2302</v>
      </c>
      <c r="G328" s="11" t="s">
        <v>78</v>
      </c>
      <c r="H328" s="64">
        <v>6.8</v>
      </c>
      <c r="I328" s="58">
        <v>90</v>
      </c>
      <c r="J328" s="58">
        <v>90</v>
      </c>
      <c r="K328" s="58">
        <v>90</v>
      </c>
      <c r="L328" s="64">
        <v>23.2</v>
      </c>
      <c r="M328" s="64">
        <v>6.8</v>
      </c>
      <c r="N328" s="37">
        <v>3.97</v>
      </c>
      <c r="O328" s="58">
        <v>14</v>
      </c>
      <c r="P328" s="64">
        <v>5.5</v>
      </c>
      <c r="Q328" s="37">
        <v>0.4</v>
      </c>
      <c r="R328" s="36">
        <v>22.36</v>
      </c>
      <c r="S328" s="36">
        <v>0.88</v>
      </c>
      <c r="T328" s="36">
        <v>0.7</v>
      </c>
      <c r="U328" s="42">
        <f t="shared" si="103"/>
        <v>1801.3149999999998</v>
      </c>
      <c r="V328" s="36">
        <f t="shared" si="104"/>
        <v>1487.1976784287999</v>
      </c>
      <c r="W328" s="36">
        <f t="shared" si="105"/>
        <v>0.8256177728097529</v>
      </c>
      <c r="X328" s="58">
        <v>3</v>
      </c>
      <c r="Y328" s="58">
        <v>4</v>
      </c>
      <c r="Z328" s="64">
        <v>6.54</v>
      </c>
      <c r="AA328" s="58">
        <v>18.28</v>
      </c>
      <c r="AB328" s="64">
        <v>6.6</v>
      </c>
      <c r="AC328" s="64">
        <v>5.3</v>
      </c>
      <c r="AD328" s="11">
        <v>0.41</v>
      </c>
      <c r="AE328" s="37">
        <v>0.35</v>
      </c>
      <c r="AF328" s="42">
        <f t="shared" si="106"/>
        <v>1801.3149999999998</v>
      </c>
      <c r="AG328" s="42">
        <f t="shared" si="107"/>
        <v>1843.4472461184</v>
      </c>
      <c r="AH328" s="42">
        <f t="shared" si="108"/>
        <v>1.0233897159122087</v>
      </c>
      <c r="AI328" s="58">
        <v>3</v>
      </c>
      <c r="AJ328" s="58">
        <v>4</v>
      </c>
      <c r="AK328" s="37">
        <v>6.48</v>
      </c>
      <c r="AL328" s="37">
        <v>22.92</v>
      </c>
      <c r="AM328" s="64">
        <v>6.5</v>
      </c>
      <c r="AN328" s="64">
        <v>5</v>
      </c>
      <c r="AO328" s="37">
        <v>0.2</v>
      </c>
      <c r="AP328" s="69">
        <v>0.23</v>
      </c>
      <c r="AQ328" s="73">
        <f t="shared" si="109"/>
        <v>2195</v>
      </c>
      <c r="AR328" s="75">
        <f t="shared" si="110"/>
        <v>0.71343963553530754</v>
      </c>
      <c r="AS328" s="75">
        <f t="shared" si="111"/>
        <v>4.1002277904328019E-2</v>
      </c>
      <c r="AT328" s="75">
        <f t="shared" si="112"/>
        <v>0.24555808656036446</v>
      </c>
      <c r="AU328" s="26">
        <f t="shared" si="113"/>
        <v>6.352736750651608E-2</v>
      </c>
      <c r="AV328" s="26">
        <f t="shared" si="114"/>
        <v>7.9652476107732406E-2</v>
      </c>
      <c r="AW328" s="24">
        <f t="shared" si="115"/>
        <v>0.94206549118387906</v>
      </c>
      <c r="AX328" s="24">
        <f t="shared" si="116"/>
        <v>0.91183879093198994</v>
      </c>
      <c r="AY328" s="77" t="str">
        <f t="shared" si="117"/>
        <v>5,0 ≤ Alc. Bruta &lt; 7,5 mg/L</v>
      </c>
      <c r="AZ328" s="77" t="str">
        <f t="shared" si="118"/>
        <v>10 ≤ Cor &lt;15 uC</v>
      </c>
      <c r="BA328" s="78" t="str">
        <f t="shared" si="119"/>
        <v>2,5 ≤ Turb &lt; 5,0 uT</v>
      </c>
      <c r="BB328" s="79" t="str">
        <f t="shared" si="120"/>
        <v>TOR &gt; BNN &gt; SM</v>
      </c>
      <c r="BC328" s="78" t="str">
        <f t="shared" si="121"/>
        <v>Tipo 2 (0,25-0,50) uT</v>
      </c>
      <c r="BD328" s="78" t="str">
        <f t="shared" si="122"/>
        <v>Tipo 1 (≤0,25) uT</v>
      </c>
      <c r="BE328" s="78" t="str">
        <f t="shared" si="123"/>
        <v>Tipo 2 (0,25-0,50) uT</v>
      </c>
      <c r="BF328" s="78" t="str">
        <f t="shared" si="124"/>
        <v>Tipo 1 (≤0,25) uT</v>
      </c>
      <c r="BG328" s="78" t="str">
        <f t="shared" si="125"/>
        <v>Tipo 2 (0,25-0,50) uT</v>
      </c>
    </row>
    <row r="329" spans="1:59" x14ac:dyDescent="0.2">
      <c r="A329" s="21">
        <v>46161</v>
      </c>
      <c r="B329" s="48">
        <v>0.39583333333333331</v>
      </c>
      <c r="C329" s="57">
        <v>1714</v>
      </c>
      <c r="D329" s="57">
        <v>90</v>
      </c>
      <c r="E329" s="57">
        <v>501</v>
      </c>
      <c r="F329" s="57">
        <v>2248</v>
      </c>
      <c r="G329" s="10" t="s">
        <v>78</v>
      </c>
      <c r="H329" s="63">
        <v>7.3</v>
      </c>
      <c r="I329" s="57">
        <v>90</v>
      </c>
      <c r="J329" s="57">
        <v>90</v>
      </c>
      <c r="K329" s="57">
        <v>90</v>
      </c>
      <c r="L329" s="63">
        <v>24.1</v>
      </c>
      <c r="M329" s="63">
        <v>6.8</v>
      </c>
      <c r="N329" s="36">
        <v>3.1</v>
      </c>
      <c r="O329" s="57">
        <v>16</v>
      </c>
      <c r="P329" s="63">
        <v>5.3</v>
      </c>
      <c r="Q329" s="36">
        <v>0.15</v>
      </c>
      <c r="R329" s="36">
        <v>22.36</v>
      </c>
      <c r="S329" s="36">
        <v>0.88</v>
      </c>
      <c r="T329" s="36">
        <v>0.7</v>
      </c>
      <c r="U329" s="42">
        <f t="shared" si="103"/>
        <v>1556.74</v>
      </c>
      <c r="V329" s="36">
        <f t="shared" si="104"/>
        <v>1425.4875648</v>
      </c>
      <c r="W329" s="36">
        <f t="shared" si="105"/>
        <v>0.91568763235993167</v>
      </c>
      <c r="X329" s="57">
        <v>3</v>
      </c>
      <c r="Y329" s="57">
        <v>4</v>
      </c>
      <c r="Z329" s="63">
        <v>6.4</v>
      </c>
      <c r="AA329" s="57">
        <v>18</v>
      </c>
      <c r="AB329" s="63">
        <v>6.6</v>
      </c>
      <c r="AC329" s="63">
        <v>6</v>
      </c>
      <c r="AD329" s="10">
        <v>0.24</v>
      </c>
      <c r="AE329" s="36">
        <v>0.27</v>
      </c>
      <c r="AF329" s="42">
        <f t="shared" si="106"/>
        <v>1556.74</v>
      </c>
      <c r="AG329" s="42">
        <f t="shared" si="107"/>
        <v>1871.2005800799998</v>
      </c>
      <c r="AH329" s="42">
        <f t="shared" si="108"/>
        <v>1.2019994219201664</v>
      </c>
      <c r="AI329" s="57">
        <v>3</v>
      </c>
      <c r="AJ329" s="57">
        <v>4</v>
      </c>
      <c r="AK329" s="36">
        <v>6.54</v>
      </c>
      <c r="AL329" s="36">
        <v>23</v>
      </c>
      <c r="AM329" s="63">
        <v>6.6</v>
      </c>
      <c r="AN329" s="63">
        <v>5.5</v>
      </c>
      <c r="AO329" s="36">
        <v>0.21</v>
      </c>
      <c r="AP329" s="68">
        <v>0.17</v>
      </c>
      <c r="AQ329" s="73">
        <f t="shared" si="109"/>
        <v>2305</v>
      </c>
      <c r="AR329" s="75">
        <f t="shared" si="110"/>
        <v>0.74360086767895883</v>
      </c>
      <c r="AS329" s="75">
        <f t="shared" si="111"/>
        <v>3.9045553145336226E-2</v>
      </c>
      <c r="AT329" s="75">
        <f t="shared" si="112"/>
        <v>0.217353579175705</v>
      </c>
      <c r="AU329" s="26">
        <f t="shared" si="113"/>
        <v>6.4056939501779361E-2</v>
      </c>
      <c r="AV329" s="26">
        <f t="shared" si="114"/>
        <v>8.1850533807829182E-2</v>
      </c>
      <c r="AW329" s="24">
        <f t="shared" si="115"/>
        <v>0.94516129032258067</v>
      </c>
      <c r="AX329" s="24">
        <f t="shared" si="116"/>
        <v>0.91290322580645156</v>
      </c>
      <c r="AY329" s="77" t="str">
        <f t="shared" si="117"/>
        <v>5,0 ≤ Alc. Bruta &lt; 7,5 mg/L</v>
      </c>
      <c r="AZ329" s="77" t="str">
        <f t="shared" si="118"/>
        <v>15 ≤ Cor &lt; 30 uC</v>
      </c>
      <c r="BA329" s="78" t="str">
        <f t="shared" si="119"/>
        <v>2,5 ≤ Turb &lt; 5,0 uT</v>
      </c>
      <c r="BB329" s="79" t="str">
        <f t="shared" si="120"/>
        <v>TOR &gt; BNN &gt; SM</v>
      </c>
      <c r="BC329" s="78" t="str">
        <f t="shared" si="121"/>
        <v>Tipo 1 (≤0,25) uT</v>
      </c>
      <c r="BD329" s="78" t="str">
        <f t="shared" si="122"/>
        <v>Tipo 1 (≤0,25) uT</v>
      </c>
      <c r="BE329" s="78" t="str">
        <f t="shared" si="123"/>
        <v>Tipo 2 (0,25-0,50) uT</v>
      </c>
      <c r="BF329" s="78" t="str">
        <f t="shared" si="124"/>
        <v>Tipo 1 (≤0,25) uT</v>
      </c>
      <c r="BG329" s="78" t="str">
        <f t="shared" si="125"/>
        <v>Tipo 1 (≤0,25) uT</v>
      </c>
    </row>
    <row r="330" spans="1:59" x14ac:dyDescent="0.2">
      <c r="A330" s="21">
        <v>46161</v>
      </c>
      <c r="B330" s="48">
        <v>0.47916666666666669</v>
      </c>
      <c r="C330" s="57">
        <v>1750</v>
      </c>
      <c r="D330" s="57">
        <v>88</v>
      </c>
      <c r="E330" s="57">
        <v>500</v>
      </c>
      <c r="F330" s="57">
        <v>2216</v>
      </c>
      <c r="G330" s="10" t="s">
        <v>78</v>
      </c>
      <c r="H330" s="63">
        <v>7.6</v>
      </c>
      <c r="I330" s="57">
        <v>90</v>
      </c>
      <c r="J330" s="57">
        <v>90</v>
      </c>
      <c r="K330" s="57">
        <v>90</v>
      </c>
      <c r="L330" s="63">
        <v>24.9</v>
      </c>
      <c r="M330" s="63">
        <v>6.7</v>
      </c>
      <c r="N330" s="36">
        <v>2.81</v>
      </c>
      <c r="O330" s="57">
        <v>14</v>
      </c>
      <c r="P330" s="63">
        <v>4.9000000000000004</v>
      </c>
      <c r="Q330" s="36">
        <v>0.16</v>
      </c>
      <c r="R330" s="36">
        <v>22.36</v>
      </c>
      <c r="S330" s="36">
        <v>0.88</v>
      </c>
      <c r="T330" s="36">
        <v>0.7</v>
      </c>
      <c r="U330" s="42">
        <f t="shared" si="103"/>
        <v>1479.18</v>
      </c>
      <c r="V330" s="36">
        <f t="shared" si="104"/>
        <v>1422.70683048</v>
      </c>
      <c r="W330" s="36">
        <f t="shared" si="105"/>
        <v>0.9618212999634933</v>
      </c>
      <c r="X330" s="57">
        <v>3</v>
      </c>
      <c r="Y330" s="57">
        <v>4</v>
      </c>
      <c r="Z330" s="63">
        <v>6.39</v>
      </c>
      <c r="AA330" s="57">
        <v>18</v>
      </c>
      <c r="AB330" s="63">
        <v>6.5</v>
      </c>
      <c r="AC330" s="63">
        <v>4.9000000000000004</v>
      </c>
      <c r="AD330" s="10">
        <v>0.25</v>
      </c>
      <c r="AE330" s="36">
        <v>0.31</v>
      </c>
      <c r="AF330" s="42">
        <f t="shared" si="106"/>
        <v>1479.18</v>
      </c>
      <c r="AG330" s="42">
        <f t="shared" si="107"/>
        <v>1864.0942590399995</v>
      </c>
      <c r="AH330" s="42">
        <f t="shared" si="108"/>
        <v>1.2602213787639094</v>
      </c>
      <c r="AI330" s="57">
        <v>3</v>
      </c>
      <c r="AJ330" s="57">
        <v>4</v>
      </c>
      <c r="AK330" s="36">
        <v>6.52</v>
      </c>
      <c r="AL330" s="36">
        <v>23</v>
      </c>
      <c r="AM330" s="63">
        <v>6.5</v>
      </c>
      <c r="AN330" s="63">
        <v>5.7</v>
      </c>
      <c r="AO330" s="36">
        <v>0.09</v>
      </c>
      <c r="AP330" s="68">
        <v>0.13</v>
      </c>
      <c r="AQ330" s="73">
        <f t="shared" si="109"/>
        <v>2338</v>
      </c>
      <c r="AR330" s="75">
        <f t="shared" si="110"/>
        <v>0.74850299401197606</v>
      </c>
      <c r="AS330" s="75">
        <f t="shared" si="111"/>
        <v>3.7639007698887936E-2</v>
      </c>
      <c r="AT330" s="75">
        <f t="shared" si="112"/>
        <v>0.21385799828913601</v>
      </c>
      <c r="AU330" s="26">
        <f t="shared" si="113"/>
        <v>6.4981949458483748E-2</v>
      </c>
      <c r="AV330" s="26">
        <f t="shared" si="114"/>
        <v>8.3032490974729242E-2</v>
      </c>
      <c r="AW330" s="24">
        <f t="shared" si="115"/>
        <v>0.9537366548042705</v>
      </c>
      <c r="AX330" s="24">
        <f t="shared" si="116"/>
        <v>0.88967971530249113</v>
      </c>
      <c r="AY330" s="77" t="str">
        <f t="shared" si="117"/>
        <v>2,5 ≤ Alc. Bruta &lt; 5,0 mg/L</v>
      </c>
      <c r="AZ330" s="77" t="str">
        <f t="shared" si="118"/>
        <v>10 ≤ Cor &lt;15 uC</v>
      </c>
      <c r="BA330" s="78" t="str">
        <f t="shared" si="119"/>
        <v>2,5 ≤ Turb &lt; 5,0 uT</v>
      </c>
      <c r="BB330" s="79" t="str">
        <f t="shared" si="120"/>
        <v>TOR &gt; BNN &gt; SM</v>
      </c>
      <c r="BC330" s="78" t="str">
        <f t="shared" si="121"/>
        <v>Tipo 1 (≤0,25) uT</v>
      </c>
      <c r="BD330" s="78" t="str">
        <f t="shared" si="122"/>
        <v>Tipo 1 (≤0,25) uT</v>
      </c>
      <c r="BE330" s="78" t="str">
        <f t="shared" si="123"/>
        <v>Tipo 2 (0,25-0,50) uT</v>
      </c>
      <c r="BF330" s="78" t="str">
        <f t="shared" si="124"/>
        <v>Tipo 1 (≤0,25) uT</v>
      </c>
      <c r="BG330" s="78" t="str">
        <f t="shared" si="125"/>
        <v>Tipo 1 (≤0,25) uT</v>
      </c>
    </row>
    <row r="331" spans="1:59" x14ac:dyDescent="0.2">
      <c r="A331" s="21">
        <v>46161</v>
      </c>
      <c r="B331" s="48">
        <v>0.64583333333333337</v>
      </c>
      <c r="C331" s="57">
        <v>1526</v>
      </c>
      <c r="D331" s="57">
        <v>84</v>
      </c>
      <c r="E331" s="57">
        <v>500</v>
      </c>
      <c r="F331" s="57">
        <v>2198</v>
      </c>
      <c r="G331" s="10" t="s">
        <v>78</v>
      </c>
      <c r="H331" s="63">
        <v>7.8</v>
      </c>
      <c r="I331" s="57">
        <v>90</v>
      </c>
      <c r="J331" s="57">
        <v>90</v>
      </c>
      <c r="K331" s="57">
        <v>90</v>
      </c>
      <c r="L331" s="63">
        <v>25.9</v>
      </c>
      <c r="M331" s="63">
        <v>6.7</v>
      </c>
      <c r="N331" s="36">
        <v>3.02</v>
      </c>
      <c r="O331" s="57">
        <v>15</v>
      </c>
      <c r="P331" s="63">
        <v>4.9000000000000004</v>
      </c>
      <c r="Q331" s="36">
        <v>0.4</v>
      </c>
      <c r="R331" s="36">
        <v>22.36</v>
      </c>
      <c r="S331" s="36">
        <v>0.88</v>
      </c>
      <c r="T331" s="36">
        <v>0.7</v>
      </c>
      <c r="U331" s="42">
        <f t="shared" si="103"/>
        <v>1541.3474999999999</v>
      </c>
      <c r="V331" s="36">
        <f t="shared" si="104"/>
        <v>1428.2682991200002</v>
      </c>
      <c r="W331" s="36">
        <f t="shared" si="105"/>
        <v>0.92663614085726953</v>
      </c>
      <c r="X331" s="57">
        <v>3</v>
      </c>
      <c r="Y331" s="57">
        <v>4</v>
      </c>
      <c r="Z331" s="63">
        <v>6.41</v>
      </c>
      <c r="AA331" s="57">
        <v>18</v>
      </c>
      <c r="AB331" s="63">
        <v>6.6</v>
      </c>
      <c r="AC331" s="63">
        <v>5.4</v>
      </c>
      <c r="AD331" s="10">
        <v>0.27</v>
      </c>
      <c r="AE331" s="36">
        <v>0.53</v>
      </c>
      <c r="AF331" s="42">
        <f t="shared" si="106"/>
        <v>1541.3474999999999</v>
      </c>
      <c r="AG331" s="42">
        <f t="shared" si="107"/>
        <v>1860.5410985199997</v>
      </c>
      <c r="AH331" s="42">
        <f t="shared" si="108"/>
        <v>1.2070873690196402</v>
      </c>
      <c r="AI331" s="57">
        <v>3</v>
      </c>
      <c r="AJ331" s="57">
        <v>4</v>
      </c>
      <c r="AK331" s="36">
        <v>6.51</v>
      </c>
      <c r="AL331" s="36">
        <v>23</v>
      </c>
      <c r="AM331" s="63">
        <v>6.6</v>
      </c>
      <c r="AN331" s="63">
        <v>4.8</v>
      </c>
      <c r="AO331" s="36">
        <v>0.11</v>
      </c>
      <c r="AP331" s="68">
        <v>0.15</v>
      </c>
      <c r="AQ331" s="73">
        <f t="shared" si="109"/>
        <v>2110</v>
      </c>
      <c r="AR331" s="75">
        <f t="shared" si="110"/>
        <v>0.72322274881516591</v>
      </c>
      <c r="AS331" s="75">
        <f t="shared" si="111"/>
        <v>3.9810426540284362E-2</v>
      </c>
      <c r="AT331" s="75">
        <f t="shared" si="112"/>
        <v>0.23696682464454977</v>
      </c>
      <c r="AU331" s="26">
        <f t="shared" si="113"/>
        <v>6.5514103730664242E-2</v>
      </c>
      <c r="AV331" s="26">
        <f t="shared" si="114"/>
        <v>8.3712465878070977E-2</v>
      </c>
      <c r="AW331" s="24">
        <f t="shared" si="115"/>
        <v>0.95033112582781454</v>
      </c>
      <c r="AX331" s="24">
        <f t="shared" si="116"/>
        <v>0.82450331125827814</v>
      </c>
      <c r="AY331" s="77" t="str">
        <f t="shared" si="117"/>
        <v>2,5 ≤ Alc. Bruta &lt; 5,0 mg/L</v>
      </c>
      <c r="AZ331" s="77" t="str">
        <f t="shared" si="118"/>
        <v>15 ≤ Cor &lt; 30 uC</v>
      </c>
      <c r="BA331" s="78" t="str">
        <f t="shared" si="119"/>
        <v>2,5 ≤ Turb &lt; 5,0 uT</v>
      </c>
      <c r="BB331" s="79" t="str">
        <f t="shared" si="120"/>
        <v>TOR &gt; BNN &gt; SM</v>
      </c>
      <c r="BC331" s="78" t="str">
        <f t="shared" si="121"/>
        <v>Tipo 2 (0,25-0,50) uT</v>
      </c>
      <c r="BD331" s="78" t="str">
        <f t="shared" si="122"/>
        <v>Tipo 1 (≤0,25) uT</v>
      </c>
      <c r="BE331" s="78" t="str">
        <f t="shared" si="123"/>
        <v>Tipo 3 (0,50-0,75) uT</v>
      </c>
      <c r="BF331" s="78" t="str">
        <f t="shared" si="124"/>
        <v>Tipo 1 (≤0,25) uT</v>
      </c>
      <c r="BG331" s="78" t="str">
        <f t="shared" si="125"/>
        <v>Tipo 2 (0,25-0,50) uT</v>
      </c>
    </row>
    <row r="332" spans="1:59" x14ac:dyDescent="0.2">
      <c r="A332" s="21">
        <v>46161</v>
      </c>
      <c r="B332" s="48">
        <v>0.72916666666666663</v>
      </c>
      <c r="C332" s="57">
        <v>1520</v>
      </c>
      <c r="D332" s="57">
        <v>88</v>
      </c>
      <c r="E332" s="57">
        <v>500</v>
      </c>
      <c r="F332" s="57">
        <v>2160</v>
      </c>
      <c r="G332" s="10" t="s">
        <v>78</v>
      </c>
      <c r="H332" s="63">
        <v>7.6</v>
      </c>
      <c r="I332" s="57">
        <v>90</v>
      </c>
      <c r="J332" s="57">
        <v>90</v>
      </c>
      <c r="K332" s="57">
        <v>90</v>
      </c>
      <c r="L332" s="63">
        <v>26</v>
      </c>
      <c r="M332" s="63">
        <v>6.8</v>
      </c>
      <c r="N332" s="36">
        <v>2.9</v>
      </c>
      <c r="O332" s="57">
        <v>15</v>
      </c>
      <c r="P332" s="63">
        <v>5.0999999999999996</v>
      </c>
      <c r="Q332" s="36">
        <v>0.15</v>
      </c>
      <c r="R332" s="36">
        <v>22.36</v>
      </c>
      <c r="S332" s="36">
        <v>0.88</v>
      </c>
      <c r="T332" s="36">
        <v>0.7</v>
      </c>
      <c r="U332" s="42">
        <f t="shared" si="103"/>
        <v>1466.1</v>
      </c>
      <c r="V332" s="36">
        <f t="shared" si="104"/>
        <v>1422.70683048</v>
      </c>
      <c r="W332" s="36">
        <f t="shared" si="105"/>
        <v>0.97040231258440768</v>
      </c>
      <c r="X332" s="57">
        <v>3</v>
      </c>
      <c r="Y332" s="57">
        <v>4</v>
      </c>
      <c r="Z332" s="63">
        <v>6.39</v>
      </c>
      <c r="AA332" s="57">
        <v>18</v>
      </c>
      <c r="AB332" s="63">
        <v>6.5</v>
      </c>
      <c r="AC332" s="63">
        <v>5.5</v>
      </c>
      <c r="AD332" s="10">
        <v>0.3</v>
      </c>
      <c r="AE332" s="36">
        <v>0.36</v>
      </c>
      <c r="AF332" s="42">
        <f t="shared" si="106"/>
        <v>1466.1</v>
      </c>
      <c r="AG332" s="42">
        <f t="shared" si="107"/>
        <v>1856.9879380000002</v>
      </c>
      <c r="AH332" s="42">
        <f t="shared" si="108"/>
        <v>1.2666175144942367</v>
      </c>
      <c r="AI332" s="57">
        <v>3</v>
      </c>
      <c r="AJ332" s="57">
        <v>4</v>
      </c>
      <c r="AK332" s="36">
        <v>6.5</v>
      </c>
      <c r="AL332" s="36">
        <v>23</v>
      </c>
      <c r="AM332" s="63">
        <v>6.6</v>
      </c>
      <c r="AN332" s="63">
        <v>5.5</v>
      </c>
      <c r="AO332" s="36">
        <v>0.21</v>
      </c>
      <c r="AP332" s="68">
        <v>0.38</v>
      </c>
      <c r="AQ332" s="73">
        <f t="shared" si="109"/>
        <v>2108</v>
      </c>
      <c r="AR332" s="75">
        <f t="shared" si="110"/>
        <v>0.72106261859582543</v>
      </c>
      <c r="AS332" s="75">
        <f t="shared" si="111"/>
        <v>4.1745730550284632E-2</v>
      </c>
      <c r="AT332" s="75">
        <f t="shared" si="112"/>
        <v>0.23719165085388993</v>
      </c>
      <c r="AU332" s="26">
        <f t="shared" si="113"/>
        <v>6.6666666666666666E-2</v>
      </c>
      <c r="AV332" s="26">
        <f t="shared" si="114"/>
        <v>8.5185185185185183E-2</v>
      </c>
      <c r="AW332" s="24">
        <f t="shared" si="115"/>
        <v>0.86896551724137927</v>
      </c>
      <c r="AX332" s="24">
        <f t="shared" si="116"/>
        <v>0.87586206896551722</v>
      </c>
      <c r="AY332" s="77" t="str">
        <f t="shared" si="117"/>
        <v>5,0 ≤ Alc. Bruta &lt; 7,5 mg/L</v>
      </c>
      <c r="AZ332" s="77" t="str">
        <f t="shared" si="118"/>
        <v>15 ≤ Cor &lt; 30 uC</v>
      </c>
      <c r="BA332" s="78" t="str">
        <f t="shared" si="119"/>
        <v>2,5 ≤ Turb &lt; 5,0 uT</v>
      </c>
      <c r="BB332" s="79" t="str">
        <f t="shared" si="120"/>
        <v>TOR &gt; BNN &gt; SM</v>
      </c>
      <c r="BC332" s="78" t="str">
        <f t="shared" si="121"/>
        <v>Tipo 2 (0,25-0,50) uT</v>
      </c>
      <c r="BD332" s="78" t="str">
        <f t="shared" si="122"/>
        <v>Tipo 1 (≤0,25) uT</v>
      </c>
      <c r="BE332" s="78" t="str">
        <f t="shared" si="123"/>
        <v>Tipo 2 (0,25-0,50) uT</v>
      </c>
      <c r="BF332" s="78" t="str">
        <f t="shared" si="124"/>
        <v>Tipo 2 (0,25-0,50) uT</v>
      </c>
      <c r="BG332" s="78" t="str">
        <f t="shared" si="125"/>
        <v>Tipo 1 (≤0,25) uT</v>
      </c>
    </row>
    <row r="333" spans="1:59" x14ac:dyDescent="0.2">
      <c r="A333" s="21">
        <v>46161</v>
      </c>
      <c r="B333" s="48">
        <v>0.8125</v>
      </c>
      <c r="C333" s="57">
        <v>1583</v>
      </c>
      <c r="D333" s="57">
        <v>92</v>
      </c>
      <c r="E333" s="57">
        <v>500</v>
      </c>
      <c r="F333" s="57">
        <v>2176</v>
      </c>
      <c r="G333" s="10" t="s">
        <v>78</v>
      </c>
      <c r="H333" s="63">
        <v>7.6</v>
      </c>
      <c r="I333" s="57">
        <v>90</v>
      </c>
      <c r="J333" s="57">
        <v>90</v>
      </c>
      <c r="K333" s="57">
        <v>90</v>
      </c>
      <c r="L333" s="63">
        <v>25</v>
      </c>
      <c r="M333" s="63">
        <v>6.6</v>
      </c>
      <c r="N333" s="36">
        <v>2.97</v>
      </c>
      <c r="O333" s="57">
        <v>14</v>
      </c>
      <c r="P333" s="63">
        <v>7.2</v>
      </c>
      <c r="Q333" s="36">
        <v>0.09</v>
      </c>
      <c r="R333" s="36">
        <v>22.36</v>
      </c>
      <c r="S333" s="36">
        <v>0.88</v>
      </c>
      <c r="T333" s="36">
        <v>0.7</v>
      </c>
      <c r="U333" s="42">
        <f t="shared" si="103"/>
        <v>1496</v>
      </c>
      <c r="V333" s="36">
        <f t="shared" si="104"/>
        <v>1372.556302</v>
      </c>
      <c r="W333" s="36">
        <f t="shared" si="105"/>
        <v>0.91748415909090908</v>
      </c>
      <c r="X333" s="57">
        <v>3</v>
      </c>
      <c r="Y333" s="57">
        <v>4</v>
      </c>
      <c r="Z333" s="63">
        <v>6.5</v>
      </c>
      <c r="AA333" s="57">
        <v>17</v>
      </c>
      <c r="AB333" s="63">
        <v>6.5</v>
      </c>
      <c r="AC333" s="63">
        <v>5.4</v>
      </c>
      <c r="AD333" s="10">
        <v>2.14</v>
      </c>
      <c r="AE333" s="36">
        <v>2.16</v>
      </c>
      <c r="AF333" s="42">
        <f t="shared" si="106"/>
        <v>1496</v>
      </c>
      <c r="AG333" s="42">
        <f t="shared" si="107"/>
        <v>1749.0599297599999</v>
      </c>
      <c r="AH333" s="42">
        <f t="shared" si="108"/>
        <v>1.1691577070588235</v>
      </c>
      <c r="AI333" s="57">
        <v>3</v>
      </c>
      <c r="AJ333" s="57">
        <v>4</v>
      </c>
      <c r="AK333" s="36">
        <v>6.42</v>
      </c>
      <c r="AL333" s="36">
        <v>22</v>
      </c>
      <c r="AM333" s="63">
        <v>6.5</v>
      </c>
      <c r="AN333" s="63">
        <v>5.2</v>
      </c>
      <c r="AO333" s="36">
        <v>0.2</v>
      </c>
      <c r="AP333" s="68">
        <v>0.31</v>
      </c>
      <c r="AQ333" s="73">
        <f t="shared" si="109"/>
        <v>2175</v>
      </c>
      <c r="AR333" s="75">
        <f t="shared" si="110"/>
        <v>0.72781609195402297</v>
      </c>
      <c r="AS333" s="75">
        <f t="shared" si="111"/>
        <v>4.2298850574712644E-2</v>
      </c>
      <c r="AT333" s="75">
        <f t="shared" si="112"/>
        <v>0.22988505747126436</v>
      </c>
      <c r="AU333" s="26">
        <f t="shared" si="113"/>
        <v>6.25E-2</v>
      </c>
      <c r="AV333" s="26">
        <f t="shared" si="114"/>
        <v>8.0882352941176475E-2</v>
      </c>
      <c r="AW333" s="24">
        <f t="shared" si="115"/>
        <v>0.89562289562289565</v>
      </c>
      <c r="AX333" s="24">
        <f t="shared" si="116"/>
        <v>0.27272727272727271</v>
      </c>
      <c r="AY333" s="77" t="str">
        <f t="shared" si="117"/>
        <v>5,0 ≤ Alc. Bruta &lt; 7,5 mg/L</v>
      </c>
      <c r="AZ333" s="77" t="str">
        <f t="shared" si="118"/>
        <v>10 ≤ Cor &lt;15 uC</v>
      </c>
      <c r="BA333" s="78" t="str">
        <f t="shared" si="119"/>
        <v>2,5 ≤ Turb &lt; 5,0 uT</v>
      </c>
      <c r="BB333" s="79" t="str">
        <f t="shared" si="120"/>
        <v>TOR &gt; BNN &gt; SM</v>
      </c>
      <c r="BC333" s="78" t="str">
        <f t="shared" si="121"/>
        <v>Tipo 4 (&gt;0,75) uT</v>
      </c>
      <c r="BD333" s="78" t="str">
        <f t="shared" si="122"/>
        <v>Tipo 1 (≤0,25) uT</v>
      </c>
      <c r="BE333" s="78" t="str">
        <f t="shared" si="123"/>
        <v>Tipo 4 (&gt;0,75) uT</v>
      </c>
      <c r="BF333" s="78" t="str">
        <f t="shared" si="124"/>
        <v>Tipo 2 (0,25-0,50) uT</v>
      </c>
      <c r="BG333" s="78" t="str">
        <f t="shared" si="125"/>
        <v>Tipo 1 (≤0,25) uT</v>
      </c>
    </row>
    <row r="334" spans="1:59" x14ac:dyDescent="0.2">
      <c r="A334" s="21">
        <v>46161</v>
      </c>
      <c r="B334" s="48">
        <v>0.89583333333333337</v>
      </c>
      <c r="C334" s="57">
        <v>1463</v>
      </c>
      <c r="D334" s="57">
        <v>86</v>
      </c>
      <c r="E334" s="57">
        <v>500</v>
      </c>
      <c r="F334" s="57">
        <v>2263</v>
      </c>
      <c r="G334" s="10" t="s">
        <v>78</v>
      </c>
      <c r="H334" s="63">
        <v>7.4</v>
      </c>
      <c r="I334" s="57">
        <v>90</v>
      </c>
      <c r="J334" s="57">
        <v>90</v>
      </c>
      <c r="K334" s="57">
        <v>90</v>
      </c>
      <c r="L334" s="63">
        <v>24.1</v>
      </c>
      <c r="M334" s="63">
        <v>6.6</v>
      </c>
      <c r="N334" s="36">
        <v>2.78</v>
      </c>
      <c r="O334" s="57">
        <v>14</v>
      </c>
      <c r="P334" s="63">
        <v>7.9</v>
      </c>
      <c r="Q334" s="36">
        <v>0.12</v>
      </c>
      <c r="R334" s="36">
        <v>22.36</v>
      </c>
      <c r="S334" s="36">
        <v>0.88</v>
      </c>
      <c r="T334" s="36">
        <v>0.7</v>
      </c>
      <c r="U334" s="42">
        <f t="shared" si="103"/>
        <v>1485.09375</v>
      </c>
      <c r="V334" s="36">
        <f t="shared" si="104"/>
        <v>1512.1215243263996</v>
      </c>
      <c r="W334" s="36">
        <f t="shared" si="105"/>
        <v>1.0181993724816361</v>
      </c>
      <c r="X334" s="57">
        <v>3</v>
      </c>
      <c r="Y334" s="57">
        <v>4</v>
      </c>
      <c r="Z334" s="63">
        <v>6.64</v>
      </c>
      <c r="AA334" s="57">
        <v>18.239999999999998</v>
      </c>
      <c r="AB334" s="63">
        <v>6.4</v>
      </c>
      <c r="AC334" s="63">
        <v>6.6</v>
      </c>
      <c r="AD334" s="10">
        <v>0.3</v>
      </c>
      <c r="AE334" s="36">
        <v>0.16</v>
      </c>
      <c r="AF334" s="42">
        <f t="shared" si="106"/>
        <v>1485.09375</v>
      </c>
      <c r="AG334" s="42">
        <f t="shared" si="107"/>
        <v>1828.4859223696001</v>
      </c>
      <c r="AH334" s="42">
        <f t="shared" si="108"/>
        <v>1.2312259225180902</v>
      </c>
      <c r="AI334" s="57">
        <v>3</v>
      </c>
      <c r="AJ334" s="57">
        <v>4</v>
      </c>
      <c r="AK334" s="36">
        <v>6.44</v>
      </c>
      <c r="AL334" s="36">
        <v>22.91</v>
      </c>
      <c r="AM334" s="63">
        <v>6.5</v>
      </c>
      <c r="AN334" s="63">
        <v>5.7</v>
      </c>
      <c r="AO334" s="36">
        <v>0.5</v>
      </c>
      <c r="AP334" s="68">
        <v>0.41</v>
      </c>
      <c r="AQ334" s="73">
        <f t="shared" si="109"/>
        <v>2049</v>
      </c>
      <c r="AR334" s="75">
        <f t="shared" si="110"/>
        <v>0.71400683260126896</v>
      </c>
      <c r="AS334" s="75">
        <f t="shared" si="111"/>
        <v>4.1971693509028796E-2</v>
      </c>
      <c r="AT334" s="75">
        <f t="shared" si="112"/>
        <v>0.2440214738897023</v>
      </c>
      <c r="AU334" s="26">
        <f t="shared" si="113"/>
        <v>6.4480777728678745E-2</v>
      </c>
      <c r="AV334" s="26">
        <f t="shared" si="114"/>
        <v>8.0989836500220944E-2</v>
      </c>
      <c r="AW334" s="24">
        <f t="shared" si="115"/>
        <v>0.85251798561151082</v>
      </c>
      <c r="AX334" s="24">
        <f t="shared" si="116"/>
        <v>0.94244604316546765</v>
      </c>
      <c r="AY334" s="77" t="str">
        <f t="shared" si="117"/>
        <v>7,5 ≤ Alc. Bruta &lt; 10,0 mg/L</v>
      </c>
      <c r="AZ334" s="77" t="str">
        <f t="shared" si="118"/>
        <v>10 ≤ Cor &lt;15 uC</v>
      </c>
      <c r="BA334" s="78" t="str">
        <f t="shared" si="119"/>
        <v>2,5 ≤ Turb &lt; 5,0 uT</v>
      </c>
      <c r="BB334" s="79" t="str">
        <f t="shared" si="120"/>
        <v>TOR &gt; BNN &gt; SM</v>
      </c>
      <c r="BC334" s="78" t="str">
        <f t="shared" si="121"/>
        <v>Tipo 2 (0,25-0,50) uT</v>
      </c>
      <c r="BD334" s="78" t="str">
        <f t="shared" si="122"/>
        <v>Tipo 2 (0,25-0,50) uT</v>
      </c>
      <c r="BE334" s="78" t="str">
        <f t="shared" si="123"/>
        <v>Tipo 1 (≤0,25) uT</v>
      </c>
      <c r="BF334" s="78" t="str">
        <f t="shared" si="124"/>
        <v>Tipo 2 (0,25-0,50) uT</v>
      </c>
      <c r="BG334" s="78" t="str">
        <f t="shared" si="125"/>
        <v>Tipo 1 (≤0,25) uT</v>
      </c>
    </row>
    <row r="335" spans="1:59" x14ac:dyDescent="0.2">
      <c r="A335" s="21">
        <v>46161</v>
      </c>
      <c r="B335" s="48">
        <v>0.97916666666666663</v>
      </c>
      <c r="C335" s="57">
        <v>1510</v>
      </c>
      <c r="D335" s="57">
        <v>89</v>
      </c>
      <c r="E335" s="57">
        <v>500</v>
      </c>
      <c r="F335" s="57">
        <v>2198</v>
      </c>
      <c r="G335" s="10" t="s">
        <v>78</v>
      </c>
      <c r="H335" s="63">
        <v>7.2</v>
      </c>
      <c r="I335" s="57">
        <v>90</v>
      </c>
      <c r="J335" s="57">
        <v>90</v>
      </c>
      <c r="K335" s="57">
        <v>90</v>
      </c>
      <c r="L335" s="63">
        <v>24.5</v>
      </c>
      <c r="M335" s="63">
        <v>6.5</v>
      </c>
      <c r="N335" s="36">
        <v>3.02</v>
      </c>
      <c r="O335" s="57">
        <v>14</v>
      </c>
      <c r="P335" s="63">
        <v>7.6</v>
      </c>
      <c r="Q335" s="36">
        <v>0.13</v>
      </c>
      <c r="R335" s="36">
        <v>22.36</v>
      </c>
      <c r="S335" s="36">
        <v>0.88</v>
      </c>
      <c r="T335" s="36">
        <v>0.7</v>
      </c>
      <c r="U335" s="42">
        <f t="shared" si="103"/>
        <v>1491.8924999999999</v>
      </c>
      <c r="V335" s="36">
        <f t="shared" si="104"/>
        <v>1438.2791622472</v>
      </c>
      <c r="W335" s="36">
        <f t="shared" si="105"/>
        <v>0.96406353825573898</v>
      </c>
      <c r="X335" s="57">
        <v>3</v>
      </c>
      <c r="Y335" s="57">
        <v>4</v>
      </c>
      <c r="Z335" s="63">
        <v>6.51</v>
      </c>
      <c r="AA335" s="57">
        <v>17.78</v>
      </c>
      <c r="AB335" s="63">
        <v>6.5</v>
      </c>
      <c r="AC335" s="63">
        <v>6.8</v>
      </c>
      <c r="AD335" s="10">
        <v>2.17</v>
      </c>
      <c r="AE335" s="36">
        <v>2.13</v>
      </c>
      <c r="AF335" s="42">
        <f t="shared" si="106"/>
        <v>1491.8924999999999</v>
      </c>
      <c r="AG335" s="42">
        <f t="shared" si="107"/>
        <v>1820.9638050551994</v>
      </c>
      <c r="AH335" s="42">
        <f t="shared" si="108"/>
        <v>1.2205730674664559</v>
      </c>
      <c r="AI335" s="57">
        <v>3</v>
      </c>
      <c r="AJ335" s="57">
        <v>4</v>
      </c>
      <c r="AK335" s="36">
        <v>6.43</v>
      </c>
      <c r="AL335" s="36">
        <v>22.86</v>
      </c>
      <c r="AM335" s="63">
        <v>6.5</v>
      </c>
      <c r="AN335" s="63">
        <v>6.3</v>
      </c>
      <c r="AO335" s="36">
        <v>2.4</v>
      </c>
      <c r="AP335" s="68">
        <v>0.39</v>
      </c>
      <c r="AQ335" s="73">
        <f t="shared" si="109"/>
        <v>2099</v>
      </c>
      <c r="AR335" s="75">
        <f t="shared" si="110"/>
        <v>0.71939018580276326</v>
      </c>
      <c r="AS335" s="75">
        <f t="shared" si="111"/>
        <v>4.2401143401619816E-2</v>
      </c>
      <c r="AT335" s="75">
        <f t="shared" si="112"/>
        <v>0.23820867079561697</v>
      </c>
      <c r="AU335" s="26">
        <f t="shared" si="113"/>
        <v>6.4713375796178349E-2</v>
      </c>
      <c r="AV335" s="26">
        <f t="shared" si="114"/>
        <v>8.3202911737943586E-2</v>
      </c>
      <c r="AW335" s="24">
        <f t="shared" si="115"/>
        <v>0.87086092715231789</v>
      </c>
      <c r="AX335" s="24">
        <f t="shared" si="116"/>
        <v>0.29470198675496695</v>
      </c>
      <c r="AY335" s="77" t="str">
        <f t="shared" si="117"/>
        <v>7,5 ≤ Alc. Bruta &lt; 10,0 mg/L</v>
      </c>
      <c r="AZ335" s="77" t="str">
        <f t="shared" si="118"/>
        <v>10 ≤ Cor &lt;15 uC</v>
      </c>
      <c r="BA335" s="78" t="str">
        <f t="shared" si="119"/>
        <v>2,5 ≤ Turb &lt; 5,0 uT</v>
      </c>
      <c r="BB335" s="79" t="str">
        <f t="shared" si="120"/>
        <v>TOR &gt; BNN &gt; SM</v>
      </c>
      <c r="BC335" s="78" t="str">
        <f t="shared" si="121"/>
        <v>Tipo 4 (&gt;0,75) uT</v>
      </c>
      <c r="BD335" s="78" t="str">
        <f t="shared" si="122"/>
        <v>Tipo 4 (&gt;0,75) uT</v>
      </c>
      <c r="BE335" s="78" t="str">
        <f t="shared" si="123"/>
        <v>Tipo 4 (&gt;0,75) uT</v>
      </c>
      <c r="BF335" s="78" t="str">
        <f t="shared" si="124"/>
        <v>Tipo 2 (0,25-0,50) uT</v>
      </c>
      <c r="BG335" s="78" t="str">
        <f t="shared" si="125"/>
        <v>Tipo 1 (≤0,25) uT</v>
      </c>
    </row>
    <row r="336" spans="1:59" x14ac:dyDescent="0.2">
      <c r="A336" s="21">
        <v>46162</v>
      </c>
      <c r="B336" s="48">
        <v>6.25E-2</v>
      </c>
      <c r="C336" s="57">
        <v>1117</v>
      </c>
      <c r="D336" s="57">
        <v>85</v>
      </c>
      <c r="E336" s="57">
        <v>500</v>
      </c>
      <c r="F336" s="57">
        <v>1777</v>
      </c>
      <c r="G336" s="10" t="s">
        <v>78</v>
      </c>
      <c r="H336" s="63">
        <v>7</v>
      </c>
      <c r="I336" s="57">
        <v>90</v>
      </c>
      <c r="J336" s="57">
        <v>90</v>
      </c>
      <c r="K336" s="57">
        <v>90</v>
      </c>
      <c r="L336" s="63">
        <v>23.9</v>
      </c>
      <c r="M336" s="63">
        <v>6.7</v>
      </c>
      <c r="N336" s="36">
        <v>2.76</v>
      </c>
      <c r="O336" s="57">
        <v>14</v>
      </c>
      <c r="P336" s="63">
        <v>7.1</v>
      </c>
      <c r="Q336" s="36">
        <v>0.12</v>
      </c>
      <c r="R336" s="36">
        <v>22.36</v>
      </c>
      <c r="S336" s="36">
        <v>0.88</v>
      </c>
      <c r="T336" s="36">
        <v>0.7</v>
      </c>
      <c r="U336" s="42">
        <f t="shared" si="103"/>
        <v>1135.0587499999999</v>
      </c>
      <c r="V336" s="36">
        <f t="shared" si="104"/>
        <v>1425.3466310615995</v>
      </c>
      <c r="W336" s="36">
        <f t="shared" si="105"/>
        <v>1.2557470096253605</v>
      </c>
      <c r="X336" s="57">
        <v>2</v>
      </c>
      <c r="Y336" s="57">
        <v>4</v>
      </c>
      <c r="Z336" s="63">
        <v>6.46</v>
      </c>
      <c r="AA336" s="57">
        <v>17.79</v>
      </c>
      <c r="AB336" s="63">
        <v>6.6</v>
      </c>
      <c r="AC336" s="63">
        <v>6.7</v>
      </c>
      <c r="AD336" s="10">
        <v>2.2200000000000002</v>
      </c>
      <c r="AE336" s="36">
        <v>2.15</v>
      </c>
      <c r="AF336" s="42">
        <f t="shared" si="106"/>
        <v>1513.4116666666666</v>
      </c>
      <c r="AG336" s="42">
        <f t="shared" si="107"/>
        <v>1824.9466655211995</v>
      </c>
      <c r="AH336" s="42">
        <f t="shared" si="108"/>
        <v>1.2058494761975094</v>
      </c>
      <c r="AI336" s="57">
        <v>2</v>
      </c>
      <c r="AJ336" s="57">
        <v>3</v>
      </c>
      <c r="AK336" s="36">
        <v>6.43</v>
      </c>
      <c r="AL336" s="36">
        <v>22.91</v>
      </c>
      <c r="AM336" s="63">
        <v>6.5</v>
      </c>
      <c r="AN336" s="63">
        <v>5.4</v>
      </c>
      <c r="AO336" s="36">
        <v>0.24</v>
      </c>
      <c r="AP336" s="68">
        <v>0.37</v>
      </c>
      <c r="AQ336" s="73">
        <f t="shared" si="109"/>
        <v>1702</v>
      </c>
      <c r="AR336" s="75">
        <f t="shared" si="110"/>
        <v>0.65628672150411282</v>
      </c>
      <c r="AS336" s="75">
        <f t="shared" si="111"/>
        <v>4.9941245593419503E-2</v>
      </c>
      <c r="AT336" s="75">
        <f t="shared" si="112"/>
        <v>0.29377203290246767</v>
      </c>
      <c r="AU336" s="26">
        <f t="shared" si="113"/>
        <v>8.0090039392234094E-2</v>
      </c>
      <c r="AV336" s="26">
        <f t="shared" si="114"/>
        <v>7.7355092853123239E-2</v>
      </c>
      <c r="AW336" s="24">
        <f t="shared" si="115"/>
        <v>0.86594202898550721</v>
      </c>
      <c r="AX336" s="24">
        <f t="shared" si="116"/>
        <v>0.22101449275362317</v>
      </c>
      <c r="AY336" s="77" t="str">
        <f t="shared" si="117"/>
        <v>5,0 ≤ Alc. Bruta &lt; 7,5 mg/L</v>
      </c>
      <c r="AZ336" s="77" t="str">
        <f t="shared" si="118"/>
        <v>10 ≤ Cor &lt;15 uC</v>
      </c>
      <c r="BA336" s="78" t="str">
        <f t="shared" si="119"/>
        <v>2,5 ≤ Turb &lt; 5,0 uT</v>
      </c>
      <c r="BB336" s="79" t="str">
        <f t="shared" si="120"/>
        <v>TOR &gt; BNN &gt; SM</v>
      </c>
      <c r="BC336" s="78" t="str">
        <f t="shared" si="121"/>
        <v>Tipo 4 (&gt;0,75) uT</v>
      </c>
      <c r="BD336" s="78" t="str">
        <f t="shared" si="122"/>
        <v>Tipo 1 (≤0,25) uT</v>
      </c>
      <c r="BE336" s="78" t="str">
        <f t="shared" si="123"/>
        <v>Tipo 4 (&gt;0,75) uT</v>
      </c>
      <c r="BF336" s="78" t="str">
        <f t="shared" si="124"/>
        <v>Tipo 2 (0,25-0,50) uT</v>
      </c>
      <c r="BG336" s="78" t="str">
        <f t="shared" si="125"/>
        <v>Tipo 1 (≤0,25) uT</v>
      </c>
    </row>
    <row r="337" spans="1:59" x14ac:dyDescent="0.2">
      <c r="A337" s="21">
        <v>46162</v>
      </c>
      <c r="B337" s="48">
        <v>0.14583333333333334</v>
      </c>
      <c r="C337" s="57">
        <v>1211</v>
      </c>
      <c r="D337" s="57">
        <v>88</v>
      </c>
      <c r="E337" s="57">
        <v>499</v>
      </c>
      <c r="F337" s="57">
        <v>1779</v>
      </c>
      <c r="G337" s="10" t="s">
        <v>78</v>
      </c>
      <c r="H337" s="63">
        <v>6.8</v>
      </c>
      <c r="I337" s="57">
        <v>90</v>
      </c>
      <c r="J337" s="57">
        <v>90</v>
      </c>
      <c r="K337" s="57">
        <v>90</v>
      </c>
      <c r="L337" s="63">
        <v>23.7</v>
      </c>
      <c r="M337" s="63">
        <v>6.7</v>
      </c>
      <c r="N337" s="36">
        <v>2.66</v>
      </c>
      <c r="O337" s="57">
        <v>14</v>
      </c>
      <c r="P337" s="63">
        <v>7.5</v>
      </c>
      <c r="Q337" s="36">
        <v>0.14000000000000001</v>
      </c>
      <c r="R337" s="36">
        <v>22.36</v>
      </c>
      <c r="S337" s="36">
        <v>0.88</v>
      </c>
      <c r="T337" s="36">
        <v>0.7</v>
      </c>
      <c r="U337" s="42">
        <f t="shared" si="103"/>
        <v>1100.7562500000001</v>
      </c>
      <c r="V337" s="36">
        <f t="shared" si="104"/>
        <v>1488.3887104371997</v>
      </c>
      <c r="W337" s="36">
        <f t="shared" si="105"/>
        <v>1.3521510420106173</v>
      </c>
      <c r="X337" s="57">
        <v>2</v>
      </c>
      <c r="Y337" s="57">
        <v>4</v>
      </c>
      <c r="Z337" s="63">
        <v>6.49</v>
      </c>
      <c r="AA337" s="57">
        <v>18.47</v>
      </c>
      <c r="AB337" s="63">
        <v>6.5</v>
      </c>
      <c r="AC337" s="63">
        <v>6.5</v>
      </c>
      <c r="AD337" s="10">
        <v>0.19</v>
      </c>
      <c r="AE337" s="36">
        <v>0.14000000000000001</v>
      </c>
      <c r="AF337" s="42">
        <f t="shared" si="106"/>
        <v>1467.675</v>
      </c>
      <c r="AG337" s="42">
        <f t="shared" si="107"/>
        <v>1809.2088527603999</v>
      </c>
      <c r="AH337" s="42">
        <f t="shared" si="108"/>
        <v>1.232704006513976</v>
      </c>
      <c r="AI337" s="57">
        <v>2</v>
      </c>
      <c r="AJ337" s="57">
        <v>3</v>
      </c>
      <c r="AK337" s="36">
        <v>6.39</v>
      </c>
      <c r="AL337" s="36">
        <v>22.89</v>
      </c>
      <c r="AM337" s="63">
        <v>6.6</v>
      </c>
      <c r="AN337" s="63">
        <v>6</v>
      </c>
      <c r="AO337" s="36">
        <v>0.23</v>
      </c>
      <c r="AP337" s="68">
        <v>0.41</v>
      </c>
      <c r="AQ337" s="73">
        <f t="shared" si="109"/>
        <v>1798</v>
      </c>
      <c r="AR337" s="75">
        <f t="shared" si="110"/>
        <v>0.67352614015572854</v>
      </c>
      <c r="AS337" s="75">
        <f t="shared" si="111"/>
        <v>4.8943270300333706E-2</v>
      </c>
      <c r="AT337" s="75">
        <f t="shared" si="112"/>
        <v>0.27753058954393772</v>
      </c>
      <c r="AU337" s="26">
        <f t="shared" si="113"/>
        <v>8.3057897695334448E-2</v>
      </c>
      <c r="AV337" s="26">
        <f t="shared" si="114"/>
        <v>7.7200674536256328E-2</v>
      </c>
      <c r="AW337" s="24">
        <f t="shared" si="115"/>
        <v>0.84586466165413532</v>
      </c>
      <c r="AX337" s="24">
        <f t="shared" si="116"/>
        <v>0.94736842105263153</v>
      </c>
      <c r="AY337" s="77" t="str">
        <f t="shared" si="117"/>
        <v>7,5 ≤ Alc. Bruta &lt; 10,0 mg/L</v>
      </c>
      <c r="AZ337" s="77" t="str">
        <f t="shared" si="118"/>
        <v>10 ≤ Cor &lt;15 uC</v>
      </c>
      <c r="BA337" s="78" t="str">
        <f t="shared" si="119"/>
        <v>2,5 ≤ Turb &lt; 5,0 uT</v>
      </c>
      <c r="BB337" s="79" t="str">
        <f t="shared" si="120"/>
        <v>TOR &gt; BNN &gt; SM</v>
      </c>
      <c r="BC337" s="78" t="str">
        <f t="shared" si="121"/>
        <v>Tipo 1 (≤0,25) uT</v>
      </c>
      <c r="BD337" s="78" t="str">
        <f t="shared" si="122"/>
        <v>Tipo 1 (≤0,25) uT</v>
      </c>
      <c r="BE337" s="78" t="str">
        <f t="shared" si="123"/>
        <v>Tipo 1 (≤0,25) uT</v>
      </c>
      <c r="BF337" s="78" t="str">
        <f t="shared" si="124"/>
        <v>Tipo 2 (0,25-0,50) uT</v>
      </c>
      <c r="BG337" s="78" t="str">
        <f t="shared" si="125"/>
        <v>Tipo 1 (≤0,25) uT</v>
      </c>
    </row>
    <row r="338" spans="1:59" ht="15.75" thickBot="1" x14ac:dyDescent="0.25">
      <c r="A338" s="21">
        <v>46162</v>
      </c>
      <c r="B338" s="51">
        <v>0.22916666666666666</v>
      </c>
      <c r="C338" s="58">
        <v>1171</v>
      </c>
      <c r="D338" s="58">
        <v>93</v>
      </c>
      <c r="E338" s="58">
        <v>500</v>
      </c>
      <c r="F338" s="58">
        <v>1846</v>
      </c>
      <c r="G338" s="11" t="s">
        <v>78</v>
      </c>
      <c r="H338" s="64">
        <v>6.8</v>
      </c>
      <c r="I338" s="58">
        <v>90</v>
      </c>
      <c r="J338" s="58">
        <v>90</v>
      </c>
      <c r="K338" s="58">
        <v>90</v>
      </c>
      <c r="L338" s="64">
        <v>22.9</v>
      </c>
      <c r="M338" s="64">
        <v>6.7</v>
      </c>
      <c r="N338" s="37">
        <v>3.04</v>
      </c>
      <c r="O338" s="58">
        <v>13</v>
      </c>
      <c r="P338" s="64">
        <v>6.9</v>
      </c>
      <c r="Q338" s="37">
        <v>0.2</v>
      </c>
      <c r="R338" s="36">
        <v>22.36</v>
      </c>
      <c r="S338" s="36">
        <v>0.88</v>
      </c>
      <c r="T338" s="36">
        <v>0.7</v>
      </c>
      <c r="U338" s="42">
        <f t="shared" si="103"/>
        <v>1229.8975</v>
      </c>
      <c r="V338" s="36">
        <f t="shared" si="104"/>
        <v>1440.0108811919997</v>
      </c>
      <c r="W338" s="36">
        <f t="shared" si="105"/>
        <v>1.1708381236582721</v>
      </c>
      <c r="X338" s="58">
        <v>2</v>
      </c>
      <c r="Y338" s="58">
        <v>4</v>
      </c>
      <c r="Z338" s="64">
        <v>6.54</v>
      </c>
      <c r="AA338" s="58">
        <v>17.7</v>
      </c>
      <c r="AB338" s="64">
        <v>6.5</v>
      </c>
      <c r="AC338" s="64">
        <v>7.1</v>
      </c>
      <c r="AD338" s="11">
        <v>0.24</v>
      </c>
      <c r="AE338" s="37">
        <v>0.15</v>
      </c>
      <c r="AF338" s="42">
        <f t="shared" si="106"/>
        <v>1639.8633333333335</v>
      </c>
      <c r="AG338" s="42">
        <f t="shared" si="107"/>
        <v>1814.6942222708003</v>
      </c>
      <c r="AH338" s="42">
        <f t="shared" si="108"/>
        <v>1.1066130849953757</v>
      </c>
      <c r="AI338" s="58">
        <v>2</v>
      </c>
      <c r="AJ338" s="58">
        <v>3</v>
      </c>
      <c r="AK338" s="37">
        <v>6.41</v>
      </c>
      <c r="AL338" s="37">
        <v>22.87</v>
      </c>
      <c r="AM338" s="64">
        <v>6.4</v>
      </c>
      <c r="AN338" s="64">
        <v>5.6</v>
      </c>
      <c r="AO338" s="37">
        <v>0.22</v>
      </c>
      <c r="AP338" s="69">
        <v>0.46</v>
      </c>
      <c r="AQ338" s="73">
        <f t="shared" si="109"/>
        <v>1764</v>
      </c>
      <c r="AR338" s="75">
        <f t="shared" si="110"/>
        <v>0.66383219954648531</v>
      </c>
      <c r="AS338" s="75">
        <f t="shared" si="111"/>
        <v>5.2721088435374153E-2</v>
      </c>
      <c r="AT338" s="75">
        <f t="shared" si="112"/>
        <v>0.28344671201814059</v>
      </c>
      <c r="AU338" s="26">
        <f t="shared" si="113"/>
        <v>7.6706392199349938E-2</v>
      </c>
      <c r="AV338" s="26">
        <f t="shared" si="114"/>
        <v>7.4333694474539538E-2</v>
      </c>
      <c r="AW338" s="24">
        <f t="shared" si="115"/>
        <v>0.84868421052631582</v>
      </c>
      <c r="AX338" s="24">
        <f t="shared" si="116"/>
        <v>0.95065789473684215</v>
      </c>
      <c r="AY338" s="77" t="str">
        <f t="shared" si="117"/>
        <v>5,0 ≤ Alc. Bruta &lt; 7,5 mg/L</v>
      </c>
      <c r="AZ338" s="77" t="str">
        <f t="shared" si="118"/>
        <v>10 ≤ Cor &lt;15 uC</v>
      </c>
      <c r="BA338" s="78" t="str">
        <f t="shared" si="119"/>
        <v>2,5 ≤ Turb &lt; 5,0 uT</v>
      </c>
      <c r="BB338" s="79" t="str">
        <f t="shared" si="120"/>
        <v>TOR &gt; BNN &gt; SM</v>
      </c>
      <c r="BC338" s="78" t="str">
        <f t="shared" si="121"/>
        <v>Tipo 1 (≤0,25) uT</v>
      </c>
      <c r="BD338" s="78" t="str">
        <f t="shared" si="122"/>
        <v>Tipo 1 (≤0,25) uT</v>
      </c>
      <c r="BE338" s="78" t="str">
        <f t="shared" si="123"/>
        <v>Tipo 1 (≤0,25) uT</v>
      </c>
      <c r="BF338" s="78" t="str">
        <f t="shared" si="124"/>
        <v>Tipo 2 (0,25-0,50) uT</v>
      </c>
      <c r="BG338" s="78" t="str">
        <f t="shared" si="125"/>
        <v>Tipo 1 (≤0,25) uT</v>
      </c>
    </row>
    <row r="339" spans="1:59" x14ac:dyDescent="0.2">
      <c r="A339" s="21">
        <v>46162</v>
      </c>
      <c r="B339" s="52">
        <v>0.3125</v>
      </c>
      <c r="C339" s="59">
        <v>1161</v>
      </c>
      <c r="D339" s="57">
        <v>81</v>
      </c>
      <c r="E339" s="59">
        <v>500</v>
      </c>
      <c r="F339" s="59">
        <v>1967</v>
      </c>
      <c r="G339" s="9" t="s">
        <v>78</v>
      </c>
      <c r="H339" s="65">
        <v>6.8</v>
      </c>
      <c r="I339" s="59">
        <v>90</v>
      </c>
      <c r="J339" s="59">
        <v>90</v>
      </c>
      <c r="K339" s="59">
        <v>90</v>
      </c>
      <c r="L339" s="65">
        <v>22.9</v>
      </c>
      <c r="M339" s="65">
        <v>6.7</v>
      </c>
      <c r="N339" s="38">
        <v>2.77</v>
      </c>
      <c r="O339" s="59">
        <v>17</v>
      </c>
      <c r="P339" s="65">
        <v>6.1</v>
      </c>
      <c r="Q339" s="38">
        <v>0.23</v>
      </c>
      <c r="R339" s="36">
        <v>22.36</v>
      </c>
      <c r="S339" s="36">
        <v>0.88</v>
      </c>
      <c r="T339" s="36">
        <v>0.7</v>
      </c>
      <c r="U339" s="42">
        <f t="shared" si="103"/>
        <v>1244.1275000000001</v>
      </c>
      <c r="V339" s="36">
        <f t="shared" si="104"/>
        <v>1434.1599042159994</v>
      </c>
      <c r="W339" s="36">
        <f t="shared" si="105"/>
        <v>1.1527435123940266</v>
      </c>
      <c r="X339" s="59">
        <v>2</v>
      </c>
      <c r="Y339" s="59">
        <v>4</v>
      </c>
      <c r="Z339" s="65">
        <v>6.46</v>
      </c>
      <c r="AA339" s="59">
        <v>17.899999999999999</v>
      </c>
      <c r="AB339" s="65">
        <v>6.5</v>
      </c>
      <c r="AC339" s="65">
        <v>5.2</v>
      </c>
      <c r="AD339" s="9">
        <v>0.33</v>
      </c>
      <c r="AE339" s="38">
        <v>0.21</v>
      </c>
      <c r="AF339" s="42">
        <f t="shared" si="106"/>
        <v>1658.8366666666668</v>
      </c>
      <c r="AG339" s="42">
        <f t="shared" si="107"/>
        <v>1891.7095750072001</v>
      </c>
      <c r="AH339" s="42">
        <f t="shared" si="108"/>
        <v>1.1403832655860431</v>
      </c>
      <c r="AI339" s="59">
        <v>2</v>
      </c>
      <c r="AJ339" s="59">
        <v>3</v>
      </c>
      <c r="AK339" s="38">
        <v>6.34</v>
      </c>
      <c r="AL339" s="38">
        <v>24.17</v>
      </c>
      <c r="AM339" s="65">
        <v>6.6</v>
      </c>
      <c r="AN339" s="65">
        <v>5.4</v>
      </c>
      <c r="AO339" s="38">
        <v>0.49</v>
      </c>
      <c r="AP339" s="70">
        <v>0.48</v>
      </c>
      <c r="AQ339" s="73">
        <f t="shared" si="109"/>
        <v>1742</v>
      </c>
      <c r="AR339" s="75">
        <f t="shared" si="110"/>
        <v>0.66647531572904706</v>
      </c>
      <c r="AS339" s="75">
        <f t="shared" si="111"/>
        <v>4.6498277841561422E-2</v>
      </c>
      <c r="AT339" s="75">
        <f t="shared" si="112"/>
        <v>0.28702640642939148</v>
      </c>
      <c r="AU339" s="26">
        <f t="shared" si="113"/>
        <v>7.2801220132180974E-2</v>
      </c>
      <c r="AV339" s="26">
        <f t="shared" si="114"/>
        <v>7.3726487036095592E-2</v>
      </c>
      <c r="AW339" s="24">
        <f t="shared" si="115"/>
        <v>0.8267148014440433</v>
      </c>
      <c r="AX339" s="24">
        <f t="shared" si="116"/>
        <v>0.92418772563176899</v>
      </c>
      <c r="AY339" s="77" t="str">
        <f t="shared" si="117"/>
        <v>5,0 ≤ Alc. Bruta &lt; 7,5 mg/L</v>
      </c>
      <c r="AZ339" s="77" t="str">
        <f t="shared" si="118"/>
        <v>15 ≤ Cor &lt; 30 uC</v>
      </c>
      <c r="BA339" s="78" t="str">
        <f t="shared" si="119"/>
        <v>2,5 ≤ Turb &lt; 5,0 uT</v>
      </c>
      <c r="BB339" s="79" t="str">
        <f t="shared" si="120"/>
        <v>TOR &gt; BNN &gt; SM</v>
      </c>
      <c r="BC339" s="78" t="str">
        <f t="shared" si="121"/>
        <v>Tipo 2 (0,25-0,50) uT</v>
      </c>
      <c r="BD339" s="78" t="str">
        <f t="shared" si="122"/>
        <v>Tipo 2 (0,25-0,50) uT</v>
      </c>
      <c r="BE339" s="78" t="str">
        <f t="shared" si="123"/>
        <v>Tipo 1 (≤0,25) uT</v>
      </c>
      <c r="BF339" s="78" t="str">
        <f t="shared" si="124"/>
        <v>Tipo 2 (0,25-0,50) uT</v>
      </c>
      <c r="BG339" s="78" t="str">
        <f t="shared" si="125"/>
        <v>Tipo 1 (≤0,25) uT</v>
      </c>
    </row>
    <row r="340" spans="1:59" x14ac:dyDescent="0.2">
      <c r="A340" s="21">
        <v>46162</v>
      </c>
      <c r="B340" s="48">
        <v>0.39583333333333331</v>
      </c>
      <c r="C340" s="57">
        <v>1150</v>
      </c>
      <c r="D340" s="57">
        <v>84</v>
      </c>
      <c r="E340" s="57">
        <v>500</v>
      </c>
      <c r="F340" s="57">
        <v>1952</v>
      </c>
      <c r="G340" s="10" t="s">
        <v>78</v>
      </c>
      <c r="H340" s="63">
        <v>7.3</v>
      </c>
      <c r="I340" s="57">
        <v>90</v>
      </c>
      <c r="J340" s="57">
        <v>90</v>
      </c>
      <c r="K340" s="57">
        <v>90</v>
      </c>
      <c r="L340" s="63">
        <v>24</v>
      </c>
      <c r="M340" s="63">
        <v>6.9</v>
      </c>
      <c r="N340" s="36">
        <v>2.93</v>
      </c>
      <c r="O340" s="57">
        <v>17</v>
      </c>
      <c r="P340" s="63">
        <v>6.8</v>
      </c>
      <c r="Q340" s="36">
        <v>0.23</v>
      </c>
      <c r="R340" s="36">
        <v>22.36</v>
      </c>
      <c r="S340" s="36">
        <v>0.88</v>
      </c>
      <c r="T340" s="36">
        <v>0.7</v>
      </c>
      <c r="U340" s="42">
        <f t="shared" si="103"/>
        <v>1310.28</v>
      </c>
      <c r="V340" s="36">
        <f t="shared" si="104"/>
        <v>1375.4182925599998</v>
      </c>
      <c r="W340" s="36">
        <f t="shared" si="105"/>
        <v>1.0497132617150531</v>
      </c>
      <c r="X340" s="57">
        <v>2</v>
      </c>
      <c r="Y340" s="57">
        <v>4</v>
      </c>
      <c r="Z340" s="63">
        <v>6.45</v>
      </c>
      <c r="AA340" s="57">
        <v>17.2</v>
      </c>
      <c r="AB340" s="63">
        <v>6.6</v>
      </c>
      <c r="AC340" s="63">
        <v>5</v>
      </c>
      <c r="AD340" s="10">
        <v>0.32</v>
      </c>
      <c r="AE340" s="36">
        <v>0.2</v>
      </c>
      <c r="AF340" s="42">
        <f t="shared" si="106"/>
        <v>1747.04</v>
      </c>
      <c r="AG340" s="42">
        <f t="shared" si="107"/>
        <v>1480.3689773599997</v>
      </c>
      <c r="AH340" s="42">
        <f t="shared" si="108"/>
        <v>0.8473583760875536</v>
      </c>
      <c r="AI340" s="57">
        <v>2</v>
      </c>
      <c r="AJ340" s="57">
        <v>3</v>
      </c>
      <c r="AK340" s="36">
        <v>5.3</v>
      </c>
      <c r="AL340" s="36">
        <v>23.8</v>
      </c>
      <c r="AM340" s="63">
        <v>6.4</v>
      </c>
      <c r="AN340" s="63">
        <v>5.3</v>
      </c>
      <c r="AO340" s="36">
        <v>0.3</v>
      </c>
      <c r="AP340" s="68">
        <v>0.48</v>
      </c>
      <c r="AQ340" s="73">
        <f t="shared" si="109"/>
        <v>1734</v>
      </c>
      <c r="AR340" s="75">
        <f t="shared" si="110"/>
        <v>0.66320645905420994</v>
      </c>
      <c r="AS340" s="75">
        <f t="shared" si="111"/>
        <v>4.8442906574394463E-2</v>
      </c>
      <c r="AT340" s="75">
        <f t="shared" si="112"/>
        <v>0.28835063437139563</v>
      </c>
      <c r="AU340" s="26">
        <f t="shared" si="113"/>
        <v>7.0491803278688522E-2</v>
      </c>
      <c r="AV340" s="26">
        <f t="shared" si="114"/>
        <v>7.3155737704918039E-2</v>
      </c>
      <c r="AW340" s="24">
        <f t="shared" si="115"/>
        <v>0.83617747440273038</v>
      </c>
      <c r="AX340" s="24">
        <f t="shared" si="116"/>
        <v>0.93174061433447097</v>
      </c>
      <c r="AY340" s="77" t="str">
        <f t="shared" si="117"/>
        <v>5,0 ≤ Alc. Bruta &lt; 7,5 mg/L</v>
      </c>
      <c r="AZ340" s="77" t="str">
        <f t="shared" si="118"/>
        <v>15 ≤ Cor &lt; 30 uC</v>
      </c>
      <c r="BA340" s="78" t="str">
        <f t="shared" si="119"/>
        <v>2,5 ≤ Turb &lt; 5,0 uT</v>
      </c>
      <c r="BB340" s="79" t="str">
        <f t="shared" si="120"/>
        <v>TOR &gt; BNN &gt; SM</v>
      </c>
      <c r="BC340" s="78" t="str">
        <f t="shared" si="121"/>
        <v>Tipo 2 (0,25-0,50) uT</v>
      </c>
      <c r="BD340" s="78" t="str">
        <f t="shared" si="122"/>
        <v>Tipo 2 (0,25-0,50) uT</v>
      </c>
      <c r="BE340" s="78" t="str">
        <f t="shared" si="123"/>
        <v>Tipo 1 (≤0,25) uT</v>
      </c>
      <c r="BF340" s="78" t="str">
        <f t="shared" si="124"/>
        <v>Tipo 2 (0,25-0,50) uT</v>
      </c>
      <c r="BG340" s="78" t="str">
        <f t="shared" si="125"/>
        <v>Tipo 1 (≤0,25) uT</v>
      </c>
    </row>
    <row r="341" spans="1:59" x14ac:dyDescent="0.2">
      <c r="A341" s="21">
        <v>46162</v>
      </c>
      <c r="B341" s="48">
        <v>0.47916666666666669</v>
      </c>
      <c r="C341" s="57">
        <v>1628</v>
      </c>
      <c r="D341" s="57">
        <v>82</v>
      </c>
      <c r="E341" s="57">
        <v>499</v>
      </c>
      <c r="F341" s="57">
        <v>2307</v>
      </c>
      <c r="G341" s="10" t="s">
        <v>78</v>
      </c>
      <c r="H341" s="63">
        <v>7.3</v>
      </c>
      <c r="I341" s="57">
        <v>90</v>
      </c>
      <c r="J341" s="57">
        <v>90</v>
      </c>
      <c r="K341" s="57">
        <v>90</v>
      </c>
      <c r="L341" s="63">
        <v>24.9</v>
      </c>
      <c r="M341" s="63">
        <v>6.6</v>
      </c>
      <c r="N341" s="36">
        <v>2.87</v>
      </c>
      <c r="O341" s="57">
        <v>11</v>
      </c>
      <c r="P341" s="63">
        <v>6.9</v>
      </c>
      <c r="Q341" s="36">
        <v>0.19</v>
      </c>
      <c r="R341" s="36">
        <v>22.36</v>
      </c>
      <c r="S341" s="36">
        <v>0.88</v>
      </c>
      <c r="T341" s="36">
        <v>0.7</v>
      </c>
      <c r="U341" s="42">
        <f t="shared" si="103"/>
        <v>1531.2712500000002</v>
      </c>
      <c r="V341" s="36">
        <f t="shared" si="104"/>
        <v>1083.6689031999999</v>
      </c>
      <c r="W341" s="36">
        <f t="shared" si="105"/>
        <v>0.7076923198290308</v>
      </c>
      <c r="X341" s="57">
        <v>3</v>
      </c>
      <c r="Y341" s="57">
        <v>4</v>
      </c>
      <c r="Z341" s="63">
        <v>5.4</v>
      </c>
      <c r="AA341" s="57">
        <v>17</v>
      </c>
      <c r="AB341" s="63">
        <v>6.7</v>
      </c>
      <c r="AC341" s="63">
        <v>4.3</v>
      </c>
      <c r="AD341" s="10">
        <v>0.38</v>
      </c>
      <c r="AE341" s="36">
        <v>0.22</v>
      </c>
      <c r="AF341" s="42">
        <f t="shared" si="106"/>
        <v>1531.2712500000002</v>
      </c>
      <c r="AG341" s="42">
        <f t="shared" si="107"/>
        <v>1867.2812745599999</v>
      </c>
      <c r="AH341" s="42">
        <f t="shared" si="108"/>
        <v>1.2194320729002126</v>
      </c>
      <c r="AI341" s="57">
        <v>2</v>
      </c>
      <c r="AJ341" s="57">
        <v>4</v>
      </c>
      <c r="AK341" s="36">
        <v>6.31</v>
      </c>
      <c r="AL341" s="36">
        <v>24</v>
      </c>
      <c r="AM341" s="63">
        <v>6.6</v>
      </c>
      <c r="AN341" s="63">
        <v>5.5</v>
      </c>
      <c r="AO341" s="36">
        <v>0.18</v>
      </c>
      <c r="AP341" s="68">
        <v>0.32</v>
      </c>
      <c r="AQ341" s="73">
        <f t="shared" si="109"/>
        <v>2209</v>
      </c>
      <c r="AR341" s="75">
        <f t="shared" si="110"/>
        <v>0.73698506111362605</v>
      </c>
      <c r="AS341" s="75">
        <f t="shared" si="111"/>
        <v>3.7120869171570849E-2</v>
      </c>
      <c r="AT341" s="75">
        <f t="shared" si="112"/>
        <v>0.22589406971480308</v>
      </c>
      <c r="AU341" s="26">
        <f t="shared" si="113"/>
        <v>5.8951018638925011E-2</v>
      </c>
      <c r="AV341" s="26">
        <f t="shared" si="114"/>
        <v>8.3224967490247076E-2</v>
      </c>
      <c r="AW341" s="24">
        <f t="shared" si="115"/>
        <v>0.88850174216027877</v>
      </c>
      <c r="AX341" s="24">
        <f t="shared" si="116"/>
        <v>0.9233449477351916</v>
      </c>
      <c r="AY341" s="77" t="str">
        <f t="shared" si="117"/>
        <v>5,0 ≤ Alc. Bruta &lt; 7,5 mg/L</v>
      </c>
      <c r="AZ341" s="77" t="str">
        <f t="shared" si="118"/>
        <v>10 ≤ Cor &lt;15 uC</v>
      </c>
      <c r="BA341" s="78" t="str">
        <f t="shared" si="119"/>
        <v>2,5 ≤ Turb &lt; 5,0 uT</v>
      </c>
      <c r="BB341" s="79" t="str">
        <f t="shared" si="120"/>
        <v>TOR &gt; BNN &gt; SM</v>
      </c>
      <c r="BC341" s="78" t="str">
        <f t="shared" si="121"/>
        <v>Tipo 2 (0,25-0,50) uT</v>
      </c>
      <c r="BD341" s="78" t="str">
        <f t="shared" si="122"/>
        <v>Tipo 1 (≤0,25) uT</v>
      </c>
      <c r="BE341" s="78" t="str">
        <f t="shared" si="123"/>
        <v>Tipo 1 (≤0,25) uT</v>
      </c>
      <c r="BF341" s="78" t="str">
        <f t="shared" si="124"/>
        <v>Tipo 2 (0,25-0,50) uT</v>
      </c>
      <c r="BG341" s="78" t="str">
        <f t="shared" si="125"/>
        <v>Tipo 1 (≤0,25) uT</v>
      </c>
    </row>
    <row r="342" spans="1:59" x14ac:dyDescent="0.2">
      <c r="A342" s="21">
        <v>46162</v>
      </c>
      <c r="B342" s="48">
        <v>0.64583333333333337</v>
      </c>
      <c r="C342" s="57">
        <v>1580</v>
      </c>
      <c r="D342" s="57">
        <v>85</v>
      </c>
      <c r="E342" s="57">
        <v>500</v>
      </c>
      <c r="F342" s="57">
        <v>2390</v>
      </c>
      <c r="G342" s="10" t="s">
        <v>78</v>
      </c>
      <c r="H342" s="63">
        <v>7.3</v>
      </c>
      <c r="I342" s="57">
        <v>90</v>
      </c>
      <c r="J342" s="57">
        <v>90</v>
      </c>
      <c r="K342" s="57">
        <v>90</v>
      </c>
      <c r="L342" s="63">
        <v>24.9</v>
      </c>
      <c r="M342" s="63">
        <v>6.8</v>
      </c>
      <c r="N342" s="36">
        <v>3.32</v>
      </c>
      <c r="O342" s="57">
        <v>19</v>
      </c>
      <c r="P342" s="63">
        <v>5.5</v>
      </c>
      <c r="Q342" s="36">
        <v>0.05</v>
      </c>
      <c r="R342" s="36">
        <v>22.36</v>
      </c>
      <c r="S342" s="36">
        <v>0.88</v>
      </c>
      <c r="T342" s="36">
        <v>0.7</v>
      </c>
      <c r="U342" s="42">
        <f t="shared" si="103"/>
        <v>1720.8</v>
      </c>
      <c r="V342" s="36">
        <f t="shared" si="104"/>
        <v>1172.44074168</v>
      </c>
      <c r="W342" s="36">
        <f t="shared" si="105"/>
        <v>0.68133469414225944</v>
      </c>
      <c r="X342" s="57">
        <v>3</v>
      </c>
      <c r="Y342" s="57">
        <v>4</v>
      </c>
      <c r="Z342" s="63">
        <v>5.49</v>
      </c>
      <c r="AA342" s="57">
        <v>18</v>
      </c>
      <c r="AB342" s="63">
        <v>6.6</v>
      </c>
      <c r="AC342" s="63">
        <v>4.9000000000000004</v>
      </c>
      <c r="AD342" s="10">
        <v>0.22</v>
      </c>
      <c r="AE342" s="36">
        <v>0.18</v>
      </c>
      <c r="AF342" s="42">
        <f t="shared" si="106"/>
        <v>1720.8</v>
      </c>
      <c r="AG342" s="42">
        <f t="shared" si="107"/>
        <v>1769.4519814399998</v>
      </c>
      <c r="AH342" s="42">
        <f t="shared" si="108"/>
        <v>1.0282728855416086</v>
      </c>
      <c r="AI342" s="57">
        <v>2</v>
      </c>
      <c r="AJ342" s="57">
        <v>4</v>
      </c>
      <c r="AK342" s="36">
        <v>6.48</v>
      </c>
      <c r="AL342" s="36">
        <v>22</v>
      </c>
      <c r="AM342" s="63">
        <v>6.6</v>
      </c>
      <c r="AN342" s="63">
        <v>4.7</v>
      </c>
      <c r="AO342" s="36">
        <v>0.16</v>
      </c>
      <c r="AP342" s="68">
        <v>0.32</v>
      </c>
      <c r="AQ342" s="73">
        <f t="shared" si="109"/>
        <v>2165</v>
      </c>
      <c r="AR342" s="75">
        <f t="shared" si="110"/>
        <v>0.72979214780600465</v>
      </c>
      <c r="AS342" s="75">
        <f t="shared" si="111"/>
        <v>3.9260969976905313E-2</v>
      </c>
      <c r="AT342" s="75">
        <f t="shared" si="112"/>
        <v>0.23094688221709006</v>
      </c>
      <c r="AU342" s="26">
        <f t="shared" si="113"/>
        <v>6.0251046025104602E-2</v>
      </c>
      <c r="AV342" s="26">
        <f t="shared" si="114"/>
        <v>7.364016736401674E-2</v>
      </c>
      <c r="AW342" s="24">
        <f t="shared" si="115"/>
        <v>0.90361445783132532</v>
      </c>
      <c r="AX342" s="24">
        <f t="shared" si="116"/>
        <v>0.94578313253012047</v>
      </c>
      <c r="AY342" s="77" t="str">
        <f t="shared" si="117"/>
        <v>5,0 ≤ Alc. Bruta &lt; 7,5 mg/L</v>
      </c>
      <c r="AZ342" s="77" t="str">
        <f t="shared" si="118"/>
        <v>15 ≤ Cor &lt; 30 uC</v>
      </c>
      <c r="BA342" s="78" t="str">
        <f t="shared" si="119"/>
        <v>2,5 ≤ Turb &lt; 5,0 uT</v>
      </c>
      <c r="BB342" s="79" t="str">
        <f t="shared" si="120"/>
        <v>TOR &gt; BNN &gt; SM</v>
      </c>
      <c r="BC342" s="78" t="str">
        <f t="shared" si="121"/>
        <v>Tipo 1 (≤0,25) uT</v>
      </c>
      <c r="BD342" s="78" t="str">
        <f t="shared" si="122"/>
        <v>Tipo 1 (≤0,25) uT</v>
      </c>
      <c r="BE342" s="78" t="str">
        <f t="shared" si="123"/>
        <v>Tipo 1 (≤0,25) uT</v>
      </c>
      <c r="BF342" s="78" t="str">
        <f t="shared" si="124"/>
        <v>Tipo 2 (0,25-0,50) uT</v>
      </c>
      <c r="BG342" s="78" t="str">
        <f t="shared" si="125"/>
        <v>Tipo 1 (≤0,25) uT</v>
      </c>
    </row>
    <row r="343" spans="1:59" x14ac:dyDescent="0.2">
      <c r="A343" s="21">
        <v>46162</v>
      </c>
      <c r="B343" s="48">
        <v>0.72916666666666663</v>
      </c>
      <c r="C343" s="57">
        <v>1639</v>
      </c>
      <c r="D343" s="57">
        <v>84</v>
      </c>
      <c r="E343" s="57">
        <v>499</v>
      </c>
      <c r="F343" s="57">
        <v>2391</v>
      </c>
      <c r="G343" s="10" t="s">
        <v>78</v>
      </c>
      <c r="H343" s="63">
        <v>7.3</v>
      </c>
      <c r="I343" s="57">
        <v>90</v>
      </c>
      <c r="J343" s="57">
        <v>90</v>
      </c>
      <c r="K343" s="57">
        <v>90</v>
      </c>
      <c r="L343" s="63">
        <v>24.7</v>
      </c>
      <c r="M343" s="63">
        <v>6.7</v>
      </c>
      <c r="N343" s="36">
        <v>3.13</v>
      </c>
      <c r="O343" s="57">
        <v>16</v>
      </c>
      <c r="P343" s="63">
        <v>6.1</v>
      </c>
      <c r="Q343" s="36">
        <v>0.09</v>
      </c>
      <c r="R343" s="36">
        <v>22.36</v>
      </c>
      <c r="S343" s="36">
        <v>0.88</v>
      </c>
      <c r="T343" s="36">
        <v>0.7</v>
      </c>
      <c r="U343" s="42">
        <f t="shared" si="103"/>
        <v>1664.7337500000001</v>
      </c>
      <c r="V343" s="36">
        <f t="shared" si="104"/>
        <v>1362.0513056799996</v>
      </c>
      <c r="W343" s="36">
        <f t="shared" si="105"/>
        <v>0.81817966727712432</v>
      </c>
      <c r="X343" s="57">
        <v>3</v>
      </c>
      <c r="Y343" s="57">
        <v>4</v>
      </c>
      <c r="Z343" s="63">
        <v>6.46</v>
      </c>
      <c r="AA343" s="57">
        <v>17</v>
      </c>
      <c r="AB343" s="63">
        <v>6.5</v>
      </c>
      <c r="AC343" s="63">
        <v>5</v>
      </c>
      <c r="AD343" s="10">
        <v>0.18</v>
      </c>
      <c r="AE343" s="36">
        <v>0.17</v>
      </c>
      <c r="AF343" s="42">
        <f t="shared" si="106"/>
        <v>1664.7337500000001</v>
      </c>
      <c r="AG343" s="42">
        <f t="shared" si="107"/>
        <v>1828.5626538399999</v>
      </c>
      <c r="AH343" s="42">
        <f t="shared" si="108"/>
        <v>1.0984114750121452</v>
      </c>
      <c r="AI343" s="57">
        <v>2</v>
      </c>
      <c r="AJ343" s="57">
        <v>4</v>
      </c>
      <c r="AK343" s="36">
        <v>6.42</v>
      </c>
      <c r="AL343" s="36">
        <v>23</v>
      </c>
      <c r="AM343" s="63">
        <v>6.5</v>
      </c>
      <c r="AN343" s="63">
        <v>5.0999999999999996</v>
      </c>
      <c r="AO343" s="36">
        <v>0.16</v>
      </c>
      <c r="AP343" s="68">
        <v>0.33</v>
      </c>
      <c r="AQ343" s="73">
        <f t="shared" si="109"/>
        <v>2222</v>
      </c>
      <c r="AR343" s="75">
        <f t="shared" si="110"/>
        <v>0.73762376237623761</v>
      </c>
      <c r="AS343" s="75">
        <f t="shared" si="111"/>
        <v>3.7803780378037805E-2</v>
      </c>
      <c r="AT343" s="75">
        <f t="shared" si="112"/>
        <v>0.22457245724572458</v>
      </c>
      <c r="AU343" s="26">
        <f t="shared" si="113"/>
        <v>5.6879966541196154E-2</v>
      </c>
      <c r="AV343" s="26">
        <f t="shared" si="114"/>
        <v>7.6955248849853622E-2</v>
      </c>
      <c r="AW343" s="24">
        <f t="shared" si="115"/>
        <v>0.89456869009584661</v>
      </c>
      <c r="AX343" s="24">
        <f t="shared" si="116"/>
        <v>0.94568690095846641</v>
      </c>
      <c r="AY343" s="77" t="str">
        <f t="shared" si="117"/>
        <v>5,0 ≤ Alc. Bruta &lt; 7,5 mg/L</v>
      </c>
      <c r="AZ343" s="77" t="str">
        <f t="shared" si="118"/>
        <v>15 ≤ Cor &lt; 30 uC</v>
      </c>
      <c r="BA343" s="78" t="str">
        <f t="shared" si="119"/>
        <v>2,5 ≤ Turb &lt; 5,0 uT</v>
      </c>
      <c r="BB343" s="79" t="str">
        <f t="shared" si="120"/>
        <v>TOR &gt; BNN &gt; SM</v>
      </c>
      <c r="BC343" s="78" t="str">
        <f t="shared" si="121"/>
        <v>Tipo 1 (≤0,25) uT</v>
      </c>
      <c r="BD343" s="78" t="str">
        <f t="shared" si="122"/>
        <v>Tipo 1 (≤0,25) uT</v>
      </c>
      <c r="BE343" s="78" t="str">
        <f t="shared" si="123"/>
        <v>Tipo 1 (≤0,25) uT</v>
      </c>
      <c r="BF343" s="78" t="str">
        <f t="shared" si="124"/>
        <v>Tipo 2 (0,25-0,50) uT</v>
      </c>
      <c r="BG343" s="78" t="str">
        <f t="shared" si="125"/>
        <v>Tipo 1 (≤0,25) uT</v>
      </c>
    </row>
    <row r="344" spans="1:59" x14ac:dyDescent="0.2">
      <c r="A344" s="21">
        <v>46162</v>
      </c>
      <c r="B344" s="48">
        <v>0.8125</v>
      </c>
      <c r="C344" s="57">
        <v>1545</v>
      </c>
      <c r="D344" s="57">
        <v>88</v>
      </c>
      <c r="E344" s="57">
        <v>498</v>
      </c>
      <c r="F344" s="57">
        <v>2258</v>
      </c>
      <c r="G344" s="10" t="s">
        <v>78</v>
      </c>
      <c r="H344" s="63">
        <v>7.3</v>
      </c>
      <c r="I344" s="57">
        <v>90</v>
      </c>
      <c r="J344" s="57">
        <v>90</v>
      </c>
      <c r="K344" s="57">
        <v>90</v>
      </c>
      <c r="L344" s="63">
        <v>24.9</v>
      </c>
      <c r="M344" s="63">
        <v>6.9</v>
      </c>
      <c r="N344" s="36">
        <v>3.88</v>
      </c>
      <c r="O344" s="57">
        <v>20</v>
      </c>
      <c r="P344" s="63">
        <v>4.9000000000000004</v>
      </c>
      <c r="Q344" s="36">
        <v>0.08</v>
      </c>
      <c r="R344" s="36">
        <v>22.36</v>
      </c>
      <c r="S344" s="36">
        <v>0.88</v>
      </c>
      <c r="T344" s="36">
        <v>0.7</v>
      </c>
      <c r="U344" s="42">
        <f t="shared" si="103"/>
        <v>1783.8200000000002</v>
      </c>
      <c r="V344" s="36">
        <f t="shared" si="104"/>
        <v>1447.7334393599999</v>
      </c>
      <c r="W344" s="36">
        <f t="shared" si="105"/>
        <v>0.81159166247715564</v>
      </c>
      <c r="X344" s="57">
        <v>3</v>
      </c>
      <c r="Y344" s="57">
        <v>4</v>
      </c>
      <c r="Z344" s="63">
        <v>6.48</v>
      </c>
      <c r="AA344" s="57">
        <v>18</v>
      </c>
      <c r="AB344" s="63">
        <v>6.5</v>
      </c>
      <c r="AC344" s="63">
        <v>5.3</v>
      </c>
      <c r="AD344" s="10">
        <v>0.15</v>
      </c>
      <c r="AE344" s="36">
        <v>0.17</v>
      </c>
      <c r="AF344" s="42">
        <f t="shared" si="106"/>
        <v>1783.8200000000002</v>
      </c>
      <c r="AG344" s="42">
        <f t="shared" si="107"/>
        <v>1842.7752959199995</v>
      </c>
      <c r="AH344" s="42">
        <f t="shared" si="108"/>
        <v>1.0330500251819126</v>
      </c>
      <c r="AI344" s="57">
        <v>2</v>
      </c>
      <c r="AJ344" s="57">
        <v>4</v>
      </c>
      <c r="AK344" s="36">
        <v>6.46</v>
      </c>
      <c r="AL344" s="36">
        <v>23</v>
      </c>
      <c r="AM344" s="63">
        <v>6.5</v>
      </c>
      <c r="AN344" s="63">
        <v>5.6</v>
      </c>
      <c r="AO344" s="36">
        <v>7.0000000000000007E-2</v>
      </c>
      <c r="AP344" s="68">
        <v>0.28000000000000003</v>
      </c>
      <c r="AQ344" s="73">
        <f t="shared" si="109"/>
        <v>2131</v>
      </c>
      <c r="AR344" s="75">
        <f t="shared" si="110"/>
        <v>0.72501173158141718</v>
      </c>
      <c r="AS344" s="75">
        <f t="shared" si="111"/>
        <v>4.1295166588456125E-2</v>
      </c>
      <c r="AT344" s="75">
        <f t="shared" si="112"/>
        <v>0.2336931018301267</v>
      </c>
      <c r="AU344" s="26">
        <f t="shared" si="113"/>
        <v>6.3773250664304698E-2</v>
      </c>
      <c r="AV344" s="26">
        <f t="shared" si="114"/>
        <v>8.1488042515500445E-2</v>
      </c>
      <c r="AW344" s="24">
        <f t="shared" si="115"/>
        <v>0.92783505154639179</v>
      </c>
      <c r="AX344" s="24">
        <f t="shared" si="116"/>
        <v>0.95618556701030932</v>
      </c>
      <c r="AY344" s="77" t="str">
        <f t="shared" si="117"/>
        <v>2,5 ≤ Alc. Bruta &lt; 5,0 mg/L</v>
      </c>
      <c r="AZ344" s="77" t="str">
        <f t="shared" si="118"/>
        <v>15 ≤ Cor &lt; 30 uC</v>
      </c>
      <c r="BA344" s="78" t="str">
        <f t="shared" si="119"/>
        <v>2,5 ≤ Turb &lt; 5,0 uT</v>
      </c>
      <c r="BB344" s="79" t="str">
        <f t="shared" si="120"/>
        <v>TOR &gt; BNN &gt; SM</v>
      </c>
      <c r="BC344" s="78" t="str">
        <f t="shared" si="121"/>
        <v>Tipo 1 (≤0,25) uT</v>
      </c>
      <c r="BD344" s="78" t="str">
        <f t="shared" si="122"/>
        <v>Tipo 1 (≤0,25) uT</v>
      </c>
      <c r="BE344" s="78" t="str">
        <f t="shared" si="123"/>
        <v>Tipo 1 (≤0,25) uT</v>
      </c>
      <c r="BF344" s="78" t="str">
        <f t="shared" si="124"/>
        <v>Tipo 2 (0,25-0,50) uT</v>
      </c>
      <c r="BG344" s="78" t="str">
        <f t="shared" si="125"/>
        <v>Tipo 1 (≤0,25) uT</v>
      </c>
    </row>
    <row r="345" spans="1:59" x14ac:dyDescent="0.2">
      <c r="A345" s="21">
        <v>46162</v>
      </c>
      <c r="B345" s="48">
        <v>0.89583333333333337</v>
      </c>
      <c r="C345" s="57">
        <v>1480</v>
      </c>
      <c r="D345" s="57">
        <v>87</v>
      </c>
      <c r="E345" s="57">
        <v>499</v>
      </c>
      <c r="F345" s="57">
        <v>2261</v>
      </c>
      <c r="G345" s="10" t="s">
        <v>78</v>
      </c>
      <c r="H345" s="63">
        <v>7.3</v>
      </c>
      <c r="I345" s="57">
        <v>90</v>
      </c>
      <c r="J345" s="57">
        <v>90</v>
      </c>
      <c r="K345" s="57">
        <v>90</v>
      </c>
      <c r="L345" s="63">
        <v>24.3</v>
      </c>
      <c r="M345" s="63">
        <v>6.7</v>
      </c>
      <c r="N345" s="36">
        <v>3.23</v>
      </c>
      <c r="O345" s="57">
        <v>16</v>
      </c>
      <c r="P345" s="63">
        <v>5.8</v>
      </c>
      <c r="Q345" s="36">
        <v>0.08</v>
      </c>
      <c r="R345" s="36">
        <v>22.36</v>
      </c>
      <c r="S345" s="36">
        <v>0.88</v>
      </c>
      <c r="T345" s="36">
        <v>0.7</v>
      </c>
      <c r="U345" s="42">
        <f t="shared" si="103"/>
        <v>1602.4837499999999</v>
      </c>
      <c r="V345" s="36">
        <f t="shared" si="104"/>
        <v>1436.6105020800001</v>
      </c>
      <c r="W345" s="36">
        <f t="shared" si="105"/>
        <v>0.89648990330167166</v>
      </c>
      <c r="X345" s="57">
        <v>3</v>
      </c>
      <c r="Y345" s="57">
        <v>4</v>
      </c>
      <c r="Z345" s="63">
        <v>6.44</v>
      </c>
      <c r="AA345" s="57">
        <v>18</v>
      </c>
      <c r="AB345" s="63">
        <v>6.5</v>
      </c>
      <c r="AC345" s="63">
        <v>5.3</v>
      </c>
      <c r="AD345" s="10">
        <v>0.21</v>
      </c>
      <c r="AE345" s="36">
        <v>0.17</v>
      </c>
      <c r="AF345" s="42">
        <f t="shared" si="106"/>
        <v>1602.4837499999999</v>
      </c>
      <c r="AG345" s="42">
        <f t="shared" si="107"/>
        <v>1839.2221353999998</v>
      </c>
      <c r="AH345" s="42">
        <f t="shared" si="108"/>
        <v>1.1477321597800914</v>
      </c>
      <c r="AI345" s="57">
        <v>2</v>
      </c>
      <c r="AJ345" s="57">
        <v>4</v>
      </c>
      <c r="AK345" s="36">
        <v>6.45</v>
      </c>
      <c r="AL345" s="36">
        <v>23</v>
      </c>
      <c r="AM345" s="63">
        <v>6.5</v>
      </c>
      <c r="AN345" s="63">
        <v>5.5</v>
      </c>
      <c r="AO345" s="36">
        <v>0.13</v>
      </c>
      <c r="AP345" s="68">
        <v>0.2</v>
      </c>
      <c r="AQ345" s="73">
        <f t="shared" si="109"/>
        <v>2066</v>
      </c>
      <c r="AR345" s="75">
        <f t="shared" si="110"/>
        <v>0.7163601161665053</v>
      </c>
      <c r="AS345" s="75">
        <f t="shared" si="111"/>
        <v>4.211035818005808E-2</v>
      </c>
      <c r="AT345" s="75">
        <f t="shared" si="112"/>
        <v>0.24152952565343661</v>
      </c>
      <c r="AU345" s="26">
        <f t="shared" si="113"/>
        <v>6.3688633348076076E-2</v>
      </c>
      <c r="AV345" s="26">
        <f t="shared" si="114"/>
        <v>8.1379920389208313E-2</v>
      </c>
      <c r="AW345" s="24">
        <f t="shared" si="115"/>
        <v>0.9380804953560371</v>
      </c>
      <c r="AX345" s="24">
        <f t="shared" si="116"/>
        <v>0.94736842105263153</v>
      </c>
      <c r="AY345" s="77" t="str">
        <f t="shared" si="117"/>
        <v>5,0 ≤ Alc. Bruta &lt; 7,5 mg/L</v>
      </c>
      <c r="AZ345" s="77" t="str">
        <f t="shared" si="118"/>
        <v>15 ≤ Cor &lt; 30 uC</v>
      </c>
      <c r="BA345" s="78" t="str">
        <f t="shared" si="119"/>
        <v>2,5 ≤ Turb &lt; 5,0 uT</v>
      </c>
      <c r="BB345" s="79" t="str">
        <f t="shared" si="120"/>
        <v>TOR &gt; BNN &gt; SM</v>
      </c>
      <c r="BC345" s="78" t="str">
        <f t="shared" si="121"/>
        <v>Tipo 1 (≤0,25) uT</v>
      </c>
      <c r="BD345" s="78" t="str">
        <f t="shared" si="122"/>
        <v>Tipo 1 (≤0,25) uT</v>
      </c>
      <c r="BE345" s="78" t="str">
        <f t="shared" si="123"/>
        <v>Tipo 1 (≤0,25) uT</v>
      </c>
      <c r="BF345" s="78" t="str">
        <f t="shared" si="124"/>
        <v>Tipo 1 (≤0,25) uT</v>
      </c>
      <c r="BG345" s="78" t="str">
        <f t="shared" si="125"/>
        <v>Tipo 1 (≤0,25) uT</v>
      </c>
    </row>
    <row r="346" spans="1:59" x14ac:dyDescent="0.2">
      <c r="A346" s="21">
        <v>46163</v>
      </c>
      <c r="B346" s="48">
        <v>6.25E-2</v>
      </c>
      <c r="C346" s="57">
        <v>1555</v>
      </c>
      <c r="D346" s="57">
        <v>83</v>
      </c>
      <c r="E346" s="57">
        <v>500</v>
      </c>
      <c r="F346" s="57">
        <v>2251</v>
      </c>
      <c r="G346" s="10" t="s">
        <v>78</v>
      </c>
      <c r="H346" s="63">
        <v>7.3</v>
      </c>
      <c r="I346" s="57">
        <v>90</v>
      </c>
      <c r="J346" s="57">
        <v>90</v>
      </c>
      <c r="K346" s="57">
        <v>90</v>
      </c>
      <c r="L346" s="63">
        <v>24.2</v>
      </c>
      <c r="M346" s="63">
        <v>6.7</v>
      </c>
      <c r="N346" s="36">
        <v>3.57</v>
      </c>
      <c r="O346" s="57">
        <v>15</v>
      </c>
      <c r="P346" s="63">
        <v>4.5</v>
      </c>
      <c r="Q346" s="36">
        <v>7.0000000000000007E-2</v>
      </c>
      <c r="R346" s="36">
        <v>22.36</v>
      </c>
      <c r="S346" s="36">
        <v>0.88</v>
      </c>
      <c r="T346" s="36">
        <v>0.7</v>
      </c>
      <c r="U346" s="42">
        <f t="shared" si="103"/>
        <v>1691.06375</v>
      </c>
      <c r="V346" s="36">
        <f t="shared" si="104"/>
        <v>1447.7334393599999</v>
      </c>
      <c r="W346" s="36">
        <f t="shared" si="105"/>
        <v>0.85610813865532853</v>
      </c>
      <c r="X346" s="57">
        <v>3</v>
      </c>
      <c r="Y346" s="57">
        <v>4</v>
      </c>
      <c r="Z346" s="63">
        <v>6.48</v>
      </c>
      <c r="AA346" s="57">
        <v>18</v>
      </c>
      <c r="AB346" s="63">
        <v>6.5</v>
      </c>
      <c r="AC346" s="63">
        <v>5.2</v>
      </c>
      <c r="AD346" s="10">
        <v>0.22</v>
      </c>
      <c r="AE346" s="36">
        <v>0.15</v>
      </c>
      <c r="AF346" s="42">
        <f t="shared" si="106"/>
        <v>1691.06375</v>
      </c>
      <c r="AG346" s="42">
        <f t="shared" si="107"/>
        <v>1828.5626538399999</v>
      </c>
      <c r="AH346" s="42">
        <f t="shared" si="108"/>
        <v>1.0813091190914594</v>
      </c>
      <c r="AI346" s="57">
        <v>2</v>
      </c>
      <c r="AJ346" s="57">
        <v>4</v>
      </c>
      <c r="AK346" s="36">
        <v>6.42</v>
      </c>
      <c r="AL346" s="36">
        <v>23</v>
      </c>
      <c r="AM346" s="63">
        <v>6.4</v>
      </c>
      <c r="AN346" s="63">
        <v>5.3</v>
      </c>
      <c r="AO346" s="36">
        <v>0.1</v>
      </c>
      <c r="AP346" s="68">
        <v>0.26</v>
      </c>
      <c r="AQ346" s="73">
        <f t="shared" si="109"/>
        <v>2138</v>
      </c>
      <c r="AR346" s="75">
        <f t="shared" si="110"/>
        <v>0.72731524789522917</v>
      </c>
      <c r="AS346" s="75">
        <f t="shared" si="111"/>
        <v>3.8821328344246959E-2</v>
      </c>
      <c r="AT346" s="75">
        <f t="shared" si="112"/>
        <v>0.23386342376052385</v>
      </c>
      <c r="AU346" s="26">
        <f t="shared" si="113"/>
        <v>6.3971568191914699E-2</v>
      </c>
      <c r="AV346" s="26">
        <f t="shared" si="114"/>
        <v>8.1741448245224349E-2</v>
      </c>
      <c r="AW346" s="24">
        <f t="shared" si="115"/>
        <v>0.92717086834733897</v>
      </c>
      <c r="AX346" s="24">
        <f t="shared" si="116"/>
        <v>0.95798319327731096</v>
      </c>
      <c r="AY346" s="77" t="str">
        <f t="shared" si="117"/>
        <v>2,5 ≤ Alc. Bruta &lt; 5,0 mg/L</v>
      </c>
      <c r="AZ346" s="77" t="str">
        <f t="shared" si="118"/>
        <v>15 ≤ Cor &lt; 30 uC</v>
      </c>
      <c r="BA346" s="78" t="str">
        <f t="shared" si="119"/>
        <v>2,5 ≤ Turb &lt; 5,0 uT</v>
      </c>
      <c r="BB346" s="79" t="str">
        <f t="shared" si="120"/>
        <v>TOR &gt; BNN &gt; SM</v>
      </c>
      <c r="BC346" s="78" t="str">
        <f t="shared" si="121"/>
        <v>Tipo 1 (≤0,25) uT</v>
      </c>
      <c r="BD346" s="78" t="str">
        <f t="shared" si="122"/>
        <v>Tipo 1 (≤0,25) uT</v>
      </c>
      <c r="BE346" s="78" t="str">
        <f t="shared" si="123"/>
        <v>Tipo 1 (≤0,25) uT</v>
      </c>
      <c r="BF346" s="78" t="str">
        <f t="shared" si="124"/>
        <v>Tipo 2 (0,25-0,50) uT</v>
      </c>
      <c r="BG346" s="78" t="str">
        <f t="shared" si="125"/>
        <v>Tipo 1 (≤0,25) uT</v>
      </c>
    </row>
    <row r="347" spans="1:59" x14ac:dyDescent="0.2">
      <c r="A347" s="21">
        <v>46163</v>
      </c>
      <c r="B347" s="48">
        <v>0.14583333333333334</v>
      </c>
      <c r="C347" s="57">
        <v>1513</v>
      </c>
      <c r="D347" s="57">
        <v>79</v>
      </c>
      <c r="E347" s="57">
        <v>500</v>
      </c>
      <c r="F347" s="57">
        <v>2170</v>
      </c>
      <c r="G347" s="10" t="s">
        <v>78</v>
      </c>
      <c r="H347" s="63">
        <v>7.3</v>
      </c>
      <c r="I347" s="57">
        <v>90</v>
      </c>
      <c r="J347" s="57">
        <v>90</v>
      </c>
      <c r="K347" s="57">
        <v>90</v>
      </c>
      <c r="L347" s="63">
        <v>23.8</v>
      </c>
      <c r="M347" s="63">
        <v>6.8</v>
      </c>
      <c r="N347" s="36">
        <v>3.43</v>
      </c>
      <c r="O347" s="57">
        <v>18</v>
      </c>
      <c r="P347" s="63">
        <v>6.1</v>
      </c>
      <c r="Q347" s="36">
        <v>7.0000000000000007E-2</v>
      </c>
      <c r="R347" s="36">
        <v>22.36</v>
      </c>
      <c r="S347" s="36">
        <v>0.88</v>
      </c>
      <c r="T347" s="36">
        <v>0.7</v>
      </c>
      <c r="U347" s="42">
        <f t="shared" si="103"/>
        <v>1592.2375</v>
      </c>
      <c r="V347" s="36">
        <f t="shared" si="104"/>
        <v>1456.0756423199998</v>
      </c>
      <c r="W347" s="36">
        <f t="shared" si="105"/>
        <v>0.91448395250080461</v>
      </c>
      <c r="X347" s="57">
        <v>3</v>
      </c>
      <c r="Y347" s="57">
        <v>4</v>
      </c>
      <c r="Z347" s="63">
        <v>6.51</v>
      </c>
      <c r="AA347" s="57">
        <v>18</v>
      </c>
      <c r="AB347" s="63">
        <v>6.5</v>
      </c>
      <c r="AC347" s="63">
        <v>5.9</v>
      </c>
      <c r="AD347" s="10">
        <v>0.25</v>
      </c>
      <c r="AE347" s="36">
        <v>0.14000000000000001</v>
      </c>
      <c r="AF347" s="42">
        <f t="shared" si="106"/>
        <v>1592.2375</v>
      </c>
      <c r="AG347" s="42">
        <f t="shared" si="107"/>
        <v>1810.7968512399998</v>
      </c>
      <c r="AH347" s="42">
        <f t="shared" si="108"/>
        <v>1.1372655469049058</v>
      </c>
      <c r="AI347" s="57">
        <v>2</v>
      </c>
      <c r="AJ347" s="57">
        <v>4</v>
      </c>
      <c r="AK347" s="36">
        <v>6.37</v>
      </c>
      <c r="AL347" s="36">
        <v>23</v>
      </c>
      <c r="AM347" s="63">
        <v>6.5</v>
      </c>
      <c r="AN347" s="63">
        <v>4.7</v>
      </c>
      <c r="AO347" s="36">
        <v>0.09</v>
      </c>
      <c r="AP347" s="68">
        <v>0.23</v>
      </c>
      <c r="AQ347" s="73">
        <f t="shared" si="109"/>
        <v>2092</v>
      </c>
      <c r="AR347" s="75">
        <f t="shared" si="110"/>
        <v>0.72323135755258128</v>
      </c>
      <c r="AS347" s="75">
        <f t="shared" si="111"/>
        <v>3.7762906309751432E-2</v>
      </c>
      <c r="AT347" s="75">
        <f t="shared" si="112"/>
        <v>0.23900573613766729</v>
      </c>
      <c r="AU347" s="26">
        <f t="shared" si="113"/>
        <v>6.6359447004608302E-2</v>
      </c>
      <c r="AV347" s="26">
        <f t="shared" si="114"/>
        <v>8.4792626728110596E-2</v>
      </c>
      <c r="AW347" s="24">
        <f t="shared" si="115"/>
        <v>0.93294460641399413</v>
      </c>
      <c r="AX347" s="24">
        <f t="shared" si="116"/>
        <v>0.95918367346938771</v>
      </c>
      <c r="AY347" s="77" t="str">
        <f t="shared" si="117"/>
        <v>5,0 ≤ Alc. Bruta &lt; 7,5 mg/L</v>
      </c>
      <c r="AZ347" s="77" t="str">
        <f t="shared" si="118"/>
        <v>15 ≤ Cor &lt; 30 uC</v>
      </c>
      <c r="BA347" s="78" t="str">
        <f t="shared" si="119"/>
        <v>2,5 ≤ Turb &lt; 5,0 uT</v>
      </c>
      <c r="BB347" s="79" t="str">
        <f t="shared" si="120"/>
        <v>TOR &gt; BNN &gt; SM</v>
      </c>
      <c r="BC347" s="78" t="str">
        <f t="shared" si="121"/>
        <v>Tipo 1 (≤0,25) uT</v>
      </c>
      <c r="BD347" s="78" t="str">
        <f t="shared" si="122"/>
        <v>Tipo 1 (≤0,25) uT</v>
      </c>
      <c r="BE347" s="78" t="str">
        <f t="shared" si="123"/>
        <v>Tipo 1 (≤0,25) uT</v>
      </c>
      <c r="BF347" s="78" t="str">
        <f t="shared" si="124"/>
        <v>Tipo 1 (≤0,25) uT</v>
      </c>
      <c r="BG347" s="78" t="str">
        <f t="shared" si="125"/>
        <v>Tipo 1 (≤0,25) uT</v>
      </c>
    </row>
    <row r="348" spans="1:59" ht="15.75" thickBot="1" x14ac:dyDescent="0.25">
      <c r="A348" s="21">
        <v>46163</v>
      </c>
      <c r="B348" s="51">
        <v>0.22916666666666666</v>
      </c>
      <c r="C348" s="58">
        <v>1493</v>
      </c>
      <c r="D348" s="58">
        <v>88</v>
      </c>
      <c r="E348" s="58">
        <v>499</v>
      </c>
      <c r="F348" s="58">
        <v>2166</v>
      </c>
      <c r="G348" s="11" t="s">
        <v>78</v>
      </c>
      <c r="H348" s="64">
        <v>7.3</v>
      </c>
      <c r="I348" s="58">
        <v>90</v>
      </c>
      <c r="J348" s="58">
        <v>90</v>
      </c>
      <c r="K348" s="58">
        <v>90</v>
      </c>
      <c r="L348" s="64">
        <v>23.4</v>
      </c>
      <c r="M348" s="64">
        <v>6.8</v>
      </c>
      <c r="N348" s="37">
        <v>3.79</v>
      </c>
      <c r="O348" s="58">
        <v>18</v>
      </c>
      <c r="P348" s="64">
        <v>6.6</v>
      </c>
      <c r="Q348" s="37">
        <v>0.06</v>
      </c>
      <c r="R348" s="36">
        <v>22.36</v>
      </c>
      <c r="S348" s="36">
        <v>0.88</v>
      </c>
      <c r="T348" s="36">
        <v>0.7</v>
      </c>
      <c r="U348" s="42">
        <f t="shared" si="103"/>
        <v>1686.7725</v>
      </c>
      <c r="V348" s="36">
        <f t="shared" si="104"/>
        <v>1453.2949080000001</v>
      </c>
      <c r="W348" s="36">
        <f t="shared" si="105"/>
        <v>0.86158323543927828</v>
      </c>
      <c r="X348" s="58">
        <v>3</v>
      </c>
      <c r="Y348" s="58">
        <v>4</v>
      </c>
      <c r="Z348" s="64">
        <v>6.5</v>
      </c>
      <c r="AA348" s="58">
        <v>18</v>
      </c>
      <c r="AB348" s="64">
        <v>6.5</v>
      </c>
      <c r="AC348" s="64">
        <v>5</v>
      </c>
      <c r="AD348" s="11">
        <v>0.13</v>
      </c>
      <c r="AE348" s="37">
        <v>0.13</v>
      </c>
      <c r="AF348" s="42">
        <f t="shared" si="106"/>
        <v>1686.7725</v>
      </c>
      <c r="AG348" s="42">
        <f t="shared" si="107"/>
        <v>1975.9817089999999</v>
      </c>
      <c r="AH348" s="42">
        <f t="shared" si="108"/>
        <v>1.1714571520462895</v>
      </c>
      <c r="AI348" s="58">
        <v>2</v>
      </c>
      <c r="AJ348" s="58">
        <v>4</v>
      </c>
      <c r="AK348" s="37">
        <v>6.39</v>
      </c>
      <c r="AL348" s="37">
        <v>25</v>
      </c>
      <c r="AM348" s="64">
        <v>6.5</v>
      </c>
      <c r="AN348" s="64">
        <v>4.7</v>
      </c>
      <c r="AO348" s="37">
        <v>0.16</v>
      </c>
      <c r="AP348" s="69">
        <v>0.25</v>
      </c>
      <c r="AQ348" s="73">
        <f t="shared" si="109"/>
        <v>2080</v>
      </c>
      <c r="AR348" s="75">
        <f t="shared" si="110"/>
        <v>0.71778846153846154</v>
      </c>
      <c r="AS348" s="75">
        <f t="shared" si="111"/>
        <v>4.230769230769231E-2</v>
      </c>
      <c r="AT348" s="75">
        <f t="shared" si="112"/>
        <v>0.23990384615384616</v>
      </c>
      <c r="AU348" s="26">
        <f t="shared" si="113"/>
        <v>6.6481994459833799E-2</v>
      </c>
      <c r="AV348" s="26">
        <f t="shared" si="114"/>
        <v>9.2336103416435833E-2</v>
      </c>
      <c r="AW348" s="24">
        <f t="shared" si="115"/>
        <v>0.93403693931398413</v>
      </c>
      <c r="AX348" s="24">
        <f t="shared" si="116"/>
        <v>0.96569920844327173</v>
      </c>
      <c r="AY348" s="77" t="str">
        <f t="shared" si="117"/>
        <v>5,0 ≤ Alc. Bruta &lt; 7,5 mg/L</v>
      </c>
      <c r="AZ348" s="77" t="str">
        <f t="shared" si="118"/>
        <v>15 ≤ Cor &lt; 30 uC</v>
      </c>
      <c r="BA348" s="78" t="str">
        <f t="shared" si="119"/>
        <v>2,5 ≤ Turb &lt; 5,0 uT</v>
      </c>
      <c r="BB348" s="79" t="str">
        <f t="shared" si="120"/>
        <v>TOR &gt; BNN &gt; SM</v>
      </c>
      <c r="BC348" s="78" t="str">
        <f t="shared" si="121"/>
        <v>Tipo 1 (≤0,25) uT</v>
      </c>
      <c r="BD348" s="78" t="str">
        <f t="shared" si="122"/>
        <v>Tipo 1 (≤0,25) uT</v>
      </c>
      <c r="BE348" s="78" t="str">
        <f t="shared" si="123"/>
        <v>Tipo 1 (≤0,25) uT</v>
      </c>
      <c r="BF348" s="78" t="str">
        <f t="shared" si="124"/>
        <v>Tipo 1 (≤0,25) uT</v>
      </c>
      <c r="BG348" s="78" t="str">
        <f t="shared" si="125"/>
        <v>Tipo 1 (≤0,25) uT</v>
      </c>
    </row>
    <row r="349" spans="1:59" x14ac:dyDescent="0.2">
      <c r="A349" s="21">
        <v>46163</v>
      </c>
      <c r="B349" s="52">
        <v>0.3125</v>
      </c>
      <c r="C349" s="59">
        <v>1191</v>
      </c>
      <c r="D349" s="57">
        <v>87</v>
      </c>
      <c r="E349" s="59">
        <v>500</v>
      </c>
      <c r="F349" s="59">
        <v>1766</v>
      </c>
      <c r="G349" s="9" t="s">
        <v>78</v>
      </c>
      <c r="H349" s="65">
        <v>7.3</v>
      </c>
      <c r="I349" s="59">
        <v>90</v>
      </c>
      <c r="J349" s="59">
        <v>90</v>
      </c>
      <c r="K349" s="59">
        <v>90</v>
      </c>
      <c r="L349" s="65">
        <v>23.6</v>
      </c>
      <c r="M349" s="65">
        <v>6.8</v>
      </c>
      <c r="N349" s="38">
        <v>3.09</v>
      </c>
      <c r="O349" s="59">
        <v>15</v>
      </c>
      <c r="P349" s="65">
        <v>6.5</v>
      </c>
      <c r="Q349" s="38">
        <v>0.06</v>
      </c>
      <c r="R349" s="36">
        <v>22.36</v>
      </c>
      <c r="S349" s="36">
        <v>0.88</v>
      </c>
      <c r="T349" s="36">
        <v>0.7</v>
      </c>
      <c r="U349" s="42">
        <f t="shared" si="103"/>
        <v>1220.7474999999999</v>
      </c>
      <c r="V349" s="36">
        <f t="shared" si="104"/>
        <v>1413.002397066</v>
      </c>
      <c r="W349" s="36">
        <f t="shared" si="105"/>
        <v>1.1574894866186496</v>
      </c>
      <c r="X349" s="59">
        <v>2</v>
      </c>
      <c r="Y349" s="59">
        <v>4</v>
      </c>
      <c r="Z349" s="65">
        <v>6.45</v>
      </c>
      <c r="AA349" s="59">
        <v>17.670000000000002</v>
      </c>
      <c r="AB349" s="65">
        <v>6.5</v>
      </c>
      <c r="AC349" s="65">
        <v>6</v>
      </c>
      <c r="AD349" s="9">
        <v>0.16</v>
      </c>
      <c r="AE349" s="38">
        <v>0.13</v>
      </c>
      <c r="AF349" s="42">
        <f t="shared" si="106"/>
        <v>1627.663333333333</v>
      </c>
      <c r="AG349" s="42">
        <f t="shared" si="107"/>
        <v>1938.3801983519998</v>
      </c>
      <c r="AH349" s="42">
        <f t="shared" si="108"/>
        <v>1.1908975023614632</v>
      </c>
      <c r="AI349" s="59">
        <v>2</v>
      </c>
      <c r="AJ349" s="59">
        <v>3</v>
      </c>
      <c r="AK349" s="38">
        <v>6.45</v>
      </c>
      <c r="AL349" s="38">
        <v>24.24</v>
      </c>
      <c r="AM349" s="65">
        <v>6.4</v>
      </c>
      <c r="AN349" s="65">
        <v>5.9</v>
      </c>
      <c r="AO349" s="38">
        <v>0.21</v>
      </c>
      <c r="AP349" s="70">
        <v>0.22</v>
      </c>
      <c r="AQ349" s="73">
        <f t="shared" si="109"/>
        <v>1778</v>
      </c>
      <c r="AR349" s="75">
        <f t="shared" si="110"/>
        <v>0.66985376827896514</v>
      </c>
      <c r="AS349" s="75">
        <f t="shared" si="111"/>
        <v>4.8931383577052866E-2</v>
      </c>
      <c r="AT349" s="75">
        <f t="shared" si="112"/>
        <v>0.28121484814398201</v>
      </c>
      <c r="AU349" s="26">
        <f t="shared" si="113"/>
        <v>8.0045300113250284E-2</v>
      </c>
      <c r="AV349" s="26">
        <f t="shared" si="114"/>
        <v>8.2355605889014721E-2</v>
      </c>
      <c r="AW349" s="24">
        <f t="shared" si="115"/>
        <v>0.92880258899676371</v>
      </c>
      <c r="AX349" s="24">
        <f t="shared" si="116"/>
        <v>0.95792880258899671</v>
      </c>
      <c r="AY349" s="77" t="str">
        <f t="shared" si="117"/>
        <v>5,0 ≤ Alc. Bruta &lt; 7,5 mg/L</v>
      </c>
      <c r="AZ349" s="77" t="str">
        <f t="shared" si="118"/>
        <v>15 ≤ Cor &lt; 30 uC</v>
      </c>
      <c r="BA349" s="78" t="str">
        <f t="shared" si="119"/>
        <v>2,5 ≤ Turb &lt; 5,0 uT</v>
      </c>
      <c r="BB349" s="79" t="str">
        <f t="shared" si="120"/>
        <v>TOR &gt; BNN &gt; SM</v>
      </c>
      <c r="BC349" s="78" t="str">
        <f t="shared" si="121"/>
        <v>Tipo 1 (≤0,25) uT</v>
      </c>
      <c r="BD349" s="78" t="str">
        <f t="shared" si="122"/>
        <v>Tipo 1 (≤0,25) uT</v>
      </c>
      <c r="BE349" s="78" t="str">
        <f t="shared" si="123"/>
        <v>Tipo 1 (≤0,25) uT</v>
      </c>
      <c r="BF349" s="78" t="str">
        <f t="shared" si="124"/>
        <v>Tipo 1 (≤0,25) uT</v>
      </c>
      <c r="BG349" s="78" t="str">
        <f t="shared" si="125"/>
        <v>Tipo 1 (≤0,25) uT</v>
      </c>
    </row>
    <row r="350" spans="1:59" x14ac:dyDescent="0.2">
      <c r="A350" s="21">
        <v>46163</v>
      </c>
      <c r="B350" s="48">
        <v>0.39583333333333331</v>
      </c>
      <c r="C350" s="57">
        <v>1182</v>
      </c>
      <c r="D350" s="57">
        <v>80</v>
      </c>
      <c r="E350" s="57">
        <v>500</v>
      </c>
      <c r="F350" s="57">
        <v>1803</v>
      </c>
      <c r="G350" s="10" t="s">
        <v>78</v>
      </c>
      <c r="H350" s="63">
        <v>7.3</v>
      </c>
      <c r="I350" s="57">
        <v>90</v>
      </c>
      <c r="J350" s="57">
        <v>90</v>
      </c>
      <c r="K350" s="57">
        <v>90</v>
      </c>
      <c r="L350" s="63">
        <v>23.4</v>
      </c>
      <c r="M350" s="63">
        <v>6.8</v>
      </c>
      <c r="N350" s="36">
        <v>3.32</v>
      </c>
      <c r="O350" s="57">
        <v>14</v>
      </c>
      <c r="P350" s="63">
        <v>7.8</v>
      </c>
      <c r="Q350" s="36">
        <v>0.09</v>
      </c>
      <c r="R350" s="36">
        <v>22.36</v>
      </c>
      <c r="S350" s="36">
        <v>0.88</v>
      </c>
      <c r="T350" s="36">
        <v>0.7</v>
      </c>
      <c r="U350" s="42">
        <f t="shared" si="103"/>
        <v>1298.1599999999999</v>
      </c>
      <c r="V350" s="36">
        <f t="shared" si="104"/>
        <v>1421.8068516600001</v>
      </c>
      <c r="W350" s="36">
        <f t="shared" si="105"/>
        <v>1.0952477750508414</v>
      </c>
      <c r="X350" s="57">
        <v>2</v>
      </c>
      <c r="Y350" s="57">
        <v>4</v>
      </c>
      <c r="Z350" s="63">
        <v>6.5</v>
      </c>
      <c r="AA350" s="57">
        <v>17.61</v>
      </c>
      <c r="AB350" s="63">
        <v>6.9</v>
      </c>
      <c r="AC350" s="63">
        <v>8.1999999999999993</v>
      </c>
      <c r="AD350" s="10">
        <v>0.42</v>
      </c>
      <c r="AE350" s="36">
        <v>2.14</v>
      </c>
      <c r="AF350" s="42">
        <f t="shared" si="106"/>
        <v>1730.8799999999999</v>
      </c>
      <c r="AG350" s="42">
        <f t="shared" si="107"/>
        <v>1937.3176806671995</v>
      </c>
      <c r="AH350" s="42">
        <f t="shared" si="108"/>
        <v>1.1192674712673321</v>
      </c>
      <c r="AI350" s="57">
        <v>2</v>
      </c>
      <c r="AJ350" s="57">
        <v>3</v>
      </c>
      <c r="AK350" s="36">
        <v>6.46</v>
      </c>
      <c r="AL350" s="36">
        <v>24.18</v>
      </c>
      <c r="AM350" s="63">
        <v>6.8</v>
      </c>
      <c r="AN350" s="63">
        <v>8</v>
      </c>
      <c r="AO350" s="36">
        <v>0.24</v>
      </c>
      <c r="AP350" s="68">
        <v>0.26</v>
      </c>
      <c r="AQ350" s="73">
        <f t="shared" si="109"/>
        <v>1762</v>
      </c>
      <c r="AR350" s="75">
        <f t="shared" si="110"/>
        <v>0.6708286038592508</v>
      </c>
      <c r="AS350" s="75">
        <f t="shared" si="111"/>
        <v>4.5402951191827468E-2</v>
      </c>
      <c r="AT350" s="75">
        <f t="shared" si="112"/>
        <v>0.28376844494892167</v>
      </c>
      <c r="AU350" s="26">
        <f t="shared" si="113"/>
        <v>7.8136439267886854E-2</v>
      </c>
      <c r="AV350" s="26">
        <f t="shared" si="114"/>
        <v>8.0465890183028285E-2</v>
      </c>
      <c r="AW350" s="24">
        <f t="shared" si="115"/>
        <v>0.92168674698795183</v>
      </c>
      <c r="AX350" s="24">
        <f t="shared" si="116"/>
        <v>0.35542168674698793</v>
      </c>
      <c r="AY350" s="77" t="str">
        <f t="shared" si="117"/>
        <v>7,5 ≤ Alc. Bruta &lt; 10,0 mg/L</v>
      </c>
      <c r="AZ350" s="77" t="str">
        <f t="shared" si="118"/>
        <v>10 ≤ Cor &lt;15 uC</v>
      </c>
      <c r="BA350" s="78" t="str">
        <f t="shared" si="119"/>
        <v>2,5 ≤ Turb &lt; 5,0 uT</v>
      </c>
      <c r="BB350" s="79" t="str">
        <f t="shared" si="120"/>
        <v>TOR &gt; BNN &gt; SM</v>
      </c>
      <c r="BC350" s="78" t="str">
        <f t="shared" si="121"/>
        <v>Tipo 2 (0,25-0,50) uT</v>
      </c>
      <c r="BD350" s="78" t="str">
        <f t="shared" si="122"/>
        <v>Tipo 1 (≤0,25) uT</v>
      </c>
      <c r="BE350" s="78" t="str">
        <f t="shared" si="123"/>
        <v>Tipo 4 (&gt;0,75) uT</v>
      </c>
      <c r="BF350" s="78" t="str">
        <f t="shared" si="124"/>
        <v>Tipo 2 (0,25-0,50) uT</v>
      </c>
      <c r="BG350" s="78" t="str">
        <f t="shared" si="125"/>
        <v>Tipo 1 (≤0,25) uT</v>
      </c>
    </row>
    <row r="351" spans="1:59" x14ac:dyDescent="0.2">
      <c r="A351" s="21">
        <v>46163</v>
      </c>
      <c r="B351" s="48">
        <v>0.47916666666666669</v>
      </c>
      <c r="C351" s="57">
        <v>1214</v>
      </c>
      <c r="D351" s="57">
        <v>80</v>
      </c>
      <c r="E351" s="57">
        <v>500</v>
      </c>
      <c r="F351" s="57">
        <v>1727</v>
      </c>
      <c r="G351" s="10" t="s">
        <v>78</v>
      </c>
      <c r="H351" s="63">
        <v>7.5</v>
      </c>
      <c r="I351" s="57">
        <v>90</v>
      </c>
      <c r="J351" s="57">
        <v>90</v>
      </c>
      <c r="K351" s="57">
        <v>90</v>
      </c>
      <c r="L351" s="63">
        <v>24</v>
      </c>
      <c r="M351" s="63">
        <v>6.7</v>
      </c>
      <c r="N351" s="36">
        <v>3.05</v>
      </c>
      <c r="O351" s="57">
        <v>15</v>
      </c>
      <c r="P351" s="63">
        <v>7.4</v>
      </c>
      <c r="Q351" s="36">
        <v>0.09</v>
      </c>
      <c r="R351" s="36">
        <v>22.36</v>
      </c>
      <c r="S351" s="36">
        <v>0.88</v>
      </c>
      <c r="T351" s="36">
        <v>0.7</v>
      </c>
      <c r="U351" s="42">
        <f t="shared" si="103"/>
        <v>1198.10625</v>
      </c>
      <c r="V351" s="36">
        <f t="shared" si="104"/>
        <v>1419.6737512619998</v>
      </c>
      <c r="W351" s="36">
        <f t="shared" si="105"/>
        <v>1.1849314292968589</v>
      </c>
      <c r="X351" s="57">
        <v>2</v>
      </c>
      <c r="Y351" s="57">
        <v>4</v>
      </c>
      <c r="Z351" s="63">
        <v>6.51</v>
      </c>
      <c r="AA351" s="57">
        <v>17.55</v>
      </c>
      <c r="AB351" s="63">
        <v>6.7</v>
      </c>
      <c r="AC351" s="63">
        <v>6.4</v>
      </c>
      <c r="AD351" s="10">
        <v>0.15</v>
      </c>
      <c r="AE351" s="36">
        <v>0.19</v>
      </c>
      <c r="AF351" s="42">
        <f t="shared" si="106"/>
        <v>1597.4749999999999</v>
      </c>
      <c r="AG351" s="42">
        <f t="shared" si="107"/>
        <v>1958.7185815600003</v>
      </c>
      <c r="AH351" s="42">
        <f t="shared" si="108"/>
        <v>1.2261341063616022</v>
      </c>
      <c r="AI351" s="57">
        <v>2</v>
      </c>
      <c r="AJ351" s="57">
        <v>3</v>
      </c>
      <c r="AK351" s="36">
        <v>6.5</v>
      </c>
      <c r="AL351" s="36">
        <v>24.26</v>
      </c>
      <c r="AM351" s="63">
        <v>6.5</v>
      </c>
      <c r="AN351" s="63">
        <v>6.3</v>
      </c>
      <c r="AO351" s="36">
        <v>0.2</v>
      </c>
      <c r="AP351" s="68">
        <v>0.25</v>
      </c>
      <c r="AQ351" s="73">
        <f t="shared" si="109"/>
        <v>1794</v>
      </c>
      <c r="AR351" s="75">
        <f t="shared" si="110"/>
        <v>0.67670011148272013</v>
      </c>
      <c r="AS351" s="75">
        <f t="shared" si="111"/>
        <v>4.4593088071348944E-2</v>
      </c>
      <c r="AT351" s="75">
        <f t="shared" si="112"/>
        <v>0.27870680044593088</v>
      </c>
      <c r="AU351" s="26">
        <f t="shared" si="113"/>
        <v>8.1297046902142442E-2</v>
      </c>
      <c r="AV351" s="26">
        <f t="shared" si="114"/>
        <v>8.4284887087434868E-2</v>
      </c>
      <c r="AW351" s="24">
        <f t="shared" si="115"/>
        <v>0.91803278688524592</v>
      </c>
      <c r="AX351" s="24">
        <f t="shared" si="116"/>
        <v>0.93770491803278688</v>
      </c>
      <c r="AY351" s="77" t="str">
        <f t="shared" si="117"/>
        <v>5,0 ≤ Alc. Bruta &lt; 7,5 mg/L</v>
      </c>
      <c r="AZ351" s="77" t="str">
        <f t="shared" si="118"/>
        <v>15 ≤ Cor &lt; 30 uC</v>
      </c>
      <c r="BA351" s="78" t="str">
        <f t="shared" si="119"/>
        <v>2,5 ≤ Turb &lt; 5,0 uT</v>
      </c>
      <c r="BB351" s="79" t="str">
        <f t="shared" si="120"/>
        <v>TOR &gt; BNN &gt; SM</v>
      </c>
      <c r="BC351" s="78" t="str">
        <f t="shared" si="121"/>
        <v>Tipo 1 (≤0,25) uT</v>
      </c>
      <c r="BD351" s="78" t="str">
        <f t="shared" si="122"/>
        <v>Tipo 1 (≤0,25) uT</v>
      </c>
      <c r="BE351" s="78" t="str">
        <f t="shared" si="123"/>
        <v>Tipo 1 (≤0,25) uT</v>
      </c>
      <c r="BF351" s="78" t="str">
        <f t="shared" si="124"/>
        <v>Tipo 1 (≤0,25) uT</v>
      </c>
      <c r="BG351" s="78" t="str">
        <f t="shared" si="125"/>
        <v>Tipo 1 (≤0,25) uT</v>
      </c>
    </row>
    <row r="352" spans="1:59" x14ac:dyDescent="0.2">
      <c r="A352" s="21">
        <v>46163</v>
      </c>
      <c r="B352" s="48">
        <v>0.64583333333333337</v>
      </c>
      <c r="C352" s="57">
        <v>1191</v>
      </c>
      <c r="D352" s="57">
        <v>82</v>
      </c>
      <c r="E352" s="57">
        <v>500</v>
      </c>
      <c r="F352" s="57">
        <v>1775</v>
      </c>
      <c r="G352" s="10" t="s">
        <v>78</v>
      </c>
      <c r="H352" s="63">
        <v>7.5</v>
      </c>
      <c r="I352" s="57">
        <v>90</v>
      </c>
      <c r="J352" s="57">
        <v>90</v>
      </c>
      <c r="K352" s="57">
        <v>90</v>
      </c>
      <c r="L352" s="63">
        <v>25.5</v>
      </c>
      <c r="M352" s="63">
        <v>6.8</v>
      </c>
      <c r="N352" s="36">
        <v>2.85</v>
      </c>
      <c r="O352" s="57">
        <v>13</v>
      </c>
      <c r="P352" s="63">
        <v>8.1999999999999993</v>
      </c>
      <c r="Q352" s="36">
        <v>0.12</v>
      </c>
      <c r="R352" s="36">
        <v>22.36</v>
      </c>
      <c r="S352" s="36">
        <v>0.88</v>
      </c>
      <c r="T352" s="36">
        <v>0.7</v>
      </c>
      <c r="U352" s="42">
        <f t="shared" si="103"/>
        <v>1187.03125</v>
      </c>
      <c r="V352" s="36">
        <f t="shared" si="104"/>
        <v>1429.0733262000001</v>
      </c>
      <c r="W352" s="36">
        <f t="shared" si="105"/>
        <v>1.2039053952454917</v>
      </c>
      <c r="X352" s="57">
        <v>2</v>
      </c>
      <c r="Y352" s="57">
        <v>4</v>
      </c>
      <c r="Z352" s="63">
        <v>6.5</v>
      </c>
      <c r="AA352" s="57">
        <v>17.7</v>
      </c>
      <c r="AB352" s="63">
        <v>6.7</v>
      </c>
      <c r="AC352" s="63">
        <v>6</v>
      </c>
      <c r="AD352" s="10">
        <v>0.39</v>
      </c>
      <c r="AE352" s="36">
        <v>0.19</v>
      </c>
      <c r="AF352" s="42">
        <f t="shared" si="106"/>
        <v>1582.708333333333</v>
      </c>
      <c r="AG352" s="42">
        <f t="shared" si="107"/>
        <v>1940.2222947536</v>
      </c>
      <c r="AH352" s="42">
        <f t="shared" si="108"/>
        <v>1.2258874575249812</v>
      </c>
      <c r="AI352" s="57">
        <v>2</v>
      </c>
      <c r="AJ352" s="57">
        <v>3</v>
      </c>
      <c r="AK352" s="36">
        <v>6.44</v>
      </c>
      <c r="AL352" s="36">
        <v>24.31</v>
      </c>
      <c r="AM352" s="63">
        <v>6.6</v>
      </c>
      <c r="AN352" s="63">
        <v>6.8</v>
      </c>
      <c r="AO352" s="36">
        <v>0.2</v>
      </c>
      <c r="AP352" s="68">
        <v>0.33</v>
      </c>
      <c r="AQ352" s="73">
        <f t="shared" si="109"/>
        <v>1773</v>
      </c>
      <c r="AR352" s="75">
        <f t="shared" si="110"/>
        <v>0.67174280879864634</v>
      </c>
      <c r="AS352" s="75">
        <f t="shared" si="111"/>
        <v>4.6249294980259446E-2</v>
      </c>
      <c r="AT352" s="75">
        <f t="shared" si="112"/>
        <v>0.28200789622109418</v>
      </c>
      <c r="AU352" s="26">
        <f t="shared" si="113"/>
        <v>7.9774647887323941E-2</v>
      </c>
      <c r="AV352" s="26">
        <f t="shared" si="114"/>
        <v>8.217464788732394E-2</v>
      </c>
      <c r="AW352" s="24">
        <f t="shared" si="115"/>
        <v>0.88421052631578945</v>
      </c>
      <c r="AX352" s="24">
        <f t="shared" si="116"/>
        <v>0.93333333333333335</v>
      </c>
      <c r="AY352" s="77" t="str">
        <f t="shared" si="117"/>
        <v>7,5 ≤ Alc. Bruta &lt; 10,0 mg/L</v>
      </c>
      <c r="AZ352" s="77" t="str">
        <f t="shared" si="118"/>
        <v>10 ≤ Cor &lt;15 uC</v>
      </c>
      <c r="BA352" s="78" t="str">
        <f t="shared" si="119"/>
        <v>2,5 ≤ Turb &lt; 5,0 uT</v>
      </c>
      <c r="BB352" s="79" t="str">
        <f t="shared" si="120"/>
        <v>TOR &gt; BNN &gt; SM</v>
      </c>
      <c r="BC352" s="78" t="str">
        <f t="shared" si="121"/>
        <v>Tipo 2 (0,25-0,50) uT</v>
      </c>
      <c r="BD352" s="78" t="str">
        <f t="shared" si="122"/>
        <v>Tipo 1 (≤0,25) uT</v>
      </c>
      <c r="BE352" s="78" t="str">
        <f t="shared" si="123"/>
        <v>Tipo 1 (≤0,25) uT</v>
      </c>
      <c r="BF352" s="78" t="str">
        <f t="shared" si="124"/>
        <v>Tipo 2 (0,25-0,50) uT</v>
      </c>
      <c r="BG352" s="78" t="str">
        <f t="shared" si="125"/>
        <v>Tipo 1 (≤0,25) uT</v>
      </c>
    </row>
    <row r="353" spans="1:59" x14ac:dyDescent="0.2">
      <c r="A353" s="21">
        <v>46163</v>
      </c>
      <c r="B353" s="48">
        <v>0.72916666666666663</v>
      </c>
      <c r="C353" s="57">
        <v>1196</v>
      </c>
      <c r="D353" s="57">
        <v>83</v>
      </c>
      <c r="E353" s="57">
        <v>500</v>
      </c>
      <c r="F353" s="57">
        <v>1760</v>
      </c>
      <c r="G353" s="10" t="s">
        <v>78</v>
      </c>
      <c r="H353" s="63">
        <v>7.5</v>
      </c>
      <c r="I353" s="57">
        <v>90</v>
      </c>
      <c r="J353" s="57">
        <v>90</v>
      </c>
      <c r="K353" s="57">
        <v>90</v>
      </c>
      <c r="L353" s="63">
        <v>25</v>
      </c>
      <c r="M353" s="63">
        <v>6.8</v>
      </c>
      <c r="N353" s="36">
        <v>2.99</v>
      </c>
      <c r="O353" s="57">
        <v>13</v>
      </c>
      <c r="P353" s="63">
        <v>8.1</v>
      </c>
      <c r="Q353" s="36">
        <v>0.09</v>
      </c>
      <c r="R353" s="36">
        <v>22.36</v>
      </c>
      <c r="S353" s="36">
        <v>0.88</v>
      </c>
      <c r="T353" s="36">
        <v>0.7</v>
      </c>
      <c r="U353" s="42">
        <f t="shared" si="103"/>
        <v>1207.8</v>
      </c>
      <c r="V353" s="36">
        <f t="shared" si="104"/>
        <v>1424.7272550367998</v>
      </c>
      <c r="W353" s="36">
        <f t="shared" si="105"/>
        <v>1.1796052782222222</v>
      </c>
      <c r="X353" s="57">
        <v>2</v>
      </c>
      <c r="Y353" s="57">
        <v>4</v>
      </c>
      <c r="Z353" s="63">
        <v>6.49</v>
      </c>
      <c r="AA353" s="57">
        <v>17.68</v>
      </c>
      <c r="AB353" s="63">
        <v>6.7</v>
      </c>
      <c r="AC353" s="63">
        <v>6.1</v>
      </c>
      <c r="AD353" s="10">
        <v>0.39</v>
      </c>
      <c r="AE353" s="36">
        <v>0.17</v>
      </c>
      <c r="AF353" s="42">
        <f t="shared" si="106"/>
        <v>1610.3999999999999</v>
      </c>
      <c r="AG353" s="42">
        <f t="shared" si="107"/>
        <v>1946.1309538215994</v>
      </c>
      <c r="AH353" s="42">
        <f t="shared" si="108"/>
        <v>1.2084767472811722</v>
      </c>
      <c r="AI353" s="57">
        <v>2</v>
      </c>
      <c r="AJ353" s="57">
        <v>3</v>
      </c>
      <c r="AK353" s="36">
        <v>6.46</v>
      </c>
      <c r="AL353" s="36">
        <v>24.29</v>
      </c>
      <c r="AM353" s="63">
        <v>6.6</v>
      </c>
      <c r="AN353" s="63">
        <v>5.5</v>
      </c>
      <c r="AO353" s="36">
        <v>0.25</v>
      </c>
      <c r="AP353" s="68">
        <v>0.28000000000000003</v>
      </c>
      <c r="AQ353" s="73">
        <f t="shared" si="109"/>
        <v>1779</v>
      </c>
      <c r="AR353" s="75">
        <f t="shared" si="110"/>
        <v>0.67228780213603145</v>
      </c>
      <c r="AS353" s="75">
        <f t="shared" si="111"/>
        <v>4.6655424395727937E-2</v>
      </c>
      <c r="AT353" s="75">
        <f t="shared" si="112"/>
        <v>0.28105677346824059</v>
      </c>
      <c r="AU353" s="26">
        <f t="shared" si="113"/>
        <v>8.0363636363636359E-2</v>
      </c>
      <c r="AV353" s="26">
        <f t="shared" si="114"/>
        <v>8.280681818181819E-2</v>
      </c>
      <c r="AW353" s="24">
        <f t="shared" si="115"/>
        <v>0.90635451505016718</v>
      </c>
      <c r="AX353" s="24">
        <f t="shared" si="116"/>
        <v>0.94314381270903014</v>
      </c>
      <c r="AY353" s="77" t="str">
        <f t="shared" si="117"/>
        <v>7,5 ≤ Alc. Bruta &lt; 10,0 mg/L</v>
      </c>
      <c r="AZ353" s="77" t="str">
        <f t="shared" si="118"/>
        <v>10 ≤ Cor &lt;15 uC</v>
      </c>
      <c r="BA353" s="78" t="str">
        <f t="shared" si="119"/>
        <v>2,5 ≤ Turb &lt; 5,0 uT</v>
      </c>
      <c r="BB353" s="79" t="str">
        <f t="shared" si="120"/>
        <v>TOR &gt; BNN &gt; SM</v>
      </c>
      <c r="BC353" s="78" t="str">
        <f t="shared" si="121"/>
        <v>Tipo 2 (0,25-0,50) uT</v>
      </c>
      <c r="BD353" s="78" t="str">
        <f t="shared" si="122"/>
        <v>Tipo 1 (≤0,25) uT</v>
      </c>
      <c r="BE353" s="78" t="str">
        <f t="shared" si="123"/>
        <v>Tipo 1 (≤0,25) uT</v>
      </c>
      <c r="BF353" s="78" t="str">
        <f t="shared" si="124"/>
        <v>Tipo 2 (0,25-0,50) uT</v>
      </c>
      <c r="BG353" s="78" t="str">
        <f t="shared" si="125"/>
        <v>Tipo 1 (≤0,25) uT</v>
      </c>
    </row>
    <row r="354" spans="1:59" x14ac:dyDescent="0.2">
      <c r="A354" s="21">
        <v>46163</v>
      </c>
      <c r="B354" s="48">
        <v>0.8125</v>
      </c>
      <c r="C354" s="57">
        <v>1176</v>
      </c>
      <c r="D354" s="57">
        <v>82</v>
      </c>
      <c r="E354" s="57">
        <v>500</v>
      </c>
      <c r="F354" s="57">
        <v>1956</v>
      </c>
      <c r="G354" s="10" t="s">
        <v>78</v>
      </c>
      <c r="H354" s="63">
        <v>7.5</v>
      </c>
      <c r="I354" s="57">
        <v>90</v>
      </c>
      <c r="J354" s="57">
        <v>90</v>
      </c>
      <c r="K354" s="57">
        <v>90</v>
      </c>
      <c r="L354" s="63">
        <v>23.5</v>
      </c>
      <c r="M354" s="63">
        <v>6.9</v>
      </c>
      <c r="N354" s="36">
        <v>2.89</v>
      </c>
      <c r="O354" s="57">
        <v>11</v>
      </c>
      <c r="P354" s="63">
        <v>5.5</v>
      </c>
      <c r="Q354" s="36">
        <v>7.0000000000000007E-2</v>
      </c>
      <c r="R354" s="36">
        <v>22.36</v>
      </c>
      <c r="S354" s="36">
        <v>0.88</v>
      </c>
      <c r="T354" s="36">
        <v>0.7</v>
      </c>
      <c r="U354" s="42">
        <f t="shared" si="103"/>
        <v>1317.8550000000002</v>
      </c>
      <c r="V354" s="36">
        <f t="shared" si="104"/>
        <v>1372.556302</v>
      </c>
      <c r="W354" s="36">
        <f t="shared" si="105"/>
        <v>1.0415078305276375</v>
      </c>
      <c r="X354" s="57">
        <v>2</v>
      </c>
      <c r="Y354" s="57">
        <v>4</v>
      </c>
      <c r="Z354" s="63">
        <v>6.5</v>
      </c>
      <c r="AA354" s="57">
        <v>17</v>
      </c>
      <c r="AB354" s="63">
        <v>6.6</v>
      </c>
      <c r="AC354" s="63">
        <v>4.7</v>
      </c>
      <c r="AD354" s="10">
        <v>0.26</v>
      </c>
      <c r="AE354" s="36">
        <v>0.14000000000000001</v>
      </c>
      <c r="AF354" s="42">
        <f t="shared" si="106"/>
        <v>1757.14</v>
      </c>
      <c r="AG354" s="42">
        <f t="shared" si="107"/>
        <v>1930.3112524799999</v>
      </c>
      <c r="AH354" s="42">
        <f t="shared" si="108"/>
        <v>1.0985529055624479</v>
      </c>
      <c r="AI354" s="57">
        <v>2</v>
      </c>
      <c r="AJ354" s="57">
        <v>3</v>
      </c>
      <c r="AK354" s="36">
        <v>6.48</v>
      </c>
      <c r="AL354" s="36">
        <v>24</v>
      </c>
      <c r="AM354" s="63">
        <v>6.5</v>
      </c>
      <c r="AN354" s="63">
        <v>4.5999999999999996</v>
      </c>
      <c r="AO354" s="36">
        <v>0.28000000000000003</v>
      </c>
      <c r="AP354" s="68">
        <v>0.22</v>
      </c>
      <c r="AQ354" s="73">
        <f t="shared" si="109"/>
        <v>1758</v>
      </c>
      <c r="AR354" s="75">
        <f t="shared" si="110"/>
        <v>0.66894197952218426</v>
      </c>
      <c r="AS354" s="75">
        <f t="shared" si="111"/>
        <v>4.6643913538111488E-2</v>
      </c>
      <c r="AT354" s="75">
        <f t="shared" si="112"/>
        <v>0.2844141069397042</v>
      </c>
      <c r="AU354" s="26">
        <f t="shared" si="113"/>
        <v>6.9529652351738247E-2</v>
      </c>
      <c r="AV354" s="26">
        <f t="shared" si="114"/>
        <v>7.3619631901840496E-2</v>
      </c>
      <c r="AW354" s="24">
        <f t="shared" si="115"/>
        <v>0.9238754325259515</v>
      </c>
      <c r="AX354" s="24">
        <f t="shared" si="116"/>
        <v>0.95155709342560557</v>
      </c>
      <c r="AY354" s="77" t="str">
        <f t="shared" si="117"/>
        <v>5,0 ≤ Alc. Bruta &lt; 7,5 mg/L</v>
      </c>
      <c r="AZ354" s="77" t="str">
        <f t="shared" si="118"/>
        <v>10 ≤ Cor &lt;15 uC</v>
      </c>
      <c r="BA354" s="78" t="str">
        <f t="shared" si="119"/>
        <v>2,5 ≤ Turb &lt; 5,0 uT</v>
      </c>
      <c r="BB354" s="79" t="str">
        <f t="shared" si="120"/>
        <v>TOR &gt; BNN &gt; SM</v>
      </c>
      <c r="BC354" s="78" t="str">
        <f t="shared" si="121"/>
        <v>Tipo 2 (0,25-0,50) uT</v>
      </c>
      <c r="BD354" s="78" t="str">
        <f t="shared" si="122"/>
        <v>Tipo 2 (0,25-0,50) uT</v>
      </c>
      <c r="BE354" s="78" t="str">
        <f t="shared" si="123"/>
        <v>Tipo 1 (≤0,25) uT</v>
      </c>
      <c r="BF354" s="78" t="str">
        <f t="shared" si="124"/>
        <v>Tipo 1 (≤0,25) uT</v>
      </c>
      <c r="BG354" s="78" t="str">
        <f t="shared" si="125"/>
        <v>Tipo 1 (≤0,25) uT</v>
      </c>
    </row>
    <row r="355" spans="1:59" x14ac:dyDescent="0.2">
      <c r="A355" s="21">
        <v>46163</v>
      </c>
      <c r="B355" s="48">
        <v>0.89583333333333337</v>
      </c>
      <c r="C355" s="57">
        <v>1605</v>
      </c>
      <c r="D355" s="57">
        <v>86</v>
      </c>
      <c r="E355" s="57">
        <v>499</v>
      </c>
      <c r="F355" s="57">
        <v>2307</v>
      </c>
      <c r="G355" s="10" t="s">
        <v>78</v>
      </c>
      <c r="H355" s="63">
        <v>7.5</v>
      </c>
      <c r="I355" s="57">
        <v>90</v>
      </c>
      <c r="J355" s="57">
        <v>90</v>
      </c>
      <c r="K355" s="57">
        <v>90</v>
      </c>
      <c r="L355" s="63">
        <v>24.3</v>
      </c>
      <c r="M355" s="63">
        <v>6.9</v>
      </c>
      <c r="N355" s="36">
        <v>2.52</v>
      </c>
      <c r="O355" s="57">
        <v>12</v>
      </c>
      <c r="P355" s="63">
        <v>6</v>
      </c>
      <c r="Q355" s="36">
        <v>7.0000000000000007E-2</v>
      </c>
      <c r="R355" s="36">
        <v>22.36</v>
      </c>
      <c r="S355" s="36">
        <v>0.88</v>
      </c>
      <c r="T355" s="36">
        <v>0.7</v>
      </c>
      <c r="U355" s="42">
        <f t="shared" si="103"/>
        <v>1447.6424999999999</v>
      </c>
      <c r="V355" s="36">
        <f t="shared" si="104"/>
        <v>1444.9527050400002</v>
      </c>
      <c r="W355" s="36">
        <f t="shared" si="105"/>
        <v>0.99814194805692724</v>
      </c>
      <c r="X355" s="57">
        <v>3</v>
      </c>
      <c r="Y355" s="57">
        <v>4</v>
      </c>
      <c r="Z355" s="63">
        <v>6.47</v>
      </c>
      <c r="AA355" s="57">
        <v>18</v>
      </c>
      <c r="AB355" s="63">
        <v>6.7</v>
      </c>
      <c r="AC355" s="63">
        <v>4.9000000000000004</v>
      </c>
      <c r="AD355" s="10">
        <v>0.15</v>
      </c>
      <c r="AE355" s="36">
        <v>0.14000000000000001</v>
      </c>
      <c r="AF355" s="42">
        <f t="shared" si="106"/>
        <v>1447.6424999999999</v>
      </c>
      <c r="AG355" s="42">
        <f t="shared" si="107"/>
        <v>1849.8816169599997</v>
      </c>
      <c r="AH355" s="42">
        <f t="shared" si="108"/>
        <v>1.2778580464168465</v>
      </c>
      <c r="AI355" s="57">
        <v>2</v>
      </c>
      <c r="AJ355" s="57">
        <v>4</v>
      </c>
      <c r="AK355" s="36">
        <v>6.48</v>
      </c>
      <c r="AL355" s="36">
        <v>23</v>
      </c>
      <c r="AM355" s="63">
        <v>6.7</v>
      </c>
      <c r="AN355" s="63">
        <v>4.8</v>
      </c>
      <c r="AO355" s="36">
        <v>0.16</v>
      </c>
      <c r="AP355" s="68">
        <v>0.26</v>
      </c>
      <c r="AQ355" s="73">
        <f t="shared" si="109"/>
        <v>2190</v>
      </c>
      <c r="AR355" s="75">
        <f t="shared" si="110"/>
        <v>0.73287671232876717</v>
      </c>
      <c r="AS355" s="75">
        <f t="shared" si="111"/>
        <v>3.9269406392694065E-2</v>
      </c>
      <c r="AT355" s="75">
        <f t="shared" si="112"/>
        <v>0.22785388127853881</v>
      </c>
      <c r="AU355" s="26">
        <f t="shared" si="113"/>
        <v>6.2418725617685307E-2</v>
      </c>
      <c r="AV355" s="26">
        <f t="shared" si="114"/>
        <v>7.975726051148678E-2</v>
      </c>
      <c r="AW355" s="24">
        <f t="shared" si="115"/>
        <v>0.89682539682539686</v>
      </c>
      <c r="AX355" s="24">
        <f t="shared" si="116"/>
        <v>0.94444444444444442</v>
      </c>
      <c r="AY355" s="77" t="str">
        <f t="shared" si="117"/>
        <v>5,0 ≤ Alc. Bruta &lt; 7,5 mg/L</v>
      </c>
      <c r="AZ355" s="77" t="str">
        <f t="shared" si="118"/>
        <v>10 ≤ Cor &lt;15 uC</v>
      </c>
      <c r="BA355" s="78" t="str">
        <f t="shared" si="119"/>
        <v>2,5 ≤ Turb &lt; 5,0 uT</v>
      </c>
      <c r="BB355" s="79" t="str">
        <f t="shared" si="120"/>
        <v>TOR &gt; BNN &gt; SM</v>
      </c>
      <c r="BC355" s="78" t="str">
        <f t="shared" si="121"/>
        <v>Tipo 1 (≤0,25) uT</v>
      </c>
      <c r="BD355" s="78" t="str">
        <f t="shared" si="122"/>
        <v>Tipo 1 (≤0,25) uT</v>
      </c>
      <c r="BE355" s="78" t="str">
        <f t="shared" si="123"/>
        <v>Tipo 1 (≤0,25) uT</v>
      </c>
      <c r="BF355" s="78" t="str">
        <f t="shared" si="124"/>
        <v>Tipo 2 (0,25-0,50) uT</v>
      </c>
      <c r="BG355" s="78" t="str">
        <f t="shared" si="125"/>
        <v>Tipo 1 (≤0,25) uT</v>
      </c>
    </row>
    <row r="356" spans="1:59" x14ac:dyDescent="0.2">
      <c r="A356" s="21">
        <v>46163</v>
      </c>
      <c r="B356" s="48">
        <v>0.97916666666666663</v>
      </c>
      <c r="C356" s="57">
        <v>1507</v>
      </c>
      <c r="D356" s="57">
        <v>79</v>
      </c>
      <c r="E356" s="57">
        <v>499</v>
      </c>
      <c r="F356" s="57">
        <v>2386</v>
      </c>
      <c r="G356" s="10" t="s">
        <v>78</v>
      </c>
      <c r="H356" s="63">
        <v>7.5</v>
      </c>
      <c r="I356" s="57">
        <v>90</v>
      </c>
      <c r="J356" s="57">
        <v>90</v>
      </c>
      <c r="K356" s="57">
        <v>90</v>
      </c>
      <c r="L356" s="63">
        <v>22.6</v>
      </c>
      <c r="M356" s="63">
        <v>6.7</v>
      </c>
      <c r="N356" s="36">
        <v>3.66</v>
      </c>
      <c r="O356" s="57">
        <v>18</v>
      </c>
      <c r="P356" s="63">
        <v>5.8</v>
      </c>
      <c r="Q356" s="36">
        <v>0.09</v>
      </c>
      <c r="R356" s="36">
        <v>22.36</v>
      </c>
      <c r="S356" s="36">
        <v>0.88</v>
      </c>
      <c r="T356" s="36">
        <v>0.7</v>
      </c>
      <c r="U356" s="42">
        <f t="shared" ref="U356:U419" si="126">(N356+0.3*H356+0.25)*(F356/2/Y356)</f>
        <v>1469.7760000000001</v>
      </c>
      <c r="V356" s="36">
        <f t="shared" ref="V356:V419" si="127">R356*(T356*Z356*0.987-S356)*AA356</f>
        <v>1444.9527050400002</v>
      </c>
      <c r="W356" s="36">
        <f t="shared" ref="W356:W419" si="128">V356/U356</f>
        <v>0.98311083120148923</v>
      </c>
      <c r="X356" s="57">
        <v>3</v>
      </c>
      <c r="Y356" s="57">
        <v>5</v>
      </c>
      <c r="Z356" s="63">
        <v>6.47</v>
      </c>
      <c r="AA356" s="57">
        <v>18</v>
      </c>
      <c r="AB356" s="63">
        <v>6.6</v>
      </c>
      <c r="AC356" s="63">
        <v>4.4000000000000004</v>
      </c>
      <c r="AD356" s="10">
        <v>0.28999999999999998</v>
      </c>
      <c r="AE356" s="36">
        <v>0.17</v>
      </c>
      <c r="AF356" s="42">
        <f t="shared" si="106"/>
        <v>1837.22</v>
      </c>
      <c r="AG356" s="42">
        <f t="shared" si="107"/>
        <v>1766.0533061600001</v>
      </c>
      <c r="AH356" s="42">
        <f t="shared" si="108"/>
        <v>0.9612639238414562</v>
      </c>
      <c r="AI356" s="57">
        <v>2</v>
      </c>
      <c r="AJ356" s="57">
        <v>4</v>
      </c>
      <c r="AK356" s="36">
        <v>6.47</v>
      </c>
      <c r="AL356" s="36">
        <v>22</v>
      </c>
      <c r="AM356" s="63">
        <v>6.4</v>
      </c>
      <c r="AN356" s="63">
        <v>4.5999999999999996</v>
      </c>
      <c r="AO356" s="36">
        <v>0.21</v>
      </c>
      <c r="AP356" s="68">
        <v>0.25</v>
      </c>
      <c r="AQ356" s="73">
        <f t="shared" si="109"/>
        <v>2085</v>
      </c>
      <c r="AR356" s="75">
        <f t="shared" si="110"/>
        <v>0.72278177458033577</v>
      </c>
      <c r="AS356" s="75">
        <f t="shared" si="111"/>
        <v>3.7889688249400477E-2</v>
      </c>
      <c r="AT356" s="75">
        <f t="shared" si="112"/>
        <v>0.23932853717026378</v>
      </c>
      <c r="AU356" s="26">
        <f t="shared" si="113"/>
        <v>7.5440067057837387E-2</v>
      </c>
      <c r="AV356" s="26">
        <f t="shared" si="114"/>
        <v>7.376362112321877E-2</v>
      </c>
      <c r="AW356" s="24">
        <f t="shared" si="115"/>
        <v>0.93169398907103829</v>
      </c>
      <c r="AX356" s="24">
        <f t="shared" si="116"/>
        <v>0.95355191256830596</v>
      </c>
      <c r="AY356" s="77" t="str">
        <f t="shared" si="117"/>
        <v>5,0 ≤ Alc. Bruta &lt; 7,5 mg/L</v>
      </c>
      <c r="AZ356" s="77" t="str">
        <f t="shared" si="118"/>
        <v>15 ≤ Cor &lt; 30 uC</v>
      </c>
      <c r="BA356" s="78" t="str">
        <f t="shared" si="119"/>
        <v>2,5 ≤ Turb &lt; 5,0 uT</v>
      </c>
      <c r="BB356" s="79" t="str">
        <f t="shared" si="120"/>
        <v>TOR &gt; BNN &gt; SM</v>
      </c>
      <c r="BC356" s="78" t="str">
        <f t="shared" si="121"/>
        <v>Tipo 2 (0,25-0,50) uT</v>
      </c>
      <c r="BD356" s="78" t="str">
        <f t="shared" si="122"/>
        <v>Tipo 1 (≤0,25) uT</v>
      </c>
      <c r="BE356" s="78" t="str">
        <f t="shared" si="123"/>
        <v>Tipo 1 (≤0,25) uT</v>
      </c>
      <c r="BF356" s="78" t="str">
        <f t="shared" si="124"/>
        <v>Tipo 1 (≤0,25) uT</v>
      </c>
      <c r="BG356" s="78" t="str">
        <f t="shared" si="125"/>
        <v>Tipo 1 (≤0,25) uT</v>
      </c>
    </row>
    <row r="357" spans="1:59" x14ac:dyDescent="0.2">
      <c r="A357" s="21">
        <v>46164</v>
      </c>
      <c r="B357" s="48">
        <v>0.14583333333333334</v>
      </c>
      <c r="C357" s="57">
        <v>1552</v>
      </c>
      <c r="D357" s="57">
        <v>81</v>
      </c>
      <c r="E357" s="57">
        <v>499</v>
      </c>
      <c r="F357" s="57">
        <v>2351</v>
      </c>
      <c r="G357" s="10" t="s">
        <v>78</v>
      </c>
      <c r="H357" s="63">
        <v>7.5</v>
      </c>
      <c r="I357" s="57">
        <v>90</v>
      </c>
      <c r="J357" s="57">
        <v>90</v>
      </c>
      <c r="K357" s="57">
        <v>90</v>
      </c>
      <c r="L357" s="63">
        <v>23.4</v>
      </c>
      <c r="M357" s="63">
        <v>6.7</v>
      </c>
      <c r="N357" s="36">
        <v>2.9</v>
      </c>
      <c r="O357" s="57">
        <v>16</v>
      </c>
      <c r="P357" s="63">
        <v>5.6</v>
      </c>
      <c r="Q357" s="36">
        <v>7.0000000000000007E-2</v>
      </c>
      <c r="R357" s="36">
        <v>22.36</v>
      </c>
      <c r="S357" s="36">
        <v>0.88</v>
      </c>
      <c r="T357" s="36">
        <v>0.7</v>
      </c>
      <c r="U357" s="42">
        <f t="shared" si="126"/>
        <v>1586.9250000000002</v>
      </c>
      <c r="V357" s="36">
        <f t="shared" si="127"/>
        <v>1453.2949080000001</v>
      </c>
      <c r="W357" s="36">
        <f t="shared" si="128"/>
        <v>0.91579306394442073</v>
      </c>
      <c r="X357" s="57">
        <v>3</v>
      </c>
      <c r="Y357" s="57">
        <v>4</v>
      </c>
      <c r="Z357" s="63">
        <v>6.5</v>
      </c>
      <c r="AA357" s="57">
        <v>18</v>
      </c>
      <c r="AB357" s="63">
        <v>6.4</v>
      </c>
      <c r="AC357" s="63">
        <v>4.5999999999999996</v>
      </c>
      <c r="AD357" s="10">
        <v>0.17</v>
      </c>
      <c r="AE357" s="36">
        <v>0.14000000000000001</v>
      </c>
      <c r="AF357" s="42">
        <f t="shared" ref="AF357:AF420" si="129">(N357+0.3*H357+0.25)*(F357/2/AJ357)</f>
        <v>1586.9250000000002</v>
      </c>
      <c r="AG357" s="42">
        <f t="shared" ref="AG357:AG420" si="130">R357*(T357*AK357*0.987-S357)*AL357</f>
        <v>1817.9031722799998</v>
      </c>
      <c r="AH357" s="42">
        <f t="shared" ref="AH357:AH420" si="131">AG357/AF357</f>
        <v>1.1455507804590637</v>
      </c>
      <c r="AI357" s="57">
        <v>2</v>
      </c>
      <c r="AJ357" s="57">
        <v>4</v>
      </c>
      <c r="AK357" s="36">
        <v>6.39</v>
      </c>
      <c r="AL357" s="36">
        <v>23</v>
      </c>
      <c r="AM357" s="63">
        <v>6.5</v>
      </c>
      <c r="AN357" s="63">
        <v>4.9000000000000004</v>
      </c>
      <c r="AO357" s="36">
        <v>0.26</v>
      </c>
      <c r="AP357" s="68">
        <v>0.23</v>
      </c>
      <c r="AQ357" s="73">
        <f t="shared" si="109"/>
        <v>2132</v>
      </c>
      <c r="AR357" s="75">
        <f t="shared" si="110"/>
        <v>0.72795497185741087</v>
      </c>
      <c r="AS357" s="75">
        <f t="shared" si="111"/>
        <v>3.7992495309568483E-2</v>
      </c>
      <c r="AT357" s="75">
        <f t="shared" si="112"/>
        <v>0.23405253283302063</v>
      </c>
      <c r="AU357" s="26">
        <f t="shared" si="113"/>
        <v>6.1250531688643133E-2</v>
      </c>
      <c r="AV357" s="26">
        <f t="shared" si="114"/>
        <v>7.8264568268821777E-2</v>
      </c>
      <c r="AW357" s="24">
        <f t="shared" si="115"/>
        <v>0.92068965517241375</v>
      </c>
      <c r="AX357" s="24">
        <f t="shared" si="116"/>
        <v>0.9517241379310345</v>
      </c>
      <c r="AY357" s="77" t="str">
        <f t="shared" si="117"/>
        <v>5,0 ≤ Alc. Bruta &lt; 7,5 mg/L</v>
      </c>
      <c r="AZ357" s="77" t="str">
        <f t="shared" si="118"/>
        <v>15 ≤ Cor &lt; 30 uC</v>
      </c>
      <c r="BA357" s="78" t="str">
        <f t="shared" si="119"/>
        <v>2,5 ≤ Turb &lt; 5,0 uT</v>
      </c>
      <c r="BB357" s="79" t="str">
        <f t="shared" si="120"/>
        <v>TOR &gt; BNN &gt; SM</v>
      </c>
      <c r="BC357" s="78" t="str">
        <f t="shared" si="121"/>
        <v>Tipo 1 (≤0,25) uT</v>
      </c>
      <c r="BD357" s="78" t="str">
        <f t="shared" si="122"/>
        <v>Tipo 2 (0,25-0,50) uT</v>
      </c>
      <c r="BE357" s="78" t="str">
        <f t="shared" si="123"/>
        <v>Tipo 1 (≤0,25) uT</v>
      </c>
      <c r="BF357" s="78" t="str">
        <f t="shared" si="124"/>
        <v>Tipo 1 (≤0,25) uT</v>
      </c>
      <c r="BG357" s="78" t="str">
        <f t="shared" si="125"/>
        <v>Tipo 1 (≤0,25) uT</v>
      </c>
    </row>
    <row r="358" spans="1:59" ht="15.75" thickBot="1" x14ac:dyDescent="0.25">
      <c r="A358" s="21">
        <v>46164</v>
      </c>
      <c r="B358" s="51">
        <v>0.22916666666666666</v>
      </c>
      <c r="C358" s="58">
        <v>1811</v>
      </c>
      <c r="D358" s="58">
        <v>88</v>
      </c>
      <c r="E358" s="58">
        <v>0</v>
      </c>
      <c r="F358" s="58">
        <v>1911</v>
      </c>
      <c r="G358" s="11" t="s">
        <v>78</v>
      </c>
      <c r="H358" s="64">
        <v>7.5</v>
      </c>
      <c r="I358" s="58">
        <v>90</v>
      </c>
      <c r="J358" s="58">
        <v>90</v>
      </c>
      <c r="K358" s="58">
        <v>90</v>
      </c>
      <c r="L358" s="64">
        <v>23.5</v>
      </c>
      <c r="M358" s="64">
        <v>6.6</v>
      </c>
      <c r="N358" s="37">
        <v>3.56</v>
      </c>
      <c r="O358" s="58">
        <v>17</v>
      </c>
      <c r="P358" s="64">
        <v>4</v>
      </c>
      <c r="Q358" s="37">
        <v>7.0000000000000007E-2</v>
      </c>
      <c r="R358" s="36">
        <v>22.36</v>
      </c>
      <c r="S358" s="36">
        <v>0.88</v>
      </c>
      <c r="T358" s="36">
        <v>0.7</v>
      </c>
      <c r="U358" s="42">
        <f t="shared" si="126"/>
        <v>1447.5825000000002</v>
      </c>
      <c r="V358" s="36">
        <f t="shared" si="127"/>
        <v>1447.7334393599999</v>
      </c>
      <c r="W358" s="36">
        <f t="shared" si="128"/>
        <v>1.0001042699535259</v>
      </c>
      <c r="X358" s="58">
        <v>2</v>
      </c>
      <c r="Y358" s="58">
        <v>4</v>
      </c>
      <c r="Z358" s="64">
        <v>6.48</v>
      </c>
      <c r="AA358" s="58">
        <v>18</v>
      </c>
      <c r="AB358" s="64">
        <v>6.2</v>
      </c>
      <c r="AC358" s="64">
        <v>3.6</v>
      </c>
      <c r="AD358" s="11">
        <v>0.22</v>
      </c>
      <c r="AE358" s="37">
        <v>0.14000000000000001</v>
      </c>
      <c r="AF358" s="42">
        <f t="shared" si="129"/>
        <v>1930.1100000000001</v>
      </c>
      <c r="AG358" s="42">
        <f t="shared" si="130"/>
        <v>1825.0094933200003</v>
      </c>
      <c r="AH358" s="42">
        <f t="shared" si="131"/>
        <v>0.94554688246783869</v>
      </c>
      <c r="AI358" s="58">
        <v>2</v>
      </c>
      <c r="AJ358" s="58">
        <v>3</v>
      </c>
      <c r="AK358" s="37">
        <v>6.41</v>
      </c>
      <c r="AL358" s="37">
        <v>23</v>
      </c>
      <c r="AM358" s="64">
        <v>5.9</v>
      </c>
      <c r="AN358" s="64">
        <v>2.1</v>
      </c>
      <c r="AO358" s="37">
        <v>0.32</v>
      </c>
      <c r="AP358" s="69">
        <v>0.24</v>
      </c>
      <c r="AQ358" s="73">
        <f t="shared" si="109"/>
        <v>1899</v>
      </c>
      <c r="AR358" s="75">
        <f t="shared" si="110"/>
        <v>0.95365982095839918</v>
      </c>
      <c r="AS358" s="75">
        <f t="shared" si="111"/>
        <v>4.6340179041600843E-2</v>
      </c>
      <c r="AT358" s="75">
        <f t="shared" si="112"/>
        <v>0</v>
      </c>
      <c r="AU358" s="26">
        <f t="shared" si="113"/>
        <v>7.5353218210361061E-2</v>
      </c>
      <c r="AV358" s="26">
        <f t="shared" si="114"/>
        <v>7.2213500784929358E-2</v>
      </c>
      <c r="AW358" s="24">
        <f t="shared" si="115"/>
        <v>0.93258426966292141</v>
      </c>
      <c r="AX358" s="24">
        <f t="shared" si="116"/>
        <v>0.9606741573033708</v>
      </c>
      <c r="AY358" s="77" t="str">
        <f t="shared" si="117"/>
        <v>2,5 ≤ Alc. Bruta &lt; 5,0 mg/L</v>
      </c>
      <c r="AZ358" s="77" t="str">
        <f t="shared" si="118"/>
        <v>15 ≤ Cor &lt; 30 uC</v>
      </c>
      <c r="BA358" s="78" t="str">
        <f t="shared" si="119"/>
        <v>2,5 ≤ Turb &lt; 5,0 uT</v>
      </c>
      <c r="BB358" s="79" t="str">
        <f t="shared" si="120"/>
        <v>TOR &gt; SM &gt; BNN</v>
      </c>
      <c r="BC358" s="78" t="str">
        <f t="shared" si="121"/>
        <v>Tipo 1 (≤0,25) uT</v>
      </c>
      <c r="BD358" s="78" t="str">
        <f t="shared" si="122"/>
        <v>Tipo 2 (0,25-0,50) uT</v>
      </c>
      <c r="BE358" s="78" t="str">
        <f t="shared" si="123"/>
        <v>Tipo 1 (≤0,25) uT</v>
      </c>
      <c r="BF358" s="78" t="str">
        <f t="shared" si="124"/>
        <v>Tipo 1 (≤0,25) uT</v>
      </c>
      <c r="BG358" s="78" t="str">
        <f t="shared" si="125"/>
        <v>Tipo 1 (≤0,25) uT</v>
      </c>
    </row>
    <row r="359" spans="1:59" x14ac:dyDescent="0.2">
      <c r="A359" s="21">
        <v>46164</v>
      </c>
      <c r="B359" s="52">
        <v>0.3125</v>
      </c>
      <c r="C359" s="59">
        <v>1540</v>
      </c>
      <c r="D359" s="57">
        <v>87</v>
      </c>
      <c r="E359" s="59">
        <v>0</v>
      </c>
      <c r="F359" s="59">
        <v>1867</v>
      </c>
      <c r="G359" s="9" t="s">
        <v>78</v>
      </c>
      <c r="H359" s="65">
        <v>7.5</v>
      </c>
      <c r="I359" s="59">
        <v>90</v>
      </c>
      <c r="J359" s="59">
        <v>90</v>
      </c>
      <c r="K359" s="59">
        <v>90</v>
      </c>
      <c r="L359" s="65">
        <v>23.3</v>
      </c>
      <c r="M359" s="65">
        <v>6.4</v>
      </c>
      <c r="N359" s="38">
        <v>2.81</v>
      </c>
      <c r="O359" s="59">
        <v>14</v>
      </c>
      <c r="P359" s="65">
        <v>2.7</v>
      </c>
      <c r="Q359" s="38">
        <v>0.06</v>
      </c>
      <c r="R359" s="36">
        <v>22.36</v>
      </c>
      <c r="S359" s="36">
        <v>0.88</v>
      </c>
      <c r="T359" s="36">
        <v>0.7</v>
      </c>
      <c r="U359" s="42">
        <f t="shared" si="126"/>
        <v>1239.2212500000001</v>
      </c>
      <c r="V359" s="36">
        <f t="shared" si="127"/>
        <v>1395.8678181604</v>
      </c>
      <c r="W359" s="36">
        <f t="shared" si="128"/>
        <v>1.1264072643689735</v>
      </c>
      <c r="X359" s="59">
        <v>2</v>
      </c>
      <c r="Y359" s="59">
        <v>4</v>
      </c>
      <c r="Z359" s="65">
        <v>6.33</v>
      </c>
      <c r="AA359" s="59">
        <v>17.87</v>
      </c>
      <c r="AB359" s="65">
        <v>6</v>
      </c>
      <c r="AC359" s="65">
        <v>2.2000000000000002</v>
      </c>
      <c r="AD359" s="9">
        <v>0.26</v>
      </c>
      <c r="AE359" s="38">
        <v>0.1</v>
      </c>
      <c r="AF359" s="42">
        <f t="shared" si="129"/>
        <v>1652.2950000000003</v>
      </c>
      <c r="AG359" s="42">
        <f t="shared" si="130"/>
        <v>1929.6526833999999</v>
      </c>
      <c r="AH359" s="42">
        <f t="shared" si="131"/>
        <v>1.1678620847972061</v>
      </c>
      <c r="AI359" s="59">
        <v>2</v>
      </c>
      <c r="AJ359" s="59">
        <v>3</v>
      </c>
      <c r="AK359" s="38">
        <v>6.5</v>
      </c>
      <c r="AL359" s="38">
        <v>23.9</v>
      </c>
      <c r="AM359" s="65">
        <v>6.9</v>
      </c>
      <c r="AN359" s="65">
        <v>2.5</v>
      </c>
      <c r="AO359" s="38">
        <v>0.23</v>
      </c>
      <c r="AP359" s="70">
        <v>0.25</v>
      </c>
      <c r="AQ359" s="73">
        <f t="shared" si="109"/>
        <v>1627</v>
      </c>
      <c r="AR359" s="75">
        <f t="shared" si="110"/>
        <v>0.9465273509526736</v>
      </c>
      <c r="AS359" s="75">
        <f t="shared" si="111"/>
        <v>5.3472649047326369E-2</v>
      </c>
      <c r="AT359" s="75">
        <f t="shared" si="112"/>
        <v>0</v>
      </c>
      <c r="AU359" s="26">
        <f t="shared" si="113"/>
        <v>7.6572040707016606E-2</v>
      </c>
      <c r="AV359" s="26">
        <f t="shared" si="114"/>
        <v>7.6807712908409209E-2</v>
      </c>
      <c r="AW359" s="24">
        <f t="shared" si="115"/>
        <v>0.91103202846975084</v>
      </c>
      <c r="AX359" s="24">
        <f t="shared" si="116"/>
        <v>0.96441281138790036</v>
      </c>
      <c r="AY359" s="77" t="str">
        <f t="shared" si="117"/>
        <v>2,5 ≤ Alc. Bruta &lt; 5,0 mg/L</v>
      </c>
      <c r="AZ359" s="77" t="str">
        <f t="shared" si="118"/>
        <v>10 ≤ Cor &lt;15 uC</v>
      </c>
      <c r="BA359" s="78" t="str">
        <f t="shared" si="119"/>
        <v>2,5 ≤ Turb &lt; 5,0 uT</v>
      </c>
      <c r="BB359" s="79" t="str">
        <f t="shared" si="120"/>
        <v>TOR &gt; SM &gt; BNN</v>
      </c>
      <c r="BC359" s="78" t="str">
        <f t="shared" si="121"/>
        <v>Tipo 2 (0,25-0,50) uT</v>
      </c>
      <c r="BD359" s="78" t="str">
        <f t="shared" si="122"/>
        <v>Tipo 1 (≤0,25) uT</v>
      </c>
      <c r="BE359" s="78" t="str">
        <f t="shared" si="123"/>
        <v>Tipo 1 (≤0,25) uT</v>
      </c>
      <c r="BF359" s="78" t="str">
        <f t="shared" si="124"/>
        <v>Tipo 1 (≤0,25) uT</v>
      </c>
      <c r="BG359" s="78" t="str">
        <f t="shared" si="125"/>
        <v>Tipo 1 (≤0,25) uT</v>
      </c>
    </row>
    <row r="360" spans="1:59" x14ac:dyDescent="0.2">
      <c r="A360" s="21">
        <v>46164</v>
      </c>
      <c r="B360" s="48">
        <v>0.39583333333333331</v>
      </c>
      <c r="C360" s="57">
        <v>1650</v>
      </c>
      <c r="D360" s="57">
        <v>80</v>
      </c>
      <c r="E360" s="57">
        <v>0</v>
      </c>
      <c r="F360" s="57">
        <v>1849</v>
      </c>
      <c r="G360" s="10" t="s">
        <v>78</v>
      </c>
      <c r="H360" s="63">
        <v>7.5</v>
      </c>
      <c r="I360" s="57">
        <v>90</v>
      </c>
      <c r="J360" s="57">
        <v>90</v>
      </c>
      <c r="K360" s="57">
        <v>90</v>
      </c>
      <c r="L360" s="63">
        <v>23</v>
      </c>
      <c r="M360" s="63">
        <v>6.5</v>
      </c>
      <c r="N360" s="36">
        <v>2.88</v>
      </c>
      <c r="O360" s="57">
        <v>14</v>
      </c>
      <c r="P360" s="63">
        <v>3.4</v>
      </c>
      <c r="Q360" s="36">
        <v>0.06</v>
      </c>
      <c r="R360" s="36">
        <v>22.36</v>
      </c>
      <c r="S360" s="36">
        <v>0.88</v>
      </c>
      <c r="T360" s="36">
        <v>0.7</v>
      </c>
      <c r="U360" s="42">
        <f t="shared" si="126"/>
        <v>1243.4524999999999</v>
      </c>
      <c r="V360" s="36">
        <f t="shared" si="127"/>
        <v>1421.5038902063998</v>
      </c>
      <c r="W360" s="36">
        <f t="shared" si="128"/>
        <v>1.1431911473951759</v>
      </c>
      <c r="X360" s="57">
        <v>2</v>
      </c>
      <c r="Y360" s="57">
        <v>4</v>
      </c>
      <c r="Z360" s="63">
        <v>6.49</v>
      </c>
      <c r="AA360" s="57">
        <v>17.64</v>
      </c>
      <c r="AB360" s="63">
        <v>5.8</v>
      </c>
      <c r="AC360" s="63">
        <v>2</v>
      </c>
      <c r="AD360" s="10">
        <v>0.16</v>
      </c>
      <c r="AE360" s="36">
        <v>0.1</v>
      </c>
      <c r="AF360" s="42">
        <f t="shared" si="129"/>
        <v>1657.9366666666667</v>
      </c>
      <c r="AG360" s="42">
        <f t="shared" si="130"/>
        <v>1859.6201697216</v>
      </c>
      <c r="AH360" s="42">
        <f t="shared" si="131"/>
        <v>1.1216472903397596</v>
      </c>
      <c r="AI360" s="57">
        <v>2</v>
      </c>
      <c r="AJ360" s="57">
        <v>3</v>
      </c>
      <c r="AK360" s="36">
        <v>6.34</v>
      </c>
      <c r="AL360" s="36">
        <v>23.76</v>
      </c>
      <c r="AM360" s="63">
        <v>5.7</v>
      </c>
      <c r="AN360" s="63">
        <v>1.9</v>
      </c>
      <c r="AO360" s="36">
        <v>0.14000000000000001</v>
      </c>
      <c r="AP360" s="68">
        <v>0.3</v>
      </c>
      <c r="AQ360" s="73">
        <f t="shared" si="109"/>
        <v>1730</v>
      </c>
      <c r="AR360" s="75">
        <f t="shared" si="110"/>
        <v>0.95375722543352603</v>
      </c>
      <c r="AS360" s="75">
        <f t="shared" si="111"/>
        <v>4.6242774566473986E-2</v>
      </c>
      <c r="AT360" s="75">
        <f t="shared" si="112"/>
        <v>0</v>
      </c>
      <c r="AU360" s="26">
        <f t="shared" si="113"/>
        <v>7.6322336398052998E-2</v>
      </c>
      <c r="AV360" s="26">
        <f t="shared" si="114"/>
        <v>7.7101135749053543E-2</v>
      </c>
      <c r="AW360" s="24">
        <f t="shared" si="115"/>
        <v>0.89583333333333337</v>
      </c>
      <c r="AX360" s="24">
        <f t="shared" si="116"/>
        <v>0.96527777777777779</v>
      </c>
      <c r="AY360" s="77" t="str">
        <f t="shared" si="117"/>
        <v>2,5 ≤ Alc. Bruta &lt; 5,0 mg/L</v>
      </c>
      <c r="AZ360" s="77" t="str">
        <f t="shared" si="118"/>
        <v>10 ≤ Cor &lt;15 uC</v>
      </c>
      <c r="BA360" s="78" t="str">
        <f t="shared" si="119"/>
        <v>2,5 ≤ Turb &lt; 5,0 uT</v>
      </c>
      <c r="BB360" s="79" t="str">
        <f t="shared" si="120"/>
        <v>TOR &gt; SM &gt; BNN</v>
      </c>
      <c r="BC360" s="78" t="str">
        <f t="shared" si="121"/>
        <v>Tipo 1 (≤0,25) uT</v>
      </c>
      <c r="BD360" s="78" t="str">
        <f t="shared" si="122"/>
        <v>Tipo 1 (≤0,25) uT</v>
      </c>
      <c r="BE360" s="78" t="str">
        <f t="shared" si="123"/>
        <v>Tipo 1 (≤0,25) uT</v>
      </c>
      <c r="BF360" s="78" t="str">
        <f t="shared" si="124"/>
        <v>Tipo 2 (0,25-0,50) uT</v>
      </c>
      <c r="BG360" s="78" t="str">
        <f t="shared" si="125"/>
        <v>Tipo 1 (≤0,25) uT</v>
      </c>
    </row>
    <row r="361" spans="1:59" x14ac:dyDescent="0.2">
      <c r="A361" s="21">
        <v>46164</v>
      </c>
      <c r="B361" s="48">
        <v>0.47916666666666669</v>
      </c>
      <c r="C361" s="57">
        <v>1627</v>
      </c>
      <c r="D361" s="57">
        <v>82</v>
      </c>
      <c r="E361" s="57">
        <v>520</v>
      </c>
      <c r="F361" s="57">
        <v>2227</v>
      </c>
      <c r="G361" s="10" t="s">
        <v>78</v>
      </c>
      <c r="H361" s="63">
        <v>7.5</v>
      </c>
      <c r="I361" s="57">
        <v>90</v>
      </c>
      <c r="J361" s="57">
        <v>90</v>
      </c>
      <c r="K361" s="57">
        <v>90</v>
      </c>
      <c r="L361" s="63">
        <v>23.8</v>
      </c>
      <c r="M361" s="63">
        <v>6.7</v>
      </c>
      <c r="N361" s="36">
        <v>2.87</v>
      </c>
      <c r="O361" s="57">
        <v>14</v>
      </c>
      <c r="P361" s="63">
        <v>4.5</v>
      </c>
      <c r="Q361" s="36">
        <v>0.06</v>
      </c>
      <c r="R361" s="36">
        <v>22.36</v>
      </c>
      <c r="S361" s="36">
        <v>0.88</v>
      </c>
      <c r="T361" s="36">
        <v>0.7</v>
      </c>
      <c r="U361" s="42">
        <f t="shared" si="126"/>
        <v>1494.87375</v>
      </c>
      <c r="V361" s="36">
        <f t="shared" si="127"/>
        <v>1535.1275004779998</v>
      </c>
      <c r="W361" s="36">
        <f t="shared" si="128"/>
        <v>1.0269278596122247</v>
      </c>
      <c r="X361" s="57">
        <v>3</v>
      </c>
      <c r="Y361" s="57">
        <v>4</v>
      </c>
      <c r="Z361" s="63">
        <v>6.49</v>
      </c>
      <c r="AA361" s="57">
        <v>19.05</v>
      </c>
      <c r="AB361" s="63">
        <v>5.3</v>
      </c>
      <c r="AC361" s="63">
        <v>2.1</v>
      </c>
      <c r="AD361" s="10">
        <v>0.22</v>
      </c>
      <c r="AE361" s="36">
        <v>0.1</v>
      </c>
      <c r="AF361" s="42">
        <f t="shared" si="129"/>
        <v>1494.87375</v>
      </c>
      <c r="AG361" s="42">
        <f t="shared" si="130"/>
        <v>1770.1745332127996</v>
      </c>
      <c r="AH361" s="42">
        <f t="shared" si="131"/>
        <v>1.1841632333250882</v>
      </c>
      <c r="AI361" s="57">
        <v>3</v>
      </c>
      <c r="AJ361" s="57">
        <v>4</v>
      </c>
      <c r="AK361" s="36">
        <v>6.38</v>
      </c>
      <c r="AL361" s="36">
        <v>22.44</v>
      </c>
      <c r="AM361" s="63">
        <v>5.8</v>
      </c>
      <c r="AN361" s="63">
        <v>2</v>
      </c>
      <c r="AO361" s="36">
        <v>0.15</v>
      </c>
      <c r="AP361" s="68">
        <v>0.32</v>
      </c>
      <c r="AQ361" s="73">
        <f t="shared" si="109"/>
        <v>2229</v>
      </c>
      <c r="AR361" s="75">
        <f t="shared" si="110"/>
        <v>0.72992373261552268</v>
      </c>
      <c r="AS361" s="75">
        <f t="shared" si="111"/>
        <v>3.6787797218483624E-2</v>
      </c>
      <c r="AT361" s="75">
        <f t="shared" si="112"/>
        <v>0.23328847016599372</v>
      </c>
      <c r="AU361" s="26">
        <f t="shared" si="113"/>
        <v>6.8432869330938478E-2</v>
      </c>
      <c r="AV361" s="26">
        <f t="shared" si="114"/>
        <v>8.0610687022900765E-2</v>
      </c>
      <c r="AW361" s="24">
        <f t="shared" si="115"/>
        <v>0.88850174216027877</v>
      </c>
      <c r="AX361" s="24">
        <f t="shared" si="116"/>
        <v>0.96515679442508706</v>
      </c>
      <c r="AY361" s="77" t="str">
        <f t="shared" si="117"/>
        <v>2,5 ≤ Alc. Bruta &lt; 5,0 mg/L</v>
      </c>
      <c r="AZ361" s="77" t="str">
        <f t="shared" si="118"/>
        <v>10 ≤ Cor &lt;15 uC</v>
      </c>
      <c r="BA361" s="78" t="str">
        <f t="shared" si="119"/>
        <v>2,5 ≤ Turb &lt; 5,0 uT</v>
      </c>
      <c r="BB361" s="79" t="str">
        <f t="shared" si="120"/>
        <v>TOR &gt; BNN &gt; SM</v>
      </c>
      <c r="BC361" s="78" t="str">
        <f t="shared" si="121"/>
        <v>Tipo 1 (≤0,25) uT</v>
      </c>
      <c r="BD361" s="78" t="str">
        <f t="shared" si="122"/>
        <v>Tipo 1 (≤0,25) uT</v>
      </c>
      <c r="BE361" s="78" t="str">
        <f t="shared" si="123"/>
        <v>Tipo 1 (≤0,25) uT</v>
      </c>
      <c r="BF361" s="78" t="str">
        <f t="shared" si="124"/>
        <v>Tipo 2 (0,25-0,50) uT</v>
      </c>
      <c r="BG361" s="78" t="str">
        <f t="shared" si="125"/>
        <v>Tipo 1 (≤0,25) uT</v>
      </c>
    </row>
    <row r="362" spans="1:59" x14ac:dyDescent="0.2">
      <c r="A362" s="21">
        <v>46164</v>
      </c>
      <c r="B362" s="48">
        <v>0.64583333333333337</v>
      </c>
      <c r="C362" s="57">
        <v>1575</v>
      </c>
      <c r="D362" s="57">
        <v>84</v>
      </c>
      <c r="E362" s="57">
        <v>524</v>
      </c>
      <c r="F362" s="57">
        <v>2244</v>
      </c>
      <c r="G362" s="10" t="s">
        <v>78</v>
      </c>
      <c r="H362" s="63">
        <v>7.5</v>
      </c>
      <c r="I362" s="57">
        <v>90</v>
      </c>
      <c r="J362" s="57">
        <v>90</v>
      </c>
      <c r="K362" s="57">
        <v>90</v>
      </c>
      <c r="L362" s="63">
        <v>24.4</v>
      </c>
      <c r="M362" s="63">
        <v>7</v>
      </c>
      <c r="N362" s="36">
        <v>2.83</v>
      </c>
      <c r="O362" s="57">
        <v>13</v>
      </c>
      <c r="P362" s="63">
        <v>6</v>
      </c>
      <c r="Q362" s="36">
        <v>7.0000000000000007E-2</v>
      </c>
      <c r="R362" s="36">
        <v>22.36</v>
      </c>
      <c r="S362" s="36">
        <v>0.88</v>
      </c>
      <c r="T362" s="36">
        <v>0.7</v>
      </c>
      <c r="U362" s="42">
        <f t="shared" si="126"/>
        <v>1495.0650000000001</v>
      </c>
      <c r="V362" s="36">
        <f t="shared" si="127"/>
        <v>1406.7308566636</v>
      </c>
      <c r="W362" s="36">
        <f t="shared" si="128"/>
        <v>0.94091618535889743</v>
      </c>
      <c r="X362" s="57">
        <v>3</v>
      </c>
      <c r="Y362" s="57">
        <v>4</v>
      </c>
      <c r="Z362" s="63">
        <v>6.51</v>
      </c>
      <c r="AA362" s="57">
        <v>17.39</v>
      </c>
      <c r="AB362" s="63">
        <v>6.5</v>
      </c>
      <c r="AC362" s="63">
        <v>4.7</v>
      </c>
      <c r="AD362" s="10">
        <v>0.3</v>
      </c>
      <c r="AE362" s="36">
        <v>0.17</v>
      </c>
      <c r="AF362" s="42">
        <f t="shared" si="129"/>
        <v>1495.0650000000001</v>
      </c>
      <c r="AG362" s="42">
        <f t="shared" si="130"/>
        <v>1646.9490329344001</v>
      </c>
      <c r="AH362" s="42">
        <f t="shared" si="131"/>
        <v>1.1015902538915698</v>
      </c>
      <c r="AI362" s="57">
        <v>3</v>
      </c>
      <c r="AJ362" s="57">
        <v>4</v>
      </c>
      <c r="AK362" s="36">
        <v>6.36</v>
      </c>
      <c r="AL362" s="36">
        <v>20.96</v>
      </c>
      <c r="AM362" s="63">
        <v>6.5</v>
      </c>
      <c r="AN362" s="63">
        <v>4.5</v>
      </c>
      <c r="AO362" s="36">
        <v>0.2</v>
      </c>
      <c r="AP362" s="68">
        <v>0.21</v>
      </c>
      <c r="AQ362" s="73">
        <f t="shared" si="109"/>
        <v>2183</v>
      </c>
      <c r="AR362" s="75">
        <f t="shared" si="110"/>
        <v>0.72148419606046721</v>
      </c>
      <c r="AS362" s="75">
        <f t="shared" si="111"/>
        <v>3.8479157123224923E-2</v>
      </c>
      <c r="AT362" s="75">
        <f t="shared" si="112"/>
        <v>0.24003664681630785</v>
      </c>
      <c r="AU362" s="26">
        <f t="shared" si="113"/>
        <v>6.1996434937611408E-2</v>
      </c>
      <c r="AV362" s="26">
        <f t="shared" si="114"/>
        <v>7.4723707664884134E-2</v>
      </c>
      <c r="AW362" s="24">
        <f t="shared" si="115"/>
        <v>0.9257950530035336</v>
      </c>
      <c r="AX362" s="24">
        <f t="shared" si="116"/>
        <v>0.93992932862190814</v>
      </c>
      <c r="AY362" s="77" t="str">
        <f t="shared" si="117"/>
        <v>5,0 ≤ Alc. Bruta &lt; 7,5 mg/L</v>
      </c>
      <c r="AZ362" s="77" t="str">
        <f t="shared" si="118"/>
        <v>10 ≤ Cor &lt;15 uC</v>
      </c>
      <c r="BA362" s="78" t="str">
        <f t="shared" si="119"/>
        <v>2,5 ≤ Turb &lt; 5,0 uT</v>
      </c>
      <c r="BB362" s="79" t="str">
        <f t="shared" si="120"/>
        <v>TOR &gt; BNN &gt; SM</v>
      </c>
      <c r="BC362" s="78" t="str">
        <f t="shared" si="121"/>
        <v>Tipo 2 (0,25-0,50) uT</v>
      </c>
      <c r="BD362" s="78" t="str">
        <f t="shared" si="122"/>
        <v>Tipo 1 (≤0,25) uT</v>
      </c>
      <c r="BE362" s="78" t="str">
        <f t="shared" si="123"/>
        <v>Tipo 1 (≤0,25) uT</v>
      </c>
      <c r="BF362" s="78" t="str">
        <f t="shared" si="124"/>
        <v>Tipo 1 (≤0,25) uT</v>
      </c>
      <c r="BG362" s="78" t="str">
        <f t="shared" si="125"/>
        <v>Tipo 1 (≤0,25) uT</v>
      </c>
    </row>
    <row r="363" spans="1:59" x14ac:dyDescent="0.2">
      <c r="A363" s="21">
        <v>46164</v>
      </c>
      <c r="B363" s="48">
        <v>0.72916666666666663</v>
      </c>
      <c r="C363" s="57">
        <v>1486</v>
      </c>
      <c r="D363" s="57">
        <v>90</v>
      </c>
      <c r="E363" s="57">
        <v>525</v>
      </c>
      <c r="F363" s="57">
        <v>2165</v>
      </c>
      <c r="G363" s="10" t="s">
        <v>78</v>
      </c>
      <c r="H363" s="63">
        <v>7.5</v>
      </c>
      <c r="I363" s="57">
        <v>90</v>
      </c>
      <c r="J363" s="57">
        <v>90</v>
      </c>
      <c r="K363" s="57">
        <v>90</v>
      </c>
      <c r="L363" s="63">
        <v>25</v>
      </c>
      <c r="M363" s="63">
        <v>7</v>
      </c>
      <c r="N363" s="36">
        <v>2.82</v>
      </c>
      <c r="O363" s="57">
        <v>14</v>
      </c>
      <c r="P363" s="63">
        <v>6.1</v>
      </c>
      <c r="Q363" s="36">
        <v>0.08</v>
      </c>
      <c r="R363" s="36">
        <v>22.36</v>
      </c>
      <c r="S363" s="36">
        <v>0.88</v>
      </c>
      <c r="T363" s="36">
        <v>0.7</v>
      </c>
      <c r="U363" s="42">
        <f t="shared" si="126"/>
        <v>1439.7250000000001</v>
      </c>
      <c r="V363" s="36">
        <f t="shared" si="127"/>
        <v>1406.4206329056001</v>
      </c>
      <c r="W363" s="36">
        <f t="shared" si="128"/>
        <v>0.9768675496401048</v>
      </c>
      <c r="X363" s="57">
        <v>3</v>
      </c>
      <c r="Y363" s="57">
        <v>4</v>
      </c>
      <c r="Z363" s="63">
        <v>6.47</v>
      </c>
      <c r="AA363" s="57">
        <v>17.52</v>
      </c>
      <c r="AB363" s="63">
        <v>6.3</v>
      </c>
      <c r="AC363" s="63">
        <v>5</v>
      </c>
      <c r="AD363" s="10">
        <v>0.25</v>
      </c>
      <c r="AE363" s="36">
        <v>0.55000000000000004</v>
      </c>
      <c r="AF363" s="42">
        <f t="shared" si="129"/>
        <v>1439.7250000000001</v>
      </c>
      <c r="AG363" s="42">
        <f t="shared" si="130"/>
        <v>1794.1913917719999</v>
      </c>
      <c r="AH363" s="42">
        <f t="shared" si="131"/>
        <v>1.2462042346781501</v>
      </c>
      <c r="AI363" s="57">
        <v>3</v>
      </c>
      <c r="AJ363" s="57">
        <v>4</v>
      </c>
      <c r="AK363" s="36">
        <v>6.39</v>
      </c>
      <c r="AL363" s="36">
        <v>22.7</v>
      </c>
      <c r="AM363" s="63">
        <v>6.5</v>
      </c>
      <c r="AN363" s="63">
        <v>5.2</v>
      </c>
      <c r="AO363" s="36">
        <v>0.18</v>
      </c>
      <c r="AP363" s="68">
        <v>0.22</v>
      </c>
      <c r="AQ363" s="73">
        <f t="shared" si="109"/>
        <v>2101</v>
      </c>
      <c r="AR363" s="75">
        <f t="shared" si="110"/>
        <v>0.70728224654926231</v>
      </c>
      <c r="AS363" s="75">
        <f t="shared" si="111"/>
        <v>4.2836744407425034E-2</v>
      </c>
      <c r="AT363" s="75">
        <f t="shared" si="112"/>
        <v>0.2498810090433127</v>
      </c>
      <c r="AU363" s="26">
        <f t="shared" si="113"/>
        <v>6.4739030023094682E-2</v>
      </c>
      <c r="AV363" s="26">
        <f t="shared" si="114"/>
        <v>8.3879907621247113E-2</v>
      </c>
      <c r="AW363" s="24">
        <f t="shared" si="115"/>
        <v>0.92198581560283688</v>
      </c>
      <c r="AX363" s="24">
        <f t="shared" si="116"/>
        <v>0.80496453900709219</v>
      </c>
      <c r="AY363" s="77" t="str">
        <f t="shared" si="117"/>
        <v>5,0 ≤ Alc. Bruta &lt; 7,5 mg/L</v>
      </c>
      <c r="AZ363" s="77" t="str">
        <f t="shared" si="118"/>
        <v>10 ≤ Cor &lt;15 uC</v>
      </c>
      <c r="BA363" s="78" t="str">
        <f t="shared" si="119"/>
        <v>2,5 ≤ Turb &lt; 5,0 uT</v>
      </c>
      <c r="BB363" s="79" t="str">
        <f t="shared" si="120"/>
        <v>TOR &gt; BNN &gt; SM</v>
      </c>
      <c r="BC363" s="78" t="str">
        <f t="shared" si="121"/>
        <v>Tipo 1 (≤0,25) uT</v>
      </c>
      <c r="BD363" s="78" t="str">
        <f t="shared" si="122"/>
        <v>Tipo 1 (≤0,25) uT</v>
      </c>
      <c r="BE363" s="78" t="str">
        <f t="shared" si="123"/>
        <v>Tipo 3 (0,50-0,75) uT</v>
      </c>
      <c r="BF363" s="78" t="str">
        <f t="shared" si="124"/>
        <v>Tipo 1 (≤0,25) uT</v>
      </c>
      <c r="BG363" s="78" t="str">
        <f t="shared" si="125"/>
        <v>Tipo 1 (≤0,25) uT</v>
      </c>
    </row>
    <row r="364" spans="1:59" x14ac:dyDescent="0.2">
      <c r="A364" s="21">
        <v>46164</v>
      </c>
      <c r="B364" s="48">
        <v>0.8125</v>
      </c>
      <c r="C364" s="57">
        <v>1590</v>
      </c>
      <c r="D364" s="57">
        <v>82</v>
      </c>
      <c r="E364" s="57">
        <v>525</v>
      </c>
      <c r="F364" s="57">
        <v>2314</v>
      </c>
      <c r="G364" s="10" t="s">
        <v>78</v>
      </c>
      <c r="H364" s="63">
        <v>7.5</v>
      </c>
      <c r="I364" s="57">
        <v>50</v>
      </c>
      <c r="J364" s="57">
        <v>90</v>
      </c>
      <c r="K364" s="57">
        <v>90</v>
      </c>
      <c r="L364" s="63">
        <v>22.6</v>
      </c>
      <c r="M364" s="63">
        <v>7.1</v>
      </c>
      <c r="N364" s="36">
        <v>3.57</v>
      </c>
      <c r="O364" s="57">
        <v>13</v>
      </c>
      <c r="P364" s="63">
        <v>6.9</v>
      </c>
      <c r="Q364" s="36">
        <v>7.0000000000000007E-2</v>
      </c>
      <c r="R364" s="36">
        <v>22.36</v>
      </c>
      <c r="S364" s="36">
        <v>0.88</v>
      </c>
      <c r="T364" s="36">
        <v>0.7</v>
      </c>
      <c r="U364" s="42">
        <f t="shared" si="126"/>
        <v>1755.7475000000002</v>
      </c>
      <c r="V364" s="36">
        <f t="shared" si="127"/>
        <v>1447.7334393599999</v>
      </c>
      <c r="W364" s="36">
        <f t="shared" si="128"/>
        <v>0.82456813372082249</v>
      </c>
      <c r="X364" s="57">
        <v>3</v>
      </c>
      <c r="Y364" s="57">
        <v>4</v>
      </c>
      <c r="Z364" s="63">
        <v>6.48</v>
      </c>
      <c r="AA364" s="57">
        <v>18</v>
      </c>
      <c r="AB364" s="63">
        <v>6.7</v>
      </c>
      <c r="AC364" s="63">
        <v>6.7</v>
      </c>
      <c r="AD364" s="10">
        <v>0.22</v>
      </c>
      <c r="AE364" s="36">
        <v>0.47</v>
      </c>
      <c r="AF364" s="42">
        <f t="shared" si="129"/>
        <v>1755.7475000000002</v>
      </c>
      <c r="AG364" s="42">
        <f t="shared" si="130"/>
        <v>1755.8572803200002</v>
      </c>
      <c r="AH364" s="42">
        <f t="shared" si="131"/>
        <v>1.0000625262573348</v>
      </c>
      <c r="AI364" s="57">
        <v>3</v>
      </c>
      <c r="AJ364" s="57">
        <v>4</v>
      </c>
      <c r="AK364" s="36">
        <v>6.44</v>
      </c>
      <c r="AL364" s="36">
        <v>22</v>
      </c>
      <c r="AM364" s="63">
        <v>6.4</v>
      </c>
      <c r="AN364" s="63">
        <v>5.7</v>
      </c>
      <c r="AO364" s="36">
        <v>0.27</v>
      </c>
      <c r="AP364" s="68">
        <v>0.22</v>
      </c>
      <c r="AQ364" s="73">
        <f t="shared" si="109"/>
        <v>2197</v>
      </c>
      <c r="AR364" s="75">
        <f t="shared" si="110"/>
        <v>0.7237141556668184</v>
      </c>
      <c r="AS364" s="75">
        <f t="shared" si="111"/>
        <v>3.7323623122439691E-2</v>
      </c>
      <c r="AT364" s="75">
        <f t="shared" si="112"/>
        <v>0.23896222121074193</v>
      </c>
      <c r="AU364" s="26">
        <f t="shared" si="113"/>
        <v>6.2229904926534137E-2</v>
      </c>
      <c r="AV364" s="26">
        <f t="shared" si="114"/>
        <v>7.6058772687986165E-2</v>
      </c>
      <c r="AW364" s="24">
        <f t="shared" si="115"/>
        <v>0.93837535014005602</v>
      </c>
      <c r="AX364" s="24">
        <f t="shared" si="116"/>
        <v>0.86834733893557425</v>
      </c>
      <c r="AY364" s="77" t="str">
        <f t="shared" si="117"/>
        <v>5,0 ≤ Alc. Bruta &lt; 7,5 mg/L</v>
      </c>
      <c r="AZ364" s="77" t="str">
        <f t="shared" si="118"/>
        <v>10 ≤ Cor &lt;15 uC</v>
      </c>
      <c r="BA364" s="78" t="str">
        <f t="shared" si="119"/>
        <v>2,5 ≤ Turb &lt; 5,0 uT</v>
      </c>
      <c r="BB364" s="79" t="str">
        <f t="shared" si="120"/>
        <v>TOR &gt; BNN &gt; SM</v>
      </c>
      <c r="BC364" s="78" t="str">
        <f t="shared" si="121"/>
        <v>Tipo 1 (≤0,25) uT</v>
      </c>
      <c r="BD364" s="78" t="str">
        <f t="shared" si="122"/>
        <v>Tipo 2 (0,25-0,50) uT</v>
      </c>
      <c r="BE364" s="78" t="str">
        <f t="shared" si="123"/>
        <v>Tipo 2 (0,25-0,50) uT</v>
      </c>
      <c r="BF364" s="78" t="str">
        <f t="shared" si="124"/>
        <v>Tipo 1 (≤0,25) uT</v>
      </c>
      <c r="BG364" s="78" t="str">
        <f t="shared" si="125"/>
        <v>Tipo 1 (≤0,25) uT</v>
      </c>
    </row>
    <row r="365" spans="1:59" x14ac:dyDescent="0.2">
      <c r="A365" s="21">
        <v>46164</v>
      </c>
      <c r="B365" s="48">
        <v>0.89583333333333337</v>
      </c>
      <c r="C365" s="57">
        <v>1576</v>
      </c>
      <c r="D365" s="57">
        <v>84</v>
      </c>
      <c r="E365" s="57">
        <v>525</v>
      </c>
      <c r="F365" s="57">
        <v>2313</v>
      </c>
      <c r="G365" s="10" t="s">
        <v>78</v>
      </c>
      <c r="H365" s="63">
        <v>7.5</v>
      </c>
      <c r="I365" s="57">
        <v>90</v>
      </c>
      <c r="J365" s="57">
        <v>90</v>
      </c>
      <c r="K365" s="57">
        <v>90</v>
      </c>
      <c r="L365" s="63">
        <v>22.6</v>
      </c>
      <c r="M365" s="63">
        <v>6.8</v>
      </c>
      <c r="N365" s="36">
        <v>4.53</v>
      </c>
      <c r="O365" s="57">
        <v>9</v>
      </c>
      <c r="P365" s="63">
        <v>6.4</v>
      </c>
      <c r="Q365" s="36">
        <v>7.0000000000000007E-2</v>
      </c>
      <c r="R365" s="36">
        <v>22.36</v>
      </c>
      <c r="S365" s="36">
        <v>0.88</v>
      </c>
      <c r="T365" s="36">
        <v>0.7</v>
      </c>
      <c r="U365" s="42">
        <f t="shared" si="126"/>
        <v>2032.5487500000002</v>
      </c>
      <c r="V365" s="36">
        <f t="shared" si="127"/>
        <v>1304.1765151999998</v>
      </c>
      <c r="W365" s="36">
        <f t="shared" si="128"/>
        <v>0.64164587206087909</v>
      </c>
      <c r="X365" s="57">
        <v>3</v>
      </c>
      <c r="Y365" s="57">
        <v>4</v>
      </c>
      <c r="Z365" s="63">
        <v>6.55</v>
      </c>
      <c r="AA365" s="57">
        <v>16</v>
      </c>
      <c r="AB365" s="63">
        <v>6.5</v>
      </c>
      <c r="AC365" s="63">
        <v>7</v>
      </c>
      <c r="AD365" s="10">
        <v>0.17</v>
      </c>
      <c r="AE365" s="36">
        <v>0.42</v>
      </c>
      <c r="AF365" s="42">
        <f t="shared" si="129"/>
        <v>2032.5487500000002</v>
      </c>
      <c r="AG365" s="42">
        <f t="shared" si="130"/>
        <v>1874.7565387303998</v>
      </c>
      <c r="AH365" s="42">
        <f t="shared" si="131"/>
        <v>0.92236731774841796</v>
      </c>
      <c r="AI365" s="57">
        <v>3</v>
      </c>
      <c r="AJ365" s="57">
        <v>4</v>
      </c>
      <c r="AK365" s="36">
        <v>6.58</v>
      </c>
      <c r="AL365" s="36">
        <v>22.87</v>
      </c>
      <c r="AM365" s="63">
        <v>6.4</v>
      </c>
      <c r="AN365" s="63">
        <v>6.7</v>
      </c>
      <c r="AO365" s="36">
        <v>0.2</v>
      </c>
      <c r="AP365" s="68">
        <v>0.18</v>
      </c>
      <c r="AQ365" s="73">
        <f t="shared" si="109"/>
        <v>2185</v>
      </c>
      <c r="AR365" s="75">
        <f t="shared" si="110"/>
        <v>0.72128146453089248</v>
      </c>
      <c r="AS365" s="75">
        <f t="shared" si="111"/>
        <v>3.8443935926773455E-2</v>
      </c>
      <c r="AT365" s="75">
        <f t="shared" si="112"/>
        <v>0.2402745995423341</v>
      </c>
      <c r="AU365" s="26">
        <f t="shared" si="113"/>
        <v>5.5339386078685687E-2</v>
      </c>
      <c r="AV365" s="26">
        <f t="shared" si="114"/>
        <v>7.910073497622136E-2</v>
      </c>
      <c r="AW365" s="24">
        <f t="shared" si="115"/>
        <v>0.96026490066225167</v>
      </c>
      <c r="AX365" s="24">
        <f t="shared" si="116"/>
        <v>0.9072847682119205</v>
      </c>
      <c r="AY365" s="77" t="str">
        <f t="shared" si="117"/>
        <v>5,0 ≤ Alc. Bruta &lt; 7,5 mg/L</v>
      </c>
      <c r="AZ365" s="77" t="str">
        <f t="shared" si="118"/>
        <v>5 ≤ Cor &lt; 10 uC</v>
      </c>
      <c r="BA365" s="78" t="str">
        <f t="shared" si="119"/>
        <v>2,5 ≤ Turb &lt; 5,0 uT</v>
      </c>
      <c r="BB365" s="79" t="str">
        <f t="shared" si="120"/>
        <v>TOR &gt; BNN &gt; SM</v>
      </c>
      <c r="BC365" s="78" t="str">
        <f t="shared" si="121"/>
        <v>Tipo 1 (≤0,25) uT</v>
      </c>
      <c r="BD365" s="78" t="str">
        <f t="shared" si="122"/>
        <v>Tipo 1 (≤0,25) uT</v>
      </c>
      <c r="BE365" s="78" t="str">
        <f t="shared" si="123"/>
        <v>Tipo 2 (0,25-0,50) uT</v>
      </c>
      <c r="BF365" s="78" t="str">
        <f t="shared" si="124"/>
        <v>Tipo 1 (≤0,25) uT</v>
      </c>
      <c r="BG365" s="78" t="str">
        <f t="shared" si="125"/>
        <v>Tipo 1 (≤0,25) uT</v>
      </c>
    </row>
    <row r="366" spans="1:59" x14ac:dyDescent="0.2">
      <c r="A366" s="21">
        <v>46164</v>
      </c>
      <c r="B366" s="48">
        <v>0.97916666666666663</v>
      </c>
      <c r="C366" s="57">
        <v>1610</v>
      </c>
      <c r="D366" s="57">
        <v>80</v>
      </c>
      <c r="E366" s="57">
        <v>525</v>
      </c>
      <c r="F366" s="57">
        <v>2328</v>
      </c>
      <c r="G366" s="10" t="s">
        <v>78</v>
      </c>
      <c r="H366" s="63">
        <v>7.5</v>
      </c>
      <c r="I366" s="57">
        <v>90</v>
      </c>
      <c r="J366" s="57">
        <v>90</v>
      </c>
      <c r="K366" s="57">
        <v>90</v>
      </c>
      <c r="L366" s="63">
        <v>22.5</v>
      </c>
      <c r="M366" s="63">
        <v>6.9</v>
      </c>
      <c r="N366" s="36">
        <v>3.88</v>
      </c>
      <c r="O366" s="57">
        <v>11</v>
      </c>
      <c r="P366" s="63">
        <v>6.5</v>
      </c>
      <c r="Q366" s="36">
        <v>0.03</v>
      </c>
      <c r="R366" s="36">
        <v>22.36</v>
      </c>
      <c r="S366" s="36">
        <v>0.88</v>
      </c>
      <c r="T366" s="36">
        <v>0.7</v>
      </c>
      <c r="U366" s="42">
        <f t="shared" si="126"/>
        <v>1856.58</v>
      </c>
      <c r="V366" s="36">
        <f t="shared" si="127"/>
        <v>1369.9300529199998</v>
      </c>
      <c r="W366" s="36">
        <f t="shared" si="128"/>
        <v>0.73787827775802806</v>
      </c>
      <c r="X366" s="57">
        <v>3</v>
      </c>
      <c r="Y366" s="57">
        <v>4</v>
      </c>
      <c r="Z366" s="63">
        <v>6.49</v>
      </c>
      <c r="AA366" s="57">
        <v>17</v>
      </c>
      <c r="AB366" s="63">
        <v>6.5</v>
      </c>
      <c r="AC366" s="63">
        <v>6.1</v>
      </c>
      <c r="AD366" s="10">
        <v>0.21</v>
      </c>
      <c r="AE366" s="36">
        <v>0.4</v>
      </c>
      <c r="AF366" s="42">
        <f t="shared" si="129"/>
        <v>1856.58</v>
      </c>
      <c r="AG366" s="42">
        <f t="shared" si="130"/>
        <v>1776.2493320000001</v>
      </c>
      <c r="AH366" s="42">
        <f t="shared" si="131"/>
        <v>0.95673191136390578</v>
      </c>
      <c r="AI366" s="57">
        <v>3</v>
      </c>
      <c r="AJ366" s="57">
        <v>4</v>
      </c>
      <c r="AK366" s="36">
        <v>6.5</v>
      </c>
      <c r="AL366" s="36">
        <v>22</v>
      </c>
      <c r="AM366" s="63">
        <v>6.7</v>
      </c>
      <c r="AN366" s="63">
        <v>5.9</v>
      </c>
      <c r="AO366" s="36">
        <v>0.26</v>
      </c>
      <c r="AP366" s="68">
        <v>0.21</v>
      </c>
      <c r="AQ366" s="73">
        <f t="shared" si="109"/>
        <v>2215</v>
      </c>
      <c r="AR366" s="75">
        <f t="shared" si="110"/>
        <v>0.72686230248306993</v>
      </c>
      <c r="AS366" s="75">
        <f t="shared" si="111"/>
        <v>3.6117381489841983E-2</v>
      </c>
      <c r="AT366" s="75">
        <f t="shared" si="112"/>
        <v>0.23702031602708803</v>
      </c>
      <c r="AU366" s="26">
        <f t="shared" si="113"/>
        <v>5.8419243986254296E-2</v>
      </c>
      <c r="AV366" s="26">
        <f t="shared" si="114"/>
        <v>7.560137457044673E-2</v>
      </c>
      <c r="AW366" s="24">
        <f t="shared" si="115"/>
        <v>0.94587628865979378</v>
      </c>
      <c r="AX366" s="24">
        <f t="shared" si="116"/>
        <v>0.89690721649484539</v>
      </c>
      <c r="AY366" s="77" t="str">
        <f t="shared" si="117"/>
        <v>5,0 ≤ Alc. Bruta &lt; 7,5 mg/L</v>
      </c>
      <c r="AZ366" s="77" t="str">
        <f t="shared" si="118"/>
        <v>10 ≤ Cor &lt;15 uC</v>
      </c>
      <c r="BA366" s="78" t="str">
        <f t="shared" si="119"/>
        <v>2,5 ≤ Turb &lt; 5,0 uT</v>
      </c>
      <c r="BB366" s="79" t="str">
        <f t="shared" si="120"/>
        <v>TOR &gt; BNN &gt; SM</v>
      </c>
      <c r="BC366" s="78" t="str">
        <f t="shared" si="121"/>
        <v>Tipo 1 (≤0,25) uT</v>
      </c>
      <c r="BD366" s="78" t="str">
        <f t="shared" si="122"/>
        <v>Tipo 2 (0,25-0,50) uT</v>
      </c>
      <c r="BE366" s="78" t="str">
        <f t="shared" si="123"/>
        <v>Tipo 2 (0,25-0,50) uT</v>
      </c>
      <c r="BF366" s="78" t="str">
        <f t="shared" si="124"/>
        <v>Tipo 1 (≤0,25) uT</v>
      </c>
      <c r="BG366" s="78" t="str">
        <f t="shared" si="125"/>
        <v>Tipo 1 (≤0,25) uT</v>
      </c>
    </row>
    <row r="367" spans="1:59" x14ac:dyDescent="0.2">
      <c r="A367" s="21">
        <v>46165</v>
      </c>
      <c r="B367" s="48">
        <v>0.14583333333333334</v>
      </c>
      <c r="C367" s="57">
        <v>1511</v>
      </c>
      <c r="D367" s="57">
        <v>88</v>
      </c>
      <c r="E367" s="57">
        <v>525</v>
      </c>
      <c r="F367" s="57">
        <v>2318</v>
      </c>
      <c r="G367" s="10" t="s">
        <v>78</v>
      </c>
      <c r="H367" s="63">
        <v>7.5</v>
      </c>
      <c r="I367" s="57">
        <v>90</v>
      </c>
      <c r="J367" s="57">
        <v>90</v>
      </c>
      <c r="K367" s="57">
        <v>90</v>
      </c>
      <c r="L367" s="63">
        <v>22.1</v>
      </c>
      <c r="M367" s="63">
        <v>6.8</v>
      </c>
      <c r="N367" s="36">
        <v>3.48</v>
      </c>
      <c r="O367" s="57">
        <v>15</v>
      </c>
      <c r="P367" s="63">
        <v>8</v>
      </c>
      <c r="Q367" s="36">
        <v>0.06</v>
      </c>
      <c r="R367" s="36">
        <v>22.36</v>
      </c>
      <c r="S367" s="36">
        <v>0.88</v>
      </c>
      <c r="T367" s="36">
        <v>0.7</v>
      </c>
      <c r="U367" s="42">
        <f t="shared" si="126"/>
        <v>1732.7050000000002</v>
      </c>
      <c r="V367" s="36">
        <f t="shared" si="127"/>
        <v>1439.3912363999998</v>
      </c>
      <c r="W367" s="36">
        <f t="shared" si="128"/>
        <v>0.83071915669430152</v>
      </c>
      <c r="X367" s="57">
        <v>3</v>
      </c>
      <c r="Y367" s="57">
        <v>4</v>
      </c>
      <c r="Z367" s="63">
        <v>6.45</v>
      </c>
      <c r="AA367" s="57">
        <v>18</v>
      </c>
      <c r="AB367" s="63">
        <v>6.4</v>
      </c>
      <c r="AC367" s="63">
        <v>6.8</v>
      </c>
      <c r="AD367" s="10">
        <v>0.46</v>
      </c>
      <c r="AE367" s="36">
        <v>0.42</v>
      </c>
      <c r="AF367" s="42">
        <f t="shared" si="129"/>
        <v>1732.7050000000002</v>
      </c>
      <c r="AG367" s="42">
        <f t="shared" si="130"/>
        <v>1679.2897757999999</v>
      </c>
      <c r="AH367" s="42">
        <f t="shared" si="131"/>
        <v>0.96917234947668518</v>
      </c>
      <c r="AI367" s="57">
        <v>3</v>
      </c>
      <c r="AJ367" s="57">
        <v>4</v>
      </c>
      <c r="AK367" s="36">
        <v>6.45</v>
      </c>
      <c r="AL367" s="36">
        <v>21</v>
      </c>
      <c r="AM367" s="63">
        <v>6.3</v>
      </c>
      <c r="AN367" s="63">
        <v>5.0999999999999996</v>
      </c>
      <c r="AO367" s="36">
        <v>0.3</v>
      </c>
      <c r="AP367" s="68">
        <v>0.15</v>
      </c>
      <c r="AQ367" s="73">
        <f t="shared" si="109"/>
        <v>2124</v>
      </c>
      <c r="AR367" s="75">
        <f t="shared" si="110"/>
        <v>0.71139359698681737</v>
      </c>
      <c r="AS367" s="75">
        <f t="shared" si="111"/>
        <v>4.1431261770244823E-2</v>
      </c>
      <c r="AT367" s="75">
        <f t="shared" si="112"/>
        <v>0.24717514124293785</v>
      </c>
      <c r="AU367" s="26">
        <f t="shared" si="113"/>
        <v>6.2122519413287315E-2</v>
      </c>
      <c r="AV367" s="26">
        <f t="shared" si="114"/>
        <v>7.2476272648835202E-2</v>
      </c>
      <c r="AW367" s="24">
        <f t="shared" si="115"/>
        <v>0.9568965517241379</v>
      </c>
      <c r="AX367" s="24">
        <f t="shared" si="116"/>
        <v>0.87931034482758619</v>
      </c>
      <c r="AY367" s="77" t="str">
        <f t="shared" si="117"/>
        <v>7,5 ≤ Alc. Bruta &lt; 10,0 mg/L</v>
      </c>
      <c r="AZ367" s="77" t="str">
        <f t="shared" si="118"/>
        <v>15 ≤ Cor &lt; 30 uC</v>
      </c>
      <c r="BA367" s="78" t="str">
        <f t="shared" si="119"/>
        <v>2,5 ≤ Turb &lt; 5,0 uT</v>
      </c>
      <c r="BB367" s="79" t="str">
        <f t="shared" si="120"/>
        <v>TOR &gt; BNN &gt; SM</v>
      </c>
      <c r="BC367" s="78" t="str">
        <f t="shared" si="121"/>
        <v>Tipo 2 (0,25-0,50) uT</v>
      </c>
      <c r="BD367" s="78" t="str">
        <f t="shared" si="122"/>
        <v>Tipo 2 (0,25-0,50) uT</v>
      </c>
      <c r="BE367" s="78" t="str">
        <f t="shared" si="123"/>
        <v>Tipo 2 (0,25-0,50) uT</v>
      </c>
      <c r="BF367" s="78" t="str">
        <f t="shared" si="124"/>
        <v>Tipo 1 (≤0,25) uT</v>
      </c>
      <c r="BG367" s="78" t="str">
        <f t="shared" si="125"/>
        <v>Tipo 1 (≤0,25) uT</v>
      </c>
    </row>
    <row r="368" spans="1:59" ht="15.75" thickBot="1" x14ac:dyDescent="0.25">
      <c r="A368" s="21">
        <v>46165</v>
      </c>
      <c r="B368" s="51">
        <v>0.22916666666666666</v>
      </c>
      <c r="C368" s="58">
        <v>1490</v>
      </c>
      <c r="D368" s="58">
        <v>89</v>
      </c>
      <c r="E368" s="58">
        <v>550</v>
      </c>
      <c r="F368" s="58">
        <v>1922</v>
      </c>
      <c r="G368" s="11" t="s">
        <v>78</v>
      </c>
      <c r="H368" s="64">
        <v>7.5</v>
      </c>
      <c r="I368" s="58">
        <v>90</v>
      </c>
      <c r="J368" s="58">
        <v>90</v>
      </c>
      <c r="K368" s="58">
        <v>90</v>
      </c>
      <c r="L368" s="64">
        <v>22</v>
      </c>
      <c r="M368" s="64">
        <v>6.7</v>
      </c>
      <c r="N368" s="37">
        <v>3.62</v>
      </c>
      <c r="O368" s="58">
        <v>13</v>
      </c>
      <c r="P368" s="64">
        <v>7.8</v>
      </c>
      <c r="Q368" s="37">
        <v>0.06</v>
      </c>
      <c r="R368" s="36">
        <v>22.36</v>
      </c>
      <c r="S368" s="36">
        <v>0.88</v>
      </c>
      <c r="T368" s="36">
        <v>0.7</v>
      </c>
      <c r="U368" s="42">
        <f t="shared" si="126"/>
        <v>1960.4399999999998</v>
      </c>
      <c r="V368" s="36">
        <f t="shared" si="127"/>
        <v>1259.6847660799999</v>
      </c>
      <c r="W368" s="36">
        <f t="shared" si="128"/>
        <v>0.64255206284303523</v>
      </c>
      <c r="X368" s="58">
        <v>2</v>
      </c>
      <c r="Y368" s="58">
        <v>3</v>
      </c>
      <c r="Z368" s="64">
        <v>6.37</v>
      </c>
      <c r="AA368" s="58">
        <v>16</v>
      </c>
      <c r="AB368" s="64">
        <v>6.5</v>
      </c>
      <c r="AC368" s="64">
        <v>6.9</v>
      </c>
      <c r="AD368" s="11">
        <v>0.41</v>
      </c>
      <c r="AE368" s="37">
        <v>4.16</v>
      </c>
      <c r="AF368" s="42">
        <f t="shared" si="129"/>
        <v>1470.33</v>
      </c>
      <c r="AG368" s="42">
        <f t="shared" si="130"/>
        <v>1364.3114097599998</v>
      </c>
      <c r="AH368" s="42">
        <f t="shared" si="131"/>
        <v>0.92789469694558357</v>
      </c>
      <c r="AI368" s="58">
        <v>2</v>
      </c>
      <c r="AJ368" s="58">
        <v>4</v>
      </c>
      <c r="AK368" s="37">
        <v>6.18</v>
      </c>
      <c r="AL368" s="37">
        <v>18</v>
      </c>
      <c r="AM368" s="64">
        <v>6.4</v>
      </c>
      <c r="AN368" s="64">
        <v>6</v>
      </c>
      <c r="AO368" s="37">
        <v>0.6</v>
      </c>
      <c r="AP368" s="69">
        <v>0.31</v>
      </c>
      <c r="AQ368" s="73">
        <f t="shared" si="109"/>
        <v>2129</v>
      </c>
      <c r="AR368" s="75">
        <f t="shared" si="110"/>
        <v>0.69985908877407232</v>
      </c>
      <c r="AS368" s="75">
        <f t="shared" si="111"/>
        <v>4.1803663691874118E-2</v>
      </c>
      <c r="AT368" s="75">
        <f t="shared" si="112"/>
        <v>0.25833724753405357</v>
      </c>
      <c r="AU368" s="26">
        <f t="shared" si="113"/>
        <v>4.9947970863683668E-2</v>
      </c>
      <c r="AV368" s="26">
        <f t="shared" si="114"/>
        <v>7.4921956295525491E-2</v>
      </c>
      <c r="AW368" s="24">
        <f t="shared" si="115"/>
        <v>0.91436464088397784</v>
      </c>
      <c r="AX368" s="24" t="str">
        <f t="shared" si="116"/>
        <v/>
      </c>
      <c r="AY368" s="77" t="str">
        <f t="shared" si="117"/>
        <v>7,5 ≤ Alc. Bruta &lt; 10,0 mg/L</v>
      </c>
      <c r="AZ368" s="77" t="str">
        <f t="shared" si="118"/>
        <v>10 ≤ Cor &lt;15 uC</v>
      </c>
      <c r="BA368" s="78" t="str">
        <f t="shared" si="119"/>
        <v>2,5 ≤ Turb &lt; 5,0 uT</v>
      </c>
      <c r="BB368" s="79" t="str">
        <f t="shared" si="120"/>
        <v>TOR &gt; BNN &gt; SM</v>
      </c>
      <c r="BC368" s="78" t="str">
        <f t="shared" si="121"/>
        <v>Tipo 2 (0,25-0,50) uT</v>
      </c>
      <c r="BD368" s="78" t="str">
        <f t="shared" si="122"/>
        <v>Tipo 3 (0,50-0,75) uT</v>
      </c>
      <c r="BE368" s="78" t="str">
        <f t="shared" si="123"/>
        <v>Tipo 4 (&gt;0,75) uT</v>
      </c>
      <c r="BF368" s="78" t="str">
        <f t="shared" si="124"/>
        <v>Tipo 2 (0,25-0,50) uT</v>
      </c>
      <c r="BG368" s="78" t="str">
        <f t="shared" si="125"/>
        <v>Tipo 1 (≤0,25) uT</v>
      </c>
    </row>
    <row r="369" spans="1:59" x14ac:dyDescent="0.2">
      <c r="A369" s="21">
        <v>46165</v>
      </c>
      <c r="B369" s="52">
        <v>0.3125</v>
      </c>
      <c r="C369" s="59">
        <v>583</v>
      </c>
      <c r="D369" s="57">
        <v>85</v>
      </c>
      <c r="E369" s="59">
        <v>551</v>
      </c>
      <c r="F369" s="59">
        <v>1204</v>
      </c>
      <c r="G369" s="9" t="s">
        <v>78</v>
      </c>
      <c r="H369" s="65">
        <v>7.5</v>
      </c>
      <c r="I369" s="59">
        <v>90</v>
      </c>
      <c r="J369" s="59">
        <v>90</v>
      </c>
      <c r="K369" s="59">
        <v>90</v>
      </c>
      <c r="L369" s="65">
        <v>21.8</v>
      </c>
      <c r="M369" s="65">
        <v>6.7</v>
      </c>
      <c r="N369" s="38">
        <v>5.91</v>
      </c>
      <c r="O369" s="59">
        <v>20</v>
      </c>
      <c r="P369" s="65">
        <v>8.8000000000000007</v>
      </c>
      <c r="Q369" s="38">
        <v>0.05</v>
      </c>
      <c r="R369" s="36">
        <v>22.36</v>
      </c>
      <c r="S369" s="36">
        <v>0.88</v>
      </c>
      <c r="T369" s="36">
        <v>0.7</v>
      </c>
      <c r="U369" s="42">
        <f t="shared" si="126"/>
        <v>2531.41</v>
      </c>
      <c r="V369" s="36">
        <f t="shared" si="127"/>
        <v>1766.5606992800001</v>
      </c>
      <c r="W369" s="36">
        <f t="shared" si="128"/>
        <v>0.69785641175471391</v>
      </c>
      <c r="X369" s="59">
        <v>1</v>
      </c>
      <c r="Y369" s="59">
        <v>2</v>
      </c>
      <c r="Z369" s="65">
        <v>6.5</v>
      </c>
      <c r="AA369" s="59">
        <v>21.88</v>
      </c>
      <c r="AB369" s="65">
        <v>6.4</v>
      </c>
      <c r="AC369" s="65">
        <v>6</v>
      </c>
      <c r="AD369" s="9">
        <v>0.39</v>
      </c>
      <c r="AE369" s="38">
        <v>0.69</v>
      </c>
      <c r="AF369" s="42">
        <f t="shared" si="129"/>
        <v>1687.6066666666666</v>
      </c>
      <c r="AG369" s="42">
        <f t="shared" si="130"/>
        <v>1983.7876663903996</v>
      </c>
      <c r="AH369" s="42">
        <f t="shared" si="131"/>
        <v>1.1755035729437742</v>
      </c>
      <c r="AI369" s="59">
        <v>2</v>
      </c>
      <c r="AJ369" s="59">
        <v>3</v>
      </c>
      <c r="AK369" s="38">
        <v>6.46</v>
      </c>
      <c r="AL369" s="38">
        <v>24.76</v>
      </c>
      <c r="AM369" s="65">
        <v>6.4</v>
      </c>
      <c r="AN369" s="65">
        <v>5.5</v>
      </c>
      <c r="AO369" s="38">
        <v>0.26</v>
      </c>
      <c r="AP369" s="70">
        <v>0.27</v>
      </c>
      <c r="AQ369" s="73">
        <f t="shared" si="109"/>
        <v>1219</v>
      </c>
      <c r="AR369" s="75">
        <f t="shared" si="110"/>
        <v>0.47826086956521741</v>
      </c>
      <c r="AS369" s="75">
        <f t="shared" si="111"/>
        <v>6.9729286300246107E-2</v>
      </c>
      <c r="AT369" s="75">
        <f t="shared" si="112"/>
        <v>0.45200984413453649</v>
      </c>
      <c r="AU369" s="26">
        <f t="shared" si="113"/>
        <v>7.2691029900332216E-2</v>
      </c>
      <c r="AV369" s="26">
        <f t="shared" si="114"/>
        <v>0.12338870431893689</v>
      </c>
      <c r="AW369" s="24">
        <f t="shared" si="115"/>
        <v>0.95431472081218272</v>
      </c>
      <c r="AX369" s="24">
        <f t="shared" si="116"/>
        <v>0.88324873096446699</v>
      </c>
      <c r="AY369" s="77" t="str">
        <f t="shared" si="117"/>
        <v>7,5 ≤ Alc. Bruta &lt; 10,0 mg/L</v>
      </c>
      <c r="AZ369" s="77" t="str">
        <f t="shared" si="118"/>
        <v>15 ≤ Cor &lt; 30 uC</v>
      </c>
      <c r="BA369" s="78" t="str">
        <f t="shared" si="119"/>
        <v>5,0 ≤ Turb &lt; 7,5 uT</v>
      </c>
      <c r="BB369" s="79" t="str">
        <f t="shared" si="120"/>
        <v>TOR &gt; BNN &gt; SM</v>
      </c>
      <c r="BC369" s="78" t="str">
        <f t="shared" si="121"/>
        <v>Tipo 2 (0,25-0,50) uT</v>
      </c>
      <c r="BD369" s="78" t="str">
        <f t="shared" si="122"/>
        <v>Tipo 2 (0,25-0,50) uT</v>
      </c>
      <c r="BE369" s="78" t="str">
        <f t="shared" si="123"/>
        <v>Tipo 3 (0,50-0,75) uT</v>
      </c>
      <c r="BF369" s="78" t="str">
        <f t="shared" si="124"/>
        <v>Tipo 2 (0,25-0,50) uT</v>
      </c>
      <c r="BG369" s="78" t="str">
        <f t="shared" si="125"/>
        <v>Tipo 1 (≤0,25) uT</v>
      </c>
    </row>
    <row r="370" spans="1:59" x14ac:dyDescent="0.2">
      <c r="A370" s="21">
        <v>46165</v>
      </c>
      <c r="B370" s="48">
        <v>0.39583333333333331</v>
      </c>
      <c r="C370" s="57">
        <v>573</v>
      </c>
      <c r="D370" s="57">
        <v>84</v>
      </c>
      <c r="E370" s="57">
        <v>549</v>
      </c>
      <c r="F370" s="57">
        <v>1252</v>
      </c>
      <c r="G370" s="10" t="s">
        <v>78</v>
      </c>
      <c r="H370" s="63">
        <v>7.5</v>
      </c>
      <c r="I370" s="57">
        <v>90</v>
      </c>
      <c r="J370" s="57">
        <v>90</v>
      </c>
      <c r="K370" s="57">
        <v>90</v>
      </c>
      <c r="L370" s="63">
        <v>21.7</v>
      </c>
      <c r="M370" s="63">
        <v>6.8</v>
      </c>
      <c r="N370" s="36">
        <v>3.86</v>
      </c>
      <c r="O370" s="57">
        <v>19</v>
      </c>
      <c r="P370" s="63">
        <v>10.1</v>
      </c>
      <c r="Q370" s="36">
        <v>0.06</v>
      </c>
      <c r="R370" s="36">
        <v>22.36</v>
      </c>
      <c r="S370" s="36">
        <v>0.88</v>
      </c>
      <c r="T370" s="36">
        <v>0.7</v>
      </c>
      <c r="U370" s="42">
        <f t="shared" si="126"/>
        <v>1990.6799999999998</v>
      </c>
      <c r="V370" s="36">
        <f t="shared" si="127"/>
        <v>1770.5976295800001</v>
      </c>
      <c r="W370" s="36">
        <f t="shared" si="128"/>
        <v>0.88944362206884098</v>
      </c>
      <c r="X370" s="57">
        <v>1</v>
      </c>
      <c r="Y370" s="57">
        <v>2</v>
      </c>
      <c r="Z370" s="63">
        <v>6.5</v>
      </c>
      <c r="AA370" s="57">
        <v>21.93</v>
      </c>
      <c r="AB370" s="63">
        <v>6.6</v>
      </c>
      <c r="AC370" s="63">
        <v>7.9</v>
      </c>
      <c r="AD370" s="10">
        <v>0.14000000000000001</v>
      </c>
      <c r="AE370" s="36">
        <v>0.41</v>
      </c>
      <c r="AF370" s="42">
        <f t="shared" si="129"/>
        <v>1327.12</v>
      </c>
      <c r="AG370" s="42">
        <f t="shared" si="130"/>
        <v>1896.6381539091994</v>
      </c>
      <c r="AH370" s="42">
        <f t="shared" si="131"/>
        <v>1.4291384003776595</v>
      </c>
      <c r="AI370" s="57">
        <v>2</v>
      </c>
      <c r="AJ370" s="57">
        <v>3</v>
      </c>
      <c r="AK370" s="36">
        <v>6.43</v>
      </c>
      <c r="AL370" s="36">
        <v>23.81</v>
      </c>
      <c r="AM370" s="63">
        <v>6.5</v>
      </c>
      <c r="AN370" s="63">
        <v>8</v>
      </c>
      <c r="AO370" s="36">
        <v>0.15</v>
      </c>
      <c r="AP370" s="68">
        <v>0.28000000000000003</v>
      </c>
      <c r="AQ370" s="73">
        <f t="shared" si="109"/>
        <v>1206</v>
      </c>
      <c r="AR370" s="75">
        <f t="shared" si="110"/>
        <v>0.47512437810945274</v>
      </c>
      <c r="AS370" s="75">
        <f t="shared" si="111"/>
        <v>6.965174129353234E-2</v>
      </c>
      <c r="AT370" s="75">
        <f t="shared" si="112"/>
        <v>0.45522388059701491</v>
      </c>
      <c r="AU370" s="26">
        <f t="shared" si="113"/>
        <v>7.006389776357827E-2</v>
      </c>
      <c r="AV370" s="26">
        <f t="shared" si="114"/>
        <v>0.11410543130990415</v>
      </c>
      <c r="AW370" s="24">
        <f t="shared" si="115"/>
        <v>0.92746113989637302</v>
      </c>
      <c r="AX370" s="24">
        <f t="shared" si="116"/>
        <v>0.89378238341968907</v>
      </c>
      <c r="AY370" s="77" t="str">
        <f t="shared" si="117"/>
        <v>10,0 ≤ Alca. Bruta &lt; 15,0 mg/L</v>
      </c>
      <c r="AZ370" s="77" t="str">
        <f t="shared" si="118"/>
        <v>15 ≤ Cor &lt; 30 uC</v>
      </c>
      <c r="BA370" s="78" t="str">
        <f t="shared" si="119"/>
        <v>2,5 ≤ Turb &lt; 5,0 uT</v>
      </c>
      <c r="BB370" s="79" t="str">
        <f t="shared" si="120"/>
        <v>TOR &gt; BNN &gt; SM</v>
      </c>
      <c r="BC370" s="78" t="str">
        <f t="shared" si="121"/>
        <v>Tipo 1 (≤0,25) uT</v>
      </c>
      <c r="BD370" s="78" t="str">
        <f t="shared" si="122"/>
        <v>Tipo 1 (≤0,25) uT</v>
      </c>
      <c r="BE370" s="78" t="str">
        <f t="shared" si="123"/>
        <v>Tipo 2 (0,25-0,50) uT</v>
      </c>
      <c r="BF370" s="78" t="str">
        <f t="shared" si="124"/>
        <v>Tipo 2 (0,25-0,50) uT</v>
      </c>
      <c r="BG370" s="78" t="str">
        <f t="shared" si="125"/>
        <v>Tipo 1 (≤0,25) uT</v>
      </c>
    </row>
    <row r="371" spans="1:59" x14ac:dyDescent="0.2">
      <c r="A371" s="21">
        <v>46165</v>
      </c>
      <c r="B371" s="48">
        <v>0.47916666666666669</v>
      </c>
      <c r="C371" s="57">
        <v>568</v>
      </c>
      <c r="D371" s="57">
        <v>82</v>
      </c>
      <c r="E371" s="57">
        <v>550</v>
      </c>
      <c r="F371" s="57">
        <v>1238</v>
      </c>
      <c r="G371" s="10" t="s">
        <v>78</v>
      </c>
      <c r="H371" s="63">
        <v>7.5</v>
      </c>
      <c r="I371" s="57">
        <v>90</v>
      </c>
      <c r="J371" s="57">
        <v>90</v>
      </c>
      <c r="K371" s="57">
        <v>90</v>
      </c>
      <c r="L371" s="63">
        <v>22.1</v>
      </c>
      <c r="M371" s="63">
        <v>6.8</v>
      </c>
      <c r="N371" s="36">
        <v>3.46</v>
      </c>
      <c r="O371" s="57">
        <v>16</v>
      </c>
      <c r="P371" s="63">
        <v>10</v>
      </c>
      <c r="Q371" s="36">
        <v>0.06</v>
      </c>
      <c r="R371" s="36">
        <v>22.36</v>
      </c>
      <c r="S371" s="36">
        <v>0.88</v>
      </c>
      <c r="T371" s="36">
        <v>0.7</v>
      </c>
      <c r="U371" s="42">
        <f t="shared" si="126"/>
        <v>1844.62</v>
      </c>
      <c r="V371" s="36">
        <f t="shared" si="127"/>
        <v>1775.4419459399999</v>
      </c>
      <c r="W371" s="36">
        <f t="shared" si="128"/>
        <v>0.96249739563704173</v>
      </c>
      <c r="X371" s="57">
        <v>1</v>
      </c>
      <c r="Y371" s="57">
        <v>2</v>
      </c>
      <c r="Z371" s="63">
        <v>6.5</v>
      </c>
      <c r="AA371" s="57">
        <v>21.99</v>
      </c>
      <c r="AB371" s="63">
        <v>6.7</v>
      </c>
      <c r="AC371" s="63">
        <v>8.3000000000000007</v>
      </c>
      <c r="AD371" s="10">
        <v>0.14000000000000001</v>
      </c>
      <c r="AE371" s="36">
        <v>0.31</v>
      </c>
      <c r="AF371" s="42">
        <f t="shared" si="129"/>
        <v>1229.7466666666667</v>
      </c>
      <c r="AG371" s="42">
        <f t="shared" si="130"/>
        <v>1939.979521948</v>
      </c>
      <c r="AH371" s="42">
        <f t="shared" si="131"/>
        <v>1.5775440377541174</v>
      </c>
      <c r="AI371" s="57">
        <v>2</v>
      </c>
      <c r="AJ371" s="57">
        <v>3</v>
      </c>
      <c r="AK371" s="36">
        <v>6.45</v>
      </c>
      <c r="AL371" s="36">
        <v>24.26</v>
      </c>
      <c r="AM371" s="63">
        <v>6.6</v>
      </c>
      <c r="AN371" s="63">
        <v>7.6</v>
      </c>
      <c r="AO371" s="36">
        <v>0.17</v>
      </c>
      <c r="AP371" s="68">
        <v>0.31</v>
      </c>
      <c r="AQ371" s="73">
        <f t="shared" si="109"/>
        <v>1200</v>
      </c>
      <c r="AR371" s="75">
        <f t="shared" si="110"/>
        <v>0.47333333333333333</v>
      </c>
      <c r="AS371" s="75">
        <f t="shared" si="111"/>
        <v>6.8333333333333329E-2</v>
      </c>
      <c r="AT371" s="75">
        <f t="shared" si="112"/>
        <v>0.45833333333333331</v>
      </c>
      <c r="AU371" s="26">
        <f t="shared" si="113"/>
        <v>7.1050080775444266E-2</v>
      </c>
      <c r="AV371" s="26">
        <f t="shared" si="114"/>
        <v>0.11757673667205169</v>
      </c>
      <c r="AW371" s="24">
        <f t="shared" si="115"/>
        <v>0.91040462427745661</v>
      </c>
      <c r="AX371" s="24">
        <f t="shared" si="116"/>
        <v>0.91040462427745661</v>
      </c>
      <c r="AY371" s="77" t="str">
        <f t="shared" si="117"/>
        <v>10,0 ≤ Alca. Bruta &lt; 15,0 mg/L</v>
      </c>
      <c r="AZ371" s="77" t="str">
        <f t="shared" si="118"/>
        <v>15 ≤ Cor &lt; 30 uC</v>
      </c>
      <c r="BA371" s="78" t="str">
        <f t="shared" si="119"/>
        <v>2,5 ≤ Turb &lt; 5,0 uT</v>
      </c>
      <c r="BB371" s="79" t="str">
        <f t="shared" si="120"/>
        <v>TOR &gt; BNN &gt; SM</v>
      </c>
      <c r="BC371" s="78" t="str">
        <f t="shared" si="121"/>
        <v>Tipo 1 (≤0,25) uT</v>
      </c>
      <c r="BD371" s="78" t="str">
        <f t="shared" si="122"/>
        <v>Tipo 1 (≤0,25) uT</v>
      </c>
      <c r="BE371" s="78" t="str">
        <f t="shared" si="123"/>
        <v>Tipo 2 (0,25-0,50) uT</v>
      </c>
      <c r="BF371" s="78" t="str">
        <f t="shared" si="124"/>
        <v>Tipo 2 (0,25-0,50) uT</v>
      </c>
      <c r="BG371" s="78" t="str">
        <f t="shared" si="125"/>
        <v>Tipo 1 (≤0,25) uT</v>
      </c>
    </row>
    <row r="372" spans="1:59" x14ac:dyDescent="0.2">
      <c r="A372" s="21">
        <v>46165</v>
      </c>
      <c r="B372" s="48">
        <v>0.64583333333333337</v>
      </c>
      <c r="C372" s="57">
        <v>1134</v>
      </c>
      <c r="D372" s="57">
        <v>82</v>
      </c>
      <c r="E372" s="57">
        <v>550</v>
      </c>
      <c r="F372" s="57">
        <v>1851</v>
      </c>
      <c r="G372" s="10" t="s">
        <v>78</v>
      </c>
      <c r="H372" s="63">
        <v>7.5</v>
      </c>
      <c r="I372" s="57">
        <v>90</v>
      </c>
      <c r="J372" s="57">
        <v>90</v>
      </c>
      <c r="K372" s="57">
        <v>90</v>
      </c>
      <c r="L372" s="63">
        <v>22.8</v>
      </c>
      <c r="M372" s="63">
        <v>7.1</v>
      </c>
      <c r="N372" s="36">
        <v>3.38</v>
      </c>
      <c r="O372" s="57">
        <v>16</v>
      </c>
      <c r="P372" s="63">
        <v>8.6</v>
      </c>
      <c r="Q372" s="36">
        <v>0.06</v>
      </c>
      <c r="R372" s="36">
        <v>22.36</v>
      </c>
      <c r="S372" s="36">
        <v>0.88</v>
      </c>
      <c r="T372" s="36">
        <v>0.7</v>
      </c>
      <c r="U372" s="42">
        <f t="shared" si="126"/>
        <v>1360.4849999999999</v>
      </c>
      <c r="V372" s="36">
        <f t="shared" si="127"/>
        <v>1440.5695574191996</v>
      </c>
      <c r="W372" s="36">
        <f t="shared" si="128"/>
        <v>1.0588647117896923</v>
      </c>
      <c r="X372" s="57">
        <v>2</v>
      </c>
      <c r="Y372" s="57">
        <v>4</v>
      </c>
      <c r="Z372" s="63">
        <v>6.46</v>
      </c>
      <c r="AA372" s="57">
        <v>17.98</v>
      </c>
      <c r="AB372" s="63">
        <v>6.7</v>
      </c>
      <c r="AC372" s="63">
        <v>6.7</v>
      </c>
      <c r="AD372" s="10">
        <v>0.14000000000000001</v>
      </c>
      <c r="AE372" s="36">
        <v>0.53</v>
      </c>
      <c r="AF372" s="42">
        <f t="shared" si="129"/>
        <v>1813.98</v>
      </c>
      <c r="AG372" s="42">
        <f t="shared" si="130"/>
        <v>1946.9321604719994</v>
      </c>
      <c r="AH372" s="42">
        <f t="shared" si="131"/>
        <v>1.0732930685409978</v>
      </c>
      <c r="AI372" s="57">
        <v>2</v>
      </c>
      <c r="AJ372" s="57">
        <v>3</v>
      </c>
      <c r="AK372" s="36">
        <v>6.46</v>
      </c>
      <c r="AL372" s="36">
        <v>24.3</v>
      </c>
      <c r="AM372" s="63">
        <v>6.4</v>
      </c>
      <c r="AN372" s="63">
        <v>6.1</v>
      </c>
      <c r="AO372" s="36">
        <v>0.12</v>
      </c>
      <c r="AP372" s="68">
        <v>0.27</v>
      </c>
      <c r="AQ372" s="73">
        <f t="shared" si="109"/>
        <v>1766</v>
      </c>
      <c r="AR372" s="75">
        <f t="shared" si="110"/>
        <v>0.64212910532276335</v>
      </c>
      <c r="AS372" s="75">
        <f t="shared" si="111"/>
        <v>4.6432616081540201E-2</v>
      </c>
      <c r="AT372" s="75">
        <f t="shared" si="112"/>
        <v>0.3114382785956965</v>
      </c>
      <c r="AU372" s="26">
        <f t="shared" si="113"/>
        <v>7.7709346299297682E-2</v>
      </c>
      <c r="AV372" s="26">
        <f t="shared" si="114"/>
        <v>7.876823338735818E-2</v>
      </c>
      <c r="AW372" s="24">
        <f t="shared" si="115"/>
        <v>0.92011834319526631</v>
      </c>
      <c r="AX372" s="24">
        <f t="shared" si="116"/>
        <v>0.84319526627218933</v>
      </c>
      <c r="AY372" s="77" t="str">
        <f t="shared" si="117"/>
        <v>7,5 ≤ Alc. Bruta &lt; 10,0 mg/L</v>
      </c>
      <c r="AZ372" s="77" t="str">
        <f t="shared" si="118"/>
        <v>15 ≤ Cor &lt; 30 uC</v>
      </c>
      <c r="BA372" s="78" t="str">
        <f t="shared" si="119"/>
        <v>2,5 ≤ Turb &lt; 5,0 uT</v>
      </c>
      <c r="BB372" s="79" t="str">
        <f t="shared" si="120"/>
        <v>TOR &gt; BNN &gt; SM</v>
      </c>
      <c r="BC372" s="78" t="str">
        <f t="shared" si="121"/>
        <v>Tipo 1 (≤0,25) uT</v>
      </c>
      <c r="BD372" s="78" t="str">
        <f t="shared" si="122"/>
        <v>Tipo 1 (≤0,25) uT</v>
      </c>
      <c r="BE372" s="78" t="str">
        <f t="shared" si="123"/>
        <v>Tipo 3 (0,50-0,75) uT</v>
      </c>
      <c r="BF372" s="78" t="str">
        <f t="shared" si="124"/>
        <v>Tipo 2 (0,25-0,50) uT</v>
      </c>
      <c r="BG372" s="78" t="str">
        <f t="shared" si="125"/>
        <v>Tipo 1 (≤0,25) uT</v>
      </c>
    </row>
    <row r="373" spans="1:59" x14ac:dyDescent="0.2">
      <c r="A373" s="21">
        <v>46165</v>
      </c>
      <c r="B373" s="48">
        <v>0.72916666666666663</v>
      </c>
      <c r="C373" s="57">
        <v>1169</v>
      </c>
      <c r="D373" s="57">
        <v>88</v>
      </c>
      <c r="E373" s="57">
        <v>550</v>
      </c>
      <c r="F373" s="57">
        <v>1873</v>
      </c>
      <c r="G373" s="10" t="s">
        <v>78</v>
      </c>
      <c r="H373" s="63">
        <v>7.5</v>
      </c>
      <c r="I373" s="57">
        <v>90</v>
      </c>
      <c r="J373" s="57">
        <v>90</v>
      </c>
      <c r="K373" s="57">
        <v>90</v>
      </c>
      <c r="L373" s="63">
        <v>22.6</v>
      </c>
      <c r="M373" s="63">
        <v>6.8</v>
      </c>
      <c r="N373" s="36">
        <v>3.99</v>
      </c>
      <c r="O373" s="57">
        <v>15</v>
      </c>
      <c r="P373" s="63">
        <v>8.1</v>
      </c>
      <c r="Q373" s="36">
        <v>0.06</v>
      </c>
      <c r="R373" s="36">
        <v>22.36</v>
      </c>
      <c r="S373" s="36">
        <v>0.88</v>
      </c>
      <c r="T373" s="36">
        <v>0.7</v>
      </c>
      <c r="U373" s="42">
        <f t="shared" si="126"/>
        <v>1519.4712500000001</v>
      </c>
      <c r="V373" s="36">
        <f t="shared" si="127"/>
        <v>1439.3334445204</v>
      </c>
      <c r="W373" s="36">
        <f t="shared" si="128"/>
        <v>0.94725941311518724</v>
      </c>
      <c r="X373" s="57">
        <v>2</v>
      </c>
      <c r="Y373" s="57">
        <v>4</v>
      </c>
      <c r="Z373" s="63">
        <v>6.47</v>
      </c>
      <c r="AA373" s="57">
        <v>17.93</v>
      </c>
      <c r="AB373" s="63">
        <v>6.6</v>
      </c>
      <c r="AC373" s="63">
        <v>6.6</v>
      </c>
      <c r="AD373" s="10">
        <v>0.28000000000000003</v>
      </c>
      <c r="AE373" s="36">
        <v>0.55000000000000004</v>
      </c>
      <c r="AF373" s="42">
        <f t="shared" si="129"/>
        <v>2025.9616666666668</v>
      </c>
      <c r="AG373" s="42">
        <f t="shared" si="130"/>
        <v>1981.7862192127998</v>
      </c>
      <c r="AH373" s="42">
        <f t="shared" si="131"/>
        <v>0.97819531920041247</v>
      </c>
      <c r="AI373" s="57">
        <v>2</v>
      </c>
      <c r="AJ373" s="57">
        <v>3</v>
      </c>
      <c r="AK373" s="36">
        <v>6.48</v>
      </c>
      <c r="AL373" s="36">
        <v>24.64</v>
      </c>
      <c r="AM373" s="63">
        <v>6.4</v>
      </c>
      <c r="AN373" s="63">
        <v>6.5</v>
      </c>
      <c r="AO373" s="36">
        <v>0.22</v>
      </c>
      <c r="AP373" s="68">
        <v>0.25</v>
      </c>
      <c r="AQ373" s="73">
        <f t="shared" si="109"/>
        <v>1807</v>
      </c>
      <c r="AR373" s="75">
        <f t="shared" si="110"/>
        <v>0.64692861095738796</v>
      </c>
      <c r="AS373" s="75">
        <f t="shared" si="111"/>
        <v>4.8699501936912006E-2</v>
      </c>
      <c r="AT373" s="75">
        <f t="shared" si="112"/>
        <v>0.30437188710570007</v>
      </c>
      <c r="AU373" s="26">
        <f t="shared" si="113"/>
        <v>7.658302189001602E-2</v>
      </c>
      <c r="AV373" s="26">
        <f t="shared" si="114"/>
        <v>7.8932194340630008E-2</v>
      </c>
      <c r="AW373" s="24">
        <f t="shared" si="115"/>
        <v>0.93734335839599003</v>
      </c>
      <c r="AX373" s="24">
        <f t="shared" si="116"/>
        <v>0.8621553884711779</v>
      </c>
      <c r="AY373" s="77" t="str">
        <f t="shared" si="117"/>
        <v>7,5 ≤ Alc. Bruta &lt; 10,0 mg/L</v>
      </c>
      <c r="AZ373" s="77" t="str">
        <f t="shared" si="118"/>
        <v>15 ≤ Cor &lt; 30 uC</v>
      </c>
      <c r="BA373" s="78" t="str">
        <f t="shared" si="119"/>
        <v>2,5 ≤ Turb &lt; 5,0 uT</v>
      </c>
      <c r="BB373" s="79" t="str">
        <f t="shared" si="120"/>
        <v>TOR &gt; BNN &gt; SM</v>
      </c>
      <c r="BC373" s="78" t="str">
        <f t="shared" si="121"/>
        <v>Tipo 2 (0,25-0,50) uT</v>
      </c>
      <c r="BD373" s="78" t="str">
        <f t="shared" si="122"/>
        <v>Tipo 1 (≤0,25) uT</v>
      </c>
      <c r="BE373" s="78" t="str">
        <f t="shared" si="123"/>
        <v>Tipo 3 (0,50-0,75) uT</v>
      </c>
      <c r="BF373" s="78" t="str">
        <f t="shared" si="124"/>
        <v>Tipo 1 (≤0,25) uT</v>
      </c>
      <c r="BG373" s="78" t="str">
        <f t="shared" si="125"/>
        <v>Tipo 1 (≤0,25) uT</v>
      </c>
    </row>
    <row r="374" spans="1:59" x14ac:dyDescent="0.2">
      <c r="A374" s="21">
        <v>46165</v>
      </c>
      <c r="B374" s="48">
        <v>0.8125</v>
      </c>
      <c r="C374" s="57">
        <v>1186</v>
      </c>
      <c r="D374" s="57">
        <v>84</v>
      </c>
      <c r="E374" s="57">
        <v>551</v>
      </c>
      <c r="F374" s="57">
        <v>1814</v>
      </c>
      <c r="G374" s="10" t="s">
        <v>78</v>
      </c>
      <c r="H374" s="63">
        <v>7.5</v>
      </c>
      <c r="I374" s="57">
        <v>90</v>
      </c>
      <c r="J374" s="57">
        <v>90</v>
      </c>
      <c r="K374" s="57">
        <v>90</v>
      </c>
      <c r="L374" s="63">
        <v>22.5</v>
      </c>
      <c r="M374" s="63">
        <v>6.8</v>
      </c>
      <c r="N374" s="36">
        <v>3.73</v>
      </c>
      <c r="O374" s="57">
        <v>24</v>
      </c>
      <c r="P374" s="63">
        <v>7.8</v>
      </c>
      <c r="Q374" s="36">
        <v>0.08</v>
      </c>
      <c r="R374" s="36">
        <v>22.36</v>
      </c>
      <c r="S374" s="36">
        <v>0.88</v>
      </c>
      <c r="T374" s="36">
        <v>0.7</v>
      </c>
      <c r="U374" s="42">
        <f t="shared" si="126"/>
        <v>1412.6525000000001</v>
      </c>
      <c r="V374" s="36">
        <f t="shared" si="127"/>
        <v>1528.1630748799998</v>
      </c>
      <c r="W374" s="36">
        <f t="shared" si="128"/>
        <v>1.0817685700340316</v>
      </c>
      <c r="X374" s="57">
        <v>2</v>
      </c>
      <c r="Y374" s="57">
        <v>4</v>
      </c>
      <c r="Z374" s="63">
        <v>6.48</v>
      </c>
      <c r="AA374" s="57">
        <v>19</v>
      </c>
      <c r="AB374" s="63">
        <v>6.6</v>
      </c>
      <c r="AC374" s="63">
        <v>6.4</v>
      </c>
      <c r="AD374" s="10">
        <v>0.22</v>
      </c>
      <c r="AE374" s="36">
        <v>0.42</v>
      </c>
      <c r="AF374" s="42">
        <f t="shared" si="129"/>
        <v>1883.5366666666666</v>
      </c>
      <c r="AG374" s="42">
        <f t="shared" si="130"/>
        <v>1937.7265440000001</v>
      </c>
      <c r="AH374" s="42">
        <f t="shared" si="131"/>
        <v>1.0287702800228649</v>
      </c>
      <c r="AI374" s="57">
        <v>2</v>
      </c>
      <c r="AJ374" s="57">
        <v>3</v>
      </c>
      <c r="AK374" s="36">
        <v>6.5</v>
      </c>
      <c r="AL374" s="36">
        <v>24</v>
      </c>
      <c r="AM374" s="63">
        <v>6.4</v>
      </c>
      <c r="AN374" s="63">
        <v>6.4</v>
      </c>
      <c r="AO374" s="36">
        <v>0.2</v>
      </c>
      <c r="AP374" s="68">
        <v>0.25</v>
      </c>
      <c r="AQ374" s="73">
        <f t="shared" si="109"/>
        <v>1821</v>
      </c>
      <c r="AR374" s="75">
        <f t="shared" si="110"/>
        <v>0.65129049972542563</v>
      </c>
      <c r="AS374" s="75">
        <f t="shared" si="111"/>
        <v>4.6128500823723231E-2</v>
      </c>
      <c r="AT374" s="75">
        <f t="shared" si="112"/>
        <v>0.30258099945085121</v>
      </c>
      <c r="AU374" s="26">
        <f t="shared" si="113"/>
        <v>8.3792723263506064E-2</v>
      </c>
      <c r="AV374" s="26">
        <f t="shared" si="114"/>
        <v>7.9382579933847855E-2</v>
      </c>
      <c r="AW374" s="24">
        <f t="shared" si="115"/>
        <v>0.93297587131367288</v>
      </c>
      <c r="AX374" s="24">
        <f t="shared" si="116"/>
        <v>0.88739946380697055</v>
      </c>
      <c r="AY374" s="77" t="str">
        <f t="shared" si="117"/>
        <v>7,5 ≤ Alc. Bruta &lt; 10,0 mg/L</v>
      </c>
      <c r="AZ374" s="77" t="str">
        <f t="shared" si="118"/>
        <v>15 ≤ Cor &lt; 30 uC</v>
      </c>
      <c r="BA374" s="78" t="str">
        <f t="shared" si="119"/>
        <v>2,5 ≤ Turb &lt; 5,0 uT</v>
      </c>
      <c r="BB374" s="79" t="str">
        <f t="shared" si="120"/>
        <v>TOR &gt; BNN &gt; SM</v>
      </c>
      <c r="BC374" s="78" t="str">
        <f t="shared" si="121"/>
        <v>Tipo 1 (≤0,25) uT</v>
      </c>
      <c r="BD374" s="78" t="str">
        <f t="shared" si="122"/>
        <v>Tipo 1 (≤0,25) uT</v>
      </c>
      <c r="BE374" s="78" t="str">
        <f t="shared" si="123"/>
        <v>Tipo 2 (0,25-0,50) uT</v>
      </c>
      <c r="BF374" s="78" t="str">
        <f t="shared" si="124"/>
        <v>Tipo 1 (≤0,25) uT</v>
      </c>
      <c r="BG374" s="78" t="str">
        <f t="shared" si="125"/>
        <v>Tipo 1 (≤0,25) uT</v>
      </c>
    </row>
    <row r="375" spans="1:59" x14ac:dyDescent="0.2">
      <c r="A375" s="21">
        <v>46165</v>
      </c>
      <c r="B375" s="48">
        <v>0.89583333333333337</v>
      </c>
      <c r="C375" s="57">
        <v>1219</v>
      </c>
      <c r="D375" s="57">
        <v>80</v>
      </c>
      <c r="E375" s="57">
        <v>550</v>
      </c>
      <c r="F375" s="57">
        <v>1814</v>
      </c>
      <c r="G375" s="10" t="s">
        <v>78</v>
      </c>
      <c r="H375" s="63">
        <v>7.5</v>
      </c>
      <c r="I375" s="57">
        <v>90</v>
      </c>
      <c r="J375" s="57">
        <v>90</v>
      </c>
      <c r="K375" s="57">
        <v>90</v>
      </c>
      <c r="L375" s="63">
        <v>22.7</v>
      </c>
      <c r="M375" s="63">
        <v>6.8</v>
      </c>
      <c r="N375" s="36">
        <v>3.34</v>
      </c>
      <c r="O375" s="57">
        <v>14</v>
      </c>
      <c r="P375" s="63">
        <v>8</v>
      </c>
      <c r="Q375" s="36">
        <v>0.06</v>
      </c>
      <c r="R375" s="36">
        <v>22.36</v>
      </c>
      <c r="S375" s="36">
        <v>0.88</v>
      </c>
      <c r="T375" s="36">
        <v>0.7</v>
      </c>
      <c r="U375" s="42">
        <f t="shared" si="126"/>
        <v>1324.22</v>
      </c>
      <c r="V375" s="36">
        <f t="shared" si="127"/>
        <v>1445.5595404587998</v>
      </c>
      <c r="W375" s="36">
        <f t="shared" si="128"/>
        <v>1.0916309529072208</v>
      </c>
      <c r="X375" s="57">
        <v>2</v>
      </c>
      <c r="Y375" s="57">
        <v>4</v>
      </c>
      <c r="Z375" s="63">
        <v>6.51</v>
      </c>
      <c r="AA375" s="57">
        <v>17.87</v>
      </c>
      <c r="AB375" s="63">
        <v>6.6</v>
      </c>
      <c r="AC375" s="63">
        <v>6.8</v>
      </c>
      <c r="AD375" s="10">
        <v>0.3</v>
      </c>
      <c r="AE375" s="36">
        <v>0.44</v>
      </c>
      <c r="AF375" s="42">
        <f t="shared" si="129"/>
        <v>1765.6266666666666</v>
      </c>
      <c r="AG375" s="42">
        <f t="shared" si="130"/>
        <v>1976.3741998936002</v>
      </c>
      <c r="AH375" s="42">
        <f t="shared" si="131"/>
        <v>1.1193613220765435</v>
      </c>
      <c r="AI375" s="57">
        <v>2</v>
      </c>
      <c r="AJ375" s="57">
        <v>3</v>
      </c>
      <c r="AK375" s="36">
        <v>6.47</v>
      </c>
      <c r="AL375" s="36">
        <v>24.62</v>
      </c>
      <c r="AM375" s="63">
        <v>6.5</v>
      </c>
      <c r="AN375" s="63">
        <v>6.6</v>
      </c>
      <c r="AO375" s="36">
        <v>0.19</v>
      </c>
      <c r="AP375" s="68">
        <v>0.27</v>
      </c>
      <c r="AQ375" s="73">
        <f t="shared" si="109"/>
        <v>1849</v>
      </c>
      <c r="AR375" s="75">
        <f t="shared" si="110"/>
        <v>0.65927528393726342</v>
      </c>
      <c r="AS375" s="75">
        <f t="shared" si="111"/>
        <v>4.3266630611141159E-2</v>
      </c>
      <c r="AT375" s="75">
        <f t="shared" si="112"/>
        <v>0.29745808545159547</v>
      </c>
      <c r="AU375" s="26">
        <f t="shared" si="113"/>
        <v>7.8809261300992292E-2</v>
      </c>
      <c r="AV375" s="26">
        <f t="shared" si="114"/>
        <v>8.1433296582138923E-2</v>
      </c>
      <c r="AW375" s="24">
        <f t="shared" si="115"/>
        <v>0.91916167664670656</v>
      </c>
      <c r="AX375" s="24">
        <f t="shared" si="116"/>
        <v>0.86826347305389218</v>
      </c>
      <c r="AY375" s="77" t="str">
        <f t="shared" si="117"/>
        <v>7,5 ≤ Alc. Bruta &lt; 10,0 mg/L</v>
      </c>
      <c r="AZ375" s="77" t="str">
        <f t="shared" si="118"/>
        <v>10 ≤ Cor &lt;15 uC</v>
      </c>
      <c r="BA375" s="78" t="str">
        <f t="shared" si="119"/>
        <v>2,5 ≤ Turb &lt; 5,0 uT</v>
      </c>
      <c r="BB375" s="79" t="str">
        <f t="shared" si="120"/>
        <v>TOR &gt; BNN &gt; SM</v>
      </c>
      <c r="BC375" s="78" t="str">
        <f t="shared" si="121"/>
        <v>Tipo 2 (0,25-0,50) uT</v>
      </c>
      <c r="BD375" s="78" t="str">
        <f t="shared" si="122"/>
        <v>Tipo 1 (≤0,25) uT</v>
      </c>
      <c r="BE375" s="78" t="str">
        <f t="shared" si="123"/>
        <v>Tipo 2 (0,25-0,50) uT</v>
      </c>
      <c r="BF375" s="78" t="str">
        <f t="shared" si="124"/>
        <v>Tipo 2 (0,25-0,50) uT</v>
      </c>
      <c r="BG375" s="78" t="str">
        <f t="shared" si="125"/>
        <v>Tipo 1 (≤0,25) uT</v>
      </c>
    </row>
    <row r="376" spans="1:59" x14ac:dyDescent="0.2">
      <c r="A376" s="21">
        <v>46165</v>
      </c>
      <c r="B376" s="48">
        <v>0.97916666666666663</v>
      </c>
      <c r="C376" s="57">
        <v>1186</v>
      </c>
      <c r="D376" s="57">
        <v>90</v>
      </c>
      <c r="E376" s="57">
        <v>550</v>
      </c>
      <c r="F376" s="57">
        <v>1888</v>
      </c>
      <c r="G376" s="10" t="s">
        <v>78</v>
      </c>
      <c r="H376" s="63">
        <v>7.5</v>
      </c>
      <c r="I376" s="57">
        <v>90</v>
      </c>
      <c r="J376" s="57">
        <v>90</v>
      </c>
      <c r="K376" s="57">
        <v>90</v>
      </c>
      <c r="L376" s="63">
        <v>22.3</v>
      </c>
      <c r="M376" s="63">
        <v>6.9</v>
      </c>
      <c r="N376" s="36">
        <v>3.25</v>
      </c>
      <c r="O376" s="57">
        <v>14</v>
      </c>
      <c r="P376" s="63">
        <v>7.1</v>
      </c>
      <c r="Q376" s="36">
        <v>0.06</v>
      </c>
      <c r="R376" s="36">
        <v>22.36</v>
      </c>
      <c r="S376" s="36">
        <v>0.88</v>
      </c>
      <c r="T376" s="36">
        <v>0.7</v>
      </c>
      <c r="U376" s="42">
        <f t="shared" si="126"/>
        <v>1357</v>
      </c>
      <c r="V376" s="36">
        <f t="shared" si="127"/>
        <v>1447.7334393599999</v>
      </c>
      <c r="W376" s="36">
        <f t="shared" si="128"/>
        <v>1.0668632567133383</v>
      </c>
      <c r="X376" s="57">
        <v>2</v>
      </c>
      <c r="Y376" s="57">
        <v>4</v>
      </c>
      <c r="Z376" s="63">
        <v>6.48</v>
      </c>
      <c r="AA376" s="57">
        <v>18</v>
      </c>
      <c r="AB376" s="63">
        <v>6.5</v>
      </c>
      <c r="AC376" s="63">
        <v>5.6</v>
      </c>
      <c r="AD376" s="10">
        <v>0.31</v>
      </c>
      <c r="AE376" s="36">
        <v>0.57999999999999996</v>
      </c>
      <c r="AF376" s="42">
        <f t="shared" si="129"/>
        <v>1809.3333333333335</v>
      </c>
      <c r="AG376" s="42">
        <f t="shared" si="130"/>
        <v>1856.9879380000002</v>
      </c>
      <c r="AH376" s="42">
        <f t="shared" si="131"/>
        <v>1.0263382118644069</v>
      </c>
      <c r="AI376" s="57">
        <v>2</v>
      </c>
      <c r="AJ376" s="57">
        <v>3</v>
      </c>
      <c r="AK376" s="36">
        <v>6.5</v>
      </c>
      <c r="AL376" s="36">
        <v>23</v>
      </c>
      <c r="AM376" s="63">
        <v>6.4</v>
      </c>
      <c r="AN376" s="63">
        <v>5.8</v>
      </c>
      <c r="AO376" s="36">
        <v>0.23</v>
      </c>
      <c r="AP376" s="68">
        <v>0.28000000000000003</v>
      </c>
      <c r="AQ376" s="73">
        <f t="shared" si="109"/>
        <v>1826</v>
      </c>
      <c r="AR376" s="75">
        <f t="shared" si="110"/>
        <v>0.64950711938663741</v>
      </c>
      <c r="AS376" s="75">
        <f t="shared" si="111"/>
        <v>4.9288061336254109E-2</v>
      </c>
      <c r="AT376" s="75">
        <f t="shared" si="112"/>
        <v>0.30120481927710846</v>
      </c>
      <c r="AU376" s="26">
        <f t="shared" si="113"/>
        <v>7.6271186440677971E-2</v>
      </c>
      <c r="AV376" s="26">
        <f t="shared" si="114"/>
        <v>7.309322033898305E-2</v>
      </c>
      <c r="AW376" s="24">
        <f t="shared" si="115"/>
        <v>0.91384615384615386</v>
      </c>
      <c r="AX376" s="24">
        <f t="shared" si="116"/>
        <v>0.82153846153846155</v>
      </c>
      <c r="AY376" s="77" t="str">
        <f t="shared" si="117"/>
        <v>5,0 ≤ Alc. Bruta &lt; 7,5 mg/L</v>
      </c>
      <c r="AZ376" s="77" t="str">
        <f t="shared" si="118"/>
        <v>10 ≤ Cor &lt;15 uC</v>
      </c>
      <c r="BA376" s="78" t="str">
        <f t="shared" si="119"/>
        <v>2,5 ≤ Turb &lt; 5,0 uT</v>
      </c>
      <c r="BB376" s="79" t="str">
        <f t="shared" si="120"/>
        <v>TOR &gt; BNN &gt; SM</v>
      </c>
      <c r="BC376" s="78" t="str">
        <f t="shared" si="121"/>
        <v>Tipo 2 (0,25-0,50) uT</v>
      </c>
      <c r="BD376" s="78" t="str">
        <f t="shared" si="122"/>
        <v>Tipo 1 (≤0,25) uT</v>
      </c>
      <c r="BE376" s="78" t="str">
        <f t="shared" si="123"/>
        <v>Tipo 3 (0,50-0,75) uT</v>
      </c>
      <c r="BF376" s="78" t="str">
        <f t="shared" si="124"/>
        <v>Tipo 2 (0,25-0,50) uT</v>
      </c>
      <c r="BG376" s="78" t="str">
        <f t="shared" si="125"/>
        <v>Tipo 1 (≤0,25) uT</v>
      </c>
    </row>
    <row r="377" spans="1:59" x14ac:dyDescent="0.2">
      <c r="A377" s="21">
        <v>46166</v>
      </c>
      <c r="B377" s="48">
        <v>6.25E-2</v>
      </c>
      <c r="C377" s="57">
        <v>1179</v>
      </c>
      <c r="D377" s="57">
        <v>80</v>
      </c>
      <c r="E377" s="57">
        <v>549</v>
      </c>
      <c r="F377" s="57">
        <v>1881</v>
      </c>
      <c r="G377" s="10" t="s">
        <v>78</v>
      </c>
      <c r="H377" s="63">
        <v>7.5</v>
      </c>
      <c r="I377" s="57">
        <v>90</v>
      </c>
      <c r="J377" s="57">
        <v>90</v>
      </c>
      <c r="K377" s="57">
        <v>90</v>
      </c>
      <c r="L377" s="63">
        <v>22.2</v>
      </c>
      <c r="M377" s="63">
        <v>6.8</v>
      </c>
      <c r="N377" s="36">
        <v>3.42</v>
      </c>
      <c r="O377" s="57">
        <v>14</v>
      </c>
      <c r="P377" s="63">
        <v>7.4</v>
      </c>
      <c r="Q377" s="36">
        <v>7.0000000000000007E-2</v>
      </c>
      <c r="R377" s="36">
        <v>22.36</v>
      </c>
      <c r="S377" s="36">
        <v>0.88</v>
      </c>
      <c r="T377" s="36">
        <v>0.7</v>
      </c>
      <c r="U377" s="42">
        <f t="shared" si="126"/>
        <v>1391.94</v>
      </c>
      <c r="V377" s="36">
        <f t="shared" si="127"/>
        <v>1420.9994656000001</v>
      </c>
      <c r="W377" s="36">
        <f t="shared" si="128"/>
        <v>1.0208769527422159</v>
      </c>
      <c r="X377" s="57">
        <v>2</v>
      </c>
      <c r="Y377" s="57">
        <v>4</v>
      </c>
      <c r="Z377" s="63">
        <v>6.5</v>
      </c>
      <c r="AA377" s="57">
        <v>17.600000000000001</v>
      </c>
      <c r="AB377" s="63">
        <v>6.5</v>
      </c>
      <c r="AC377" s="63">
        <v>5.8</v>
      </c>
      <c r="AD377" s="10">
        <v>0.28999999999999998</v>
      </c>
      <c r="AE377" s="36">
        <v>0.33</v>
      </c>
      <c r="AF377" s="42">
        <f t="shared" si="129"/>
        <v>1855.92</v>
      </c>
      <c r="AG377" s="42">
        <f t="shared" si="130"/>
        <v>1890.0964347199997</v>
      </c>
      <c r="AH377" s="42">
        <f t="shared" si="131"/>
        <v>1.0184148210698736</v>
      </c>
      <c r="AI377" s="57">
        <v>2</v>
      </c>
      <c r="AJ377" s="57">
        <v>3</v>
      </c>
      <c r="AK377" s="36">
        <v>6.48</v>
      </c>
      <c r="AL377" s="36">
        <v>23.5</v>
      </c>
      <c r="AM377" s="63">
        <v>6.4</v>
      </c>
      <c r="AN377" s="63">
        <v>5.8</v>
      </c>
      <c r="AO377" s="36">
        <v>0.33</v>
      </c>
      <c r="AP377" s="68">
        <v>0.47</v>
      </c>
      <c r="AQ377" s="73">
        <f t="shared" si="109"/>
        <v>1808</v>
      </c>
      <c r="AR377" s="75">
        <f t="shared" si="110"/>
        <v>0.65210176991150437</v>
      </c>
      <c r="AS377" s="75">
        <f t="shared" si="111"/>
        <v>4.4247787610619468E-2</v>
      </c>
      <c r="AT377" s="75">
        <f t="shared" si="112"/>
        <v>0.30365044247787609</v>
      </c>
      <c r="AU377" s="26">
        <f t="shared" si="113"/>
        <v>7.4853801169590645E-2</v>
      </c>
      <c r="AV377" s="26">
        <f t="shared" si="114"/>
        <v>7.4960127591706532E-2</v>
      </c>
      <c r="AW377" s="24">
        <f t="shared" si="115"/>
        <v>0.86257309941520466</v>
      </c>
      <c r="AX377" s="24">
        <f t="shared" si="116"/>
        <v>0.90350877192982459</v>
      </c>
      <c r="AY377" s="77" t="str">
        <f t="shared" si="117"/>
        <v>5,0 ≤ Alc. Bruta &lt; 7,5 mg/L</v>
      </c>
      <c r="AZ377" s="77" t="str">
        <f t="shared" si="118"/>
        <v>10 ≤ Cor &lt;15 uC</v>
      </c>
      <c r="BA377" s="78" t="str">
        <f t="shared" si="119"/>
        <v>2,5 ≤ Turb &lt; 5,0 uT</v>
      </c>
      <c r="BB377" s="79" t="str">
        <f t="shared" si="120"/>
        <v>TOR &gt; BNN &gt; SM</v>
      </c>
      <c r="BC377" s="78" t="str">
        <f t="shared" si="121"/>
        <v>Tipo 2 (0,25-0,50) uT</v>
      </c>
      <c r="BD377" s="78" t="str">
        <f t="shared" si="122"/>
        <v>Tipo 2 (0,25-0,50) uT</v>
      </c>
      <c r="BE377" s="78" t="str">
        <f t="shared" si="123"/>
        <v>Tipo 2 (0,25-0,50) uT</v>
      </c>
      <c r="BF377" s="78" t="str">
        <f t="shared" si="124"/>
        <v>Tipo 2 (0,25-0,50) uT</v>
      </c>
      <c r="BG377" s="78" t="str">
        <f t="shared" si="125"/>
        <v>Tipo 1 (≤0,25) uT</v>
      </c>
    </row>
    <row r="378" spans="1:59" x14ac:dyDescent="0.2">
      <c r="A378" s="21">
        <v>46166</v>
      </c>
      <c r="B378" s="48">
        <v>0.14583333333333334</v>
      </c>
      <c r="C378" s="57">
        <v>1134</v>
      </c>
      <c r="D378" s="57">
        <v>31</v>
      </c>
      <c r="E378" s="57">
        <v>550</v>
      </c>
      <c r="F378" s="57">
        <v>1897</v>
      </c>
      <c r="G378" s="10" t="s">
        <v>78</v>
      </c>
      <c r="H378" s="63">
        <v>7.5</v>
      </c>
      <c r="I378" s="57">
        <v>90</v>
      </c>
      <c r="J378" s="57">
        <v>90</v>
      </c>
      <c r="K378" s="57">
        <v>90</v>
      </c>
      <c r="L378" s="63">
        <v>22.3</v>
      </c>
      <c r="M378" s="63">
        <v>6.8</v>
      </c>
      <c r="N378" s="36">
        <v>3.43</v>
      </c>
      <c r="O378" s="57">
        <v>16</v>
      </c>
      <c r="P378" s="63">
        <v>7.5</v>
      </c>
      <c r="Q378" s="36">
        <v>0.06</v>
      </c>
      <c r="R378" s="36">
        <v>22.36</v>
      </c>
      <c r="S378" s="36">
        <v>0.88</v>
      </c>
      <c r="T378" s="36">
        <v>0.7</v>
      </c>
      <c r="U378" s="42">
        <f t="shared" si="126"/>
        <v>1406.1512499999999</v>
      </c>
      <c r="V378" s="36">
        <f t="shared" si="127"/>
        <v>1404.7956677560001</v>
      </c>
      <c r="W378" s="36">
        <f t="shared" si="128"/>
        <v>0.99903596270742578</v>
      </c>
      <c r="X378" s="57">
        <v>2</v>
      </c>
      <c r="Y378" s="57">
        <v>4</v>
      </c>
      <c r="Z378" s="63">
        <v>6.53</v>
      </c>
      <c r="AA378" s="57">
        <v>17.3</v>
      </c>
      <c r="AB378" s="63">
        <v>6.6</v>
      </c>
      <c r="AC378" s="63">
        <v>5.7</v>
      </c>
      <c r="AD378" s="10">
        <v>0.23</v>
      </c>
      <c r="AE378" s="36">
        <v>0.39</v>
      </c>
      <c r="AF378" s="42">
        <f t="shared" si="129"/>
        <v>1874.8683333333333</v>
      </c>
      <c r="AG378" s="42">
        <f t="shared" si="130"/>
        <v>1999.6934895079999</v>
      </c>
      <c r="AH378" s="42">
        <f t="shared" si="131"/>
        <v>1.0665780918880525</v>
      </c>
      <c r="AI378" s="57">
        <v>2</v>
      </c>
      <c r="AJ378" s="57">
        <v>3</v>
      </c>
      <c r="AK378" s="36">
        <v>6.39</v>
      </c>
      <c r="AL378" s="36">
        <v>25.3</v>
      </c>
      <c r="AM378" s="63">
        <v>6.4</v>
      </c>
      <c r="AN378" s="63">
        <v>5</v>
      </c>
      <c r="AO378" s="36">
        <v>0.13</v>
      </c>
      <c r="AP378" s="68">
        <v>0.28999999999999998</v>
      </c>
      <c r="AQ378" s="73">
        <f t="shared" si="109"/>
        <v>1715</v>
      </c>
      <c r="AR378" s="75">
        <f t="shared" si="110"/>
        <v>0.66122448979591841</v>
      </c>
      <c r="AS378" s="75">
        <f t="shared" si="111"/>
        <v>1.8075801749271137E-2</v>
      </c>
      <c r="AT378" s="75">
        <f t="shared" si="112"/>
        <v>0.32069970845481049</v>
      </c>
      <c r="AU378" s="26">
        <f t="shared" si="113"/>
        <v>7.2957301001581445E-2</v>
      </c>
      <c r="AV378" s="26">
        <f t="shared" si="114"/>
        <v>8.0021085925144966E-2</v>
      </c>
      <c r="AW378" s="24">
        <f t="shared" si="115"/>
        <v>0.91545189504373181</v>
      </c>
      <c r="AX378" s="24">
        <f t="shared" si="116"/>
        <v>0.88629737609329451</v>
      </c>
      <c r="AY378" s="77" t="str">
        <f t="shared" si="117"/>
        <v>7,5 ≤ Alc. Bruta &lt; 10,0 mg/L</v>
      </c>
      <c r="AZ378" s="77" t="str">
        <f t="shared" si="118"/>
        <v>15 ≤ Cor &lt; 30 uC</v>
      </c>
      <c r="BA378" s="78" t="str">
        <f t="shared" si="119"/>
        <v>2,5 ≤ Turb &lt; 5,0 uT</v>
      </c>
      <c r="BB378" s="79" t="str">
        <f t="shared" si="120"/>
        <v>TOR &gt; BNN &gt; SM</v>
      </c>
      <c r="BC378" s="78" t="str">
        <f t="shared" si="121"/>
        <v>Tipo 1 (≤0,25) uT</v>
      </c>
      <c r="BD378" s="78" t="str">
        <f t="shared" si="122"/>
        <v>Tipo 1 (≤0,25) uT</v>
      </c>
      <c r="BE378" s="78" t="str">
        <f t="shared" si="123"/>
        <v>Tipo 2 (0,25-0,50) uT</v>
      </c>
      <c r="BF378" s="78" t="str">
        <f t="shared" si="124"/>
        <v>Tipo 2 (0,25-0,50) uT</v>
      </c>
      <c r="BG378" s="78" t="str">
        <f t="shared" si="125"/>
        <v>Tipo 1 (≤0,25) uT</v>
      </c>
    </row>
    <row r="379" spans="1:59" ht="15.75" thickBot="1" x14ac:dyDescent="0.25">
      <c r="A379" s="21">
        <v>46166</v>
      </c>
      <c r="B379" s="51">
        <v>0.22916666666666666</v>
      </c>
      <c r="C379" s="58">
        <v>598</v>
      </c>
      <c r="D379" s="58">
        <v>82</v>
      </c>
      <c r="E379" s="58">
        <v>550</v>
      </c>
      <c r="F379" s="58">
        <v>1241</v>
      </c>
      <c r="G379" s="11" t="s">
        <v>78</v>
      </c>
      <c r="H379" s="64">
        <v>7.5</v>
      </c>
      <c r="I379" s="58">
        <v>90</v>
      </c>
      <c r="J379" s="58">
        <v>90</v>
      </c>
      <c r="K379" s="58">
        <v>90</v>
      </c>
      <c r="L379" s="64">
        <v>22.1</v>
      </c>
      <c r="M379" s="64">
        <v>6.8</v>
      </c>
      <c r="N379" s="37">
        <v>3.36</v>
      </c>
      <c r="O379" s="58">
        <v>14</v>
      </c>
      <c r="P379" s="64">
        <v>7.3</v>
      </c>
      <c r="Q379" s="37">
        <v>0.05</v>
      </c>
      <c r="R379" s="36">
        <v>22.36</v>
      </c>
      <c r="S379" s="36">
        <v>0.88</v>
      </c>
      <c r="T379" s="36">
        <v>0.7</v>
      </c>
      <c r="U379" s="42">
        <f t="shared" si="126"/>
        <v>1818.0649999999998</v>
      </c>
      <c r="V379" s="36">
        <f t="shared" si="127"/>
        <v>1167.8955770767996</v>
      </c>
      <c r="W379" s="36">
        <f t="shared" si="128"/>
        <v>0.64238384055399544</v>
      </c>
      <c r="X379" s="58">
        <v>1</v>
      </c>
      <c r="Y379" s="58">
        <v>2</v>
      </c>
      <c r="Z379" s="64">
        <v>6.52</v>
      </c>
      <c r="AA379" s="58">
        <v>14.41</v>
      </c>
      <c r="AB379" s="64">
        <v>6.6</v>
      </c>
      <c r="AC379" s="64">
        <v>6</v>
      </c>
      <c r="AD379" s="11">
        <v>0.2</v>
      </c>
      <c r="AE379" s="37">
        <v>0.31</v>
      </c>
      <c r="AF379" s="42">
        <f t="shared" si="129"/>
        <v>1818.0649999999998</v>
      </c>
      <c r="AG379" s="42">
        <f t="shared" si="130"/>
        <v>1986.8099694300001</v>
      </c>
      <c r="AH379" s="42">
        <f t="shared" si="131"/>
        <v>1.0928156965950064</v>
      </c>
      <c r="AI379" s="58">
        <v>2</v>
      </c>
      <c r="AJ379" s="58">
        <v>2</v>
      </c>
      <c r="AK379" s="37">
        <v>6.47</v>
      </c>
      <c r="AL379" s="37">
        <v>24.75</v>
      </c>
      <c r="AM379" s="64">
        <v>6.5</v>
      </c>
      <c r="AN379" s="64">
        <v>5.3</v>
      </c>
      <c r="AO379" s="37">
        <v>0.5</v>
      </c>
      <c r="AP379" s="69">
        <v>0.28000000000000003</v>
      </c>
      <c r="AQ379" s="73">
        <f t="shared" si="109"/>
        <v>1230</v>
      </c>
      <c r="AR379" s="75">
        <f t="shared" si="110"/>
        <v>0.48617886178861791</v>
      </c>
      <c r="AS379" s="75">
        <f t="shared" si="111"/>
        <v>6.6666666666666666E-2</v>
      </c>
      <c r="AT379" s="75">
        <f t="shared" si="112"/>
        <v>0.44715447154471544</v>
      </c>
      <c r="AU379" s="26">
        <f t="shared" si="113"/>
        <v>4.6446414182111199E-2</v>
      </c>
      <c r="AV379" s="26">
        <f t="shared" si="114"/>
        <v>7.9774375503626108E-2</v>
      </c>
      <c r="AW379" s="24">
        <f t="shared" si="115"/>
        <v>0.91666666666666663</v>
      </c>
      <c r="AX379" s="24">
        <f t="shared" si="116"/>
        <v>0.90773809523809523</v>
      </c>
      <c r="AY379" s="77" t="str">
        <f t="shared" si="117"/>
        <v>5,0 ≤ Alc. Bruta &lt; 7,5 mg/L</v>
      </c>
      <c r="AZ379" s="77" t="str">
        <f t="shared" si="118"/>
        <v>10 ≤ Cor &lt;15 uC</v>
      </c>
      <c r="BA379" s="78" t="str">
        <f t="shared" si="119"/>
        <v>2,5 ≤ Turb &lt; 5,0 uT</v>
      </c>
      <c r="BB379" s="79" t="str">
        <f t="shared" si="120"/>
        <v>TOR &gt; BNN &gt; SM</v>
      </c>
      <c r="BC379" s="78" t="str">
        <f t="shared" si="121"/>
        <v>Tipo 1 (≤0,25) uT</v>
      </c>
      <c r="BD379" s="78" t="str">
        <f t="shared" si="122"/>
        <v>Tipo 2 (0,25-0,50) uT</v>
      </c>
      <c r="BE379" s="78" t="str">
        <f t="shared" si="123"/>
        <v>Tipo 2 (0,25-0,50) uT</v>
      </c>
      <c r="BF379" s="78" t="str">
        <f t="shared" si="124"/>
        <v>Tipo 2 (0,25-0,50) uT</v>
      </c>
      <c r="BG379" s="78" t="str">
        <f t="shared" si="125"/>
        <v>Tipo 1 (≤0,25) uT</v>
      </c>
    </row>
    <row r="380" spans="1:59" x14ac:dyDescent="0.2">
      <c r="A380" s="21">
        <v>46166</v>
      </c>
      <c r="B380" s="52">
        <v>0.3125</v>
      </c>
      <c r="C380" s="59">
        <v>607</v>
      </c>
      <c r="D380" s="57">
        <v>76</v>
      </c>
      <c r="E380" s="59">
        <v>548</v>
      </c>
      <c r="F380" s="59">
        <v>1200</v>
      </c>
      <c r="G380" s="9" t="s">
        <v>78</v>
      </c>
      <c r="H380" s="65">
        <v>7.5</v>
      </c>
      <c r="I380" s="59">
        <v>90</v>
      </c>
      <c r="J380" s="59">
        <v>90</v>
      </c>
      <c r="K380" s="59">
        <v>90</v>
      </c>
      <c r="L380" s="65">
        <v>22.1</v>
      </c>
      <c r="M380" s="65">
        <v>7</v>
      </c>
      <c r="N380" s="38">
        <v>3.07</v>
      </c>
      <c r="O380" s="59">
        <v>13</v>
      </c>
      <c r="P380" s="65">
        <v>8.3000000000000007</v>
      </c>
      <c r="Q380" s="38">
        <v>0.06</v>
      </c>
      <c r="R380" s="36">
        <v>22.36</v>
      </c>
      <c r="S380" s="36">
        <v>0.88</v>
      </c>
      <c r="T380" s="36">
        <v>0.7</v>
      </c>
      <c r="U380" s="42">
        <f t="shared" si="126"/>
        <v>1671</v>
      </c>
      <c r="V380" s="36">
        <f t="shared" si="127"/>
        <v>1849.8816169599997</v>
      </c>
      <c r="W380" s="36">
        <f t="shared" si="128"/>
        <v>1.1070506385158587</v>
      </c>
      <c r="X380" s="59">
        <v>1</v>
      </c>
      <c r="Y380" s="59">
        <v>2</v>
      </c>
      <c r="Z380" s="65">
        <v>6.48</v>
      </c>
      <c r="AA380" s="59">
        <v>23</v>
      </c>
      <c r="AB380" s="65">
        <v>6.6</v>
      </c>
      <c r="AC380" s="65">
        <v>6.7</v>
      </c>
      <c r="AD380" s="9">
        <v>0.19</v>
      </c>
      <c r="AE380" s="38">
        <v>0.27</v>
      </c>
      <c r="AF380" s="42">
        <f t="shared" si="129"/>
        <v>1671</v>
      </c>
      <c r="AG380" s="42">
        <f t="shared" si="130"/>
        <v>1043.5769536400001</v>
      </c>
      <c r="AH380" s="42">
        <f t="shared" si="131"/>
        <v>0.62452241390783969</v>
      </c>
      <c r="AI380" s="59">
        <v>1</v>
      </c>
      <c r="AJ380" s="59">
        <v>2</v>
      </c>
      <c r="AK380" s="38">
        <v>6.47</v>
      </c>
      <c r="AL380" s="38">
        <v>13</v>
      </c>
      <c r="AM380" s="65">
        <v>6.6</v>
      </c>
      <c r="AN380" s="65">
        <v>6.1</v>
      </c>
      <c r="AO380" s="38">
        <v>0.21</v>
      </c>
      <c r="AP380" s="70">
        <v>0.36</v>
      </c>
      <c r="AQ380" s="73">
        <f t="shared" si="109"/>
        <v>1231</v>
      </c>
      <c r="AR380" s="75">
        <f t="shared" si="110"/>
        <v>0.49309504467912268</v>
      </c>
      <c r="AS380" s="75">
        <f t="shared" si="111"/>
        <v>6.1738424045491472E-2</v>
      </c>
      <c r="AT380" s="75">
        <f t="shared" si="112"/>
        <v>0.44516653127538586</v>
      </c>
      <c r="AU380" s="26">
        <f t="shared" si="113"/>
        <v>7.6666666666666661E-2</v>
      </c>
      <c r="AV380" s="26">
        <f t="shared" si="114"/>
        <v>4.3333333333333335E-2</v>
      </c>
      <c r="AW380" s="24">
        <f t="shared" si="115"/>
        <v>0.88273615635179148</v>
      </c>
      <c r="AX380" s="24">
        <f t="shared" si="116"/>
        <v>0.91205211726384361</v>
      </c>
      <c r="AY380" s="77" t="str">
        <f t="shared" si="117"/>
        <v>7,5 ≤ Alc. Bruta &lt; 10,0 mg/L</v>
      </c>
      <c r="AZ380" s="77" t="str">
        <f t="shared" si="118"/>
        <v>10 ≤ Cor &lt;15 uC</v>
      </c>
      <c r="BA380" s="78" t="str">
        <f t="shared" si="119"/>
        <v>2,5 ≤ Turb &lt; 5,0 uT</v>
      </c>
      <c r="BB380" s="79" t="str">
        <f t="shared" si="120"/>
        <v>TOR &gt; BNN &gt; SM</v>
      </c>
      <c r="BC380" s="78" t="str">
        <f t="shared" si="121"/>
        <v>Tipo 1 (≤0,25) uT</v>
      </c>
      <c r="BD380" s="78" t="str">
        <f t="shared" si="122"/>
        <v>Tipo 1 (≤0,25) uT</v>
      </c>
      <c r="BE380" s="78" t="str">
        <f t="shared" si="123"/>
        <v>Tipo 2 (0,25-0,50) uT</v>
      </c>
      <c r="BF380" s="78" t="str">
        <f t="shared" si="124"/>
        <v>Tipo 2 (0,25-0,50) uT</v>
      </c>
      <c r="BG380" s="78" t="str">
        <f t="shared" si="125"/>
        <v>Tipo 1 (≤0,25) uT</v>
      </c>
    </row>
    <row r="381" spans="1:59" x14ac:dyDescent="0.2">
      <c r="A381" s="21">
        <v>46166</v>
      </c>
      <c r="B381" s="48">
        <v>0.39583333333333331</v>
      </c>
      <c r="C381" s="57">
        <v>591</v>
      </c>
      <c r="D381" s="57">
        <v>83</v>
      </c>
      <c r="E381" s="57">
        <v>549</v>
      </c>
      <c r="F381" s="57">
        <v>1277</v>
      </c>
      <c r="G381" s="10" t="s">
        <v>78</v>
      </c>
      <c r="H381" s="63">
        <v>7.5</v>
      </c>
      <c r="I381" s="57">
        <v>90</v>
      </c>
      <c r="J381" s="57">
        <v>90</v>
      </c>
      <c r="K381" s="57">
        <v>90</v>
      </c>
      <c r="L381" s="63">
        <v>22.2</v>
      </c>
      <c r="M381" s="63">
        <v>6.8</v>
      </c>
      <c r="N381" s="36">
        <v>3.56</v>
      </c>
      <c r="O381" s="57">
        <v>15</v>
      </c>
      <c r="P381" s="63">
        <v>9.3000000000000007</v>
      </c>
      <c r="Q381" s="36">
        <v>0.06</v>
      </c>
      <c r="R381" s="36">
        <v>22.36</v>
      </c>
      <c r="S381" s="36">
        <v>0.88</v>
      </c>
      <c r="T381" s="36">
        <v>0.7</v>
      </c>
      <c r="U381" s="42">
        <f t="shared" si="126"/>
        <v>1934.6550000000002</v>
      </c>
      <c r="V381" s="36">
        <f t="shared" si="127"/>
        <v>1849.8816169599997</v>
      </c>
      <c r="W381" s="36">
        <f t="shared" si="128"/>
        <v>0.95618165355580176</v>
      </c>
      <c r="X381" s="57">
        <v>1</v>
      </c>
      <c r="Y381" s="57">
        <v>2</v>
      </c>
      <c r="Z381" s="63">
        <v>6.48</v>
      </c>
      <c r="AA381" s="57">
        <v>23</v>
      </c>
      <c r="AB381" s="63">
        <v>6.6</v>
      </c>
      <c r="AC381" s="63">
        <v>6.5</v>
      </c>
      <c r="AD381" s="10">
        <v>0.17</v>
      </c>
      <c r="AE381" s="36">
        <v>0.25</v>
      </c>
      <c r="AF381" s="42">
        <f t="shared" si="129"/>
        <v>1934.6550000000002</v>
      </c>
      <c r="AG381" s="42">
        <f t="shared" si="130"/>
        <v>1043.5769536400001</v>
      </c>
      <c r="AH381" s="42">
        <f t="shared" si="131"/>
        <v>0.53941242942023249</v>
      </c>
      <c r="AI381" s="57">
        <v>1</v>
      </c>
      <c r="AJ381" s="57">
        <v>2</v>
      </c>
      <c r="AK381" s="36">
        <v>6.47</v>
      </c>
      <c r="AL381" s="36">
        <v>13</v>
      </c>
      <c r="AM381" s="63">
        <v>6.5</v>
      </c>
      <c r="AN381" s="63">
        <v>6.6</v>
      </c>
      <c r="AO381" s="36">
        <v>0.28999999999999998</v>
      </c>
      <c r="AP381" s="68">
        <v>0.32</v>
      </c>
      <c r="AQ381" s="73">
        <f t="shared" si="109"/>
        <v>1223</v>
      </c>
      <c r="AR381" s="75">
        <f t="shared" si="110"/>
        <v>0.48323793949304988</v>
      </c>
      <c r="AS381" s="75">
        <f t="shared" si="111"/>
        <v>6.7865903515944404E-2</v>
      </c>
      <c r="AT381" s="75">
        <f t="shared" si="112"/>
        <v>0.44889615699100571</v>
      </c>
      <c r="AU381" s="26">
        <f t="shared" si="113"/>
        <v>7.204385277995301E-2</v>
      </c>
      <c r="AV381" s="26">
        <f t="shared" si="114"/>
        <v>4.0720438527799531E-2</v>
      </c>
      <c r="AW381" s="24">
        <f t="shared" si="115"/>
        <v>0.9101123595505618</v>
      </c>
      <c r="AX381" s="24">
        <f t="shared" si="116"/>
        <v>0.9297752808988764</v>
      </c>
      <c r="AY381" s="77" t="str">
        <f t="shared" si="117"/>
        <v>7,5 ≤ Alc. Bruta &lt; 10,0 mg/L</v>
      </c>
      <c r="AZ381" s="77" t="str">
        <f t="shared" si="118"/>
        <v>15 ≤ Cor &lt; 30 uC</v>
      </c>
      <c r="BA381" s="78" t="str">
        <f t="shared" si="119"/>
        <v>2,5 ≤ Turb &lt; 5,0 uT</v>
      </c>
      <c r="BB381" s="79" t="str">
        <f t="shared" si="120"/>
        <v>TOR &gt; BNN &gt; SM</v>
      </c>
      <c r="BC381" s="78" t="str">
        <f t="shared" si="121"/>
        <v>Tipo 1 (≤0,25) uT</v>
      </c>
      <c r="BD381" s="78" t="str">
        <f t="shared" si="122"/>
        <v>Tipo 2 (0,25-0,50) uT</v>
      </c>
      <c r="BE381" s="78" t="str">
        <f t="shared" si="123"/>
        <v>Tipo 1 (≤0,25) uT</v>
      </c>
      <c r="BF381" s="78" t="str">
        <f t="shared" si="124"/>
        <v>Tipo 2 (0,25-0,50) uT</v>
      </c>
      <c r="BG381" s="78" t="str">
        <f t="shared" si="125"/>
        <v>Tipo 1 (≤0,25) uT</v>
      </c>
    </row>
    <row r="382" spans="1:59" x14ac:dyDescent="0.2">
      <c r="A382" s="21">
        <v>46166</v>
      </c>
      <c r="B382" s="48">
        <v>0.47916666666666669</v>
      </c>
      <c r="C382" s="57">
        <v>588</v>
      </c>
      <c r="D382" s="57">
        <v>81</v>
      </c>
      <c r="E382" s="57">
        <v>550</v>
      </c>
      <c r="F382" s="57">
        <v>1293</v>
      </c>
      <c r="G382" s="10" t="s">
        <v>78</v>
      </c>
      <c r="H382" s="63">
        <v>7.5</v>
      </c>
      <c r="I382" s="57">
        <v>90</v>
      </c>
      <c r="J382" s="57">
        <v>90</v>
      </c>
      <c r="K382" s="57">
        <v>90</v>
      </c>
      <c r="L382" s="63">
        <v>22.2</v>
      </c>
      <c r="M382" s="63">
        <v>6.9</v>
      </c>
      <c r="N382" s="36">
        <v>3.26</v>
      </c>
      <c r="O382" s="57">
        <v>14</v>
      </c>
      <c r="P382" s="63">
        <v>9.1</v>
      </c>
      <c r="Q382" s="36">
        <v>0.06</v>
      </c>
      <c r="R382" s="36">
        <v>22.36</v>
      </c>
      <c r="S382" s="36">
        <v>0.88</v>
      </c>
      <c r="T382" s="36">
        <v>0.7</v>
      </c>
      <c r="U382" s="42">
        <f t="shared" si="126"/>
        <v>1861.9199999999998</v>
      </c>
      <c r="V382" s="36">
        <f t="shared" si="127"/>
        <v>1849.8816169599997</v>
      </c>
      <c r="W382" s="36">
        <f t="shared" si="128"/>
        <v>0.99353442519549706</v>
      </c>
      <c r="X382" s="57">
        <v>1</v>
      </c>
      <c r="Y382" s="57">
        <v>2</v>
      </c>
      <c r="Z382" s="63">
        <v>6.48</v>
      </c>
      <c r="AA382" s="57">
        <v>23</v>
      </c>
      <c r="AB382" s="63">
        <v>6.6</v>
      </c>
      <c r="AC382" s="63">
        <v>7.1</v>
      </c>
      <c r="AD382" s="10">
        <v>0.13</v>
      </c>
      <c r="AE382" s="36">
        <v>0.27</v>
      </c>
      <c r="AF382" s="42">
        <f t="shared" si="129"/>
        <v>1861.9199999999998</v>
      </c>
      <c r="AG382" s="42">
        <f t="shared" si="130"/>
        <v>1043.5769536400001</v>
      </c>
      <c r="AH382" s="42">
        <f t="shared" si="131"/>
        <v>0.56048431384807085</v>
      </c>
      <c r="AI382" s="57">
        <v>1</v>
      </c>
      <c r="AJ382" s="57">
        <v>2</v>
      </c>
      <c r="AK382" s="36">
        <v>6.47</v>
      </c>
      <c r="AL382" s="36">
        <v>13</v>
      </c>
      <c r="AM382" s="63">
        <v>6.6</v>
      </c>
      <c r="AN382" s="63">
        <v>6.7</v>
      </c>
      <c r="AO382" s="36">
        <v>0.17</v>
      </c>
      <c r="AP382" s="68">
        <v>0.31</v>
      </c>
      <c r="AQ382" s="73">
        <f t="shared" si="109"/>
        <v>1219</v>
      </c>
      <c r="AR382" s="75">
        <f t="shared" si="110"/>
        <v>0.48236259228876127</v>
      </c>
      <c r="AS382" s="75">
        <f t="shared" si="111"/>
        <v>6.6447908121410992E-2</v>
      </c>
      <c r="AT382" s="75">
        <f t="shared" si="112"/>
        <v>0.45118949958982774</v>
      </c>
      <c r="AU382" s="26">
        <f t="shared" si="113"/>
        <v>7.1152358855375103E-2</v>
      </c>
      <c r="AV382" s="26">
        <f t="shared" si="114"/>
        <v>4.0216550657385927E-2</v>
      </c>
      <c r="AW382" s="24">
        <f t="shared" si="115"/>
        <v>0.90490797546012269</v>
      </c>
      <c r="AX382" s="24">
        <f t="shared" si="116"/>
        <v>0.91717791411042948</v>
      </c>
      <c r="AY382" s="77" t="str">
        <f t="shared" si="117"/>
        <v>7,5 ≤ Alc. Bruta &lt; 10,0 mg/L</v>
      </c>
      <c r="AZ382" s="77" t="str">
        <f t="shared" si="118"/>
        <v>10 ≤ Cor &lt;15 uC</v>
      </c>
      <c r="BA382" s="78" t="str">
        <f t="shared" si="119"/>
        <v>2,5 ≤ Turb &lt; 5,0 uT</v>
      </c>
      <c r="BB382" s="79" t="str">
        <f t="shared" si="120"/>
        <v>TOR &gt; BNN &gt; SM</v>
      </c>
      <c r="BC382" s="78" t="str">
        <f t="shared" si="121"/>
        <v>Tipo 1 (≤0,25) uT</v>
      </c>
      <c r="BD382" s="78" t="str">
        <f t="shared" si="122"/>
        <v>Tipo 1 (≤0,25) uT</v>
      </c>
      <c r="BE382" s="78" t="str">
        <f t="shared" si="123"/>
        <v>Tipo 2 (0,25-0,50) uT</v>
      </c>
      <c r="BF382" s="78" t="str">
        <f t="shared" si="124"/>
        <v>Tipo 2 (0,25-0,50) uT</v>
      </c>
      <c r="BG382" s="78" t="str">
        <f t="shared" si="125"/>
        <v>Tipo 1 (≤0,25) uT</v>
      </c>
    </row>
    <row r="383" spans="1:59" x14ac:dyDescent="0.2">
      <c r="A383" s="21">
        <v>46166</v>
      </c>
      <c r="B383" s="48">
        <v>0.64583333333333337</v>
      </c>
      <c r="C383" s="57">
        <v>614</v>
      </c>
      <c r="D383" s="57">
        <v>88</v>
      </c>
      <c r="E383" s="57">
        <v>550</v>
      </c>
      <c r="F383" s="57">
        <v>1248</v>
      </c>
      <c r="G383" s="10" t="s">
        <v>78</v>
      </c>
      <c r="H383" s="63">
        <v>7.5</v>
      </c>
      <c r="I383" s="57">
        <v>90</v>
      </c>
      <c r="J383" s="57">
        <v>90</v>
      </c>
      <c r="K383" s="57">
        <v>90</v>
      </c>
      <c r="L383" s="63">
        <v>23</v>
      </c>
      <c r="M383" s="63">
        <v>6.9</v>
      </c>
      <c r="N383" s="36">
        <v>3.21</v>
      </c>
      <c r="O383" s="57">
        <v>14</v>
      </c>
      <c r="P383" s="63">
        <v>9.5</v>
      </c>
      <c r="Q383" s="36">
        <v>7.0000000000000007E-2</v>
      </c>
      <c r="R383" s="36">
        <v>22.36</v>
      </c>
      <c r="S383" s="36">
        <v>0.88</v>
      </c>
      <c r="T383" s="36">
        <v>0.7</v>
      </c>
      <c r="U383" s="42">
        <f t="shared" si="126"/>
        <v>1781.52</v>
      </c>
      <c r="V383" s="36">
        <f t="shared" si="127"/>
        <v>1922.8959609599995</v>
      </c>
      <c r="W383" s="36">
        <f t="shared" si="128"/>
        <v>1.0793569316987739</v>
      </c>
      <c r="X383" s="57">
        <v>1</v>
      </c>
      <c r="Y383" s="57">
        <v>2</v>
      </c>
      <c r="Z383" s="63">
        <v>6.46</v>
      </c>
      <c r="AA383" s="57">
        <v>24</v>
      </c>
      <c r="AB383" s="63">
        <v>6.6</v>
      </c>
      <c r="AC383" s="63">
        <v>6.9</v>
      </c>
      <c r="AD383" s="10">
        <v>0.14000000000000001</v>
      </c>
      <c r="AE383" s="36">
        <v>0.16</v>
      </c>
      <c r="AF383" s="42">
        <f t="shared" si="129"/>
        <v>1781.52</v>
      </c>
      <c r="AG383" s="42">
        <f t="shared" si="130"/>
        <v>1035.5437211599997</v>
      </c>
      <c r="AH383" s="42">
        <f t="shared" si="131"/>
        <v>0.58126977028604765</v>
      </c>
      <c r="AI383" s="57">
        <v>1</v>
      </c>
      <c r="AJ383" s="57">
        <v>2</v>
      </c>
      <c r="AK383" s="36">
        <v>6.43</v>
      </c>
      <c r="AL383" s="36">
        <v>13</v>
      </c>
      <c r="AM383" s="63">
        <v>6.6</v>
      </c>
      <c r="AN383" s="63">
        <v>7.4</v>
      </c>
      <c r="AO383" s="36">
        <v>0.24</v>
      </c>
      <c r="AP383" s="68">
        <v>0.28999999999999998</v>
      </c>
      <c r="AQ383" s="73">
        <f t="shared" si="109"/>
        <v>1252</v>
      </c>
      <c r="AR383" s="75">
        <f t="shared" si="110"/>
        <v>0.49041533546325877</v>
      </c>
      <c r="AS383" s="75">
        <f t="shared" si="111"/>
        <v>7.0287539936102233E-2</v>
      </c>
      <c r="AT383" s="75">
        <f t="shared" si="112"/>
        <v>0.43929712460063897</v>
      </c>
      <c r="AU383" s="26">
        <f t="shared" si="113"/>
        <v>7.6923076923076927E-2</v>
      </c>
      <c r="AV383" s="26">
        <f t="shared" si="114"/>
        <v>4.1666666666666664E-2</v>
      </c>
      <c r="AW383" s="24">
        <f t="shared" si="115"/>
        <v>0.90965732087227413</v>
      </c>
      <c r="AX383" s="24">
        <f t="shared" si="116"/>
        <v>0.95015576323987538</v>
      </c>
      <c r="AY383" s="77" t="str">
        <f t="shared" si="117"/>
        <v>7,5 ≤ Alc. Bruta &lt; 10,0 mg/L</v>
      </c>
      <c r="AZ383" s="77" t="str">
        <f t="shared" si="118"/>
        <v>10 ≤ Cor &lt;15 uC</v>
      </c>
      <c r="BA383" s="78" t="str">
        <f t="shared" si="119"/>
        <v>2,5 ≤ Turb &lt; 5,0 uT</v>
      </c>
      <c r="BB383" s="79" t="str">
        <f t="shared" si="120"/>
        <v>TOR &gt; BNN &gt; SM</v>
      </c>
      <c r="BC383" s="78" t="str">
        <f t="shared" si="121"/>
        <v>Tipo 1 (≤0,25) uT</v>
      </c>
      <c r="BD383" s="78" t="str">
        <f t="shared" si="122"/>
        <v>Tipo 1 (≤0,25) uT</v>
      </c>
      <c r="BE383" s="78" t="str">
        <f t="shared" si="123"/>
        <v>Tipo 1 (≤0,25) uT</v>
      </c>
      <c r="BF383" s="78" t="str">
        <f t="shared" si="124"/>
        <v>Tipo 2 (0,25-0,50) uT</v>
      </c>
      <c r="BG383" s="78" t="str">
        <f t="shared" si="125"/>
        <v>Tipo 1 (≤0,25) uT</v>
      </c>
    </row>
    <row r="384" spans="1:59" x14ac:dyDescent="0.2">
      <c r="A384" s="21">
        <v>46166</v>
      </c>
      <c r="B384" s="48">
        <v>0.72916666666666663</v>
      </c>
      <c r="C384" s="57">
        <v>593</v>
      </c>
      <c r="D384" s="57">
        <v>91</v>
      </c>
      <c r="E384" s="57">
        <v>550</v>
      </c>
      <c r="F384" s="57">
        <v>1279</v>
      </c>
      <c r="G384" s="10" t="s">
        <v>78</v>
      </c>
      <c r="H384" s="63">
        <v>7.5</v>
      </c>
      <c r="I384" s="57">
        <v>90</v>
      </c>
      <c r="J384" s="57">
        <v>90</v>
      </c>
      <c r="K384" s="57">
        <v>90</v>
      </c>
      <c r="L384" s="63">
        <v>22.9</v>
      </c>
      <c r="M384" s="63">
        <v>6.9</v>
      </c>
      <c r="N384" s="36">
        <v>3.03</v>
      </c>
      <c r="O384" s="57">
        <v>12</v>
      </c>
      <c r="P384" s="63">
        <v>8.6999999999999993</v>
      </c>
      <c r="Q384" s="36">
        <v>7.0000000000000007E-2</v>
      </c>
      <c r="R384" s="36">
        <v>22.36</v>
      </c>
      <c r="S384" s="36">
        <v>0.88</v>
      </c>
      <c r="T384" s="36">
        <v>0.7</v>
      </c>
      <c r="U384" s="42">
        <f t="shared" si="126"/>
        <v>1768.2174999999997</v>
      </c>
      <c r="V384" s="36">
        <f t="shared" si="127"/>
        <v>1839.2221353999998</v>
      </c>
      <c r="W384" s="36">
        <f t="shared" si="128"/>
        <v>1.0401560528611442</v>
      </c>
      <c r="X384" s="57">
        <v>1</v>
      </c>
      <c r="Y384" s="57">
        <v>2</v>
      </c>
      <c r="Z384" s="63">
        <v>6.45</v>
      </c>
      <c r="AA384" s="57">
        <v>23</v>
      </c>
      <c r="AB384" s="63">
        <v>6.7</v>
      </c>
      <c r="AC384" s="63">
        <v>7.2</v>
      </c>
      <c r="AD384" s="10">
        <v>0.24</v>
      </c>
      <c r="AE384" s="36">
        <v>0.15</v>
      </c>
      <c r="AF384" s="42">
        <f t="shared" si="129"/>
        <v>1768.2174999999997</v>
      </c>
      <c r="AG384" s="42">
        <f t="shared" si="130"/>
        <v>1121.6893105599997</v>
      </c>
      <c r="AH384" s="42">
        <f t="shared" si="131"/>
        <v>0.6343616158984966</v>
      </c>
      <c r="AI384" s="57">
        <v>1</v>
      </c>
      <c r="AJ384" s="57">
        <v>2</v>
      </c>
      <c r="AK384" s="36">
        <v>6.46</v>
      </c>
      <c r="AL384" s="36">
        <v>14</v>
      </c>
      <c r="AM384" s="63">
        <v>6.6</v>
      </c>
      <c r="AN384" s="63">
        <v>6.8</v>
      </c>
      <c r="AO384" s="36">
        <v>0.22</v>
      </c>
      <c r="AP384" s="68">
        <v>0.25</v>
      </c>
      <c r="AQ384" s="73">
        <f t="shared" si="109"/>
        <v>1234</v>
      </c>
      <c r="AR384" s="75">
        <f t="shared" si="110"/>
        <v>0.48055105348460292</v>
      </c>
      <c r="AS384" s="75">
        <f t="shared" si="111"/>
        <v>7.3743922204213941E-2</v>
      </c>
      <c r="AT384" s="75">
        <f t="shared" si="112"/>
        <v>0.44570502431118314</v>
      </c>
      <c r="AU384" s="26">
        <f t="shared" si="113"/>
        <v>7.1931196247068022E-2</v>
      </c>
      <c r="AV384" s="26">
        <f t="shared" si="114"/>
        <v>4.3784206411258797E-2</v>
      </c>
      <c r="AW384" s="24">
        <f t="shared" si="115"/>
        <v>0.91749174917491749</v>
      </c>
      <c r="AX384" s="24">
        <f t="shared" si="116"/>
        <v>0.95049504950495045</v>
      </c>
      <c r="AY384" s="77" t="str">
        <f t="shared" si="117"/>
        <v>7,5 ≤ Alc. Bruta &lt; 10,0 mg/L</v>
      </c>
      <c r="AZ384" s="77" t="str">
        <f t="shared" si="118"/>
        <v>10 ≤ Cor &lt;15 uC</v>
      </c>
      <c r="BA384" s="78" t="str">
        <f t="shared" si="119"/>
        <v>2,5 ≤ Turb &lt; 5,0 uT</v>
      </c>
      <c r="BB384" s="79" t="str">
        <f t="shared" si="120"/>
        <v>TOR &gt; BNN &gt; SM</v>
      </c>
      <c r="BC384" s="78" t="str">
        <f t="shared" si="121"/>
        <v>Tipo 1 (≤0,25) uT</v>
      </c>
      <c r="BD384" s="78" t="str">
        <f t="shared" si="122"/>
        <v>Tipo 1 (≤0,25) uT</v>
      </c>
      <c r="BE384" s="78" t="str">
        <f t="shared" si="123"/>
        <v>Tipo 1 (≤0,25) uT</v>
      </c>
      <c r="BF384" s="78" t="str">
        <f t="shared" si="124"/>
        <v>Tipo 1 (≤0,25) uT</v>
      </c>
      <c r="BG384" s="78" t="str">
        <f t="shared" si="125"/>
        <v>Tipo 1 (≤0,25) uT</v>
      </c>
    </row>
    <row r="385" spans="1:59" x14ac:dyDescent="0.2">
      <c r="A385" s="21">
        <v>46166</v>
      </c>
      <c r="B385" s="48">
        <v>0.8125</v>
      </c>
      <c r="C385" s="57">
        <v>579</v>
      </c>
      <c r="D385" s="57">
        <v>84</v>
      </c>
      <c r="E385" s="57">
        <v>550</v>
      </c>
      <c r="F385" s="57">
        <v>1279</v>
      </c>
      <c r="G385" s="10" t="s">
        <v>78</v>
      </c>
      <c r="H385" s="63">
        <v>7.5</v>
      </c>
      <c r="I385" s="57">
        <v>90</v>
      </c>
      <c r="J385" s="57">
        <v>90</v>
      </c>
      <c r="K385" s="57">
        <v>90</v>
      </c>
      <c r="L385" s="63">
        <v>22.8</v>
      </c>
      <c r="M385" s="63">
        <v>6.9</v>
      </c>
      <c r="N385" s="36">
        <v>3.02</v>
      </c>
      <c r="O385" s="57">
        <v>11</v>
      </c>
      <c r="P385" s="63">
        <v>10.5</v>
      </c>
      <c r="Q385" s="36">
        <v>0.06</v>
      </c>
      <c r="R385" s="36">
        <v>22.36</v>
      </c>
      <c r="S385" s="36">
        <v>0.88</v>
      </c>
      <c r="T385" s="36">
        <v>0.7</v>
      </c>
      <c r="U385" s="42">
        <f t="shared" si="126"/>
        <v>1765.0199999999998</v>
      </c>
      <c r="V385" s="36">
        <f t="shared" si="127"/>
        <v>1127.6234899903998</v>
      </c>
      <c r="W385" s="36">
        <f t="shared" si="128"/>
        <v>0.63887292494725267</v>
      </c>
      <c r="X385" s="57">
        <v>1</v>
      </c>
      <c r="Y385" s="57">
        <v>2</v>
      </c>
      <c r="Z385" s="63">
        <v>6.48</v>
      </c>
      <c r="AA385" s="57">
        <v>14.02</v>
      </c>
      <c r="AB385" s="63">
        <v>6.7</v>
      </c>
      <c r="AC385" s="63">
        <v>7.5</v>
      </c>
      <c r="AD385" s="10">
        <v>0.19</v>
      </c>
      <c r="AE385" s="36">
        <v>0.17</v>
      </c>
      <c r="AF385" s="42">
        <f t="shared" si="129"/>
        <v>1176.6799999999998</v>
      </c>
      <c r="AG385" s="42">
        <f t="shared" si="130"/>
        <v>1803.4387342399998</v>
      </c>
      <c r="AH385" s="42">
        <f t="shared" si="131"/>
        <v>1.5326501123839957</v>
      </c>
      <c r="AI385" s="57">
        <v>1</v>
      </c>
      <c r="AJ385" s="57">
        <v>3</v>
      </c>
      <c r="AK385" s="36">
        <v>6.58</v>
      </c>
      <c r="AL385" s="36">
        <v>22</v>
      </c>
      <c r="AM385" s="63">
        <v>6.6</v>
      </c>
      <c r="AN385" s="63">
        <v>7.3</v>
      </c>
      <c r="AO385" s="36">
        <v>0.22</v>
      </c>
      <c r="AP385" s="68">
        <v>0.28000000000000003</v>
      </c>
      <c r="AQ385" s="73">
        <f t="shared" si="109"/>
        <v>1213</v>
      </c>
      <c r="AR385" s="75">
        <f t="shared" si="110"/>
        <v>0.47732893652102226</v>
      </c>
      <c r="AS385" s="75">
        <f t="shared" si="111"/>
        <v>6.9249793899422915E-2</v>
      </c>
      <c r="AT385" s="75">
        <f t="shared" si="112"/>
        <v>0.45342126957955481</v>
      </c>
      <c r="AU385" s="26">
        <f t="shared" si="113"/>
        <v>4.3846755277560594E-2</v>
      </c>
      <c r="AV385" s="26">
        <f t="shared" si="114"/>
        <v>0.10320562939796717</v>
      </c>
      <c r="AW385" s="24">
        <f t="shared" si="115"/>
        <v>0.9072847682119205</v>
      </c>
      <c r="AX385" s="24">
        <f t="shared" si="116"/>
        <v>0.94370860927152322</v>
      </c>
      <c r="AY385" s="77" t="str">
        <f t="shared" si="117"/>
        <v>10,0 ≤ Alca. Bruta &lt; 15,0 mg/L</v>
      </c>
      <c r="AZ385" s="77" t="str">
        <f t="shared" si="118"/>
        <v>10 ≤ Cor &lt;15 uC</v>
      </c>
      <c r="BA385" s="78" t="str">
        <f t="shared" si="119"/>
        <v>2,5 ≤ Turb &lt; 5,0 uT</v>
      </c>
      <c r="BB385" s="79" t="str">
        <f t="shared" si="120"/>
        <v>TOR &gt; BNN &gt; SM</v>
      </c>
      <c r="BC385" s="78" t="str">
        <f t="shared" si="121"/>
        <v>Tipo 1 (≤0,25) uT</v>
      </c>
      <c r="BD385" s="78" t="str">
        <f t="shared" si="122"/>
        <v>Tipo 1 (≤0,25) uT</v>
      </c>
      <c r="BE385" s="78" t="str">
        <f t="shared" si="123"/>
        <v>Tipo 1 (≤0,25) uT</v>
      </c>
      <c r="BF385" s="78" t="str">
        <f t="shared" si="124"/>
        <v>Tipo 2 (0,25-0,50) uT</v>
      </c>
      <c r="BG385" s="78" t="str">
        <f t="shared" si="125"/>
        <v>Tipo 1 (≤0,25) uT</v>
      </c>
    </row>
    <row r="386" spans="1:59" x14ac:dyDescent="0.2">
      <c r="A386" s="21">
        <v>46166</v>
      </c>
      <c r="B386" s="48">
        <v>0.89583333333333337</v>
      </c>
      <c r="C386" s="57">
        <v>587</v>
      </c>
      <c r="D386" s="57">
        <v>86</v>
      </c>
      <c r="E386" s="57">
        <v>550</v>
      </c>
      <c r="F386" s="57">
        <v>1298</v>
      </c>
      <c r="G386" s="10" t="s">
        <v>78</v>
      </c>
      <c r="H386" s="63">
        <v>7.5</v>
      </c>
      <c r="I386" s="57">
        <v>90</v>
      </c>
      <c r="J386" s="57">
        <v>90</v>
      </c>
      <c r="K386" s="57">
        <v>90</v>
      </c>
      <c r="L386" s="63">
        <v>23</v>
      </c>
      <c r="M386" s="63">
        <v>6.8</v>
      </c>
      <c r="N386" s="36">
        <v>2.95</v>
      </c>
      <c r="O386" s="57">
        <v>13</v>
      </c>
      <c r="P386" s="63">
        <v>9.1999999999999993</v>
      </c>
      <c r="Q386" s="36">
        <v>0.06</v>
      </c>
      <c r="R386" s="36">
        <v>22.36</v>
      </c>
      <c r="S386" s="36">
        <v>0.88</v>
      </c>
      <c r="T386" s="36">
        <v>0.7</v>
      </c>
      <c r="U386" s="42">
        <f t="shared" si="126"/>
        <v>1768.5250000000001</v>
      </c>
      <c r="V386" s="36">
        <f t="shared" si="127"/>
        <v>1131.6943464475999</v>
      </c>
      <c r="W386" s="36">
        <f t="shared" si="128"/>
        <v>0.63990859413782664</v>
      </c>
      <c r="X386" s="57">
        <v>1</v>
      </c>
      <c r="Y386" s="57">
        <v>2</v>
      </c>
      <c r="Z386" s="63">
        <v>6.51</v>
      </c>
      <c r="AA386" s="57">
        <v>13.99</v>
      </c>
      <c r="AB386" s="63">
        <v>6.7</v>
      </c>
      <c r="AC386" s="63">
        <v>7.7</v>
      </c>
      <c r="AD386" s="10">
        <v>0.14000000000000001</v>
      </c>
      <c r="AE386" s="36">
        <v>0.18</v>
      </c>
      <c r="AF386" s="42">
        <f t="shared" si="129"/>
        <v>1179.0166666666667</v>
      </c>
      <c r="AG386" s="42">
        <f t="shared" si="130"/>
        <v>1866.7915599268001</v>
      </c>
      <c r="AH386" s="42">
        <f t="shared" si="131"/>
        <v>1.5833462008680681</v>
      </c>
      <c r="AI386" s="57">
        <v>1</v>
      </c>
      <c r="AJ386" s="57">
        <v>3</v>
      </c>
      <c r="AK386" s="36">
        <v>6.59</v>
      </c>
      <c r="AL386" s="36">
        <v>22.73</v>
      </c>
      <c r="AM386" s="63">
        <v>6.7</v>
      </c>
      <c r="AN386" s="63">
        <v>7.9</v>
      </c>
      <c r="AO386" s="36">
        <v>0.17</v>
      </c>
      <c r="AP386" s="68">
        <v>0.32</v>
      </c>
      <c r="AQ386" s="73">
        <f t="shared" ref="AQ386:AQ449" si="132">SUM(C386:E386)</f>
        <v>1223</v>
      </c>
      <c r="AR386" s="75">
        <f t="shared" ref="AR386:AR449" si="133">C386/AQ386</f>
        <v>0.47996729354047424</v>
      </c>
      <c r="AS386" s="75">
        <f t="shared" ref="AS386:AS449" si="134">D386/AQ386</f>
        <v>7.0318887980376124E-2</v>
      </c>
      <c r="AT386" s="75">
        <f t="shared" ref="AT386:AT449" si="135">E386/AQ386</f>
        <v>0.44971381847914965</v>
      </c>
      <c r="AU386" s="26">
        <f t="shared" ref="AU386:AU449" si="136">IF(AND(F386&lt;&gt;"",Y386&lt;&gt;""),AA386/(F386/2/Y386),"")</f>
        <v>4.3112480739599383E-2</v>
      </c>
      <c r="AV386" s="26">
        <f t="shared" ref="AV386:AV449" si="137">IF(AND(F386&lt;&gt;"",AJ386&lt;&gt;""),AL386/(F386/2/AJ386),"")</f>
        <v>0.1050693374422188</v>
      </c>
      <c r="AW386" s="24">
        <f t="shared" ref="AW386:AW449" si="138">IF(AND(AP386&lt;&gt;"",1-(AP386/N386)&gt;0),1-(AP386/N386),"")</f>
        <v>0.8915254237288136</v>
      </c>
      <c r="AX386" s="24">
        <f t="shared" ref="AX386:AX449" si="139">IF(AND(AE386&lt;&gt;"",1-(AE386/N386)&gt;0),1-(AE386/N386),"")</f>
        <v>0.93898305084745759</v>
      </c>
      <c r="AY386" s="77" t="str">
        <f t="shared" ref="AY386:AY449" si="140">IF(P386="","",IF(P386&lt;2.5,"Alc. Bruta &lt; 2,5 mg/L",IF(P386&lt;5,"2,5 ≤ Alc. Bruta &lt; 5,0 mg/L",IF(P386&lt;7.5,"5,0 ≤ Alc. Bruta &lt; 7,5 mg/L",IF(P386&lt;10,"7,5 ≤ Alc. Bruta &lt; 10,0 mg/L",IF(P386&lt;15,"10,0 ≤ Alca. Bruta &lt; 15,0 mg/L","Alc. Bruta &gt; 15 mg/L"))))))</f>
        <v>7,5 ≤ Alc. Bruta &lt; 10,0 mg/L</v>
      </c>
      <c r="AZ386" s="77" t="str">
        <f t="shared" ref="AZ386:AZ449" si="141">IF(O386="","",IF(O386&lt;5,"Cor &lt;5 uC",IF(O386&lt;10,"5 ≤ Cor &lt; 10 uC",IF(O386&lt;15,"10 ≤ Cor &lt;15 uC",IF(O386&lt;30,"15 ≤ Cor &lt; 30 uC",IF(O386&lt;50,"30 ≤ Cor &lt; 50 uC","Cor &gt; 50 uC"))))))</f>
        <v>10 ≤ Cor &lt;15 uC</v>
      </c>
      <c r="BA386" s="78" t="str">
        <f t="shared" ref="BA386:BA449" si="142">IF(N386="","",IF(N386&lt;2.5,"Turbidez &lt; 2,5 uT",IF(N386&lt;5,"2,5 ≤ Turb &lt; 5,0 uT",IF(N386&lt;7.5,"5,0 ≤ Turb &lt; 7,5 uT",IF(N386&lt;10,"7,5 ≤ Turb &lt; 10,0 uT",IF(N386&lt;15,"10,0 ≤ Turb &lt; 15,0 uT","Turb &gt; 15 uT"))))))</f>
        <v>2,5 ≤ Turb &lt; 5,0 uT</v>
      </c>
      <c r="BB386" s="79" t="str">
        <f t="shared" ref="BB386:BB449" si="143">IF(AND(C386&gt;D386,D386&gt;E386),"TOR &gt; SM &gt; BNN",IF(AND(C386&gt;E386,E386&gt;D386),"TOR &gt; BNN &gt; SM",IF(AND(D386&gt;C386,C386&gt;E386),"SM &gt; TOR &gt; BNN",IF(AND(D386&gt;E386,E386&gt;C386),"SM &gt; BNN &gt; TOR",IF(AND(C386=D386,D386=E386),"TOR = SM = BNN","Comb. diferentes")))))</f>
        <v>TOR &gt; BNN &gt; SM</v>
      </c>
      <c r="BC386" s="78" t="str">
        <f t="shared" ref="BC386:BC449" si="144">IF(OR(AD386="",AP386="-"),"",IF(AD386&lt;=0.25,"Tipo 1 (≤0,25) uT",IF(AD386&lt;=0.5,"Tipo 2 (0,25-0,50) uT",IF(AD386&lt;=0.75,"Tipo 3 (0,50-0,75) uT","Tipo 4 (&gt;0,75) uT"))))</f>
        <v>Tipo 1 (≤0,25) uT</v>
      </c>
      <c r="BD386" s="78" t="str">
        <f t="shared" ref="BD386:BD449" si="145">IF(OR(AO386="",AY386="-"),"",IF(AO386&lt;=0.25,"Tipo 1 (≤0,25) uT",IF(AO386&lt;=0.5,"Tipo 2 (0,25-0,50) uT",IF(AO386&lt;=0.75,"Tipo 3 (0,50-0,75) uT","Tipo 4 (&gt;0,75) uT"))))</f>
        <v>Tipo 1 (≤0,25) uT</v>
      </c>
      <c r="BE386" s="78" t="str">
        <f t="shared" ref="BE386:BE449" si="146">IF(OR(AE386="",AP386="-"),"",IF(AE386&lt;=0.25,"Tipo 1 (≤0,25) uT",IF(AE386&lt;=0.5,"Tipo 2 (0,25-0,50) uT",IF(AE386&lt;=0.75,"Tipo 3 (0,50-0,75) uT","Tipo 4 (&gt;0,75) uT"))))</f>
        <v>Tipo 1 (≤0,25) uT</v>
      </c>
      <c r="BF386" s="78" t="str">
        <f t="shared" ref="BF386:BF449" si="147">IF(OR(AP386="",AP386="-"),"",IF(AP386&lt;=0.25,"Tipo 1 (≤0,25) uT",IF(AP386&lt;=0.5,"Tipo 2 (0,25-0,50) uT",IF(AP386&lt;=0.75,"Tipo 3 (0,50-0,75) uT","Tipo 4 (&gt;0,75) uT"))))</f>
        <v>Tipo 2 (0,25-0,50) uT</v>
      </c>
      <c r="BG386" s="78" t="str">
        <f t="shared" ref="BG386:BG449" si="148">IF(OR(Q386="",Q386="-"),"",IF(Q386&lt;=0.25,"Tipo 1 (≤0,25) uT",IF(Q386&lt;=0.5,"Tipo 2 (0,25-0,50) uT",IF(Q386&lt;=0.75,"Tipo 3 (0,50-0,75) uT","Tipo 4 (&gt;0,75) uT"))))</f>
        <v>Tipo 1 (≤0,25) uT</v>
      </c>
    </row>
    <row r="387" spans="1:59" x14ac:dyDescent="0.2">
      <c r="A387" s="21">
        <v>46167</v>
      </c>
      <c r="B387" s="48">
        <v>6.25E-2</v>
      </c>
      <c r="C387" s="57">
        <v>1163</v>
      </c>
      <c r="D387" s="57">
        <v>83</v>
      </c>
      <c r="E387" s="57">
        <v>550</v>
      </c>
      <c r="F387" s="57">
        <v>1816</v>
      </c>
      <c r="G387" s="10" t="s">
        <v>78</v>
      </c>
      <c r="H387" s="63">
        <v>7.5</v>
      </c>
      <c r="I387" s="57">
        <v>90</v>
      </c>
      <c r="J387" s="57">
        <v>90</v>
      </c>
      <c r="K387" s="57">
        <v>90</v>
      </c>
      <c r="L387" s="63">
        <v>22.6</v>
      </c>
      <c r="M387" s="63">
        <v>6.8</v>
      </c>
      <c r="N387" s="36">
        <v>3.02</v>
      </c>
      <c r="O387" s="57">
        <v>14</v>
      </c>
      <c r="P387" s="63">
        <v>8.5</v>
      </c>
      <c r="Q387" s="36">
        <v>0.06</v>
      </c>
      <c r="R387" s="36">
        <v>22.36</v>
      </c>
      <c r="S387" s="36">
        <v>0.88</v>
      </c>
      <c r="T387" s="36">
        <v>0.7</v>
      </c>
      <c r="U387" s="42">
        <f t="shared" si="126"/>
        <v>1670.72</v>
      </c>
      <c r="V387" s="36">
        <f t="shared" si="127"/>
        <v>1553.9562827203999</v>
      </c>
      <c r="W387" s="36">
        <f t="shared" si="128"/>
        <v>0.93011173788570189</v>
      </c>
      <c r="X387" s="57">
        <v>2</v>
      </c>
      <c r="Y387" s="57">
        <v>3</v>
      </c>
      <c r="Z387" s="63">
        <v>6.51</v>
      </c>
      <c r="AA387" s="57">
        <v>19.21</v>
      </c>
      <c r="AB387" s="63">
        <v>6.6</v>
      </c>
      <c r="AC387" s="63">
        <v>7.2</v>
      </c>
      <c r="AD387" s="10">
        <v>0.12</v>
      </c>
      <c r="AE387" s="36">
        <v>0.27</v>
      </c>
      <c r="AF387" s="42">
        <f t="shared" si="129"/>
        <v>1253.04</v>
      </c>
      <c r="AG387" s="42">
        <f t="shared" si="130"/>
        <v>1802.8857112915998</v>
      </c>
      <c r="AH387" s="42">
        <f t="shared" si="131"/>
        <v>1.4388093846099086</v>
      </c>
      <c r="AI387" s="57">
        <v>2</v>
      </c>
      <c r="AJ387" s="57">
        <v>4</v>
      </c>
      <c r="AK387" s="36">
        <v>6.39</v>
      </c>
      <c r="AL387" s="36">
        <v>22.81</v>
      </c>
      <c r="AM387" s="63">
        <v>6.5</v>
      </c>
      <c r="AN387" s="63">
        <v>6.7</v>
      </c>
      <c r="AO387" s="36">
        <v>0.12</v>
      </c>
      <c r="AP387" s="68">
        <v>0.28000000000000003</v>
      </c>
      <c r="AQ387" s="73">
        <f t="shared" si="132"/>
        <v>1796</v>
      </c>
      <c r="AR387" s="75">
        <f t="shared" si="133"/>
        <v>0.64755011135857465</v>
      </c>
      <c r="AS387" s="75">
        <f t="shared" si="134"/>
        <v>4.6213808463251668E-2</v>
      </c>
      <c r="AT387" s="75">
        <f t="shared" si="135"/>
        <v>0.30623608017817372</v>
      </c>
      <c r="AU387" s="26">
        <f t="shared" si="136"/>
        <v>6.3469162995594713E-2</v>
      </c>
      <c r="AV387" s="26">
        <f t="shared" si="137"/>
        <v>0.10048458149779735</v>
      </c>
      <c r="AW387" s="24">
        <f t="shared" si="138"/>
        <v>0.9072847682119205</v>
      </c>
      <c r="AX387" s="24">
        <f t="shared" si="139"/>
        <v>0.91059602649006621</v>
      </c>
      <c r="AY387" s="77" t="str">
        <f t="shared" si="140"/>
        <v>7,5 ≤ Alc. Bruta &lt; 10,0 mg/L</v>
      </c>
      <c r="AZ387" s="77" t="str">
        <f t="shared" si="141"/>
        <v>10 ≤ Cor &lt;15 uC</v>
      </c>
      <c r="BA387" s="78" t="str">
        <f t="shared" si="142"/>
        <v>2,5 ≤ Turb &lt; 5,0 uT</v>
      </c>
      <c r="BB387" s="79" t="str">
        <f t="shared" si="143"/>
        <v>TOR &gt; BNN &gt; SM</v>
      </c>
      <c r="BC387" s="78" t="str">
        <f t="shared" si="144"/>
        <v>Tipo 1 (≤0,25) uT</v>
      </c>
      <c r="BD387" s="78" t="str">
        <f t="shared" si="145"/>
        <v>Tipo 1 (≤0,25) uT</v>
      </c>
      <c r="BE387" s="78" t="str">
        <f t="shared" si="146"/>
        <v>Tipo 2 (0,25-0,50) uT</v>
      </c>
      <c r="BF387" s="78" t="str">
        <f t="shared" si="147"/>
        <v>Tipo 2 (0,25-0,50) uT</v>
      </c>
      <c r="BG387" s="78" t="str">
        <f t="shared" si="148"/>
        <v>Tipo 1 (≤0,25) uT</v>
      </c>
    </row>
    <row r="388" spans="1:59" x14ac:dyDescent="0.2">
      <c r="A388" s="21">
        <v>46167</v>
      </c>
      <c r="B388" s="48">
        <v>0.14583333333333334</v>
      </c>
      <c r="C388" s="57">
        <v>1142</v>
      </c>
      <c r="D388" s="57">
        <v>81</v>
      </c>
      <c r="E388" s="57">
        <v>550</v>
      </c>
      <c r="F388" s="57">
        <v>1893</v>
      </c>
      <c r="G388" s="10" t="s">
        <v>78</v>
      </c>
      <c r="H388" s="63">
        <v>7.5</v>
      </c>
      <c r="I388" s="57">
        <v>90</v>
      </c>
      <c r="J388" s="57">
        <v>90</v>
      </c>
      <c r="K388" s="57">
        <v>90</v>
      </c>
      <c r="L388" s="63">
        <v>22.3</v>
      </c>
      <c r="M388" s="63">
        <v>6.9</v>
      </c>
      <c r="N388" s="36">
        <v>3.28</v>
      </c>
      <c r="O388" s="57">
        <v>14</v>
      </c>
      <c r="P388" s="63">
        <v>7.4</v>
      </c>
      <c r="Q388" s="36">
        <v>0.06</v>
      </c>
      <c r="R388" s="36">
        <v>22.36</v>
      </c>
      <c r="S388" s="36">
        <v>0.88</v>
      </c>
      <c r="T388" s="36">
        <v>0.7</v>
      </c>
      <c r="U388" s="42">
        <f t="shared" si="126"/>
        <v>1823.5899999999997</v>
      </c>
      <c r="V388" s="36">
        <f t="shared" si="127"/>
        <v>1538.3167687679995</v>
      </c>
      <c r="W388" s="36">
        <f t="shared" si="128"/>
        <v>0.8435650386150394</v>
      </c>
      <c r="X388" s="57">
        <v>2</v>
      </c>
      <c r="Y388" s="57">
        <v>3</v>
      </c>
      <c r="Z388" s="63">
        <v>6.46</v>
      </c>
      <c r="AA388" s="57">
        <v>19.2</v>
      </c>
      <c r="AB388" s="63">
        <v>6.8</v>
      </c>
      <c r="AC388" s="63">
        <v>5.3</v>
      </c>
      <c r="AD388" s="10">
        <v>0.15</v>
      </c>
      <c r="AE388" s="36">
        <v>0.26</v>
      </c>
      <c r="AF388" s="42">
        <f t="shared" si="129"/>
        <v>1367.6924999999999</v>
      </c>
      <c r="AG388" s="42">
        <f t="shared" si="130"/>
        <v>1801.7284464607994</v>
      </c>
      <c r="AH388" s="42">
        <f t="shared" si="131"/>
        <v>1.3173490725881729</v>
      </c>
      <c r="AI388" s="57">
        <v>2</v>
      </c>
      <c r="AJ388" s="57">
        <v>4</v>
      </c>
      <c r="AK388" s="36">
        <v>6.38</v>
      </c>
      <c r="AL388" s="36">
        <v>22.84</v>
      </c>
      <c r="AM388" s="63">
        <v>6.5</v>
      </c>
      <c r="AN388" s="63">
        <v>5.2</v>
      </c>
      <c r="AO388" s="36">
        <v>0.16</v>
      </c>
      <c r="AP388" s="68">
        <v>0.28000000000000003</v>
      </c>
      <c r="AQ388" s="73">
        <f t="shared" si="132"/>
        <v>1773</v>
      </c>
      <c r="AR388" s="75">
        <f t="shared" si="133"/>
        <v>0.64410603496897911</v>
      </c>
      <c r="AS388" s="75">
        <f t="shared" si="134"/>
        <v>4.5685279187817257E-2</v>
      </c>
      <c r="AT388" s="75">
        <f t="shared" si="135"/>
        <v>0.3102086858432036</v>
      </c>
      <c r="AU388" s="26">
        <f t="shared" si="136"/>
        <v>6.0855784469096667E-2</v>
      </c>
      <c r="AV388" s="26">
        <f t="shared" si="137"/>
        <v>9.6524035921817214E-2</v>
      </c>
      <c r="AW388" s="24">
        <f t="shared" si="138"/>
        <v>0.91463414634146345</v>
      </c>
      <c r="AX388" s="24">
        <f t="shared" si="139"/>
        <v>0.92073170731707321</v>
      </c>
      <c r="AY388" s="77" t="str">
        <f t="shared" si="140"/>
        <v>5,0 ≤ Alc. Bruta &lt; 7,5 mg/L</v>
      </c>
      <c r="AZ388" s="77" t="str">
        <f t="shared" si="141"/>
        <v>10 ≤ Cor &lt;15 uC</v>
      </c>
      <c r="BA388" s="78" t="str">
        <f t="shared" si="142"/>
        <v>2,5 ≤ Turb &lt; 5,0 uT</v>
      </c>
      <c r="BB388" s="79" t="str">
        <f t="shared" si="143"/>
        <v>TOR &gt; BNN &gt; SM</v>
      </c>
      <c r="BC388" s="78" t="str">
        <f t="shared" si="144"/>
        <v>Tipo 1 (≤0,25) uT</v>
      </c>
      <c r="BD388" s="78" t="str">
        <f t="shared" si="145"/>
        <v>Tipo 1 (≤0,25) uT</v>
      </c>
      <c r="BE388" s="78" t="str">
        <f t="shared" si="146"/>
        <v>Tipo 2 (0,25-0,50) uT</v>
      </c>
      <c r="BF388" s="78" t="str">
        <f t="shared" si="147"/>
        <v>Tipo 2 (0,25-0,50) uT</v>
      </c>
      <c r="BG388" s="78" t="str">
        <f t="shared" si="148"/>
        <v>Tipo 1 (≤0,25) uT</v>
      </c>
    </row>
    <row r="389" spans="1:59" ht="15.75" thickBot="1" x14ac:dyDescent="0.25">
      <c r="A389" s="21">
        <v>46167</v>
      </c>
      <c r="B389" s="51">
        <v>0.22916666666666666</v>
      </c>
      <c r="C389" s="58">
        <v>1169</v>
      </c>
      <c r="D389" s="58">
        <v>87</v>
      </c>
      <c r="E389" s="58">
        <v>550</v>
      </c>
      <c r="F389" s="58">
        <v>1817</v>
      </c>
      <c r="G389" s="11" t="s">
        <v>78</v>
      </c>
      <c r="H389" s="64">
        <v>7.5</v>
      </c>
      <c r="I389" s="58">
        <v>90</v>
      </c>
      <c r="J389" s="58">
        <v>90</v>
      </c>
      <c r="K389" s="58">
        <v>90</v>
      </c>
      <c r="L389" s="64">
        <v>22.1</v>
      </c>
      <c r="M389" s="64">
        <v>6.8</v>
      </c>
      <c r="N389" s="37">
        <v>3.33</v>
      </c>
      <c r="O389" s="58">
        <v>13</v>
      </c>
      <c r="P389" s="64">
        <v>7.3</v>
      </c>
      <c r="Q389" s="37">
        <v>0.06</v>
      </c>
      <c r="R389" s="36">
        <v>22.36</v>
      </c>
      <c r="S389" s="36">
        <v>0.88</v>
      </c>
      <c r="T389" s="36">
        <v>0.7</v>
      </c>
      <c r="U389" s="42">
        <f t="shared" si="126"/>
        <v>1765.5183333333332</v>
      </c>
      <c r="V389" s="36">
        <f t="shared" si="127"/>
        <v>1524.8622478543998</v>
      </c>
      <c r="W389" s="36">
        <f t="shared" si="128"/>
        <v>0.86369097338991097</v>
      </c>
      <c r="X389" s="58">
        <v>2</v>
      </c>
      <c r="Y389" s="58">
        <v>3</v>
      </c>
      <c r="Z389" s="64">
        <v>6.42</v>
      </c>
      <c r="AA389" s="58">
        <v>19.18</v>
      </c>
      <c r="AB389" s="64">
        <v>6.8</v>
      </c>
      <c r="AC389" s="64">
        <v>5</v>
      </c>
      <c r="AD389" s="11">
        <v>0.12</v>
      </c>
      <c r="AE389" s="37">
        <v>0.26</v>
      </c>
      <c r="AF389" s="42">
        <f t="shared" si="129"/>
        <v>1324.1387500000001</v>
      </c>
      <c r="AG389" s="42">
        <f t="shared" si="130"/>
        <v>1830.1527083215999</v>
      </c>
      <c r="AH389" s="42">
        <f t="shared" si="131"/>
        <v>1.3821457217543101</v>
      </c>
      <c r="AI389" s="58">
        <v>2</v>
      </c>
      <c r="AJ389" s="58">
        <v>4</v>
      </c>
      <c r="AK389" s="37">
        <v>6.42</v>
      </c>
      <c r="AL389" s="37">
        <v>23.02</v>
      </c>
      <c r="AM389" s="64">
        <v>6.6</v>
      </c>
      <c r="AN389" s="64">
        <v>5.3</v>
      </c>
      <c r="AO389" s="37">
        <v>0.17</v>
      </c>
      <c r="AP389" s="69">
        <v>0.3</v>
      </c>
      <c r="AQ389" s="73">
        <f t="shared" si="132"/>
        <v>1806</v>
      </c>
      <c r="AR389" s="75">
        <f t="shared" si="133"/>
        <v>0.6472868217054264</v>
      </c>
      <c r="AS389" s="75">
        <f t="shared" si="134"/>
        <v>4.817275747508306E-2</v>
      </c>
      <c r="AT389" s="75">
        <f t="shared" si="135"/>
        <v>0.30454042081949056</v>
      </c>
      <c r="AU389" s="26">
        <f t="shared" si="136"/>
        <v>6.3335167859108421E-2</v>
      </c>
      <c r="AV389" s="26">
        <f t="shared" si="137"/>
        <v>0.10135388002201431</v>
      </c>
      <c r="AW389" s="24">
        <f t="shared" si="138"/>
        <v>0.90990990990990994</v>
      </c>
      <c r="AX389" s="24">
        <f t="shared" si="139"/>
        <v>0.92192192192192191</v>
      </c>
      <c r="AY389" s="77" t="str">
        <f t="shared" si="140"/>
        <v>5,0 ≤ Alc. Bruta &lt; 7,5 mg/L</v>
      </c>
      <c r="AZ389" s="77" t="str">
        <f t="shared" si="141"/>
        <v>10 ≤ Cor &lt;15 uC</v>
      </c>
      <c r="BA389" s="78" t="str">
        <f t="shared" si="142"/>
        <v>2,5 ≤ Turb &lt; 5,0 uT</v>
      </c>
      <c r="BB389" s="79" t="str">
        <f t="shared" si="143"/>
        <v>TOR &gt; BNN &gt; SM</v>
      </c>
      <c r="BC389" s="78" t="str">
        <f t="shared" si="144"/>
        <v>Tipo 1 (≤0,25) uT</v>
      </c>
      <c r="BD389" s="78" t="str">
        <f t="shared" si="145"/>
        <v>Tipo 1 (≤0,25) uT</v>
      </c>
      <c r="BE389" s="78" t="str">
        <f t="shared" si="146"/>
        <v>Tipo 2 (0,25-0,50) uT</v>
      </c>
      <c r="BF389" s="78" t="str">
        <f t="shared" si="147"/>
        <v>Tipo 2 (0,25-0,50) uT</v>
      </c>
      <c r="BG389" s="78" t="str">
        <f t="shared" si="148"/>
        <v>Tipo 1 (≤0,25) uT</v>
      </c>
    </row>
    <row r="390" spans="1:59" x14ac:dyDescent="0.2">
      <c r="A390" s="21">
        <v>46167</v>
      </c>
      <c r="B390" s="52">
        <v>0.3125</v>
      </c>
      <c r="C390" s="59">
        <v>1277</v>
      </c>
      <c r="D390" s="57">
        <v>82</v>
      </c>
      <c r="E390" s="59">
        <v>549</v>
      </c>
      <c r="F390" s="59">
        <v>1943</v>
      </c>
      <c r="G390" s="9" t="s">
        <v>78</v>
      </c>
      <c r="H390" s="65">
        <v>7.5</v>
      </c>
      <c r="I390" s="59">
        <v>90</v>
      </c>
      <c r="J390" s="59">
        <v>90</v>
      </c>
      <c r="K390" s="59">
        <v>90</v>
      </c>
      <c r="L390" s="65">
        <v>22.2</v>
      </c>
      <c r="M390" s="65">
        <v>6.8</v>
      </c>
      <c r="N390" s="38">
        <v>2.98</v>
      </c>
      <c r="O390" s="59">
        <v>14</v>
      </c>
      <c r="P390" s="65">
        <v>7</v>
      </c>
      <c r="Q390" s="38">
        <v>0.06</v>
      </c>
      <c r="R390" s="36">
        <v>22.36</v>
      </c>
      <c r="S390" s="36">
        <v>0.88</v>
      </c>
      <c r="T390" s="36">
        <v>0.7</v>
      </c>
      <c r="U390" s="42">
        <f t="shared" si="126"/>
        <v>1774.6066666666668</v>
      </c>
      <c r="V390" s="36">
        <f t="shared" si="127"/>
        <v>1447.7334393599999</v>
      </c>
      <c r="W390" s="36">
        <f t="shared" si="128"/>
        <v>0.81580525225871636</v>
      </c>
      <c r="X390" s="59">
        <v>2</v>
      </c>
      <c r="Y390" s="59">
        <v>3</v>
      </c>
      <c r="Z390" s="65">
        <v>6.48</v>
      </c>
      <c r="AA390" s="59">
        <v>18</v>
      </c>
      <c r="AB390" s="65">
        <v>6.7</v>
      </c>
      <c r="AC390" s="65">
        <v>5.9</v>
      </c>
      <c r="AD390" s="9">
        <v>0.18</v>
      </c>
      <c r="AE390" s="38">
        <v>0.28999999999999998</v>
      </c>
      <c r="AF390" s="42">
        <f t="shared" si="129"/>
        <v>1330.9550000000002</v>
      </c>
      <c r="AG390" s="42">
        <f t="shared" si="130"/>
        <v>1824.1500934279993</v>
      </c>
      <c r="AH390" s="42">
        <f t="shared" si="131"/>
        <v>1.3705573016578314</v>
      </c>
      <c r="AI390" s="59">
        <v>2</v>
      </c>
      <c r="AJ390" s="59">
        <v>4</v>
      </c>
      <c r="AK390" s="38">
        <v>6.43</v>
      </c>
      <c r="AL390" s="38">
        <v>22.9</v>
      </c>
      <c r="AM390" s="65">
        <v>6.6</v>
      </c>
      <c r="AN390" s="65">
        <v>5.3</v>
      </c>
      <c r="AO390" s="38">
        <v>0.28000000000000003</v>
      </c>
      <c r="AP390" s="70">
        <v>0.3</v>
      </c>
      <c r="AQ390" s="73">
        <f t="shared" si="132"/>
        <v>1908</v>
      </c>
      <c r="AR390" s="75">
        <f t="shared" si="133"/>
        <v>0.66928721174004191</v>
      </c>
      <c r="AS390" s="75">
        <f t="shared" si="134"/>
        <v>4.2976939203354297E-2</v>
      </c>
      <c r="AT390" s="75">
        <f t="shared" si="135"/>
        <v>0.28773584905660377</v>
      </c>
      <c r="AU390" s="26">
        <f t="shared" si="136"/>
        <v>5.5584148224395266E-2</v>
      </c>
      <c r="AV390" s="26">
        <f t="shared" si="137"/>
        <v>9.4287184765826038E-2</v>
      </c>
      <c r="AW390" s="24">
        <f t="shared" si="138"/>
        <v>0.89932885906040272</v>
      </c>
      <c r="AX390" s="24">
        <f t="shared" si="139"/>
        <v>0.90268456375838924</v>
      </c>
      <c r="AY390" s="77" t="str">
        <f t="shared" si="140"/>
        <v>5,0 ≤ Alc. Bruta &lt; 7,5 mg/L</v>
      </c>
      <c r="AZ390" s="77" t="str">
        <f t="shared" si="141"/>
        <v>10 ≤ Cor &lt;15 uC</v>
      </c>
      <c r="BA390" s="78" t="str">
        <f t="shared" si="142"/>
        <v>2,5 ≤ Turb &lt; 5,0 uT</v>
      </c>
      <c r="BB390" s="79" t="str">
        <f t="shared" si="143"/>
        <v>TOR &gt; BNN &gt; SM</v>
      </c>
      <c r="BC390" s="78" t="str">
        <f t="shared" si="144"/>
        <v>Tipo 1 (≤0,25) uT</v>
      </c>
      <c r="BD390" s="78" t="str">
        <f t="shared" si="145"/>
        <v>Tipo 2 (0,25-0,50) uT</v>
      </c>
      <c r="BE390" s="78" t="str">
        <f t="shared" si="146"/>
        <v>Tipo 2 (0,25-0,50) uT</v>
      </c>
      <c r="BF390" s="78" t="str">
        <f t="shared" si="147"/>
        <v>Tipo 2 (0,25-0,50) uT</v>
      </c>
      <c r="BG390" s="78" t="str">
        <f t="shared" si="148"/>
        <v>Tipo 1 (≤0,25) uT</v>
      </c>
    </row>
    <row r="391" spans="1:59" x14ac:dyDescent="0.2">
      <c r="A391" s="21">
        <v>46167</v>
      </c>
      <c r="B391" s="48">
        <v>0.39583333333333331</v>
      </c>
      <c r="C391" s="57">
        <v>1255</v>
      </c>
      <c r="D391" s="57">
        <v>81</v>
      </c>
      <c r="E391" s="57">
        <v>550</v>
      </c>
      <c r="F391" s="57">
        <v>1951</v>
      </c>
      <c r="G391" s="10" t="s">
        <v>78</v>
      </c>
      <c r="H391" s="63">
        <v>7.5</v>
      </c>
      <c r="I391" s="57">
        <v>90</v>
      </c>
      <c r="J391" s="57">
        <v>90</v>
      </c>
      <c r="K391" s="57">
        <v>90</v>
      </c>
      <c r="L391" s="63">
        <v>22.3</v>
      </c>
      <c r="M391" s="63">
        <v>6.7</v>
      </c>
      <c r="N391" s="36">
        <v>3.42</v>
      </c>
      <c r="O391" s="57">
        <v>14</v>
      </c>
      <c r="P391" s="63">
        <v>7.5</v>
      </c>
      <c r="Q391" s="36">
        <v>0.06</v>
      </c>
      <c r="R391" s="36">
        <v>22.36</v>
      </c>
      <c r="S391" s="36">
        <v>0.88</v>
      </c>
      <c r="T391" s="36">
        <v>0.7</v>
      </c>
      <c r="U391" s="42">
        <f t="shared" si="126"/>
        <v>1924.9866666666667</v>
      </c>
      <c r="V391" s="36">
        <f t="shared" si="127"/>
        <v>1453.2949080000001</v>
      </c>
      <c r="W391" s="36">
        <f t="shared" si="128"/>
        <v>0.75496362295150099</v>
      </c>
      <c r="X391" s="57">
        <v>2</v>
      </c>
      <c r="Y391" s="57">
        <v>3</v>
      </c>
      <c r="Z391" s="63">
        <v>6.5</v>
      </c>
      <c r="AA391" s="57">
        <v>18</v>
      </c>
      <c r="AB391" s="63">
        <v>6.5</v>
      </c>
      <c r="AC391" s="63">
        <v>5.6</v>
      </c>
      <c r="AD391" s="10">
        <v>0.22</v>
      </c>
      <c r="AE391" s="36">
        <v>0.3</v>
      </c>
      <c r="AF391" s="42">
        <f t="shared" si="129"/>
        <v>1443.74</v>
      </c>
      <c r="AG391" s="42">
        <f t="shared" si="130"/>
        <v>1846.3284564400001</v>
      </c>
      <c r="AH391" s="42">
        <f t="shared" si="131"/>
        <v>1.2788510787537923</v>
      </c>
      <c r="AI391" s="57">
        <v>2</v>
      </c>
      <c r="AJ391" s="57">
        <v>4</v>
      </c>
      <c r="AK391" s="36">
        <v>6.47</v>
      </c>
      <c r="AL391" s="36">
        <v>23</v>
      </c>
      <c r="AM391" s="63">
        <v>6.4</v>
      </c>
      <c r="AN391" s="63">
        <v>5.5</v>
      </c>
      <c r="AO391" s="36">
        <v>0.25</v>
      </c>
      <c r="AP391" s="68">
        <v>0.28000000000000003</v>
      </c>
      <c r="AQ391" s="73">
        <f t="shared" si="132"/>
        <v>1886</v>
      </c>
      <c r="AR391" s="75">
        <f t="shared" si="133"/>
        <v>0.66542948038176031</v>
      </c>
      <c r="AS391" s="75">
        <f t="shared" si="134"/>
        <v>4.2948038176033931E-2</v>
      </c>
      <c r="AT391" s="75">
        <f t="shared" si="135"/>
        <v>0.29162248144220571</v>
      </c>
      <c r="AU391" s="26">
        <f t="shared" si="136"/>
        <v>5.5356227575602254E-2</v>
      </c>
      <c r="AV391" s="26">
        <f t="shared" si="137"/>
        <v>9.4310609943618659E-2</v>
      </c>
      <c r="AW391" s="24">
        <f t="shared" si="138"/>
        <v>0.91812865497076024</v>
      </c>
      <c r="AX391" s="24">
        <f t="shared" si="139"/>
        <v>0.91228070175438591</v>
      </c>
      <c r="AY391" s="77" t="str">
        <f t="shared" si="140"/>
        <v>7,5 ≤ Alc. Bruta &lt; 10,0 mg/L</v>
      </c>
      <c r="AZ391" s="77" t="str">
        <f t="shared" si="141"/>
        <v>10 ≤ Cor &lt;15 uC</v>
      </c>
      <c r="BA391" s="78" t="str">
        <f t="shared" si="142"/>
        <v>2,5 ≤ Turb &lt; 5,0 uT</v>
      </c>
      <c r="BB391" s="79" t="str">
        <f t="shared" si="143"/>
        <v>TOR &gt; BNN &gt; SM</v>
      </c>
      <c r="BC391" s="78" t="str">
        <f t="shared" si="144"/>
        <v>Tipo 1 (≤0,25) uT</v>
      </c>
      <c r="BD391" s="78" t="str">
        <f t="shared" si="145"/>
        <v>Tipo 1 (≤0,25) uT</v>
      </c>
      <c r="BE391" s="78" t="str">
        <f t="shared" si="146"/>
        <v>Tipo 2 (0,25-0,50) uT</v>
      </c>
      <c r="BF391" s="78" t="str">
        <f t="shared" si="147"/>
        <v>Tipo 2 (0,25-0,50) uT</v>
      </c>
      <c r="BG391" s="78" t="str">
        <f t="shared" si="148"/>
        <v>Tipo 1 (≤0,25) uT</v>
      </c>
    </row>
    <row r="392" spans="1:59" x14ac:dyDescent="0.2">
      <c r="A392" s="21">
        <v>46167</v>
      </c>
      <c r="B392" s="48">
        <v>0.5625</v>
      </c>
      <c r="C392" s="57">
        <v>1548</v>
      </c>
      <c r="D392" s="57">
        <v>84</v>
      </c>
      <c r="E392" s="57">
        <v>522</v>
      </c>
      <c r="F392" s="57">
        <v>2215</v>
      </c>
      <c r="G392" s="10" t="s">
        <v>78</v>
      </c>
      <c r="H392" s="63">
        <v>7.5</v>
      </c>
      <c r="I392" s="57">
        <v>90</v>
      </c>
      <c r="J392" s="57">
        <v>90</v>
      </c>
      <c r="K392" s="57">
        <v>90</v>
      </c>
      <c r="L392" s="63">
        <v>23.3</v>
      </c>
      <c r="M392" s="63">
        <v>6.7</v>
      </c>
      <c r="N392" s="36">
        <v>3.39</v>
      </c>
      <c r="O392" s="57">
        <v>15</v>
      </c>
      <c r="P392" s="63">
        <v>6.5</v>
      </c>
      <c r="Q392" s="36">
        <v>0.06</v>
      </c>
      <c r="R392" s="36">
        <v>22.36</v>
      </c>
      <c r="S392" s="36">
        <v>0.88</v>
      </c>
      <c r="T392" s="36">
        <v>0.7</v>
      </c>
      <c r="U392" s="42">
        <f t="shared" si="126"/>
        <v>1630.79375</v>
      </c>
      <c r="V392" s="36">
        <f t="shared" si="127"/>
        <v>1450.5141736799999</v>
      </c>
      <c r="W392" s="36">
        <f t="shared" si="128"/>
        <v>0.8894528653178857</v>
      </c>
      <c r="X392" s="57">
        <v>3</v>
      </c>
      <c r="Y392" s="57">
        <v>4</v>
      </c>
      <c r="Z392" s="63">
        <v>6.49</v>
      </c>
      <c r="AA392" s="57">
        <v>18</v>
      </c>
      <c r="AB392" s="63">
        <v>6.4</v>
      </c>
      <c r="AC392" s="63">
        <v>5.0999999999999996</v>
      </c>
      <c r="AD392" s="10">
        <v>0.31</v>
      </c>
      <c r="AE392" s="36">
        <v>0.26</v>
      </c>
      <c r="AF392" s="42">
        <f t="shared" si="129"/>
        <v>1630.79375</v>
      </c>
      <c r="AG392" s="42">
        <f t="shared" si="130"/>
        <v>1846.3284564400001</v>
      </c>
      <c r="AH392" s="42">
        <f t="shared" si="131"/>
        <v>1.1321655215075481</v>
      </c>
      <c r="AI392" s="57">
        <v>2</v>
      </c>
      <c r="AJ392" s="57">
        <v>4</v>
      </c>
      <c r="AK392" s="36">
        <v>6.47</v>
      </c>
      <c r="AL392" s="36">
        <v>23</v>
      </c>
      <c r="AM392" s="63">
        <v>6.4</v>
      </c>
      <c r="AN392" s="63">
        <v>6.5</v>
      </c>
      <c r="AO392" s="36">
        <v>0.28000000000000003</v>
      </c>
      <c r="AP392" s="68">
        <v>0.35</v>
      </c>
      <c r="AQ392" s="73">
        <f t="shared" si="132"/>
        <v>2154</v>
      </c>
      <c r="AR392" s="75">
        <f t="shared" si="133"/>
        <v>0.71866295264623958</v>
      </c>
      <c r="AS392" s="75">
        <f t="shared" si="134"/>
        <v>3.8997214484679667E-2</v>
      </c>
      <c r="AT392" s="75">
        <f t="shared" si="135"/>
        <v>0.24233983286908078</v>
      </c>
      <c r="AU392" s="26">
        <f t="shared" si="136"/>
        <v>6.5011286681715574E-2</v>
      </c>
      <c r="AV392" s="26">
        <f t="shared" si="137"/>
        <v>8.3069977426636563E-2</v>
      </c>
      <c r="AW392" s="24">
        <f t="shared" si="138"/>
        <v>0.89675516224188789</v>
      </c>
      <c r="AX392" s="24">
        <f t="shared" si="139"/>
        <v>0.92330383480825962</v>
      </c>
      <c r="AY392" s="77" t="str">
        <f t="shared" si="140"/>
        <v>5,0 ≤ Alc. Bruta &lt; 7,5 mg/L</v>
      </c>
      <c r="AZ392" s="77" t="str">
        <f t="shared" si="141"/>
        <v>15 ≤ Cor &lt; 30 uC</v>
      </c>
      <c r="BA392" s="78" t="str">
        <f t="shared" si="142"/>
        <v>2,5 ≤ Turb &lt; 5,0 uT</v>
      </c>
      <c r="BB392" s="79" t="str">
        <f t="shared" si="143"/>
        <v>TOR &gt; BNN &gt; SM</v>
      </c>
      <c r="BC392" s="78" t="str">
        <f t="shared" si="144"/>
        <v>Tipo 2 (0,25-0,50) uT</v>
      </c>
      <c r="BD392" s="78" t="str">
        <f t="shared" si="145"/>
        <v>Tipo 2 (0,25-0,50) uT</v>
      </c>
      <c r="BE392" s="78" t="str">
        <f t="shared" si="146"/>
        <v>Tipo 2 (0,25-0,50) uT</v>
      </c>
      <c r="BF392" s="78" t="str">
        <f t="shared" si="147"/>
        <v>Tipo 2 (0,25-0,50) uT</v>
      </c>
      <c r="BG392" s="78" t="str">
        <f t="shared" si="148"/>
        <v>Tipo 1 (≤0,25) uT</v>
      </c>
    </row>
    <row r="393" spans="1:59" x14ac:dyDescent="0.2">
      <c r="A393" s="21">
        <v>46167</v>
      </c>
      <c r="B393" s="48">
        <v>0.64583333333333337</v>
      </c>
      <c r="C393" s="57">
        <v>1549</v>
      </c>
      <c r="D393" s="57">
        <v>84</v>
      </c>
      <c r="E393" s="57">
        <v>522</v>
      </c>
      <c r="F393" s="57">
        <v>2212</v>
      </c>
      <c r="G393" s="10" t="s">
        <v>78</v>
      </c>
      <c r="H393" s="63">
        <v>7.5</v>
      </c>
      <c r="I393" s="57">
        <v>90</v>
      </c>
      <c r="J393" s="57">
        <v>90</v>
      </c>
      <c r="K393" s="57">
        <v>90</v>
      </c>
      <c r="L393" s="63">
        <v>23.7</v>
      </c>
      <c r="M393" s="63">
        <v>6.7</v>
      </c>
      <c r="N393" s="36">
        <v>3.4</v>
      </c>
      <c r="O393" s="57">
        <v>16</v>
      </c>
      <c r="P393" s="63">
        <v>6.2</v>
      </c>
      <c r="Q393" s="36">
        <v>0.06</v>
      </c>
      <c r="R393" s="36">
        <v>22.36</v>
      </c>
      <c r="S393" s="36">
        <v>0.88</v>
      </c>
      <c r="T393" s="36">
        <v>0.7</v>
      </c>
      <c r="U393" s="42">
        <f t="shared" si="126"/>
        <v>1631.3500000000001</v>
      </c>
      <c r="V393" s="36">
        <f t="shared" si="127"/>
        <v>1385.6875473999999</v>
      </c>
      <c r="W393" s="36">
        <f t="shared" si="128"/>
        <v>0.84941155938333268</v>
      </c>
      <c r="X393" s="57">
        <v>3</v>
      </c>
      <c r="Y393" s="57">
        <v>4</v>
      </c>
      <c r="Z393" s="63">
        <v>6.55</v>
      </c>
      <c r="AA393" s="57">
        <v>17</v>
      </c>
      <c r="AB393" s="63">
        <v>6.6</v>
      </c>
      <c r="AC393" s="63">
        <v>5.4</v>
      </c>
      <c r="AD393" s="10">
        <v>0.28000000000000003</v>
      </c>
      <c r="AE393" s="36">
        <v>0.23</v>
      </c>
      <c r="AF393" s="42">
        <f t="shared" si="129"/>
        <v>1631.3500000000001</v>
      </c>
      <c r="AG393" s="42">
        <f t="shared" si="130"/>
        <v>1835.6689748800002</v>
      </c>
      <c r="AH393" s="42">
        <f t="shared" si="131"/>
        <v>1.1252453335458363</v>
      </c>
      <c r="AI393" s="57">
        <v>3</v>
      </c>
      <c r="AJ393" s="57">
        <v>4</v>
      </c>
      <c r="AK393" s="36">
        <v>6.44</v>
      </c>
      <c r="AL393" s="36">
        <v>23</v>
      </c>
      <c r="AM393" s="63">
        <v>6.6</v>
      </c>
      <c r="AN393" s="63">
        <v>5.3</v>
      </c>
      <c r="AO393" s="36">
        <v>0.4</v>
      </c>
      <c r="AP393" s="68">
        <v>0.3</v>
      </c>
      <c r="AQ393" s="73">
        <f t="shared" si="132"/>
        <v>2155</v>
      </c>
      <c r="AR393" s="75">
        <f t="shared" si="133"/>
        <v>0.71879350348027837</v>
      </c>
      <c r="AS393" s="75">
        <f t="shared" si="134"/>
        <v>3.8979118329466357E-2</v>
      </c>
      <c r="AT393" s="75">
        <f t="shared" si="135"/>
        <v>0.24222737819025522</v>
      </c>
      <c r="AU393" s="26">
        <f t="shared" si="136"/>
        <v>6.148282097649186E-2</v>
      </c>
      <c r="AV393" s="26">
        <f t="shared" si="137"/>
        <v>8.3182640144665462E-2</v>
      </c>
      <c r="AW393" s="24">
        <f t="shared" si="138"/>
        <v>0.91176470588235292</v>
      </c>
      <c r="AX393" s="24">
        <f t="shared" si="139"/>
        <v>0.93235294117647061</v>
      </c>
      <c r="AY393" s="77" t="str">
        <f t="shared" si="140"/>
        <v>5,0 ≤ Alc. Bruta &lt; 7,5 mg/L</v>
      </c>
      <c r="AZ393" s="77" t="str">
        <f t="shared" si="141"/>
        <v>15 ≤ Cor &lt; 30 uC</v>
      </c>
      <c r="BA393" s="78" t="str">
        <f t="shared" si="142"/>
        <v>2,5 ≤ Turb &lt; 5,0 uT</v>
      </c>
      <c r="BB393" s="79" t="str">
        <f t="shared" si="143"/>
        <v>TOR &gt; BNN &gt; SM</v>
      </c>
      <c r="BC393" s="78" t="str">
        <f t="shared" si="144"/>
        <v>Tipo 2 (0,25-0,50) uT</v>
      </c>
      <c r="BD393" s="78" t="str">
        <f t="shared" si="145"/>
        <v>Tipo 2 (0,25-0,50) uT</v>
      </c>
      <c r="BE393" s="78" t="str">
        <f t="shared" si="146"/>
        <v>Tipo 1 (≤0,25) uT</v>
      </c>
      <c r="BF393" s="78" t="str">
        <f t="shared" si="147"/>
        <v>Tipo 2 (0,25-0,50) uT</v>
      </c>
      <c r="BG393" s="78" t="str">
        <f t="shared" si="148"/>
        <v>Tipo 1 (≤0,25) uT</v>
      </c>
    </row>
    <row r="394" spans="1:59" x14ac:dyDescent="0.2">
      <c r="A394" s="21">
        <v>46167</v>
      </c>
      <c r="B394" s="48">
        <v>0.72916666666666663</v>
      </c>
      <c r="C394" s="57">
        <v>1587</v>
      </c>
      <c r="D394" s="57">
        <v>86</v>
      </c>
      <c r="E394" s="57">
        <v>535</v>
      </c>
      <c r="F394" s="57">
        <v>2320</v>
      </c>
      <c r="G394" s="10" t="s">
        <v>78</v>
      </c>
      <c r="H394" s="63">
        <v>7.5</v>
      </c>
      <c r="I394" s="57">
        <v>90</v>
      </c>
      <c r="J394" s="57">
        <v>90</v>
      </c>
      <c r="K394" s="57">
        <v>90</v>
      </c>
      <c r="L394" s="63">
        <v>24.1</v>
      </c>
      <c r="M394" s="63">
        <v>6.7</v>
      </c>
      <c r="N394" s="36">
        <v>2.64</v>
      </c>
      <c r="O394" s="57">
        <v>19</v>
      </c>
      <c r="P394" s="63">
        <v>6.6</v>
      </c>
      <c r="Q394" s="36">
        <v>0.06</v>
      </c>
      <c r="R394" s="36">
        <v>22.36</v>
      </c>
      <c r="S394" s="36">
        <v>0.88</v>
      </c>
      <c r="T394" s="36">
        <v>0.7</v>
      </c>
      <c r="U394" s="42">
        <f t="shared" si="126"/>
        <v>1490.6000000000001</v>
      </c>
      <c r="V394" s="36">
        <f t="shared" si="127"/>
        <v>1458.8563766399996</v>
      </c>
      <c r="W394" s="36">
        <f t="shared" si="128"/>
        <v>0.97870413030994197</v>
      </c>
      <c r="X394" s="57">
        <v>3</v>
      </c>
      <c r="Y394" s="57">
        <v>4</v>
      </c>
      <c r="Z394" s="63">
        <v>6.52</v>
      </c>
      <c r="AA394" s="57">
        <v>18</v>
      </c>
      <c r="AB394" s="63">
        <v>6.7</v>
      </c>
      <c r="AC394" s="63">
        <v>5.3</v>
      </c>
      <c r="AD394" s="10">
        <v>0.21</v>
      </c>
      <c r="AE394" s="36">
        <v>0.27</v>
      </c>
      <c r="AF394" s="42">
        <f t="shared" si="129"/>
        <v>1490.6000000000001</v>
      </c>
      <c r="AG394" s="42">
        <f t="shared" si="130"/>
        <v>1839.2221353999998</v>
      </c>
      <c r="AH394" s="42">
        <f t="shared" si="131"/>
        <v>1.2338804074869179</v>
      </c>
      <c r="AI394" s="57">
        <v>3</v>
      </c>
      <c r="AJ394" s="57">
        <v>4</v>
      </c>
      <c r="AK394" s="36">
        <v>6.45</v>
      </c>
      <c r="AL394" s="36">
        <v>23</v>
      </c>
      <c r="AM394" s="63">
        <v>6.4</v>
      </c>
      <c r="AN394" s="63">
        <v>5.3</v>
      </c>
      <c r="AO394" s="36">
        <v>0.28000000000000003</v>
      </c>
      <c r="AP394" s="68">
        <v>0.26</v>
      </c>
      <c r="AQ394" s="73">
        <f t="shared" si="132"/>
        <v>2208</v>
      </c>
      <c r="AR394" s="75">
        <f t="shared" si="133"/>
        <v>0.71875</v>
      </c>
      <c r="AS394" s="75">
        <f t="shared" si="134"/>
        <v>3.894927536231884E-2</v>
      </c>
      <c r="AT394" s="75">
        <f t="shared" si="135"/>
        <v>0.24230072463768115</v>
      </c>
      <c r="AU394" s="26">
        <f t="shared" si="136"/>
        <v>6.2068965517241378E-2</v>
      </c>
      <c r="AV394" s="26">
        <f t="shared" si="137"/>
        <v>7.9310344827586213E-2</v>
      </c>
      <c r="AW394" s="24">
        <f t="shared" si="138"/>
        <v>0.90151515151515149</v>
      </c>
      <c r="AX394" s="24">
        <f t="shared" si="139"/>
        <v>0.89772727272727271</v>
      </c>
      <c r="AY394" s="77" t="str">
        <f t="shared" si="140"/>
        <v>5,0 ≤ Alc. Bruta &lt; 7,5 mg/L</v>
      </c>
      <c r="AZ394" s="77" t="str">
        <f t="shared" si="141"/>
        <v>15 ≤ Cor &lt; 30 uC</v>
      </c>
      <c r="BA394" s="78" t="str">
        <f t="shared" si="142"/>
        <v>2,5 ≤ Turb &lt; 5,0 uT</v>
      </c>
      <c r="BB394" s="79" t="str">
        <f t="shared" si="143"/>
        <v>TOR &gt; BNN &gt; SM</v>
      </c>
      <c r="BC394" s="78" t="str">
        <f t="shared" si="144"/>
        <v>Tipo 1 (≤0,25) uT</v>
      </c>
      <c r="BD394" s="78" t="str">
        <f t="shared" si="145"/>
        <v>Tipo 2 (0,25-0,50) uT</v>
      </c>
      <c r="BE394" s="78" t="str">
        <f t="shared" si="146"/>
        <v>Tipo 2 (0,25-0,50) uT</v>
      </c>
      <c r="BF394" s="78" t="str">
        <f t="shared" si="147"/>
        <v>Tipo 2 (0,25-0,50) uT</v>
      </c>
      <c r="BG394" s="78" t="str">
        <f t="shared" si="148"/>
        <v>Tipo 1 (≤0,25) uT</v>
      </c>
    </row>
    <row r="395" spans="1:59" x14ac:dyDescent="0.2">
      <c r="A395" s="21">
        <v>46167</v>
      </c>
      <c r="B395" s="48">
        <v>0.8125</v>
      </c>
      <c r="C395" s="57">
        <v>1604</v>
      </c>
      <c r="D395" s="57">
        <v>90</v>
      </c>
      <c r="E395" s="57">
        <v>556</v>
      </c>
      <c r="F395" s="57">
        <v>2300</v>
      </c>
      <c r="G395" s="10" t="s">
        <v>78</v>
      </c>
      <c r="H395" s="63">
        <v>7.5</v>
      </c>
      <c r="I395" s="57">
        <v>90</v>
      </c>
      <c r="J395" s="57">
        <v>90</v>
      </c>
      <c r="K395" s="57">
        <v>90</v>
      </c>
      <c r="L395" s="63">
        <v>24</v>
      </c>
      <c r="M395" s="63">
        <v>6.7</v>
      </c>
      <c r="N395" s="36">
        <v>2.78</v>
      </c>
      <c r="O395" s="57">
        <v>21</v>
      </c>
      <c r="P395" s="63">
        <v>7.9</v>
      </c>
      <c r="Q395" s="36">
        <v>0.06</v>
      </c>
      <c r="R395" s="36">
        <v>22.36</v>
      </c>
      <c r="S395" s="36">
        <v>0.88</v>
      </c>
      <c r="T395" s="36">
        <v>0.7</v>
      </c>
      <c r="U395" s="42">
        <f t="shared" si="126"/>
        <v>1517.9999999999998</v>
      </c>
      <c r="V395" s="36">
        <f t="shared" si="127"/>
        <v>1456.0756423199998</v>
      </c>
      <c r="W395" s="36">
        <f t="shared" si="128"/>
        <v>0.95920661549407116</v>
      </c>
      <c r="X395" s="57">
        <v>3</v>
      </c>
      <c r="Y395" s="57">
        <v>4</v>
      </c>
      <c r="Z395" s="63">
        <v>6.51</v>
      </c>
      <c r="AA395" s="57">
        <v>18</v>
      </c>
      <c r="AB395" s="63">
        <v>6.4</v>
      </c>
      <c r="AC395" s="63">
        <v>5.6</v>
      </c>
      <c r="AD395" s="10">
        <v>0.19</v>
      </c>
      <c r="AE395" s="36">
        <v>0.27</v>
      </c>
      <c r="AF395" s="42">
        <f t="shared" si="129"/>
        <v>1517.9999999999998</v>
      </c>
      <c r="AG395" s="42">
        <f t="shared" si="130"/>
        <v>1987.5681019999997</v>
      </c>
      <c r="AH395" s="42">
        <f t="shared" si="131"/>
        <v>1.3093334005270092</v>
      </c>
      <c r="AI395" s="57">
        <v>3</v>
      </c>
      <c r="AJ395" s="57">
        <v>4</v>
      </c>
      <c r="AK395" s="36">
        <v>6.42</v>
      </c>
      <c r="AL395" s="36">
        <v>25</v>
      </c>
      <c r="AM395" s="63">
        <v>6.4</v>
      </c>
      <c r="AN395" s="63">
        <v>5.0999999999999996</v>
      </c>
      <c r="AO395" s="36">
        <v>0.31</v>
      </c>
      <c r="AP395" s="68">
        <v>0.26</v>
      </c>
      <c r="AQ395" s="73">
        <f t="shared" si="132"/>
        <v>2250</v>
      </c>
      <c r="AR395" s="75">
        <f t="shared" si="133"/>
        <v>0.71288888888888891</v>
      </c>
      <c r="AS395" s="75">
        <f t="shared" si="134"/>
        <v>0.04</v>
      </c>
      <c r="AT395" s="75">
        <f t="shared" si="135"/>
        <v>0.24711111111111111</v>
      </c>
      <c r="AU395" s="26">
        <f t="shared" si="136"/>
        <v>6.2608695652173918E-2</v>
      </c>
      <c r="AV395" s="26">
        <f t="shared" si="137"/>
        <v>8.6956521739130432E-2</v>
      </c>
      <c r="AW395" s="24">
        <f t="shared" si="138"/>
        <v>0.90647482014388492</v>
      </c>
      <c r="AX395" s="24">
        <f t="shared" si="139"/>
        <v>0.90287769784172656</v>
      </c>
      <c r="AY395" s="77" t="str">
        <f t="shared" si="140"/>
        <v>7,5 ≤ Alc. Bruta &lt; 10,0 mg/L</v>
      </c>
      <c r="AZ395" s="77" t="str">
        <f t="shared" si="141"/>
        <v>15 ≤ Cor &lt; 30 uC</v>
      </c>
      <c r="BA395" s="78" t="str">
        <f t="shared" si="142"/>
        <v>2,5 ≤ Turb &lt; 5,0 uT</v>
      </c>
      <c r="BB395" s="79" t="str">
        <f t="shared" si="143"/>
        <v>TOR &gt; BNN &gt; SM</v>
      </c>
      <c r="BC395" s="78" t="str">
        <f t="shared" si="144"/>
        <v>Tipo 1 (≤0,25) uT</v>
      </c>
      <c r="BD395" s="78" t="str">
        <f t="shared" si="145"/>
        <v>Tipo 2 (0,25-0,50) uT</v>
      </c>
      <c r="BE395" s="78" t="str">
        <f t="shared" si="146"/>
        <v>Tipo 2 (0,25-0,50) uT</v>
      </c>
      <c r="BF395" s="78" t="str">
        <f t="shared" si="147"/>
        <v>Tipo 2 (0,25-0,50) uT</v>
      </c>
      <c r="BG395" s="78" t="str">
        <f t="shared" si="148"/>
        <v>Tipo 1 (≤0,25) uT</v>
      </c>
    </row>
    <row r="396" spans="1:59" x14ac:dyDescent="0.2">
      <c r="A396" s="21">
        <v>46167</v>
      </c>
      <c r="B396" s="48">
        <v>0.89583333333333337</v>
      </c>
      <c r="C396" s="57">
        <v>1440</v>
      </c>
      <c r="D396" s="57">
        <v>89</v>
      </c>
      <c r="E396" s="57">
        <v>537</v>
      </c>
      <c r="F396" s="57">
        <v>2313</v>
      </c>
      <c r="G396" s="10" t="s">
        <v>78</v>
      </c>
      <c r="H396" s="63">
        <v>7.5</v>
      </c>
      <c r="I396" s="57">
        <v>90</v>
      </c>
      <c r="J396" s="57">
        <v>90</v>
      </c>
      <c r="K396" s="57">
        <v>90</v>
      </c>
      <c r="L396" s="63">
        <v>23.9</v>
      </c>
      <c r="M396" s="63">
        <v>6.8</v>
      </c>
      <c r="N396" s="36">
        <v>2.77</v>
      </c>
      <c r="O396" s="57">
        <v>14</v>
      </c>
      <c r="P396" s="63">
        <v>6.3</v>
      </c>
      <c r="Q396" s="36">
        <v>0.06</v>
      </c>
      <c r="R396" s="36">
        <v>22.36</v>
      </c>
      <c r="S396" s="36">
        <v>0.88</v>
      </c>
      <c r="T396" s="36">
        <v>0.7</v>
      </c>
      <c r="U396" s="42">
        <f t="shared" si="126"/>
        <v>1523.6887499999998</v>
      </c>
      <c r="V396" s="36">
        <f t="shared" si="127"/>
        <v>1453.2949080000001</v>
      </c>
      <c r="W396" s="36">
        <f t="shared" si="128"/>
        <v>0.95380037950664154</v>
      </c>
      <c r="X396" s="57">
        <v>3</v>
      </c>
      <c r="Y396" s="57">
        <v>4</v>
      </c>
      <c r="Z396" s="63">
        <v>6.5</v>
      </c>
      <c r="AA396" s="57">
        <v>18</v>
      </c>
      <c r="AB396" s="63">
        <v>6.4</v>
      </c>
      <c r="AC396" s="63">
        <v>6.3</v>
      </c>
      <c r="AD396" s="10">
        <v>0.43</v>
      </c>
      <c r="AE396" s="36">
        <v>0.54</v>
      </c>
      <c r="AF396" s="42">
        <f t="shared" si="129"/>
        <v>1523.6887499999998</v>
      </c>
      <c r="AG396" s="42">
        <f t="shared" si="130"/>
        <v>1832.1158143599996</v>
      </c>
      <c r="AH396" s="42">
        <f t="shared" si="131"/>
        <v>1.2024213044560446</v>
      </c>
      <c r="AI396" s="57">
        <v>3</v>
      </c>
      <c r="AJ396" s="57">
        <v>4</v>
      </c>
      <c r="AK396" s="36">
        <v>6.43</v>
      </c>
      <c r="AL396" s="36">
        <v>23</v>
      </c>
      <c r="AM396" s="63">
        <v>6.4</v>
      </c>
      <c r="AN396" s="63">
        <v>5</v>
      </c>
      <c r="AO396" s="36">
        <v>0.19</v>
      </c>
      <c r="AP396" s="68">
        <v>0.28000000000000003</v>
      </c>
      <c r="AQ396" s="73">
        <f t="shared" si="132"/>
        <v>2066</v>
      </c>
      <c r="AR396" s="75">
        <f t="shared" si="133"/>
        <v>0.69699903194578894</v>
      </c>
      <c r="AS396" s="75">
        <f t="shared" si="134"/>
        <v>4.3078412391093904E-2</v>
      </c>
      <c r="AT396" s="75">
        <f t="shared" si="135"/>
        <v>0.25992255566311712</v>
      </c>
      <c r="AU396" s="26">
        <f t="shared" si="136"/>
        <v>6.2256809338521402E-2</v>
      </c>
      <c r="AV396" s="26">
        <f t="shared" si="137"/>
        <v>7.9550367488110674E-2</v>
      </c>
      <c r="AW396" s="24">
        <f t="shared" si="138"/>
        <v>0.89891696750902528</v>
      </c>
      <c r="AX396" s="24">
        <f t="shared" si="139"/>
        <v>0.80505415162454874</v>
      </c>
      <c r="AY396" s="77" t="str">
        <f t="shared" si="140"/>
        <v>5,0 ≤ Alc. Bruta &lt; 7,5 mg/L</v>
      </c>
      <c r="AZ396" s="77" t="str">
        <f t="shared" si="141"/>
        <v>10 ≤ Cor &lt;15 uC</v>
      </c>
      <c r="BA396" s="78" t="str">
        <f t="shared" si="142"/>
        <v>2,5 ≤ Turb &lt; 5,0 uT</v>
      </c>
      <c r="BB396" s="79" t="str">
        <f t="shared" si="143"/>
        <v>TOR &gt; BNN &gt; SM</v>
      </c>
      <c r="BC396" s="78" t="str">
        <f t="shared" si="144"/>
        <v>Tipo 2 (0,25-0,50) uT</v>
      </c>
      <c r="BD396" s="78" t="str">
        <f t="shared" si="145"/>
        <v>Tipo 1 (≤0,25) uT</v>
      </c>
      <c r="BE396" s="78" t="str">
        <f t="shared" si="146"/>
        <v>Tipo 3 (0,50-0,75) uT</v>
      </c>
      <c r="BF396" s="78" t="str">
        <f t="shared" si="147"/>
        <v>Tipo 2 (0,25-0,50) uT</v>
      </c>
      <c r="BG396" s="78" t="str">
        <f t="shared" si="148"/>
        <v>Tipo 1 (≤0,25) uT</v>
      </c>
    </row>
    <row r="397" spans="1:59" x14ac:dyDescent="0.2">
      <c r="A397" s="21">
        <v>46168</v>
      </c>
      <c r="B397" s="48">
        <v>6.25E-2</v>
      </c>
      <c r="C397" s="57">
        <v>1160</v>
      </c>
      <c r="D397" s="57">
        <v>86</v>
      </c>
      <c r="E397" s="57">
        <v>550</v>
      </c>
      <c r="F397" s="57">
        <v>1908</v>
      </c>
      <c r="G397" s="10" t="s">
        <v>78</v>
      </c>
      <c r="H397" s="63">
        <v>7.4</v>
      </c>
      <c r="I397" s="57">
        <v>90</v>
      </c>
      <c r="J397" s="57">
        <v>90</v>
      </c>
      <c r="K397" s="57">
        <v>90</v>
      </c>
      <c r="L397" s="63">
        <v>23.3</v>
      </c>
      <c r="M397" s="63">
        <v>6.7</v>
      </c>
      <c r="N397" s="36">
        <v>2.72</v>
      </c>
      <c r="O397" s="57">
        <v>14</v>
      </c>
      <c r="P397" s="63">
        <v>7.3</v>
      </c>
      <c r="Q397" s="36">
        <v>7.0000000000000007E-2</v>
      </c>
      <c r="R397" s="36">
        <v>22.36</v>
      </c>
      <c r="S397" s="36">
        <v>0.88</v>
      </c>
      <c r="T397" s="36">
        <v>0.7</v>
      </c>
      <c r="U397" s="42">
        <f t="shared" si="126"/>
        <v>1650.42</v>
      </c>
      <c r="V397" s="36">
        <f t="shared" si="127"/>
        <v>1453.2949080000001</v>
      </c>
      <c r="W397" s="36">
        <f t="shared" si="128"/>
        <v>0.88056065001635953</v>
      </c>
      <c r="X397" s="57">
        <v>2</v>
      </c>
      <c r="Y397" s="57">
        <v>3</v>
      </c>
      <c r="Z397" s="63">
        <v>6.5</v>
      </c>
      <c r="AA397" s="57">
        <v>18</v>
      </c>
      <c r="AB397" s="63">
        <v>6.4</v>
      </c>
      <c r="AC397" s="63">
        <v>5.0999999999999996</v>
      </c>
      <c r="AD397" s="10">
        <v>0.23</v>
      </c>
      <c r="AE397" s="36">
        <v>0.33</v>
      </c>
      <c r="AF397" s="42">
        <f t="shared" si="129"/>
        <v>1237.8150000000001</v>
      </c>
      <c r="AG397" s="42">
        <f t="shared" si="130"/>
        <v>1835.6689748800002</v>
      </c>
      <c r="AH397" s="42">
        <f t="shared" si="131"/>
        <v>1.4829913798750218</v>
      </c>
      <c r="AI397" s="57">
        <v>2</v>
      </c>
      <c r="AJ397" s="57">
        <v>4</v>
      </c>
      <c r="AK397" s="36">
        <v>6.44</v>
      </c>
      <c r="AL397" s="36">
        <v>23</v>
      </c>
      <c r="AM397" s="63">
        <v>6.5</v>
      </c>
      <c r="AN397" s="63">
        <v>5.3</v>
      </c>
      <c r="AO397" s="36">
        <v>0.32</v>
      </c>
      <c r="AP397" s="68">
        <v>0.63</v>
      </c>
      <c r="AQ397" s="73">
        <f t="shared" si="132"/>
        <v>1796</v>
      </c>
      <c r="AR397" s="75">
        <f t="shared" si="133"/>
        <v>0.6458797327394209</v>
      </c>
      <c r="AS397" s="75">
        <f t="shared" si="134"/>
        <v>4.7884187082405348E-2</v>
      </c>
      <c r="AT397" s="75">
        <f t="shared" si="135"/>
        <v>0.30623608017817372</v>
      </c>
      <c r="AU397" s="26">
        <f t="shared" si="136"/>
        <v>5.6603773584905662E-2</v>
      </c>
      <c r="AV397" s="26">
        <f t="shared" si="137"/>
        <v>9.6436058700209645E-2</v>
      </c>
      <c r="AW397" s="24">
        <f t="shared" si="138"/>
        <v>0.76838235294117652</v>
      </c>
      <c r="AX397" s="24">
        <f t="shared" si="139"/>
        <v>0.87867647058823528</v>
      </c>
      <c r="AY397" s="77" t="str">
        <f t="shared" si="140"/>
        <v>5,0 ≤ Alc. Bruta &lt; 7,5 mg/L</v>
      </c>
      <c r="AZ397" s="77" t="str">
        <f t="shared" si="141"/>
        <v>10 ≤ Cor &lt;15 uC</v>
      </c>
      <c r="BA397" s="78" t="str">
        <f t="shared" si="142"/>
        <v>2,5 ≤ Turb &lt; 5,0 uT</v>
      </c>
      <c r="BB397" s="79" t="str">
        <f t="shared" si="143"/>
        <v>TOR &gt; BNN &gt; SM</v>
      </c>
      <c r="BC397" s="78" t="str">
        <f t="shared" si="144"/>
        <v>Tipo 1 (≤0,25) uT</v>
      </c>
      <c r="BD397" s="78" t="str">
        <f t="shared" si="145"/>
        <v>Tipo 2 (0,25-0,50) uT</v>
      </c>
      <c r="BE397" s="78" t="str">
        <f t="shared" si="146"/>
        <v>Tipo 2 (0,25-0,50) uT</v>
      </c>
      <c r="BF397" s="78" t="str">
        <f t="shared" si="147"/>
        <v>Tipo 3 (0,50-0,75) uT</v>
      </c>
      <c r="BG397" s="78" t="str">
        <f t="shared" si="148"/>
        <v>Tipo 1 (≤0,25) uT</v>
      </c>
    </row>
    <row r="398" spans="1:59" x14ac:dyDescent="0.2">
      <c r="A398" s="21">
        <v>46168</v>
      </c>
      <c r="B398" s="48">
        <v>0.14583333333333334</v>
      </c>
      <c r="C398" s="57">
        <v>1160</v>
      </c>
      <c r="D398" s="57">
        <v>82</v>
      </c>
      <c r="E398" s="57">
        <v>550</v>
      </c>
      <c r="F398" s="57">
        <v>1826</v>
      </c>
      <c r="G398" s="10" t="s">
        <v>78</v>
      </c>
      <c r="H398" s="63">
        <v>7.5</v>
      </c>
      <c r="I398" s="57">
        <v>90</v>
      </c>
      <c r="J398" s="57">
        <v>90</v>
      </c>
      <c r="K398" s="57">
        <v>90</v>
      </c>
      <c r="L398" s="63">
        <v>23.1</v>
      </c>
      <c r="M398" s="63">
        <v>6.9</v>
      </c>
      <c r="N398" s="36">
        <v>2.7</v>
      </c>
      <c r="O398" s="57">
        <v>13</v>
      </c>
      <c r="P398" s="63">
        <v>6.4</v>
      </c>
      <c r="Q398" s="36">
        <v>0.06</v>
      </c>
      <c r="R398" s="36">
        <v>22.36</v>
      </c>
      <c r="S398" s="36">
        <v>0.88</v>
      </c>
      <c r="T398" s="36">
        <v>0.7</v>
      </c>
      <c r="U398" s="42">
        <f t="shared" si="126"/>
        <v>1186.9000000000001</v>
      </c>
      <c r="V398" s="36">
        <f t="shared" si="127"/>
        <v>1456.0756423199998</v>
      </c>
      <c r="W398" s="36">
        <f t="shared" si="128"/>
        <v>1.2267888131434828</v>
      </c>
      <c r="X398" s="57">
        <v>2</v>
      </c>
      <c r="Y398" s="57">
        <v>4</v>
      </c>
      <c r="Z398" s="63">
        <v>6.51</v>
      </c>
      <c r="AA398" s="57">
        <v>18</v>
      </c>
      <c r="AB398" s="63">
        <v>6.5</v>
      </c>
      <c r="AC398" s="63">
        <v>5.8</v>
      </c>
      <c r="AD398" s="10">
        <v>0.17</v>
      </c>
      <c r="AE398" s="36">
        <v>0.37</v>
      </c>
      <c r="AF398" s="42">
        <f t="shared" si="129"/>
        <v>1582.5333333333333</v>
      </c>
      <c r="AG398" s="42">
        <f t="shared" si="130"/>
        <v>1846.3284564400001</v>
      </c>
      <c r="AH398" s="42">
        <f t="shared" si="131"/>
        <v>1.166691669331873</v>
      </c>
      <c r="AI398" s="57">
        <v>2</v>
      </c>
      <c r="AJ398" s="57">
        <v>3</v>
      </c>
      <c r="AK398" s="36">
        <v>6.47</v>
      </c>
      <c r="AL398" s="36">
        <v>23</v>
      </c>
      <c r="AM398" s="63">
        <v>6.4</v>
      </c>
      <c r="AN398" s="63">
        <v>6.6</v>
      </c>
      <c r="AO398" s="36">
        <v>0.21</v>
      </c>
      <c r="AP398" s="68">
        <v>0.74</v>
      </c>
      <c r="AQ398" s="73">
        <f t="shared" si="132"/>
        <v>1792</v>
      </c>
      <c r="AR398" s="75">
        <f t="shared" si="133"/>
        <v>0.6473214285714286</v>
      </c>
      <c r="AS398" s="75">
        <f t="shared" si="134"/>
        <v>4.5758928571428568E-2</v>
      </c>
      <c r="AT398" s="75">
        <f t="shared" si="135"/>
        <v>0.30691964285714285</v>
      </c>
      <c r="AU398" s="26">
        <f t="shared" si="136"/>
        <v>7.8860898138006577E-2</v>
      </c>
      <c r="AV398" s="26">
        <f t="shared" si="137"/>
        <v>7.5575027382256299E-2</v>
      </c>
      <c r="AW398" s="24">
        <f t="shared" si="138"/>
        <v>0.72592592592592597</v>
      </c>
      <c r="AX398" s="24">
        <f t="shared" si="139"/>
        <v>0.86296296296296293</v>
      </c>
      <c r="AY398" s="77" t="str">
        <f t="shared" si="140"/>
        <v>5,0 ≤ Alc. Bruta &lt; 7,5 mg/L</v>
      </c>
      <c r="AZ398" s="77" t="str">
        <f t="shared" si="141"/>
        <v>10 ≤ Cor &lt;15 uC</v>
      </c>
      <c r="BA398" s="78" t="str">
        <f t="shared" si="142"/>
        <v>2,5 ≤ Turb &lt; 5,0 uT</v>
      </c>
      <c r="BB398" s="79" t="str">
        <f t="shared" si="143"/>
        <v>TOR &gt; BNN &gt; SM</v>
      </c>
      <c r="BC398" s="78" t="str">
        <f t="shared" si="144"/>
        <v>Tipo 1 (≤0,25) uT</v>
      </c>
      <c r="BD398" s="78" t="str">
        <f t="shared" si="145"/>
        <v>Tipo 1 (≤0,25) uT</v>
      </c>
      <c r="BE398" s="78" t="str">
        <f t="shared" si="146"/>
        <v>Tipo 2 (0,25-0,50) uT</v>
      </c>
      <c r="BF398" s="78" t="str">
        <f t="shared" si="147"/>
        <v>Tipo 3 (0,50-0,75) uT</v>
      </c>
      <c r="BG398" s="78" t="str">
        <f t="shared" si="148"/>
        <v>Tipo 1 (≤0,25) uT</v>
      </c>
    </row>
    <row r="399" spans="1:59" ht="15.75" thickBot="1" x14ac:dyDescent="0.25">
      <c r="A399" s="21">
        <v>46168</v>
      </c>
      <c r="B399" s="51">
        <v>0.22916666666666666</v>
      </c>
      <c r="C399" s="58">
        <v>1149</v>
      </c>
      <c r="D399" s="58">
        <v>88</v>
      </c>
      <c r="E399" s="58">
        <v>550</v>
      </c>
      <c r="F399" s="58">
        <v>1871</v>
      </c>
      <c r="G399" s="11" t="s">
        <v>78</v>
      </c>
      <c r="H399" s="64">
        <v>7.5</v>
      </c>
      <c r="I399" s="58">
        <v>90</v>
      </c>
      <c r="J399" s="58">
        <v>90</v>
      </c>
      <c r="K399" s="58">
        <v>90</v>
      </c>
      <c r="L399" s="64">
        <v>22.9</v>
      </c>
      <c r="M399" s="64">
        <v>6.7</v>
      </c>
      <c r="N399" s="37">
        <v>2.64</v>
      </c>
      <c r="O399" s="58">
        <v>13</v>
      </c>
      <c r="P399" s="64">
        <v>6.1</v>
      </c>
      <c r="Q399" s="37">
        <v>7.0000000000000007E-2</v>
      </c>
      <c r="R399" s="36">
        <v>22.36</v>
      </c>
      <c r="S399" s="36">
        <v>0.88</v>
      </c>
      <c r="T399" s="36">
        <v>0.7</v>
      </c>
      <c r="U399" s="42">
        <f t="shared" si="126"/>
        <v>1202.1175000000001</v>
      </c>
      <c r="V399" s="36">
        <f t="shared" si="127"/>
        <v>1453.2949080000001</v>
      </c>
      <c r="W399" s="36">
        <f t="shared" si="128"/>
        <v>1.2089458043826831</v>
      </c>
      <c r="X399" s="58">
        <v>2</v>
      </c>
      <c r="Y399" s="58">
        <v>4</v>
      </c>
      <c r="Z399" s="64">
        <v>6.5</v>
      </c>
      <c r="AA399" s="58">
        <v>18</v>
      </c>
      <c r="AB399" s="64">
        <v>6.4</v>
      </c>
      <c r="AC399" s="64">
        <v>5.8</v>
      </c>
      <c r="AD399" s="11">
        <v>0.14000000000000001</v>
      </c>
      <c r="AE399" s="37">
        <v>0.39</v>
      </c>
      <c r="AF399" s="42">
        <f t="shared" si="129"/>
        <v>1602.8233333333335</v>
      </c>
      <c r="AG399" s="42">
        <f t="shared" si="130"/>
        <v>1999.1544949999998</v>
      </c>
      <c r="AH399" s="42">
        <f t="shared" si="131"/>
        <v>1.2472706463802412</v>
      </c>
      <c r="AI399" s="58">
        <v>2</v>
      </c>
      <c r="AJ399" s="58">
        <v>3</v>
      </c>
      <c r="AK399" s="37">
        <v>6.45</v>
      </c>
      <c r="AL399" s="37">
        <v>25</v>
      </c>
      <c r="AM399" s="64">
        <v>6.4</v>
      </c>
      <c r="AN399" s="64">
        <v>6.1</v>
      </c>
      <c r="AO399" s="37">
        <v>0.12</v>
      </c>
      <c r="AP399" s="69">
        <v>0.77</v>
      </c>
      <c r="AQ399" s="73">
        <f t="shared" si="132"/>
        <v>1787</v>
      </c>
      <c r="AR399" s="75">
        <f t="shared" si="133"/>
        <v>0.64297705651930614</v>
      </c>
      <c r="AS399" s="75">
        <f t="shared" si="134"/>
        <v>4.9244543928371576E-2</v>
      </c>
      <c r="AT399" s="75">
        <f t="shared" si="135"/>
        <v>0.30777839955232233</v>
      </c>
      <c r="AU399" s="26">
        <f t="shared" si="136"/>
        <v>7.6964190272581501E-2</v>
      </c>
      <c r="AV399" s="26">
        <f t="shared" si="137"/>
        <v>8.0171031533939077E-2</v>
      </c>
      <c r="AW399" s="24">
        <f t="shared" si="138"/>
        <v>0.70833333333333326</v>
      </c>
      <c r="AX399" s="24">
        <f t="shared" si="139"/>
        <v>0.85227272727272729</v>
      </c>
      <c r="AY399" s="77" t="str">
        <f t="shared" si="140"/>
        <v>5,0 ≤ Alc. Bruta &lt; 7,5 mg/L</v>
      </c>
      <c r="AZ399" s="77" t="str">
        <f t="shared" si="141"/>
        <v>10 ≤ Cor &lt;15 uC</v>
      </c>
      <c r="BA399" s="78" t="str">
        <f t="shared" si="142"/>
        <v>2,5 ≤ Turb &lt; 5,0 uT</v>
      </c>
      <c r="BB399" s="79" t="str">
        <f t="shared" si="143"/>
        <v>TOR &gt; BNN &gt; SM</v>
      </c>
      <c r="BC399" s="78" t="str">
        <f t="shared" si="144"/>
        <v>Tipo 1 (≤0,25) uT</v>
      </c>
      <c r="BD399" s="78" t="str">
        <f t="shared" si="145"/>
        <v>Tipo 1 (≤0,25) uT</v>
      </c>
      <c r="BE399" s="78" t="str">
        <f t="shared" si="146"/>
        <v>Tipo 2 (0,25-0,50) uT</v>
      </c>
      <c r="BF399" s="78" t="str">
        <f t="shared" si="147"/>
        <v>Tipo 4 (&gt;0,75) uT</v>
      </c>
      <c r="BG399" s="78" t="str">
        <f t="shared" si="148"/>
        <v>Tipo 1 (≤0,25) uT</v>
      </c>
    </row>
    <row r="400" spans="1:59" x14ac:dyDescent="0.2">
      <c r="A400" s="21">
        <v>46168</v>
      </c>
      <c r="B400" s="52">
        <v>0.3125</v>
      </c>
      <c r="C400" s="59">
        <v>560</v>
      </c>
      <c r="D400" s="57">
        <v>89</v>
      </c>
      <c r="E400" s="59">
        <v>549</v>
      </c>
      <c r="F400" s="59">
        <v>1315</v>
      </c>
      <c r="G400" s="9" t="s">
        <v>78</v>
      </c>
      <c r="H400" s="65">
        <v>7.5</v>
      </c>
      <c r="I400" s="59">
        <v>90</v>
      </c>
      <c r="J400" s="59">
        <v>90</v>
      </c>
      <c r="K400" s="59">
        <v>90</v>
      </c>
      <c r="L400" s="65">
        <v>22.6</v>
      </c>
      <c r="M400" s="65">
        <v>7</v>
      </c>
      <c r="N400" s="38">
        <v>2.5499999999999998</v>
      </c>
      <c r="O400" s="59">
        <v>13</v>
      </c>
      <c r="P400" s="65">
        <v>7.7</v>
      </c>
      <c r="Q400" s="38">
        <v>7.0000000000000007E-2</v>
      </c>
      <c r="R400" s="36">
        <v>22.36</v>
      </c>
      <c r="S400" s="36">
        <v>0.88</v>
      </c>
      <c r="T400" s="36">
        <v>0.7</v>
      </c>
      <c r="U400" s="42">
        <f t="shared" si="126"/>
        <v>1106.7916666666665</v>
      </c>
      <c r="V400" s="36">
        <f t="shared" si="127"/>
        <v>1507.4849225279997</v>
      </c>
      <c r="W400" s="36">
        <f t="shared" si="128"/>
        <v>1.3620313270591424</v>
      </c>
      <c r="X400" s="59">
        <v>2</v>
      </c>
      <c r="Y400" s="59">
        <v>3</v>
      </c>
      <c r="Z400" s="65">
        <v>6.52</v>
      </c>
      <c r="AA400" s="59">
        <v>18.600000000000001</v>
      </c>
      <c r="AB400" s="65">
        <v>6.4</v>
      </c>
      <c r="AC400" s="65">
        <v>5.2</v>
      </c>
      <c r="AD400" s="9">
        <v>0.49</v>
      </c>
      <c r="AE400" s="38">
        <v>0.45</v>
      </c>
      <c r="AF400" s="42">
        <f t="shared" si="129"/>
        <v>1106.7916666666665</v>
      </c>
      <c r="AG400" s="42">
        <f t="shared" si="130"/>
        <v>1889.5271491199999</v>
      </c>
      <c r="AH400" s="42">
        <f t="shared" si="131"/>
        <v>1.7072112178172647</v>
      </c>
      <c r="AI400" s="59">
        <v>1</v>
      </c>
      <c r="AJ400" s="59">
        <v>3</v>
      </c>
      <c r="AK400" s="38">
        <v>6.37</v>
      </c>
      <c r="AL400" s="38">
        <v>24</v>
      </c>
      <c r="AM400" s="65">
        <v>6.5</v>
      </c>
      <c r="AN400" s="65">
        <v>5.7</v>
      </c>
      <c r="AO400" s="38">
        <v>0.55000000000000004</v>
      </c>
      <c r="AP400" s="70">
        <v>0.74</v>
      </c>
      <c r="AQ400" s="73">
        <f t="shared" si="132"/>
        <v>1198</v>
      </c>
      <c r="AR400" s="75">
        <f t="shared" si="133"/>
        <v>0.46744574290484142</v>
      </c>
      <c r="AS400" s="75">
        <f t="shared" si="134"/>
        <v>7.4290484140233717E-2</v>
      </c>
      <c r="AT400" s="75">
        <f t="shared" si="135"/>
        <v>0.45826377295492488</v>
      </c>
      <c r="AU400" s="26">
        <f t="shared" si="136"/>
        <v>8.4866920152091269E-2</v>
      </c>
      <c r="AV400" s="26">
        <f t="shared" si="137"/>
        <v>0.10950570342205324</v>
      </c>
      <c r="AW400" s="24">
        <f t="shared" si="138"/>
        <v>0.70980392156862737</v>
      </c>
      <c r="AX400" s="24">
        <f t="shared" si="139"/>
        <v>0.82352941176470584</v>
      </c>
      <c r="AY400" s="77" t="str">
        <f t="shared" si="140"/>
        <v>7,5 ≤ Alc. Bruta &lt; 10,0 mg/L</v>
      </c>
      <c r="AZ400" s="77" t="str">
        <f t="shared" si="141"/>
        <v>10 ≤ Cor &lt;15 uC</v>
      </c>
      <c r="BA400" s="78" t="str">
        <f t="shared" si="142"/>
        <v>2,5 ≤ Turb &lt; 5,0 uT</v>
      </c>
      <c r="BB400" s="79" t="str">
        <f t="shared" si="143"/>
        <v>TOR &gt; BNN &gt; SM</v>
      </c>
      <c r="BC400" s="78" t="str">
        <f t="shared" si="144"/>
        <v>Tipo 2 (0,25-0,50) uT</v>
      </c>
      <c r="BD400" s="78" t="str">
        <f t="shared" si="145"/>
        <v>Tipo 3 (0,50-0,75) uT</v>
      </c>
      <c r="BE400" s="78" t="str">
        <f t="shared" si="146"/>
        <v>Tipo 2 (0,25-0,50) uT</v>
      </c>
      <c r="BF400" s="78" t="str">
        <f t="shared" si="147"/>
        <v>Tipo 3 (0,50-0,75) uT</v>
      </c>
      <c r="BG400" s="78" t="str">
        <f t="shared" si="148"/>
        <v>Tipo 1 (≤0,25) uT</v>
      </c>
    </row>
    <row r="401" spans="1:59" x14ac:dyDescent="0.2">
      <c r="A401" s="21">
        <v>46168</v>
      </c>
      <c r="B401" s="48">
        <v>0.47916666666666669</v>
      </c>
      <c r="C401" s="57">
        <v>1109</v>
      </c>
      <c r="D401" s="57">
        <v>82</v>
      </c>
      <c r="E401" s="57">
        <v>550</v>
      </c>
      <c r="F401" s="57">
        <v>1836</v>
      </c>
      <c r="G401" s="10" t="s">
        <v>78</v>
      </c>
      <c r="H401" s="63">
        <v>7.5</v>
      </c>
      <c r="I401" s="57">
        <v>90</v>
      </c>
      <c r="J401" s="57">
        <v>90</v>
      </c>
      <c r="K401" s="57">
        <v>90</v>
      </c>
      <c r="L401" s="63">
        <v>23.4</v>
      </c>
      <c r="M401" s="63">
        <v>6.8</v>
      </c>
      <c r="N401" s="36">
        <v>2.58</v>
      </c>
      <c r="O401" s="57">
        <v>13</v>
      </c>
      <c r="P401" s="63">
        <v>7</v>
      </c>
      <c r="Q401" s="36">
        <v>0.44</v>
      </c>
      <c r="R401" s="36">
        <v>22.36</v>
      </c>
      <c r="S401" s="36">
        <v>0.88</v>
      </c>
      <c r="T401" s="36">
        <v>0.7</v>
      </c>
      <c r="U401" s="42">
        <f t="shared" si="126"/>
        <v>1165.8600000000001</v>
      </c>
      <c r="V401" s="36">
        <f t="shared" si="127"/>
        <v>1375.1825510799999</v>
      </c>
      <c r="W401" s="36">
        <f t="shared" si="128"/>
        <v>1.1795434709827937</v>
      </c>
      <c r="X401" s="57">
        <v>2</v>
      </c>
      <c r="Y401" s="57">
        <v>4</v>
      </c>
      <c r="Z401" s="63">
        <v>6.51</v>
      </c>
      <c r="AA401" s="57">
        <v>17</v>
      </c>
      <c r="AB401" s="63">
        <v>6.5</v>
      </c>
      <c r="AC401" s="63">
        <v>5.2</v>
      </c>
      <c r="AD401" s="10">
        <v>0.16</v>
      </c>
      <c r="AE401" s="36">
        <v>0.57999999999999996</v>
      </c>
      <c r="AF401" s="42">
        <f t="shared" si="129"/>
        <v>1554.48</v>
      </c>
      <c r="AG401" s="42">
        <f t="shared" si="130"/>
        <v>1922.8959609599995</v>
      </c>
      <c r="AH401" s="42">
        <f t="shared" si="131"/>
        <v>1.2370027024857184</v>
      </c>
      <c r="AI401" s="57">
        <v>2</v>
      </c>
      <c r="AJ401" s="57">
        <v>3</v>
      </c>
      <c r="AK401" s="36">
        <v>6.46</v>
      </c>
      <c r="AL401" s="36">
        <v>24</v>
      </c>
      <c r="AM401" s="63">
        <v>6.5</v>
      </c>
      <c r="AN401" s="63">
        <v>5.2</v>
      </c>
      <c r="AO401" s="36">
        <v>0.16</v>
      </c>
      <c r="AP401" s="68">
        <v>0.53</v>
      </c>
      <c r="AQ401" s="73">
        <f t="shared" si="132"/>
        <v>1741</v>
      </c>
      <c r="AR401" s="75">
        <f t="shared" si="133"/>
        <v>0.63699023549684086</v>
      </c>
      <c r="AS401" s="75">
        <f t="shared" si="134"/>
        <v>4.7099368179207353E-2</v>
      </c>
      <c r="AT401" s="75">
        <f t="shared" si="135"/>
        <v>0.31591039632395174</v>
      </c>
      <c r="AU401" s="26">
        <f t="shared" si="136"/>
        <v>7.407407407407407E-2</v>
      </c>
      <c r="AV401" s="26">
        <f t="shared" si="137"/>
        <v>7.8431372549019607E-2</v>
      </c>
      <c r="AW401" s="24">
        <f t="shared" si="138"/>
        <v>0.79457364341085268</v>
      </c>
      <c r="AX401" s="24">
        <f t="shared" si="139"/>
        <v>0.77519379844961245</v>
      </c>
      <c r="AY401" s="77" t="str">
        <f t="shared" si="140"/>
        <v>5,0 ≤ Alc. Bruta &lt; 7,5 mg/L</v>
      </c>
      <c r="AZ401" s="77" t="str">
        <f t="shared" si="141"/>
        <v>10 ≤ Cor &lt;15 uC</v>
      </c>
      <c r="BA401" s="78" t="str">
        <f t="shared" si="142"/>
        <v>2,5 ≤ Turb &lt; 5,0 uT</v>
      </c>
      <c r="BB401" s="79" t="str">
        <f t="shared" si="143"/>
        <v>TOR &gt; BNN &gt; SM</v>
      </c>
      <c r="BC401" s="78" t="str">
        <f t="shared" si="144"/>
        <v>Tipo 1 (≤0,25) uT</v>
      </c>
      <c r="BD401" s="78" t="str">
        <f t="shared" si="145"/>
        <v>Tipo 1 (≤0,25) uT</v>
      </c>
      <c r="BE401" s="78" t="str">
        <f t="shared" si="146"/>
        <v>Tipo 3 (0,50-0,75) uT</v>
      </c>
      <c r="BF401" s="78" t="str">
        <f t="shared" si="147"/>
        <v>Tipo 3 (0,50-0,75) uT</v>
      </c>
      <c r="BG401" s="78" t="str">
        <f t="shared" si="148"/>
        <v>Tipo 2 (0,25-0,50) uT</v>
      </c>
    </row>
    <row r="402" spans="1:59" x14ac:dyDescent="0.2">
      <c r="A402" s="21">
        <v>46168</v>
      </c>
      <c r="B402" s="48">
        <v>0.64583333333333337</v>
      </c>
      <c r="C402" s="57">
        <v>1192</v>
      </c>
      <c r="D402" s="57">
        <v>82</v>
      </c>
      <c r="E402" s="57">
        <v>549</v>
      </c>
      <c r="F402" s="57">
        <v>1835</v>
      </c>
      <c r="G402" s="10" t="s">
        <v>78</v>
      </c>
      <c r="H402" s="63">
        <v>7</v>
      </c>
      <c r="I402" s="57">
        <v>90</v>
      </c>
      <c r="J402" s="57">
        <v>90</v>
      </c>
      <c r="K402" s="57">
        <v>90</v>
      </c>
      <c r="L402" s="63">
        <v>24.6</v>
      </c>
      <c r="M402" s="63">
        <v>6.8</v>
      </c>
      <c r="N402" s="36">
        <v>2.5299999999999998</v>
      </c>
      <c r="O402" s="57">
        <v>13</v>
      </c>
      <c r="P402" s="63">
        <v>8.5</v>
      </c>
      <c r="Q402" s="36">
        <v>0.08</v>
      </c>
      <c r="R402" s="36">
        <v>22.36</v>
      </c>
      <c r="S402" s="36">
        <v>0.88</v>
      </c>
      <c r="T402" s="36">
        <v>0.7</v>
      </c>
      <c r="U402" s="42">
        <f t="shared" si="126"/>
        <v>1119.3499999999999</v>
      </c>
      <c r="V402" s="36">
        <f t="shared" si="127"/>
        <v>1372.556302</v>
      </c>
      <c r="W402" s="36">
        <f t="shared" si="128"/>
        <v>1.226208336981284</v>
      </c>
      <c r="X402" s="57">
        <v>2</v>
      </c>
      <c r="Y402" s="57">
        <v>4</v>
      </c>
      <c r="Z402" s="63">
        <v>6.5</v>
      </c>
      <c r="AA402" s="57">
        <v>17</v>
      </c>
      <c r="AB402" s="63">
        <v>6.6</v>
      </c>
      <c r="AC402" s="63">
        <v>5.6</v>
      </c>
      <c r="AD402" s="10">
        <v>0.09</v>
      </c>
      <c r="AE402" s="36">
        <v>0.22</v>
      </c>
      <c r="AF402" s="42">
        <f t="shared" si="129"/>
        <v>1492.4666666666665</v>
      </c>
      <c r="AG402" s="42">
        <f t="shared" si="130"/>
        <v>1922.8959609599995</v>
      </c>
      <c r="AH402" s="42">
        <f t="shared" si="131"/>
        <v>1.2884012781703664</v>
      </c>
      <c r="AI402" s="57">
        <v>2</v>
      </c>
      <c r="AJ402" s="57">
        <v>3</v>
      </c>
      <c r="AK402" s="36">
        <v>6.46</v>
      </c>
      <c r="AL402" s="36">
        <v>24</v>
      </c>
      <c r="AM402" s="63">
        <v>6.5</v>
      </c>
      <c r="AN402" s="63">
        <v>5.2</v>
      </c>
      <c r="AO402" s="36">
        <v>0.09</v>
      </c>
      <c r="AP402" s="68">
        <v>0.31</v>
      </c>
      <c r="AQ402" s="73">
        <f t="shared" si="132"/>
        <v>1823</v>
      </c>
      <c r="AR402" s="75">
        <f t="shared" si="133"/>
        <v>0.6538672517827756</v>
      </c>
      <c r="AS402" s="75">
        <f t="shared" si="134"/>
        <v>4.4980800877674164E-2</v>
      </c>
      <c r="AT402" s="75">
        <f t="shared" si="135"/>
        <v>0.3011519473395502</v>
      </c>
      <c r="AU402" s="26">
        <f t="shared" si="136"/>
        <v>7.4114441416893731E-2</v>
      </c>
      <c r="AV402" s="26">
        <f t="shared" si="137"/>
        <v>7.8474114441416901E-2</v>
      </c>
      <c r="AW402" s="24">
        <f t="shared" si="138"/>
        <v>0.87747035573122534</v>
      </c>
      <c r="AX402" s="24">
        <f t="shared" si="139"/>
        <v>0.91304347826086951</v>
      </c>
      <c r="AY402" s="77" t="str">
        <f t="shared" si="140"/>
        <v>7,5 ≤ Alc. Bruta &lt; 10,0 mg/L</v>
      </c>
      <c r="AZ402" s="77" t="str">
        <f t="shared" si="141"/>
        <v>10 ≤ Cor &lt;15 uC</v>
      </c>
      <c r="BA402" s="78" t="str">
        <f t="shared" si="142"/>
        <v>2,5 ≤ Turb &lt; 5,0 uT</v>
      </c>
      <c r="BB402" s="79" t="str">
        <f t="shared" si="143"/>
        <v>TOR &gt; BNN &gt; SM</v>
      </c>
      <c r="BC402" s="78" t="str">
        <f t="shared" si="144"/>
        <v>Tipo 1 (≤0,25) uT</v>
      </c>
      <c r="BD402" s="78" t="str">
        <f t="shared" si="145"/>
        <v>Tipo 1 (≤0,25) uT</v>
      </c>
      <c r="BE402" s="78" t="str">
        <f t="shared" si="146"/>
        <v>Tipo 1 (≤0,25) uT</v>
      </c>
      <c r="BF402" s="78" t="str">
        <f t="shared" si="147"/>
        <v>Tipo 2 (0,25-0,50) uT</v>
      </c>
      <c r="BG402" s="78" t="str">
        <f t="shared" si="148"/>
        <v>Tipo 1 (≤0,25) uT</v>
      </c>
    </row>
    <row r="403" spans="1:59" x14ac:dyDescent="0.2">
      <c r="A403" s="21">
        <v>46168</v>
      </c>
      <c r="B403" s="48">
        <v>0.72916666666666663</v>
      </c>
      <c r="C403" s="57">
        <v>1182</v>
      </c>
      <c r="D403" s="57">
        <v>88</v>
      </c>
      <c r="E403" s="57">
        <v>549</v>
      </c>
      <c r="F403" s="57">
        <v>1830</v>
      </c>
      <c r="G403" s="10" t="s">
        <v>78</v>
      </c>
      <c r="H403" s="63">
        <v>7</v>
      </c>
      <c r="I403" s="57">
        <v>90</v>
      </c>
      <c r="J403" s="57">
        <v>90</v>
      </c>
      <c r="K403" s="57">
        <v>90</v>
      </c>
      <c r="L403" s="63">
        <v>24.4</v>
      </c>
      <c r="M403" s="63">
        <v>6.9</v>
      </c>
      <c r="N403" s="36">
        <v>2.56</v>
      </c>
      <c r="O403" s="57">
        <v>12</v>
      </c>
      <c r="P403" s="63">
        <v>7.3</v>
      </c>
      <c r="Q403" s="36">
        <v>0.06</v>
      </c>
      <c r="R403" s="36">
        <v>22.36</v>
      </c>
      <c r="S403" s="36">
        <v>0.88</v>
      </c>
      <c r="T403" s="36">
        <v>0.7</v>
      </c>
      <c r="U403" s="42">
        <f t="shared" si="126"/>
        <v>1123.1625000000001</v>
      </c>
      <c r="V403" s="36">
        <f t="shared" si="127"/>
        <v>1372.556302</v>
      </c>
      <c r="W403" s="36">
        <f t="shared" si="128"/>
        <v>1.22204605477836</v>
      </c>
      <c r="X403" s="57">
        <v>2</v>
      </c>
      <c r="Y403" s="57">
        <v>4</v>
      </c>
      <c r="Z403" s="63">
        <v>6.5</v>
      </c>
      <c r="AA403" s="57">
        <v>17</v>
      </c>
      <c r="AB403" s="63">
        <v>6.5</v>
      </c>
      <c r="AC403" s="63">
        <v>5.7</v>
      </c>
      <c r="AD403" s="10">
        <v>0.09</v>
      </c>
      <c r="AE403" s="36">
        <v>0.22</v>
      </c>
      <c r="AF403" s="42">
        <f t="shared" si="129"/>
        <v>1497.55</v>
      </c>
      <c r="AG403" s="42">
        <f t="shared" si="130"/>
        <v>1922.8959609599995</v>
      </c>
      <c r="AH403" s="42">
        <f t="shared" si="131"/>
        <v>1.2840278861874392</v>
      </c>
      <c r="AI403" s="57">
        <v>2</v>
      </c>
      <c r="AJ403" s="57">
        <v>3</v>
      </c>
      <c r="AK403" s="36">
        <v>6.46</v>
      </c>
      <c r="AL403" s="36">
        <v>24</v>
      </c>
      <c r="AM403" s="63">
        <v>6.5</v>
      </c>
      <c r="AN403" s="63">
        <v>5.5</v>
      </c>
      <c r="AO403" s="36">
        <v>0.1</v>
      </c>
      <c r="AP403" s="68">
        <v>0.3</v>
      </c>
      <c r="AQ403" s="73">
        <f t="shared" si="132"/>
        <v>1819</v>
      </c>
      <c r="AR403" s="75">
        <f t="shared" si="133"/>
        <v>0.64980758658603632</v>
      </c>
      <c r="AS403" s="75">
        <f t="shared" si="134"/>
        <v>4.8378229796591531E-2</v>
      </c>
      <c r="AT403" s="75">
        <f t="shared" si="135"/>
        <v>0.30181418361737217</v>
      </c>
      <c r="AU403" s="26">
        <f t="shared" si="136"/>
        <v>7.4316939890710379E-2</v>
      </c>
      <c r="AV403" s="26">
        <f t="shared" si="137"/>
        <v>7.8688524590163941E-2</v>
      </c>
      <c r="AW403" s="24">
        <f t="shared" si="138"/>
        <v>0.8828125</v>
      </c>
      <c r="AX403" s="24">
        <f t="shared" si="139"/>
        <v>0.9140625</v>
      </c>
      <c r="AY403" s="77" t="str">
        <f t="shared" si="140"/>
        <v>5,0 ≤ Alc. Bruta &lt; 7,5 mg/L</v>
      </c>
      <c r="AZ403" s="77" t="str">
        <f t="shared" si="141"/>
        <v>10 ≤ Cor &lt;15 uC</v>
      </c>
      <c r="BA403" s="78" t="str">
        <f t="shared" si="142"/>
        <v>2,5 ≤ Turb &lt; 5,0 uT</v>
      </c>
      <c r="BB403" s="79" t="str">
        <f t="shared" si="143"/>
        <v>TOR &gt; BNN &gt; SM</v>
      </c>
      <c r="BC403" s="78" t="str">
        <f t="shared" si="144"/>
        <v>Tipo 1 (≤0,25) uT</v>
      </c>
      <c r="BD403" s="78" t="str">
        <f t="shared" si="145"/>
        <v>Tipo 1 (≤0,25) uT</v>
      </c>
      <c r="BE403" s="78" t="str">
        <f t="shared" si="146"/>
        <v>Tipo 1 (≤0,25) uT</v>
      </c>
      <c r="BF403" s="78" t="str">
        <f t="shared" si="147"/>
        <v>Tipo 2 (0,25-0,50) uT</v>
      </c>
      <c r="BG403" s="78" t="str">
        <f t="shared" si="148"/>
        <v>Tipo 1 (≤0,25) uT</v>
      </c>
    </row>
    <row r="404" spans="1:59" x14ac:dyDescent="0.2">
      <c r="A404" s="21">
        <v>46168</v>
      </c>
      <c r="B404" s="48">
        <v>0.8125</v>
      </c>
      <c r="C404" s="57">
        <v>1135</v>
      </c>
      <c r="D404" s="57">
        <v>79</v>
      </c>
      <c r="E404" s="57">
        <v>550</v>
      </c>
      <c r="F404" s="57">
        <v>1937</v>
      </c>
      <c r="G404" s="10" t="s">
        <v>78</v>
      </c>
      <c r="H404" s="63">
        <v>7</v>
      </c>
      <c r="I404" s="57">
        <v>90</v>
      </c>
      <c r="J404" s="57">
        <v>90</v>
      </c>
      <c r="K404" s="57">
        <v>90</v>
      </c>
      <c r="L404" s="63">
        <v>24.2</v>
      </c>
      <c r="M404" s="63">
        <v>7</v>
      </c>
      <c r="N404" s="36">
        <v>2.92</v>
      </c>
      <c r="O404" s="57">
        <v>13</v>
      </c>
      <c r="P404" s="63">
        <v>7.7</v>
      </c>
      <c r="Q404" s="36">
        <v>0.06</v>
      </c>
      <c r="R404" s="36">
        <v>22.36</v>
      </c>
      <c r="S404" s="36">
        <v>0.88</v>
      </c>
      <c r="T404" s="36">
        <v>0.7</v>
      </c>
      <c r="U404" s="42">
        <f t="shared" si="126"/>
        <v>1275.99875</v>
      </c>
      <c r="V404" s="36">
        <f t="shared" si="127"/>
        <v>1367.3038038399998</v>
      </c>
      <c r="W404" s="36">
        <f t="shared" si="128"/>
        <v>1.0715557549253083</v>
      </c>
      <c r="X404" s="57">
        <v>2</v>
      </c>
      <c r="Y404" s="57">
        <v>4</v>
      </c>
      <c r="Z404" s="63">
        <v>6.48</v>
      </c>
      <c r="AA404" s="57">
        <v>17</v>
      </c>
      <c r="AB404" s="63">
        <v>6.5</v>
      </c>
      <c r="AC404" s="63">
        <v>7.2</v>
      </c>
      <c r="AD404" s="10">
        <v>0.24</v>
      </c>
      <c r="AE404" s="36">
        <v>0.25</v>
      </c>
      <c r="AF404" s="42">
        <f t="shared" si="129"/>
        <v>1701.3316666666665</v>
      </c>
      <c r="AG404" s="42">
        <f t="shared" si="130"/>
        <v>1926.6036067200002</v>
      </c>
      <c r="AH404" s="42">
        <f t="shared" si="131"/>
        <v>1.1324091853851741</v>
      </c>
      <c r="AI404" s="57">
        <v>2</v>
      </c>
      <c r="AJ404" s="57">
        <v>3</v>
      </c>
      <c r="AK404" s="36">
        <v>6.47</v>
      </c>
      <c r="AL404" s="36">
        <v>24</v>
      </c>
      <c r="AM404" s="63">
        <v>6.5</v>
      </c>
      <c r="AN404" s="63">
        <v>6.2</v>
      </c>
      <c r="AO404" s="36">
        <v>0.21</v>
      </c>
      <c r="AP404" s="68">
        <v>0.33</v>
      </c>
      <c r="AQ404" s="73">
        <f t="shared" si="132"/>
        <v>1764</v>
      </c>
      <c r="AR404" s="75">
        <f t="shared" si="133"/>
        <v>0.64342403628117917</v>
      </c>
      <c r="AS404" s="75">
        <f t="shared" si="134"/>
        <v>4.4784580498866217E-2</v>
      </c>
      <c r="AT404" s="75">
        <f t="shared" si="135"/>
        <v>0.31179138321995464</v>
      </c>
      <c r="AU404" s="26">
        <f t="shared" si="136"/>
        <v>7.0211667527103769E-2</v>
      </c>
      <c r="AV404" s="26">
        <f t="shared" si="137"/>
        <v>7.4341765616933411E-2</v>
      </c>
      <c r="AW404" s="24">
        <f t="shared" si="138"/>
        <v>0.88698630136986301</v>
      </c>
      <c r="AX404" s="24">
        <f t="shared" si="139"/>
        <v>0.91438356164383561</v>
      </c>
      <c r="AY404" s="77" t="str">
        <f t="shared" si="140"/>
        <v>7,5 ≤ Alc. Bruta &lt; 10,0 mg/L</v>
      </c>
      <c r="AZ404" s="77" t="str">
        <f t="shared" si="141"/>
        <v>10 ≤ Cor &lt;15 uC</v>
      </c>
      <c r="BA404" s="78" t="str">
        <f t="shared" si="142"/>
        <v>2,5 ≤ Turb &lt; 5,0 uT</v>
      </c>
      <c r="BB404" s="79" t="str">
        <f t="shared" si="143"/>
        <v>TOR &gt; BNN &gt; SM</v>
      </c>
      <c r="BC404" s="78" t="str">
        <f t="shared" si="144"/>
        <v>Tipo 1 (≤0,25) uT</v>
      </c>
      <c r="BD404" s="78" t="str">
        <f t="shared" si="145"/>
        <v>Tipo 1 (≤0,25) uT</v>
      </c>
      <c r="BE404" s="78" t="str">
        <f t="shared" si="146"/>
        <v>Tipo 1 (≤0,25) uT</v>
      </c>
      <c r="BF404" s="78" t="str">
        <f t="shared" si="147"/>
        <v>Tipo 2 (0,25-0,50) uT</v>
      </c>
      <c r="BG404" s="78" t="str">
        <f t="shared" si="148"/>
        <v>Tipo 1 (≤0,25) uT</v>
      </c>
    </row>
    <row r="405" spans="1:59" x14ac:dyDescent="0.2">
      <c r="A405" s="21">
        <v>46168</v>
      </c>
      <c r="B405" s="48">
        <v>0.89583333333333337</v>
      </c>
      <c r="C405" s="57">
        <v>1163</v>
      </c>
      <c r="D405" s="57">
        <v>82</v>
      </c>
      <c r="E405" s="57">
        <v>550</v>
      </c>
      <c r="F405" s="57">
        <v>1941</v>
      </c>
      <c r="G405" s="10" t="s">
        <v>78</v>
      </c>
      <c r="H405" s="63">
        <v>7</v>
      </c>
      <c r="I405" s="57">
        <v>90</v>
      </c>
      <c r="J405" s="57">
        <v>90</v>
      </c>
      <c r="K405" s="57">
        <v>90</v>
      </c>
      <c r="L405" s="63">
        <v>23.8</v>
      </c>
      <c r="M405" s="63">
        <v>7</v>
      </c>
      <c r="N405" s="36">
        <v>2.91</v>
      </c>
      <c r="O405" s="57">
        <v>12</v>
      </c>
      <c r="P405" s="63">
        <v>6.9</v>
      </c>
      <c r="Q405" s="36">
        <v>0.06</v>
      </c>
      <c r="R405" s="36">
        <v>22.36</v>
      </c>
      <c r="S405" s="36">
        <v>0.88</v>
      </c>
      <c r="T405" s="36">
        <v>0.7</v>
      </c>
      <c r="U405" s="42">
        <f t="shared" si="126"/>
        <v>1276.2075</v>
      </c>
      <c r="V405" s="36">
        <f t="shared" si="127"/>
        <v>1375.1825510799999</v>
      </c>
      <c r="W405" s="36">
        <f t="shared" si="128"/>
        <v>1.0775540428026007</v>
      </c>
      <c r="X405" s="57">
        <v>2</v>
      </c>
      <c r="Y405" s="57">
        <v>4</v>
      </c>
      <c r="Z405" s="63">
        <v>6.51</v>
      </c>
      <c r="AA405" s="57">
        <v>17</v>
      </c>
      <c r="AB405" s="63">
        <v>6.6</v>
      </c>
      <c r="AC405" s="63">
        <v>5.5</v>
      </c>
      <c r="AD405" s="10">
        <v>0.28999999999999998</v>
      </c>
      <c r="AE405" s="36">
        <v>0.27</v>
      </c>
      <c r="AF405" s="42">
        <f t="shared" si="129"/>
        <v>1701.61</v>
      </c>
      <c r="AG405" s="42">
        <f t="shared" si="130"/>
        <v>1934.0188982399998</v>
      </c>
      <c r="AH405" s="42">
        <f t="shared" si="131"/>
        <v>1.1365817656454769</v>
      </c>
      <c r="AI405" s="57">
        <v>2</v>
      </c>
      <c r="AJ405" s="57">
        <v>3</v>
      </c>
      <c r="AK405" s="36">
        <v>6.49</v>
      </c>
      <c r="AL405" s="36">
        <v>24</v>
      </c>
      <c r="AM405" s="63">
        <v>6.5</v>
      </c>
      <c r="AN405" s="63">
        <v>5</v>
      </c>
      <c r="AO405" s="36">
        <v>0.18</v>
      </c>
      <c r="AP405" s="68">
        <v>0.33</v>
      </c>
      <c r="AQ405" s="73">
        <f t="shared" si="132"/>
        <v>1795</v>
      </c>
      <c r="AR405" s="75">
        <f t="shared" si="133"/>
        <v>0.64791086350974936</v>
      </c>
      <c r="AS405" s="75">
        <f t="shared" si="134"/>
        <v>4.5682451253481894E-2</v>
      </c>
      <c r="AT405" s="75">
        <f t="shared" si="135"/>
        <v>0.30640668523676878</v>
      </c>
      <c r="AU405" s="26">
        <f t="shared" si="136"/>
        <v>7.0066975785677485E-2</v>
      </c>
      <c r="AV405" s="26">
        <f t="shared" si="137"/>
        <v>7.4188562596599686E-2</v>
      </c>
      <c r="AW405" s="24">
        <f t="shared" si="138"/>
        <v>0.88659793814432986</v>
      </c>
      <c r="AX405" s="24">
        <f t="shared" si="139"/>
        <v>0.90721649484536082</v>
      </c>
      <c r="AY405" s="77" t="str">
        <f t="shared" si="140"/>
        <v>5,0 ≤ Alc. Bruta &lt; 7,5 mg/L</v>
      </c>
      <c r="AZ405" s="77" t="str">
        <f t="shared" si="141"/>
        <v>10 ≤ Cor &lt;15 uC</v>
      </c>
      <c r="BA405" s="78" t="str">
        <f t="shared" si="142"/>
        <v>2,5 ≤ Turb &lt; 5,0 uT</v>
      </c>
      <c r="BB405" s="79" t="str">
        <f t="shared" si="143"/>
        <v>TOR &gt; BNN &gt; SM</v>
      </c>
      <c r="BC405" s="78" t="str">
        <f t="shared" si="144"/>
        <v>Tipo 2 (0,25-0,50) uT</v>
      </c>
      <c r="BD405" s="78" t="str">
        <f t="shared" si="145"/>
        <v>Tipo 1 (≤0,25) uT</v>
      </c>
      <c r="BE405" s="78" t="str">
        <f t="shared" si="146"/>
        <v>Tipo 2 (0,25-0,50) uT</v>
      </c>
      <c r="BF405" s="78" t="str">
        <f t="shared" si="147"/>
        <v>Tipo 2 (0,25-0,50) uT</v>
      </c>
      <c r="BG405" s="78" t="str">
        <f t="shared" si="148"/>
        <v>Tipo 1 (≤0,25) uT</v>
      </c>
    </row>
    <row r="406" spans="1:59" x14ac:dyDescent="0.2">
      <c r="A406" s="21">
        <v>46169</v>
      </c>
      <c r="B406" s="48">
        <v>6.25E-2</v>
      </c>
      <c r="C406" s="57">
        <v>1168</v>
      </c>
      <c r="D406" s="57">
        <v>83</v>
      </c>
      <c r="E406" s="57">
        <v>550</v>
      </c>
      <c r="F406" s="57">
        <v>1937</v>
      </c>
      <c r="G406" s="10" t="s">
        <v>78</v>
      </c>
      <c r="H406" s="63">
        <v>7</v>
      </c>
      <c r="I406" s="57">
        <v>90</v>
      </c>
      <c r="J406" s="57">
        <v>90</v>
      </c>
      <c r="K406" s="57">
        <v>90</v>
      </c>
      <c r="L406" s="63">
        <v>23.3</v>
      </c>
      <c r="M406" s="63">
        <v>6.8</v>
      </c>
      <c r="N406" s="36">
        <v>2.92</v>
      </c>
      <c r="O406" s="57">
        <v>13</v>
      </c>
      <c r="P406" s="63">
        <v>7.4</v>
      </c>
      <c r="Q406" s="36">
        <v>0.06</v>
      </c>
      <c r="R406" s="36">
        <v>22.36</v>
      </c>
      <c r="S406" s="36">
        <v>0.88</v>
      </c>
      <c r="T406" s="36">
        <v>0.7</v>
      </c>
      <c r="U406" s="42">
        <f t="shared" si="126"/>
        <v>1275.99875</v>
      </c>
      <c r="V406" s="36">
        <f t="shared" si="127"/>
        <v>1375.1825510799999</v>
      </c>
      <c r="W406" s="36">
        <f t="shared" si="128"/>
        <v>1.0777303277765751</v>
      </c>
      <c r="X406" s="57">
        <v>2</v>
      </c>
      <c r="Y406" s="57">
        <v>4</v>
      </c>
      <c r="Z406" s="63">
        <v>6.51</v>
      </c>
      <c r="AA406" s="57">
        <v>17</v>
      </c>
      <c r="AB406" s="63">
        <v>6.4</v>
      </c>
      <c r="AC406" s="63">
        <v>5.5</v>
      </c>
      <c r="AD406" s="10">
        <v>0.14000000000000001</v>
      </c>
      <c r="AE406" s="36">
        <v>0.28000000000000003</v>
      </c>
      <c r="AF406" s="42">
        <f t="shared" si="129"/>
        <v>1701.3316666666665</v>
      </c>
      <c r="AG406" s="42">
        <f t="shared" si="130"/>
        <v>1941.4341897599998</v>
      </c>
      <c r="AH406" s="42">
        <f t="shared" si="131"/>
        <v>1.1411262294104911</v>
      </c>
      <c r="AI406" s="57">
        <v>2</v>
      </c>
      <c r="AJ406" s="57">
        <v>3</v>
      </c>
      <c r="AK406" s="36">
        <v>6.51</v>
      </c>
      <c r="AL406" s="36">
        <v>24</v>
      </c>
      <c r="AM406" s="63">
        <v>6.4</v>
      </c>
      <c r="AN406" s="63">
        <v>5.3</v>
      </c>
      <c r="AO406" s="36">
        <v>0.15</v>
      </c>
      <c r="AP406" s="68">
        <v>0.28999999999999998</v>
      </c>
      <c r="AQ406" s="73">
        <f t="shared" si="132"/>
        <v>1801</v>
      </c>
      <c r="AR406" s="75">
        <f t="shared" si="133"/>
        <v>0.64852859522487505</v>
      </c>
      <c r="AS406" s="75">
        <f t="shared" si="134"/>
        <v>4.6085508051082733E-2</v>
      </c>
      <c r="AT406" s="75">
        <f t="shared" si="135"/>
        <v>0.30538589672404221</v>
      </c>
      <c r="AU406" s="26">
        <f t="shared" si="136"/>
        <v>7.0211667527103769E-2</v>
      </c>
      <c r="AV406" s="26">
        <f t="shared" si="137"/>
        <v>7.4341765616933411E-2</v>
      </c>
      <c r="AW406" s="24">
        <f t="shared" si="138"/>
        <v>0.90068493150684936</v>
      </c>
      <c r="AX406" s="24">
        <f t="shared" si="139"/>
        <v>0.90410958904109584</v>
      </c>
      <c r="AY406" s="77" t="str">
        <f t="shared" si="140"/>
        <v>5,0 ≤ Alc. Bruta &lt; 7,5 mg/L</v>
      </c>
      <c r="AZ406" s="77" t="str">
        <f t="shared" si="141"/>
        <v>10 ≤ Cor &lt;15 uC</v>
      </c>
      <c r="BA406" s="78" t="str">
        <f t="shared" si="142"/>
        <v>2,5 ≤ Turb &lt; 5,0 uT</v>
      </c>
      <c r="BB406" s="79" t="str">
        <f t="shared" si="143"/>
        <v>TOR &gt; BNN &gt; SM</v>
      </c>
      <c r="BC406" s="78" t="str">
        <f t="shared" si="144"/>
        <v>Tipo 1 (≤0,25) uT</v>
      </c>
      <c r="BD406" s="78" t="str">
        <f t="shared" si="145"/>
        <v>Tipo 1 (≤0,25) uT</v>
      </c>
      <c r="BE406" s="78" t="str">
        <f t="shared" si="146"/>
        <v>Tipo 2 (0,25-0,50) uT</v>
      </c>
      <c r="BF406" s="78" t="str">
        <f t="shared" si="147"/>
        <v>Tipo 2 (0,25-0,50) uT</v>
      </c>
      <c r="BG406" s="78" t="str">
        <f t="shared" si="148"/>
        <v>Tipo 1 (≤0,25) uT</v>
      </c>
    </row>
    <row r="407" spans="1:59" x14ac:dyDescent="0.2">
      <c r="A407" s="21">
        <v>46169</v>
      </c>
      <c r="B407" s="48">
        <v>0.14583333333333334</v>
      </c>
      <c r="C407" s="57">
        <v>1159</v>
      </c>
      <c r="D407" s="57">
        <v>84</v>
      </c>
      <c r="E407" s="57">
        <v>550</v>
      </c>
      <c r="F407" s="57">
        <v>1945</v>
      </c>
      <c r="G407" s="10" t="s">
        <v>78</v>
      </c>
      <c r="H407" s="63">
        <v>7</v>
      </c>
      <c r="I407" s="57">
        <v>90</v>
      </c>
      <c r="J407" s="57">
        <v>90</v>
      </c>
      <c r="K407" s="57">
        <v>90</v>
      </c>
      <c r="L407" s="63">
        <v>22.7</v>
      </c>
      <c r="M407" s="63">
        <v>6.9</v>
      </c>
      <c r="N407" s="36">
        <v>2.9</v>
      </c>
      <c r="O407" s="57">
        <v>14</v>
      </c>
      <c r="P407" s="63">
        <v>7</v>
      </c>
      <c r="Q407" s="36">
        <v>0.06</v>
      </c>
      <c r="R407" s="36">
        <v>22.36</v>
      </c>
      <c r="S407" s="36">
        <v>0.88</v>
      </c>
      <c r="T407" s="36">
        <v>0.7</v>
      </c>
      <c r="U407" s="42">
        <f t="shared" si="126"/>
        <v>1276.40625</v>
      </c>
      <c r="V407" s="36">
        <f t="shared" si="127"/>
        <v>1372.556302</v>
      </c>
      <c r="W407" s="36">
        <f t="shared" si="128"/>
        <v>1.0753287223405557</v>
      </c>
      <c r="X407" s="57">
        <v>2</v>
      </c>
      <c r="Y407" s="57">
        <v>4</v>
      </c>
      <c r="Z407" s="63">
        <v>6.5</v>
      </c>
      <c r="AA407" s="57">
        <v>17</v>
      </c>
      <c r="AB407" s="63">
        <v>6.4</v>
      </c>
      <c r="AC407" s="63">
        <v>5.8</v>
      </c>
      <c r="AD407" s="10">
        <v>0.21</v>
      </c>
      <c r="AE407" s="36">
        <v>0.28000000000000003</v>
      </c>
      <c r="AF407" s="42">
        <f t="shared" si="129"/>
        <v>1701.875</v>
      </c>
      <c r="AG407" s="42">
        <f t="shared" si="130"/>
        <v>1937.7265440000001</v>
      </c>
      <c r="AH407" s="42">
        <f t="shared" si="131"/>
        <v>1.1385833530664708</v>
      </c>
      <c r="AI407" s="57">
        <v>2</v>
      </c>
      <c r="AJ407" s="57">
        <v>3</v>
      </c>
      <c r="AK407" s="36">
        <v>6.5</v>
      </c>
      <c r="AL407" s="36">
        <v>24</v>
      </c>
      <c r="AM407" s="63">
        <v>6.5</v>
      </c>
      <c r="AN407" s="63">
        <v>5.0999999999999996</v>
      </c>
      <c r="AO407" s="36">
        <v>0.2</v>
      </c>
      <c r="AP407" s="68">
        <v>0.37</v>
      </c>
      <c r="AQ407" s="73">
        <f t="shared" si="132"/>
        <v>1793</v>
      </c>
      <c r="AR407" s="75">
        <f t="shared" si="133"/>
        <v>0.64640267707752375</v>
      </c>
      <c r="AS407" s="75">
        <f t="shared" si="134"/>
        <v>4.6848856664807585E-2</v>
      </c>
      <c r="AT407" s="75">
        <f t="shared" si="135"/>
        <v>0.30674846625766872</v>
      </c>
      <c r="AU407" s="26">
        <f t="shared" si="136"/>
        <v>6.9922879177377897E-2</v>
      </c>
      <c r="AV407" s="26">
        <f t="shared" si="137"/>
        <v>7.4035989717223652E-2</v>
      </c>
      <c r="AW407" s="24">
        <f t="shared" si="138"/>
        <v>0.87241379310344824</v>
      </c>
      <c r="AX407" s="24">
        <f t="shared" si="139"/>
        <v>0.90344827586206899</v>
      </c>
      <c r="AY407" s="77" t="str">
        <f t="shared" si="140"/>
        <v>5,0 ≤ Alc. Bruta &lt; 7,5 mg/L</v>
      </c>
      <c r="AZ407" s="77" t="str">
        <f t="shared" si="141"/>
        <v>10 ≤ Cor &lt;15 uC</v>
      </c>
      <c r="BA407" s="78" t="str">
        <f t="shared" si="142"/>
        <v>2,5 ≤ Turb &lt; 5,0 uT</v>
      </c>
      <c r="BB407" s="79" t="str">
        <f t="shared" si="143"/>
        <v>TOR &gt; BNN &gt; SM</v>
      </c>
      <c r="BC407" s="78" t="str">
        <f t="shared" si="144"/>
        <v>Tipo 1 (≤0,25) uT</v>
      </c>
      <c r="BD407" s="78" t="str">
        <f t="shared" si="145"/>
        <v>Tipo 1 (≤0,25) uT</v>
      </c>
      <c r="BE407" s="78" t="str">
        <f t="shared" si="146"/>
        <v>Tipo 2 (0,25-0,50) uT</v>
      </c>
      <c r="BF407" s="78" t="str">
        <f t="shared" si="147"/>
        <v>Tipo 2 (0,25-0,50) uT</v>
      </c>
      <c r="BG407" s="78" t="str">
        <f t="shared" si="148"/>
        <v>Tipo 1 (≤0,25) uT</v>
      </c>
    </row>
    <row r="408" spans="1:59" ht="15.75" thickBot="1" x14ac:dyDescent="0.25">
      <c r="A408" s="21">
        <v>46169</v>
      </c>
      <c r="B408" s="51">
        <v>0.22916666666666666</v>
      </c>
      <c r="C408" s="58">
        <v>1162</v>
      </c>
      <c r="D408" s="58">
        <v>84</v>
      </c>
      <c r="E408" s="58">
        <v>548</v>
      </c>
      <c r="F408" s="58">
        <v>2007</v>
      </c>
      <c r="G408" s="11" t="s">
        <v>78</v>
      </c>
      <c r="H408" s="64">
        <v>7</v>
      </c>
      <c r="I408" s="58">
        <v>90</v>
      </c>
      <c r="J408" s="58">
        <v>90</v>
      </c>
      <c r="K408" s="58">
        <v>90</v>
      </c>
      <c r="L408" s="64">
        <v>22.8</v>
      </c>
      <c r="M408" s="64">
        <v>7.1</v>
      </c>
      <c r="N408" s="37">
        <v>3</v>
      </c>
      <c r="O408" s="58">
        <v>13</v>
      </c>
      <c r="P408" s="64">
        <v>7.2</v>
      </c>
      <c r="Q408" s="37">
        <v>0.05</v>
      </c>
      <c r="R408" s="36">
        <v>22.36</v>
      </c>
      <c r="S408" s="36">
        <v>0.88</v>
      </c>
      <c r="T408" s="36">
        <v>0.7</v>
      </c>
      <c r="U408" s="42">
        <f t="shared" si="126"/>
        <v>1342.1812499999999</v>
      </c>
      <c r="V408" s="36">
        <f t="shared" si="127"/>
        <v>1375.1825510799999</v>
      </c>
      <c r="W408" s="36">
        <f t="shared" si="128"/>
        <v>1.0245878126221777</v>
      </c>
      <c r="X408" s="58">
        <v>2</v>
      </c>
      <c r="Y408" s="58">
        <v>4</v>
      </c>
      <c r="Z408" s="64">
        <v>6.51</v>
      </c>
      <c r="AA408" s="58">
        <v>17</v>
      </c>
      <c r="AB408" s="64">
        <v>6.7</v>
      </c>
      <c r="AC408" s="64">
        <v>5.5</v>
      </c>
      <c r="AD408" s="11">
        <v>0.31</v>
      </c>
      <c r="AE408" s="37">
        <v>0.28000000000000003</v>
      </c>
      <c r="AF408" s="42">
        <f t="shared" si="129"/>
        <v>1789.5749999999998</v>
      </c>
      <c r="AG408" s="42">
        <f t="shared" si="130"/>
        <v>1934.0188982399998</v>
      </c>
      <c r="AH408" s="42">
        <f t="shared" si="131"/>
        <v>1.0807140791752232</v>
      </c>
      <c r="AI408" s="58">
        <v>2</v>
      </c>
      <c r="AJ408" s="58">
        <v>3</v>
      </c>
      <c r="AK408" s="37">
        <v>6.49</v>
      </c>
      <c r="AL408" s="37">
        <v>24</v>
      </c>
      <c r="AM408" s="64">
        <v>6.5</v>
      </c>
      <c r="AN408" s="64">
        <v>4.8</v>
      </c>
      <c r="AO408" s="37">
        <v>0.43</v>
      </c>
      <c r="AP408" s="69">
        <v>0.41</v>
      </c>
      <c r="AQ408" s="73">
        <f t="shared" si="132"/>
        <v>1794</v>
      </c>
      <c r="AR408" s="75">
        <f t="shared" si="133"/>
        <v>0.64771460423634342</v>
      </c>
      <c r="AS408" s="75">
        <f t="shared" si="134"/>
        <v>4.6822742474916385E-2</v>
      </c>
      <c r="AT408" s="75">
        <f t="shared" si="135"/>
        <v>0.30546265328874023</v>
      </c>
      <c r="AU408" s="26">
        <f t="shared" si="136"/>
        <v>6.7762830094668658E-2</v>
      </c>
      <c r="AV408" s="26">
        <f t="shared" si="137"/>
        <v>7.1748878923766815E-2</v>
      </c>
      <c r="AW408" s="24">
        <f t="shared" si="138"/>
        <v>0.86333333333333329</v>
      </c>
      <c r="AX408" s="24">
        <f t="shared" si="139"/>
        <v>0.90666666666666662</v>
      </c>
      <c r="AY408" s="77" t="str">
        <f t="shared" si="140"/>
        <v>5,0 ≤ Alc. Bruta &lt; 7,5 mg/L</v>
      </c>
      <c r="AZ408" s="77" t="str">
        <f t="shared" si="141"/>
        <v>10 ≤ Cor &lt;15 uC</v>
      </c>
      <c r="BA408" s="78" t="str">
        <f t="shared" si="142"/>
        <v>2,5 ≤ Turb &lt; 5,0 uT</v>
      </c>
      <c r="BB408" s="79" t="str">
        <f t="shared" si="143"/>
        <v>TOR &gt; BNN &gt; SM</v>
      </c>
      <c r="BC408" s="78" t="str">
        <f t="shared" si="144"/>
        <v>Tipo 2 (0,25-0,50) uT</v>
      </c>
      <c r="BD408" s="78" t="str">
        <f t="shared" si="145"/>
        <v>Tipo 2 (0,25-0,50) uT</v>
      </c>
      <c r="BE408" s="78" t="str">
        <f t="shared" si="146"/>
        <v>Tipo 2 (0,25-0,50) uT</v>
      </c>
      <c r="BF408" s="78" t="str">
        <f t="shared" si="147"/>
        <v>Tipo 2 (0,25-0,50) uT</v>
      </c>
      <c r="BG408" s="78" t="str">
        <f t="shared" si="148"/>
        <v>Tipo 1 (≤0,25) uT</v>
      </c>
    </row>
    <row r="409" spans="1:59" x14ac:dyDescent="0.2">
      <c r="A409" s="21">
        <v>46169</v>
      </c>
      <c r="B409" s="52">
        <v>0.3125</v>
      </c>
      <c r="C409" s="59">
        <v>1139</v>
      </c>
      <c r="D409" s="57">
        <v>85</v>
      </c>
      <c r="E409" s="59">
        <v>550</v>
      </c>
      <c r="F409" s="59">
        <v>1904</v>
      </c>
      <c r="G409" s="9" t="s">
        <v>78</v>
      </c>
      <c r="H409" s="65">
        <v>7</v>
      </c>
      <c r="I409" s="59">
        <v>90</v>
      </c>
      <c r="J409" s="59">
        <v>90</v>
      </c>
      <c r="K409" s="59">
        <v>90</v>
      </c>
      <c r="L409" s="65">
        <v>22.5</v>
      </c>
      <c r="M409" s="65">
        <v>6.7</v>
      </c>
      <c r="N409" s="38">
        <v>2.68</v>
      </c>
      <c r="O409" s="59">
        <v>12</v>
      </c>
      <c r="P409" s="65">
        <v>7.6</v>
      </c>
      <c r="Q409" s="38">
        <v>0.06</v>
      </c>
      <c r="R409" s="36">
        <v>22.36</v>
      </c>
      <c r="S409" s="36">
        <v>0.88</v>
      </c>
      <c r="T409" s="36">
        <v>0.7</v>
      </c>
      <c r="U409" s="42">
        <f t="shared" si="126"/>
        <v>1197.1400000000001</v>
      </c>
      <c r="V409" s="36">
        <f t="shared" si="127"/>
        <v>1377.8088001599995</v>
      </c>
      <c r="W409" s="36">
        <f t="shared" si="128"/>
        <v>1.1509170190286846</v>
      </c>
      <c r="X409" s="59">
        <v>2</v>
      </c>
      <c r="Y409" s="59">
        <v>4</v>
      </c>
      <c r="Z409" s="65">
        <v>6.52</v>
      </c>
      <c r="AA409" s="59">
        <v>17</v>
      </c>
      <c r="AB409" s="65">
        <v>6.6</v>
      </c>
      <c r="AC409" s="65">
        <v>4.4000000000000004</v>
      </c>
      <c r="AD409" s="9">
        <v>0.23</v>
      </c>
      <c r="AE409" s="38">
        <v>0.28000000000000003</v>
      </c>
      <c r="AF409" s="42">
        <f t="shared" si="129"/>
        <v>1596.1866666666667</v>
      </c>
      <c r="AG409" s="42">
        <f t="shared" si="130"/>
        <v>1900.6500864</v>
      </c>
      <c r="AH409" s="42">
        <f t="shared" si="131"/>
        <v>1.1907442444492706</v>
      </c>
      <c r="AI409" s="59">
        <v>2</v>
      </c>
      <c r="AJ409" s="59">
        <v>3</v>
      </c>
      <c r="AK409" s="38">
        <v>6.4</v>
      </c>
      <c r="AL409" s="38">
        <v>24</v>
      </c>
      <c r="AM409" s="65">
        <v>6.8</v>
      </c>
      <c r="AN409" s="65">
        <v>4.9000000000000004</v>
      </c>
      <c r="AO409" s="38">
        <v>0.15</v>
      </c>
      <c r="AP409" s="70">
        <v>0.41</v>
      </c>
      <c r="AQ409" s="73">
        <f t="shared" si="132"/>
        <v>1774</v>
      </c>
      <c r="AR409" s="75">
        <f t="shared" si="133"/>
        <v>0.64205186020293126</v>
      </c>
      <c r="AS409" s="75">
        <f t="shared" si="134"/>
        <v>4.7914317925591886E-2</v>
      </c>
      <c r="AT409" s="75">
        <f t="shared" si="135"/>
        <v>0.31003382187147688</v>
      </c>
      <c r="AU409" s="26">
        <f t="shared" si="136"/>
        <v>7.1428571428571425E-2</v>
      </c>
      <c r="AV409" s="26">
        <f t="shared" si="137"/>
        <v>7.5630252100840345E-2</v>
      </c>
      <c r="AW409" s="24">
        <f t="shared" si="138"/>
        <v>0.84701492537313439</v>
      </c>
      <c r="AX409" s="24">
        <f t="shared" si="139"/>
        <v>0.89552238805970152</v>
      </c>
      <c r="AY409" s="77" t="str">
        <f t="shared" si="140"/>
        <v>7,5 ≤ Alc. Bruta &lt; 10,0 mg/L</v>
      </c>
      <c r="AZ409" s="77" t="str">
        <f t="shared" si="141"/>
        <v>10 ≤ Cor &lt;15 uC</v>
      </c>
      <c r="BA409" s="78" t="str">
        <f t="shared" si="142"/>
        <v>2,5 ≤ Turb &lt; 5,0 uT</v>
      </c>
      <c r="BB409" s="79" t="str">
        <f t="shared" si="143"/>
        <v>TOR &gt; BNN &gt; SM</v>
      </c>
      <c r="BC409" s="78" t="str">
        <f t="shared" si="144"/>
        <v>Tipo 1 (≤0,25) uT</v>
      </c>
      <c r="BD409" s="78" t="str">
        <f t="shared" si="145"/>
        <v>Tipo 1 (≤0,25) uT</v>
      </c>
      <c r="BE409" s="78" t="str">
        <f t="shared" si="146"/>
        <v>Tipo 2 (0,25-0,50) uT</v>
      </c>
      <c r="BF409" s="78" t="str">
        <f t="shared" si="147"/>
        <v>Tipo 2 (0,25-0,50) uT</v>
      </c>
      <c r="BG409" s="78" t="str">
        <f t="shared" si="148"/>
        <v>Tipo 1 (≤0,25) uT</v>
      </c>
    </row>
    <row r="410" spans="1:59" x14ac:dyDescent="0.2">
      <c r="A410" s="21">
        <v>46169</v>
      </c>
      <c r="B410" s="48">
        <v>0.39583333333333331</v>
      </c>
      <c r="C410" s="57">
        <v>522</v>
      </c>
      <c r="D410" s="57">
        <v>985</v>
      </c>
      <c r="E410" s="57">
        <v>550</v>
      </c>
      <c r="F410" s="57">
        <v>2054</v>
      </c>
      <c r="G410" s="10" t="s">
        <v>78</v>
      </c>
      <c r="H410" s="63">
        <v>7</v>
      </c>
      <c r="I410" s="57">
        <v>90</v>
      </c>
      <c r="J410" s="57">
        <v>90</v>
      </c>
      <c r="K410" s="57">
        <v>90</v>
      </c>
      <c r="L410" s="63">
        <v>22.7</v>
      </c>
      <c r="M410" s="63">
        <v>6.8</v>
      </c>
      <c r="N410" s="36">
        <v>2.94</v>
      </c>
      <c r="O410" s="57">
        <v>14</v>
      </c>
      <c r="P410" s="63">
        <v>7.6</v>
      </c>
      <c r="Q410" s="36">
        <v>0.06</v>
      </c>
      <c r="R410" s="36">
        <v>22.36</v>
      </c>
      <c r="S410" s="36">
        <v>0.88</v>
      </c>
      <c r="T410" s="36">
        <v>0.7</v>
      </c>
      <c r="U410" s="42">
        <f t="shared" si="126"/>
        <v>1358.2075</v>
      </c>
      <c r="V410" s="36">
        <f t="shared" si="127"/>
        <v>1400.0074280400001</v>
      </c>
      <c r="W410" s="36">
        <f t="shared" si="128"/>
        <v>1.0307758041683617</v>
      </c>
      <c r="X410" s="57">
        <v>3</v>
      </c>
      <c r="Y410" s="57">
        <v>4</v>
      </c>
      <c r="Z410" s="63">
        <v>6.5</v>
      </c>
      <c r="AA410" s="57">
        <v>17.34</v>
      </c>
      <c r="AB410" s="63">
        <v>6.5</v>
      </c>
      <c r="AC410" s="63">
        <v>4.7</v>
      </c>
      <c r="AD410" s="10">
        <v>0.12</v>
      </c>
      <c r="AE410" s="36">
        <v>0.34</v>
      </c>
      <c r="AF410" s="42">
        <f t="shared" si="129"/>
        <v>1358.2075</v>
      </c>
      <c r="AG410" s="42">
        <f t="shared" si="130"/>
        <v>988.3628808507998</v>
      </c>
      <c r="AH410" s="42">
        <f t="shared" si="131"/>
        <v>0.72769652711445032</v>
      </c>
      <c r="AI410" s="57">
        <v>3</v>
      </c>
      <c r="AJ410" s="57">
        <v>4</v>
      </c>
      <c r="AK410" s="36">
        <v>4.83</v>
      </c>
      <c r="AL410" s="36">
        <v>17.989999999999998</v>
      </c>
      <c r="AM410" s="63">
        <v>6.7</v>
      </c>
      <c r="AN410" s="63">
        <v>4.5999999999999996</v>
      </c>
      <c r="AO410" s="36">
        <v>0.2</v>
      </c>
      <c r="AP410" s="68">
        <v>0.75</v>
      </c>
      <c r="AQ410" s="73">
        <f t="shared" si="132"/>
        <v>2057</v>
      </c>
      <c r="AR410" s="75">
        <f t="shared" si="133"/>
        <v>0.25376762275157999</v>
      </c>
      <c r="AS410" s="75">
        <f t="shared" si="134"/>
        <v>0.47885269810403502</v>
      </c>
      <c r="AT410" s="75">
        <f t="shared" si="135"/>
        <v>0.26737967914438504</v>
      </c>
      <c r="AU410" s="26">
        <f t="shared" si="136"/>
        <v>6.7536514118792593E-2</v>
      </c>
      <c r="AV410" s="26">
        <f t="shared" si="137"/>
        <v>7.0068159688412845E-2</v>
      </c>
      <c r="AW410" s="24">
        <f t="shared" si="138"/>
        <v>0.74489795918367352</v>
      </c>
      <c r="AX410" s="24">
        <f t="shared" si="139"/>
        <v>0.88435374149659862</v>
      </c>
      <c r="AY410" s="77" t="str">
        <f t="shared" si="140"/>
        <v>7,5 ≤ Alc. Bruta &lt; 10,0 mg/L</v>
      </c>
      <c r="AZ410" s="77" t="str">
        <f t="shared" si="141"/>
        <v>10 ≤ Cor &lt;15 uC</v>
      </c>
      <c r="BA410" s="78" t="str">
        <f t="shared" si="142"/>
        <v>2,5 ≤ Turb &lt; 5,0 uT</v>
      </c>
      <c r="BB410" s="79" t="str">
        <f t="shared" si="143"/>
        <v>SM &gt; BNN &gt; TOR</v>
      </c>
      <c r="BC410" s="78" t="str">
        <f t="shared" si="144"/>
        <v>Tipo 1 (≤0,25) uT</v>
      </c>
      <c r="BD410" s="78" t="str">
        <f t="shared" si="145"/>
        <v>Tipo 1 (≤0,25) uT</v>
      </c>
      <c r="BE410" s="78" t="str">
        <f t="shared" si="146"/>
        <v>Tipo 2 (0,25-0,50) uT</v>
      </c>
      <c r="BF410" s="78" t="str">
        <f t="shared" si="147"/>
        <v>Tipo 3 (0,50-0,75) uT</v>
      </c>
      <c r="BG410" s="78" t="str">
        <f t="shared" si="148"/>
        <v>Tipo 1 (≤0,25) uT</v>
      </c>
    </row>
    <row r="411" spans="1:59" x14ac:dyDescent="0.2">
      <c r="A411" s="21">
        <v>46169</v>
      </c>
      <c r="B411" s="48">
        <v>0.5625</v>
      </c>
      <c r="C411" s="57">
        <v>1219</v>
      </c>
      <c r="D411" s="57">
        <v>82</v>
      </c>
      <c r="E411" s="57">
        <v>497</v>
      </c>
      <c r="F411" s="57">
        <v>1793</v>
      </c>
      <c r="G411" s="10" t="s">
        <v>78</v>
      </c>
      <c r="H411" s="63">
        <v>7</v>
      </c>
      <c r="I411" s="57">
        <v>90</v>
      </c>
      <c r="J411" s="57">
        <v>90</v>
      </c>
      <c r="K411" s="57">
        <v>90</v>
      </c>
      <c r="L411" s="63">
        <v>23.6</v>
      </c>
      <c r="M411" s="63">
        <v>6.6</v>
      </c>
      <c r="N411" s="36">
        <v>2.5499999999999998</v>
      </c>
      <c r="O411" s="57">
        <v>13</v>
      </c>
      <c r="P411" s="63">
        <v>7.4</v>
      </c>
      <c r="Q411" s="36">
        <v>0.2</v>
      </c>
      <c r="R411" s="36">
        <v>22.36</v>
      </c>
      <c r="S411" s="36">
        <v>0.88</v>
      </c>
      <c r="T411" s="36">
        <v>0.7</v>
      </c>
      <c r="U411" s="42">
        <f t="shared" si="126"/>
        <v>1098.2125000000001</v>
      </c>
      <c r="V411" s="36">
        <f t="shared" si="127"/>
        <v>1318.4891941312001</v>
      </c>
      <c r="W411" s="36">
        <f t="shared" si="128"/>
        <v>1.2005774785218708</v>
      </c>
      <c r="X411" s="57">
        <v>3</v>
      </c>
      <c r="Y411" s="57">
        <v>4</v>
      </c>
      <c r="Z411" s="63">
        <v>6.44</v>
      </c>
      <c r="AA411" s="57">
        <v>16.52</v>
      </c>
      <c r="AB411" s="63">
        <v>6.4</v>
      </c>
      <c r="AC411" s="63">
        <v>5</v>
      </c>
      <c r="AD411" s="10">
        <v>0.2</v>
      </c>
      <c r="AE411" s="36">
        <v>0.27</v>
      </c>
      <c r="AF411" s="42">
        <f t="shared" si="129"/>
        <v>1098.2125000000001</v>
      </c>
      <c r="AG411" s="42">
        <f t="shared" si="130"/>
        <v>991.70158705800009</v>
      </c>
      <c r="AH411" s="42">
        <f t="shared" si="131"/>
        <v>0.90301429555573265</v>
      </c>
      <c r="AI411" s="57">
        <v>3</v>
      </c>
      <c r="AJ411" s="57">
        <v>4</v>
      </c>
      <c r="AK411" s="36">
        <v>4.87</v>
      </c>
      <c r="AL411" s="36">
        <v>17.850000000000001</v>
      </c>
      <c r="AM411" s="63">
        <v>6.6</v>
      </c>
      <c r="AN411" s="63">
        <v>5.0999999999999996</v>
      </c>
      <c r="AO411" s="36">
        <v>0.15</v>
      </c>
      <c r="AP411" s="68">
        <v>0.37</v>
      </c>
      <c r="AQ411" s="73">
        <f t="shared" si="132"/>
        <v>1798</v>
      </c>
      <c r="AR411" s="75">
        <f t="shared" si="133"/>
        <v>0.67797552836484987</v>
      </c>
      <c r="AS411" s="75">
        <f t="shared" si="134"/>
        <v>4.5606229143492771E-2</v>
      </c>
      <c r="AT411" s="75">
        <f t="shared" si="135"/>
        <v>0.27641824249165742</v>
      </c>
      <c r="AU411" s="26">
        <f t="shared" si="136"/>
        <v>7.3708867819297266E-2</v>
      </c>
      <c r="AV411" s="26">
        <f t="shared" si="137"/>
        <v>7.9643056330172907E-2</v>
      </c>
      <c r="AW411" s="24">
        <f t="shared" si="138"/>
        <v>0.85490196078431369</v>
      </c>
      <c r="AX411" s="24">
        <f t="shared" si="139"/>
        <v>0.89411764705882346</v>
      </c>
      <c r="AY411" s="77" t="str">
        <f t="shared" si="140"/>
        <v>5,0 ≤ Alc. Bruta &lt; 7,5 mg/L</v>
      </c>
      <c r="AZ411" s="77" t="str">
        <f t="shared" si="141"/>
        <v>10 ≤ Cor &lt;15 uC</v>
      </c>
      <c r="BA411" s="78" t="str">
        <f t="shared" si="142"/>
        <v>2,5 ≤ Turb &lt; 5,0 uT</v>
      </c>
      <c r="BB411" s="79" t="str">
        <f t="shared" si="143"/>
        <v>TOR &gt; BNN &gt; SM</v>
      </c>
      <c r="BC411" s="78" t="str">
        <f t="shared" si="144"/>
        <v>Tipo 1 (≤0,25) uT</v>
      </c>
      <c r="BD411" s="78" t="str">
        <f t="shared" si="145"/>
        <v>Tipo 1 (≤0,25) uT</v>
      </c>
      <c r="BE411" s="78" t="str">
        <f t="shared" si="146"/>
        <v>Tipo 2 (0,25-0,50) uT</v>
      </c>
      <c r="BF411" s="78" t="str">
        <f t="shared" si="147"/>
        <v>Tipo 2 (0,25-0,50) uT</v>
      </c>
      <c r="BG411" s="78" t="str">
        <f t="shared" si="148"/>
        <v>Tipo 1 (≤0,25) uT</v>
      </c>
    </row>
    <row r="412" spans="1:59" x14ac:dyDescent="0.2">
      <c r="A412" s="21">
        <v>46169</v>
      </c>
      <c r="B412" s="48">
        <v>0.64583333333333337</v>
      </c>
      <c r="C412" s="57">
        <v>1013</v>
      </c>
      <c r="D412" s="57">
        <v>51</v>
      </c>
      <c r="E412" s="57">
        <v>536</v>
      </c>
      <c r="F412" s="57">
        <v>1607</v>
      </c>
      <c r="G412" s="10" t="s">
        <v>78</v>
      </c>
      <c r="H412" s="63">
        <v>7</v>
      </c>
      <c r="I412" s="57">
        <v>90</v>
      </c>
      <c r="J412" s="57">
        <v>90</v>
      </c>
      <c r="K412" s="57">
        <v>90</v>
      </c>
      <c r="L412" s="63">
        <v>24.3</v>
      </c>
      <c r="M412" s="63">
        <v>6.6</v>
      </c>
      <c r="N412" s="36">
        <v>2.44</v>
      </c>
      <c r="O412" s="57">
        <v>12</v>
      </c>
      <c r="P412" s="63">
        <v>7.3</v>
      </c>
      <c r="Q412" s="36">
        <v>0.15</v>
      </c>
      <c r="R412" s="36">
        <v>22.36</v>
      </c>
      <c r="S412" s="36">
        <v>0.88</v>
      </c>
      <c r="T412" s="36">
        <v>0.7</v>
      </c>
      <c r="U412" s="42">
        <f t="shared" si="126"/>
        <v>962.19124999999997</v>
      </c>
      <c r="V412" s="36">
        <f t="shared" si="127"/>
        <v>1338.7806600219999</v>
      </c>
      <c r="W412" s="36">
        <f t="shared" si="128"/>
        <v>1.391387273602831</v>
      </c>
      <c r="X412" s="57">
        <v>3</v>
      </c>
      <c r="Y412" s="57">
        <v>4</v>
      </c>
      <c r="Z412" s="63">
        <v>6.51</v>
      </c>
      <c r="AA412" s="57">
        <v>16.55</v>
      </c>
      <c r="AB412" s="63">
        <v>6.3</v>
      </c>
      <c r="AC412" s="63">
        <v>5.4</v>
      </c>
      <c r="AD412" s="10">
        <v>0.17</v>
      </c>
      <c r="AE412" s="36">
        <v>0.25</v>
      </c>
      <c r="AF412" s="42">
        <f t="shared" si="129"/>
        <v>962.19124999999997</v>
      </c>
      <c r="AG412" s="42">
        <f t="shared" si="130"/>
        <v>988.92371146400001</v>
      </c>
      <c r="AH412" s="42">
        <f t="shared" si="131"/>
        <v>1.027782898113031</v>
      </c>
      <c r="AI412" s="57">
        <v>3</v>
      </c>
      <c r="AJ412" s="57">
        <v>4</v>
      </c>
      <c r="AK412" s="36">
        <v>4.87</v>
      </c>
      <c r="AL412" s="36">
        <v>17.8</v>
      </c>
      <c r="AM412" s="63">
        <v>6.2</v>
      </c>
      <c r="AN412" s="63">
        <v>6</v>
      </c>
      <c r="AO412" s="36">
        <v>0.14000000000000001</v>
      </c>
      <c r="AP412" s="68">
        <v>0.54</v>
      </c>
      <c r="AQ412" s="73">
        <f t="shared" si="132"/>
        <v>1600</v>
      </c>
      <c r="AR412" s="75">
        <f t="shared" si="133"/>
        <v>0.63312500000000005</v>
      </c>
      <c r="AS412" s="75">
        <f t="shared" si="134"/>
        <v>3.1875000000000001E-2</v>
      </c>
      <c r="AT412" s="75">
        <f t="shared" si="135"/>
        <v>0.33500000000000002</v>
      </c>
      <c r="AU412" s="26">
        <f t="shared" si="136"/>
        <v>8.2389545737398887E-2</v>
      </c>
      <c r="AV412" s="26">
        <f t="shared" si="137"/>
        <v>8.861232109520846E-2</v>
      </c>
      <c r="AW412" s="24">
        <f t="shared" si="138"/>
        <v>0.77868852459016391</v>
      </c>
      <c r="AX412" s="24">
        <f t="shared" si="139"/>
        <v>0.89754098360655732</v>
      </c>
      <c r="AY412" s="77" t="str">
        <f t="shared" si="140"/>
        <v>5,0 ≤ Alc. Bruta &lt; 7,5 mg/L</v>
      </c>
      <c r="AZ412" s="77" t="str">
        <f t="shared" si="141"/>
        <v>10 ≤ Cor &lt;15 uC</v>
      </c>
      <c r="BA412" s="78" t="str">
        <f t="shared" si="142"/>
        <v>Turbidez &lt; 2,5 uT</v>
      </c>
      <c r="BB412" s="79" t="str">
        <f t="shared" si="143"/>
        <v>TOR &gt; BNN &gt; SM</v>
      </c>
      <c r="BC412" s="78" t="str">
        <f t="shared" si="144"/>
        <v>Tipo 1 (≤0,25) uT</v>
      </c>
      <c r="BD412" s="78" t="str">
        <f t="shared" si="145"/>
        <v>Tipo 1 (≤0,25) uT</v>
      </c>
      <c r="BE412" s="78" t="str">
        <f t="shared" si="146"/>
        <v>Tipo 1 (≤0,25) uT</v>
      </c>
      <c r="BF412" s="78" t="str">
        <f t="shared" si="147"/>
        <v>Tipo 3 (0,50-0,75) uT</v>
      </c>
      <c r="BG412" s="78" t="str">
        <f t="shared" si="148"/>
        <v>Tipo 1 (≤0,25) uT</v>
      </c>
    </row>
    <row r="413" spans="1:59" x14ac:dyDescent="0.2">
      <c r="A413" s="21">
        <v>46169</v>
      </c>
      <c r="B413" s="48">
        <v>0.72916666666666663</v>
      </c>
      <c r="C413" s="57">
        <v>2140</v>
      </c>
      <c r="D413" s="57">
        <v>84</v>
      </c>
      <c r="E413" s="57">
        <v>543</v>
      </c>
      <c r="F413" s="57">
        <v>1462</v>
      </c>
      <c r="G413" s="10" t="s">
        <v>78</v>
      </c>
      <c r="H413" s="63">
        <v>7</v>
      </c>
      <c r="I413" s="57">
        <v>90</v>
      </c>
      <c r="J413" s="57">
        <v>90</v>
      </c>
      <c r="K413" s="57">
        <v>90</v>
      </c>
      <c r="L413" s="63">
        <v>24.8</v>
      </c>
      <c r="M413" s="63">
        <v>6.6</v>
      </c>
      <c r="N413" s="36">
        <v>2.33</v>
      </c>
      <c r="O413" s="57">
        <v>14</v>
      </c>
      <c r="P413" s="63">
        <v>7.5</v>
      </c>
      <c r="Q413" s="36">
        <v>0.13</v>
      </c>
      <c r="R413" s="36">
        <v>22.36</v>
      </c>
      <c r="S413" s="36">
        <v>0.88</v>
      </c>
      <c r="T413" s="36">
        <v>0.7</v>
      </c>
      <c r="U413" s="42">
        <f t="shared" si="126"/>
        <v>855.27</v>
      </c>
      <c r="V413" s="36">
        <f t="shared" si="127"/>
        <v>1353.4945272159996</v>
      </c>
      <c r="W413" s="36">
        <f t="shared" si="128"/>
        <v>1.5825347869281041</v>
      </c>
      <c r="X413" s="57">
        <v>3</v>
      </c>
      <c r="Y413" s="57">
        <v>4</v>
      </c>
      <c r="Z413" s="63">
        <v>6.52</v>
      </c>
      <c r="AA413" s="57">
        <v>16.7</v>
      </c>
      <c r="AB413" s="63">
        <v>6.4</v>
      </c>
      <c r="AC413" s="63">
        <v>5.5</v>
      </c>
      <c r="AD413" s="10">
        <v>0.22</v>
      </c>
      <c r="AE413" s="36">
        <v>0.34</v>
      </c>
      <c r="AF413" s="42">
        <f t="shared" si="129"/>
        <v>855.27</v>
      </c>
      <c r="AG413" s="42">
        <f t="shared" si="130"/>
        <v>979.02315379439995</v>
      </c>
      <c r="AH413" s="42">
        <f t="shared" si="131"/>
        <v>1.1446948376470587</v>
      </c>
      <c r="AI413" s="57">
        <v>3</v>
      </c>
      <c r="AJ413" s="57">
        <v>4</v>
      </c>
      <c r="AK413" s="36">
        <v>4.83</v>
      </c>
      <c r="AL413" s="36">
        <v>17.82</v>
      </c>
      <c r="AM413" s="63">
        <v>6</v>
      </c>
      <c r="AN413" s="63">
        <v>5.6</v>
      </c>
      <c r="AO413" s="36">
        <v>0.17</v>
      </c>
      <c r="AP413" s="68">
        <v>0.41</v>
      </c>
      <c r="AQ413" s="73">
        <f t="shared" si="132"/>
        <v>2767</v>
      </c>
      <c r="AR413" s="75">
        <f t="shared" si="133"/>
        <v>0.77340079508492954</v>
      </c>
      <c r="AS413" s="75">
        <f t="shared" si="134"/>
        <v>3.0357788218286955E-2</v>
      </c>
      <c r="AT413" s="75">
        <f t="shared" si="135"/>
        <v>0.19624141669678352</v>
      </c>
      <c r="AU413" s="26">
        <f t="shared" si="136"/>
        <v>9.1381668946648426E-2</v>
      </c>
      <c r="AV413" s="26">
        <f t="shared" si="137"/>
        <v>9.7510259917920658E-2</v>
      </c>
      <c r="AW413" s="24">
        <f t="shared" si="138"/>
        <v>0.82403433476394849</v>
      </c>
      <c r="AX413" s="24">
        <f t="shared" si="139"/>
        <v>0.85407725321888406</v>
      </c>
      <c r="AY413" s="77" t="str">
        <f t="shared" si="140"/>
        <v>7,5 ≤ Alc. Bruta &lt; 10,0 mg/L</v>
      </c>
      <c r="AZ413" s="77" t="str">
        <f t="shared" si="141"/>
        <v>10 ≤ Cor &lt;15 uC</v>
      </c>
      <c r="BA413" s="78" t="str">
        <f t="shared" si="142"/>
        <v>Turbidez &lt; 2,5 uT</v>
      </c>
      <c r="BB413" s="79" t="str">
        <f t="shared" si="143"/>
        <v>TOR &gt; BNN &gt; SM</v>
      </c>
      <c r="BC413" s="78" t="str">
        <f t="shared" si="144"/>
        <v>Tipo 1 (≤0,25) uT</v>
      </c>
      <c r="BD413" s="78" t="str">
        <f t="shared" si="145"/>
        <v>Tipo 1 (≤0,25) uT</v>
      </c>
      <c r="BE413" s="78" t="str">
        <f t="shared" si="146"/>
        <v>Tipo 2 (0,25-0,50) uT</v>
      </c>
      <c r="BF413" s="78" t="str">
        <f t="shared" si="147"/>
        <v>Tipo 2 (0,25-0,50) uT</v>
      </c>
      <c r="BG413" s="78" t="str">
        <f t="shared" si="148"/>
        <v>Tipo 1 (≤0,25) uT</v>
      </c>
    </row>
    <row r="414" spans="1:59" x14ac:dyDescent="0.2">
      <c r="A414" s="21">
        <v>46169</v>
      </c>
      <c r="B414" s="48">
        <v>0.8125</v>
      </c>
      <c r="C414" s="57">
        <v>1450</v>
      </c>
      <c r="D414" s="57">
        <v>82</v>
      </c>
      <c r="E414" s="57">
        <v>543</v>
      </c>
      <c r="F414" s="57">
        <v>2156</v>
      </c>
      <c r="G414" s="10" t="s">
        <v>78</v>
      </c>
      <c r="H414" s="63">
        <v>7</v>
      </c>
      <c r="I414" s="57">
        <v>90</v>
      </c>
      <c r="J414" s="57">
        <v>90</v>
      </c>
      <c r="K414" s="57">
        <v>90</v>
      </c>
      <c r="L414" s="63">
        <v>24.2</v>
      </c>
      <c r="M414" s="63">
        <v>7</v>
      </c>
      <c r="N414" s="36">
        <v>2.95</v>
      </c>
      <c r="O414" s="57">
        <v>15</v>
      </c>
      <c r="P414" s="63">
        <v>5.7</v>
      </c>
      <c r="Q414" s="36">
        <v>0.1</v>
      </c>
      <c r="R414" s="36">
        <v>22.36</v>
      </c>
      <c r="S414" s="36">
        <v>0.88</v>
      </c>
      <c r="T414" s="36">
        <v>0.7</v>
      </c>
      <c r="U414" s="42">
        <f t="shared" si="126"/>
        <v>1428.3500000000001</v>
      </c>
      <c r="V414" s="36">
        <f t="shared" si="127"/>
        <v>1369.9300529199998</v>
      </c>
      <c r="W414" s="36">
        <f t="shared" si="128"/>
        <v>0.95909969749711177</v>
      </c>
      <c r="X414" s="57">
        <v>3</v>
      </c>
      <c r="Y414" s="57">
        <v>4</v>
      </c>
      <c r="Z414" s="63">
        <v>6.49</v>
      </c>
      <c r="AA414" s="57">
        <v>17</v>
      </c>
      <c r="AB414" s="63">
        <v>6.6</v>
      </c>
      <c r="AC414" s="63">
        <v>4.9000000000000004</v>
      </c>
      <c r="AD414" s="10">
        <v>0.23</v>
      </c>
      <c r="AE414" s="36">
        <v>0.42</v>
      </c>
      <c r="AF414" s="42">
        <f t="shared" si="129"/>
        <v>1428.3500000000001</v>
      </c>
      <c r="AG414" s="42">
        <f t="shared" si="130"/>
        <v>933.97270563999996</v>
      </c>
      <c r="AH414" s="42">
        <f t="shared" si="131"/>
        <v>0.65388224569608278</v>
      </c>
      <c r="AI414" s="57">
        <v>3</v>
      </c>
      <c r="AJ414" s="57">
        <v>4</v>
      </c>
      <c r="AK414" s="36">
        <v>4.83</v>
      </c>
      <c r="AL414" s="36">
        <v>17</v>
      </c>
      <c r="AM414" s="63">
        <v>6.4</v>
      </c>
      <c r="AN414" s="63">
        <v>4.0999999999999996</v>
      </c>
      <c r="AO414" s="36">
        <v>0.13</v>
      </c>
      <c r="AP414" s="68">
        <v>0.31</v>
      </c>
      <c r="AQ414" s="73">
        <f t="shared" si="132"/>
        <v>2075</v>
      </c>
      <c r="AR414" s="75">
        <f t="shared" si="133"/>
        <v>0.6987951807228916</v>
      </c>
      <c r="AS414" s="75">
        <f t="shared" si="134"/>
        <v>3.9518072289156624E-2</v>
      </c>
      <c r="AT414" s="75">
        <f t="shared" si="135"/>
        <v>0.2616867469879518</v>
      </c>
      <c r="AU414" s="26">
        <f t="shared" si="136"/>
        <v>6.3079777365491654E-2</v>
      </c>
      <c r="AV414" s="26">
        <f t="shared" si="137"/>
        <v>6.3079777365491654E-2</v>
      </c>
      <c r="AW414" s="24">
        <f t="shared" si="138"/>
        <v>0.89491525423728813</v>
      </c>
      <c r="AX414" s="24">
        <f t="shared" si="139"/>
        <v>0.85762711864406782</v>
      </c>
      <c r="AY414" s="77" t="str">
        <f t="shared" si="140"/>
        <v>5,0 ≤ Alc. Bruta &lt; 7,5 mg/L</v>
      </c>
      <c r="AZ414" s="77" t="str">
        <f t="shared" si="141"/>
        <v>15 ≤ Cor &lt; 30 uC</v>
      </c>
      <c r="BA414" s="78" t="str">
        <f t="shared" si="142"/>
        <v>2,5 ≤ Turb &lt; 5,0 uT</v>
      </c>
      <c r="BB414" s="79" t="str">
        <f t="shared" si="143"/>
        <v>TOR &gt; BNN &gt; SM</v>
      </c>
      <c r="BC414" s="78" t="str">
        <f t="shared" si="144"/>
        <v>Tipo 1 (≤0,25) uT</v>
      </c>
      <c r="BD414" s="78" t="str">
        <f t="shared" si="145"/>
        <v>Tipo 1 (≤0,25) uT</v>
      </c>
      <c r="BE414" s="78" t="str">
        <f t="shared" si="146"/>
        <v>Tipo 2 (0,25-0,50) uT</v>
      </c>
      <c r="BF414" s="78" t="str">
        <f t="shared" si="147"/>
        <v>Tipo 2 (0,25-0,50) uT</v>
      </c>
      <c r="BG414" s="78" t="str">
        <f t="shared" si="148"/>
        <v>Tipo 1 (≤0,25) uT</v>
      </c>
    </row>
    <row r="415" spans="1:59" x14ac:dyDescent="0.2">
      <c r="A415" s="21">
        <v>46169</v>
      </c>
      <c r="B415" s="48">
        <v>0.89583333333333337</v>
      </c>
      <c r="C415" s="57">
        <v>1446</v>
      </c>
      <c r="D415" s="57">
        <v>59</v>
      </c>
      <c r="E415" s="57">
        <v>544</v>
      </c>
      <c r="F415" s="57">
        <v>2050</v>
      </c>
      <c r="G415" s="10" t="s">
        <v>78</v>
      </c>
      <c r="H415" s="63">
        <v>7</v>
      </c>
      <c r="I415" s="57">
        <v>90</v>
      </c>
      <c r="J415" s="57">
        <v>90</v>
      </c>
      <c r="K415" s="57">
        <v>90</v>
      </c>
      <c r="L415" s="63">
        <v>24.1</v>
      </c>
      <c r="M415" s="63">
        <v>6.8</v>
      </c>
      <c r="N415" s="36">
        <v>2.7</v>
      </c>
      <c r="O415" s="57">
        <v>14</v>
      </c>
      <c r="P415" s="63">
        <v>6.2</v>
      </c>
      <c r="Q415" s="36">
        <v>0.1</v>
      </c>
      <c r="R415" s="36">
        <v>22.36</v>
      </c>
      <c r="S415" s="36">
        <v>0.88</v>
      </c>
      <c r="T415" s="36">
        <v>0.7</v>
      </c>
      <c r="U415" s="42">
        <f t="shared" si="126"/>
        <v>1294.0625000000002</v>
      </c>
      <c r="V415" s="36">
        <f t="shared" si="127"/>
        <v>1369.9300529199998</v>
      </c>
      <c r="W415" s="36">
        <f t="shared" si="128"/>
        <v>1.0586274255841581</v>
      </c>
      <c r="X415" s="57">
        <v>3</v>
      </c>
      <c r="Y415" s="57">
        <v>4</v>
      </c>
      <c r="Z415" s="63">
        <v>6.49</v>
      </c>
      <c r="AA415" s="57">
        <v>17</v>
      </c>
      <c r="AB415" s="63">
        <v>6.5</v>
      </c>
      <c r="AC415" s="63">
        <v>5.6</v>
      </c>
      <c r="AD415" s="10">
        <v>0.21</v>
      </c>
      <c r="AE415" s="36">
        <v>0.28000000000000003</v>
      </c>
      <c r="AF415" s="42">
        <f t="shared" si="129"/>
        <v>1294.0625000000002</v>
      </c>
      <c r="AG415" s="42">
        <f t="shared" si="130"/>
        <v>933.97270563999996</v>
      </c>
      <c r="AH415" s="42">
        <f t="shared" si="131"/>
        <v>0.72173693746631229</v>
      </c>
      <c r="AI415" s="57">
        <v>3</v>
      </c>
      <c r="AJ415" s="57">
        <v>4</v>
      </c>
      <c r="AK415" s="36">
        <v>4.83</v>
      </c>
      <c r="AL415" s="36">
        <v>17</v>
      </c>
      <c r="AM415" s="63">
        <v>6.4</v>
      </c>
      <c r="AN415" s="63">
        <v>5.0999999999999996</v>
      </c>
      <c r="AO415" s="36">
        <v>0.14000000000000001</v>
      </c>
      <c r="AP415" s="68">
        <v>0.32</v>
      </c>
      <c r="AQ415" s="73">
        <f t="shared" si="132"/>
        <v>2049</v>
      </c>
      <c r="AR415" s="75">
        <f t="shared" si="133"/>
        <v>0.705710102489019</v>
      </c>
      <c r="AS415" s="75">
        <f t="shared" si="134"/>
        <v>2.8794533918984871E-2</v>
      </c>
      <c r="AT415" s="75">
        <f t="shared" si="135"/>
        <v>0.2654953635919961</v>
      </c>
      <c r="AU415" s="26">
        <f t="shared" si="136"/>
        <v>6.634146341463415E-2</v>
      </c>
      <c r="AV415" s="26">
        <f t="shared" si="137"/>
        <v>6.634146341463415E-2</v>
      </c>
      <c r="AW415" s="24">
        <f t="shared" si="138"/>
        <v>0.88148148148148153</v>
      </c>
      <c r="AX415" s="24">
        <f t="shared" si="139"/>
        <v>0.89629629629629626</v>
      </c>
      <c r="AY415" s="77" t="str">
        <f t="shared" si="140"/>
        <v>5,0 ≤ Alc. Bruta &lt; 7,5 mg/L</v>
      </c>
      <c r="AZ415" s="77" t="str">
        <f t="shared" si="141"/>
        <v>10 ≤ Cor &lt;15 uC</v>
      </c>
      <c r="BA415" s="78" t="str">
        <f t="shared" si="142"/>
        <v>2,5 ≤ Turb &lt; 5,0 uT</v>
      </c>
      <c r="BB415" s="79" t="str">
        <f t="shared" si="143"/>
        <v>TOR &gt; BNN &gt; SM</v>
      </c>
      <c r="BC415" s="78" t="str">
        <f t="shared" si="144"/>
        <v>Tipo 1 (≤0,25) uT</v>
      </c>
      <c r="BD415" s="78" t="str">
        <f t="shared" si="145"/>
        <v>Tipo 1 (≤0,25) uT</v>
      </c>
      <c r="BE415" s="78" t="str">
        <f t="shared" si="146"/>
        <v>Tipo 2 (0,25-0,50) uT</v>
      </c>
      <c r="BF415" s="78" t="str">
        <f t="shared" si="147"/>
        <v>Tipo 2 (0,25-0,50) uT</v>
      </c>
      <c r="BG415" s="78" t="str">
        <f t="shared" si="148"/>
        <v>Tipo 1 (≤0,25) uT</v>
      </c>
    </row>
    <row r="416" spans="1:59" x14ac:dyDescent="0.2">
      <c r="A416" s="21">
        <v>46170</v>
      </c>
      <c r="B416" s="48">
        <v>6.25E-2</v>
      </c>
      <c r="C416" s="57">
        <v>1496</v>
      </c>
      <c r="D416" s="57">
        <v>81</v>
      </c>
      <c r="E416" s="57">
        <v>544</v>
      </c>
      <c r="F416" s="57">
        <v>2258</v>
      </c>
      <c r="G416" s="10" t="s">
        <v>78</v>
      </c>
      <c r="H416" s="63">
        <v>7</v>
      </c>
      <c r="I416" s="57">
        <v>90</v>
      </c>
      <c r="J416" s="57">
        <v>90</v>
      </c>
      <c r="K416" s="57">
        <v>90</v>
      </c>
      <c r="L416" s="63">
        <v>23.6</v>
      </c>
      <c r="M416" s="63">
        <v>6.7</v>
      </c>
      <c r="N416" s="36">
        <v>2.9</v>
      </c>
      <c r="O416" s="57">
        <v>16</v>
      </c>
      <c r="P416" s="63">
        <v>5.6</v>
      </c>
      <c r="Q416" s="36">
        <v>0.09</v>
      </c>
      <c r="R416" s="36">
        <v>22.36</v>
      </c>
      <c r="S416" s="36">
        <v>0.88</v>
      </c>
      <c r="T416" s="36">
        <v>0.7</v>
      </c>
      <c r="U416" s="42">
        <f t="shared" si="126"/>
        <v>1481.8125</v>
      </c>
      <c r="V416" s="36">
        <f t="shared" si="127"/>
        <v>1367.3038038399998</v>
      </c>
      <c r="W416" s="36">
        <f t="shared" si="128"/>
        <v>0.92272389647138198</v>
      </c>
      <c r="X416" s="57">
        <v>3</v>
      </c>
      <c r="Y416" s="57">
        <v>4</v>
      </c>
      <c r="Z416" s="63">
        <v>6.48</v>
      </c>
      <c r="AA416" s="57">
        <v>17</v>
      </c>
      <c r="AB416" s="63">
        <v>6.5</v>
      </c>
      <c r="AC416" s="63">
        <v>6.3</v>
      </c>
      <c r="AD416" s="10">
        <v>0.15</v>
      </c>
      <c r="AE416" s="36">
        <v>0.27</v>
      </c>
      <c r="AF416" s="42">
        <f t="shared" si="129"/>
        <v>1481.8125</v>
      </c>
      <c r="AG416" s="42">
        <f t="shared" si="130"/>
        <v>944.47770195999999</v>
      </c>
      <c r="AH416" s="42">
        <f t="shared" si="131"/>
        <v>0.63738003422160361</v>
      </c>
      <c r="AI416" s="57">
        <v>3</v>
      </c>
      <c r="AJ416" s="57">
        <v>4</v>
      </c>
      <c r="AK416" s="36">
        <v>4.87</v>
      </c>
      <c r="AL416" s="36">
        <v>17</v>
      </c>
      <c r="AM416" s="63">
        <v>6.4</v>
      </c>
      <c r="AN416" s="63">
        <v>6.7</v>
      </c>
      <c r="AO416" s="36">
        <v>0.14000000000000001</v>
      </c>
      <c r="AP416" s="68">
        <v>0.42</v>
      </c>
      <c r="AQ416" s="73">
        <f t="shared" si="132"/>
        <v>2121</v>
      </c>
      <c r="AR416" s="75">
        <f t="shared" si="133"/>
        <v>0.70532767562470533</v>
      </c>
      <c r="AS416" s="75">
        <f t="shared" si="134"/>
        <v>3.818953323903819E-2</v>
      </c>
      <c r="AT416" s="75">
        <f t="shared" si="135"/>
        <v>0.25648279113625649</v>
      </c>
      <c r="AU416" s="26">
        <f t="shared" si="136"/>
        <v>6.0230292294065547E-2</v>
      </c>
      <c r="AV416" s="26">
        <f t="shared" si="137"/>
        <v>6.0230292294065547E-2</v>
      </c>
      <c r="AW416" s="24">
        <f t="shared" si="138"/>
        <v>0.85517241379310338</v>
      </c>
      <c r="AX416" s="24">
        <f t="shared" si="139"/>
        <v>0.90689655172413797</v>
      </c>
      <c r="AY416" s="77" t="str">
        <f t="shared" si="140"/>
        <v>5,0 ≤ Alc. Bruta &lt; 7,5 mg/L</v>
      </c>
      <c r="AZ416" s="77" t="str">
        <f t="shared" si="141"/>
        <v>15 ≤ Cor &lt; 30 uC</v>
      </c>
      <c r="BA416" s="78" t="str">
        <f t="shared" si="142"/>
        <v>2,5 ≤ Turb &lt; 5,0 uT</v>
      </c>
      <c r="BB416" s="79" t="str">
        <f t="shared" si="143"/>
        <v>TOR &gt; BNN &gt; SM</v>
      </c>
      <c r="BC416" s="78" t="str">
        <f t="shared" si="144"/>
        <v>Tipo 1 (≤0,25) uT</v>
      </c>
      <c r="BD416" s="78" t="str">
        <f t="shared" si="145"/>
        <v>Tipo 1 (≤0,25) uT</v>
      </c>
      <c r="BE416" s="78" t="str">
        <f t="shared" si="146"/>
        <v>Tipo 2 (0,25-0,50) uT</v>
      </c>
      <c r="BF416" s="78" t="str">
        <f t="shared" si="147"/>
        <v>Tipo 2 (0,25-0,50) uT</v>
      </c>
      <c r="BG416" s="78" t="str">
        <f t="shared" si="148"/>
        <v>Tipo 1 (≤0,25) uT</v>
      </c>
    </row>
    <row r="417" spans="1:59" x14ac:dyDescent="0.2">
      <c r="A417" s="21">
        <v>46170</v>
      </c>
      <c r="B417" s="48">
        <v>0.14583333333333334</v>
      </c>
      <c r="C417" s="57">
        <v>1381</v>
      </c>
      <c r="D417" s="57">
        <v>81</v>
      </c>
      <c r="E417" s="57">
        <v>544</v>
      </c>
      <c r="F417" s="57">
        <v>2275</v>
      </c>
      <c r="G417" s="10" t="s">
        <v>78</v>
      </c>
      <c r="H417" s="63">
        <v>7</v>
      </c>
      <c r="I417" s="57">
        <v>90</v>
      </c>
      <c r="J417" s="57">
        <v>90</v>
      </c>
      <c r="K417" s="57">
        <v>90</v>
      </c>
      <c r="L417" s="63">
        <v>23.2</v>
      </c>
      <c r="M417" s="63">
        <v>6.8</v>
      </c>
      <c r="N417" s="36">
        <v>3.09</v>
      </c>
      <c r="O417" s="57">
        <v>15</v>
      </c>
      <c r="P417" s="63">
        <v>7.8</v>
      </c>
      <c r="Q417" s="36">
        <v>0.09</v>
      </c>
      <c r="R417" s="36">
        <v>22.36</v>
      </c>
      <c r="S417" s="36">
        <v>0.88</v>
      </c>
      <c r="T417" s="36">
        <v>0.7</v>
      </c>
      <c r="U417" s="42">
        <f t="shared" si="126"/>
        <v>1546.9999999999998</v>
      </c>
      <c r="V417" s="36">
        <f t="shared" si="127"/>
        <v>1367.3038038399998</v>
      </c>
      <c r="W417" s="36">
        <f t="shared" si="128"/>
        <v>0.88384214857142851</v>
      </c>
      <c r="X417" s="57">
        <v>3</v>
      </c>
      <c r="Y417" s="57">
        <v>4</v>
      </c>
      <c r="Z417" s="63">
        <v>6.48</v>
      </c>
      <c r="AA417" s="57">
        <v>17</v>
      </c>
      <c r="AB417" s="63">
        <v>6.6</v>
      </c>
      <c r="AC417" s="63">
        <v>5.3</v>
      </c>
      <c r="AD417" s="10">
        <v>0.22</v>
      </c>
      <c r="AE417" s="36">
        <v>0.27</v>
      </c>
      <c r="AF417" s="42">
        <f t="shared" si="129"/>
        <v>1546.9999999999998</v>
      </c>
      <c r="AG417" s="42">
        <f t="shared" si="130"/>
        <v>939.22520379999992</v>
      </c>
      <c r="AH417" s="42">
        <f t="shared" si="131"/>
        <v>0.60712682857142863</v>
      </c>
      <c r="AI417" s="57">
        <v>3</v>
      </c>
      <c r="AJ417" s="57">
        <v>4</v>
      </c>
      <c r="AK417" s="36">
        <v>4.8499999999999996</v>
      </c>
      <c r="AL417" s="36">
        <v>17</v>
      </c>
      <c r="AM417" s="63">
        <v>6.4</v>
      </c>
      <c r="AN417" s="63">
        <v>5.2</v>
      </c>
      <c r="AO417" s="36">
        <v>0.17</v>
      </c>
      <c r="AP417" s="68">
        <v>0.42</v>
      </c>
      <c r="AQ417" s="73">
        <f t="shared" si="132"/>
        <v>2006</v>
      </c>
      <c r="AR417" s="75">
        <f t="shared" si="133"/>
        <v>0.68843469591226325</v>
      </c>
      <c r="AS417" s="75">
        <f t="shared" si="134"/>
        <v>4.0378863409770691E-2</v>
      </c>
      <c r="AT417" s="75">
        <f t="shared" si="135"/>
        <v>0.2711864406779661</v>
      </c>
      <c r="AU417" s="26">
        <f t="shared" si="136"/>
        <v>5.978021978021978E-2</v>
      </c>
      <c r="AV417" s="26">
        <f t="shared" si="137"/>
        <v>5.978021978021978E-2</v>
      </c>
      <c r="AW417" s="24">
        <f t="shared" si="138"/>
        <v>0.86407766990291268</v>
      </c>
      <c r="AX417" s="24">
        <f t="shared" si="139"/>
        <v>0.91262135922330101</v>
      </c>
      <c r="AY417" s="77" t="str">
        <f t="shared" si="140"/>
        <v>7,5 ≤ Alc. Bruta &lt; 10,0 mg/L</v>
      </c>
      <c r="AZ417" s="77" t="str">
        <f t="shared" si="141"/>
        <v>15 ≤ Cor &lt; 30 uC</v>
      </c>
      <c r="BA417" s="78" t="str">
        <f t="shared" si="142"/>
        <v>2,5 ≤ Turb &lt; 5,0 uT</v>
      </c>
      <c r="BB417" s="79" t="str">
        <f t="shared" si="143"/>
        <v>TOR &gt; BNN &gt; SM</v>
      </c>
      <c r="BC417" s="78" t="str">
        <f t="shared" si="144"/>
        <v>Tipo 1 (≤0,25) uT</v>
      </c>
      <c r="BD417" s="78" t="str">
        <f t="shared" si="145"/>
        <v>Tipo 1 (≤0,25) uT</v>
      </c>
      <c r="BE417" s="78" t="str">
        <f t="shared" si="146"/>
        <v>Tipo 2 (0,25-0,50) uT</v>
      </c>
      <c r="BF417" s="78" t="str">
        <f t="shared" si="147"/>
        <v>Tipo 2 (0,25-0,50) uT</v>
      </c>
      <c r="BG417" s="78" t="str">
        <f t="shared" si="148"/>
        <v>Tipo 1 (≤0,25) uT</v>
      </c>
    </row>
    <row r="418" spans="1:59" ht="15.75" thickBot="1" x14ac:dyDescent="0.25">
      <c r="A418" s="21">
        <v>46170</v>
      </c>
      <c r="B418" s="51">
        <v>0.22916666666666666</v>
      </c>
      <c r="C418" s="58">
        <v>1516</v>
      </c>
      <c r="D418" s="58">
        <v>89</v>
      </c>
      <c r="E418" s="58">
        <v>542</v>
      </c>
      <c r="F418" s="58">
        <v>2277</v>
      </c>
      <c r="G418" s="11" t="s">
        <v>78</v>
      </c>
      <c r="H418" s="64">
        <v>7</v>
      </c>
      <c r="I418" s="58">
        <v>90</v>
      </c>
      <c r="J418" s="58">
        <v>90</v>
      </c>
      <c r="K418" s="58">
        <v>90</v>
      </c>
      <c r="L418" s="64">
        <v>22.9</v>
      </c>
      <c r="M418" s="64">
        <v>6.8</v>
      </c>
      <c r="N418" s="37">
        <v>2.64</v>
      </c>
      <c r="O418" s="58">
        <v>16</v>
      </c>
      <c r="P418" s="64">
        <v>5</v>
      </c>
      <c r="Q418" s="37">
        <v>0.1</v>
      </c>
      <c r="R418" s="36">
        <v>22.36</v>
      </c>
      <c r="S418" s="36">
        <v>0.88</v>
      </c>
      <c r="T418" s="36">
        <v>0.7</v>
      </c>
      <c r="U418" s="42">
        <f t="shared" si="126"/>
        <v>1420.2787500000002</v>
      </c>
      <c r="V418" s="36">
        <f t="shared" si="127"/>
        <v>1206.4445327999999</v>
      </c>
      <c r="W418" s="36">
        <f t="shared" si="128"/>
        <v>0.84944207804277838</v>
      </c>
      <c r="X418" s="58">
        <v>3</v>
      </c>
      <c r="Y418" s="58">
        <v>4</v>
      </c>
      <c r="Z418" s="64">
        <v>6.48</v>
      </c>
      <c r="AA418" s="58">
        <v>15</v>
      </c>
      <c r="AB418" s="64">
        <v>6.5</v>
      </c>
      <c r="AC418" s="64">
        <v>6</v>
      </c>
      <c r="AD418" s="11">
        <v>0.21</v>
      </c>
      <c r="AE418" s="37">
        <v>0.19</v>
      </c>
      <c r="AF418" s="42">
        <f t="shared" si="129"/>
        <v>1420.2787500000002</v>
      </c>
      <c r="AG418" s="42">
        <f t="shared" si="130"/>
        <v>936.59895472000005</v>
      </c>
      <c r="AH418" s="42">
        <f t="shared" si="131"/>
        <v>0.65944727731792085</v>
      </c>
      <c r="AI418" s="58">
        <v>3</v>
      </c>
      <c r="AJ418" s="58">
        <v>4</v>
      </c>
      <c r="AK418" s="37">
        <v>4.84</v>
      </c>
      <c r="AL418" s="37">
        <v>17</v>
      </c>
      <c r="AM418" s="64">
        <v>6.5</v>
      </c>
      <c r="AN418" s="64">
        <v>6.8</v>
      </c>
      <c r="AO418" s="37">
        <v>0.14000000000000001</v>
      </c>
      <c r="AP418" s="69">
        <v>0.4</v>
      </c>
      <c r="AQ418" s="73">
        <f t="shared" si="132"/>
        <v>2147</v>
      </c>
      <c r="AR418" s="75">
        <f t="shared" si="133"/>
        <v>0.70610153702841172</v>
      </c>
      <c r="AS418" s="75">
        <f t="shared" si="134"/>
        <v>4.1453190498369819E-2</v>
      </c>
      <c r="AT418" s="75">
        <f t="shared" si="135"/>
        <v>0.25244527247321846</v>
      </c>
      <c r="AU418" s="26">
        <f t="shared" si="136"/>
        <v>5.2700922266139656E-2</v>
      </c>
      <c r="AV418" s="26">
        <f t="shared" si="137"/>
        <v>5.9727711901624944E-2</v>
      </c>
      <c r="AW418" s="24">
        <f t="shared" si="138"/>
        <v>0.84848484848484851</v>
      </c>
      <c r="AX418" s="24">
        <f t="shared" si="139"/>
        <v>0.92803030303030298</v>
      </c>
      <c r="AY418" s="77" t="str">
        <f t="shared" si="140"/>
        <v>5,0 ≤ Alc. Bruta &lt; 7,5 mg/L</v>
      </c>
      <c r="AZ418" s="77" t="str">
        <f t="shared" si="141"/>
        <v>15 ≤ Cor &lt; 30 uC</v>
      </c>
      <c r="BA418" s="78" t="str">
        <f t="shared" si="142"/>
        <v>2,5 ≤ Turb &lt; 5,0 uT</v>
      </c>
      <c r="BB418" s="79" t="str">
        <f t="shared" si="143"/>
        <v>TOR &gt; BNN &gt; SM</v>
      </c>
      <c r="BC418" s="78" t="str">
        <f t="shared" si="144"/>
        <v>Tipo 1 (≤0,25) uT</v>
      </c>
      <c r="BD418" s="78" t="str">
        <f t="shared" si="145"/>
        <v>Tipo 1 (≤0,25) uT</v>
      </c>
      <c r="BE418" s="78" t="str">
        <f t="shared" si="146"/>
        <v>Tipo 1 (≤0,25) uT</v>
      </c>
      <c r="BF418" s="78" t="str">
        <f t="shared" si="147"/>
        <v>Tipo 2 (0,25-0,50) uT</v>
      </c>
      <c r="BG418" s="78" t="str">
        <f t="shared" si="148"/>
        <v>Tipo 1 (≤0,25) uT</v>
      </c>
    </row>
    <row r="419" spans="1:59" x14ac:dyDescent="0.2">
      <c r="A419" s="21">
        <v>46170</v>
      </c>
      <c r="B419" s="52">
        <v>0.3125</v>
      </c>
      <c r="C419" s="59">
        <v>1430</v>
      </c>
      <c r="D419" s="57">
        <v>78</v>
      </c>
      <c r="E419" s="59">
        <v>543</v>
      </c>
      <c r="F419" s="59">
        <v>2283</v>
      </c>
      <c r="G419" s="9" t="s">
        <v>78</v>
      </c>
      <c r="H419" s="65">
        <v>7.2</v>
      </c>
      <c r="I419" s="59">
        <v>90</v>
      </c>
      <c r="J419" s="59">
        <v>90</v>
      </c>
      <c r="K419" s="59">
        <v>90</v>
      </c>
      <c r="L419" s="65">
        <v>22.7</v>
      </c>
      <c r="M419" s="65">
        <v>6.6</v>
      </c>
      <c r="N419" s="38">
        <v>3</v>
      </c>
      <c r="O419" s="59">
        <v>17</v>
      </c>
      <c r="P419" s="65">
        <v>6.6</v>
      </c>
      <c r="Q419" s="38">
        <v>0.11</v>
      </c>
      <c r="R419" s="36">
        <v>22.36</v>
      </c>
      <c r="S419" s="36">
        <v>0.88</v>
      </c>
      <c r="T419" s="36">
        <v>0.7</v>
      </c>
      <c r="U419" s="42">
        <f t="shared" si="126"/>
        <v>1543.8787500000001</v>
      </c>
      <c r="V419" s="36">
        <f t="shared" si="127"/>
        <v>1346.0271726719998</v>
      </c>
      <c r="W419" s="36">
        <f t="shared" si="128"/>
        <v>0.87184772293290502</v>
      </c>
      <c r="X419" s="59">
        <v>3</v>
      </c>
      <c r="Y419" s="59">
        <v>4</v>
      </c>
      <c r="Z419" s="65">
        <v>6.46</v>
      </c>
      <c r="AA419" s="59">
        <v>16.8</v>
      </c>
      <c r="AB419" s="65">
        <v>6.6</v>
      </c>
      <c r="AC419" s="65">
        <v>5.9</v>
      </c>
      <c r="AD419" s="9">
        <v>0.18</v>
      </c>
      <c r="AE419" s="38">
        <v>0.27</v>
      </c>
      <c r="AF419" s="42">
        <f t="shared" si="129"/>
        <v>1543.8787500000001</v>
      </c>
      <c r="AG419" s="42">
        <f t="shared" si="130"/>
        <v>1929.6526833999999</v>
      </c>
      <c r="AH419" s="42">
        <f t="shared" si="131"/>
        <v>1.2498732062993936</v>
      </c>
      <c r="AI419" s="59">
        <v>3</v>
      </c>
      <c r="AJ419" s="59">
        <v>4</v>
      </c>
      <c r="AK419" s="38">
        <v>6.5</v>
      </c>
      <c r="AL419" s="38">
        <v>23.9</v>
      </c>
      <c r="AM419" s="65">
        <v>6.4</v>
      </c>
      <c r="AN419" s="65">
        <v>5</v>
      </c>
      <c r="AO419" s="38">
        <v>0.17</v>
      </c>
      <c r="AP419" s="70">
        <v>0.4</v>
      </c>
      <c r="AQ419" s="73">
        <f t="shared" si="132"/>
        <v>2051</v>
      </c>
      <c r="AR419" s="75">
        <f t="shared" si="133"/>
        <v>0.69722086786933202</v>
      </c>
      <c r="AS419" s="75">
        <f t="shared" si="134"/>
        <v>3.803022915650902E-2</v>
      </c>
      <c r="AT419" s="75">
        <f t="shared" si="135"/>
        <v>0.26474890297415893</v>
      </c>
      <c r="AU419" s="26">
        <f t="shared" si="136"/>
        <v>5.8869908015768725E-2</v>
      </c>
      <c r="AV419" s="26">
        <f t="shared" si="137"/>
        <v>8.3749452474813843E-2</v>
      </c>
      <c r="AW419" s="24">
        <f t="shared" si="138"/>
        <v>0.8666666666666667</v>
      </c>
      <c r="AX419" s="24">
        <f t="shared" si="139"/>
        <v>0.91</v>
      </c>
      <c r="AY419" s="77" t="str">
        <f t="shared" si="140"/>
        <v>5,0 ≤ Alc. Bruta &lt; 7,5 mg/L</v>
      </c>
      <c r="AZ419" s="77" t="str">
        <f t="shared" si="141"/>
        <v>15 ≤ Cor &lt; 30 uC</v>
      </c>
      <c r="BA419" s="78" t="str">
        <f t="shared" si="142"/>
        <v>2,5 ≤ Turb &lt; 5,0 uT</v>
      </c>
      <c r="BB419" s="79" t="str">
        <f t="shared" si="143"/>
        <v>TOR &gt; BNN &gt; SM</v>
      </c>
      <c r="BC419" s="78" t="str">
        <f t="shared" si="144"/>
        <v>Tipo 1 (≤0,25) uT</v>
      </c>
      <c r="BD419" s="78" t="str">
        <f t="shared" si="145"/>
        <v>Tipo 1 (≤0,25) uT</v>
      </c>
      <c r="BE419" s="78" t="str">
        <f t="shared" si="146"/>
        <v>Tipo 2 (0,25-0,50) uT</v>
      </c>
      <c r="BF419" s="78" t="str">
        <f t="shared" si="147"/>
        <v>Tipo 2 (0,25-0,50) uT</v>
      </c>
      <c r="BG419" s="78" t="str">
        <f t="shared" si="148"/>
        <v>Tipo 1 (≤0,25) uT</v>
      </c>
    </row>
    <row r="420" spans="1:59" x14ac:dyDescent="0.2">
      <c r="A420" s="21">
        <v>46170</v>
      </c>
      <c r="B420" s="48">
        <v>0.39583333333333331</v>
      </c>
      <c r="C420" s="57">
        <v>1584</v>
      </c>
      <c r="D420" s="57">
        <v>88</v>
      </c>
      <c r="E420" s="57">
        <v>535</v>
      </c>
      <c r="F420" s="57">
        <v>2327</v>
      </c>
      <c r="G420" s="10" t="s">
        <v>78</v>
      </c>
      <c r="H420" s="63">
        <v>7</v>
      </c>
      <c r="I420" s="57">
        <v>90</v>
      </c>
      <c r="J420" s="57">
        <v>90</v>
      </c>
      <c r="K420" s="57">
        <v>90</v>
      </c>
      <c r="L420" s="63">
        <v>22.9</v>
      </c>
      <c r="M420" s="63">
        <v>6.5</v>
      </c>
      <c r="N420" s="36">
        <v>2.91</v>
      </c>
      <c r="O420" s="57">
        <v>14</v>
      </c>
      <c r="P420" s="63">
        <v>6.7</v>
      </c>
      <c r="Q420" s="36">
        <v>0.1</v>
      </c>
      <c r="R420" s="36">
        <v>22.36</v>
      </c>
      <c r="S420" s="36">
        <v>0.88</v>
      </c>
      <c r="T420" s="36">
        <v>0.7</v>
      </c>
      <c r="U420" s="42">
        <f t="shared" ref="U420:U483" si="149">(N420+0.3*H420+0.25)*(F420/2/Y420)</f>
        <v>1530.0024999999998</v>
      </c>
      <c r="V420" s="36">
        <f t="shared" ref="V420:V483" si="150">R420*(T420*Z420*0.987-S420)*AA420</f>
        <v>1364.4824414</v>
      </c>
      <c r="W420" s="36">
        <f t="shared" ref="W420:W483" si="151">V420/U420</f>
        <v>0.891817131932791</v>
      </c>
      <c r="X420" s="57">
        <v>3</v>
      </c>
      <c r="Y420" s="57">
        <v>4</v>
      </c>
      <c r="Z420" s="63">
        <v>6.5</v>
      </c>
      <c r="AA420" s="57">
        <v>16.899999999999999</v>
      </c>
      <c r="AB420" s="63">
        <v>6.4</v>
      </c>
      <c r="AC420" s="63">
        <v>6.2</v>
      </c>
      <c r="AD420" s="10">
        <v>0.37</v>
      </c>
      <c r="AE420" s="36">
        <v>0.28000000000000003</v>
      </c>
      <c r="AF420" s="42">
        <f t="shared" si="129"/>
        <v>1530.0024999999998</v>
      </c>
      <c r="AG420" s="42">
        <f t="shared" si="130"/>
        <v>1937.0370778719994</v>
      </c>
      <c r="AH420" s="42">
        <f t="shared" si="131"/>
        <v>1.2660352371136645</v>
      </c>
      <c r="AI420" s="57">
        <v>3</v>
      </c>
      <c r="AJ420" s="57">
        <v>4</v>
      </c>
      <c r="AK420" s="36">
        <v>6.52</v>
      </c>
      <c r="AL420" s="36">
        <v>23.9</v>
      </c>
      <c r="AM420" s="63">
        <v>6.4</v>
      </c>
      <c r="AN420" s="63">
        <v>6.3</v>
      </c>
      <c r="AO420" s="36">
        <v>0.28000000000000003</v>
      </c>
      <c r="AP420" s="68">
        <v>0.43</v>
      </c>
      <c r="AQ420" s="73">
        <f t="shared" si="132"/>
        <v>2207</v>
      </c>
      <c r="AR420" s="75">
        <f t="shared" si="133"/>
        <v>0.71771635704576353</v>
      </c>
      <c r="AS420" s="75">
        <f t="shared" si="134"/>
        <v>3.9873130946986857E-2</v>
      </c>
      <c r="AT420" s="75">
        <f t="shared" si="135"/>
        <v>0.24241051200724967</v>
      </c>
      <c r="AU420" s="26">
        <f t="shared" si="136"/>
        <v>5.8100558659217871E-2</v>
      </c>
      <c r="AV420" s="26">
        <f t="shared" si="137"/>
        <v>8.2165878813923496E-2</v>
      </c>
      <c r="AW420" s="24">
        <f t="shared" si="138"/>
        <v>0.85223367697594499</v>
      </c>
      <c r="AX420" s="24">
        <f t="shared" si="139"/>
        <v>0.90378006872852235</v>
      </c>
      <c r="AY420" s="77" t="str">
        <f t="shared" si="140"/>
        <v>5,0 ≤ Alc. Bruta &lt; 7,5 mg/L</v>
      </c>
      <c r="AZ420" s="77" t="str">
        <f t="shared" si="141"/>
        <v>10 ≤ Cor &lt;15 uC</v>
      </c>
      <c r="BA420" s="78" t="str">
        <f t="shared" si="142"/>
        <v>2,5 ≤ Turb &lt; 5,0 uT</v>
      </c>
      <c r="BB420" s="79" t="str">
        <f t="shared" si="143"/>
        <v>TOR &gt; BNN &gt; SM</v>
      </c>
      <c r="BC420" s="78" t="str">
        <f t="shared" si="144"/>
        <v>Tipo 2 (0,25-0,50) uT</v>
      </c>
      <c r="BD420" s="78" t="str">
        <f t="shared" si="145"/>
        <v>Tipo 2 (0,25-0,50) uT</v>
      </c>
      <c r="BE420" s="78" t="str">
        <f t="shared" si="146"/>
        <v>Tipo 2 (0,25-0,50) uT</v>
      </c>
      <c r="BF420" s="78" t="str">
        <f t="shared" si="147"/>
        <v>Tipo 2 (0,25-0,50) uT</v>
      </c>
      <c r="BG420" s="78" t="str">
        <f t="shared" si="148"/>
        <v>Tipo 1 (≤0,25) uT</v>
      </c>
    </row>
    <row r="421" spans="1:59" x14ac:dyDescent="0.2">
      <c r="A421" s="21">
        <v>46170</v>
      </c>
      <c r="B421" s="48">
        <v>0.5625</v>
      </c>
      <c r="C421" s="57">
        <v>1479</v>
      </c>
      <c r="D421" s="57">
        <v>86</v>
      </c>
      <c r="E421" s="57">
        <v>544</v>
      </c>
      <c r="F421" s="57">
        <v>2269</v>
      </c>
      <c r="G421" s="10" t="s">
        <v>78</v>
      </c>
      <c r="H421" s="63">
        <v>6.8</v>
      </c>
      <c r="I421" s="57">
        <v>90</v>
      </c>
      <c r="J421" s="57">
        <v>90</v>
      </c>
      <c r="K421" s="57">
        <v>90</v>
      </c>
      <c r="L421" s="63">
        <v>23.7</v>
      </c>
      <c r="M421" s="63">
        <v>6.8</v>
      </c>
      <c r="N421" s="36">
        <v>3.74</v>
      </c>
      <c r="O421" s="57">
        <v>14</v>
      </c>
      <c r="P421" s="63">
        <v>6.1</v>
      </c>
      <c r="Q421" s="36">
        <v>0.15</v>
      </c>
      <c r="R421" s="36">
        <v>22.36</v>
      </c>
      <c r="S421" s="36">
        <v>0.88</v>
      </c>
      <c r="T421" s="36">
        <v>0.7</v>
      </c>
      <c r="U421" s="42">
        <f t="shared" si="149"/>
        <v>1710.25875</v>
      </c>
      <c r="V421" s="36">
        <f t="shared" si="150"/>
        <v>1367.3038038399998</v>
      </c>
      <c r="W421" s="36">
        <f t="shared" si="151"/>
        <v>0.79947189502173266</v>
      </c>
      <c r="X421" s="57">
        <v>3</v>
      </c>
      <c r="Y421" s="57">
        <v>4</v>
      </c>
      <c r="Z421" s="63">
        <v>6.48</v>
      </c>
      <c r="AA421" s="57">
        <v>17</v>
      </c>
      <c r="AB421" s="63">
        <v>6.4</v>
      </c>
      <c r="AC421" s="63">
        <v>6.6</v>
      </c>
      <c r="AD421" s="10">
        <v>0.51</v>
      </c>
      <c r="AE421" s="36">
        <v>0.38</v>
      </c>
      <c r="AF421" s="42">
        <f t="shared" ref="AF421:AF484" si="152">(N421+0.3*H421+0.25)*(F421/2/AJ421)</f>
        <v>1710.25875</v>
      </c>
      <c r="AG421" s="42">
        <f t="shared" ref="AG421:AG484" si="153">R421*(T421*AK421*0.987-S421)*AL421</f>
        <v>1941.4341897599998</v>
      </c>
      <c r="AH421" s="42">
        <f t="shared" ref="AH421:AH484" si="154">AG421/AF421</f>
        <v>1.1351698623146935</v>
      </c>
      <c r="AI421" s="57">
        <v>3</v>
      </c>
      <c r="AJ421" s="57">
        <v>4</v>
      </c>
      <c r="AK421" s="36">
        <v>6.51</v>
      </c>
      <c r="AL421" s="36">
        <v>24</v>
      </c>
      <c r="AM421" s="63">
        <v>6.7</v>
      </c>
      <c r="AN421" s="63">
        <v>6</v>
      </c>
      <c r="AO421" s="36">
        <v>0.27</v>
      </c>
      <c r="AP421" s="68">
        <v>0.44</v>
      </c>
      <c r="AQ421" s="73">
        <f t="shared" si="132"/>
        <v>2109</v>
      </c>
      <c r="AR421" s="75">
        <f t="shared" si="133"/>
        <v>0.70128022759601705</v>
      </c>
      <c r="AS421" s="75">
        <f t="shared" si="134"/>
        <v>4.0777619724988147E-2</v>
      </c>
      <c r="AT421" s="75">
        <f t="shared" si="135"/>
        <v>0.25794215267899478</v>
      </c>
      <c r="AU421" s="26">
        <f t="shared" si="136"/>
        <v>5.9938298810048481E-2</v>
      </c>
      <c r="AV421" s="26">
        <f t="shared" si="137"/>
        <v>8.4618774790656673E-2</v>
      </c>
      <c r="AW421" s="24">
        <f t="shared" si="138"/>
        <v>0.88235294117647056</v>
      </c>
      <c r="AX421" s="24">
        <f t="shared" si="139"/>
        <v>0.89839572192513373</v>
      </c>
      <c r="AY421" s="77" t="str">
        <f t="shared" si="140"/>
        <v>5,0 ≤ Alc. Bruta &lt; 7,5 mg/L</v>
      </c>
      <c r="AZ421" s="77" t="str">
        <f t="shared" si="141"/>
        <v>10 ≤ Cor &lt;15 uC</v>
      </c>
      <c r="BA421" s="78" t="str">
        <f t="shared" si="142"/>
        <v>2,5 ≤ Turb &lt; 5,0 uT</v>
      </c>
      <c r="BB421" s="79" t="str">
        <f t="shared" si="143"/>
        <v>TOR &gt; BNN &gt; SM</v>
      </c>
      <c r="BC421" s="78" t="str">
        <f t="shared" si="144"/>
        <v>Tipo 3 (0,50-0,75) uT</v>
      </c>
      <c r="BD421" s="78" t="str">
        <f t="shared" si="145"/>
        <v>Tipo 2 (0,25-0,50) uT</v>
      </c>
      <c r="BE421" s="78" t="str">
        <f t="shared" si="146"/>
        <v>Tipo 2 (0,25-0,50) uT</v>
      </c>
      <c r="BF421" s="78" t="str">
        <f t="shared" si="147"/>
        <v>Tipo 2 (0,25-0,50) uT</v>
      </c>
      <c r="BG421" s="78" t="str">
        <f t="shared" si="148"/>
        <v>Tipo 1 (≤0,25) uT</v>
      </c>
    </row>
    <row r="422" spans="1:59" x14ac:dyDescent="0.2">
      <c r="A422" s="21">
        <v>46170</v>
      </c>
      <c r="B422" s="48">
        <v>0.64583333333333337</v>
      </c>
      <c r="C422" s="57">
        <v>1570</v>
      </c>
      <c r="D422" s="57">
        <v>81</v>
      </c>
      <c r="E422" s="57">
        <v>543</v>
      </c>
      <c r="F422" s="57">
        <v>2275</v>
      </c>
      <c r="G422" s="10" t="s">
        <v>78</v>
      </c>
      <c r="H422" s="63">
        <v>6.8</v>
      </c>
      <c r="I422" s="57">
        <v>90</v>
      </c>
      <c r="J422" s="57">
        <v>90</v>
      </c>
      <c r="K422" s="57">
        <v>90</v>
      </c>
      <c r="L422" s="63">
        <v>24</v>
      </c>
      <c r="M422" s="63">
        <v>6.7</v>
      </c>
      <c r="N422" s="36">
        <v>5.23</v>
      </c>
      <c r="O422" s="57">
        <v>17</v>
      </c>
      <c r="P422" s="63">
        <v>7.1</v>
      </c>
      <c r="Q422" s="36">
        <v>0.17</v>
      </c>
      <c r="R422" s="36">
        <v>22.36</v>
      </c>
      <c r="S422" s="36">
        <v>0.88</v>
      </c>
      <c r="T422" s="36">
        <v>0.7</v>
      </c>
      <c r="U422" s="42">
        <f t="shared" si="149"/>
        <v>2138.5</v>
      </c>
      <c r="V422" s="36">
        <f t="shared" si="150"/>
        <v>1372.556302</v>
      </c>
      <c r="W422" s="36">
        <f t="shared" si="151"/>
        <v>0.64183133130699088</v>
      </c>
      <c r="X422" s="57">
        <v>3</v>
      </c>
      <c r="Y422" s="57">
        <v>4</v>
      </c>
      <c r="Z422" s="63">
        <v>6.5</v>
      </c>
      <c r="AA422" s="57">
        <v>17</v>
      </c>
      <c r="AB422" s="63">
        <v>6.4</v>
      </c>
      <c r="AC422" s="63">
        <v>6.1</v>
      </c>
      <c r="AD422" s="10">
        <v>0.4</v>
      </c>
      <c r="AE422" s="36">
        <v>0.39</v>
      </c>
      <c r="AF422" s="42">
        <f t="shared" si="152"/>
        <v>2138.5</v>
      </c>
      <c r="AG422" s="42">
        <f t="shared" si="153"/>
        <v>1945.1418355199994</v>
      </c>
      <c r="AH422" s="42">
        <f t="shared" si="154"/>
        <v>0.9095823406686927</v>
      </c>
      <c r="AI422" s="57">
        <v>3</v>
      </c>
      <c r="AJ422" s="57">
        <v>4</v>
      </c>
      <c r="AK422" s="36">
        <v>6.52</v>
      </c>
      <c r="AL422" s="36">
        <v>24</v>
      </c>
      <c r="AM422" s="63">
        <v>6.6</v>
      </c>
      <c r="AN422" s="63">
        <v>6.7</v>
      </c>
      <c r="AO422" s="36">
        <v>0.17</v>
      </c>
      <c r="AP422" s="68">
        <v>0.41</v>
      </c>
      <c r="AQ422" s="73">
        <f t="shared" si="132"/>
        <v>2194</v>
      </c>
      <c r="AR422" s="75">
        <f t="shared" si="133"/>
        <v>0.71558796718322704</v>
      </c>
      <c r="AS422" s="75">
        <f t="shared" si="134"/>
        <v>3.6918869644484958E-2</v>
      </c>
      <c r="AT422" s="75">
        <f t="shared" si="135"/>
        <v>0.24749316317228806</v>
      </c>
      <c r="AU422" s="26">
        <f t="shared" si="136"/>
        <v>5.978021978021978E-2</v>
      </c>
      <c r="AV422" s="26">
        <f t="shared" si="137"/>
        <v>8.4395604395604396E-2</v>
      </c>
      <c r="AW422" s="24">
        <f t="shared" si="138"/>
        <v>0.92160611854684515</v>
      </c>
      <c r="AX422" s="24">
        <f t="shared" si="139"/>
        <v>0.9254302103250478</v>
      </c>
      <c r="AY422" s="77" t="str">
        <f t="shared" si="140"/>
        <v>5,0 ≤ Alc. Bruta &lt; 7,5 mg/L</v>
      </c>
      <c r="AZ422" s="77" t="str">
        <f t="shared" si="141"/>
        <v>15 ≤ Cor &lt; 30 uC</v>
      </c>
      <c r="BA422" s="78" t="str">
        <f t="shared" si="142"/>
        <v>5,0 ≤ Turb &lt; 7,5 uT</v>
      </c>
      <c r="BB422" s="79" t="str">
        <f t="shared" si="143"/>
        <v>TOR &gt; BNN &gt; SM</v>
      </c>
      <c r="BC422" s="78" t="str">
        <f t="shared" si="144"/>
        <v>Tipo 2 (0,25-0,50) uT</v>
      </c>
      <c r="BD422" s="78" t="str">
        <f t="shared" si="145"/>
        <v>Tipo 1 (≤0,25) uT</v>
      </c>
      <c r="BE422" s="78" t="str">
        <f t="shared" si="146"/>
        <v>Tipo 2 (0,25-0,50) uT</v>
      </c>
      <c r="BF422" s="78" t="str">
        <f t="shared" si="147"/>
        <v>Tipo 2 (0,25-0,50) uT</v>
      </c>
      <c r="BG422" s="78" t="str">
        <f t="shared" si="148"/>
        <v>Tipo 1 (≤0,25) uT</v>
      </c>
    </row>
    <row r="423" spans="1:59" x14ac:dyDescent="0.2">
      <c r="A423" s="21">
        <v>46170</v>
      </c>
      <c r="B423" s="48">
        <v>0.72916666666666663</v>
      </c>
      <c r="C423" s="57">
        <v>1599</v>
      </c>
      <c r="D423" s="57">
        <v>86</v>
      </c>
      <c r="E423" s="57">
        <v>545</v>
      </c>
      <c r="F423" s="57">
        <v>2302</v>
      </c>
      <c r="G423" s="10" t="s">
        <v>78</v>
      </c>
      <c r="H423" s="63">
        <v>6.8</v>
      </c>
      <c r="I423" s="57">
        <v>90</v>
      </c>
      <c r="J423" s="57">
        <v>90</v>
      </c>
      <c r="K423" s="57">
        <v>90</v>
      </c>
      <c r="L423" s="63">
        <v>23.8</v>
      </c>
      <c r="M423" s="63">
        <v>6.7</v>
      </c>
      <c r="N423" s="36">
        <v>6.24</v>
      </c>
      <c r="O423" s="57">
        <v>22</v>
      </c>
      <c r="P423" s="63">
        <v>6.2</v>
      </c>
      <c r="Q423" s="36">
        <v>0.15</v>
      </c>
      <c r="R423" s="36">
        <v>22.36</v>
      </c>
      <c r="S423" s="36">
        <v>0.88</v>
      </c>
      <c r="T423" s="36">
        <v>0.7</v>
      </c>
      <c r="U423" s="42">
        <f t="shared" si="149"/>
        <v>2454.5075000000002</v>
      </c>
      <c r="V423" s="36">
        <f t="shared" si="150"/>
        <v>1369.9300529199998</v>
      </c>
      <c r="W423" s="36">
        <f t="shared" si="151"/>
        <v>0.55812828150657501</v>
      </c>
      <c r="X423" s="57">
        <v>3</v>
      </c>
      <c r="Y423" s="57">
        <v>4</v>
      </c>
      <c r="Z423" s="63">
        <v>6.49</v>
      </c>
      <c r="AA423" s="57">
        <v>17</v>
      </c>
      <c r="AB423" s="63">
        <v>6.4</v>
      </c>
      <c r="AC423" s="63">
        <v>6.1</v>
      </c>
      <c r="AD423" s="10">
        <v>0.71</v>
      </c>
      <c r="AE423" s="36">
        <v>0.4</v>
      </c>
      <c r="AF423" s="42">
        <f t="shared" si="152"/>
        <v>2454.5075000000002</v>
      </c>
      <c r="AG423" s="42">
        <f t="shared" si="153"/>
        <v>1948.84948128</v>
      </c>
      <c r="AH423" s="42">
        <f t="shared" si="154"/>
        <v>0.79398799200246883</v>
      </c>
      <c r="AI423" s="57">
        <v>3</v>
      </c>
      <c r="AJ423" s="57">
        <v>4</v>
      </c>
      <c r="AK423" s="36">
        <v>6.53</v>
      </c>
      <c r="AL423" s="36">
        <v>24</v>
      </c>
      <c r="AM423" s="63">
        <v>6.6</v>
      </c>
      <c r="AN423" s="63">
        <v>7.4</v>
      </c>
      <c r="AO423" s="36">
        <v>0.45</v>
      </c>
      <c r="AP423" s="68">
        <v>0.31</v>
      </c>
      <c r="AQ423" s="73">
        <f t="shared" si="132"/>
        <v>2230</v>
      </c>
      <c r="AR423" s="75">
        <f t="shared" si="133"/>
        <v>0.71704035874439465</v>
      </c>
      <c r="AS423" s="75">
        <f t="shared" si="134"/>
        <v>3.8565022421524667E-2</v>
      </c>
      <c r="AT423" s="75">
        <f t="shared" si="135"/>
        <v>0.24439461883408073</v>
      </c>
      <c r="AU423" s="26">
        <f t="shared" si="136"/>
        <v>5.9079061685490875E-2</v>
      </c>
      <c r="AV423" s="26">
        <f t="shared" si="137"/>
        <v>8.3405734144222421E-2</v>
      </c>
      <c r="AW423" s="24">
        <f t="shared" si="138"/>
        <v>0.95032051282051277</v>
      </c>
      <c r="AX423" s="24">
        <f t="shared" si="139"/>
        <v>0.9358974358974359</v>
      </c>
      <c r="AY423" s="77" t="str">
        <f t="shared" si="140"/>
        <v>5,0 ≤ Alc. Bruta &lt; 7,5 mg/L</v>
      </c>
      <c r="AZ423" s="77" t="str">
        <f t="shared" si="141"/>
        <v>15 ≤ Cor &lt; 30 uC</v>
      </c>
      <c r="BA423" s="78" t="str">
        <f t="shared" si="142"/>
        <v>5,0 ≤ Turb &lt; 7,5 uT</v>
      </c>
      <c r="BB423" s="79" t="str">
        <f t="shared" si="143"/>
        <v>TOR &gt; BNN &gt; SM</v>
      </c>
      <c r="BC423" s="78" t="str">
        <f t="shared" si="144"/>
        <v>Tipo 3 (0,50-0,75) uT</v>
      </c>
      <c r="BD423" s="78" t="str">
        <f t="shared" si="145"/>
        <v>Tipo 2 (0,25-0,50) uT</v>
      </c>
      <c r="BE423" s="78" t="str">
        <f t="shared" si="146"/>
        <v>Tipo 2 (0,25-0,50) uT</v>
      </c>
      <c r="BF423" s="78" t="str">
        <f t="shared" si="147"/>
        <v>Tipo 2 (0,25-0,50) uT</v>
      </c>
      <c r="BG423" s="78" t="str">
        <f t="shared" si="148"/>
        <v>Tipo 1 (≤0,25) uT</v>
      </c>
    </row>
    <row r="424" spans="1:59" x14ac:dyDescent="0.2">
      <c r="A424" s="21">
        <v>46170</v>
      </c>
      <c r="B424" s="48">
        <v>0.8125</v>
      </c>
      <c r="C424" s="57">
        <v>1077</v>
      </c>
      <c r="D424" s="57">
        <v>87</v>
      </c>
      <c r="E424" s="57">
        <v>548</v>
      </c>
      <c r="F424" s="57">
        <v>1821</v>
      </c>
      <c r="G424" s="10" t="s">
        <v>78</v>
      </c>
      <c r="H424" s="63">
        <v>6.8</v>
      </c>
      <c r="I424" s="57">
        <v>90</v>
      </c>
      <c r="J424" s="57">
        <v>90</v>
      </c>
      <c r="K424" s="57">
        <v>90</v>
      </c>
      <c r="L424" s="63">
        <v>23.9</v>
      </c>
      <c r="M424" s="63">
        <v>6.8</v>
      </c>
      <c r="N424" s="36">
        <v>2.5</v>
      </c>
      <c r="O424" s="57">
        <v>11</v>
      </c>
      <c r="P424" s="63">
        <v>6.5</v>
      </c>
      <c r="Q424" s="36">
        <v>0.11</v>
      </c>
      <c r="R424" s="36">
        <v>22.36</v>
      </c>
      <c r="S424" s="36">
        <v>0.88</v>
      </c>
      <c r="T424" s="36">
        <v>0.7</v>
      </c>
      <c r="U424" s="42">
        <f t="shared" si="149"/>
        <v>1090.32375</v>
      </c>
      <c r="V424" s="36">
        <f t="shared" si="150"/>
        <v>1375.1825510799999</v>
      </c>
      <c r="W424" s="36">
        <f t="shared" si="151"/>
        <v>1.2612607503780413</v>
      </c>
      <c r="X424" s="57">
        <v>2</v>
      </c>
      <c r="Y424" s="57">
        <v>4</v>
      </c>
      <c r="Z424" s="63">
        <v>6.51</v>
      </c>
      <c r="AA424" s="57">
        <v>17</v>
      </c>
      <c r="AB424" s="63">
        <v>6.6</v>
      </c>
      <c r="AC424" s="63">
        <v>6.4</v>
      </c>
      <c r="AD424" s="10">
        <v>0.27</v>
      </c>
      <c r="AE424" s="36">
        <v>0.34</v>
      </c>
      <c r="AF424" s="42">
        <f t="shared" si="152"/>
        <v>1453.7650000000001</v>
      </c>
      <c r="AG424" s="42">
        <f t="shared" si="153"/>
        <v>1930.3112524799999</v>
      </c>
      <c r="AH424" s="42">
        <f t="shared" si="154"/>
        <v>1.3278014345372187</v>
      </c>
      <c r="AI424" s="57">
        <v>2</v>
      </c>
      <c r="AJ424" s="57">
        <v>3</v>
      </c>
      <c r="AK424" s="36">
        <v>6.48</v>
      </c>
      <c r="AL424" s="36">
        <v>24</v>
      </c>
      <c r="AM424" s="63">
        <v>6.6</v>
      </c>
      <c r="AN424" s="63">
        <v>6.4</v>
      </c>
      <c r="AO424" s="36">
        <v>0.38</v>
      </c>
      <c r="AP424" s="68">
        <v>0.27</v>
      </c>
      <c r="AQ424" s="73">
        <f t="shared" si="132"/>
        <v>1712</v>
      </c>
      <c r="AR424" s="75">
        <f t="shared" si="133"/>
        <v>0.62908878504672894</v>
      </c>
      <c r="AS424" s="75">
        <f t="shared" si="134"/>
        <v>5.0817757009345793E-2</v>
      </c>
      <c r="AT424" s="75">
        <f t="shared" si="135"/>
        <v>0.32009345794392524</v>
      </c>
      <c r="AU424" s="26">
        <f t="shared" si="136"/>
        <v>7.4684239428885232E-2</v>
      </c>
      <c r="AV424" s="26">
        <f t="shared" si="137"/>
        <v>7.907742998352553E-2</v>
      </c>
      <c r="AW424" s="24">
        <f t="shared" si="138"/>
        <v>0.89200000000000002</v>
      </c>
      <c r="AX424" s="24">
        <f t="shared" si="139"/>
        <v>0.86399999999999999</v>
      </c>
      <c r="AY424" s="77" t="str">
        <f t="shared" si="140"/>
        <v>5,0 ≤ Alc. Bruta &lt; 7,5 mg/L</v>
      </c>
      <c r="AZ424" s="77" t="str">
        <f t="shared" si="141"/>
        <v>10 ≤ Cor &lt;15 uC</v>
      </c>
      <c r="BA424" s="78" t="str">
        <f t="shared" si="142"/>
        <v>2,5 ≤ Turb &lt; 5,0 uT</v>
      </c>
      <c r="BB424" s="79" t="str">
        <f t="shared" si="143"/>
        <v>TOR &gt; BNN &gt; SM</v>
      </c>
      <c r="BC424" s="78" t="str">
        <f t="shared" si="144"/>
        <v>Tipo 2 (0,25-0,50) uT</v>
      </c>
      <c r="BD424" s="78" t="str">
        <f t="shared" si="145"/>
        <v>Tipo 2 (0,25-0,50) uT</v>
      </c>
      <c r="BE424" s="78" t="str">
        <f t="shared" si="146"/>
        <v>Tipo 2 (0,25-0,50) uT</v>
      </c>
      <c r="BF424" s="78" t="str">
        <f t="shared" si="147"/>
        <v>Tipo 2 (0,25-0,50) uT</v>
      </c>
      <c r="BG424" s="78" t="str">
        <f t="shared" si="148"/>
        <v>Tipo 1 (≤0,25) uT</v>
      </c>
    </row>
    <row r="425" spans="1:59" x14ac:dyDescent="0.2">
      <c r="A425" s="21">
        <v>46170</v>
      </c>
      <c r="B425" s="48">
        <v>0.89583333333333337</v>
      </c>
      <c r="C425" s="57">
        <v>1114</v>
      </c>
      <c r="D425" s="57">
        <v>83</v>
      </c>
      <c r="E425" s="57">
        <v>549</v>
      </c>
      <c r="F425" s="57">
        <v>1833</v>
      </c>
      <c r="G425" s="10" t="s">
        <v>78</v>
      </c>
      <c r="H425" s="63">
        <v>6.3</v>
      </c>
      <c r="I425" s="57">
        <v>90</v>
      </c>
      <c r="J425" s="57">
        <v>90</v>
      </c>
      <c r="K425" s="57">
        <v>90</v>
      </c>
      <c r="L425" s="63">
        <v>23.6</v>
      </c>
      <c r="M425" s="63">
        <v>6.8</v>
      </c>
      <c r="N425" s="36">
        <v>4.08</v>
      </c>
      <c r="O425" s="57">
        <v>16</v>
      </c>
      <c r="P425" s="63">
        <v>6.7</v>
      </c>
      <c r="Q425" s="36">
        <v>0.11</v>
      </c>
      <c r="R425" s="36">
        <v>22.36</v>
      </c>
      <c r="S425" s="36">
        <v>0.88</v>
      </c>
      <c r="T425" s="36">
        <v>0.7</v>
      </c>
      <c r="U425" s="42">
        <f t="shared" si="149"/>
        <v>1425.1575</v>
      </c>
      <c r="V425" s="36">
        <f t="shared" si="150"/>
        <v>1380.4350492400001</v>
      </c>
      <c r="W425" s="36">
        <f t="shared" si="151"/>
        <v>0.96861929242206568</v>
      </c>
      <c r="X425" s="57">
        <v>2</v>
      </c>
      <c r="Y425" s="57">
        <v>4</v>
      </c>
      <c r="Z425" s="63">
        <v>6.53</v>
      </c>
      <c r="AA425" s="57">
        <v>17</v>
      </c>
      <c r="AB425" s="63">
        <v>6.5</v>
      </c>
      <c r="AC425" s="63">
        <v>6.2</v>
      </c>
      <c r="AD425" s="10">
        <v>0.32</v>
      </c>
      <c r="AE425" s="36">
        <v>0.41</v>
      </c>
      <c r="AF425" s="42">
        <f t="shared" si="152"/>
        <v>1900.21</v>
      </c>
      <c r="AG425" s="42">
        <f t="shared" si="153"/>
        <v>1956.2647727999997</v>
      </c>
      <c r="AH425" s="42">
        <f t="shared" si="154"/>
        <v>1.0294992515564068</v>
      </c>
      <c r="AI425" s="57">
        <v>2</v>
      </c>
      <c r="AJ425" s="57">
        <v>3</v>
      </c>
      <c r="AK425" s="36">
        <v>6.55</v>
      </c>
      <c r="AL425" s="36">
        <v>24</v>
      </c>
      <c r="AM425" s="63">
        <v>6.6</v>
      </c>
      <c r="AN425" s="63">
        <v>6.2</v>
      </c>
      <c r="AO425" s="36">
        <v>0.27</v>
      </c>
      <c r="AP425" s="68">
        <v>0.28000000000000003</v>
      </c>
      <c r="AQ425" s="73">
        <f t="shared" si="132"/>
        <v>1746</v>
      </c>
      <c r="AR425" s="75">
        <f t="shared" si="133"/>
        <v>0.63802978235967922</v>
      </c>
      <c r="AS425" s="75">
        <f t="shared" si="134"/>
        <v>4.7537227949599081E-2</v>
      </c>
      <c r="AT425" s="75">
        <f t="shared" si="135"/>
        <v>0.31443298969072164</v>
      </c>
      <c r="AU425" s="26">
        <f t="shared" si="136"/>
        <v>7.4195308237861426E-2</v>
      </c>
      <c r="AV425" s="26">
        <f t="shared" si="137"/>
        <v>7.855973813420622E-2</v>
      </c>
      <c r="AW425" s="24">
        <f t="shared" si="138"/>
        <v>0.93137254901960786</v>
      </c>
      <c r="AX425" s="24">
        <f t="shared" si="139"/>
        <v>0.89950980392156865</v>
      </c>
      <c r="AY425" s="77" t="str">
        <f t="shared" si="140"/>
        <v>5,0 ≤ Alc. Bruta &lt; 7,5 mg/L</v>
      </c>
      <c r="AZ425" s="77" t="str">
        <f t="shared" si="141"/>
        <v>15 ≤ Cor &lt; 30 uC</v>
      </c>
      <c r="BA425" s="78" t="str">
        <f t="shared" si="142"/>
        <v>2,5 ≤ Turb &lt; 5,0 uT</v>
      </c>
      <c r="BB425" s="79" t="str">
        <f t="shared" si="143"/>
        <v>TOR &gt; BNN &gt; SM</v>
      </c>
      <c r="BC425" s="78" t="str">
        <f t="shared" si="144"/>
        <v>Tipo 2 (0,25-0,50) uT</v>
      </c>
      <c r="BD425" s="78" t="str">
        <f t="shared" si="145"/>
        <v>Tipo 2 (0,25-0,50) uT</v>
      </c>
      <c r="BE425" s="78" t="str">
        <f t="shared" si="146"/>
        <v>Tipo 2 (0,25-0,50) uT</v>
      </c>
      <c r="BF425" s="78" t="str">
        <f t="shared" si="147"/>
        <v>Tipo 2 (0,25-0,50) uT</v>
      </c>
      <c r="BG425" s="78" t="str">
        <f t="shared" si="148"/>
        <v>Tipo 1 (≤0,25) uT</v>
      </c>
    </row>
    <row r="426" spans="1:59" x14ac:dyDescent="0.2">
      <c r="A426" s="21">
        <v>46171</v>
      </c>
      <c r="B426" s="48">
        <v>6.25E-2</v>
      </c>
      <c r="C426" s="57">
        <v>1530</v>
      </c>
      <c r="D426" s="57">
        <v>85</v>
      </c>
      <c r="E426" s="57">
        <v>543</v>
      </c>
      <c r="F426" s="57">
        <v>2232</v>
      </c>
      <c r="G426" s="10" t="s">
        <v>78</v>
      </c>
      <c r="H426" s="63">
        <v>6.5</v>
      </c>
      <c r="I426" s="57">
        <v>90</v>
      </c>
      <c r="J426" s="57">
        <v>90</v>
      </c>
      <c r="K426" s="57">
        <v>90</v>
      </c>
      <c r="L426" s="63">
        <v>23.1</v>
      </c>
      <c r="M426" s="63">
        <v>6.7</v>
      </c>
      <c r="N426" s="36">
        <v>2.92</v>
      </c>
      <c r="O426" s="57">
        <v>14</v>
      </c>
      <c r="P426" s="63">
        <v>7.1</v>
      </c>
      <c r="Q426" s="36">
        <v>0.2</v>
      </c>
      <c r="R426" s="36">
        <v>22.36</v>
      </c>
      <c r="S426" s="36">
        <v>0.88</v>
      </c>
      <c r="T426" s="36">
        <v>0.7</v>
      </c>
      <c r="U426" s="42">
        <f t="shared" si="149"/>
        <v>1428.48</v>
      </c>
      <c r="V426" s="36">
        <f t="shared" si="150"/>
        <v>1453.2949080000001</v>
      </c>
      <c r="W426" s="36">
        <f t="shared" si="151"/>
        <v>1.0173715473790323</v>
      </c>
      <c r="X426" s="57">
        <v>3</v>
      </c>
      <c r="Y426" s="57">
        <v>4</v>
      </c>
      <c r="Z426" s="63">
        <v>6.5</v>
      </c>
      <c r="AA426" s="57">
        <v>18</v>
      </c>
      <c r="AB426" s="63">
        <v>6.6</v>
      </c>
      <c r="AC426" s="63">
        <v>5.8</v>
      </c>
      <c r="AD426" s="10">
        <v>0.46</v>
      </c>
      <c r="AE426" s="36">
        <v>0.45</v>
      </c>
      <c r="AF426" s="42">
        <f t="shared" si="152"/>
        <v>1428.48</v>
      </c>
      <c r="AG426" s="42">
        <f t="shared" si="153"/>
        <v>1915.5092566999997</v>
      </c>
      <c r="AH426" s="42">
        <f t="shared" si="154"/>
        <v>1.3409422999971996</v>
      </c>
      <c r="AI426" s="57">
        <v>3</v>
      </c>
      <c r="AJ426" s="57">
        <v>4</v>
      </c>
      <c r="AK426" s="36">
        <v>6.55</v>
      </c>
      <c r="AL426" s="36">
        <v>23.5</v>
      </c>
      <c r="AM426" s="63">
        <v>6.5</v>
      </c>
      <c r="AN426" s="63">
        <v>5.7</v>
      </c>
      <c r="AO426" s="36">
        <v>0.24</v>
      </c>
      <c r="AP426" s="68">
        <v>0.4</v>
      </c>
      <c r="AQ426" s="73">
        <f t="shared" si="132"/>
        <v>2158</v>
      </c>
      <c r="AR426" s="75">
        <f t="shared" si="133"/>
        <v>0.7089898053753475</v>
      </c>
      <c r="AS426" s="75">
        <f t="shared" si="134"/>
        <v>3.9388322520852642E-2</v>
      </c>
      <c r="AT426" s="75">
        <f t="shared" si="135"/>
        <v>0.25162187210379983</v>
      </c>
      <c r="AU426" s="26">
        <f t="shared" si="136"/>
        <v>6.4516129032258063E-2</v>
      </c>
      <c r="AV426" s="26">
        <f t="shared" si="137"/>
        <v>8.4229390681003588E-2</v>
      </c>
      <c r="AW426" s="24">
        <f t="shared" si="138"/>
        <v>0.86301369863013699</v>
      </c>
      <c r="AX426" s="24">
        <f t="shared" si="139"/>
        <v>0.84589041095890405</v>
      </c>
      <c r="AY426" s="77" t="str">
        <f t="shared" si="140"/>
        <v>5,0 ≤ Alc. Bruta &lt; 7,5 mg/L</v>
      </c>
      <c r="AZ426" s="77" t="str">
        <f t="shared" si="141"/>
        <v>10 ≤ Cor &lt;15 uC</v>
      </c>
      <c r="BA426" s="78" t="str">
        <f t="shared" si="142"/>
        <v>2,5 ≤ Turb &lt; 5,0 uT</v>
      </c>
      <c r="BB426" s="79" t="str">
        <f t="shared" si="143"/>
        <v>TOR &gt; BNN &gt; SM</v>
      </c>
      <c r="BC426" s="78" t="str">
        <f t="shared" si="144"/>
        <v>Tipo 2 (0,25-0,50) uT</v>
      </c>
      <c r="BD426" s="78" t="str">
        <f t="shared" si="145"/>
        <v>Tipo 1 (≤0,25) uT</v>
      </c>
      <c r="BE426" s="78" t="str">
        <f t="shared" si="146"/>
        <v>Tipo 2 (0,25-0,50) uT</v>
      </c>
      <c r="BF426" s="78" t="str">
        <f t="shared" si="147"/>
        <v>Tipo 2 (0,25-0,50) uT</v>
      </c>
      <c r="BG426" s="78" t="str">
        <f t="shared" si="148"/>
        <v>Tipo 1 (≤0,25) uT</v>
      </c>
    </row>
    <row r="427" spans="1:59" x14ac:dyDescent="0.2">
      <c r="A427" s="21">
        <v>46171</v>
      </c>
      <c r="B427" s="48">
        <v>0.14583333333333334</v>
      </c>
      <c r="C427" s="57">
        <v>1470</v>
      </c>
      <c r="D427" s="57">
        <v>85</v>
      </c>
      <c r="E427" s="57">
        <v>544</v>
      </c>
      <c r="F427" s="57">
        <v>2145</v>
      </c>
      <c r="G427" s="10" t="s">
        <v>78</v>
      </c>
      <c r="H427" s="63">
        <v>6.5</v>
      </c>
      <c r="I427" s="57">
        <v>90</v>
      </c>
      <c r="J427" s="57">
        <v>90</v>
      </c>
      <c r="K427" s="57">
        <v>90</v>
      </c>
      <c r="L427" s="63">
        <v>22.4</v>
      </c>
      <c r="M427" s="63">
        <v>6.8</v>
      </c>
      <c r="N427" s="36">
        <v>2.63</v>
      </c>
      <c r="O427" s="57">
        <v>12</v>
      </c>
      <c r="P427" s="63">
        <v>6.2</v>
      </c>
      <c r="Q427" s="36">
        <v>0.19</v>
      </c>
      <c r="R427" s="36">
        <v>22.36</v>
      </c>
      <c r="S427" s="36">
        <v>0.88</v>
      </c>
      <c r="T427" s="36">
        <v>0.7</v>
      </c>
      <c r="U427" s="42">
        <f t="shared" si="149"/>
        <v>1295.04375</v>
      </c>
      <c r="V427" s="36">
        <f t="shared" si="150"/>
        <v>1461.63711096</v>
      </c>
      <c r="W427" s="36">
        <f t="shared" si="151"/>
        <v>1.1286391760587238</v>
      </c>
      <c r="X427" s="57">
        <v>3</v>
      </c>
      <c r="Y427" s="57">
        <v>4</v>
      </c>
      <c r="Z427" s="63">
        <v>6.53</v>
      </c>
      <c r="AA427" s="57">
        <v>18</v>
      </c>
      <c r="AB427" s="63">
        <v>6.6</v>
      </c>
      <c r="AC427" s="63">
        <v>5.7</v>
      </c>
      <c r="AD427" s="10">
        <v>0.34</v>
      </c>
      <c r="AE427" s="36">
        <v>0.46</v>
      </c>
      <c r="AF427" s="42">
        <f t="shared" si="152"/>
        <v>1295.04375</v>
      </c>
      <c r="AG427" s="42">
        <f t="shared" si="153"/>
        <v>1947.4151767200001</v>
      </c>
      <c r="AH427" s="42">
        <f t="shared" si="154"/>
        <v>1.5037447010728402</v>
      </c>
      <c r="AI427" s="57">
        <v>3</v>
      </c>
      <c r="AJ427" s="57">
        <v>4</v>
      </c>
      <c r="AK427" s="36">
        <v>6.5</v>
      </c>
      <c r="AL427" s="36">
        <v>24.12</v>
      </c>
      <c r="AM427" s="63">
        <v>6.3</v>
      </c>
      <c r="AN427" s="63">
        <v>5.2</v>
      </c>
      <c r="AO427" s="36">
        <v>0.2</v>
      </c>
      <c r="AP427" s="68">
        <v>0.43</v>
      </c>
      <c r="AQ427" s="73">
        <f t="shared" si="132"/>
        <v>2099</v>
      </c>
      <c r="AR427" s="75">
        <f t="shared" si="133"/>
        <v>0.70033349213911389</v>
      </c>
      <c r="AS427" s="75">
        <f t="shared" si="134"/>
        <v>4.0495474035254886E-2</v>
      </c>
      <c r="AT427" s="75">
        <f t="shared" si="135"/>
        <v>0.25917103382563128</v>
      </c>
      <c r="AU427" s="26">
        <f t="shared" si="136"/>
        <v>6.7132867132867133E-2</v>
      </c>
      <c r="AV427" s="26">
        <f t="shared" si="137"/>
        <v>8.9958041958041968E-2</v>
      </c>
      <c r="AW427" s="24">
        <f t="shared" si="138"/>
        <v>0.83650190114068446</v>
      </c>
      <c r="AX427" s="24">
        <f t="shared" si="139"/>
        <v>0.82509505703422048</v>
      </c>
      <c r="AY427" s="77" t="str">
        <f t="shared" si="140"/>
        <v>5,0 ≤ Alc. Bruta &lt; 7,5 mg/L</v>
      </c>
      <c r="AZ427" s="77" t="str">
        <f t="shared" si="141"/>
        <v>10 ≤ Cor &lt;15 uC</v>
      </c>
      <c r="BA427" s="78" t="str">
        <f t="shared" si="142"/>
        <v>2,5 ≤ Turb &lt; 5,0 uT</v>
      </c>
      <c r="BB427" s="79" t="str">
        <f t="shared" si="143"/>
        <v>TOR &gt; BNN &gt; SM</v>
      </c>
      <c r="BC427" s="78" t="str">
        <f t="shared" si="144"/>
        <v>Tipo 2 (0,25-0,50) uT</v>
      </c>
      <c r="BD427" s="78" t="str">
        <f t="shared" si="145"/>
        <v>Tipo 1 (≤0,25) uT</v>
      </c>
      <c r="BE427" s="78" t="str">
        <f t="shared" si="146"/>
        <v>Tipo 2 (0,25-0,50) uT</v>
      </c>
      <c r="BF427" s="78" t="str">
        <f t="shared" si="147"/>
        <v>Tipo 2 (0,25-0,50) uT</v>
      </c>
      <c r="BG427" s="78" t="str">
        <f t="shared" si="148"/>
        <v>Tipo 1 (≤0,25) uT</v>
      </c>
    </row>
    <row r="428" spans="1:59" ht="15.75" thickBot="1" x14ac:dyDescent="0.25">
      <c r="A428" s="21">
        <v>46171</v>
      </c>
      <c r="B428" s="51">
        <v>0.22916666666666666</v>
      </c>
      <c r="C428" s="58">
        <v>1408</v>
      </c>
      <c r="D428" s="58">
        <v>88</v>
      </c>
      <c r="E428" s="58">
        <v>545</v>
      </c>
      <c r="F428" s="58">
        <v>2151</v>
      </c>
      <c r="G428" s="11" t="s">
        <v>78</v>
      </c>
      <c r="H428" s="64">
        <v>6.5</v>
      </c>
      <c r="I428" s="58">
        <v>90</v>
      </c>
      <c r="J428" s="58">
        <v>90</v>
      </c>
      <c r="K428" s="58">
        <v>90</v>
      </c>
      <c r="L428" s="64">
        <v>22.1</v>
      </c>
      <c r="M428" s="64">
        <v>6.8</v>
      </c>
      <c r="N428" s="37">
        <v>2.71</v>
      </c>
      <c r="O428" s="58">
        <v>14</v>
      </c>
      <c r="P428" s="64">
        <v>6.7</v>
      </c>
      <c r="Q428" s="37">
        <v>0.18</v>
      </c>
      <c r="R428" s="36">
        <v>22.36</v>
      </c>
      <c r="S428" s="36">
        <v>0.88</v>
      </c>
      <c r="T428" s="36">
        <v>0.7</v>
      </c>
      <c r="U428" s="42">
        <f t="shared" si="149"/>
        <v>1320.17625</v>
      </c>
      <c r="V428" s="36">
        <f t="shared" si="150"/>
        <v>1385.6875473999999</v>
      </c>
      <c r="W428" s="36">
        <f t="shared" si="151"/>
        <v>1.0496231449399274</v>
      </c>
      <c r="X428" s="58">
        <v>3</v>
      </c>
      <c r="Y428" s="58">
        <v>4</v>
      </c>
      <c r="Z428" s="64">
        <v>6.55</v>
      </c>
      <c r="AA428" s="58">
        <v>17</v>
      </c>
      <c r="AB428" s="64">
        <v>6.5</v>
      </c>
      <c r="AC428" s="64">
        <v>6</v>
      </c>
      <c r="AD428" s="11">
        <v>0.41</v>
      </c>
      <c r="AE428" s="37">
        <v>0.4</v>
      </c>
      <c r="AF428" s="42">
        <f t="shared" si="152"/>
        <v>1320.17625</v>
      </c>
      <c r="AG428" s="42">
        <f t="shared" si="153"/>
        <v>2012.4113239983992</v>
      </c>
      <c r="AH428" s="42">
        <f t="shared" si="154"/>
        <v>1.524350497896322</v>
      </c>
      <c r="AI428" s="58">
        <v>3</v>
      </c>
      <c r="AJ428" s="58">
        <v>4</v>
      </c>
      <c r="AK428" s="37">
        <v>6.52</v>
      </c>
      <c r="AL428" s="37">
        <v>24.83</v>
      </c>
      <c r="AM428" s="64">
        <v>6.2</v>
      </c>
      <c r="AN428" s="64">
        <v>5.6</v>
      </c>
      <c r="AO428" s="37">
        <v>0.22</v>
      </c>
      <c r="AP428" s="69">
        <v>0.45</v>
      </c>
      <c r="AQ428" s="73">
        <f t="shared" si="132"/>
        <v>2041</v>
      </c>
      <c r="AR428" s="75">
        <f t="shared" si="133"/>
        <v>0.68985791278784914</v>
      </c>
      <c r="AS428" s="75">
        <f t="shared" si="134"/>
        <v>4.3116119549240571E-2</v>
      </c>
      <c r="AT428" s="75">
        <f t="shared" si="135"/>
        <v>0.26702596766291031</v>
      </c>
      <c r="AU428" s="26">
        <f t="shared" si="136"/>
        <v>6.3226406322640635E-2</v>
      </c>
      <c r="AV428" s="26">
        <f t="shared" si="137"/>
        <v>9.2347745234774514E-2</v>
      </c>
      <c r="AW428" s="24">
        <f t="shared" si="138"/>
        <v>0.83394833948339486</v>
      </c>
      <c r="AX428" s="24">
        <f t="shared" si="139"/>
        <v>0.85239852398523985</v>
      </c>
      <c r="AY428" s="77" t="str">
        <f t="shared" si="140"/>
        <v>5,0 ≤ Alc. Bruta &lt; 7,5 mg/L</v>
      </c>
      <c r="AZ428" s="77" t="str">
        <f t="shared" si="141"/>
        <v>10 ≤ Cor &lt;15 uC</v>
      </c>
      <c r="BA428" s="78" t="str">
        <f t="shared" si="142"/>
        <v>2,5 ≤ Turb &lt; 5,0 uT</v>
      </c>
      <c r="BB428" s="79" t="str">
        <f t="shared" si="143"/>
        <v>TOR &gt; BNN &gt; SM</v>
      </c>
      <c r="BC428" s="78" t="str">
        <f t="shared" si="144"/>
        <v>Tipo 2 (0,25-0,50) uT</v>
      </c>
      <c r="BD428" s="78" t="str">
        <f t="shared" si="145"/>
        <v>Tipo 1 (≤0,25) uT</v>
      </c>
      <c r="BE428" s="78" t="str">
        <f t="shared" si="146"/>
        <v>Tipo 2 (0,25-0,50) uT</v>
      </c>
      <c r="BF428" s="78" t="str">
        <f t="shared" si="147"/>
        <v>Tipo 2 (0,25-0,50) uT</v>
      </c>
      <c r="BG428" s="78" t="str">
        <f t="shared" si="148"/>
        <v>Tipo 1 (≤0,25) uT</v>
      </c>
    </row>
    <row r="429" spans="1:59" x14ac:dyDescent="0.2">
      <c r="A429" s="21">
        <v>46171</v>
      </c>
      <c r="B429" s="52">
        <v>0.3125</v>
      </c>
      <c r="C429" s="59">
        <v>1441</v>
      </c>
      <c r="D429" s="57">
        <v>83</v>
      </c>
      <c r="E429" s="59">
        <v>540</v>
      </c>
      <c r="F429" s="59">
        <v>2145</v>
      </c>
      <c r="G429" s="9" t="s">
        <v>78</v>
      </c>
      <c r="H429" s="65">
        <v>6.5</v>
      </c>
      <c r="I429" s="59">
        <v>90</v>
      </c>
      <c r="J429" s="59">
        <v>90</v>
      </c>
      <c r="K429" s="59">
        <v>90</v>
      </c>
      <c r="L429" s="65">
        <v>22.4</v>
      </c>
      <c r="M429" s="65">
        <v>6.7</v>
      </c>
      <c r="N429" s="38">
        <v>2.98</v>
      </c>
      <c r="O429" s="59">
        <v>15</v>
      </c>
      <c r="P429" s="65">
        <v>6.8</v>
      </c>
      <c r="Q429" s="38">
        <v>0.17</v>
      </c>
      <c r="R429" s="36">
        <v>22.36</v>
      </c>
      <c r="S429" s="36">
        <v>0.88</v>
      </c>
      <c r="T429" s="36">
        <v>0.7</v>
      </c>
      <c r="U429" s="42">
        <f t="shared" si="149"/>
        <v>1388.8874999999998</v>
      </c>
      <c r="V429" s="36">
        <f t="shared" si="150"/>
        <v>1372.556302</v>
      </c>
      <c r="W429" s="36">
        <f t="shared" si="151"/>
        <v>0.98824152568152579</v>
      </c>
      <c r="X429" s="59">
        <v>3</v>
      </c>
      <c r="Y429" s="59">
        <v>4</v>
      </c>
      <c r="Z429" s="65">
        <v>6.5</v>
      </c>
      <c r="AA429" s="59">
        <v>17</v>
      </c>
      <c r="AB429" s="65">
        <v>6.6</v>
      </c>
      <c r="AC429" s="65">
        <v>5.6</v>
      </c>
      <c r="AD429" s="9">
        <v>0.23</v>
      </c>
      <c r="AE429" s="38">
        <v>0.44</v>
      </c>
      <c r="AF429" s="42">
        <f t="shared" si="152"/>
        <v>1388.8874999999998</v>
      </c>
      <c r="AG429" s="42">
        <f t="shared" si="153"/>
        <v>1008.3774168000001</v>
      </c>
      <c r="AH429" s="42">
        <f t="shared" si="154"/>
        <v>0.72603246612846628</v>
      </c>
      <c r="AI429" s="59">
        <v>3</v>
      </c>
      <c r="AJ429" s="59">
        <v>4</v>
      </c>
      <c r="AK429" s="38">
        <v>4.9000000000000004</v>
      </c>
      <c r="AL429" s="38">
        <v>18</v>
      </c>
      <c r="AM429" s="65">
        <v>6.6</v>
      </c>
      <c r="AN429" s="65">
        <v>5.6</v>
      </c>
      <c r="AO429" s="38">
        <v>0.2</v>
      </c>
      <c r="AP429" s="70">
        <v>0.41</v>
      </c>
      <c r="AQ429" s="73">
        <f t="shared" si="132"/>
        <v>2064</v>
      </c>
      <c r="AR429" s="75">
        <f t="shared" si="133"/>
        <v>0.69815891472868219</v>
      </c>
      <c r="AS429" s="75">
        <f t="shared" si="134"/>
        <v>4.0213178294573645E-2</v>
      </c>
      <c r="AT429" s="75">
        <f t="shared" si="135"/>
        <v>0.26162790697674421</v>
      </c>
      <c r="AU429" s="26">
        <f t="shared" si="136"/>
        <v>6.340326340326341E-2</v>
      </c>
      <c r="AV429" s="26">
        <f t="shared" si="137"/>
        <v>6.7132867132867133E-2</v>
      </c>
      <c r="AW429" s="24">
        <f t="shared" si="138"/>
        <v>0.86241610738255037</v>
      </c>
      <c r="AX429" s="24">
        <f t="shared" si="139"/>
        <v>0.8523489932885906</v>
      </c>
      <c r="AY429" s="77" t="str">
        <f t="shared" si="140"/>
        <v>5,0 ≤ Alc. Bruta &lt; 7,5 mg/L</v>
      </c>
      <c r="AZ429" s="77" t="str">
        <f t="shared" si="141"/>
        <v>15 ≤ Cor &lt; 30 uC</v>
      </c>
      <c r="BA429" s="78" t="str">
        <f t="shared" si="142"/>
        <v>2,5 ≤ Turb &lt; 5,0 uT</v>
      </c>
      <c r="BB429" s="79" t="str">
        <f t="shared" si="143"/>
        <v>TOR &gt; BNN &gt; SM</v>
      </c>
      <c r="BC429" s="78" t="str">
        <f t="shared" si="144"/>
        <v>Tipo 1 (≤0,25) uT</v>
      </c>
      <c r="BD429" s="78" t="str">
        <f t="shared" si="145"/>
        <v>Tipo 1 (≤0,25) uT</v>
      </c>
      <c r="BE429" s="78" t="str">
        <f t="shared" si="146"/>
        <v>Tipo 2 (0,25-0,50) uT</v>
      </c>
      <c r="BF429" s="78" t="str">
        <f t="shared" si="147"/>
        <v>Tipo 2 (0,25-0,50) uT</v>
      </c>
      <c r="BG429" s="78" t="str">
        <f t="shared" si="148"/>
        <v>Tipo 1 (≤0,25) uT</v>
      </c>
    </row>
    <row r="430" spans="1:59" x14ac:dyDescent="0.2">
      <c r="A430" s="21">
        <v>46171</v>
      </c>
      <c r="B430" s="48">
        <v>0.39583333333333331</v>
      </c>
      <c r="C430" s="57">
        <v>1495</v>
      </c>
      <c r="D430" s="57">
        <v>84</v>
      </c>
      <c r="E430" s="57">
        <v>540</v>
      </c>
      <c r="F430" s="57">
        <v>2115</v>
      </c>
      <c r="G430" s="10" t="s">
        <v>78</v>
      </c>
      <c r="H430" s="63">
        <v>6.5</v>
      </c>
      <c r="I430" s="57">
        <v>90</v>
      </c>
      <c r="J430" s="57">
        <v>90</v>
      </c>
      <c r="K430" s="57">
        <v>90</v>
      </c>
      <c r="L430" s="63">
        <v>22.6</v>
      </c>
      <c r="M430" s="63">
        <v>6.9</v>
      </c>
      <c r="N430" s="36">
        <v>3</v>
      </c>
      <c r="O430" s="57">
        <v>15</v>
      </c>
      <c r="P430" s="63">
        <v>7.1</v>
      </c>
      <c r="Q430" s="36">
        <v>0.15</v>
      </c>
      <c r="R430" s="36">
        <v>22.36</v>
      </c>
      <c r="S430" s="36">
        <v>0.88</v>
      </c>
      <c r="T430" s="36">
        <v>0.7</v>
      </c>
      <c r="U430" s="42">
        <f t="shared" si="149"/>
        <v>1374.75</v>
      </c>
      <c r="V430" s="36">
        <f t="shared" si="150"/>
        <v>1372.556302</v>
      </c>
      <c r="W430" s="36">
        <f t="shared" si="151"/>
        <v>0.99840429314420798</v>
      </c>
      <c r="X430" s="57">
        <v>3</v>
      </c>
      <c r="Y430" s="57">
        <v>4</v>
      </c>
      <c r="Z430" s="63">
        <v>6.5</v>
      </c>
      <c r="AA430" s="57">
        <v>17</v>
      </c>
      <c r="AB430" s="63">
        <v>6.6</v>
      </c>
      <c r="AC430" s="63">
        <v>5.5</v>
      </c>
      <c r="AD430" s="10">
        <v>0.26</v>
      </c>
      <c r="AE430" s="36">
        <v>0.47</v>
      </c>
      <c r="AF430" s="42">
        <f t="shared" si="152"/>
        <v>1374.75</v>
      </c>
      <c r="AG430" s="42">
        <f t="shared" si="153"/>
        <v>1008.3774168000001</v>
      </c>
      <c r="AH430" s="42">
        <f t="shared" si="154"/>
        <v>0.73349875744680859</v>
      </c>
      <c r="AI430" s="57">
        <v>3</v>
      </c>
      <c r="AJ430" s="57">
        <v>4</v>
      </c>
      <c r="AK430" s="36">
        <v>4.9000000000000004</v>
      </c>
      <c r="AL430" s="36">
        <v>18</v>
      </c>
      <c r="AM430" s="63">
        <v>6.5</v>
      </c>
      <c r="AN430" s="63">
        <v>5</v>
      </c>
      <c r="AO430" s="36">
        <v>0.16</v>
      </c>
      <c r="AP430" s="68">
        <v>0.45</v>
      </c>
      <c r="AQ430" s="73">
        <f t="shared" si="132"/>
        <v>2119</v>
      </c>
      <c r="AR430" s="75">
        <f t="shared" si="133"/>
        <v>0.70552147239263807</v>
      </c>
      <c r="AS430" s="75">
        <f t="shared" si="134"/>
        <v>3.964134025483719E-2</v>
      </c>
      <c r="AT430" s="75">
        <f t="shared" si="135"/>
        <v>0.25483718735252475</v>
      </c>
      <c r="AU430" s="26">
        <f t="shared" si="136"/>
        <v>6.4302600472813234E-2</v>
      </c>
      <c r="AV430" s="26">
        <f t="shared" si="137"/>
        <v>6.8085106382978725E-2</v>
      </c>
      <c r="AW430" s="24">
        <f t="shared" si="138"/>
        <v>0.85</v>
      </c>
      <c r="AX430" s="24">
        <f t="shared" si="139"/>
        <v>0.84333333333333338</v>
      </c>
      <c r="AY430" s="77" t="str">
        <f t="shared" si="140"/>
        <v>5,0 ≤ Alc. Bruta &lt; 7,5 mg/L</v>
      </c>
      <c r="AZ430" s="77" t="str">
        <f t="shared" si="141"/>
        <v>15 ≤ Cor &lt; 30 uC</v>
      </c>
      <c r="BA430" s="78" t="str">
        <f t="shared" si="142"/>
        <v>2,5 ≤ Turb &lt; 5,0 uT</v>
      </c>
      <c r="BB430" s="79" t="str">
        <f t="shared" si="143"/>
        <v>TOR &gt; BNN &gt; SM</v>
      </c>
      <c r="BC430" s="78" t="str">
        <f t="shared" si="144"/>
        <v>Tipo 2 (0,25-0,50) uT</v>
      </c>
      <c r="BD430" s="78" t="str">
        <f t="shared" si="145"/>
        <v>Tipo 1 (≤0,25) uT</v>
      </c>
      <c r="BE430" s="78" t="str">
        <f t="shared" si="146"/>
        <v>Tipo 2 (0,25-0,50) uT</v>
      </c>
      <c r="BF430" s="78" t="str">
        <f t="shared" si="147"/>
        <v>Tipo 2 (0,25-0,50) uT</v>
      </c>
      <c r="BG430" s="78" t="str">
        <f t="shared" si="148"/>
        <v>Tipo 1 (≤0,25) uT</v>
      </c>
    </row>
    <row r="431" spans="1:59" x14ac:dyDescent="0.2">
      <c r="A431" s="21">
        <v>46171</v>
      </c>
      <c r="B431" s="48">
        <v>0.5625</v>
      </c>
      <c r="C431" s="57">
        <v>1495</v>
      </c>
      <c r="D431" s="57">
        <v>84</v>
      </c>
      <c r="E431" s="57">
        <v>540</v>
      </c>
      <c r="F431" s="57">
        <v>2177</v>
      </c>
      <c r="G431" s="10" t="s">
        <v>78</v>
      </c>
      <c r="H431" s="63">
        <v>6.5</v>
      </c>
      <c r="I431" s="57">
        <v>90</v>
      </c>
      <c r="J431" s="57">
        <v>90</v>
      </c>
      <c r="K431" s="57">
        <v>90</v>
      </c>
      <c r="L431" s="63">
        <v>23.7</v>
      </c>
      <c r="M431" s="63">
        <v>6.8</v>
      </c>
      <c r="N431" s="36">
        <v>2.92</v>
      </c>
      <c r="O431" s="57">
        <v>15</v>
      </c>
      <c r="P431" s="63">
        <v>6</v>
      </c>
      <c r="Q431" s="36">
        <v>0.26</v>
      </c>
      <c r="R431" s="36">
        <v>22.36</v>
      </c>
      <c r="S431" s="36">
        <v>0.88</v>
      </c>
      <c r="T431" s="36">
        <v>0.7</v>
      </c>
      <c r="U431" s="42">
        <f t="shared" si="149"/>
        <v>1393.28</v>
      </c>
      <c r="V431" s="36">
        <f t="shared" si="150"/>
        <v>1372.556302</v>
      </c>
      <c r="W431" s="36">
        <f t="shared" si="151"/>
        <v>0.98512596319476342</v>
      </c>
      <c r="X431" s="57">
        <v>3</v>
      </c>
      <c r="Y431" s="57">
        <v>4</v>
      </c>
      <c r="Z431" s="63">
        <v>6.5</v>
      </c>
      <c r="AA431" s="57">
        <v>17</v>
      </c>
      <c r="AB431" s="63">
        <v>6.6</v>
      </c>
      <c r="AC431" s="63">
        <v>5.3</v>
      </c>
      <c r="AD431" s="10">
        <v>0.42</v>
      </c>
      <c r="AE431" s="36">
        <v>0.93</v>
      </c>
      <c r="AF431" s="42">
        <f t="shared" si="152"/>
        <v>1393.28</v>
      </c>
      <c r="AG431" s="42">
        <f t="shared" si="153"/>
        <v>980.57007359999989</v>
      </c>
      <c r="AH431" s="42">
        <f t="shared" si="154"/>
        <v>0.7037853651814423</v>
      </c>
      <c r="AI431" s="57">
        <v>3</v>
      </c>
      <c r="AJ431" s="57">
        <v>4</v>
      </c>
      <c r="AK431" s="36">
        <v>4.8</v>
      </c>
      <c r="AL431" s="36">
        <v>18</v>
      </c>
      <c r="AM431" s="63">
        <v>6.5</v>
      </c>
      <c r="AN431" s="63">
        <v>5.4</v>
      </c>
      <c r="AO431" s="36">
        <v>0.22</v>
      </c>
      <c r="AP431" s="68">
        <v>0.56000000000000005</v>
      </c>
      <c r="AQ431" s="73">
        <f t="shared" si="132"/>
        <v>2119</v>
      </c>
      <c r="AR431" s="75">
        <f t="shared" si="133"/>
        <v>0.70552147239263807</v>
      </c>
      <c r="AS431" s="75">
        <f t="shared" si="134"/>
        <v>3.964134025483719E-2</v>
      </c>
      <c r="AT431" s="75">
        <f t="shared" si="135"/>
        <v>0.25483718735252475</v>
      </c>
      <c r="AU431" s="26">
        <f t="shared" si="136"/>
        <v>6.24712907671107E-2</v>
      </c>
      <c r="AV431" s="26">
        <f t="shared" si="137"/>
        <v>6.6146072576940745E-2</v>
      </c>
      <c r="AW431" s="24">
        <f t="shared" si="138"/>
        <v>0.80821917808219179</v>
      </c>
      <c r="AX431" s="24">
        <f t="shared" si="139"/>
        <v>0.68150684931506844</v>
      </c>
      <c r="AY431" s="77" t="str">
        <f t="shared" si="140"/>
        <v>5,0 ≤ Alc. Bruta &lt; 7,5 mg/L</v>
      </c>
      <c r="AZ431" s="77" t="str">
        <f t="shared" si="141"/>
        <v>15 ≤ Cor &lt; 30 uC</v>
      </c>
      <c r="BA431" s="78" t="str">
        <f t="shared" si="142"/>
        <v>2,5 ≤ Turb &lt; 5,0 uT</v>
      </c>
      <c r="BB431" s="79" t="str">
        <f t="shared" si="143"/>
        <v>TOR &gt; BNN &gt; SM</v>
      </c>
      <c r="BC431" s="78" t="str">
        <f t="shared" si="144"/>
        <v>Tipo 2 (0,25-0,50) uT</v>
      </c>
      <c r="BD431" s="78" t="str">
        <f t="shared" si="145"/>
        <v>Tipo 1 (≤0,25) uT</v>
      </c>
      <c r="BE431" s="78" t="str">
        <f t="shared" si="146"/>
        <v>Tipo 4 (&gt;0,75) uT</v>
      </c>
      <c r="BF431" s="78" t="str">
        <f t="shared" si="147"/>
        <v>Tipo 3 (0,50-0,75) uT</v>
      </c>
      <c r="BG431" s="78" t="str">
        <f t="shared" si="148"/>
        <v>Tipo 2 (0,25-0,50) uT</v>
      </c>
    </row>
    <row r="432" spans="1:59" x14ac:dyDescent="0.2">
      <c r="A432" s="21">
        <v>46171</v>
      </c>
      <c r="B432" s="48">
        <v>0.64583333333333337</v>
      </c>
      <c r="C432" s="57">
        <v>1445</v>
      </c>
      <c r="D432" s="57">
        <v>85</v>
      </c>
      <c r="E432" s="57">
        <v>532</v>
      </c>
      <c r="F432" s="57">
        <v>2187</v>
      </c>
      <c r="G432" s="10" t="s">
        <v>78</v>
      </c>
      <c r="H432" s="63">
        <v>7.3</v>
      </c>
      <c r="I432" s="57">
        <v>90</v>
      </c>
      <c r="J432" s="57">
        <v>90</v>
      </c>
      <c r="K432" s="57">
        <v>90</v>
      </c>
      <c r="L432" s="63">
        <v>24</v>
      </c>
      <c r="M432" s="63">
        <v>6.8</v>
      </c>
      <c r="N432" s="36">
        <v>3.18</v>
      </c>
      <c r="O432" s="57">
        <v>16</v>
      </c>
      <c r="P432" s="63">
        <v>6.7</v>
      </c>
      <c r="Q432" s="36">
        <v>0.14000000000000001</v>
      </c>
      <c r="R432" s="36">
        <v>22.36</v>
      </c>
      <c r="S432" s="36">
        <v>0.88</v>
      </c>
      <c r="T432" s="36">
        <v>0.7</v>
      </c>
      <c r="U432" s="42">
        <f t="shared" si="149"/>
        <v>1536.3675000000001</v>
      </c>
      <c r="V432" s="36">
        <f t="shared" si="150"/>
        <v>1383.0612983199999</v>
      </c>
      <c r="W432" s="36">
        <f t="shared" si="151"/>
        <v>0.90021514925302693</v>
      </c>
      <c r="X432" s="57">
        <v>3</v>
      </c>
      <c r="Y432" s="57">
        <v>4</v>
      </c>
      <c r="Z432" s="63">
        <v>6.54</v>
      </c>
      <c r="AA432" s="57">
        <v>17</v>
      </c>
      <c r="AB432" s="63">
        <v>6.5</v>
      </c>
      <c r="AC432" s="63">
        <v>5.6</v>
      </c>
      <c r="AD432" s="10">
        <v>0.3</v>
      </c>
      <c r="AE432" s="36">
        <v>0.3</v>
      </c>
      <c r="AF432" s="42">
        <f t="shared" si="152"/>
        <v>1536.3675000000001</v>
      </c>
      <c r="AG432" s="42">
        <f t="shared" si="153"/>
        <v>784.29354640000008</v>
      </c>
      <c r="AH432" s="42">
        <f t="shared" si="154"/>
        <v>0.5104856399266452</v>
      </c>
      <c r="AI432" s="57">
        <v>3</v>
      </c>
      <c r="AJ432" s="57">
        <v>4</v>
      </c>
      <c r="AK432" s="36">
        <v>4.9000000000000004</v>
      </c>
      <c r="AL432" s="36">
        <v>14</v>
      </c>
      <c r="AM432" s="63">
        <v>6.5</v>
      </c>
      <c r="AN432" s="63">
        <v>5.7</v>
      </c>
      <c r="AO432" s="36">
        <v>0.22</v>
      </c>
      <c r="AP432" s="68">
        <v>0.45</v>
      </c>
      <c r="AQ432" s="73">
        <f t="shared" si="132"/>
        <v>2062</v>
      </c>
      <c r="AR432" s="75">
        <f t="shared" si="133"/>
        <v>0.70077594568380208</v>
      </c>
      <c r="AS432" s="75">
        <f t="shared" si="134"/>
        <v>4.1222114451988361E-2</v>
      </c>
      <c r="AT432" s="75">
        <f t="shared" si="135"/>
        <v>0.2580019398642095</v>
      </c>
      <c r="AU432" s="26">
        <f t="shared" si="136"/>
        <v>6.2185642432556011E-2</v>
      </c>
      <c r="AV432" s="26">
        <f t="shared" si="137"/>
        <v>5.1211705532693184E-2</v>
      </c>
      <c r="AW432" s="24">
        <f t="shared" si="138"/>
        <v>0.85849056603773588</v>
      </c>
      <c r="AX432" s="24">
        <f t="shared" si="139"/>
        <v>0.90566037735849059</v>
      </c>
      <c r="AY432" s="77" t="str">
        <f t="shared" si="140"/>
        <v>5,0 ≤ Alc. Bruta &lt; 7,5 mg/L</v>
      </c>
      <c r="AZ432" s="77" t="str">
        <f t="shared" si="141"/>
        <v>15 ≤ Cor &lt; 30 uC</v>
      </c>
      <c r="BA432" s="78" t="str">
        <f t="shared" si="142"/>
        <v>2,5 ≤ Turb &lt; 5,0 uT</v>
      </c>
      <c r="BB432" s="79" t="str">
        <f t="shared" si="143"/>
        <v>TOR &gt; BNN &gt; SM</v>
      </c>
      <c r="BC432" s="78" t="str">
        <f t="shared" si="144"/>
        <v>Tipo 2 (0,25-0,50) uT</v>
      </c>
      <c r="BD432" s="78" t="str">
        <f t="shared" si="145"/>
        <v>Tipo 1 (≤0,25) uT</v>
      </c>
      <c r="BE432" s="78" t="str">
        <f t="shared" si="146"/>
        <v>Tipo 2 (0,25-0,50) uT</v>
      </c>
      <c r="BF432" s="78" t="str">
        <f t="shared" si="147"/>
        <v>Tipo 2 (0,25-0,50) uT</v>
      </c>
      <c r="BG432" s="78" t="str">
        <f t="shared" si="148"/>
        <v>Tipo 1 (≤0,25) uT</v>
      </c>
    </row>
    <row r="433" spans="1:59" x14ac:dyDescent="0.2">
      <c r="A433" s="21">
        <v>46171</v>
      </c>
      <c r="B433" s="48">
        <v>0.8125</v>
      </c>
      <c r="C433" s="57">
        <v>1133</v>
      </c>
      <c r="D433" s="57">
        <v>83</v>
      </c>
      <c r="E433" s="57">
        <v>549</v>
      </c>
      <c r="F433" s="57">
        <v>1804</v>
      </c>
      <c r="G433" s="10" t="s">
        <v>78</v>
      </c>
      <c r="H433" s="63">
        <v>7.3</v>
      </c>
      <c r="I433" s="57">
        <v>90</v>
      </c>
      <c r="J433" s="57">
        <v>90</v>
      </c>
      <c r="K433" s="57">
        <v>90</v>
      </c>
      <c r="L433" s="63">
        <v>23.8</v>
      </c>
      <c r="M433" s="63">
        <v>6.8</v>
      </c>
      <c r="N433" s="36">
        <v>3.19</v>
      </c>
      <c r="O433" s="57">
        <v>16</v>
      </c>
      <c r="P433" s="63">
        <v>7.1</v>
      </c>
      <c r="Q433" s="36">
        <v>7.0000000000000007E-2</v>
      </c>
      <c r="R433" s="36">
        <v>22.36</v>
      </c>
      <c r="S433" s="36">
        <v>0.88</v>
      </c>
      <c r="T433" s="36">
        <v>0.7</v>
      </c>
      <c r="U433" s="42">
        <f t="shared" si="149"/>
        <v>1269.5650000000001</v>
      </c>
      <c r="V433" s="36">
        <f t="shared" si="150"/>
        <v>1542.83917268</v>
      </c>
      <c r="W433" s="36">
        <f t="shared" si="151"/>
        <v>1.2152502413661372</v>
      </c>
      <c r="X433" s="57">
        <v>2</v>
      </c>
      <c r="Y433" s="57">
        <v>4</v>
      </c>
      <c r="Z433" s="63">
        <v>6.53</v>
      </c>
      <c r="AA433" s="57">
        <v>19</v>
      </c>
      <c r="AB433" s="63">
        <v>6.5</v>
      </c>
      <c r="AC433" s="63">
        <v>6.2</v>
      </c>
      <c r="AD433" s="10">
        <v>0.31</v>
      </c>
      <c r="AE433" s="36">
        <v>0.22</v>
      </c>
      <c r="AF433" s="42">
        <f t="shared" si="152"/>
        <v>1692.7533333333333</v>
      </c>
      <c r="AG433" s="42">
        <f t="shared" si="153"/>
        <v>1849.8816169599997</v>
      </c>
      <c r="AH433" s="42">
        <f t="shared" si="154"/>
        <v>1.092824087557549</v>
      </c>
      <c r="AI433" s="57">
        <v>2</v>
      </c>
      <c r="AJ433" s="57">
        <v>3</v>
      </c>
      <c r="AK433" s="36">
        <v>6.48</v>
      </c>
      <c r="AL433" s="36">
        <v>23</v>
      </c>
      <c r="AM433" s="63">
        <v>6.5</v>
      </c>
      <c r="AN433" s="63">
        <v>6.1</v>
      </c>
      <c r="AO433" s="36">
        <v>0.28999999999999998</v>
      </c>
      <c r="AP433" s="68">
        <v>0.26</v>
      </c>
      <c r="AQ433" s="73">
        <f t="shared" si="132"/>
        <v>1765</v>
      </c>
      <c r="AR433" s="75">
        <f t="shared" si="133"/>
        <v>0.64192634560906514</v>
      </c>
      <c r="AS433" s="75">
        <f t="shared" si="134"/>
        <v>4.7025495750708218E-2</v>
      </c>
      <c r="AT433" s="75">
        <f t="shared" si="135"/>
        <v>0.31104815864022661</v>
      </c>
      <c r="AU433" s="26">
        <f t="shared" si="136"/>
        <v>8.4257206208425722E-2</v>
      </c>
      <c r="AV433" s="26">
        <f t="shared" si="137"/>
        <v>7.6496674057649663E-2</v>
      </c>
      <c r="AW433" s="24">
        <f t="shared" si="138"/>
        <v>0.91849529780564265</v>
      </c>
      <c r="AX433" s="24">
        <f t="shared" si="139"/>
        <v>0.93103448275862066</v>
      </c>
      <c r="AY433" s="77" t="str">
        <f t="shared" si="140"/>
        <v>5,0 ≤ Alc. Bruta &lt; 7,5 mg/L</v>
      </c>
      <c r="AZ433" s="77" t="str">
        <f t="shared" si="141"/>
        <v>15 ≤ Cor &lt; 30 uC</v>
      </c>
      <c r="BA433" s="78" t="str">
        <f t="shared" si="142"/>
        <v>2,5 ≤ Turb &lt; 5,0 uT</v>
      </c>
      <c r="BB433" s="79" t="str">
        <f t="shared" si="143"/>
        <v>TOR &gt; BNN &gt; SM</v>
      </c>
      <c r="BC433" s="78" t="str">
        <f t="shared" si="144"/>
        <v>Tipo 2 (0,25-0,50) uT</v>
      </c>
      <c r="BD433" s="78" t="str">
        <f t="shared" si="145"/>
        <v>Tipo 2 (0,25-0,50) uT</v>
      </c>
      <c r="BE433" s="78" t="str">
        <f t="shared" si="146"/>
        <v>Tipo 1 (≤0,25) uT</v>
      </c>
      <c r="BF433" s="78" t="str">
        <f t="shared" si="147"/>
        <v>Tipo 2 (0,25-0,50) uT</v>
      </c>
      <c r="BG433" s="78" t="str">
        <f t="shared" si="148"/>
        <v>Tipo 1 (≤0,25) uT</v>
      </c>
    </row>
    <row r="434" spans="1:59" x14ac:dyDescent="0.2">
      <c r="A434" s="21">
        <v>46171</v>
      </c>
      <c r="B434" s="48">
        <v>0.89583333333333337</v>
      </c>
      <c r="C434" s="57">
        <v>1090</v>
      </c>
      <c r="D434" s="57">
        <v>88</v>
      </c>
      <c r="E434" s="57">
        <v>549</v>
      </c>
      <c r="F434" s="57">
        <v>1820</v>
      </c>
      <c r="G434" s="10" t="s">
        <v>78</v>
      </c>
      <c r="H434" s="63">
        <v>7.3</v>
      </c>
      <c r="I434" s="57">
        <v>90</v>
      </c>
      <c r="J434" s="57">
        <v>90</v>
      </c>
      <c r="K434" s="57">
        <v>90</v>
      </c>
      <c r="L434" s="63">
        <v>23.3</v>
      </c>
      <c r="M434" s="63">
        <v>6.7</v>
      </c>
      <c r="N434" s="36">
        <v>2.96</v>
      </c>
      <c r="O434" s="57">
        <v>12</v>
      </c>
      <c r="P434" s="63">
        <v>6.9</v>
      </c>
      <c r="Q434" s="36">
        <v>7.0000000000000007E-2</v>
      </c>
      <c r="R434" s="36">
        <v>22.36</v>
      </c>
      <c r="S434" s="36">
        <v>0.88</v>
      </c>
      <c r="T434" s="36">
        <v>0.7</v>
      </c>
      <c r="U434" s="42">
        <f t="shared" si="149"/>
        <v>1228.5</v>
      </c>
      <c r="V434" s="36">
        <f t="shared" si="150"/>
        <v>1531.0982944399998</v>
      </c>
      <c r="W434" s="36">
        <f t="shared" si="151"/>
        <v>1.2463152579894179</v>
      </c>
      <c r="X434" s="57">
        <v>2</v>
      </c>
      <c r="Y434" s="57">
        <v>4</v>
      </c>
      <c r="Z434" s="63">
        <v>6.49</v>
      </c>
      <c r="AA434" s="57">
        <v>19</v>
      </c>
      <c r="AB434" s="63">
        <v>6.5</v>
      </c>
      <c r="AC434" s="63">
        <v>5.8</v>
      </c>
      <c r="AD434" s="10">
        <v>0.28000000000000003</v>
      </c>
      <c r="AE434" s="36">
        <v>0.22</v>
      </c>
      <c r="AF434" s="42">
        <f t="shared" si="152"/>
        <v>1638</v>
      </c>
      <c r="AG434" s="42">
        <f t="shared" si="153"/>
        <v>1027.8425570399997</v>
      </c>
      <c r="AH434" s="42">
        <f t="shared" si="154"/>
        <v>0.62749850857142841</v>
      </c>
      <c r="AI434" s="57">
        <v>2</v>
      </c>
      <c r="AJ434" s="57">
        <v>3</v>
      </c>
      <c r="AK434" s="36">
        <v>4.97</v>
      </c>
      <c r="AL434" s="36">
        <v>18</v>
      </c>
      <c r="AM434" s="63">
        <v>6.5</v>
      </c>
      <c r="AN434" s="63">
        <v>6.3</v>
      </c>
      <c r="AO434" s="36">
        <v>0.27</v>
      </c>
      <c r="AP434" s="68">
        <v>0.22</v>
      </c>
      <c r="AQ434" s="73">
        <f t="shared" si="132"/>
        <v>1727</v>
      </c>
      <c r="AR434" s="75">
        <f t="shared" si="133"/>
        <v>0.63115228720324257</v>
      </c>
      <c r="AS434" s="75">
        <f t="shared" si="134"/>
        <v>5.0955414012738856E-2</v>
      </c>
      <c r="AT434" s="75">
        <f t="shared" si="135"/>
        <v>0.31789229878401853</v>
      </c>
      <c r="AU434" s="26">
        <f t="shared" si="136"/>
        <v>8.3516483516483511E-2</v>
      </c>
      <c r="AV434" s="26">
        <f t="shared" si="137"/>
        <v>5.9340659340659345E-2</v>
      </c>
      <c r="AW434" s="24">
        <f t="shared" si="138"/>
        <v>0.92567567567567566</v>
      </c>
      <c r="AX434" s="24">
        <f t="shared" si="139"/>
        <v>0.92567567567567566</v>
      </c>
      <c r="AY434" s="77" t="str">
        <f t="shared" si="140"/>
        <v>5,0 ≤ Alc. Bruta &lt; 7,5 mg/L</v>
      </c>
      <c r="AZ434" s="77" t="str">
        <f t="shared" si="141"/>
        <v>10 ≤ Cor &lt;15 uC</v>
      </c>
      <c r="BA434" s="78" t="str">
        <f t="shared" si="142"/>
        <v>2,5 ≤ Turb &lt; 5,0 uT</v>
      </c>
      <c r="BB434" s="79" t="str">
        <f t="shared" si="143"/>
        <v>TOR &gt; BNN &gt; SM</v>
      </c>
      <c r="BC434" s="78" t="str">
        <f t="shared" si="144"/>
        <v>Tipo 2 (0,25-0,50) uT</v>
      </c>
      <c r="BD434" s="78" t="str">
        <f t="shared" si="145"/>
        <v>Tipo 2 (0,25-0,50) uT</v>
      </c>
      <c r="BE434" s="78" t="str">
        <f t="shared" si="146"/>
        <v>Tipo 1 (≤0,25) uT</v>
      </c>
      <c r="BF434" s="78" t="str">
        <f t="shared" si="147"/>
        <v>Tipo 1 (≤0,25) uT</v>
      </c>
      <c r="BG434" s="78" t="str">
        <f t="shared" si="148"/>
        <v>Tipo 1 (≤0,25) uT</v>
      </c>
    </row>
    <row r="435" spans="1:59" x14ac:dyDescent="0.2">
      <c r="A435" s="21">
        <v>46171</v>
      </c>
      <c r="B435" s="48">
        <v>0.97916666666666663</v>
      </c>
      <c r="C435" s="57">
        <v>1081</v>
      </c>
      <c r="D435" s="57">
        <v>93</v>
      </c>
      <c r="E435" s="57">
        <v>550</v>
      </c>
      <c r="F435" s="57">
        <v>1815</v>
      </c>
      <c r="G435" s="10" t="s">
        <v>78</v>
      </c>
      <c r="H435" s="63">
        <v>7.3</v>
      </c>
      <c r="I435" s="57">
        <v>90</v>
      </c>
      <c r="J435" s="57">
        <v>90</v>
      </c>
      <c r="K435" s="57">
        <v>90</v>
      </c>
      <c r="L435" s="63">
        <v>23</v>
      </c>
      <c r="M435" s="63">
        <v>6.8</v>
      </c>
      <c r="N435" s="36">
        <v>3.08</v>
      </c>
      <c r="O435" s="57">
        <v>13</v>
      </c>
      <c r="P435" s="63">
        <v>6.9</v>
      </c>
      <c r="Q435" s="36">
        <v>7.0000000000000007E-2</v>
      </c>
      <c r="R435" s="36">
        <v>22.36</v>
      </c>
      <c r="S435" s="36">
        <v>0.88</v>
      </c>
      <c r="T435" s="36">
        <v>0.7</v>
      </c>
      <c r="U435" s="42">
        <f t="shared" si="149"/>
        <v>1252.3499999999999</v>
      </c>
      <c r="V435" s="36">
        <f t="shared" si="150"/>
        <v>1536.9687335599997</v>
      </c>
      <c r="W435" s="36">
        <f t="shared" si="151"/>
        <v>1.2272677235277676</v>
      </c>
      <c r="X435" s="57">
        <v>2</v>
      </c>
      <c r="Y435" s="57">
        <v>4</v>
      </c>
      <c r="Z435" s="63">
        <v>6.51</v>
      </c>
      <c r="AA435" s="57">
        <v>19</v>
      </c>
      <c r="AB435" s="63">
        <v>6.4</v>
      </c>
      <c r="AC435" s="63">
        <v>5.9</v>
      </c>
      <c r="AD435" s="10">
        <v>0.18</v>
      </c>
      <c r="AE435" s="36">
        <v>0.21</v>
      </c>
      <c r="AF435" s="42">
        <f t="shared" si="152"/>
        <v>1669.8</v>
      </c>
      <c r="AG435" s="42">
        <f t="shared" si="153"/>
        <v>1860.5410985199997</v>
      </c>
      <c r="AH435" s="42">
        <f t="shared" si="154"/>
        <v>1.1142299068870523</v>
      </c>
      <c r="AI435" s="57">
        <v>2</v>
      </c>
      <c r="AJ435" s="57">
        <v>3</v>
      </c>
      <c r="AK435" s="36">
        <v>6.51</v>
      </c>
      <c r="AL435" s="36">
        <v>23</v>
      </c>
      <c r="AM435" s="63">
        <v>6.4</v>
      </c>
      <c r="AN435" s="63">
        <v>6</v>
      </c>
      <c r="AO435" s="36">
        <v>0.2</v>
      </c>
      <c r="AP435" s="68">
        <v>0.2</v>
      </c>
      <c r="AQ435" s="73">
        <f t="shared" si="132"/>
        <v>1724</v>
      </c>
      <c r="AR435" s="75">
        <f t="shared" si="133"/>
        <v>0.62703016241299303</v>
      </c>
      <c r="AS435" s="75">
        <f t="shared" si="134"/>
        <v>5.3944315545243621E-2</v>
      </c>
      <c r="AT435" s="75">
        <f t="shared" si="135"/>
        <v>0.31902552204176332</v>
      </c>
      <c r="AU435" s="26">
        <f t="shared" si="136"/>
        <v>8.3746556473829198E-2</v>
      </c>
      <c r="AV435" s="26">
        <f t="shared" si="137"/>
        <v>7.6033057851239663E-2</v>
      </c>
      <c r="AW435" s="24">
        <f t="shared" si="138"/>
        <v>0.93506493506493504</v>
      </c>
      <c r="AX435" s="24">
        <f t="shared" si="139"/>
        <v>0.93181818181818188</v>
      </c>
      <c r="AY435" s="77" t="str">
        <f t="shared" si="140"/>
        <v>5,0 ≤ Alc. Bruta &lt; 7,5 mg/L</v>
      </c>
      <c r="AZ435" s="77" t="str">
        <f t="shared" si="141"/>
        <v>10 ≤ Cor &lt;15 uC</v>
      </c>
      <c r="BA435" s="78" t="str">
        <f t="shared" si="142"/>
        <v>2,5 ≤ Turb &lt; 5,0 uT</v>
      </c>
      <c r="BB435" s="79" t="str">
        <f t="shared" si="143"/>
        <v>TOR &gt; BNN &gt; SM</v>
      </c>
      <c r="BC435" s="78" t="str">
        <f t="shared" si="144"/>
        <v>Tipo 1 (≤0,25) uT</v>
      </c>
      <c r="BD435" s="78" t="str">
        <f t="shared" si="145"/>
        <v>Tipo 1 (≤0,25) uT</v>
      </c>
      <c r="BE435" s="78" t="str">
        <f t="shared" si="146"/>
        <v>Tipo 1 (≤0,25) uT</v>
      </c>
      <c r="BF435" s="78" t="str">
        <f t="shared" si="147"/>
        <v>Tipo 1 (≤0,25) uT</v>
      </c>
      <c r="BG435" s="78" t="str">
        <f t="shared" si="148"/>
        <v>Tipo 1 (≤0,25) uT</v>
      </c>
    </row>
    <row r="436" spans="1:59" x14ac:dyDescent="0.2">
      <c r="A436" s="21">
        <v>46172</v>
      </c>
      <c r="B436" s="48">
        <v>0.14583333333333334</v>
      </c>
      <c r="C436" s="57">
        <v>1078</v>
      </c>
      <c r="D436" s="57">
        <v>90</v>
      </c>
      <c r="E436" s="57">
        <v>550</v>
      </c>
      <c r="F436" s="57">
        <v>1811</v>
      </c>
      <c r="G436" s="10" t="s">
        <v>78</v>
      </c>
      <c r="H436" s="63">
        <v>7.3</v>
      </c>
      <c r="I436" s="57">
        <v>90</v>
      </c>
      <c r="J436" s="57">
        <v>90</v>
      </c>
      <c r="K436" s="57">
        <v>90</v>
      </c>
      <c r="L436" s="63">
        <v>22.9</v>
      </c>
      <c r="M436" s="63">
        <v>6.7</v>
      </c>
      <c r="N436" s="36">
        <v>3.68</v>
      </c>
      <c r="O436" s="57">
        <v>11</v>
      </c>
      <c r="P436" s="63">
        <v>7.4</v>
      </c>
      <c r="Q436" s="36">
        <v>7.0000000000000007E-2</v>
      </c>
      <c r="R436" s="36">
        <v>22.36</v>
      </c>
      <c r="S436" s="36">
        <v>0.88</v>
      </c>
      <c r="T436" s="36">
        <v>0.7</v>
      </c>
      <c r="U436" s="42">
        <f t="shared" si="149"/>
        <v>1385.415</v>
      </c>
      <c r="V436" s="36">
        <f t="shared" si="150"/>
        <v>1375.1825510799999</v>
      </c>
      <c r="W436" s="36">
        <f t="shared" si="151"/>
        <v>0.9926141633229032</v>
      </c>
      <c r="X436" s="57">
        <v>2</v>
      </c>
      <c r="Y436" s="57">
        <v>4</v>
      </c>
      <c r="Z436" s="63">
        <v>6.51</v>
      </c>
      <c r="AA436" s="57">
        <v>17</v>
      </c>
      <c r="AB436" s="63">
        <v>6.5</v>
      </c>
      <c r="AC436" s="63">
        <v>11.9</v>
      </c>
      <c r="AD436" s="10">
        <v>0.16</v>
      </c>
      <c r="AE436" s="36">
        <v>0.24</v>
      </c>
      <c r="AF436" s="42">
        <f t="shared" si="152"/>
        <v>1847.22</v>
      </c>
      <c r="AG436" s="42">
        <f t="shared" si="153"/>
        <v>1364.9976962960002</v>
      </c>
      <c r="AH436" s="42">
        <f t="shared" si="154"/>
        <v>0.73894701026190712</v>
      </c>
      <c r="AI436" s="57">
        <v>2</v>
      </c>
      <c r="AJ436" s="57">
        <v>3</v>
      </c>
      <c r="AK436" s="36">
        <v>4.9400000000000004</v>
      </c>
      <c r="AL436" s="36">
        <v>24.1</v>
      </c>
      <c r="AM436" s="63">
        <v>6.5</v>
      </c>
      <c r="AN436" s="63">
        <v>9.3000000000000007</v>
      </c>
      <c r="AO436" s="36">
        <v>0.28999999999999998</v>
      </c>
      <c r="AP436" s="68">
        <v>0.21</v>
      </c>
      <c r="AQ436" s="73">
        <f t="shared" si="132"/>
        <v>1718</v>
      </c>
      <c r="AR436" s="75">
        <f t="shared" si="133"/>
        <v>0.62747380675203723</v>
      </c>
      <c r="AS436" s="75">
        <f t="shared" si="134"/>
        <v>5.2386495925494762E-2</v>
      </c>
      <c r="AT436" s="75">
        <f t="shared" si="135"/>
        <v>0.320139697322468</v>
      </c>
      <c r="AU436" s="26">
        <f t="shared" si="136"/>
        <v>7.5096631695196023E-2</v>
      </c>
      <c r="AV436" s="26">
        <f t="shared" si="137"/>
        <v>7.9845389287686377E-2</v>
      </c>
      <c r="AW436" s="24">
        <f t="shared" si="138"/>
        <v>0.94293478260869568</v>
      </c>
      <c r="AX436" s="24">
        <f t="shared" si="139"/>
        <v>0.93478260869565222</v>
      </c>
      <c r="AY436" s="77" t="str">
        <f t="shared" si="140"/>
        <v>5,0 ≤ Alc. Bruta &lt; 7,5 mg/L</v>
      </c>
      <c r="AZ436" s="77" t="str">
        <f t="shared" si="141"/>
        <v>10 ≤ Cor &lt;15 uC</v>
      </c>
      <c r="BA436" s="78" t="str">
        <f t="shared" si="142"/>
        <v>2,5 ≤ Turb &lt; 5,0 uT</v>
      </c>
      <c r="BB436" s="79" t="str">
        <f t="shared" si="143"/>
        <v>TOR &gt; BNN &gt; SM</v>
      </c>
      <c r="BC436" s="78" t="str">
        <f t="shared" si="144"/>
        <v>Tipo 1 (≤0,25) uT</v>
      </c>
      <c r="BD436" s="78" t="str">
        <f t="shared" si="145"/>
        <v>Tipo 2 (0,25-0,50) uT</v>
      </c>
      <c r="BE436" s="78" t="str">
        <f t="shared" si="146"/>
        <v>Tipo 1 (≤0,25) uT</v>
      </c>
      <c r="BF436" s="78" t="str">
        <f t="shared" si="147"/>
        <v>Tipo 1 (≤0,25) uT</v>
      </c>
      <c r="BG436" s="78" t="str">
        <f t="shared" si="148"/>
        <v>Tipo 1 (≤0,25) uT</v>
      </c>
    </row>
    <row r="437" spans="1:59" ht="15.75" thickBot="1" x14ac:dyDescent="0.25">
      <c r="A437" s="21">
        <v>46172</v>
      </c>
      <c r="B437" s="51">
        <v>0.22916666666666666</v>
      </c>
      <c r="C437" s="58">
        <v>1145</v>
      </c>
      <c r="D437" s="58">
        <v>80</v>
      </c>
      <c r="E437" s="58">
        <v>550</v>
      </c>
      <c r="F437" s="58">
        <v>1799</v>
      </c>
      <c r="G437" s="11" t="s">
        <v>78</v>
      </c>
      <c r="H437" s="64">
        <v>7.3</v>
      </c>
      <c r="I437" s="58">
        <v>90</v>
      </c>
      <c r="J437" s="58">
        <v>90</v>
      </c>
      <c r="K437" s="58">
        <v>90</v>
      </c>
      <c r="L437" s="64">
        <v>22.7</v>
      </c>
      <c r="M437" s="64">
        <v>6.8</v>
      </c>
      <c r="N437" s="37">
        <v>3.21</v>
      </c>
      <c r="O437" s="58">
        <v>10</v>
      </c>
      <c r="P437" s="64">
        <v>7.1</v>
      </c>
      <c r="Q437" s="37">
        <v>7.0000000000000007E-2</v>
      </c>
      <c r="R437" s="36">
        <v>22.36</v>
      </c>
      <c r="S437" s="36">
        <v>0.88</v>
      </c>
      <c r="T437" s="36">
        <v>0.7</v>
      </c>
      <c r="U437" s="42">
        <f t="shared" si="149"/>
        <v>1270.54375</v>
      </c>
      <c r="V437" s="36">
        <f t="shared" si="150"/>
        <v>1375.1825510799999</v>
      </c>
      <c r="W437" s="36">
        <f t="shared" si="151"/>
        <v>1.0823574954266628</v>
      </c>
      <c r="X437" s="58">
        <v>2</v>
      </c>
      <c r="Y437" s="58">
        <v>4</v>
      </c>
      <c r="Z437" s="64">
        <v>6.51</v>
      </c>
      <c r="AA437" s="58">
        <v>17</v>
      </c>
      <c r="AB437" s="64">
        <v>6.5</v>
      </c>
      <c r="AC437" s="64">
        <v>9.4</v>
      </c>
      <c r="AD437" s="11">
        <v>0.24</v>
      </c>
      <c r="AE437" s="37">
        <v>0.23</v>
      </c>
      <c r="AF437" s="42">
        <f t="shared" si="152"/>
        <v>1694.0583333333334</v>
      </c>
      <c r="AG437" s="42">
        <f t="shared" si="153"/>
        <v>1359.0362698639997</v>
      </c>
      <c r="AH437" s="42">
        <f t="shared" si="154"/>
        <v>0.80223699687476302</v>
      </c>
      <c r="AI437" s="58">
        <v>2</v>
      </c>
      <c r="AJ437" s="58">
        <v>3</v>
      </c>
      <c r="AK437" s="37">
        <v>4.97</v>
      </c>
      <c r="AL437" s="37">
        <v>23.8</v>
      </c>
      <c r="AM437" s="64">
        <v>6.5</v>
      </c>
      <c r="AN437" s="64">
        <v>8.6</v>
      </c>
      <c r="AO437" s="37">
        <v>0.23</v>
      </c>
      <c r="AP437" s="69">
        <v>0.21</v>
      </c>
      <c r="AQ437" s="73">
        <f t="shared" si="132"/>
        <v>1775</v>
      </c>
      <c r="AR437" s="75">
        <f t="shared" si="133"/>
        <v>0.6450704225352113</v>
      </c>
      <c r="AS437" s="75">
        <f t="shared" si="134"/>
        <v>4.507042253521127E-2</v>
      </c>
      <c r="AT437" s="75">
        <f t="shared" si="135"/>
        <v>0.30985915492957744</v>
      </c>
      <c r="AU437" s="26">
        <f t="shared" si="136"/>
        <v>7.5597554196775982E-2</v>
      </c>
      <c r="AV437" s="26">
        <f t="shared" si="137"/>
        <v>7.9377431906614795E-2</v>
      </c>
      <c r="AW437" s="24">
        <f t="shared" si="138"/>
        <v>0.93457943925233644</v>
      </c>
      <c r="AX437" s="24">
        <f t="shared" si="139"/>
        <v>0.92834890965732086</v>
      </c>
      <c r="AY437" s="77" t="str">
        <f t="shared" si="140"/>
        <v>5,0 ≤ Alc. Bruta &lt; 7,5 mg/L</v>
      </c>
      <c r="AZ437" s="77" t="str">
        <f t="shared" si="141"/>
        <v>10 ≤ Cor &lt;15 uC</v>
      </c>
      <c r="BA437" s="78" t="str">
        <f t="shared" si="142"/>
        <v>2,5 ≤ Turb &lt; 5,0 uT</v>
      </c>
      <c r="BB437" s="79" t="str">
        <f t="shared" si="143"/>
        <v>TOR &gt; BNN &gt; SM</v>
      </c>
      <c r="BC437" s="78" t="str">
        <f t="shared" si="144"/>
        <v>Tipo 1 (≤0,25) uT</v>
      </c>
      <c r="BD437" s="78" t="str">
        <f t="shared" si="145"/>
        <v>Tipo 1 (≤0,25) uT</v>
      </c>
      <c r="BE437" s="78" t="str">
        <f t="shared" si="146"/>
        <v>Tipo 1 (≤0,25) uT</v>
      </c>
      <c r="BF437" s="78" t="str">
        <f t="shared" si="147"/>
        <v>Tipo 1 (≤0,25) uT</v>
      </c>
      <c r="BG437" s="78" t="str">
        <f t="shared" si="148"/>
        <v>Tipo 1 (≤0,25) uT</v>
      </c>
    </row>
    <row r="438" spans="1:59" x14ac:dyDescent="0.2">
      <c r="A438" s="21">
        <v>46172</v>
      </c>
      <c r="B438" s="52">
        <v>0.3125</v>
      </c>
      <c r="C438" s="59">
        <v>1102</v>
      </c>
      <c r="D438" s="57">
        <v>95</v>
      </c>
      <c r="E438" s="59">
        <v>549</v>
      </c>
      <c r="F438" s="59">
        <v>1869</v>
      </c>
      <c r="G438" s="9" t="s">
        <v>78</v>
      </c>
      <c r="H438" s="65">
        <v>7.3</v>
      </c>
      <c r="I438" s="59">
        <v>90</v>
      </c>
      <c r="J438" s="59">
        <v>90</v>
      </c>
      <c r="K438" s="59">
        <v>90</v>
      </c>
      <c r="L438" s="65">
        <v>22.3</v>
      </c>
      <c r="M438" s="65">
        <v>6.8</v>
      </c>
      <c r="N438" s="38">
        <v>2.76</v>
      </c>
      <c r="O438" s="59">
        <v>13</v>
      </c>
      <c r="P438" s="65">
        <v>7.4</v>
      </c>
      <c r="Q438" s="38">
        <v>7.0000000000000007E-2</v>
      </c>
      <c r="R438" s="36">
        <v>22.36</v>
      </c>
      <c r="S438" s="36">
        <v>0.88</v>
      </c>
      <c r="T438" s="36">
        <v>0.7</v>
      </c>
      <c r="U438" s="42">
        <f t="shared" si="149"/>
        <v>1214.8499999999999</v>
      </c>
      <c r="V438" s="36">
        <f t="shared" si="150"/>
        <v>1415.6290966999998</v>
      </c>
      <c r="W438" s="36">
        <f t="shared" si="151"/>
        <v>1.1652706891385767</v>
      </c>
      <c r="X438" s="59">
        <v>2</v>
      </c>
      <c r="Y438" s="59">
        <v>4</v>
      </c>
      <c r="Z438" s="65">
        <v>6.51</v>
      </c>
      <c r="AA438" s="59">
        <v>17.5</v>
      </c>
      <c r="AB438" s="65">
        <v>6.6</v>
      </c>
      <c r="AC438" s="65">
        <v>5.2</v>
      </c>
      <c r="AD438" s="9">
        <v>0.15</v>
      </c>
      <c r="AE438" s="38">
        <v>0.19</v>
      </c>
      <c r="AF438" s="42">
        <f t="shared" si="152"/>
        <v>1619.7999999999997</v>
      </c>
      <c r="AG438" s="42">
        <f t="shared" si="153"/>
        <v>1935.6305806551998</v>
      </c>
      <c r="AH438" s="42">
        <f t="shared" si="154"/>
        <v>1.1949812203081862</v>
      </c>
      <c r="AI438" s="59">
        <v>2</v>
      </c>
      <c r="AJ438" s="59">
        <v>3</v>
      </c>
      <c r="AK438" s="38">
        <v>6.49</v>
      </c>
      <c r="AL438" s="38">
        <v>24.02</v>
      </c>
      <c r="AM438" s="65">
        <v>6.7</v>
      </c>
      <c r="AN438" s="65">
        <v>5.5</v>
      </c>
      <c r="AO438" s="38">
        <v>0.13</v>
      </c>
      <c r="AP438" s="70">
        <v>0.2</v>
      </c>
      <c r="AQ438" s="73">
        <f t="shared" si="132"/>
        <v>1746</v>
      </c>
      <c r="AR438" s="75">
        <f t="shared" si="133"/>
        <v>0.63115693012600227</v>
      </c>
      <c r="AS438" s="75">
        <f t="shared" si="134"/>
        <v>5.4410080183276061E-2</v>
      </c>
      <c r="AT438" s="75">
        <f t="shared" si="135"/>
        <v>0.31443298969072164</v>
      </c>
      <c r="AU438" s="26">
        <f t="shared" si="136"/>
        <v>7.4906367041198504E-2</v>
      </c>
      <c r="AV438" s="26">
        <f t="shared" si="137"/>
        <v>7.7110754414125196E-2</v>
      </c>
      <c r="AW438" s="24">
        <f t="shared" si="138"/>
        <v>0.92753623188405798</v>
      </c>
      <c r="AX438" s="24">
        <f t="shared" si="139"/>
        <v>0.9311594202898551</v>
      </c>
      <c r="AY438" s="77" t="str">
        <f t="shared" si="140"/>
        <v>5,0 ≤ Alc. Bruta &lt; 7,5 mg/L</v>
      </c>
      <c r="AZ438" s="77" t="str">
        <f t="shared" si="141"/>
        <v>10 ≤ Cor &lt;15 uC</v>
      </c>
      <c r="BA438" s="78" t="str">
        <f t="shared" si="142"/>
        <v>2,5 ≤ Turb &lt; 5,0 uT</v>
      </c>
      <c r="BB438" s="79" t="str">
        <f t="shared" si="143"/>
        <v>TOR &gt; BNN &gt; SM</v>
      </c>
      <c r="BC438" s="78" t="str">
        <f t="shared" si="144"/>
        <v>Tipo 1 (≤0,25) uT</v>
      </c>
      <c r="BD438" s="78" t="str">
        <f t="shared" si="145"/>
        <v>Tipo 1 (≤0,25) uT</v>
      </c>
      <c r="BE438" s="78" t="str">
        <f t="shared" si="146"/>
        <v>Tipo 1 (≤0,25) uT</v>
      </c>
      <c r="BF438" s="78" t="str">
        <f t="shared" si="147"/>
        <v>Tipo 1 (≤0,25) uT</v>
      </c>
      <c r="BG438" s="78" t="str">
        <f t="shared" si="148"/>
        <v>Tipo 1 (≤0,25) uT</v>
      </c>
    </row>
    <row r="439" spans="1:59" x14ac:dyDescent="0.2">
      <c r="A439" s="21">
        <v>46172</v>
      </c>
      <c r="B439" s="48">
        <v>0.39583333333333331</v>
      </c>
      <c r="C439" s="57">
        <v>1132</v>
      </c>
      <c r="D439" s="57">
        <v>82</v>
      </c>
      <c r="E439" s="57">
        <v>550</v>
      </c>
      <c r="F439" s="57">
        <v>1892</v>
      </c>
      <c r="G439" s="10" t="s">
        <v>78</v>
      </c>
      <c r="H439" s="63">
        <v>7.3</v>
      </c>
      <c r="I439" s="57">
        <v>90</v>
      </c>
      <c r="J439" s="57">
        <v>90</v>
      </c>
      <c r="K439" s="57">
        <v>90</v>
      </c>
      <c r="L439" s="63">
        <v>22.4</v>
      </c>
      <c r="M439" s="63">
        <v>6.8</v>
      </c>
      <c r="N439" s="36">
        <v>2.81</v>
      </c>
      <c r="O439" s="57">
        <v>12</v>
      </c>
      <c r="P439" s="63">
        <v>7.2</v>
      </c>
      <c r="Q439" s="36">
        <v>0.06</v>
      </c>
      <c r="R439" s="36">
        <v>22.36</v>
      </c>
      <c r="S439" s="36">
        <v>0.88</v>
      </c>
      <c r="T439" s="36">
        <v>0.7</v>
      </c>
      <c r="U439" s="42">
        <f t="shared" si="149"/>
        <v>1241.625</v>
      </c>
      <c r="V439" s="36">
        <f t="shared" si="150"/>
        <v>1391.1261813800002</v>
      </c>
      <c r="W439" s="36">
        <f t="shared" si="151"/>
        <v>1.1204076765367967</v>
      </c>
      <c r="X439" s="57">
        <v>2</v>
      </c>
      <c r="Y439" s="57">
        <v>4</v>
      </c>
      <c r="Z439" s="63">
        <v>6.5</v>
      </c>
      <c r="AA439" s="57">
        <v>17.23</v>
      </c>
      <c r="AB439" s="63">
        <v>6.7</v>
      </c>
      <c r="AC439" s="63">
        <v>5.7</v>
      </c>
      <c r="AD439" s="10">
        <v>0.13</v>
      </c>
      <c r="AE439" s="36">
        <v>0.19</v>
      </c>
      <c r="AF439" s="42">
        <f t="shared" si="152"/>
        <v>1655.5</v>
      </c>
      <c r="AG439" s="42">
        <f t="shared" si="153"/>
        <v>1934.3327342559999</v>
      </c>
      <c r="AH439" s="42">
        <f t="shared" si="154"/>
        <v>1.1684281088831168</v>
      </c>
      <c r="AI439" s="57">
        <v>2</v>
      </c>
      <c r="AJ439" s="57">
        <v>3</v>
      </c>
      <c r="AK439" s="36">
        <v>6.48</v>
      </c>
      <c r="AL439" s="36">
        <v>24.05</v>
      </c>
      <c r="AM439" s="63">
        <v>6.7</v>
      </c>
      <c r="AN439" s="63">
        <v>5.6</v>
      </c>
      <c r="AO439" s="36">
        <v>0.14000000000000001</v>
      </c>
      <c r="AP439" s="68">
        <v>0.2</v>
      </c>
      <c r="AQ439" s="73">
        <f t="shared" si="132"/>
        <v>1764</v>
      </c>
      <c r="AR439" s="75">
        <f t="shared" si="133"/>
        <v>0.64172335600907027</v>
      </c>
      <c r="AS439" s="75">
        <f t="shared" si="134"/>
        <v>4.6485260770975055E-2</v>
      </c>
      <c r="AT439" s="75">
        <f t="shared" si="135"/>
        <v>0.31179138321995464</v>
      </c>
      <c r="AU439" s="26">
        <f t="shared" si="136"/>
        <v>7.2854122621564488E-2</v>
      </c>
      <c r="AV439" s="26">
        <f t="shared" si="137"/>
        <v>7.6268498942917554E-2</v>
      </c>
      <c r="AW439" s="24">
        <f t="shared" si="138"/>
        <v>0.92882562277580072</v>
      </c>
      <c r="AX439" s="24">
        <f t="shared" si="139"/>
        <v>0.93238434163701067</v>
      </c>
      <c r="AY439" s="77" t="str">
        <f t="shared" si="140"/>
        <v>5,0 ≤ Alc. Bruta &lt; 7,5 mg/L</v>
      </c>
      <c r="AZ439" s="77" t="str">
        <f t="shared" si="141"/>
        <v>10 ≤ Cor &lt;15 uC</v>
      </c>
      <c r="BA439" s="78" t="str">
        <f t="shared" si="142"/>
        <v>2,5 ≤ Turb &lt; 5,0 uT</v>
      </c>
      <c r="BB439" s="79" t="str">
        <f t="shared" si="143"/>
        <v>TOR &gt; BNN &gt; SM</v>
      </c>
      <c r="BC439" s="78" t="str">
        <f t="shared" si="144"/>
        <v>Tipo 1 (≤0,25) uT</v>
      </c>
      <c r="BD439" s="78" t="str">
        <f t="shared" si="145"/>
        <v>Tipo 1 (≤0,25) uT</v>
      </c>
      <c r="BE439" s="78" t="str">
        <f t="shared" si="146"/>
        <v>Tipo 1 (≤0,25) uT</v>
      </c>
      <c r="BF439" s="78" t="str">
        <f t="shared" si="147"/>
        <v>Tipo 1 (≤0,25) uT</v>
      </c>
      <c r="BG439" s="78" t="str">
        <f t="shared" si="148"/>
        <v>Tipo 1 (≤0,25) uT</v>
      </c>
    </row>
    <row r="440" spans="1:59" x14ac:dyDescent="0.2">
      <c r="A440" s="21">
        <v>46172</v>
      </c>
      <c r="B440" s="48">
        <v>0.47916666666666669</v>
      </c>
      <c r="C440" s="57">
        <v>1153</v>
      </c>
      <c r="D440" s="57">
        <v>82</v>
      </c>
      <c r="E440" s="57">
        <v>549</v>
      </c>
      <c r="F440" s="57">
        <v>1884</v>
      </c>
      <c r="G440" s="10" t="s">
        <v>78</v>
      </c>
      <c r="H440" s="63">
        <v>7.3</v>
      </c>
      <c r="I440" s="57">
        <v>90</v>
      </c>
      <c r="J440" s="57">
        <v>90</v>
      </c>
      <c r="K440" s="57">
        <v>90</v>
      </c>
      <c r="L440" s="63">
        <v>22.5</v>
      </c>
      <c r="M440" s="63">
        <v>6.8</v>
      </c>
      <c r="N440" s="36">
        <v>2.68</v>
      </c>
      <c r="O440" s="57">
        <v>11</v>
      </c>
      <c r="P440" s="63">
        <v>7.3</v>
      </c>
      <c r="Q440" s="36">
        <v>0.06</v>
      </c>
      <c r="R440" s="36">
        <v>22.36</v>
      </c>
      <c r="S440" s="36">
        <v>0.88</v>
      </c>
      <c r="T440" s="36">
        <v>0.7</v>
      </c>
      <c r="U440" s="42">
        <f t="shared" si="149"/>
        <v>1205.76</v>
      </c>
      <c r="V440" s="36">
        <f t="shared" si="150"/>
        <v>1416.1639563968001</v>
      </c>
      <c r="W440" s="36">
        <f t="shared" si="151"/>
        <v>1.174499034962845</v>
      </c>
      <c r="X440" s="57">
        <v>2</v>
      </c>
      <c r="Y440" s="57">
        <v>4</v>
      </c>
      <c r="Z440" s="63">
        <v>6.53</v>
      </c>
      <c r="AA440" s="57">
        <v>17.440000000000001</v>
      </c>
      <c r="AB440" s="63">
        <v>6.7</v>
      </c>
      <c r="AC440" s="63">
        <v>5.4</v>
      </c>
      <c r="AD440" s="10">
        <v>0.14000000000000001</v>
      </c>
      <c r="AE440" s="36">
        <v>0.2</v>
      </c>
      <c r="AF440" s="42">
        <f t="shared" si="152"/>
        <v>1607.68</v>
      </c>
      <c r="AG440" s="42">
        <f t="shared" si="153"/>
        <v>1927.1849331799999</v>
      </c>
      <c r="AH440" s="42">
        <f t="shared" si="154"/>
        <v>1.1987366473303145</v>
      </c>
      <c r="AI440" s="57">
        <v>2</v>
      </c>
      <c r="AJ440" s="57">
        <v>3</v>
      </c>
      <c r="AK440" s="36">
        <v>6.45</v>
      </c>
      <c r="AL440" s="36">
        <v>24.1</v>
      </c>
      <c r="AM440" s="63">
        <v>6.7</v>
      </c>
      <c r="AN440" s="63">
        <v>5.6</v>
      </c>
      <c r="AO440" s="36">
        <v>0.17</v>
      </c>
      <c r="AP440" s="68">
        <v>0.34</v>
      </c>
      <c r="AQ440" s="73">
        <f t="shared" si="132"/>
        <v>1784</v>
      </c>
      <c r="AR440" s="75">
        <f t="shared" si="133"/>
        <v>0.64630044843049328</v>
      </c>
      <c r="AS440" s="75">
        <f t="shared" si="134"/>
        <v>4.5964125560538117E-2</v>
      </c>
      <c r="AT440" s="75">
        <f t="shared" si="135"/>
        <v>0.30773542600896858</v>
      </c>
      <c r="AU440" s="26">
        <f t="shared" si="136"/>
        <v>7.4055201698513803E-2</v>
      </c>
      <c r="AV440" s="26">
        <f t="shared" si="137"/>
        <v>7.6751592356687909E-2</v>
      </c>
      <c r="AW440" s="24">
        <f t="shared" si="138"/>
        <v>0.87313432835820892</v>
      </c>
      <c r="AX440" s="24">
        <f t="shared" si="139"/>
        <v>0.92537313432835822</v>
      </c>
      <c r="AY440" s="77" t="str">
        <f t="shared" si="140"/>
        <v>5,0 ≤ Alc. Bruta &lt; 7,5 mg/L</v>
      </c>
      <c r="AZ440" s="77" t="str">
        <f t="shared" si="141"/>
        <v>10 ≤ Cor &lt;15 uC</v>
      </c>
      <c r="BA440" s="78" t="str">
        <f t="shared" si="142"/>
        <v>2,5 ≤ Turb &lt; 5,0 uT</v>
      </c>
      <c r="BB440" s="79" t="str">
        <f t="shared" si="143"/>
        <v>TOR &gt; BNN &gt; SM</v>
      </c>
      <c r="BC440" s="78" t="str">
        <f t="shared" si="144"/>
        <v>Tipo 1 (≤0,25) uT</v>
      </c>
      <c r="BD440" s="78" t="str">
        <f t="shared" si="145"/>
        <v>Tipo 1 (≤0,25) uT</v>
      </c>
      <c r="BE440" s="78" t="str">
        <f t="shared" si="146"/>
        <v>Tipo 1 (≤0,25) uT</v>
      </c>
      <c r="BF440" s="78" t="str">
        <f t="shared" si="147"/>
        <v>Tipo 2 (0,25-0,50) uT</v>
      </c>
      <c r="BG440" s="78" t="str">
        <f t="shared" si="148"/>
        <v>Tipo 1 (≤0,25) uT</v>
      </c>
    </row>
    <row r="441" spans="1:59" x14ac:dyDescent="0.2">
      <c r="A441" s="21">
        <v>46172</v>
      </c>
      <c r="B441" s="48">
        <v>0.64583333333333337</v>
      </c>
      <c r="C441" s="57">
        <v>1872</v>
      </c>
      <c r="D441" s="57">
        <v>82</v>
      </c>
      <c r="E441" s="57">
        <v>550</v>
      </c>
      <c r="F441" s="57">
        <v>1208</v>
      </c>
      <c r="G441" s="10" t="s">
        <v>78</v>
      </c>
      <c r="H441" s="63">
        <v>7.3</v>
      </c>
      <c r="I441" s="57">
        <v>90</v>
      </c>
      <c r="J441" s="57">
        <v>90</v>
      </c>
      <c r="K441" s="57">
        <v>90</v>
      </c>
      <c r="L441" s="63">
        <v>22.9</v>
      </c>
      <c r="M441" s="63">
        <v>6.7</v>
      </c>
      <c r="N441" s="36">
        <v>2.5</v>
      </c>
      <c r="O441" s="57">
        <v>12</v>
      </c>
      <c r="P441" s="63">
        <v>7.6</v>
      </c>
      <c r="Q441" s="36">
        <v>7.0000000000000007E-2</v>
      </c>
      <c r="R441" s="36">
        <v>22.36</v>
      </c>
      <c r="S441" s="36">
        <v>0.88</v>
      </c>
      <c r="T441" s="36">
        <v>0.7</v>
      </c>
      <c r="U441" s="42">
        <f t="shared" si="149"/>
        <v>745.93999999999994</v>
      </c>
      <c r="V441" s="36">
        <f t="shared" si="150"/>
        <v>1364.8909147743998</v>
      </c>
      <c r="W441" s="36">
        <f t="shared" si="151"/>
        <v>1.8297596519484138</v>
      </c>
      <c r="X441" s="57">
        <v>2</v>
      </c>
      <c r="Y441" s="57">
        <v>4</v>
      </c>
      <c r="Z441" s="63">
        <v>6.48</v>
      </c>
      <c r="AA441" s="57">
        <v>16.97</v>
      </c>
      <c r="AB441" s="63">
        <v>6.6</v>
      </c>
      <c r="AC441" s="63">
        <v>5.5</v>
      </c>
      <c r="AD441" s="10">
        <v>0.21</v>
      </c>
      <c r="AE441" s="36">
        <v>0.19</v>
      </c>
      <c r="AF441" s="42">
        <f t="shared" si="152"/>
        <v>994.58666666666659</v>
      </c>
      <c r="AG441" s="42">
        <f t="shared" si="153"/>
        <v>1914.9593120527993</v>
      </c>
      <c r="AH441" s="42">
        <f t="shared" si="154"/>
        <v>1.9253820468665035</v>
      </c>
      <c r="AI441" s="57">
        <v>2</v>
      </c>
      <c r="AJ441" s="57">
        <v>3</v>
      </c>
      <c r="AK441" s="36">
        <v>6.43</v>
      </c>
      <c r="AL441" s="36">
        <v>24.04</v>
      </c>
      <c r="AM441" s="63">
        <v>6.8</v>
      </c>
      <c r="AN441" s="63">
        <v>6.2</v>
      </c>
      <c r="AO441" s="36">
        <v>0.12</v>
      </c>
      <c r="AP441" s="68">
        <v>0.23</v>
      </c>
      <c r="AQ441" s="73">
        <f t="shared" si="132"/>
        <v>2504</v>
      </c>
      <c r="AR441" s="75">
        <f t="shared" si="133"/>
        <v>0.74760383386581475</v>
      </c>
      <c r="AS441" s="75">
        <f t="shared" si="134"/>
        <v>3.2747603833865817E-2</v>
      </c>
      <c r="AT441" s="75">
        <f t="shared" si="135"/>
        <v>0.21964856230031948</v>
      </c>
      <c r="AU441" s="26">
        <f t="shared" si="136"/>
        <v>0.11238410596026489</v>
      </c>
      <c r="AV441" s="26">
        <f t="shared" si="137"/>
        <v>0.11940397350993376</v>
      </c>
      <c r="AW441" s="24">
        <f t="shared" si="138"/>
        <v>0.90800000000000003</v>
      </c>
      <c r="AX441" s="24">
        <f t="shared" si="139"/>
        <v>0.92400000000000004</v>
      </c>
      <c r="AY441" s="77" t="str">
        <f t="shared" si="140"/>
        <v>7,5 ≤ Alc. Bruta &lt; 10,0 mg/L</v>
      </c>
      <c r="AZ441" s="77" t="str">
        <f t="shared" si="141"/>
        <v>10 ≤ Cor &lt;15 uC</v>
      </c>
      <c r="BA441" s="78" t="str">
        <f t="shared" si="142"/>
        <v>2,5 ≤ Turb &lt; 5,0 uT</v>
      </c>
      <c r="BB441" s="79" t="str">
        <f t="shared" si="143"/>
        <v>TOR &gt; BNN &gt; SM</v>
      </c>
      <c r="BC441" s="78" t="str">
        <f t="shared" si="144"/>
        <v>Tipo 1 (≤0,25) uT</v>
      </c>
      <c r="BD441" s="78" t="str">
        <f t="shared" si="145"/>
        <v>Tipo 1 (≤0,25) uT</v>
      </c>
      <c r="BE441" s="78" t="str">
        <f t="shared" si="146"/>
        <v>Tipo 1 (≤0,25) uT</v>
      </c>
      <c r="BF441" s="78" t="str">
        <f t="shared" si="147"/>
        <v>Tipo 1 (≤0,25) uT</v>
      </c>
      <c r="BG441" s="78" t="str">
        <f t="shared" si="148"/>
        <v>Tipo 1 (≤0,25) uT</v>
      </c>
    </row>
    <row r="442" spans="1:59" x14ac:dyDescent="0.2">
      <c r="A442" s="21">
        <v>46172</v>
      </c>
      <c r="B442" s="48">
        <v>0.72916666666666663</v>
      </c>
      <c r="C442" s="57">
        <v>1802</v>
      </c>
      <c r="D442" s="57">
        <v>76</v>
      </c>
      <c r="E442" s="57">
        <v>550</v>
      </c>
      <c r="F442" s="57">
        <v>1156</v>
      </c>
      <c r="G442" s="10" t="s">
        <v>78</v>
      </c>
      <c r="H442" s="63">
        <v>7.3</v>
      </c>
      <c r="I442" s="57">
        <v>90</v>
      </c>
      <c r="J442" s="57">
        <v>90</v>
      </c>
      <c r="K442" s="57">
        <v>90</v>
      </c>
      <c r="L442" s="63">
        <v>23</v>
      </c>
      <c r="M442" s="63">
        <v>6.8</v>
      </c>
      <c r="N442" s="36">
        <v>2.46</v>
      </c>
      <c r="O442" s="57">
        <v>11</v>
      </c>
      <c r="P442" s="63">
        <v>7.6</v>
      </c>
      <c r="Q442" s="36">
        <v>7.0000000000000007E-2</v>
      </c>
      <c r="R442" s="36">
        <v>22.36</v>
      </c>
      <c r="S442" s="36">
        <v>0.88</v>
      </c>
      <c r="T442" s="36">
        <v>0.7</v>
      </c>
      <c r="U442" s="42">
        <f t="shared" si="149"/>
        <v>708.05000000000007</v>
      </c>
      <c r="V442" s="36">
        <f t="shared" si="150"/>
        <v>1387.1272514528</v>
      </c>
      <c r="W442" s="36">
        <f t="shared" si="151"/>
        <v>1.9590809285400748</v>
      </c>
      <c r="X442" s="57">
        <v>2</v>
      </c>
      <c r="Y442" s="57">
        <v>4</v>
      </c>
      <c r="Z442" s="63">
        <v>6.44</v>
      </c>
      <c r="AA442" s="57">
        <v>17.38</v>
      </c>
      <c r="AB442" s="63">
        <v>6.7</v>
      </c>
      <c r="AC442" s="63">
        <v>5.3</v>
      </c>
      <c r="AD442" s="10">
        <v>0.17</v>
      </c>
      <c r="AE442" s="36">
        <v>0.19</v>
      </c>
      <c r="AF442" s="42">
        <f t="shared" si="152"/>
        <v>944.06666666666672</v>
      </c>
      <c r="AG442" s="42">
        <f t="shared" si="153"/>
        <v>1931.9198451903997</v>
      </c>
      <c r="AH442" s="42">
        <f t="shared" si="154"/>
        <v>2.0463807413216575</v>
      </c>
      <c r="AI442" s="57">
        <v>2</v>
      </c>
      <c r="AJ442" s="57">
        <v>3</v>
      </c>
      <c r="AK442" s="36">
        <v>6.48</v>
      </c>
      <c r="AL442" s="36">
        <v>24.02</v>
      </c>
      <c r="AM442" s="63">
        <v>6.7</v>
      </c>
      <c r="AN442" s="63">
        <v>6</v>
      </c>
      <c r="AO442" s="36">
        <v>0.14000000000000001</v>
      </c>
      <c r="AP442" s="68">
        <v>0.21</v>
      </c>
      <c r="AQ442" s="73">
        <f t="shared" si="132"/>
        <v>2428</v>
      </c>
      <c r="AR442" s="75">
        <f t="shared" si="133"/>
        <v>0.74217462932454692</v>
      </c>
      <c r="AS442" s="75">
        <f t="shared" si="134"/>
        <v>3.130148270181219E-2</v>
      </c>
      <c r="AT442" s="75">
        <f t="shared" si="135"/>
        <v>0.22652388797364087</v>
      </c>
      <c r="AU442" s="26">
        <f t="shared" si="136"/>
        <v>0.12027681660899653</v>
      </c>
      <c r="AV442" s="26">
        <f t="shared" si="137"/>
        <v>0.12467128027681661</v>
      </c>
      <c r="AW442" s="24">
        <f t="shared" si="138"/>
        <v>0.91463414634146345</v>
      </c>
      <c r="AX442" s="24">
        <f t="shared" si="139"/>
        <v>0.92276422764227639</v>
      </c>
      <c r="AY442" s="77" t="str">
        <f t="shared" si="140"/>
        <v>7,5 ≤ Alc. Bruta &lt; 10,0 mg/L</v>
      </c>
      <c r="AZ442" s="77" t="str">
        <f t="shared" si="141"/>
        <v>10 ≤ Cor &lt;15 uC</v>
      </c>
      <c r="BA442" s="78" t="str">
        <f t="shared" si="142"/>
        <v>Turbidez &lt; 2,5 uT</v>
      </c>
      <c r="BB442" s="79" t="str">
        <f t="shared" si="143"/>
        <v>TOR &gt; BNN &gt; SM</v>
      </c>
      <c r="BC442" s="78" t="str">
        <f t="shared" si="144"/>
        <v>Tipo 1 (≤0,25) uT</v>
      </c>
      <c r="BD442" s="78" t="str">
        <f t="shared" si="145"/>
        <v>Tipo 1 (≤0,25) uT</v>
      </c>
      <c r="BE442" s="78" t="str">
        <f t="shared" si="146"/>
        <v>Tipo 1 (≤0,25) uT</v>
      </c>
      <c r="BF442" s="78" t="str">
        <f t="shared" si="147"/>
        <v>Tipo 1 (≤0,25) uT</v>
      </c>
      <c r="BG442" s="78" t="str">
        <f t="shared" si="148"/>
        <v>Tipo 1 (≤0,25) uT</v>
      </c>
    </row>
    <row r="443" spans="1:59" x14ac:dyDescent="0.2">
      <c r="A443" s="21">
        <v>46172</v>
      </c>
      <c r="B443" s="48">
        <v>0.8125</v>
      </c>
      <c r="C443" s="57">
        <v>551</v>
      </c>
      <c r="D443" s="57">
        <v>91</v>
      </c>
      <c r="E443" s="57">
        <v>581</v>
      </c>
      <c r="F443" s="57">
        <v>1273</v>
      </c>
      <c r="G443" s="10" t="s">
        <v>78</v>
      </c>
      <c r="H443" s="63">
        <v>7.3</v>
      </c>
      <c r="I443" s="57">
        <v>90</v>
      </c>
      <c r="J443" s="57">
        <v>90</v>
      </c>
      <c r="K443" s="57">
        <v>90</v>
      </c>
      <c r="L443" s="63">
        <v>22.8</v>
      </c>
      <c r="M443" s="63">
        <v>6.8</v>
      </c>
      <c r="N443" s="36">
        <v>2.68</v>
      </c>
      <c r="O443" s="57">
        <v>16</v>
      </c>
      <c r="P443" s="63">
        <v>7.2</v>
      </c>
      <c r="Q443" s="36">
        <v>7.0000000000000007E-2</v>
      </c>
      <c r="R443" s="36">
        <v>22.36</v>
      </c>
      <c r="S443" s="36">
        <v>0.88</v>
      </c>
      <c r="T443" s="36">
        <v>0.7</v>
      </c>
      <c r="U443" s="42">
        <f t="shared" si="149"/>
        <v>1629.44</v>
      </c>
      <c r="V443" s="36">
        <f t="shared" si="150"/>
        <v>1682.5339658399996</v>
      </c>
      <c r="W443" s="36">
        <f t="shared" si="151"/>
        <v>1.0325841797427335</v>
      </c>
      <c r="X443" s="57">
        <v>2</v>
      </c>
      <c r="Y443" s="57">
        <v>2</v>
      </c>
      <c r="Z443" s="63">
        <v>6.46</v>
      </c>
      <c r="AA443" s="57">
        <v>21</v>
      </c>
      <c r="AB443" s="63">
        <v>6.6</v>
      </c>
      <c r="AC443" s="63">
        <v>7.2</v>
      </c>
      <c r="AD443" s="10">
        <v>0.13</v>
      </c>
      <c r="AE443" s="36">
        <v>0.18</v>
      </c>
      <c r="AF443" s="42">
        <f t="shared" si="152"/>
        <v>1086.2933333333333</v>
      </c>
      <c r="AG443" s="42">
        <f t="shared" si="153"/>
        <v>1930.3112524799999</v>
      </c>
      <c r="AH443" s="42">
        <f t="shared" si="154"/>
        <v>1.7769705412411625</v>
      </c>
      <c r="AI443" s="57">
        <v>2</v>
      </c>
      <c r="AJ443" s="57">
        <v>3</v>
      </c>
      <c r="AK443" s="36">
        <v>6.48</v>
      </c>
      <c r="AL443" s="36">
        <v>24</v>
      </c>
      <c r="AM443" s="63">
        <v>6.5</v>
      </c>
      <c r="AN443" s="63">
        <v>7.4</v>
      </c>
      <c r="AO443" s="36">
        <v>0.18</v>
      </c>
      <c r="AP443" s="68">
        <v>0.25</v>
      </c>
      <c r="AQ443" s="73">
        <f t="shared" si="132"/>
        <v>1223</v>
      </c>
      <c r="AR443" s="75">
        <f t="shared" si="133"/>
        <v>0.45053147996729354</v>
      </c>
      <c r="AS443" s="75">
        <f t="shared" si="134"/>
        <v>7.4407195421095668E-2</v>
      </c>
      <c r="AT443" s="75">
        <f t="shared" si="135"/>
        <v>0.47506132461161077</v>
      </c>
      <c r="AU443" s="26">
        <f t="shared" si="136"/>
        <v>6.5985860172820113E-2</v>
      </c>
      <c r="AV443" s="26">
        <f t="shared" si="137"/>
        <v>0.11311861743912019</v>
      </c>
      <c r="AW443" s="24">
        <f t="shared" si="138"/>
        <v>0.90671641791044777</v>
      </c>
      <c r="AX443" s="24">
        <f t="shared" si="139"/>
        <v>0.93283582089552242</v>
      </c>
      <c r="AY443" s="77" t="str">
        <f t="shared" si="140"/>
        <v>5,0 ≤ Alc. Bruta &lt; 7,5 mg/L</v>
      </c>
      <c r="AZ443" s="77" t="str">
        <f t="shared" si="141"/>
        <v>15 ≤ Cor &lt; 30 uC</v>
      </c>
      <c r="BA443" s="78" t="str">
        <f t="shared" si="142"/>
        <v>2,5 ≤ Turb &lt; 5,0 uT</v>
      </c>
      <c r="BB443" s="79" t="str">
        <f t="shared" si="143"/>
        <v>Comb. diferentes</v>
      </c>
      <c r="BC443" s="78" t="str">
        <f t="shared" si="144"/>
        <v>Tipo 1 (≤0,25) uT</v>
      </c>
      <c r="BD443" s="78" t="str">
        <f t="shared" si="145"/>
        <v>Tipo 1 (≤0,25) uT</v>
      </c>
      <c r="BE443" s="78" t="str">
        <f t="shared" si="146"/>
        <v>Tipo 1 (≤0,25) uT</v>
      </c>
      <c r="BF443" s="78" t="str">
        <f t="shared" si="147"/>
        <v>Tipo 1 (≤0,25) uT</v>
      </c>
      <c r="BG443" s="78" t="str">
        <f t="shared" si="148"/>
        <v>Tipo 1 (≤0,25) uT</v>
      </c>
    </row>
    <row r="444" spans="1:59" x14ac:dyDescent="0.2">
      <c r="A444" s="21">
        <v>46172</v>
      </c>
      <c r="B444" s="48">
        <v>0.89583333333333337</v>
      </c>
      <c r="C444" s="57">
        <v>567</v>
      </c>
      <c r="D444" s="57">
        <v>89</v>
      </c>
      <c r="E444" s="57">
        <v>551</v>
      </c>
      <c r="F444" s="57">
        <v>1267</v>
      </c>
      <c r="G444" s="10" t="s">
        <v>78</v>
      </c>
      <c r="H444" s="63">
        <v>7.3</v>
      </c>
      <c r="I444" s="57">
        <v>90</v>
      </c>
      <c r="J444" s="57">
        <v>90</v>
      </c>
      <c r="K444" s="57">
        <v>90</v>
      </c>
      <c r="L444" s="63">
        <v>22.6</v>
      </c>
      <c r="M444" s="63">
        <v>6.9</v>
      </c>
      <c r="N444" s="36">
        <v>2.36</v>
      </c>
      <c r="O444" s="57">
        <v>16</v>
      </c>
      <c r="P444" s="63">
        <v>8.1</v>
      </c>
      <c r="Q444" s="36">
        <v>0.06</v>
      </c>
      <c r="R444" s="36">
        <v>22.36</v>
      </c>
      <c r="S444" s="36">
        <v>0.88</v>
      </c>
      <c r="T444" s="36">
        <v>0.7</v>
      </c>
      <c r="U444" s="42">
        <f t="shared" si="149"/>
        <v>1520.3999999999999</v>
      </c>
      <c r="V444" s="36">
        <f t="shared" si="150"/>
        <v>1599.3235959999997</v>
      </c>
      <c r="W444" s="36">
        <f t="shared" si="151"/>
        <v>1.051909757958432</v>
      </c>
      <c r="X444" s="57">
        <v>2</v>
      </c>
      <c r="Y444" s="57">
        <v>2</v>
      </c>
      <c r="Z444" s="63">
        <v>6.45</v>
      </c>
      <c r="AA444" s="57">
        <v>20</v>
      </c>
      <c r="AB444" s="63">
        <v>6.6</v>
      </c>
      <c r="AC444" s="63">
        <v>7.1</v>
      </c>
      <c r="AD444" s="10">
        <v>0.13</v>
      </c>
      <c r="AE444" s="36">
        <v>0.24</v>
      </c>
      <c r="AF444" s="42">
        <f t="shared" si="152"/>
        <v>1013.5999999999999</v>
      </c>
      <c r="AG444" s="42">
        <f t="shared" si="153"/>
        <v>1856.9879380000002</v>
      </c>
      <c r="AH444" s="42">
        <f t="shared" si="154"/>
        <v>1.8320717620363065</v>
      </c>
      <c r="AI444" s="57">
        <v>2</v>
      </c>
      <c r="AJ444" s="57">
        <v>3</v>
      </c>
      <c r="AK444" s="36">
        <v>6.5</v>
      </c>
      <c r="AL444" s="36">
        <v>23</v>
      </c>
      <c r="AM444" s="63">
        <v>6.8</v>
      </c>
      <c r="AN444" s="63">
        <v>7.2</v>
      </c>
      <c r="AO444" s="36">
        <v>0.19</v>
      </c>
      <c r="AP444" s="68">
        <v>0.21</v>
      </c>
      <c r="AQ444" s="73">
        <f t="shared" si="132"/>
        <v>1207</v>
      </c>
      <c r="AR444" s="75">
        <f t="shared" si="133"/>
        <v>0.46975973487986744</v>
      </c>
      <c r="AS444" s="75">
        <f t="shared" si="134"/>
        <v>7.3736536868268435E-2</v>
      </c>
      <c r="AT444" s="75">
        <f t="shared" si="135"/>
        <v>0.45650372825186414</v>
      </c>
      <c r="AU444" s="26">
        <f t="shared" si="136"/>
        <v>6.3141278610891874E-2</v>
      </c>
      <c r="AV444" s="26">
        <f t="shared" si="137"/>
        <v>0.10891870560378848</v>
      </c>
      <c r="AW444" s="24">
        <f t="shared" si="138"/>
        <v>0.91101694915254239</v>
      </c>
      <c r="AX444" s="24">
        <f t="shared" si="139"/>
        <v>0.89830508474576276</v>
      </c>
      <c r="AY444" s="77" t="str">
        <f t="shared" si="140"/>
        <v>7,5 ≤ Alc. Bruta &lt; 10,0 mg/L</v>
      </c>
      <c r="AZ444" s="77" t="str">
        <f t="shared" si="141"/>
        <v>15 ≤ Cor &lt; 30 uC</v>
      </c>
      <c r="BA444" s="78" t="str">
        <f t="shared" si="142"/>
        <v>Turbidez &lt; 2,5 uT</v>
      </c>
      <c r="BB444" s="79" t="str">
        <f t="shared" si="143"/>
        <v>TOR &gt; BNN &gt; SM</v>
      </c>
      <c r="BC444" s="78" t="str">
        <f t="shared" si="144"/>
        <v>Tipo 1 (≤0,25) uT</v>
      </c>
      <c r="BD444" s="78" t="str">
        <f t="shared" si="145"/>
        <v>Tipo 1 (≤0,25) uT</v>
      </c>
      <c r="BE444" s="78" t="str">
        <f t="shared" si="146"/>
        <v>Tipo 1 (≤0,25) uT</v>
      </c>
      <c r="BF444" s="78" t="str">
        <f t="shared" si="147"/>
        <v>Tipo 1 (≤0,25) uT</v>
      </c>
      <c r="BG444" s="78" t="str">
        <f t="shared" si="148"/>
        <v>Tipo 1 (≤0,25) uT</v>
      </c>
    </row>
    <row r="445" spans="1:59" x14ac:dyDescent="0.2">
      <c r="A445" s="21">
        <v>46173</v>
      </c>
      <c r="B445" s="48">
        <v>6.25E-2</v>
      </c>
      <c r="C445" s="57">
        <v>568</v>
      </c>
      <c r="D445" s="57">
        <v>88</v>
      </c>
      <c r="E445" s="57">
        <v>551</v>
      </c>
      <c r="F445" s="57">
        <v>1248</v>
      </c>
      <c r="G445" s="10" t="s">
        <v>78</v>
      </c>
      <c r="H445" s="63">
        <v>7.3</v>
      </c>
      <c r="I445" s="57">
        <v>90</v>
      </c>
      <c r="J445" s="57">
        <v>90</v>
      </c>
      <c r="K445" s="57">
        <v>90</v>
      </c>
      <c r="L445" s="63">
        <v>22.2</v>
      </c>
      <c r="M445" s="63">
        <v>6.8</v>
      </c>
      <c r="N445" s="36">
        <v>2.4300000000000002</v>
      </c>
      <c r="O445" s="57">
        <v>14</v>
      </c>
      <c r="P445" s="63">
        <v>8.6999999999999993</v>
      </c>
      <c r="Q445" s="36">
        <v>0.06</v>
      </c>
      <c r="R445" s="36">
        <v>22.36</v>
      </c>
      <c r="S445" s="36">
        <v>0.88</v>
      </c>
      <c r="T445" s="36">
        <v>0.7</v>
      </c>
      <c r="U445" s="42">
        <f t="shared" si="149"/>
        <v>1519.44</v>
      </c>
      <c r="V445" s="36">
        <f t="shared" si="150"/>
        <v>1676.0455857600002</v>
      </c>
      <c r="W445" s="36">
        <f t="shared" si="151"/>
        <v>1.1030679630390146</v>
      </c>
      <c r="X445" s="57">
        <v>2</v>
      </c>
      <c r="Y445" s="57">
        <v>2</v>
      </c>
      <c r="Z445" s="63">
        <v>6.44</v>
      </c>
      <c r="AA445" s="57">
        <v>21</v>
      </c>
      <c r="AB445" s="63">
        <v>6.4</v>
      </c>
      <c r="AC445" s="63">
        <v>7.1</v>
      </c>
      <c r="AD445" s="10">
        <v>0.19</v>
      </c>
      <c r="AE445" s="36">
        <v>0.24</v>
      </c>
      <c r="AF445" s="42">
        <f t="shared" si="152"/>
        <v>1012.96</v>
      </c>
      <c r="AG445" s="42">
        <f t="shared" si="153"/>
        <v>1853.4347774799999</v>
      </c>
      <c r="AH445" s="42">
        <f t="shared" si="154"/>
        <v>1.8297215857289526</v>
      </c>
      <c r="AI445" s="57">
        <v>2</v>
      </c>
      <c r="AJ445" s="57">
        <v>3</v>
      </c>
      <c r="AK445" s="36">
        <v>6.49</v>
      </c>
      <c r="AL445" s="36">
        <v>23</v>
      </c>
      <c r="AM445" s="63">
        <v>6.7</v>
      </c>
      <c r="AN445" s="63">
        <v>6.8</v>
      </c>
      <c r="AO445" s="36">
        <v>0.21</v>
      </c>
      <c r="AP445" s="68">
        <v>0.2</v>
      </c>
      <c r="AQ445" s="73">
        <f t="shared" si="132"/>
        <v>1207</v>
      </c>
      <c r="AR445" s="75">
        <f t="shared" si="133"/>
        <v>0.47058823529411764</v>
      </c>
      <c r="AS445" s="75">
        <f t="shared" si="134"/>
        <v>7.2908036454018221E-2</v>
      </c>
      <c r="AT445" s="75">
        <f t="shared" si="135"/>
        <v>0.45650372825186414</v>
      </c>
      <c r="AU445" s="26">
        <f t="shared" si="136"/>
        <v>6.7307692307692304E-2</v>
      </c>
      <c r="AV445" s="26">
        <f t="shared" si="137"/>
        <v>0.11057692307692307</v>
      </c>
      <c r="AW445" s="24">
        <f t="shared" si="138"/>
        <v>0.91769547325102885</v>
      </c>
      <c r="AX445" s="24">
        <f t="shared" si="139"/>
        <v>0.90123456790123457</v>
      </c>
      <c r="AY445" s="77" t="str">
        <f t="shared" si="140"/>
        <v>7,5 ≤ Alc. Bruta &lt; 10,0 mg/L</v>
      </c>
      <c r="AZ445" s="77" t="str">
        <f t="shared" si="141"/>
        <v>10 ≤ Cor &lt;15 uC</v>
      </c>
      <c r="BA445" s="78" t="str">
        <f t="shared" si="142"/>
        <v>Turbidez &lt; 2,5 uT</v>
      </c>
      <c r="BB445" s="79" t="str">
        <f t="shared" si="143"/>
        <v>TOR &gt; BNN &gt; SM</v>
      </c>
      <c r="BC445" s="78" t="str">
        <f t="shared" si="144"/>
        <v>Tipo 1 (≤0,25) uT</v>
      </c>
      <c r="BD445" s="78" t="str">
        <f t="shared" si="145"/>
        <v>Tipo 1 (≤0,25) uT</v>
      </c>
      <c r="BE445" s="78" t="str">
        <f t="shared" si="146"/>
        <v>Tipo 1 (≤0,25) uT</v>
      </c>
      <c r="BF445" s="78" t="str">
        <f t="shared" si="147"/>
        <v>Tipo 1 (≤0,25) uT</v>
      </c>
      <c r="BG445" s="78" t="str">
        <f t="shared" si="148"/>
        <v>Tipo 1 (≤0,25) uT</v>
      </c>
    </row>
    <row r="446" spans="1:59" x14ac:dyDescent="0.2">
      <c r="A446" s="21">
        <v>46173</v>
      </c>
      <c r="B446" s="48">
        <v>0.14583333333333334</v>
      </c>
      <c r="C446" s="57">
        <v>573</v>
      </c>
      <c r="D446" s="57">
        <v>91</v>
      </c>
      <c r="E446" s="57">
        <v>549</v>
      </c>
      <c r="F446" s="57">
        <v>1261</v>
      </c>
      <c r="G446" s="10" t="s">
        <v>78</v>
      </c>
      <c r="H446" s="63">
        <v>7.3</v>
      </c>
      <c r="I446" s="57">
        <v>90</v>
      </c>
      <c r="J446" s="57">
        <v>90</v>
      </c>
      <c r="K446" s="57">
        <v>90</v>
      </c>
      <c r="L446" s="63">
        <v>22.1</v>
      </c>
      <c r="M446" s="63">
        <v>6.9</v>
      </c>
      <c r="N446" s="36">
        <v>2.4</v>
      </c>
      <c r="O446" s="57">
        <v>15</v>
      </c>
      <c r="P446" s="63">
        <v>9</v>
      </c>
      <c r="Q446" s="36">
        <v>7.0000000000000007E-2</v>
      </c>
      <c r="R446" s="36">
        <v>22.36</v>
      </c>
      <c r="S446" s="36">
        <v>0.88</v>
      </c>
      <c r="T446" s="36">
        <v>0.7</v>
      </c>
      <c r="U446" s="42">
        <f t="shared" si="149"/>
        <v>1525.81</v>
      </c>
      <c r="V446" s="36">
        <f t="shared" si="150"/>
        <v>1679.2897757999999</v>
      </c>
      <c r="W446" s="36">
        <f t="shared" si="151"/>
        <v>1.100589048308767</v>
      </c>
      <c r="X446" s="57">
        <v>2</v>
      </c>
      <c r="Y446" s="57">
        <v>2</v>
      </c>
      <c r="Z446" s="63">
        <v>6.45</v>
      </c>
      <c r="AA446" s="57">
        <v>21</v>
      </c>
      <c r="AB446" s="63">
        <v>6.8</v>
      </c>
      <c r="AC446" s="63">
        <v>7.2</v>
      </c>
      <c r="AD446" s="10">
        <v>0.21</v>
      </c>
      <c r="AE446" s="36">
        <v>0.25</v>
      </c>
      <c r="AF446" s="42">
        <f t="shared" si="152"/>
        <v>1017.2066666666666</v>
      </c>
      <c r="AG446" s="42">
        <f t="shared" si="153"/>
        <v>1853.4347774799999</v>
      </c>
      <c r="AH446" s="42">
        <f t="shared" si="154"/>
        <v>1.8220828059981256</v>
      </c>
      <c r="AI446" s="57">
        <v>2</v>
      </c>
      <c r="AJ446" s="57">
        <v>3</v>
      </c>
      <c r="AK446" s="36">
        <v>6.49</v>
      </c>
      <c r="AL446" s="36">
        <v>23</v>
      </c>
      <c r="AM446" s="63">
        <v>6.9</v>
      </c>
      <c r="AN446" s="63">
        <v>6.9</v>
      </c>
      <c r="AO446" s="36">
        <v>0.16</v>
      </c>
      <c r="AP446" s="68">
        <v>0.23</v>
      </c>
      <c r="AQ446" s="73">
        <f t="shared" si="132"/>
        <v>1213</v>
      </c>
      <c r="AR446" s="75">
        <f t="shared" si="133"/>
        <v>0.47238252267106345</v>
      </c>
      <c r="AS446" s="75">
        <f t="shared" si="134"/>
        <v>7.5020610057708159E-2</v>
      </c>
      <c r="AT446" s="75">
        <f t="shared" si="135"/>
        <v>0.45259686727122839</v>
      </c>
      <c r="AU446" s="26">
        <f t="shared" si="136"/>
        <v>6.6613798572561458E-2</v>
      </c>
      <c r="AV446" s="26">
        <f t="shared" si="137"/>
        <v>0.10943695479777954</v>
      </c>
      <c r="AW446" s="24">
        <f t="shared" si="138"/>
        <v>0.90416666666666667</v>
      </c>
      <c r="AX446" s="24">
        <f t="shared" si="139"/>
        <v>0.89583333333333337</v>
      </c>
      <c r="AY446" s="77" t="str">
        <f t="shared" si="140"/>
        <v>7,5 ≤ Alc. Bruta &lt; 10,0 mg/L</v>
      </c>
      <c r="AZ446" s="77" t="str">
        <f t="shared" si="141"/>
        <v>15 ≤ Cor &lt; 30 uC</v>
      </c>
      <c r="BA446" s="78" t="str">
        <f t="shared" si="142"/>
        <v>Turbidez &lt; 2,5 uT</v>
      </c>
      <c r="BB446" s="79" t="str">
        <f t="shared" si="143"/>
        <v>TOR &gt; BNN &gt; SM</v>
      </c>
      <c r="BC446" s="78" t="str">
        <f t="shared" si="144"/>
        <v>Tipo 1 (≤0,25) uT</v>
      </c>
      <c r="BD446" s="78" t="str">
        <f t="shared" si="145"/>
        <v>Tipo 1 (≤0,25) uT</v>
      </c>
      <c r="BE446" s="78" t="str">
        <f t="shared" si="146"/>
        <v>Tipo 1 (≤0,25) uT</v>
      </c>
      <c r="BF446" s="78" t="str">
        <f t="shared" si="147"/>
        <v>Tipo 1 (≤0,25) uT</v>
      </c>
      <c r="BG446" s="78" t="str">
        <f t="shared" si="148"/>
        <v>Tipo 1 (≤0,25) uT</v>
      </c>
    </row>
    <row r="447" spans="1:59" ht="15.75" thickBot="1" x14ac:dyDescent="0.25">
      <c r="A447" s="21">
        <v>46173</v>
      </c>
      <c r="B447" s="51">
        <v>0.22916666666666666</v>
      </c>
      <c r="C447" s="58">
        <v>576</v>
      </c>
      <c r="D447" s="58">
        <v>86</v>
      </c>
      <c r="E447" s="58">
        <v>550</v>
      </c>
      <c r="F447" s="58">
        <v>1269</v>
      </c>
      <c r="G447" s="11" t="s">
        <v>78</v>
      </c>
      <c r="H447" s="64">
        <v>7.3</v>
      </c>
      <c r="I447" s="58">
        <v>90</v>
      </c>
      <c r="J447" s="58">
        <v>90</v>
      </c>
      <c r="K447" s="58">
        <v>90</v>
      </c>
      <c r="L447" s="64">
        <v>21.9</v>
      </c>
      <c r="M447" s="64">
        <v>6.8</v>
      </c>
      <c r="N447" s="37">
        <v>2.4500000000000002</v>
      </c>
      <c r="O447" s="58">
        <v>14</v>
      </c>
      <c r="P447" s="64">
        <v>9.1999999999999993</v>
      </c>
      <c r="Q447" s="37">
        <v>7.0000000000000007E-2</v>
      </c>
      <c r="R447" s="36">
        <v>22.36</v>
      </c>
      <c r="S447" s="36">
        <v>0.88</v>
      </c>
      <c r="T447" s="36">
        <v>0.7</v>
      </c>
      <c r="U447" s="42">
        <f t="shared" si="149"/>
        <v>1551.3525000000002</v>
      </c>
      <c r="V447" s="36">
        <f t="shared" si="150"/>
        <v>1679.2897757999999</v>
      </c>
      <c r="W447" s="36">
        <f t="shared" si="151"/>
        <v>1.0824682177648211</v>
      </c>
      <c r="X447" s="58">
        <v>2</v>
      </c>
      <c r="Y447" s="58">
        <v>2</v>
      </c>
      <c r="Z447" s="64">
        <v>6.45</v>
      </c>
      <c r="AA447" s="58">
        <v>21</v>
      </c>
      <c r="AB447" s="64">
        <v>6.6</v>
      </c>
      <c r="AC447" s="64">
        <v>8.1</v>
      </c>
      <c r="AD447" s="11">
        <v>0.76</v>
      </c>
      <c r="AE447" s="37">
        <v>0.2</v>
      </c>
      <c r="AF447" s="42">
        <f t="shared" si="152"/>
        <v>1034.2350000000001</v>
      </c>
      <c r="AG447" s="42">
        <f t="shared" si="153"/>
        <v>1856.9879380000002</v>
      </c>
      <c r="AH447" s="42">
        <f t="shared" si="154"/>
        <v>1.795518366715495</v>
      </c>
      <c r="AI447" s="58">
        <v>2</v>
      </c>
      <c r="AJ447" s="58">
        <v>3</v>
      </c>
      <c r="AK447" s="37">
        <v>6.5</v>
      </c>
      <c r="AL447" s="37">
        <v>23</v>
      </c>
      <c r="AM447" s="64">
        <v>6.7</v>
      </c>
      <c r="AN447" s="64">
        <v>8.4</v>
      </c>
      <c r="AO447" s="37">
        <v>0.15</v>
      </c>
      <c r="AP447" s="69">
        <v>0.19</v>
      </c>
      <c r="AQ447" s="73">
        <f t="shared" si="132"/>
        <v>1212</v>
      </c>
      <c r="AR447" s="75">
        <f t="shared" si="133"/>
        <v>0.47524752475247523</v>
      </c>
      <c r="AS447" s="75">
        <f t="shared" si="134"/>
        <v>7.0957095709570955E-2</v>
      </c>
      <c r="AT447" s="75">
        <f t="shared" si="135"/>
        <v>0.45379537953795379</v>
      </c>
      <c r="AU447" s="26">
        <f t="shared" si="136"/>
        <v>6.6193853427895979E-2</v>
      </c>
      <c r="AV447" s="26">
        <f t="shared" si="137"/>
        <v>0.10874704491725769</v>
      </c>
      <c r="AW447" s="24">
        <f t="shared" si="138"/>
        <v>0.92244897959183669</v>
      </c>
      <c r="AX447" s="24">
        <f t="shared" si="139"/>
        <v>0.91836734693877553</v>
      </c>
      <c r="AY447" s="77" t="str">
        <f t="shared" si="140"/>
        <v>7,5 ≤ Alc. Bruta &lt; 10,0 mg/L</v>
      </c>
      <c r="AZ447" s="77" t="str">
        <f t="shared" si="141"/>
        <v>10 ≤ Cor &lt;15 uC</v>
      </c>
      <c r="BA447" s="78" t="str">
        <f t="shared" si="142"/>
        <v>Turbidez &lt; 2,5 uT</v>
      </c>
      <c r="BB447" s="79" t="str">
        <f t="shared" si="143"/>
        <v>TOR &gt; BNN &gt; SM</v>
      </c>
      <c r="BC447" s="78" t="str">
        <f t="shared" si="144"/>
        <v>Tipo 4 (&gt;0,75) uT</v>
      </c>
      <c r="BD447" s="78" t="str">
        <f t="shared" si="145"/>
        <v>Tipo 1 (≤0,25) uT</v>
      </c>
      <c r="BE447" s="78" t="str">
        <f t="shared" si="146"/>
        <v>Tipo 1 (≤0,25) uT</v>
      </c>
      <c r="BF447" s="78" t="str">
        <f t="shared" si="147"/>
        <v>Tipo 1 (≤0,25) uT</v>
      </c>
      <c r="BG447" s="78" t="str">
        <f t="shared" si="148"/>
        <v>Tipo 1 (≤0,25) uT</v>
      </c>
    </row>
    <row r="448" spans="1:59" x14ac:dyDescent="0.2">
      <c r="A448" s="21">
        <v>46173</v>
      </c>
      <c r="B448" s="52">
        <v>0.3125</v>
      </c>
      <c r="C448" s="59">
        <v>570</v>
      </c>
      <c r="D448" s="57">
        <v>85</v>
      </c>
      <c r="E448" s="59">
        <v>550</v>
      </c>
      <c r="F448" s="59">
        <v>1213</v>
      </c>
      <c r="G448" s="9" t="s">
        <v>78</v>
      </c>
      <c r="H448" s="65">
        <v>7.3</v>
      </c>
      <c r="I448" s="59">
        <v>90</v>
      </c>
      <c r="J448" s="59">
        <v>90</v>
      </c>
      <c r="K448" s="59">
        <v>90</v>
      </c>
      <c r="L448" s="65">
        <v>21.5</v>
      </c>
      <c r="M448" s="65">
        <v>6.8</v>
      </c>
      <c r="N448" s="38">
        <v>2.35</v>
      </c>
      <c r="O448" s="59">
        <v>12</v>
      </c>
      <c r="P448" s="65">
        <v>10</v>
      </c>
      <c r="Q448" s="38">
        <v>7.0000000000000007E-2</v>
      </c>
      <c r="R448" s="36">
        <v>22.36</v>
      </c>
      <c r="S448" s="36">
        <v>0.88</v>
      </c>
      <c r="T448" s="36">
        <v>0.7</v>
      </c>
      <c r="U448" s="42">
        <f t="shared" si="149"/>
        <v>1452.5675000000001</v>
      </c>
      <c r="V448" s="36">
        <f t="shared" si="150"/>
        <v>1682.5339658399996</v>
      </c>
      <c r="W448" s="36">
        <f t="shared" si="151"/>
        <v>1.1583172319634023</v>
      </c>
      <c r="X448" s="59">
        <v>3</v>
      </c>
      <c r="Y448" s="59">
        <v>2</v>
      </c>
      <c r="Z448" s="65">
        <v>6.46</v>
      </c>
      <c r="AA448" s="59">
        <v>21</v>
      </c>
      <c r="AB448" s="65">
        <v>6.7</v>
      </c>
      <c r="AC448" s="65">
        <v>7.6</v>
      </c>
      <c r="AD448" s="9">
        <v>0.13</v>
      </c>
      <c r="AE448" s="38">
        <v>0.22</v>
      </c>
      <c r="AF448" s="42">
        <f t="shared" si="152"/>
        <v>968.37833333333333</v>
      </c>
      <c r="AG448" s="42">
        <f t="shared" si="153"/>
        <v>1919.1883151999998</v>
      </c>
      <c r="AH448" s="42">
        <f t="shared" si="154"/>
        <v>1.9818579672201118</v>
      </c>
      <c r="AI448" s="59">
        <v>3</v>
      </c>
      <c r="AJ448" s="59">
        <v>3</v>
      </c>
      <c r="AK448" s="38">
        <v>6.45</v>
      </c>
      <c r="AL448" s="38">
        <v>24</v>
      </c>
      <c r="AM448" s="65">
        <v>6.7</v>
      </c>
      <c r="AN448" s="65">
        <v>7.9</v>
      </c>
      <c r="AO448" s="38">
        <v>0.19</v>
      </c>
      <c r="AP448" s="70">
        <v>0.2</v>
      </c>
      <c r="AQ448" s="73">
        <f t="shared" si="132"/>
        <v>1205</v>
      </c>
      <c r="AR448" s="75">
        <f t="shared" si="133"/>
        <v>0.47302904564315351</v>
      </c>
      <c r="AS448" s="75">
        <f t="shared" si="134"/>
        <v>7.0539419087136929E-2</v>
      </c>
      <c r="AT448" s="75">
        <f t="shared" si="135"/>
        <v>0.45643153526970953</v>
      </c>
      <c r="AU448" s="26">
        <f t="shared" si="136"/>
        <v>6.9249793899422915E-2</v>
      </c>
      <c r="AV448" s="26">
        <f t="shared" si="137"/>
        <v>0.11871393239901072</v>
      </c>
      <c r="AW448" s="24">
        <f t="shared" si="138"/>
        <v>0.91489361702127658</v>
      </c>
      <c r="AX448" s="24">
        <f t="shared" si="139"/>
        <v>0.90638297872340423</v>
      </c>
      <c r="AY448" s="77" t="str">
        <f t="shared" si="140"/>
        <v>10,0 ≤ Alca. Bruta &lt; 15,0 mg/L</v>
      </c>
      <c r="AZ448" s="77" t="str">
        <f t="shared" si="141"/>
        <v>10 ≤ Cor &lt;15 uC</v>
      </c>
      <c r="BA448" s="78" t="str">
        <f t="shared" si="142"/>
        <v>Turbidez &lt; 2,5 uT</v>
      </c>
      <c r="BB448" s="79" t="str">
        <f t="shared" si="143"/>
        <v>TOR &gt; BNN &gt; SM</v>
      </c>
      <c r="BC448" s="78" t="str">
        <f t="shared" si="144"/>
        <v>Tipo 1 (≤0,25) uT</v>
      </c>
      <c r="BD448" s="78" t="str">
        <f t="shared" si="145"/>
        <v>Tipo 1 (≤0,25) uT</v>
      </c>
      <c r="BE448" s="78" t="str">
        <f t="shared" si="146"/>
        <v>Tipo 1 (≤0,25) uT</v>
      </c>
      <c r="BF448" s="78" t="str">
        <f t="shared" si="147"/>
        <v>Tipo 1 (≤0,25) uT</v>
      </c>
      <c r="BG448" s="78" t="str">
        <f t="shared" si="148"/>
        <v>Tipo 1 (≤0,25) uT</v>
      </c>
    </row>
    <row r="449" spans="1:59" x14ac:dyDescent="0.2">
      <c r="A449" s="21">
        <v>46173</v>
      </c>
      <c r="B449" s="48">
        <v>0.39583333333333331</v>
      </c>
      <c r="C449" s="57">
        <v>1143</v>
      </c>
      <c r="D449" s="57">
        <v>86</v>
      </c>
      <c r="E449" s="57">
        <v>550</v>
      </c>
      <c r="F449" s="57">
        <v>1853</v>
      </c>
      <c r="G449" s="10" t="s">
        <v>78</v>
      </c>
      <c r="H449" s="63">
        <v>7.3</v>
      </c>
      <c r="I449" s="57">
        <v>90</v>
      </c>
      <c r="J449" s="57">
        <v>90</v>
      </c>
      <c r="K449" s="57">
        <v>90</v>
      </c>
      <c r="L449" s="63">
        <v>21.9</v>
      </c>
      <c r="M449" s="63">
        <v>6.8</v>
      </c>
      <c r="N449" s="36">
        <v>2.59</v>
      </c>
      <c r="O449" s="57">
        <v>12</v>
      </c>
      <c r="P449" s="63">
        <v>9.3000000000000007</v>
      </c>
      <c r="Q449" s="36">
        <v>7.0000000000000007E-2</v>
      </c>
      <c r="R449" s="36">
        <v>22.36</v>
      </c>
      <c r="S449" s="36">
        <v>0.88</v>
      </c>
      <c r="T449" s="36">
        <v>0.7</v>
      </c>
      <c r="U449" s="42">
        <f t="shared" si="149"/>
        <v>1165.0737499999998</v>
      </c>
      <c r="V449" s="36">
        <f t="shared" si="150"/>
        <v>1375.1825510799999</v>
      </c>
      <c r="W449" s="36">
        <f t="shared" si="151"/>
        <v>1.1803394858737486</v>
      </c>
      <c r="X449" s="57">
        <v>3</v>
      </c>
      <c r="Y449" s="57">
        <v>4</v>
      </c>
      <c r="Z449" s="63">
        <v>6.51</v>
      </c>
      <c r="AA449" s="57">
        <v>17</v>
      </c>
      <c r="AB449" s="63">
        <v>6.7</v>
      </c>
      <c r="AC449" s="63">
        <v>6.9</v>
      </c>
      <c r="AD449" s="10">
        <v>0.14000000000000001</v>
      </c>
      <c r="AE449" s="36">
        <v>0.24</v>
      </c>
      <c r="AF449" s="42">
        <f t="shared" si="152"/>
        <v>1553.4316666666664</v>
      </c>
      <c r="AG449" s="42">
        <f t="shared" si="153"/>
        <v>1919.1883151999998</v>
      </c>
      <c r="AH449" s="42">
        <f t="shared" si="154"/>
        <v>1.2354507484182868</v>
      </c>
      <c r="AI449" s="57">
        <v>3</v>
      </c>
      <c r="AJ449" s="57">
        <v>3</v>
      </c>
      <c r="AK449" s="36">
        <v>6.45</v>
      </c>
      <c r="AL449" s="36">
        <v>24</v>
      </c>
      <c r="AM449" s="63">
        <v>6.8</v>
      </c>
      <c r="AN449" s="63">
        <v>7.1</v>
      </c>
      <c r="AO449" s="36">
        <v>0.15</v>
      </c>
      <c r="AP449" s="68">
        <v>0.19</v>
      </c>
      <c r="AQ449" s="73">
        <f t="shared" si="132"/>
        <v>1779</v>
      </c>
      <c r="AR449" s="75">
        <f t="shared" si="133"/>
        <v>0.64249578414839803</v>
      </c>
      <c r="AS449" s="75">
        <f t="shared" si="134"/>
        <v>4.8341765036537379E-2</v>
      </c>
      <c r="AT449" s="75">
        <f t="shared" si="135"/>
        <v>0.30916245081506466</v>
      </c>
      <c r="AU449" s="26">
        <f t="shared" si="136"/>
        <v>7.3394495412844041E-2</v>
      </c>
      <c r="AV449" s="26">
        <f t="shared" si="137"/>
        <v>7.7711818672423105E-2</v>
      </c>
      <c r="AW449" s="24">
        <f t="shared" si="138"/>
        <v>0.92664092664092668</v>
      </c>
      <c r="AX449" s="24">
        <f t="shared" si="139"/>
        <v>0.9073359073359073</v>
      </c>
      <c r="AY449" s="77" t="str">
        <f t="shared" si="140"/>
        <v>7,5 ≤ Alc. Bruta &lt; 10,0 mg/L</v>
      </c>
      <c r="AZ449" s="77" t="str">
        <f t="shared" si="141"/>
        <v>10 ≤ Cor &lt;15 uC</v>
      </c>
      <c r="BA449" s="78" t="str">
        <f t="shared" si="142"/>
        <v>2,5 ≤ Turb &lt; 5,0 uT</v>
      </c>
      <c r="BB449" s="79" t="str">
        <f t="shared" si="143"/>
        <v>TOR &gt; BNN &gt; SM</v>
      </c>
      <c r="BC449" s="78" t="str">
        <f t="shared" si="144"/>
        <v>Tipo 1 (≤0,25) uT</v>
      </c>
      <c r="BD449" s="78" t="str">
        <f t="shared" si="145"/>
        <v>Tipo 1 (≤0,25) uT</v>
      </c>
      <c r="BE449" s="78" t="str">
        <f t="shared" si="146"/>
        <v>Tipo 1 (≤0,25) uT</v>
      </c>
      <c r="BF449" s="78" t="str">
        <f t="shared" si="147"/>
        <v>Tipo 1 (≤0,25) uT</v>
      </c>
      <c r="BG449" s="78" t="str">
        <f t="shared" si="148"/>
        <v>Tipo 1 (≤0,25) uT</v>
      </c>
    </row>
    <row r="450" spans="1:59" x14ac:dyDescent="0.2">
      <c r="A450" s="21">
        <v>46173</v>
      </c>
      <c r="B450" s="48">
        <v>0.5625</v>
      </c>
      <c r="C450" s="57">
        <v>1158</v>
      </c>
      <c r="D450" s="57">
        <v>83</v>
      </c>
      <c r="E450" s="57">
        <v>550</v>
      </c>
      <c r="F450" s="57">
        <v>1789</v>
      </c>
      <c r="G450" s="10" t="s">
        <v>78</v>
      </c>
      <c r="H450" s="63">
        <v>7.3</v>
      </c>
      <c r="I450" s="57">
        <v>90</v>
      </c>
      <c r="J450" s="57">
        <v>90</v>
      </c>
      <c r="K450" s="57">
        <v>90</v>
      </c>
      <c r="L450" s="63">
        <v>23.1</v>
      </c>
      <c r="M450" s="63">
        <v>6.8</v>
      </c>
      <c r="N450" s="36">
        <v>2.98</v>
      </c>
      <c r="O450" s="57">
        <v>12</v>
      </c>
      <c r="P450" s="63">
        <v>8.1999999999999993</v>
      </c>
      <c r="Q450" s="36">
        <v>7.0000000000000007E-2</v>
      </c>
      <c r="R450" s="36">
        <v>22.36</v>
      </c>
      <c r="S450" s="36">
        <v>0.88</v>
      </c>
      <c r="T450" s="36">
        <v>0.7</v>
      </c>
      <c r="U450" s="42">
        <f t="shared" si="149"/>
        <v>1212.0474999999999</v>
      </c>
      <c r="V450" s="36">
        <f t="shared" si="150"/>
        <v>1372.556302</v>
      </c>
      <c r="W450" s="36">
        <f t="shared" si="151"/>
        <v>1.1324278149164946</v>
      </c>
      <c r="X450" s="57">
        <v>3</v>
      </c>
      <c r="Y450" s="57">
        <v>4</v>
      </c>
      <c r="Z450" s="63">
        <v>6.5</v>
      </c>
      <c r="AA450" s="57">
        <v>17</v>
      </c>
      <c r="AB450" s="63">
        <v>6.6</v>
      </c>
      <c r="AC450" s="63">
        <v>6.6</v>
      </c>
      <c r="AD450" s="10">
        <v>0.13</v>
      </c>
      <c r="AE450" s="36">
        <v>0.18</v>
      </c>
      <c r="AF450" s="42">
        <f t="shared" si="152"/>
        <v>1616.0633333333335</v>
      </c>
      <c r="AG450" s="42">
        <f t="shared" si="153"/>
        <v>1919.1883151999998</v>
      </c>
      <c r="AH450" s="42">
        <f t="shared" si="154"/>
        <v>1.1875699891299638</v>
      </c>
      <c r="AI450" s="57">
        <v>3</v>
      </c>
      <c r="AJ450" s="57">
        <v>3</v>
      </c>
      <c r="AK450" s="36">
        <v>6.45</v>
      </c>
      <c r="AL450" s="36">
        <v>24</v>
      </c>
      <c r="AM450" s="63">
        <v>6.7</v>
      </c>
      <c r="AN450" s="63">
        <v>6.3</v>
      </c>
      <c r="AO450" s="36">
        <v>0.14000000000000001</v>
      </c>
      <c r="AP450" s="68">
        <v>0.2</v>
      </c>
      <c r="AQ450" s="73">
        <f t="shared" ref="AQ450:AQ513" si="155">SUM(C450:E450)</f>
        <v>1791</v>
      </c>
      <c r="AR450" s="75">
        <f t="shared" ref="AR450:AR513" si="156">C450/AQ450</f>
        <v>0.64656616415410384</v>
      </c>
      <c r="AS450" s="75">
        <f t="shared" ref="AS450:AS513" si="157">D450/AQ450</f>
        <v>4.6342825237297602E-2</v>
      </c>
      <c r="AT450" s="75">
        <f t="shared" ref="AT450:AT513" si="158">E450/AQ450</f>
        <v>0.30709101060859856</v>
      </c>
      <c r="AU450" s="26">
        <f t="shared" ref="AU450:AU513" si="159">IF(AND(F450&lt;&gt;"",Y450&lt;&gt;""),AA450/(F450/2/Y450),"")</f>
        <v>7.6020122973728343E-2</v>
      </c>
      <c r="AV450" s="26">
        <f t="shared" ref="AV450:AV513" si="160">IF(AND(F450&lt;&gt;"",AJ450&lt;&gt;""),AL450/(F450/2/AJ450),"")</f>
        <v>8.049189491335941E-2</v>
      </c>
      <c r="AW450" s="24">
        <f t="shared" ref="AW450:AW461" si="161">IF(AND(AP450&lt;&gt;"",1-(AP450/N450)&gt;0),1-(AP450/N450),"")</f>
        <v>0.93288590604026844</v>
      </c>
      <c r="AX450" s="24">
        <f t="shared" ref="AX450:AX461" si="162">IF(AND(AE450&lt;&gt;"",1-(AE450/N450)&gt;0),1-(AE450/N450),"")</f>
        <v>0.93959731543624159</v>
      </c>
      <c r="AY450" s="77" t="str">
        <f t="shared" ref="AY450:AY513" si="163">IF(P450="","",IF(P450&lt;2.5,"Alc. Bruta &lt; 2,5 mg/L",IF(P450&lt;5,"2,5 ≤ Alc. Bruta &lt; 5,0 mg/L",IF(P450&lt;7.5,"5,0 ≤ Alc. Bruta &lt; 7,5 mg/L",IF(P450&lt;10,"7,5 ≤ Alc. Bruta &lt; 10,0 mg/L",IF(P450&lt;15,"10,0 ≤ Alca. Bruta &lt; 15,0 mg/L","Alc. Bruta &gt; 15 mg/L"))))))</f>
        <v>7,5 ≤ Alc. Bruta &lt; 10,0 mg/L</v>
      </c>
      <c r="AZ450" s="77" t="str">
        <f t="shared" ref="AZ450:AZ513" si="164">IF(O450="","",IF(O450&lt;5,"Cor &lt;5 uC",IF(O450&lt;10,"5 ≤ Cor &lt; 10 uC",IF(O450&lt;15,"10 ≤ Cor &lt;15 uC",IF(O450&lt;30,"15 ≤ Cor &lt; 30 uC",IF(O450&lt;50,"30 ≤ Cor &lt; 50 uC","Cor &gt; 50 uC"))))))</f>
        <v>10 ≤ Cor &lt;15 uC</v>
      </c>
      <c r="BA450" s="78" t="str">
        <f t="shared" ref="BA450:BA513" si="165">IF(N450="","",IF(N450&lt;2.5,"Turbidez &lt; 2,5 uT",IF(N450&lt;5,"2,5 ≤ Turb &lt; 5,0 uT",IF(N450&lt;7.5,"5,0 ≤ Turb &lt; 7,5 uT",IF(N450&lt;10,"7,5 ≤ Turb &lt; 10,0 uT",IF(N450&lt;15,"10,0 ≤ Turb &lt; 15,0 uT","Turb &gt; 15 uT"))))))</f>
        <v>2,5 ≤ Turb &lt; 5,0 uT</v>
      </c>
      <c r="BB450" s="79" t="str">
        <f t="shared" ref="BB450:BB513" si="166">IF(AND(C450&gt;D450,D450&gt;E450),"TOR &gt; SM &gt; BNN",IF(AND(C450&gt;E450,E450&gt;D450),"TOR &gt; BNN &gt; SM",IF(AND(D450&gt;C450,C450&gt;E450),"SM &gt; TOR &gt; BNN",IF(AND(D450&gt;E450,E450&gt;C450),"SM &gt; BNN &gt; TOR",IF(AND(C450=D450,D450=E450),"TOR = SM = BNN","Comb. diferentes")))))</f>
        <v>TOR &gt; BNN &gt; SM</v>
      </c>
      <c r="BC450" s="78" t="str">
        <f t="shared" ref="BC450:BC513" si="167">IF(OR(AD450="",AP450="-"),"",IF(AD450&lt;=0.25,"Tipo 1 (≤0,25) uT",IF(AD450&lt;=0.5,"Tipo 2 (0,25-0,50) uT",IF(AD450&lt;=0.75,"Tipo 3 (0,50-0,75) uT","Tipo 4 (&gt;0,75) uT"))))</f>
        <v>Tipo 1 (≤0,25) uT</v>
      </c>
      <c r="BD450" s="78" t="str">
        <f t="shared" ref="BD450:BD513" si="168">IF(OR(AO450="",AY450="-"),"",IF(AO450&lt;=0.25,"Tipo 1 (≤0,25) uT",IF(AO450&lt;=0.5,"Tipo 2 (0,25-0,50) uT",IF(AO450&lt;=0.75,"Tipo 3 (0,50-0,75) uT","Tipo 4 (&gt;0,75) uT"))))</f>
        <v>Tipo 1 (≤0,25) uT</v>
      </c>
      <c r="BE450" s="78" t="str">
        <f t="shared" ref="BE450:BE513" si="169">IF(OR(AE450="",AP450="-"),"",IF(AE450&lt;=0.25,"Tipo 1 (≤0,25) uT",IF(AE450&lt;=0.5,"Tipo 2 (0,25-0,50) uT",IF(AE450&lt;=0.75,"Tipo 3 (0,50-0,75) uT","Tipo 4 (&gt;0,75) uT"))))</f>
        <v>Tipo 1 (≤0,25) uT</v>
      </c>
      <c r="BF450" s="78" t="str">
        <f t="shared" ref="BF450:BF513" si="170">IF(OR(AP450="",AP450="-"),"",IF(AP450&lt;=0.25,"Tipo 1 (≤0,25) uT",IF(AP450&lt;=0.5,"Tipo 2 (0,25-0,50) uT",IF(AP450&lt;=0.75,"Tipo 3 (0,50-0,75) uT","Tipo 4 (&gt;0,75) uT"))))</f>
        <v>Tipo 1 (≤0,25) uT</v>
      </c>
      <c r="BG450" s="78" t="str">
        <f t="shared" ref="BG450:BG513" si="171">IF(OR(Q450="",Q450="-"),"",IF(Q450&lt;=0.25,"Tipo 1 (≤0,25) uT",IF(Q450&lt;=0.5,"Tipo 2 (0,25-0,50) uT",IF(Q450&lt;=0.75,"Tipo 3 (0,50-0,75) uT","Tipo 4 (&gt;0,75) uT"))))</f>
        <v>Tipo 1 (≤0,25) uT</v>
      </c>
    </row>
    <row r="451" spans="1:59" x14ac:dyDescent="0.2">
      <c r="A451" s="21">
        <v>46173</v>
      </c>
      <c r="B451" s="48">
        <v>0.64583333333333337</v>
      </c>
      <c r="C451" s="57">
        <v>1137</v>
      </c>
      <c r="D451" s="57">
        <v>89</v>
      </c>
      <c r="E451" s="57">
        <v>550</v>
      </c>
      <c r="F451" s="57">
        <v>1853</v>
      </c>
      <c r="G451" s="10" t="s">
        <v>78</v>
      </c>
      <c r="H451" s="63">
        <v>7.3</v>
      </c>
      <c r="I451" s="57">
        <v>90</v>
      </c>
      <c r="J451" s="57">
        <v>90</v>
      </c>
      <c r="K451" s="57">
        <v>90</v>
      </c>
      <c r="L451" s="63">
        <v>23.7</v>
      </c>
      <c r="M451" s="63">
        <v>6.8</v>
      </c>
      <c r="N451" s="36">
        <v>2.78</v>
      </c>
      <c r="O451" s="57">
        <v>12</v>
      </c>
      <c r="P451" s="63">
        <v>7.3</v>
      </c>
      <c r="Q451" s="36">
        <v>7.0000000000000007E-2</v>
      </c>
      <c r="R451" s="36">
        <v>22.36</v>
      </c>
      <c r="S451" s="36">
        <v>0.88</v>
      </c>
      <c r="T451" s="36">
        <v>0.7</v>
      </c>
      <c r="U451" s="42">
        <f t="shared" si="149"/>
        <v>1209.0825</v>
      </c>
      <c r="V451" s="36">
        <f t="shared" si="150"/>
        <v>1372.556302</v>
      </c>
      <c r="W451" s="36">
        <f t="shared" si="151"/>
        <v>1.1352048367253682</v>
      </c>
      <c r="X451" s="57">
        <v>3</v>
      </c>
      <c r="Y451" s="57">
        <v>4</v>
      </c>
      <c r="Z451" s="63">
        <v>6.5</v>
      </c>
      <c r="AA451" s="57">
        <v>17</v>
      </c>
      <c r="AB451" s="63">
        <v>6.6</v>
      </c>
      <c r="AC451" s="63">
        <v>5.5</v>
      </c>
      <c r="AD451" s="10">
        <v>0.13</v>
      </c>
      <c r="AE451" s="36">
        <v>0.18</v>
      </c>
      <c r="AF451" s="42">
        <f t="shared" si="152"/>
        <v>1612.11</v>
      </c>
      <c r="AG451" s="42">
        <f t="shared" si="153"/>
        <v>1919.1883151999998</v>
      </c>
      <c r="AH451" s="42">
        <f t="shared" si="154"/>
        <v>1.1904822345869699</v>
      </c>
      <c r="AI451" s="57">
        <v>3</v>
      </c>
      <c r="AJ451" s="57">
        <v>3</v>
      </c>
      <c r="AK451" s="36">
        <v>6.45</v>
      </c>
      <c r="AL451" s="36">
        <v>24</v>
      </c>
      <c r="AM451" s="63">
        <v>6.6</v>
      </c>
      <c r="AN451" s="63">
        <v>6.1</v>
      </c>
      <c r="AO451" s="36">
        <v>0.15</v>
      </c>
      <c r="AP451" s="68">
        <v>0.19</v>
      </c>
      <c r="AQ451" s="73">
        <f t="shared" si="155"/>
        <v>1776</v>
      </c>
      <c r="AR451" s="75">
        <f t="shared" si="156"/>
        <v>0.64020270270270274</v>
      </c>
      <c r="AS451" s="75">
        <f t="shared" si="157"/>
        <v>5.0112612612612614E-2</v>
      </c>
      <c r="AT451" s="75">
        <f t="shared" si="158"/>
        <v>0.30968468468468469</v>
      </c>
      <c r="AU451" s="26">
        <f t="shared" si="159"/>
        <v>7.3394495412844041E-2</v>
      </c>
      <c r="AV451" s="26">
        <f t="shared" si="160"/>
        <v>7.7711818672423105E-2</v>
      </c>
      <c r="AW451" s="24">
        <f t="shared" si="161"/>
        <v>0.93165467625899279</v>
      </c>
      <c r="AX451" s="24">
        <f t="shared" si="162"/>
        <v>0.93525179856115104</v>
      </c>
      <c r="AY451" s="77" t="str">
        <f t="shared" si="163"/>
        <v>5,0 ≤ Alc. Bruta &lt; 7,5 mg/L</v>
      </c>
      <c r="AZ451" s="77" t="str">
        <f t="shared" si="164"/>
        <v>10 ≤ Cor &lt;15 uC</v>
      </c>
      <c r="BA451" s="78" t="str">
        <f t="shared" si="165"/>
        <v>2,5 ≤ Turb &lt; 5,0 uT</v>
      </c>
      <c r="BB451" s="79" t="str">
        <f t="shared" si="166"/>
        <v>TOR &gt; BNN &gt; SM</v>
      </c>
      <c r="BC451" s="78" t="str">
        <f t="shared" si="167"/>
        <v>Tipo 1 (≤0,25) uT</v>
      </c>
      <c r="BD451" s="78" t="str">
        <f t="shared" si="168"/>
        <v>Tipo 1 (≤0,25) uT</v>
      </c>
      <c r="BE451" s="78" t="str">
        <f t="shared" si="169"/>
        <v>Tipo 1 (≤0,25) uT</v>
      </c>
      <c r="BF451" s="78" t="str">
        <f t="shared" si="170"/>
        <v>Tipo 1 (≤0,25) uT</v>
      </c>
      <c r="BG451" s="78" t="str">
        <f t="shared" si="171"/>
        <v>Tipo 1 (≤0,25) uT</v>
      </c>
    </row>
    <row r="452" spans="1:59" x14ac:dyDescent="0.2">
      <c r="A452" s="21">
        <v>46173</v>
      </c>
      <c r="B452" s="48">
        <v>0.72916666666666663</v>
      </c>
      <c r="C452" s="57">
        <v>1159</v>
      </c>
      <c r="D452" s="57">
        <v>87</v>
      </c>
      <c r="E452" s="57">
        <v>550</v>
      </c>
      <c r="F452" s="57">
        <v>1883</v>
      </c>
      <c r="G452" s="10" t="s">
        <v>78</v>
      </c>
      <c r="H452" s="63">
        <v>7.3</v>
      </c>
      <c r="I452" s="57">
        <v>90</v>
      </c>
      <c r="J452" s="57">
        <v>90</v>
      </c>
      <c r="K452" s="57">
        <v>90</v>
      </c>
      <c r="L452" s="63">
        <v>23</v>
      </c>
      <c r="M452" s="63">
        <v>6.7</v>
      </c>
      <c r="N452" s="36">
        <v>2.97</v>
      </c>
      <c r="O452" s="57">
        <v>13</v>
      </c>
      <c r="P452" s="63">
        <v>7.4</v>
      </c>
      <c r="Q452" s="36">
        <v>0.08</v>
      </c>
      <c r="R452" s="36">
        <v>22.36</v>
      </c>
      <c r="S452" s="36">
        <v>0.88</v>
      </c>
      <c r="T452" s="36">
        <v>0.7</v>
      </c>
      <c r="U452" s="42">
        <f t="shared" si="149"/>
        <v>1273.3787500000001</v>
      </c>
      <c r="V452" s="36">
        <f t="shared" si="150"/>
        <v>1372.556302</v>
      </c>
      <c r="W452" s="36">
        <f t="shared" si="151"/>
        <v>1.0778853518640858</v>
      </c>
      <c r="X452" s="57">
        <v>3</v>
      </c>
      <c r="Y452" s="57">
        <v>4</v>
      </c>
      <c r="Z452" s="63">
        <v>6.5</v>
      </c>
      <c r="AA452" s="57">
        <v>17</v>
      </c>
      <c r="AB452" s="63">
        <v>6.5</v>
      </c>
      <c r="AC452" s="63">
        <v>6.4</v>
      </c>
      <c r="AD452" s="10">
        <v>0.11</v>
      </c>
      <c r="AE452" s="36">
        <v>0.19</v>
      </c>
      <c r="AF452" s="42">
        <f t="shared" si="152"/>
        <v>1697.8383333333334</v>
      </c>
      <c r="AG452" s="42">
        <f t="shared" si="153"/>
        <v>1919.1883151999998</v>
      </c>
      <c r="AH452" s="42">
        <f t="shared" si="154"/>
        <v>1.1303716481840143</v>
      </c>
      <c r="AI452" s="57">
        <v>3</v>
      </c>
      <c r="AJ452" s="57">
        <v>3</v>
      </c>
      <c r="AK452" s="36">
        <v>6.45</v>
      </c>
      <c r="AL452" s="36">
        <v>24</v>
      </c>
      <c r="AM452" s="63">
        <v>6.6</v>
      </c>
      <c r="AN452" s="63">
        <v>6.5</v>
      </c>
      <c r="AO452" s="36">
        <v>0.17</v>
      </c>
      <c r="AP452" s="68">
        <v>0.17</v>
      </c>
      <c r="AQ452" s="73">
        <f t="shared" si="155"/>
        <v>1796</v>
      </c>
      <c r="AR452" s="75">
        <f t="shared" si="156"/>
        <v>0.64532293986636968</v>
      </c>
      <c r="AS452" s="75">
        <f t="shared" si="157"/>
        <v>4.844097995545657E-2</v>
      </c>
      <c r="AT452" s="75">
        <f t="shared" si="158"/>
        <v>0.30623608017817372</v>
      </c>
      <c r="AU452" s="26">
        <f t="shared" si="159"/>
        <v>7.2225172596919809E-2</v>
      </c>
      <c r="AV452" s="26">
        <f t="shared" si="160"/>
        <v>7.647371216144451E-2</v>
      </c>
      <c r="AW452" s="24">
        <f t="shared" si="161"/>
        <v>0.9427609427609428</v>
      </c>
      <c r="AX452" s="24">
        <f t="shared" si="162"/>
        <v>0.93602693602693599</v>
      </c>
      <c r="AY452" s="77" t="str">
        <f t="shared" si="163"/>
        <v>5,0 ≤ Alc. Bruta &lt; 7,5 mg/L</v>
      </c>
      <c r="AZ452" s="77" t="str">
        <f t="shared" si="164"/>
        <v>10 ≤ Cor &lt;15 uC</v>
      </c>
      <c r="BA452" s="78" t="str">
        <f t="shared" si="165"/>
        <v>2,5 ≤ Turb &lt; 5,0 uT</v>
      </c>
      <c r="BB452" s="79" t="str">
        <f t="shared" si="166"/>
        <v>TOR &gt; BNN &gt; SM</v>
      </c>
      <c r="BC452" s="78" t="str">
        <f t="shared" si="167"/>
        <v>Tipo 1 (≤0,25) uT</v>
      </c>
      <c r="BD452" s="78" t="str">
        <f t="shared" si="168"/>
        <v>Tipo 1 (≤0,25) uT</v>
      </c>
      <c r="BE452" s="78" t="str">
        <f t="shared" si="169"/>
        <v>Tipo 1 (≤0,25) uT</v>
      </c>
      <c r="BF452" s="78" t="str">
        <f t="shared" si="170"/>
        <v>Tipo 1 (≤0,25) uT</v>
      </c>
      <c r="BG452" s="78" t="str">
        <f t="shared" si="171"/>
        <v>Tipo 1 (≤0,25) uT</v>
      </c>
    </row>
    <row r="453" spans="1:59" x14ac:dyDescent="0.2">
      <c r="A453" s="21">
        <v>46173</v>
      </c>
      <c r="B453" s="48">
        <v>0.8125</v>
      </c>
      <c r="C453" s="57">
        <v>1137</v>
      </c>
      <c r="D453" s="57">
        <v>89</v>
      </c>
      <c r="E453" s="57">
        <v>549</v>
      </c>
      <c r="F453" s="57">
        <v>1885</v>
      </c>
      <c r="G453" s="10" t="s">
        <v>78</v>
      </c>
      <c r="H453" s="63">
        <v>7.3</v>
      </c>
      <c r="I453" s="57">
        <v>90</v>
      </c>
      <c r="J453" s="57">
        <v>90</v>
      </c>
      <c r="K453" s="57">
        <v>90</v>
      </c>
      <c r="L453" s="63">
        <v>23.9</v>
      </c>
      <c r="M453" s="63">
        <v>6.9</v>
      </c>
      <c r="N453" s="36">
        <v>3</v>
      </c>
      <c r="O453" s="57">
        <v>11</v>
      </c>
      <c r="P453" s="63">
        <v>9.4</v>
      </c>
      <c r="Q453" s="36">
        <v>7.0000000000000007E-2</v>
      </c>
      <c r="R453" s="36">
        <v>22.36</v>
      </c>
      <c r="S453" s="36">
        <v>0.88</v>
      </c>
      <c r="T453" s="36">
        <v>0.7</v>
      </c>
      <c r="U453" s="42">
        <f t="shared" si="149"/>
        <v>1281.8</v>
      </c>
      <c r="V453" s="36">
        <f t="shared" si="150"/>
        <v>1548.8268010071997</v>
      </c>
      <c r="W453" s="36">
        <f t="shared" si="151"/>
        <v>1.2083217358458416</v>
      </c>
      <c r="X453" s="57">
        <v>2</v>
      </c>
      <c r="Y453" s="57">
        <v>4</v>
      </c>
      <c r="Z453" s="63">
        <v>6.49</v>
      </c>
      <c r="AA453" s="57">
        <v>19.22</v>
      </c>
      <c r="AB453" s="63">
        <v>6.7</v>
      </c>
      <c r="AC453" s="63">
        <v>8.1</v>
      </c>
      <c r="AD453" s="10">
        <v>0.15</v>
      </c>
      <c r="AE453" s="36">
        <v>0.2</v>
      </c>
      <c r="AF453" s="42">
        <f t="shared" si="152"/>
        <v>1709.0666666666666</v>
      </c>
      <c r="AG453" s="42">
        <f t="shared" si="153"/>
        <v>1935.3043858200001</v>
      </c>
      <c r="AH453" s="42">
        <f t="shared" si="154"/>
        <v>1.1323750112068967</v>
      </c>
      <c r="AI453" s="57">
        <v>2</v>
      </c>
      <c r="AJ453" s="57">
        <v>3</v>
      </c>
      <c r="AK453" s="36">
        <v>6.5</v>
      </c>
      <c r="AL453" s="36">
        <v>23.97</v>
      </c>
      <c r="AM453" s="63">
        <v>6.5</v>
      </c>
      <c r="AN453" s="63">
        <v>6.3</v>
      </c>
      <c r="AO453" s="36">
        <v>0.2</v>
      </c>
      <c r="AP453" s="68">
        <v>0.17</v>
      </c>
      <c r="AQ453" s="73">
        <f t="shared" si="155"/>
        <v>1775</v>
      </c>
      <c r="AR453" s="75">
        <f t="shared" si="156"/>
        <v>0.64056338028169013</v>
      </c>
      <c r="AS453" s="75">
        <f t="shared" si="157"/>
        <v>5.0140845070422532E-2</v>
      </c>
      <c r="AT453" s="75">
        <f t="shared" si="158"/>
        <v>0.30929577464788732</v>
      </c>
      <c r="AU453" s="26">
        <f t="shared" si="159"/>
        <v>8.1570291777188331E-2</v>
      </c>
      <c r="AV453" s="26">
        <f t="shared" si="160"/>
        <v>7.6297082228116708E-2</v>
      </c>
      <c r="AW453" s="24">
        <f t="shared" si="161"/>
        <v>0.94333333333333336</v>
      </c>
      <c r="AX453" s="24">
        <f t="shared" si="162"/>
        <v>0.93333333333333335</v>
      </c>
      <c r="AY453" s="77" t="str">
        <f t="shared" si="163"/>
        <v>7,5 ≤ Alc. Bruta &lt; 10,0 mg/L</v>
      </c>
      <c r="AZ453" s="77" t="str">
        <f t="shared" si="164"/>
        <v>10 ≤ Cor &lt;15 uC</v>
      </c>
      <c r="BA453" s="78" t="str">
        <f t="shared" si="165"/>
        <v>2,5 ≤ Turb &lt; 5,0 uT</v>
      </c>
      <c r="BB453" s="79" t="str">
        <f t="shared" si="166"/>
        <v>TOR &gt; BNN &gt; SM</v>
      </c>
      <c r="BC453" s="78" t="str">
        <f t="shared" si="167"/>
        <v>Tipo 1 (≤0,25) uT</v>
      </c>
      <c r="BD453" s="78" t="str">
        <f t="shared" si="168"/>
        <v>Tipo 1 (≤0,25) uT</v>
      </c>
      <c r="BE453" s="78" t="str">
        <f t="shared" si="169"/>
        <v>Tipo 1 (≤0,25) uT</v>
      </c>
      <c r="BF453" s="78" t="str">
        <f t="shared" si="170"/>
        <v>Tipo 1 (≤0,25) uT</v>
      </c>
      <c r="BG453" s="78" t="str">
        <f t="shared" si="171"/>
        <v>Tipo 1 (≤0,25) uT</v>
      </c>
    </row>
    <row r="454" spans="1:59" x14ac:dyDescent="0.2">
      <c r="A454" s="21">
        <v>46173</v>
      </c>
      <c r="B454" s="48">
        <v>0.89583333333333337</v>
      </c>
      <c r="C454" s="57">
        <v>1198</v>
      </c>
      <c r="D454" s="57">
        <v>89</v>
      </c>
      <c r="E454" s="57">
        <v>550</v>
      </c>
      <c r="F454" s="57">
        <v>1890</v>
      </c>
      <c r="G454" s="10" t="s">
        <v>78</v>
      </c>
      <c r="H454" s="63">
        <v>7.3</v>
      </c>
      <c r="I454" s="57">
        <v>90</v>
      </c>
      <c r="J454" s="57">
        <v>90</v>
      </c>
      <c r="K454" s="57">
        <v>90</v>
      </c>
      <c r="L454" s="63">
        <v>23.3</v>
      </c>
      <c r="M454" s="63">
        <v>6.9</v>
      </c>
      <c r="N454" s="36">
        <v>2.77</v>
      </c>
      <c r="O454" s="57">
        <v>12</v>
      </c>
      <c r="P454" s="63">
        <v>8.1999999999999993</v>
      </c>
      <c r="Q454" s="36">
        <v>7.0000000000000007E-2</v>
      </c>
      <c r="R454" s="36">
        <v>22.36</v>
      </c>
      <c r="S454" s="36">
        <v>0.88</v>
      </c>
      <c r="T454" s="36">
        <v>0.7</v>
      </c>
      <c r="U454" s="42">
        <f t="shared" si="149"/>
        <v>1230.8625</v>
      </c>
      <c r="V454" s="36">
        <f t="shared" si="150"/>
        <v>1372.556302</v>
      </c>
      <c r="W454" s="36">
        <f t="shared" si="151"/>
        <v>1.1151174903776824</v>
      </c>
      <c r="X454" s="57">
        <v>2</v>
      </c>
      <c r="Y454" s="57">
        <v>4</v>
      </c>
      <c r="Z454" s="63">
        <v>6.5</v>
      </c>
      <c r="AA454" s="57">
        <v>17</v>
      </c>
      <c r="AB454" s="63">
        <v>6.7</v>
      </c>
      <c r="AC454" s="63">
        <v>7.2</v>
      </c>
      <c r="AD454" s="10">
        <v>0.14000000000000001</v>
      </c>
      <c r="AE454" s="36">
        <v>0.17</v>
      </c>
      <c r="AF454" s="42">
        <f t="shared" si="152"/>
        <v>1641.15</v>
      </c>
      <c r="AG454" s="42">
        <f t="shared" si="153"/>
        <v>1846.3284564400001</v>
      </c>
      <c r="AH454" s="42">
        <f t="shared" si="154"/>
        <v>1.1250211476342808</v>
      </c>
      <c r="AI454" s="57">
        <v>2</v>
      </c>
      <c r="AJ454" s="57">
        <v>3</v>
      </c>
      <c r="AK454" s="36">
        <v>6.47</v>
      </c>
      <c r="AL454" s="36">
        <v>23</v>
      </c>
      <c r="AM454" s="63">
        <v>6.5</v>
      </c>
      <c r="AN454" s="63">
        <v>5.5</v>
      </c>
      <c r="AO454" s="36">
        <v>0.26</v>
      </c>
      <c r="AP454" s="68">
        <v>0.18</v>
      </c>
      <c r="AQ454" s="73">
        <f t="shared" si="155"/>
        <v>1837</v>
      </c>
      <c r="AR454" s="75">
        <f t="shared" si="156"/>
        <v>0.65215024496461627</v>
      </c>
      <c r="AS454" s="75">
        <f t="shared" si="157"/>
        <v>4.8448557430593356E-2</v>
      </c>
      <c r="AT454" s="75">
        <f t="shared" si="158"/>
        <v>0.29940119760479039</v>
      </c>
      <c r="AU454" s="26">
        <f t="shared" si="159"/>
        <v>7.1957671957671956E-2</v>
      </c>
      <c r="AV454" s="26">
        <f t="shared" si="160"/>
        <v>7.301587301587302E-2</v>
      </c>
      <c r="AW454" s="24">
        <f t="shared" si="161"/>
        <v>0.93501805054151621</v>
      </c>
      <c r="AX454" s="24">
        <f t="shared" si="162"/>
        <v>0.93862815884476536</v>
      </c>
      <c r="AY454" s="77" t="str">
        <f t="shared" si="163"/>
        <v>7,5 ≤ Alc. Bruta &lt; 10,0 mg/L</v>
      </c>
      <c r="AZ454" s="77" t="str">
        <f t="shared" si="164"/>
        <v>10 ≤ Cor &lt;15 uC</v>
      </c>
      <c r="BA454" s="78" t="str">
        <f t="shared" si="165"/>
        <v>2,5 ≤ Turb &lt; 5,0 uT</v>
      </c>
      <c r="BB454" s="79" t="str">
        <f t="shared" si="166"/>
        <v>TOR &gt; BNN &gt; SM</v>
      </c>
      <c r="BC454" s="78" t="str">
        <f t="shared" si="167"/>
        <v>Tipo 1 (≤0,25) uT</v>
      </c>
      <c r="BD454" s="78" t="str">
        <f t="shared" si="168"/>
        <v>Tipo 2 (0,25-0,50) uT</v>
      </c>
      <c r="BE454" s="78" t="str">
        <f t="shared" si="169"/>
        <v>Tipo 1 (≤0,25) uT</v>
      </c>
      <c r="BF454" s="78" t="str">
        <f t="shared" si="170"/>
        <v>Tipo 1 (≤0,25) uT</v>
      </c>
      <c r="BG454" s="78" t="str">
        <f t="shared" si="171"/>
        <v>Tipo 1 (≤0,25) uT</v>
      </c>
    </row>
    <row r="455" spans="1:59" x14ac:dyDescent="0.2">
      <c r="A455" s="21">
        <v>46174</v>
      </c>
      <c r="B455" s="48">
        <v>6.25E-2</v>
      </c>
      <c r="C455" s="57">
        <v>1139</v>
      </c>
      <c r="D455" s="57">
        <v>90</v>
      </c>
      <c r="E455" s="57">
        <v>549</v>
      </c>
      <c r="F455" s="57">
        <v>1822</v>
      </c>
      <c r="G455" s="10" t="s">
        <v>78</v>
      </c>
      <c r="H455" s="63">
        <v>7.3</v>
      </c>
      <c r="I455" s="57">
        <v>90</v>
      </c>
      <c r="J455" s="57">
        <v>90</v>
      </c>
      <c r="K455" s="57">
        <v>90</v>
      </c>
      <c r="L455" s="63">
        <v>22.7</v>
      </c>
      <c r="M455" s="63">
        <v>6.8</v>
      </c>
      <c r="N455" s="36">
        <v>2.56</v>
      </c>
      <c r="O455" s="57">
        <v>9</v>
      </c>
      <c r="P455" s="63">
        <v>7.9</v>
      </c>
      <c r="Q455" s="36">
        <v>7.0000000000000007E-2</v>
      </c>
      <c r="R455" s="36">
        <v>22.36</v>
      </c>
      <c r="S455" s="36">
        <v>0.88</v>
      </c>
      <c r="T455" s="36">
        <v>0.7</v>
      </c>
      <c r="U455" s="42">
        <f t="shared" si="149"/>
        <v>1138.75</v>
      </c>
      <c r="V455" s="36">
        <f t="shared" si="150"/>
        <v>1455.7764029119999</v>
      </c>
      <c r="W455" s="36">
        <f t="shared" si="151"/>
        <v>1.2783985975077936</v>
      </c>
      <c r="X455" s="57">
        <v>2</v>
      </c>
      <c r="Y455" s="57">
        <v>4</v>
      </c>
      <c r="Z455" s="63">
        <v>6.48</v>
      </c>
      <c r="AA455" s="57">
        <v>18.100000000000001</v>
      </c>
      <c r="AB455" s="63">
        <v>6.6</v>
      </c>
      <c r="AC455" s="63">
        <v>7.4</v>
      </c>
      <c r="AD455" s="10">
        <v>0.28999999999999998</v>
      </c>
      <c r="AE455" s="36">
        <v>0.18</v>
      </c>
      <c r="AF455" s="42">
        <f t="shared" si="152"/>
        <v>1518.3333333333335</v>
      </c>
      <c r="AG455" s="42">
        <f t="shared" si="153"/>
        <v>1934.0188982399998</v>
      </c>
      <c r="AH455" s="42">
        <f t="shared" si="154"/>
        <v>1.2737775400043905</v>
      </c>
      <c r="AI455" s="57">
        <v>2</v>
      </c>
      <c r="AJ455" s="57">
        <v>3</v>
      </c>
      <c r="AK455" s="36">
        <v>6.49</v>
      </c>
      <c r="AL455" s="36">
        <v>24</v>
      </c>
      <c r="AM455" s="63">
        <v>6.5</v>
      </c>
      <c r="AN455" s="63">
        <v>7.7</v>
      </c>
      <c r="AO455" s="36">
        <v>0.23</v>
      </c>
      <c r="AP455" s="68">
        <v>0.16</v>
      </c>
      <c r="AQ455" s="73">
        <f t="shared" si="155"/>
        <v>1778</v>
      </c>
      <c r="AR455" s="75">
        <f t="shared" si="156"/>
        <v>0.64060742407199101</v>
      </c>
      <c r="AS455" s="75">
        <f t="shared" si="157"/>
        <v>5.0618672665916763E-2</v>
      </c>
      <c r="AT455" s="75">
        <f t="shared" si="158"/>
        <v>0.30877390326209225</v>
      </c>
      <c r="AU455" s="26">
        <f t="shared" si="159"/>
        <v>7.947310647639956E-2</v>
      </c>
      <c r="AV455" s="26">
        <f t="shared" si="160"/>
        <v>7.9034028540065859E-2</v>
      </c>
      <c r="AW455" s="24">
        <f t="shared" si="161"/>
        <v>0.9375</v>
      </c>
      <c r="AX455" s="24">
        <f t="shared" si="162"/>
        <v>0.9296875</v>
      </c>
      <c r="AY455" s="77" t="str">
        <f t="shared" si="163"/>
        <v>7,5 ≤ Alc. Bruta &lt; 10,0 mg/L</v>
      </c>
      <c r="AZ455" s="77" t="str">
        <f t="shared" si="164"/>
        <v>5 ≤ Cor &lt; 10 uC</v>
      </c>
      <c r="BA455" s="78" t="str">
        <f t="shared" si="165"/>
        <v>2,5 ≤ Turb &lt; 5,0 uT</v>
      </c>
      <c r="BB455" s="79" t="str">
        <f t="shared" si="166"/>
        <v>TOR &gt; BNN &gt; SM</v>
      </c>
      <c r="BC455" s="78" t="str">
        <f t="shared" si="167"/>
        <v>Tipo 2 (0,25-0,50) uT</v>
      </c>
      <c r="BD455" s="78" t="str">
        <f t="shared" si="168"/>
        <v>Tipo 1 (≤0,25) uT</v>
      </c>
      <c r="BE455" s="78" t="str">
        <f t="shared" si="169"/>
        <v>Tipo 1 (≤0,25) uT</v>
      </c>
      <c r="BF455" s="78" t="str">
        <f t="shared" si="170"/>
        <v>Tipo 1 (≤0,25) uT</v>
      </c>
      <c r="BG455" s="78" t="str">
        <f t="shared" si="171"/>
        <v>Tipo 1 (≤0,25) uT</v>
      </c>
    </row>
    <row r="456" spans="1:59" x14ac:dyDescent="0.2">
      <c r="A456" s="21">
        <v>46174</v>
      </c>
      <c r="B456" s="48">
        <v>0.14583333333333334</v>
      </c>
      <c r="C456" s="57">
        <v>1120</v>
      </c>
      <c r="D456" s="57">
        <v>90</v>
      </c>
      <c r="E456" s="57">
        <v>550</v>
      </c>
      <c r="F456" s="57">
        <v>1870</v>
      </c>
      <c r="G456" s="10" t="s">
        <v>78</v>
      </c>
      <c r="H456" s="63">
        <v>7.3</v>
      </c>
      <c r="I456" s="57">
        <v>90</v>
      </c>
      <c r="J456" s="57">
        <v>90</v>
      </c>
      <c r="K456" s="57">
        <v>90</v>
      </c>
      <c r="L456" s="63">
        <v>22.3</v>
      </c>
      <c r="M456" s="63">
        <v>6.8</v>
      </c>
      <c r="N456" s="36">
        <v>2.66</v>
      </c>
      <c r="O456" s="57">
        <v>11</v>
      </c>
      <c r="P456" s="63">
        <v>8</v>
      </c>
      <c r="Q456" s="36">
        <v>7.0000000000000007E-2</v>
      </c>
      <c r="R456" s="36">
        <v>22.36</v>
      </c>
      <c r="S456" s="36">
        <v>0.88</v>
      </c>
      <c r="T456" s="36">
        <v>0.7</v>
      </c>
      <c r="U456" s="42">
        <f t="shared" si="149"/>
        <v>1192.125</v>
      </c>
      <c r="V456" s="36">
        <f t="shared" si="150"/>
        <v>1450.5141736799999</v>
      </c>
      <c r="W456" s="36">
        <f t="shared" si="151"/>
        <v>1.2167467116955015</v>
      </c>
      <c r="X456" s="57">
        <v>2</v>
      </c>
      <c r="Y456" s="57">
        <v>4</v>
      </c>
      <c r="Z456" s="63">
        <v>6.49</v>
      </c>
      <c r="AA456" s="57">
        <v>18</v>
      </c>
      <c r="AB456" s="63">
        <v>6.6</v>
      </c>
      <c r="AC456" s="63">
        <v>7.5</v>
      </c>
      <c r="AD456" s="10">
        <v>0.16</v>
      </c>
      <c r="AE456" s="36">
        <v>0.2</v>
      </c>
      <c r="AF456" s="42">
        <f t="shared" si="152"/>
        <v>1589.5</v>
      </c>
      <c r="AG456" s="42">
        <f t="shared" si="153"/>
        <v>1934.0188982399998</v>
      </c>
      <c r="AH456" s="42">
        <f t="shared" si="154"/>
        <v>1.2167467116955015</v>
      </c>
      <c r="AI456" s="57">
        <v>2</v>
      </c>
      <c r="AJ456" s="57">
        <v>3</v>
      </c>
      <c r="AK456" s="36">
        <v>6.49</v>
      </c>
      <c r="AL456" s="36">
        <v>24</v>
      </c>
      <c r="AM456" s="63">
        <v>6.6</v>
      </c>
      <c r="AN456" s="63">
        <v>7.1</v>
      </c>
      <c r="AO456" s="36">
        <v>0.21</v>
      </c>
      <c r="AP456" s="68">
        <v>0.17</v>
      </c>
      <c r="AQ456" s="73">
        <f t="shared" si="155"/>
        <v>1760</v>
      </c>
      <c r="AR456" s="75">
        <f t="shared" si="156"/>
        <v>0.63636363636363635</v>
      </c>
      <c r="AS456" s="75">
        <f t="shared" si="157"/>
        <v>5.113636363636364E-2</v>
      </c>
      <c r="AT456" s="75">
        <f t="shared" si="158"/>
        <v>0.3125</v>
      </c>
      <c r="AU456" s="26">
        <f t="shared" si="159"/>
        <v>7.7005347593582893E-2</v>
      </c>
      <c r="AV456" s="26">
        <f t="shared" si="160"/>
        <v>7.7005347593582879E-2</v>
      </c>
      <c r="AW456" s="24">
        <f t="shared" si="161"/>
        <v>0.93609022556390975</v>
      </c>
      <c r="AX456" s="24">
        <f t="shared" si="162"/>
        <v>0.92481203007518797</v>
      </c>
      <c r="AY456" s="77" t="str">
        <f t="shared" si="163"/>
        <v>7,5 ≤ Alc. Bruta &lt; 10,0 mg/L</v>
      </c>
      <c r="AZ456" s="77" t="str">
        <f t="shared" si="164"/>
        <v>10 ≤ Cor &lt;15 uC</v>
      </c>
      <c r="BA456" s="78" t="str">
        <f t="shared" si="165"/>
        <v>2,5 ≤ Turb &lt; 5,0 uT</v>
      </c>
      <c r="BB456" s="79" t="str">
        <f t="shared" si="166"/>
        <v>TOR &gt; BNN &gt; SM</v>
      </c>
      <c r="BC456" s="78" t="str">
        <f t="shared" si="167"/>
        <v>Tipo 1 (≤0,25) uT</v>
      </c>
      <c r="BD456" s="78" t="str">
        <f t="shared" si="168"/>
        <v>Tipo 1 (≤0,25) uT</v>
      </c>
      <c r="BE456" s="78" t="str">
        <f t="shared" si="169"/>
        <v>Tipo 1 (≤0,25) uT</v>
      </c>
      <c r="BF456" s="78" t="str">
        <f t="shared" si="170"/>
        <v>Tipo 1 (≤0,25) uT</v>
      </c>
      <c r="BG456" s="78" t="str">
        <f t="shared" si="171"/>
        <v>Tipo 1 (≤0,25) uT</v>
      </c>
    </row>
    <row r="457" spans="1:59" ht="15.75" thickBot="1" x14ac:dyDescent="0.25">
      <c r="A457" s="21">
        <v>46174</v>
      </c>
      <c r="B457" s="51">
        <v>0.22916666666666666</v>
      </c>
      <c r="C457" s="58">
        <v>1112</v>
      </c>
      <c r="D457" s="58">
        <v>85</v>
      </c>
      <c r="E457" s="58">
        <v>549</v>
      </c>
      <c r="F457" s="58">
        <v>1923</v>
      </c>
      <c r="G457" s="11" t="s">
        <v>78</v>
      </c>
      <c r="H457" s="64">
        <v>7.3</v>
      </c>
      <c r="I457" s="58">
        <v>90</v>
      </c>
      <c r="J457" s="58">
        <v>90</v>
      </c>
      <c r="K457" s="58">
        <v>90</v>
      </c>
      <c r="L457" s="64">
        <v>22.5</v>
      </c>
      <c r="M457" s="64">
        <v>6.7</v>
      </c>
      <c r="N457" s="37">
        <v>2.58</v>
      </c>
      <c r="O457" s="58">
        <v>11</v>
      </c>
      <c r="P457" s="64">
        <v>7.8</v>
      </c>
      <c r="Q457" s="37">
        <v>7.0000000000000007E-2</v>
      </c>
      <c r="R457" s="36">
        <v>22.36</v>
      </c>
      <c r="S457" s="36">
        <v>0.88</v>
      </c>
      <c r="T457" s="36">
        <v>0.7</v>
      </c>
      <c r="U457" s="42">
        <f t="shared" si="149"/>
        <v>1206.6824999999999</v>
      </c>
      <c r="V457" s="36">
        <f t="shared" si="150"/>
        <v>1453.2949080000001</v>
      </c>
      <c r="W457" s="36">
        <f t="shared" si="151"/>
        <v>1.2043722420769343</v>
      </c>
      <c r="X457" s="58">
        <v>2</v>
      </c>
      <c r="Y457" s="58">
        <v>4</v>
      </c>
      <c r="Z457" s="64">
        <v>6.5</v>
      </c>
      <c r="AA457" s="58">
        <v>18</v>
      </c>
      <c r="AB457" s="64">
        <v>6.6</v>
      </c>
      <c r="AC457" s="64">
        <v>6.4</v>
      </c>
      <c r="AD457" s="11">
        <v>0.17</v>
      </c>
      <c r="AE457" s="37">
        <v>0.21</v>
      </c>
      <c r="AF457" s="42">
        <f t="shared" si="152"/>
        <v>1608.9099999999999</v>
      </c>
      <c r="AG457" s="42">
        <f t="shared" si="153"/>
        <v>1922.8959609599995</v>
      </c>
      <c r="AH457" s="42">
        <f t="shared" si="154"/>
        <v>1.1951544592053003</v>
      </c>
      <c r="AI457" s="58">
        <v>2</v>
      </c>
      <c r="AJ457" s="58">
        <v>3</v>
      </c>
      <c r="AK457" s="37">
        <v>6.46</v>
      </c>
      <c r="AL457" s="37">
        <v>24</v>
      </c>
      <c r="AM457" s="64">
        <v>6.6</v>
      </c>
      <c r="AN457" s="64">
        <v>5.6</v>
      </c>
      <c r="AO457" s="37">
        <v>0.16</v>
      </c>
      <c r="AP457" s="69">
        <v>0.2</v>
      </c>
      <c r="AQ457" s="73">
        <f t="shared" si="155"/>
        <v>1746</v>
      </c>
      <c r="AR457" s="75">
        <f t="shared" si="156"/>
        <v>0.63688430698739973</v>
      </c>
      <c r="AS457" s="75">
        <f t="shared" si="157"/>
        <v>4.868270332187858E-2</v>
      </c>
      <c r="AT457" s="75">
        <f t="shared" si="158"/>
        <v>0.31443298969072164</v>
      </c>
      <c r="AU457" s="26">
        <f t="shared" si="159"/>
        <v>7.4882995319812795E-2</v>
      </c>
      <c r="AV457" s="26">
        <f t="shared" si="160"/>
        <v>7.4882995319812795E-2</v>
      </c>
      <c r="AW457" s="26">
        <f t="shared" si="161"/>
        <v>0.92248062015503873</v>
      </c>
      <c r="AX457" s="24">
        <f t="shared" si="162"/>
        <v>0.91860465116279066</v>
      </c>
      <c r="AY457" s="77" t="str">
        <f t="shared" si="163"/>
        <v>7,5 ≤ Alc. Bruta &lt; 10,0 mg/L</v>
      </c>
      <c r="AZ457" s="77" t="str">
        <f t="shared" si="164"/>
        <v>10 ≤ Cor &lt;15 uC</v>
      </c>
      <c r="BA457" s="78" t="str">
        <f t="shared" si="165"/>
        <v>2,5 ≤ Turb &lt; 5,0 uT</v>
      </c>
      <c r="BB457" s="79" t="str">
        <f t="shared" si="166"/>
        <v>TOR &gt; BNN &gt; SM</v>
      </c>
      <c r="BC457" s="78" t="str">
        <f t="shared" si="167"/>
        <v>Tipo 1 (≤0,25) uT</v>
      </c>
      <c r="BD457" s="78" t="str">
        <f t="shared" si="168"/>
        <v>Tipo 1 (≤0,25) uT</v>
      </c>
      <c r="BE457" s="78" t="str">
        <f t="shared" si="169"/>
        <v>Tipo 1 (≤0,25) uT</v>
      </c>
      <c r="BF457" s="78" t="str">
        <f t="shared" si="170"/>
        <v>Tipo 1 (≤0,25) uT</v>
      </c>
      <c r="BG457" s="78" t="str">
        <f t="shared" si="171"/>
        <v>Tipo 1 (≤0,25) uT</v>
      </c>
    </row>
    <row r="458" spans="1:59" x14ac:dyDescent="0.2">
      <c r="A458" s="21">
        <v>46174</v>
      </c>
      <c r="B458" s="52">
        <v>0.3125</v>
      </c>
      <c r="C458" s="59">
        <v>1068</v>
      </c>
      <c r="D458" s="57">
        <v>89</v>
      </c>
      <c r="E458" s="59">
        <v>550</v>
      </c>
      <c r="F458" s="59">
        <v>1828</v>
      </c>
      <c r="G458" s="9" t="s">
        <v>78</v>
      </c>
      <c r="H458" s="65">
        <v>7.3</v>
      </c>
      <c r="I458" s="59">
        <v>90</v>
      </c>
      <c r="J458" s="59">
        <v>90</v>
      </c>
      <c r="K458" s="59">
        <v>90</v>
      </c>
      <c r="L458" s="65">
        <v>22.4</v>
      </c>
      <c r="M458" s="65">
        <v>6.8</v>
      </c>
      <c r="N458" s="38">
        <v>2.36</v>
      </c>
      <c r="O458" s="59">
        <v>15</v>
      </c>
      <c r="P458" s="65">
        <v>7.7</v>
      </c>
      <c r="Q458" s="38">
        <v>0.06</v>
      </c>
      <c r="R458" s="36">
        <v>22.36</v>
      </c>
      <c r="S458" s="36">
        <v>0.88</v>
      </c>
      <c r="T458" s="36">
        <v>0.7</v>
      </c>
      <c r="U458" s="42">
        <f t="shared" si="149"/>
        <v>1096.8</v>
      </c>
      <c r="V458" s="36">
        <f t="shared" si="150"/>
        <v>1369.9300529199998</v>
      </c>
      <c r="W458" s="36">
        <f t="shared" si="151"/>
        <v>1.2490244829686359</v>
      </c>
      <c r="X458" s="59">
        <v>2</v>
      </c>
      <c r="Y458" s="59">
        <v>4</v>
      </c>
      <c r="Z458" s="65">
        <v>6.49</v>
      </c>
      <c r="AA458" s="59">
        <v>17</v>
      </c>
      <c r="AB458" s="65">
        <v>6.5</v>
      </c>
      <c r="AC458" s="65">
        <v>6.4</v>
      </c>
      <c r="AD458" s="9">
        <v>0.16</v>
      </c>
      <c r="AE458" s="38">
        <v>0.32</v>
      </c>
      <c r="AF458" s="42">
        <f t="shared" si="152"/>
        <v>1462.4</v>
      </c>
      <c r="AG458" s="42">
        <f t="shared" si="153"/>
        <v>1849.8816169599997</v>
      </c>
      <c r="AH458" s="42">
        <f t="shared" si="154"/>
        <v>1.2649628124726475</v>
      </c>
      <c r="AI458" s="59">
        <v>2</v>
      </c>
      <c r="AJ458" s="59">
        <v>3</v>
      </c>
      <c r="AK458" s="38">
        <v>6.48</v>
      </c>
      <c r="AL458" s="38">
        <v>23</v>
      </c>
      <c r="AM458" s="65">
        <v>6.6</v>
      </c>
      <c r="AN458" s="65">
        <v>6.4</v>
      </c>
      <c r="AO458" s="38">
        <v>0.21</v>
      </c>
      <c r="AP458" s="70">
        <v>0.18</v>
      </c>
      <c r="AQ458" s="73">
        <f t="shared" si="155"/>
        <v>1707</v>
      </c>
      <c r="AR458" s="75">
        <f t="shared" si="156"/>
        <v>0.62565905096660812</v>
      </c>
      <c r="AS458" s="75">
        <f t="shared" si="157"/>
        <v>5.2138254247217339E-2</v>
      </c>
      <c r="AT458" s="75">
        <f t="shared" si="158"/>
        <v>0.32220269478617458</v>
      </c>
      <c r="AU458" s="26">
        <f t="shared" si="159"/>
        <v>7.4398249452954049E-2</v>
      </c>
      <c r="AV458" s="26">
        <f t="shared" si="160"/>
        <v>7.5492341356673959E-2</v>
      </c>
      <c r="AW458" s="26">
        <f t="shared" si="161"/>
        <v>0.92372881355932202</v>
      </c>
      <c r="AX458" s="24">
        <f t="shared" si="162"/>
        <v>0.86440677966101698</v>
      </c>
      <c r="AY458" s="77" t="str">
        <f t="shared" si="163"/>
        <v>7,5 ≤ Alc. Bruta &lt; 10,0 mg/L</v>
      </c>
      <c r="AZ458" s="77" t="str">
        <f t="shared" si="164"/>
        <v>15 ≤ Cor &lt; 30 uC</v>
      </c>
      <c r="BA458" s="78" t="str">
        <f t="shared" si="165"/>
        <v>Turbidez &lt; 2,5 uT</v>
      </c>
      <c r="BB458" s="79" t="str">
        <f t="shared" si="166"/>
        <v>TOR &gt; BNN &gt; SM</v>
      </c>
      <c r="BC458" s="78" t="str">
        <f t="shared" si="167"/>
        <v>Tipo 1 (≤0,25) uT</v>
      </c>
      <c r="BD458" s="78" t="str">
        <f t="shared" si="168"/>
        <v>Tipo 1 (≤0,25) uT</v>
      </c>
      <c r="BE458" s="78" t="str">
        <f t="shared" si="169"/>
        <v>Tipo 2 (0,25-0,50) uT</v>
      </c>
      <c r="BF458" s="78" t="str">
        <f t="shared" si="170"/>
        <v>Tipo 1 (≤0,25) uT</v>
      </c>
      <c r="BG458" s="78" t="str">
        <f t="shared" si="171"/>
        <v>Tipo 1 (≤0,25) uT</v>
      </c>
    </row>
    <row r="459" spans="1:59" x14ac:dyDescent="0.2">
      <c r="A459" s="21">
        <v>46174</v>
      </c>
      <c r="B459" s="48">
        <v>0.39583333333333331</v>
      </c>
      <c r="C459" s="57">
        <v>1121</v>
      </c>
      <c r="D459" s="57">
        <v>86</v>
      </c>
      <c r="E459" s="57">
        <v>551</v>
      </c>
      <c r="F459" s="57">
        <v>1794</v>
      </c>
      <c r="G459" s="10" t="s">
        <v>78</v>
      </c>
      <c r="H459" s="63">
        <v>7.3</v>
      </c>
      <c r="I459" s="57">
        <v>90</v>
      </c>
      <c r="J459" s="57">
        <v>90</v>
      </c>
      <c r="K459" s="57">
        <v>90</v>
      </c>
      <c r="L459" s="63">
        <v>22.6</v>
      </c>
      <c r="M459" s="63">
        <v>6.8</v>
      </c>
      <c r="N459" s="36">
        <v>2.61</v>
      </c>
      <c r="O459" s="57">
        <v>12</v>
      </c>
      <c r="P459" s="63">
        <v>7.7</v>
      </c>
      <c r="Q459" s="36">
        <v>7.0000000000000007E-2</v>
      </c>
      <c r="R459" s="36">
        <v>22.36</v>
      </c>
      <c r="S459" s="36">
        <v>0.88</v>
      </c>
      <c r="T459" s="36">
        <v>0.7</v>
      </c>
      <c r="U459" s="42">
        <f t="shared" si="149"/>
        <v>1509.95</v>
      </c>
      <c r="V459" s="36">
        <f t="shared" si="150"/>
        <v>1450.5141736799999</v>
      </c>
      <c r="W459" s="36">
        <f t="shared" si="151"/>
        <v>0.96063722221265591</v>
      </c>
      <c r="X459" s="57">
        <v>2</v>
      </c>
      <c r="Y459" s="57">
        <v>3</v>
      </c>
      <c r="Z459" s="63">
        <v>6.49</v>
      </c>
      <c r="AA459" s="57">
        <v>18</v>
      </c>
      <c r="AB459" s="63">
        <v>6.6</v>
      </c>
      <c r="AC459" s="63">
        <v>6.5</v>
      </c>
      <c r="AD459" s="10">
        <v>0.4</v>
      </c>
      <c r="AE459" s="36">
        <v>0.31</v>
      </c>
      <c r="AF459" s="42">
        <f t="shared" si="152"/>
        <v>1132.4624999999999</v>
      </c>
      <c r="AG459" s="42">
        <f t="shared" si="153"/>
        <v>1948.84948128</v>
      </c>
      <c r="AH459" s="42">
        <f t="shared" si="154"/>
        <v>1.7208953773568663</v>
      </c>
      <c r="AI459" s="57">
        <v>2</v>
      </c>
      <c r="AJ459" s="57">
        <v>4</v>
      </c>
      <c r="AK459" s="36">
        <v>6.53</v>
      </c>
      <c r="AL459" s="36">
        <v>24</v>
      </c>
      <c r="AM459" s="63">
        <v>6.6</v>
      </c>
      <c r="AN459" s="63">
        <v>6.2</v>
      </c>
      <c r="AO459" s="36">
        <v>0.19</v>
      </c>
      <c r="AP459" s="68">
        <v>0.26</v>
      </c>
      <c r="AQ459" s="73">
        <f t="shared" si="155"/>
        <v>1758</v>
      </c>
      <c r="AR459" s="75">
        <f t="shared" si="156"/>
        <v>0.63765642775881681</v>
      </c>
      <c r="AS459" s="75">
        <f t="shared" si="157"/>
        <v>4.8919226393629126E-2</v>
      </c>
      <c r="AT459" s="75">
        <f t="shared" si="158"/>
        <v>0.31342434584755402</v>
      </c>
      <c r="AU459" s="26">
        <f t="shared" si="159"/>
        <v>6.0200668896321072E-2</v>
      </c>
      <c r="AV459" s="26">
        <f t="shared" si="160"/>
        <v>0.10702341137123746</v>
      </c>
      <c r="AW459" s="26">
        <f t="shared" si="161"/>
        <v>0.90038314176245215</v>
      </c>
      <c r="AX459" s="24">
        <f t="shared" si="162"/>
        <v>0.88122605363984674</v>
      </c>
      <c r="AY459" s="77" t="str">
        <f t="shared" si="163"/>
        <v>7,5 ≤ Alc. Bruta &lt; 10,0 mg/L</v>
      </c>
      <c r="AZ459" s="77" t="str">
        <f t="shared" si="164"/>
        <v>10 ≤ Cor &lt;15 uC</v>
      </c>
      <c r="BA459" s="78" t="str">
        <f t="shared" si="165"/>
        <v>2,5 ≤ Turb &lt; 5,0 uT</v>
      </c>
      <c r="BB459" s="79" t="str">
        <f t="shared" si="166"/>
        <v>TOR &gt; BNN &gt; SM</v>
      </c>
      <c r="BC459" s="78" t="str">
        <f t="shared" si="167"/>
        <v>Tipo 2 (0,25-0,50) uT</v>
      </c>
      <c r="BD459" s="78" t="str">
        <f t="shared" si="168"/>
        <v>Tipo 1 (≤0,25) uT</v>
      </c>
      <c r="BE459" s="78" t="str">
        <f t="shared" si="169"/>
        <v>Tipo 2 (0,25-0,50) uT</v>
      </c>
      <c r="BF459" s="78" t="str">
        <f t="shared" si="170"/>
        <v>Tipo 2 (0,25-0,50) uT</v>
      </c>
      <c r="BG459" s="78" t="str">
        <f t="shared" si="171"/>
        <v>Tipo 1 (≤0,25) uT</v>
      </c>
    </row>
    <row r="460" spans="1:59" x14ac:dyDescent="0.2">
      <c r="A460" s="21">
        <v>46174</v>
      </c>
      <c r="B460" s="48">
        <v>0.5625</v>
      </c>
      <c r="C460" s="57">
        <v>1259</v>
      </c>
      <c r="D460" s="57">
        <v>92</v>
      </c>
      <c r="E460" s="57">
        <v>550</v>
      </c>
      <c r="F460" s="57">
        <v>1816</v>
      </c>
      <c r="G460" s="10" t="s">
        <v>78</v>
      </c>
      <c r="H460" s="63">
        <v>7.3</v>
      </c>
      <c r="I460" s="57">
        <v>90</v>
      </c>
      <c r="J460" s="57">
        <v>90</v>
      </c>
      <c r="K460" s="57">
        <v>90</v>
      </c>
      <c r="L460" s="63">
        <v>23</v>
      </c>
      <c r="M460" s="63">
        <v>6.8</v>
      </c>
      <c r="N460" s="36">
        <v>2.4900000000000002</v>
      </c>
      <c r="O460" s="57">
        <v>13</v>
      </c>
      <c r="P460" s="63">
        <v>8.1</v>
      </c>
      <c r="Q460" s="36">
        <v>0.08</v>
      </c>
      <c r="R460" s="36">
        <v>22.36</v>
      </c>
      <c r="S460" s="36">
        <v>0.88</v>
      </c>
      <c r="T460" s="36">
        <v>0.7</v>
      </c>
      <c r="U460" s="42">
        <f t="shared" si="149"/>
        <v>1492.1466666666668</v>
      </c>
      <c r="V460" s="36">
        <f t="shared" si="150"/>
        <v>1377.8088001599995</v>
      </c>
      <c r="W460" s="36">
        <f t="shared" si="151"/>
        <v>0.92337357375056928</v>
      </c>
      <c r="X460" s="57">
        <v>2</v>
      </c>
      <c r="Y460" s="57">
        <v>3</v>
      </c>
      <c r="Z460" s="63">
        <v>6.52</v>
      </c>
      <c r="AA460" s="57">
        <v>17</v>
      </c>
      <c r="AB460" s="63">
        <v>6.8</v>
      </c>
      <c r="AC460" s="63">
        <v>6.4</v>
      </c>
      <c r="AD460" s="10">
        <v>0.24</v>
      </c>
      <c r="AE460" s="36">
        <v>0.3</v>
      </c>
      <c r="AF460" s="42">
        <f t="shared" si="152"/>
        <v>1119.1099999999999</v>
      </c>
      <c r="AG460" s="42">
        <f t="shared" si="153"/>
        <v>1937.7265440000001</v>
      </c>
      <c r="AH460" s="42">
        <f t="shared" si="154"/>
        <v>1.7314889010016892</v>
      </c>
      <c r="AI460" s="57">
        <v>4</v>
      </c>
      <c r="AJ460" s="57">
        <v>4</v>
      </c>
      <c r="AK460" s="36">
        <v>6.5</v>
      </c>
      <c r="AL460" s="36">
        <v>24</v>
      </c>
      <c r="AM460" s="63">
        <v>6.7</v>
      </c>
      <c r="AN460" s="63">
        <v>6.6</v>
      </c>
      <c r="AO460" s="36">
        <v>0.32</v>
      </c>
      <c r="AP460" s="68">
        <v>0.3</v>
      </c>
      <c r="AQ460" s="73">
        <f t="shared" si="155"/>
        <v>1901</v>
      </c>
      <c r="AR460" s="75">
        <f t="shared" si="156"/>
        <v>0.66228300894266179</v>
      </c>
      <c r="AS460" s="75">
        <f t="shared" si="157"/>
        <v>4.8395581273014202E-2</v>
      </c>
      <c r="AT460" s="75">
        <f t="shared" si="158"/>
        <v>0.28932140978432402</v>
      </c>
      <c r="AU460" s="26">
        <f t="shared" si="159"/>
        <v>5.6167400881057268E-2</v>
      </c>
      <c r="AV460" s="26">
        <f t="shared" si="160"/>
        <v>0.10572687224669604</v>
      </c>
      <c r="AW460" s="26">
        <f t="shared" si="161"/>
        <v>0.87951807228915668</v>
      </c>
      <c r="AX460" s="24">
        <f t="shared" si="162"/>
        <v>0.87951807228915668</v>
      </c>
      <c r="AY460" s="77" t="str">
        <f t="shared" si="163"/>
        <v>7,5 ≤ Alc. Bruta &lt; 10,0 mg/L</v>
      </c>
      <c r="AZ460" s="77" t="str">
        <f t="shared" si="164"/>
        <v>10 ≤ Cor &lt;15 uC</v>
      </c>
      <c r="BA460" s="78" t="str">
        <f t="shared" si="165"/>
        <v>Turbidez &lt; 2,5 uT</v>
      </c>
      <c r="BB460" s="79" t="str">
        <f t="shared" si="166"/>
        <v>TOR &gt; BNN &gt; SM</v>
      </c>
      <c r="BC460" s="78" t="str">
        <f t="shared" si="167"/>
        <v>Tipo 1 (≤0,25) uT</v>
      </c>
      <c r="BD460" s="78" t="str">
        <f t="shared" si="168"/>
        <v>Tipo 2 (0,25-0,50) uT</v>
      </c>
      <c r="BE460" s="78" t="str">
        <f t="shared" si="169"/>
        <v>Tipo 2 (0,25-0,50) uT</v>
      </c>
      <c r="BF460" s="78" t="str">
        <f t="shared" si="170"/>
        <v>Tipo 2 (0,25-0,50) uT</v>
      </c>
      <c r="BG460" s="78" t="str">
        <f t="shared" si="171"/>
        <v>Tipo 1 (≤0,25) uT</v>
      </c>
    </row>
    <row r="461" spans="1:59" ht="15.75" thickBot="1" x14ac:dyDescent="0.25">
      <c r="A461" s="21">
        <v>46174</v>
      </c>
      <c r="B461" s="48">
        <v>0.72916666666666663</v>
      </c>
      <c r="C461" s="57">
        <v>1043</v>
      </c>
      <c r="D461" s="57">
        <v>80</v>
      </c>
      <c r="E461" s="57">
        <v>550</v>
      </c>
      <c r="F461" s="57">
        <v>1786</v>
      </c>
      <c r="G461" s="10" t="s">
        <v>78</v>
      </c>
      <c r="H461" s="63">
        <v>7.3</v>
      </c>
      <c r="I461" s="57">
        <v>90</v>
      </c>
      <c r="J461" s="57">
        <v>90</v>
      </c>
      <c r="K461" s="57">
        <v>90</v>
      </c>
      <c r="L461" s="63">
        <v>24.5</v>
      </c>
      <c r="M461" s="63">
        <v>6.8</v>
      </c>
      <c r="N461" s="36">
        <v>2.68</v>
      </c>
      <c r="O461" s="57">
        <v>13</v>
      </c>
      <c r="P461" s="63">
        <v>7.6</v>
      </c>
      <c r="Q461" s="36">
        <v>0.12</v>
      </c>
      <c r="R461" s="36">
        <v>22.36</v>
      </c>
      <c r="S461" s="36">
        <v>0.88</v>
      </c>
      <c r="T461" s="36">
        <v>0.7</v>
      </c>
      <c r="U461" s="42">
        <f t="shared" si="149"/>
        <v>1524.0533333333335</v>
      </c>
      <c r="V461" s="36">
        <f t="shared" si="150"/>
        <v>1456.0756423199998</v>
      </c>
      <c r="W461" s="36">
        <f t="shared" si="151"/>
        <v>0.95539677678821366</v>
      </c>
      <c r="X461" s="57">
        <v>2</v>
      </c>
      <c r="Y461" s="57">
        <v>3</v>
      </c>
      <c r="Z461" s="63">
        <v>6.51</v>
      </c>
      <c r="AA461" s="57">
        <v>18</v>
      </c>
      <c r="AB461" s="63">
        <v>6.7</v>
      </c>
      <c r="AC461" s="63">
        <v>6.6</v>
      </c>
      <c r="AD461" s="10">
        <v>0.44</v>
      </c>
      <c r="AE461" s="36">
        <v>0.52</v>
      </c>
      <c r="AF461" s="42">
        <f t="shared" si="152"/>
        <v>1143.04</v>
      </c>
      <c r="AG461" s="42">
        <f t="shared" si="153"/>
        <v>1941.4341897599998</v>
      </c>
      <c r="AH461" s="42">
        <f t="shared" si="154"/>
        <v>1.6984831587346023</v>
      </c>
      <c r="AI461" s="57">
        <v>2</v>
      </c>
      <c r="AJ461" s="57">
        <v>4</v>
      </c>
      <c r="AK461" s="36">
        <v>6.51</v>
      </c>
      <c r="AL461" s="36">
        <v>24</v>
      </c>
      <c r="AM461" s="63">
        <v>6.6</v>
      </c>
      <c r="AN461" s="63">
        <v>6.5</v>
      </c>
      <c r="AO461" s="36">
        <v>0.41</v>
      </c>
      <c r="AP461" s="68">
        <v>0.78</v>
      </c>
      <c r="AQ461" s="73">
        <f t="shared" si="155"/>
        <v>1673</v>
      </c>
      <c r="AR461" s="75">
        <f t="shared" si="156"/>
        <v>0.62343096234309625</v>
      </c>
      <c r="AS461" s="75">
        <f t="shared" si="157"/>
        <v>4.7818290496114767E-2</v>
      </c>
      <c r="AT461" s="75">
        <f t="shared" si="158"/>
        <v>0.328750747160789</v>
      </c>
      <c r="AU461" s="26">
        <f t="shared" si="159"/>
        <v>6.0470324748040309E-2</v>
      </c>
      <c r="AV461" s="26">
        <f t="shared" si="160"/>
        <v>0.10750279955207166</v>
      </c>
      <c r="AW461" s="26">
        <f t="shared" si="161"/>
        <v>0.70895522388059695</v>
      </c>
      <c r="AX461" s="24">
        <f t="shared" si="162"/>
        <v>0.80597014925373134</v>
      </c>
      <c r="AY461" s="77" t="str">
        <f t="shared" si="163"/>
        <v>7,5 ≤ Alc. Bruta &lt; 10,0 mg/L</v>
      </c>
      <c r="AZ461" s="77" t="str">
        <f t="shared" si="164"/>
        <v>10 ≤ Cor &lt;15 uC</v>
      </c>
      <c r="BA461" s="78" t="str">
        <f t="shared" si="165"/>
        <v>2,5 ≤ Turb &lt; 5,0 uT</v>
      </c>
      <c r="BB461" s="79" t="str">
        <f t="shared" si="166"/>
        <v>TOR &gt; BNN &gt; SM</v>
      </c>
      <c r="BC461" s="78" t="str">
        <f t="shared" si="167"/>
        <v>Tipo 2 (0,25-0,50) uT</v>
      </c>
      <c r="BD461" s="78" t="str">
        <f t="shared" si="168"/>
        <v>Tipo 2 (0,25-0,50) uT</v>
      </c>
      <c r="BE461" s="78" t="str">
        <f t="shared" si="169"/>
        <v>Tipo 3 (0,50-0,75) uT</v>
      </c>
      <c r="BF461" s="78" t="str">
        <f t="shared" si="170"/>
        <v>Tipo 4 (&gt;0,75) uT</v>
      </c>
      <c r="BG461" s="78" t="str">
        <f t="shared" si="171"/>
        <v>Tipo 1 (≤0,25) uT</v>
      </c>
    </row>
    <row r="462" spans="1:59" x14ac:dyDescent="0.2">
      <c r="A462" s="21">
        <v>46175</v>
      </c>
      <c r="B462" s="52">
        <v>0.3125</v>
      </c>
      <c r="C462" s="59">
        <v>1100</v>
      </c>
      <c r="D462" s="57">
        <v>86</v>
      </c>
      <c r="E462" s="59">
        <v>550</v>
      </c>
      <c r="F462" s="59">
        <v>1740</v>
      </c>
      <c r="G462" s="9" t="s">
        <v>78</v>
      </c>
      <c r="H462" s="65">
        <v>7.5</v>
      </c>
      <c r="I462" s="59">
        <v>90</v>
      </c>
      <c r="J462" s="59">
        <v>90</v>
      </c>
      <c r="K462" s="59">
        <v>90</v>
      </c>
      <c r="L462" s="63">
        <v>23.2</v>
      </c>
      <c r="M462" s="63">
        <v>6.8</v>
      </c>
      <c r="N462" s="36">
        <v>4.41</v>
      </c>
      <c r="O462" s="57">
        <v>16</v>
      </c>
      <c r="P462" s="63">
        <v>8.6999999999999993</v>
      </c>
      <c r="Q462" s="38">
        <v>0.11</v>
      </c>
      <c r="R462" s="36">
        <v>22.36</v>
      </c>
      <c r="S462" s="36">
        <v>0.88</v>
      </c>
      <c r="T462" s="36">
        <v>0.7</v>
      </c>
      <c r="U462" s="42">
        <f t="shared" si="149"/>
        <v>3005.85</v>
      </c>
      <c r="V462" s="36">
        <f t="shared" si="150"/>
        <v>1534.0335140000002</v>
      </c>
      <c r="W462" s="36">
        <f t="shared" si="151"/>
        <v>0.51034932348586926</v>
      </c>
      <c r="X462" s="59">
        <v>2</v>
      </c>
      <c r="Y462" s="59">
        <v>2</v>
      </c>
      <c r="Z462" s="65">
        <v>6.5</v>
      </c>
      <c r="AA462" s="59">
        <v>19</v>
      </c>
      <c r="AB462" s="65">
        <v>6.7</v>
      </c>
      <c r="AC462" s="65">
        <v>5.7</v>
      </c>
      <c r="AD462" s="9">
        <v>0.28000000000000003</v>
      </c>
      <c r="AE462" s="38">
        <v>0.31</v>
      </c>
      <c r="AF462" s="42">
        <f t="shared" si="152"/>
        <v>3005.85</v>
      </c>
      <c r="AG462" s="42">
        <f t="shared" si="153"/>
        <v>1692.2665359599998</v>
      </c>
      <c r="AH462" s="42">
        <f t="shared" si="154"/>
        <v>0.56299101284495234</v>
      </c>
      <c r="AI462" s="59">
        <v>2</v>
      </c>
      <c r="AJ462" s="59">
        <v>2</v>
      </c>
      <c r="AK462" s="38">
        <v>6.49</v>
      </c>
      <c r="AL462" s="38">
        <v>21</v>
      </c>
      <c r="AM462" s="65">
        <v>6.8</v>
      </c>
      <c r="AN462" s="65">
        <v>5.7</v>
      </c>
      <c r="AO462" s="38">
        <v>0.19</v>
      </c>
      <c r="AP462" s="70">
        <v>0.38</v>
      </c>
      <c r="AQ462" s="73">
        <f t="shared" si="155"/>
        <v>1736</v>
      </c>
      <c r="AR462" s="75">
        <f t="shared" si="156"/>
        <v>0.63364055299539168</v>
      </c>
      <c r="AS462" s="75">
        <f t="shared" si="157"/>
        <v>4.9539170506912443E-2</v>
      </c>
      <c r="AT462" s="75">
        <f t="shared" si="158"/>
        <v>0.31682027649769584</v>
      </c>
      <c r="AU462" s="26">
        <f t="shared" si="159"/>
        <v>4.3678160919540229E-2</v>
      </c>
      <c r="AV462" s="26">
        <f t="shared" si="160"/>
        <v>4.8275862068965517E-2</v>
      </c>
      <c r="AW462" s="26"/>
      <c r="AX462" s="24"/>
      <c r="AY462" s="77" t="str">
        <f t="shared" si="163"/>
        <v>7,5 ≤ Alc. Bruta &lt; 10,0 mg/L</v>
      </c>
      <c r="AZ462" s="77" t="str">
        <f t="shared" si="164"/>
        <v>15 ≤ Cor &lt; 30 uC</v>
      </c>
      <c r="BA462" s="78" t="str">
        <f t="shared" si="165"/>
        <v>2,5 ≤ Turb &lt; 5,0 uT</v>
      </c>
      <c r="BB462" s="79" t="str">
        <f t="shared" si="166"/>
        <v>TOR &gt; BNN &gt; SM</v>
      </c>
      <c r="BC462" s="78" t="str">
        <f t="shared" si="167"/>
        <v>Tipo 2 (0,25-0,50) uT</v>
      </c>
      <c r="BD462" s="78" t="str">
        <f t="shared" si="168"/>
        <v>Tipo 1 (≤0,25) uT</v>
      </c>
      <c r="BE462" s="78" t="str">
        <f t="shared" si="169"/>
        <v>Tipo 2 (0,25-0,50) uT</v>
      </c>
      <c r="BF462" s="78" t="str">
        <f t="shared" si="170"/>
        <v>Tipo 2 (0,25-0,50) uT</v>
      </c>
      <c r="BG462" s="78" t="str">
        <f t="shared" si="171"/>
        <v>Tipo 1 (≤0,25) uT</v>
      </c>
    </row>
    <row r="463" spans="1:59" x14ac:dyDescent="0.2">
      <c r="A463" s="21">
        <v>46175</v>
      </c>
      <c r="B463" s="48">
        <v>0.39583333333333331</v>
      </c>
      <c r="C463" s="57">
        <v>1068</v>
      </c>
      <c r="D463" s="57">
        <v>93</v>
      </c>
      <c r="E463" s="57">
        <v>550</v>
      </c>
      <c r="F463" s="57">
        <v>1713</v>
      </c>
      <c r="G463" s="10" t="s">
        <v>78</v>
      </c>
      <c r="H463" s="63">
        <v>7.5</v>
      </c>
      <c r="I463" s="57">
        <v>90</v>
      </c>
      <c r="J463" s="57">
        <v>90</v>
      </c>
      <c r="K463" s="57">
        <v>90</v>
      </c>
      <c r="L463" s="63">
        <v>23.2</v>
      </c>
      <c r="M463" s="63">
        <v>6.8</v>
      </c>
      <c r="N463" s="36">
        <v>4.41</v>
      </c>
      <c r="O463" s="57">
        <v>16</v>
      </c>
      <c r="P463" s="63">
        <v>8.6999999999999993</v>
      </c>
      <c r="Q463" s="36">
        <v>0.25</v>
      </c>
      <c r="R463" s="36">
        <v>22.36</v>
      </c>
      <c r="S463" s="36">
        <v>0.88</v>
      </c>
      <c r="T463" s="36">
        <v>0.7</v>
      </c>
      <c r="U463" s="42">
        <f t="shared" si="149"/>
        <v>2959.2075</v>
      </c>
      <c r="V463" s="36">
        <f t="shared" si="150"/>
        <v>1534.0335140000002</v>
      </c>
      <c r="W463" s="36">
        <f t="shared" si="151"/>
        <v>0.51839335835692502</v>
      </c>
      <c r="X463" s="57">
        <v>2</v>
      </c>
      <c r="Y463" s="57">
        <v>2</v>
      </c>
      <c r="Z463" s="63">
        <v>6.5</v>
      </c>
      <c r="AA463" s="57">
        <v>19</v>
      </c>
      <c r="AB463" s="63">
        <v>6.7</v>
      </c>
      <c r="AC463" s="63">
        <v>6.7</v>
      </c>
      <c r="AD463" s="10">
        <v>0.26</v>
      </c>
      <c r="AE463" s="36">
        <v>0.36</v>
      </c>
      <c r="AF463" s="42">
        <f t="shared" si="152"/>
        <v>1479.60375</v>
      </c>
      <c r="AG463" s="42">
        <f t="shared" si="153"/>
        <v>1860.5410985199997</v>
      </c>
      <c r="AH463" s="42">
        <f t="shared" si="154"/>
        <v>1.2574590315278666</v>
      </c>
      <c r="AI463" s="57">
        <v>2</v>
      </c>
      <c r="AJ463" s="57">
        <v>4</v>
      </c>
      <c r="AK463" s="36">
        <v>6.51</v>
      </c>
      <c r="AL463" s="36">
        <v>23</v>
      </c>
      <c r="AM463" s="63">
        <v>6.7</v>
      </c>
      <c r="AN463" s="63">
        <v>6.8</v>
      </c>
      <c r="AO463" s="36">
        <v>0.23</v>
      </c>
      <c r="AP463" s="68">
        <v>0.47</v>
      </c>
      <c r="AQ463" s="73">
        <f t="shared" si="155"/>
        <v>1711</v>
      </c>
      <c r="AR463" s="75">
        <f t="shared" si="156"/>
        <v>0.62419637638807712</v>
      </c>
      <c r="AS463" s="75">
        <f t="shared" si="157"/>
        <v>5.4354178842782E-2</v>
      </c>
      <c r="AT463" s="75">
        <f t="shared" si="158"/>
        <v>0.32144944476914084</v>
      </c>
      <c r="AU463" s="26">
        <f t="shared" si="159"/>
        <v>4.4366608289550497E-2</v>
      </c>
      <c r="AV463" s="26">
        <f t="shared" si="160"/>
        <v>0.10741389375364857</v>
      </c>
      <c r="AW463" s="26"/>
      <c r="AX463" s="24"/>
      <c r="AY463" s="77" t="str">
        <f t="shared" si="163"/>
        <v>7,5 ≤ Alc. Bruta &lt; 10,0 mg/L</v>
      </c>
      <c r="AZ463" s="77" t="str">
        <f t="shared" si="164"/>
        <v>15 ≤ Cor &lt; 30 uC</v>
      </c>
      <c r="BA463" s="78" t="str">
        <f t="shared" si="165"/>
        <v>2,5 ≤ Turb &lt; 5,0 uT</v>
      </c>
      <c r="BB463" s="79" t="str">
        <f t="shared" si="166"/>
        <v>TOR &gt; BNN &gt; SM</v>
      </c>
      <c r="BC463" s="78" t="str">
        <f t="shared" si="167"/>
        <v>Tipo 2 (0,25-0,50) uT</v>
      </c>
      <c r="BD463" s="78" t="str">
        <f t="shared" si="168"/>
        <v>Tipo 1 (≤0,25) uT</v>
      </c>
      <c r="BE463" s="78" t="str">
        <f t="shared" si="169"/>
        <v>Tipo 2 (0,25-0,50) uT</v>
      </c>
      <c r="BF463" s="78" t="str">
        <f t="shared" si="170"/>
        <v>Tipo 2 (0,25-0,50) uT</v>
      </c>
      <c r="BG463" s="78" t="str">
        <f t="shared" si="171"/>
        <v>Tipo 1 (≤0,25) uT</v>
      </c>
    </row>
    <row r="464" spans="1:59" x14ac:dyDescent="0.2">
      <c r="A464" s="21">
        <v>46175</v>
      </c>
      <c r="B464" s="48">
        <v>0.47916666666666669</v>
      </c>
      <c r="C464" s="57">
        <v>1096</v>
      </c>
      <c r="D464" s="57">
        <v>91</v>
      </c>
      <c r="E464" s="57">
        <v>550</v>
      </c>
      <c r="F464" s="57">
        <v>1737</v>
      </c>
      <c r="G464" s="10" t="s">
        <v>78</v>
      </c>
      <c r="H464" s="63">
        <v>7.3</v>
      </c>
      <c r="I464" s="57">
        <v>90</v>
      </c>
      <c r="J464" s="57">
        <v>90</v>
      </c>
      <c r="K464" s="57">
        <v>90</v>
      </c>
      <c r="L464" s="63">
        <v>23.2</v>
      </c>
      <c r="M464" s="63">
        <v>6.8</v>
      </c>
      <c r="N464" s="36">
        <v>4.41</v>
      </c>
      <c r="O464" s="57">
        <v>16</v>
      </c>
      <c r="P464" s="63">
        <v>8.6999999999999993</v>
      </c>
      <c r="Q464" s="36">
        <v>0.12</v>
      </c>
      <c r="R464" s="36">
        <v>22.36</v>
      </c>
      <c r="S464" s="36">
        <v>0.88</v>
      </c>
      <c r="T464" s="36">
        <v>0.7</v>
      </c>
      <c r="U464" s="42">
        <f t="shared" si="149"/>
        <v>1983.0749999999998</v>
      </c>
      <c r="V464" s="36">
        <f t="shared" si="150"/>
        <v>1536.9687335599997</v>
      </c>
      <c r="W464" s="36">
        <f t="shared" si="151"/>
        <v>0.77504316960276332</v>
      </c>
      <c r="X464" s="57">
        <v>2</v>
      </c>
      <c r="Y464" s="57">
        <v>3</v>
      </c>
      <c r="Z464" s="63">
        <v>6.51</v>
      </c>
      <c r="AA464" s="57">
        <v>19</v>
      </c>
      <c r="AB464" s="63">
        <v>6.8</v>
      </c>
      <c r="AC464" s="63">
        <v>6.7</v>
      </c>
      <c r="AD464" s="10">
        <v>0.15</v>
      </c>
      <c r="AE464" s="36">
        <v>0.2</v>
      </c>
      <c r="AF464" s="42">
        <f t="shared" si="152"/>
        <v>1487.3062499999999</v>
      </c>
      <c r="AG464" s="42">
        <f t="shared" si="153"/>
        <v>1849.8816169599997</v>
      </c>
      <c r="AH464" s="42">
        <f t="shared" si="154"/>
        <v>1.2437798986994104</v>
      </c>
      <c r="AI464" s="57">
        <v>2</v>
      </c>
      <c r="AJ464" s="57">
        <v>4</v>
      </c>
      <c r="AK464" s="36">
        <v>6.48</v>
      </c>
      <c r="AL464" s="36">
        <v>23</v>
      </c>
      <c r="AM464" s="63">
        <v>6.6</v>
      </c>
      <c r="AN464" s="63">
        <v>6.9</v>
      </c>
      <c r="AO464" s="36">
        <v>0.44</v>
      </c>
      <c r="AP464" s="68">
        <v>0.28999999999999998</v>
      </c>
      <c r="AQ464" s="73">
        <f t="shared" si="155"/>
        <v>1737</v>
      </c>
      <c r="AR464" s="75">
        <f t="shared" si="156"/>
        <v>0.63097294185377084</v>
      </c>
      <c r="AS464" s="75">
        <f t="shared" si="157"/>
        <v>5.238917674150835E-2</v>
      </c>
      <c r="AT464" s="75">
        <f t="shared" si="158"/>
        <v>0.31663788140472077</v>
      </c>
      <c r="AU464" s="26">
        <f t="shared" si="159"/>
        <v>6.563039723661486E-2</v>
      </c>
      <c r="AV464" s="26">
        <f t="shared" si="160"/>
        <v>0.10592976396085205</v>
      </c>
      <c r="AW464" s="26"/>
      <c r="AX464" s="24"/>
      <c r="AY464" s="77" t="str">
        <f t="shared" si="163"/>
        <v>7,5 ≤ Alc. Bruta &lt; 10,0 mg/L</v>
      </c>
      <c r="AZ464" s="77" t="str">
        <f t="shared" si="164"/>
        <v>15 ≤ Cor &lt; 30 uC</v>
      </c>
      <c r="BA464" s="78" t="str">
        <f t="shared" si="165"/>
        <v>2,5 ≤ Turb &lt; 5,0 uT</v>
      </c>
      <c r="BB464" s="79" t="str">
        <f t="shared" si="166"/>
        <v>TOR &gt; BNN &gt; SM</v>
      </c>
      <c r="BC464" s="78" t="str">
        <f t="shared" si="167"/>
        <v>Tipo 1 (≤0,25) uT</v>
      </c>
      <c r="BD464" s="78" t="str">
        <f t="shared" si="168"/>
        <v>Tipo 2 (0,25-0,50) uT</v>
      </c>
      <c r="BE464" s="78" t="str">
        <f t="shared" si="169"/>
        <v>Tipo 1 (≤0,25) uT</v>
      </c>
      <c r="BF464" s="78" t="str">
        <f t="shared" si="170"/>
        <v>Tipo 2 (0,25-0,50) uT</v>
      </c>
      <c r="BG464" s="78" t="str">
        <f t="shared" si="171"/>
        <v>Tipo 1 (≤0,25) uT</v>
      </c>
    </row>
    <row r="465" spans="1:59" x14ac:dyDescent="0.2">
      <c r="A465" s="21">
        <v>46175</v>
      </c>
      <c r="B465" s="48">
        <v>0.64583333333333337</v>
      </c>
      <c r="C465" s="57">
        <v>1051</v>
      </c>
      <c r="D465" s="57">
        <v>93</v>
      </c>
      <c r="E465" s="57">
        <v>549</v>
      </c>
      <c r="F465" s="57">
        <v>1710</v>
      </c>
      <c r="G465" s="10" t="s">
        <v>78</v>
      </c>
      <c r="H465" s="63">
        <v>7.3</v>
      </c>
      <c r="I465" s="57">
        <v>90</v>
      </c>
      <c r="J465" s="57">
        <v>90</v>
      </c>
      <c r="K465" s="57">
        <v>90</v>
      </c>
      <c r="L465" s="63">
        <v>23.2</v>
      </c>
      <c r="M465" s="63">
        <v>6.8</v>
      </c>
      <c r="N465" s="36">
        <v>4.41</v>
      </c>
      <c r="O465" s="57">
        <v>16</v>
      </c>
      <c r="P465" s="63">
        <v>8.6999999999999993</v>
      </c>
      <c r="Q465" s="36">
        <v>0.13</v>
      </c>
      <c r="R465" s="36">
        <v>22.36</v>
      </c>
      <c r="S465" s="36">
        <v>0.88</v>
      </c>
      <c r="T465" s="36">
        <v>0.7</v>
      </c>
      <c r="U465" s="42">
        <f t="shared" si="149"/>
        <v>1952.25</v>
      </c>
      <c r="V465" s="36">
        <f t="shared" si="150"/>
        <v>1536.9687335599997</v>
      </c>
      <c r="W465" s="36">
        <f t="shared" si="151"/>
        <v>0.78728069333333317</v>
      </c>
      <c r="X465" s="57">
        <v>2</v>
      </c>
      <c r="Y465" s="57">
        <v>3</v>
      </c>
      <c r="Z465" s="63">
        <v>6.51</v>
      </c>
      <c r="AA465" s="57">
        <v>19</v>
      </c>
      <c r="AB465" s="63">
        <v>6.7</v>
      </c>
      <c r="AC465" s="63">
        <v>6.9</v>
      </c>
      <c r="AD465" s="10">
        <v>0.23</v>
      </c>
      <c r="AE465" s="36">
        <v>0.43</v>
      </c>
      <c r="AF465" s="42">
        <f t="shared" si="152"/>
        <v>1952.25</v>
      </c>
      <c r="AG465" s="42">
        <f t="shared" si="153"/>
        <v>1853.4347774799999</v>
      </c>
      <c r="AH465" s="42">
        <f t="shared" si="154"/>
        <v>0.94938393007043154</v>
      </c>
      <c r="AI465" s="57">
        <v>2</v>
      </c>
      <c r="AJ465" s="57">
        <v>3</v>
      </c>
      <c r="AK465" s="36">
        <v>6.49</v>
      </c>
      <c r="AL465" s="36">
        <v>23</v>
      </c>
      <c r="AM465" s="63">
        <v>6.6</v>
      </c>
      <c r="AN465" s="63">
        <v>7.2</v>
      </c>
      <c r="AO465" s="36">
        <v>0.28999999999999998</v>
      </c>
      <c r="AP465" s="68">
        <v>0.41</v>
      </c>
      <c r="AQ465" s="73">
        <f t="shared" si="155"/>
        <v>1693</v>
      </c>
      <c r="AR465" s="75">
        <f t="shared" si="156"/>
        <v>0.62079149438865922</v>
      </c>
      <c r="AS465" s="75">
        <f t="shared" si="157"/>
        <v>5.493207324276432E-2</v>
      </c>
      <c r="AT465" s="75">
        <f t="shared" si="158"/>
        <v>0.32427643236857651</v>
      </c>
      <c r="AU465" s="26">
        <f t="shared" si="159"/>
        <v>6.6666666666666666E-2</v>
      </c>
      <c r="AV465" s="26">
        <f t="shared" si="160"/>
        <v>8.0701754385964913E-2</v>
      </c>
      <c r="AW465" s="26">
        <f t="shared" ref="AW465:AW496" si="172">IF(AND(AP465&lt;&gt;"",1-(AP465/N465)&gt;0),1-(AP465/N465),"")</f>
        <v>0.90702947845804993</v>
      </c>
      <c r="AX465" s="24">
        <f t="shared" ref="AX465:AX496" si="173">IF(AND(AE465&lt;&gt;"",1-(AE465/N465)&gt;0),1-(AE465/N465),"")</f>
        <v>0.9024943310657596</v>
      </c>
      <c r="AY465" s="77" t="str">
        <f t="shared" si="163"/>
        <v>7,5 ≤ Alc. Bruta &lt; 10,0 mg/L</v>
      </c>
      <c r="AZ465" s="77" t="str">
        <f t="shared" si="164"/>
        <v>15 ≤ Cor &lt; 30 uC</v>
      </c>
      <c r="BA465" s="78" t="str">
        <f t="shared" si="165"/>
        <v>2,5 ≤ Turb &lt; 5,0 uT</v>
      </c>
      <c r="BB465" s="79" t="str">
        <f t="shared" si="166"/>
        <v>TOR &gt; BNN &gt; SM</v>
      </c>
      <c r="BC465" s="78" t="str">
        <f t="shared" si="167"/>
        <v>Tipo 1 (≤0,25) uT</v>
      </c>
      <c r="BD465" s="78" t="str">
        <f t="shared" si="168"/>
        <v>Tipo 2 (0,25-0,50) uT</v>
      </c>
      <c r="BE465" s="78" t="str">
        <f t="shared" si="169"/>
        <v>Tipo 2 (0,25-0,50) uT</v>
      </c>
      <c r="BF465" s="78" t="str">
        <f t="shared" si="170"/>
        <v>Tipo 2 (0,25-0,50) uT</v>
      </c>
      <c r="BG465" s="78" t="str">
        <f t="shared" si="171"/>
        <v>Tipo 1 (≤0,25) uT</v>
      </c>
    </row>
    <row r="466" spans="1:59" x14ac:dyDescent="0.2">
      <c r="A466" s="21">
        <v>46175</v>
      </c>
      <c r="B466" s="48">
        <v>0.72916666666666663</v>
      </c>
      <c r="C466" s="57">
        <v>1146</v>
      </c>
      <c r="D466" s="57">
        <v>87</v>
      </c>
      <c r="E466" s="57">
        <v>549</v>
      </c>
      <c r="F466" s="57">
        <v>1813</v>
      </c>
      <c r="G466" s="10" t="s">
        <v>78</v>
      </c>
      <c r="H466" s="63">
        <v>7.3</v>
      </c>
      <c r="I466" s="57">
        <v>90</v>
      </c>
      <c r="J466" s="57">
        <v>90</v>
      </c>
      <c r="K466" s="57">
        <v>90</v>
      </c>
      <c r="L466" s="63">
        <v>23.1</v>
      </c>
      <c r="M466" s="63">
        <v>6.7</v>
      </c>
      <c r="N466" s="36">
        <v>3.9</v>
      </c>
      <c r="O466" s="57">
        <v>16</v>
      </c>
      <c r="P466" s="63">
        <v>8.9</v>
      </c>
      <c r="Q466" s="36">
        <v>0.12</v>
      </c>
      <c r="R466" s="36">
        <v>22.36</v>
      </c>
      <c r="S466" s="36">
        <v>0.88</v>
      </c>
      <c r="T466" s="36">
        <v>0.7</v>
      </c>
      <c r="U466" s="42">
        <f t="shared" si="149"/>
        <v>1915.7366666666667</v>
      </c>
      <c r="V466" s="36">
        <f t="shared" si="150"/>
        <v>1536.9687335599997</v>
      </c>
      <c r="W466" s="36">
        <f t="shared" si="151"/>
        <v>0.80228601367968089</v>
      </c>
      <c r="X466" s="57">
        <v>2</v>
      </c>
      <c r="Y466" s="57">
        <v>3</v>
      </c>
      <c r="Z466" s="63">
        <v>6.51</v>
      </c>
      <c r="AA466" s="57">
        <v>19</v>
      </c>
      <c r="AB466" s="63">
        <v>6.7</v>
      </c>
      <c r="AC466" s="63">
        <v>6.8</v>
      </c>
      <c r="AD466" s="10">
        <v>0.16</v>
      </c>
      <c r="AE466" s="36">
        <v>0.37</v>
      </c>
      <c r="AF466" s="42">
        <f t="shared" si="152"/>
        <v>1915.7366666666667</v>
      </c>
      <c r="AG466" s="42">
        <f t="shared" si="153"/>
        <v>1853.4347774799999</v>
      </c>
      <c r="AH466" s="42">
        <f t="shared" si="154"/>
        <v>0.96747888670154725</v>
      </c>
      <c r="AI466" s="57">
        <v>2</v>
      </c>
      <c r="AJ466" s="57">
        <v>3</v>
      </c>
      <c r="AK466" s="36">
        <v>6.49</v>
      </c>
      <c r="AL466" s="36">
        <v>23</v>
      </c>
      <c r="AM466" s="63">
        <v>6.6</v>
      </c>
      <c r="AN466" s="63">
        <v>7</v>
      </c>
      <c r="AO466" s="36">
        <v>0.23</v>
      </c>
      <c r="AP466" s="68">
        <v>0.47</v>
      </c>
      <c r="AQ466" s="73">
        <f t="shared" si="155"/>
        <v>1782</v>
      </c>
      <c r="AR466" s="75">
        <f t="shared" si="156"/>
        <v>0.64309764309764306</v>
      </c>
      <c r="AS466" s="75">
        <f t="shared" si="157"/>
        <v>4.8821548821548821E-2</v>
      </c>
      <c r="AT466" s="75">
        <f t="shared" si="158"/>
        <v>0.30808080808080807</v>
      </c>
      <c r="AU466" s="26">
        <f t="shared" si="159"/>
        <v>6.2879205736348587E-2</v>
      </c>
      <c r="AV466" s="26">
        <f t="shared" si="160"/>
        <v>7.6116933259790395E-2</v>
      </c>
      <c r="AW466" s="26">
        <f t="shared" si="172"/>
        <v>0.87948717948717947</v>
      </c>
      <c r="AX466" s="24">
        <f t="shared" si="173"/>
        <v>0.90512820512820513</v>
      </c>
      <c r="AY466" s="77" t="str">
        <f t="shared" si="163"/>
        <v>7,5 ≤ Alc. Bruta &lt; 10,0 mg/L</v>
      </c>
      <c r="AZ466" s="77" t="str">
        <f t="shared" si="164"/>
        <v>15 ≤ Cor &lt; 30 uC</v>
      </c>
      <c r="BA466" s="78" t="str">
        <f t="shared" si="165"/>
        <v>2,5 ≤ Turb &lt; 5,0 uT</v>
      </c>
      <c r="BB466" s="79" t="str">
        <f t="shared" si="166"/>
        <v>TOR &gt; BNN &gt; SM</v>
      </c>
      <c r="BC466" s="78" t="str">
        <f t="shared" si="167"/>
        <v>Tipo 1 (≤0,25) uT</v>
      </c>
      <c r="BD466" s="78" t="str">
        <f t="shared" si="168"/>
        <v>Tipo 1 (≤0,25) uT</v>
      </c>
      <c r="BE466" s="78" t="str">
        <f t="shared" si="169"/>
        <v>Tipo 2 (0,25-0,50) uT</v>
      </c>
      <c r="BF466" s="78" t="str">
        <f t="shared" si="170"/>
        <v>Tipo 2 (0,25-0,50) uT</v>
      </c>
      <c r="BG466" s="78" t="str">
        <f t="shared" si="171"/>
        <v>Tipo 1 (≤0,25) uT</v>
      </c>
    </row>
    <row r="467" spans="1:59" x14ac:dyDescent="0.2">
      <c r="A467" s="21">
        <v>46175</v>
      </c>
      <c r="B467" s="48">
        <v>0.8125</v>
      </c>
      <c r="C467" s="57">
        <v>1030</v>
      </c>
      <c r="D467" s="57">
        <v>91</v>
      </c>
      <c r="E467" s="57">
        <v>551</v>
      </c>
      <c r="F467" s="57">
        <v>1748</v>
      </c>
      <c r="G467" s="10" t="s">
        <v>78</v>
      </c>
      <c r="H467" s="63">
        <v>7.3</v>
      </c>
      <c r="I467" s="57">
        <v>90</v>
      </c>
      <c r="J467" s="57">
        <v>90</v>
      </c>
      <c r="K467" s="57">
        <v>90</v>
      </c>
      <c r="L467" s="63">
        <v>23.3</v>
      </c>
      <c r="M467" s="63">
        <v>6.8</v>
      </c>
      <c r="N467" s="36">
        <v>3.5</v>
      </c>
      <c r="O467" s="57">
        <v>15</v>
      </c>
      <c r="P467" s="63">
        <v>7</v>
      </c>
      <c r="Q467" s="36">
        <v>0.11</v>
      </c>
      <c r="R467" s="36">
        <v>22.36</v>
      </c>
      <c r="S467" s="36">
        <v>0.88</v>
      </c>
      <c r="T467" s="36">
        <v>0.7</v>
      </c>
      <c r="U467" s="42">
        <f t="shared" si="149"/>
        <v>1730.5199999999998</v>
      </c>
      <c r="V467" s="36">
        <f t="shared" si="150"/>
        <v>1534.0335140000002</v>
      </c>
      <c r="W467" s="36">
        <f t="shared" si="151"/>
        <v>0.88645812472551622</v>
      </c>
      <c r="X467" s="57">
        <v>2</v>
      </c>
      <c r="Y467" s="57">
        <v>3</v>
      </c>
      <c r="Z467" s="63">
        <v>6.5</v>
      </c>
      <c r="AA467" s="57">
        <v>19</v>
      </c>
      <c r="AB467" s="63">
        <v>6.7</v>
      </c>
      <c r="AC467" s="63">
        <v>6.8</v>
      </c>
      <c r="AD467" s="10">
        <v>0.15</v>
      </c>
      <c r="AE467" s="36">
        <v>0.44</v>
      </c>
      <c r="AF467" s="42">
        <f t="shared" si="152"/>
        <v>1297.8899999999999</v>
      </c>
      <c r="AG467" s="42">
        <f t="shared" si="153"/>
        <v>1776.2493320000001</v>
      </c>
      <c r="AH467" s="42">
        <f t="shared" si="154"/>
        <v>1.3685669294007969</v>
      </c>
      <c r="AI467" s="57">
        <v>2</v>
      </c>
      <c r="AJ467" s="57">
        <v>4</v>
      </c>
      <c r="AK467" s="36">
        <v>6.5</v>
      </c>
      <c r="AL467" s="36">
        <v>22</v>
      </c>
      <c r="AM467" s="63">
        <v>6.7</v>
      </c>
      <c r="AN467" s="63">
        <v>7</v>
      </c>
      <c r="AO467" s="36">
        <v>0.24</v>
      </c>
      <c r="AP467" s="68">
        <v>0.28000000000000003</v>
      </c>
      <c r="AQ467" s="73">
        <f t="shared" si="155"/>
        <v>1672</v>
      </c>
      <c r="AR467" s="75">
        <f t="shared" si="156"/>
        <v>0.61602870813397126</v>
      </c>
      <c r="AS467" s="75">
        <f t="shared" si="157"/>
        <v>5.4425837320574162E-2</v>
      </c>
      <c r="AT467" s="75">
        <f t="shared" si="158"/>
        <v>0.32954545454545453</v>
      </c>
      <c r="AU467" s="26">
        <f t="shared" si="159"/>
        <v>6.5217391304347824E-2</v>
      </c>
      <c r="AV467" s="26">
        <f t="shared" si="160"/>
        <v>0.10068649885583524</v>
      </c>
      <c r="AW467" s="26">
        <f t="shared" si="172"/>
        <v>0.92</v>
      </c>
      <c r="AX467" s="24">
        <f t="shared" si="173"/>
        <v>0.87428571428571433</v>
      </c>
      <c r="AY467" s="77" t="str">
        <f t="shared" si="163"/>
        <v>5,0 ≤ Alc. Bruta &lt; 7,5 mg/L</v>
      </c>
      <c r="AZ467" s="77" t="str">
        <f t="shared" si="164"/>
        <v>15 ≤ Cor &lt; 30 uC</v>
      </c>
      <c r="BA467" s="78" t="str">
        <f t="shared" si="165"/>
        <v>2,5 ≤ Turb &lt; 5,0 uT</v>
      </c>
      <c r="BB467" s="79" t="str">
        <f t="shared" si="166"/>
        <v>TOR &gt; BNN &gt; SM</v>
      </c>
      <c r="BC467" s="78" t="str">
        <f t="shared" si="167"/>
        <v>Tipo 1 (≤0,25) uT</v>
      </c>
      <c r="BD467" s="78" t="str">
        <f t="shared" si="168"/>
        <v>Tipo 1 (≤0,25) uT</v>
      </c>
      <c r="BE467" s="78" t="str">
        <f t="shared" si="169"/>
        <v>Tipo 2 (0,25-0,50) uT</v>
      </c>
      <c r="BF467" s="78" t="str">
        <f t="shared" si="170"/>
        <v>Tipo 2 (0,25-0,50) uT</v>
      </c>
      <c r="BG467" s="78" t="str">
        <f t="shared" si="171"/>
        <v>Tipo 1 (≤0,25) uT</v>
      </c>
    </row>
    <row r="468" spans="1:59" x14ac:dyDescent="0.2">
      <c r="A468" s="21">
        <v>46175</v>
      </c>
      <c r="B468" s="48">
        <v>0.89583333333333337</v>
      </c>
      <c r="C468" s="57">
        <v>1010</v>
      </c>
      <c r="D468" s="57">
        <v>95</v>
      </c>
      <c r="E468" s="57">
        <v>700</v>
      </c>
      <c r="F468" s="57">
        <v>1870</v>
      </c>
      <c r="G468" s="10" t="s">
        <v>78</v>
      </c>
      <c r="H468" s="63">
        <v>7.3</v>
      </c>
      <c r="I468" s="57">
        <v>90</v>
      </c>
      <c r="J468" s="57">
        <v>90</v>
      </c>
      <c r="K468" s="57">
        <v>90</v>
      </c>
      <c r="L468" s="63">
        <v>23.4</v>
      </c>
      <c r="M468" s="63">
        <v>6.8</v>
      </c>
      <c r="N468" s="36">
        <v>3.64</v>
      </c>
      <c r="O468" s="57">
        <v>15</v>
      </c>
      <c r="P468" s="63">
        <v>7</v>
      </c>
      <c r="Q468" s="36">
        <v>0.1</v>
      </c>
      <c r="R468" s="36">
        <v>22.36</v>
      </c>
      <c r="S468" s="36">
        <v>0.88</v>
      </c>
      <c r="T468" s="36">
        <v>0.7</v>
      </c>
      <c r="U468" s="42">
        <f t="shared" si="149"/>
        <v>1894.9333333333334</v>
      </c>
      <c r="V468" s="36">
        <f t="shared" si="150"/>
        <v>1536.9687335599997</v>
      </c>
      <c r="W468" s="36">
        <f t="shared" si="151"/>
        <v>0.81109382927807472</v>
      </c>
      <c r="X468" s="57">
        <v>2</v>
      </c>
      <c r="Y468" s="57">
        <v>3</v>
      </c>
      <c r="Z468" s="63">
        <v>6.51</v>
      </c>
      <c r="AA468" s="57">
        <v>19</v>
      </c>
      <c r="AB468" s="63">
        <v>6.7</v>
      </c>
      <c r="AC468" s="63">
        <v>6.8</v>
      </c>
      <c r="AD468" s="10">
        <v>0.21</v>
      </c>
      <c r="AE468" s="36">
        <v>0.55000000000000004</v>
      </c>
      <c r="AF468" s="42">
        <f t="shared" si="152"/>
        <v>1421.2</v>
      </c>
      <c r="AG468" s="42">
        <f t="shared" si="153"/>
        <v>1853.4347774799999</v>
      </c>
      <c r="AH468" s="42">
        <f t="shared" si="154"/>
        <v>1.3041336739938079</v>
      </c>
      <c r="AI468" s="57">
        <v>2</v>
      </c>
      <c r="AJ468" s="57">
        <v>4</v>
      </c>
      <c r="AK468" s="36">
        <v>6.49</v>
      </c>
      <c r="AL468" s="36">
        <v>23</v>
      </c>
      <c r="AM468" s="63">
        <v>6.6</v>
      </c>
      <c r="AN468" s="63">
        <v>7</v>
      </c>
      <c r="AO468" s="36">
        <v>0.25</v>
      </c>
      <c r="AP468" s="68">
        <v>0.22</v>
      </c>
      <c r="AQ468" s="73">
        <f t="shared" si="155"/>
        <v>1805</v>
      </c>
      <c r="AR468" s="75">
        <f t="shared" si="156"/>
        <v>0.55955678670360109</v>
      </c>
      <c r="AS468" s="75">
        <f t="shared" si="157"/>
        <v>5.2631578947368418E-2</v>
      </c>
      <c r="AT468" s="75">
        <f t="shared" si="158"/>
        <v>0.38781163434903049</v>
      </c>
      <c r="AU468" s="26">
        <f t="shared" si="159"/>
        <v>6.0962566844919783E-2</v>
      </c>
      <c r="AV468" s="26">
        <f t="shared" si="160"/>
        <v>9.8395721925133683E-2</v>
      </c>
      <c r="AW468" s="26">
        <f t="shared" si="172"/>
        <v>0.93956043956043955</v>
      </c>
      <c r="AX468" s="24">
        <f t="shared" si="173"/>
        <v>0.84890109890109888</v>
      </c>
      <c r="AY468" s="77" t="str">
        <f t="shared" si="163"/>
        <v>5,0 ≤ Alc. Bruta &lt; 7,5 mg/L</v>
      </c>
      <c r="AZ468" s="77" t="str">
        <f t="shared" si="164"/>
        <v>15 ≤ Cor &lt; 30 uC</v>
      </c>
      <c r="BA468" s="78" t="str">
        <f t="shared" si="165"/>
        <v>2,5 ≤ Turb &lt; 5,0 uT</v>
      </c>
      <c r="BB468" s="79" t="str">
        <f t="shared" si="166"/>
        <v>TOR &gt; BNN &gt; SM</v>
      </c>
      <c r="BC468" s="78" t="str">
        <f t="shared" si="167"/>
        <v>Tipo 1 (≤0,25) uT</v>
      </c>
      <c r="BD468" s="78" t="str">
        <f t="shared" si="168"/>
        <v>Tipo 1 (≤0,25) uT</v>
      </c>
      <c r="BE468" s="78" t="str">
        <f t="shared" si="169"/>
        <v>Tipo 3 (0,50-0,75) uT</v>
      </c>
      <c r="BF468" s="78" t="str">
        <f t="shared" si="170"/>
        <v>Tipo 1 (≤0,25) uT</v>
      </c>
      <c r="BG468" s="78" t="str">
        <f t="shared" si="171"/>
        <v>Tipo 1 (≤0,25) uT</v>
      </c>
    </row>
    <row r="469" spans="1:59" x14ac:dyDescent="0.2">
      <c r="A469" s="21">
        <v>46175</v>
      </c>
      <c r="B469" s="48">
        <v>0.97916666666666663</v>
      </c>
      <c r="C469" s="57">
        <v>1568</v>
      </c>
      <c r="D469" s="57">
        <v>88</v>
      </c>
      <c r="E469" s="57">
        <v>390</v>
      </c>
      <c r="F469" s="57">
        <v>1981</v>
      </c>
      <c r="G469" s="10" t="s">
        <v>78</v>
      </c>
      <c r="H469" s="63">
        <v>7.3</v>
      </c>
      <c r="I469" s="57">
        <v>90</v>
      </c>
      <c r="J469" s="57">
        <v>90</v>
      </c>
      <c r="K469" s="57">
        <v>90</v>
      </c>
      <c r="L469" s="63">
        <v>23</v>
      </c>
      <c r="M469" s="63">
        <v>6.8</v>
      </c>
      <c r="N469" s="36">
        <v>3.71</v>
      </c>
      <c r="O469" s="57">
        <v>17</v>
      </c>
      <c r="P469" s="63">
        <v>6.9</v>
      </c>
      <c r="Q469" s="36">
        <v>0.11</v>
      </c>
      <c r="R469" s="36">
        <v>22.36</v>
      </c>
      <c r="S469" s="36">
        <v>0.88</v>
      </c>
      <c r="T469" s="36">
        <v>0.7</v>
      </c>
      <c r="U469" s="42">
        <f t="shared" si="149"/>
        <v>2030.5250000000003</v>
      </c>
      <c r="V469" s="36">
        <f t="shared" si="150"/>
        <v>1614.7721200000001</v>
      </c>
      <c r="W469" s="36">
        <f t="shared" si="151"/>
        <v>0.79524857856958164</v>
      </c>
      <c r="X469" s="57">
        <v>2</v>
      </c>
      <c r="Y469" s="57">
        <v>3</v>
      </c>
      <c r="Z469" s="63">
        <v>6.5</v>
      </c>
      <c r="AA469" s="57">
        <v>20</v>
      </c>
      <c r="AB469" s="63">
        <v>6.6</v>
      </c>
      <c r="AC469" s="63">
        <v>6.7</v>
      </c>
      <c r="AD469" s="10">
        <v>0.39</v>
      </c>
      <c r="AE469" s="36">
        <v>0.57999999999999996</v>
      </c>
      <c r="AF469" s="42">
        <f t="shared" si="152"/>
        <v>1522.8937500000002</v>
      </c>
      <c r="AG469" s="42">
        <f t="shared" si="153"/>
        <v>1776.2493320000001</v>
      </c>
      <c r="AH469" s="42">
        <f t="shared" si="154"/>
        <v>1.1663645819020532</v>
      </c>
      <c r="AI469" s="57">
        <v>2</v>
      </c>
      <c r="AJ469" s="57">
        <v>4</v>
      </c>
      <c r="AK469" s="36">
        <v>6.5</v>
      </c>
      <c r="AL469" s="36">
        <v>22</v>
      </c>
      <c r="AM469" s="63">
        <v>6.5</v>
      </c>
      <c r="AN469" s="63">
        <v>6.8</v>
      </c>
      <c r="AO469" s="36">
        <v>0.27</v>
      </c>
      <c r="AP469" s="68">
        <v>0.28999999999999998</v>
      </c>
      <c r="AQ469" s="73">
        <f t="shared" si="155"/>
        <v>2046</v>
      </c>
      <c r="AR469" s="75">
        <f t="shared" si="156"/>
        <v>0.76637341153470184</v>
      </c>
      <c r="AS469" s="75">
        <f t="shared" si="157"/>
        <v>4.3010752688172046E-2</v>
      </c>
      <c r="AT469" s="75">
        <f t="shared" si="158"/>
        <v>0.1906158357771261</v>
      </c>
      <c r="AU469" s="26">
        <f t="shared" si="159"/>
        <v>6.0575466935890963E-2</v>
      </c>
      <c r="AV469" s="26">
        <f t="shared" si="160"/>
        <v>8.884401817264008E-2</v>
      </c>
      <c r="AW469" s="26">
        <f t="shared" si="172"/>
        <v>0.92183288409703501</v>
      </c>
      <c r="AX469" s="24">
        <f t="shared" si="173"/>
        <v>0.84366576819407013</v>
      </c>
      <c r="AY469" s="77" t="str">
        <f t="shared" si="163"/>
        <v>5,0 ≤ Alc. Bruta &lt; 7,5 mg/L</v>
      </c>
      <c r="AZ469" s="77" t="str">
        <f t="shared" si="164"/>
        <v>15 ≤ Cor &lt; 30 uC</v>
      </c>
      <c r="BA469" s="78" t="str">
        <f t="shared" si="165"/>
        <v>2,5 ≤ Turb &lt; 5,0 uT</v>
      </c>
      <c r="BB469" s="79" t="str">
        <f t="shared" si="166"/>
        <v>TOR &gt; BNN &gt; SM</v>
      </c>
      <c r="BC469" s="78" t="str">
        <f t="shared" si="167"/>
        <v>Tipo 2 (0,25-0,50) uT</v>
      </c>
      <c r="BD469" s="78" t="str">
        <f t="shared" si="168"/>
        <v>Tipo 2 (0,25-0,50) uT</v>
      </c>
      <c r="BE469" s="78" t="str">
        <f t="shared" si="169"/>
        <v>Tipo 3 (0,50-0,75) uT</v>
      </c>
      <c r="BF469" s="78" t="str">
        <f t="shared" si="170"/>
        <v>Tipo 2 (0,25-0,50) uT</v>
      </c>
      <c r="BG469" s="78" t="str">
        <f t="shared" si="171"/>
        <v>Tipo 1 (≤0,25) uT</v>
      </c>
    </row>
    <row r="470" spans="1:59" x14ac:dyDescent="0.2">
      <c r="A470" s="21">
        <v>46176</v>
      </c>
      <c r="B470" s="48">
        <v>0.14583333333333334</v>
      </c>
      <c r="C470" s="57">
        <v>1524</v>
      </c>
      <c r="D470" s="57">
        <v>85</v>
      </c>
      <c r="E470" s="57">
        <v>357</v>
      </c>
      <c r="F470" s="57">
        <v>2101</v>
      </c>
      <c r="G470" s="10" t="s">
        <v>78</v>
      </c>
      <c r="H470" s="63">
        <v>7.3</v>
      </c>
      <c r="I470" s="57">
        <v>90</v>
      </c>
      <c r="J470" s="57">
        <v>90</v>
      </c>
      <c r="K470" s="57">
        <v>90</v>
      </c>
      <c r="L470" s="63">
        <v>22.5</v>
      </c>
      <c r="M470" s="63">
        <v>6.7</v>
      </c>
      <c r="N470" s="36">
        <v>3.65</v>
      </c>
      <c r="O470" s="57">
        <v>16</v>
      </c>
      <c r="P470" s="63">
        <v>6.9</v>
      </c>
      <c r="Q470" s="36">
        <v>0.12</v>
      </c>
      <c r="R470" s="36">
        <v>22.36</v>
      </c>
      <c r="S470" s="36">
        <v>0.88</v>
      </c>
      <c r="T470" s="36">
        <v>0.7</v>
      </c>
      <c r="U470" s="42">
        <f t="shared" si="149"/>
        <v>2132.5149999999999</v>
      </c>
      <c r="V470" s="36">
        <f t="shared" si="150"/>
        <v>1614.7721200000001</v>
      </c>
      <c r="W470" s="36">
        <f t="shared" si="151"/>
        <v>0.75721489415080323</v>
      </c>
      <c r="X470" s="57">
        <v>2</v>
      </c>
      <c r="Y470" s="57">
        <v>3</v>
      </c>
      <c r="Z470" s="63">
        <v>6.5</v>
      </c>
      <c r="AA470" s="57">
        <v>20</v>
      </c>
      <c r="AB470" s="63">
        <v>6.5</v>
      </c>
      <c r="AC470" s="63">
        <v>6.7</v>
      </c>
      <c r="AD470" s="10">
        <v>0.36</v>
      </c>
      <c r="AE470" s="36">
        <v>0.53</v>
      </c>
      <c r="AF470" s="42">
        <f t="shared" si="152"/>
        <v>1599.38625</v>
      </c>
      <c r="AG470" s="42">
        <f t="shared" si="153"/>
        <v>1776.2493320000001</v>
      </c>
      <c r="AH470" s="42">
        <f t="shared" si="154"/>
        <v>1.1105818447545113</v>
      </c>
      <c r="AI470" s="57">
        <v>2</v>
      </c>
      <c r="AJ470" s="57">
        <v>4</v>
      </c>
      <c r="AK470" s="36">
        <v>6.5</v>
      </c>
      <c r="AL470" s="36">
        <v>22</v>
      </c>
      <c r="AM470" s="63">
        <v>6.6</v>
      </c>
      <c r="AN470" s="63">
        <v>6.7</v>
      </c>
      <c r="AO470" s="36">
        <v>0.28999999999999998</v>
      </c>
      <c r="AP470" s="68">
        <v>0.28999999999999998</v>
      </c>
      <c r="AQ470" s="73">
        <f t="shared" si="155"/>
        <v>1966</v>
      </c>
      <c r="AR470" s="75">
        <f t="shared" si="156"/>
        <v>0.77517802644964395</v>
      </c>
      <c r="AS470" s="75">
        <f t="shared" si="157"/>
        <v>4.3234994913530007E-2</v>
      </c>
      <c r="AT470" s="75">
        <f t="shared" si="158"/>
        <v>0.18158697863682605</v>
      </c>
      <c r="AU470" s="26">
        <f t="shared" si="159"/>
        <v>5.7115659209900048E-2</v>
      </c>
      <c r="AV470" s="26">
        <f t="shared" si="160"/>
        <v>8.3769633507853408E-2</v>
      </c>
      <c r="AW470" s="26">
        <f t="shared" si="172"/>
        <v>0.92054794520547945</v>
      </c>
      <c r="AX470" s="24">
        <f t="shared" si="173"/>
        <v>0.85479452054794525</v>
      </c>
      <c r="AY470" s="77" t="str">
        <f t="shared" si="163"/>
        <v>5,0 ≤ Alc. Bruta &lt; 7,5 mg/L</v>
      </c>
      <c r="AZ470" s="77" t="str">
        <f t="shared" si="164"/>
        <v>15 ≤ Cor &lt; 30 uC</v>
      </c>
      <c r="BA470" s="78" t="str">
        <f t="shared" si="165"/>
        <v>2,5 ≤ Turb &lt; 5,0 uT</v>
      </c>
      <c r="BB470" s="79" t="str">
        <f t="shared" si="166"/>
        <v>TOR &gt; BNN &gt; SM</v>
      </c>
      <c r="BC470" s="78" t="str">
        <f t="shared" si="167"/>
        <v>Tipo 2 (0,25-0,50) uT</v>
      </c>
      <c r="BD470" s="78" t="str">
        <f t="shared" si="168"/>
        <v>Tipo 2 (0,25-0,50) uT</v>
      </c>
      <c r="BE470" s="78" t="str">
        <f t="shared" si="169"/>
        <v>Tipo 3 (0,50-0,75) uT</v>
      </c>
      <c r="BF470" s="78" t="str">
        <f t="shared" si="170"/>
        <v>Tipo 2 (0,25-0,50) uT</v>
      </c>
      <c r="BG470" s="78" t="str">
        <f t="shared" si="171"/>
        <v>Tipo 1 (≤0,25) uT</v>
      </c>
    </row>
    <row r="471" spans="1:59" ht="15.75" thickBot="1" x14ac:dyDescent="0.25">
      <c r="A471" s="21">
        <v>46176</v>
      </c>
      <c r="B471" s="51">
        <v>0.22916666666666666</v>
      </c>
      <c r="C471" s="58">
        <v>1340</v>
      </c>
      <c r="D471" s="58">
        <v>77</v>
      </c>
      <c r="E471" s="58">
        <v>388</v>
      </c>
      <c r="F471" s="58">
        <v>2098</v>
      </c>
      <c r="G471" s="11" t="s">
        <v>78</v>
      </c>
      <c r="H471" s="64">
        <v>7.3</v>
      </c>
      <c r="I471" s="58">
        <v>90</v>
      </c>
      <c r="J471" s="58">
        <v>90</v>
      </c>
      <c r="K471" s="58">
        <v>90</v>
      </c>
      <c r="L471" s="64">
        <v>22.5</v>
      </c>
      <c r="M471" s="64">
        <v>6.7</v>
      </c>
      <c r="N471" s="37">
        <v>3.96</v>
      </c>
      <c r="O471" s="58">
        <v>14</v>
      </c>
      <c r="P471" s="64">
        <v>6.9</v>
      </c>
      <c r="Q471" s="37">
        <v>0.1</v>
      </c>
      <c r="R471" s="36">
        <v>22.36</v>
      </c>
      <c r="S471" s="36">
        <v>0.88</v>
      </c>
      <c r="T471" s="36">
        <v>0.7</v>
      </c>
      <c r="U471" s="42">
        <f t="shared" si="149"/>
        <v>2237.8666666666668</v>
      </c>
      <c r="V471" s="36">
        <f t="shared" si="150"/>
        <v>1614.7721200000001</v>
      </c>
      <c r="W471" s="36">
        <f t="shared" si="151"/>
        <v>0.72156761796949476</v>
      </c>
      <c r="X471" s="58">
        <v>2</v>
      </c>
      <c r="Y471" s="58">
        <v>3</v>
      </c>
      <c r="Z471" s="64">
        <v>6.5</v>
      </c>
      <c r="AA471" s="58">
        <v>20</v>
      </c>
      <c r="AB471" s="64">
        <v>6.4</v>
      </c>
      <c r="AC471" s="64">
        <v>6.6</v>
      </c>
      <c r="AD471" s="11">
        <v>0.26</v>
      </c>
      <c r="AE471" s="37">
        <v>0.55000000000000004</v>
      </c>
      <c r="AF471" s="42">
        <f t="shared" si="152"/>
        <v>1678.4</v>
      </c>
      <c r="AG471" s="42">
        <f t="shared" si="153"/>
        <v>1695.510726</v>
      </c>
      <c r="AH471" s="42">
        <f t="shared" si="154"/>
        <v>1.0101946651572926</v>
      </c>
      <c r="AI471" s="58">
        <v>2</v>
      </c>
      <c r="AJ471" s="58">
        <v>4</v>
      </c>
      <c r="AK471" s="37">
        <v>6.5</v>
      </c>
      <c r="AL471" s="37">
        <v>21</v>
      </c>
      <c r="AM471" s="64">
        <v>6.4</v>
      </c>
      <c r="AN471" s="64">
        <v>6.6</v>
      </c>
      <c r="AO471" s="37">
        <v>0.18</v>
      </c>
      <c r="AP471" s="69">
        <v>0.53</v>
      </c>
      <c r="AQ471" s="73">
        <f t="shared" si="155"/>
        <v>1805</v>
      </c>
      <c r="AR471" s="75">
        <f t="shared" si="156"/>
        <v>0.74238227146814406</v>
      </c>
      <c r="AS471" s="75">
        <f t="shared" si="157"/>
        <v>4.2659279778393351E-2</v>
      </c>
      <c r="AT471" s="75">
        <f t="shared" si="158"/>
        <v>0.21495844875346259</v>
      </c>
      <c r="AU471" s="26">
        <f t="shared" si="159"/>
        <v>5.7197330791229739E-2</v>
      </c>
      <c r="AV471" s="26">
        <f t="shared" si="160"/>
        <v>8.0076263107721646E-2</v>
      </c>
      <c r="AW471" s="26">
        <f t="shared" si="172"/>
        <v>0.86616161616161613</v>
      </c>
      <c r="AX471" s="24">
        <f t="shared" si="173"/>
        <v>0.86111111111111116</v>
      </c>
      <c r="AY471" s="77" t="str">
        <f t="shared" si="163"/>
        <v>5,0 ≤ Alc. Bruta &lt; 7,5 mg/L</v>
      </c>
      <c r="AZ471" s="77" t="str">
        <f t="shared" si="164"/>
        <v>10 ≤ Cor &lt;15 uC</v>
      </c>
      <c r="BA471" s="78" t="str">
        <f t="shared" si="165"/>
        <v>2,5 ≤ Turb &lt; 5,0 uT</v>
      </c>
      <c r="BB471" s="79" t="str">
        <f t="shared" si="166"/>
        <v>TOR &gt; BNN &gt; SM</v>
      </c>
      <c r="BC471" s="78" t="str">
        <f t="shared" si="167"/>
        <v>Tipo 2 (0,25-0,50) uT</v>
      </c>
      <c r="BD471" s="78" t="str">
        <f t="shared" si="168"/>
        <v>Tipo 1 (≤0,25) uT</v>
      </c>
      <c r="BE471" s="78" t="str">
        <f t="shared" si="169"/>
        <v>Tipo 3 (0,50-0,75) uT</v>
      </c>
      <c r="BF471" s="78" t="str">
        <f t="shared" si="170"/>
        <v>Tipo 3 (0,50-0,75) uT</v>
      </c>
      <c r="BG471" s="78" t="str">
        <f t="shared" si="171"/>
        <v>Tipo 1 (≤0,25) uT</v>
      </c>
    </row>
    <row r="472" spans="1:59" x14ac:dyDescent="0.2">
      <c r="A472" s="21">
        <v>46176</v>
      </c>
      <c r="B472" s="52">
        <v>0.3125</v>
      </c>
      <c r="C472" s="59">
        <v>1453</v>
      </c>
      <c r="D472" s="57">
        <v>86</v>
      </c>
      <c r="E472" s="59">
        <v>387</v>
      </c>
      <c r="F472" s="59">
        <v>1958</v>
      </c>
      <c r="G472" s="9" t="s">
        <v>78</v>
      </c>
      <c r="H472" s="65">
        <v>7.3</v>
      </c>
      <c r="I472" s="59">
        <v>90</v>
      </c>
      <c r="J472" s="59">
        <v>90</v>
      </c>
      <c r="K472" s="59">
        <v>90</v>
      </c>
      <c r="L472" s="65">
        <v>21.9</v>
      </c>
      <c r="M472" s="65">
        <v>6.7</v>
      </c>
      <c r="N472" s="38">
        <v>3.56</v>
      </c>
      <c r="O472" s="59">
        <v>18</v>
      </c>
      <c r="P472" s="65">
        <v>6.7</v>
      </c>
      <c r="Q472" s="38">
        <v>0.1</v>
      </c>
      <c r="R472" s="36">
        <v>22.36</v>
      </c>
      <c r="S472" s="36">
        <v>0.88</v>
      </c>
      <c r="T472" s="36">
        <v>0.7</v>
      </c>
      <c r="U472" s="42">
        <f t="shared" si="149"/>
        <v>1958</v>
      </c>
      <c r="V472" s="36">
        <f t="shared" si="150"/>
        <v>1525.2278553200001</v>
      </c>
      <c r="W472" s="36">
        <f t="shared" si="151"/>
        <v>0.77897234694586315</v>
      </c>
      <c r="X472" s="59">
        <v>4</v>
      </c>
      <c r="Y472" s="59">
        <v>3</v>
      </c>
      <c r="Z472" s="65">
        <v>6.47</v>
      </c>
      <c r="AA472" s="59">
        <v>19</v>
      </c>
      <c r="AB472" s="65">
        <v>6.6</v>
      </c>
      <c r="AC472" s="65">
        <v>6.1</v>
      </c>
      <c r="AD472" s="9">
        <v>0.18</v>
      </c>
      <c r="AE472" s="38">
        <v>0.56000000000000005</v>
      </c>
      <c r="AF472" s="42">
        <f t="shared" si="152"/>
        <v>1468.5</v>
      </c>
      <c r="AG472" s="42">
        <f t="shared" si="153"/>
        <v>1842.7752959199995</v>
      </c>
      <c r="AH472" s="42">
        <f t="shared" si="154"/>
        <v>1.2548691153694242</v>
      </c>
      <c r="AI472" s="59">
        <v>3</v>
      </c>
      <c r="AJ472" s="59">
        <v>4</v>
      </c>
      <c r="AK472" s="38">
        <v>6.46</v>
      </c>
      <c r="AL472" s="38">
        <v>23</v>
      </c>
      <c r="AM472" s="65">
        <v>6.5</v>
      </c>
      <c r="AN472" s="65">
        <v>6.8</v>
      </c>
      <c r="AO472" s="38">
        <v>0.3</v>
      </c>
      <c r="AP472" s="70">
        <v>0.32</v>
      </c>
      <c r="AQ472" s="73">
        <f t="shared" si="155"/>
        <v>1926</v>
      </c>
      <c r="AR472" s="75">
        <f t="shared" si="156"/>
        <v>0.75441329179646932</v>
      </c>
      <c r="AS472" s="75">
        <f t="shared" si="157"/>
        <v>4.46521287642783E-2</v>
      </c>
      <c r="AT472" s="75">
        <f t="shared" si="158"/>
        <v>0.20093457943925233</v>
      </c>
      <c r="AU472" s="26">
        <f t="shared" si="159"/>
        <v>5.8222676200204292E-2</v>
      </c>
      <c r="AV472" s="26">
        <f t="shared" si="160"/>
        <v>9.3973442288049033E-2</v>
      </c>
      <c r="AW472" s="26">
        <f t="shared" si="172"/>
        <v>0.9101123595505618</v>
      </c>
      <c r="AX472" s="24">
        <f t="shared" si="173"/>
        <v>0.84269662921348309</v>
      </c>
      <c r="AY472" s="77" t="str">
        <f t="shared" si="163"/>
        <v>5,0 ≤ Alc. Bruta &lt; 7,5 mg/L</v>
      </c>
      <c r="AZ472" s="77" t="str">
        <f t="shared" si="164"/>
        <v>15 ≤ Cor &lt; 30 uC</v>
      </c>
      <c r="BA472" s="78" t="str">
        <f t="shared" si="165"/>
        <v>2,5 ≤ Turb &lt; 5,0 uT</v>
      </c>
      <c r="BB472" s="79" t="str">
        <f t="shared" si="166"/>
        <v>TOR &gt; BNN &gt; SM</v>
      </c>
      <c r="BC472" s="78" t="str">
        <f t="shared" si="167"/>
        <v>Tipo 1 (≤0,25) uT</v>
      </c>
      <c r="BD472" s="78" t="str">
        <f t="shared" si="168"/>
        <v>Tipo 2 (0,25-0,50) uT</v>
      </c>
      <c r="BE472" s="78" t="str">
        <f t="shared" si="169"/>
        <v>Tipo 3 (0,50-0,75) uT</v>
      </c>
      <c r="BF472" s="78" t="str">
        <f t="shared" si="170"/>
        <v>Tipo 2 (0,25-0,50) uT</v>
      </c>
      <c r="BG472" s="78" t="str">
        <f t="shared" si="171"/>
        <v>Tipo 1 (≤0,25) uT</v>
      </c>
    </row>
    <row r="473" spans="1:59" x14ac:dyDescent="0.2">
      <c r="A473" s="21">
        <v>46176</v>
      </c>
      <c r="B473" s="48">
        <v>0.47916666666666669</v>
      </c>
      <c r="C473" s="57">
        <v>1485</v>
      </c>
      <c r="D473" s="57">
        <v>88</v>
      </c>
      <c r="E473" s="57">
        <v>500</v>
      </c>
      <c r="F473" s="57">
        <v>2203</v>
      </c>
      <c r="G473" s="10" t="s">
        <v>78</v>
      </c>
      <c r="H473" s="63">
        <v>7.3</v>
      </c>
      <c r="I473" s="57">
        <v>90</v>
      </c>
      <c r="J473" s="57">
        <v>90</v>
      </c>
      <c r="K473" s="57">
        <v>90</v>
      </c>
      <c r="L473" s="63">
        <v>22.6</v>
      </c>
      <c r="M473" s="63">
        <v>6.7</v>
      </c>
      <c r="N473" s="36">
        <v>3.01</v>
      </c>
      <c r="O473" s="57">
        <v>16</v>
      </c>
      <c r="P473" s="63">
        <v>6.2</v>
      </c>
      <c r="Q473" s="36">
        <v>0.14000000000000001</v>
      </c>
      <c r="R473" s="36">
        <v>22.36</v>
      </c>
      <c r="S473" s="36">
        <v>0.88</v>
      </c>
      <c r="T473" s="36">
        <v>0.7</v>
      </c>
      <c r="U473" s="42">
        <f t="shared" si="149"/>
        <v>1500.7937499999998</v>
      </c>
      <c r="V473" s="36">
        <f t="shared" si="150"/>
        <v>1614.7721200000001</v>
      </c>
      <c r="W473" s="36">
        <f t="shared" si="151"/>
        <v>1.0759453922299451</v>
      </c>
      <c r="X473" s="57">
        <v>4</v>
      </c>
      <c r="Y473" s="57">
        <v>4</v>
      </c>
      <c r="Z473" s="63">
        <v>6.5</v>
      </c>
      <c r="AA473" s="57">
        <v>20</v>
      </c>
      <c r="AB473" s="63">
        <v>6.6</v>
      </c>
      <c r="AC473" s="63">
        <v>4.7</v>
      </c>
      <c r="AD473" s="10">
        <v>0.2</v>
      </c>
      <c r="AE473" s="36">
        <v>0.61</v>
      </c>
      <c r="AF473" s="42">
        <f t="shared" si="152"/>
        <v>1500.7937499999998</v>
      </c>
      <c r="AG473" s="42">
        <f t="shared" si="153"/>
        <v>1839.2221353999998</v>
      </c>
      <c r="AH473" s="42">
        <f t="shared" si="154"/>
        <v>1.2254995967300637</v>
      </c>
      <c r="AI473" s="57">
        <v>3</v>
      </c>
      <c r="AJ473" s="57">
        <v>4</v>
      </c>
      <c r="AK473" s="36">
        <v>6.45</v>
      </c>
      <c r="AL473" s="36">
        <v>23</v>
      </c>
      <c r="AM473" s="63">
        <v>6.6</v>
      </c>
      <c r="AN473" s="63">
        <v>4.5999999999999996</v>
      </c>
      <c r="AO473" s="36">
        <v>0.16</v>
      </c>
      <c r="AP473" s="68">
        <v>0.36</v>
      </c>
      <c r="AQ473" s="73">
        <f t="shared" si="155"/>
        <v>2073</v>
      </c>
      <c r="AR473" s="75">
        <f t="shared" si="156"/>
        <v>0.71635311143270619</v>
      </c>
      <c r="AS473" s="75">
        <f t="shared" si="157"/>
        <v>4.2450554751567775E-2</v>
      </c>
      <c r="AT473" s="75">
        <f t="shared" si="158"/>
        <v>0.241196333815726</v>
      </c>
      <c r="AU473" s="26">
        <f t="shared" si="159"/>
        <v>7.2628234226055383E-2</v>
      </c>
      <c r="AV473" s="26">
        <f t="shared" si="160"/>
        <v>8.3522469359963686E-2</v>
      </c>
      <c r="AW473" s="26">
        <f t="shared" si="172"/>
        <v>0.88039867109634551</v>
      </c>
      <c r="AX473" s="24">
        <f t="shared" si="173"/>
        <v>0.79734219269102991</v>
      </c>
      <c r="AY473" s="77" t="str">
        <f t="shared" si="163"/>
        <v>5,0 ≤ Alc. Bruta &lt; 7,5 mg/L</v>
      </c>
      <c r="AZ473" s="77" t="str">
        <f t="shared" si="164"/>
        <v>15 ≤ Cor &lt; 30 uC</v>
      </c>
      <c r="BA473" s="78" t="str">
        <f t="shared" si="165"/>
        <v>2,5 ≤ Turb &lt; 5,0 uT</v>
      </c>
      <c r="BB473" s="79" t="str">
        <f t="shared" si="166"/>
        <v>TOR &gt; BNN &gt; SM</v>
      </c>
      <c r="BC473" s="78" t="str">
        <f t="shared" si="167"/>
        <v>Tipo 1 (≤0,25) uT</v>
      </c>
      <c r="BD473" s="78" t="str">
        <f t="shared" si="168"/>
        <v>Tipo 1 (≤0,25) uT</v>
      </c>
      <c r="BE473" s="78" t="str">
        <f t="shared" si="169"/>
        <v>Tipo 3 (0,50-0,75) uT</v>
      </c>
      <c r="BF473" s="78" t="str">
        <f t="shared" si="170"/>
        <v>Tipo 2 (0,25-0,50) uT</v>
      </c>
      <c r="BG473" s="78" t="str">
        <f t="shared" si="171"/>
        <v>Tipo 1 (≤0,25) uT</v>
      </c>
    </row>
    <row r="474" spans="1:59" x14ac:dyDescent="0.2">
      <c r="A474" s="21">
        <v>46176</v>
      </c>
      <c r="B474" s="48">
        <v>0.64583333333333337</v>
      </c>
      <c r="C474" s="57">
        <v>1420</v>
      </c>
      <c r="D474" s="57">
        <v>87</v>
      </c>
      <c r="E474" s="57">
        <v>500</v>
      </c>
      <c r="F474" s="57">
        <v>2090</v>
      </c>
      <c r="G474" s="10" t="s">
        <v>78</v>
      </c>
      <c r="H474" s="63">
        <v>7.3</v>
      </c>
      <c r="I474" s="57">
        <v>90</v>
      </c>
      <c r="J474" s="57">
        <v>90</v>
      </c>
      <c r="K474" s="57">
        <v>90</v>
      </c>
      <c r="L474" s="63">
        <v>23.9</v>
      </c>
      <c r="M474" s="63">
        <v>6.8</v>
      </c>
      <c r="N474" s="36">
        <v>2.78</v>
      </c>
      <c r="O474" s="57">
        <v>13</v>
      </c>
      <c r="P474" s="63">
        <v>7.8</v>
      </c>
      <c r="Q474" s="36">
        <v>0.12</v>
      </c>
      <c r="R474" s="36">
        <v>22.36</v>
      </c>
      <c r="S474" s="36">
        <v>0.88</v>
      </c>
      <c r="T474" s="36">
        <v>0.7</v>
      </c>
      <c r="U474" s="42">
        <f t="shared" si="149"/>
        <v>1363.7249999999999</v>
      </c>
      <c r="V474" s="36">
        <f t="shared" si="150"/>
        <v>1534.0335140000002</v>
      </c>
      <c r="W474" s="36">
        <f t="shared" si="151"/>
        <v>1.1248847927551378</v>
      </c>
      <c r="X474" s="57">
        <v>4</v>
      </c>
      <c r="Y474" s="57">
        <v>4</v>
      </c>
      <c r="Z474" s="63">
        <v>6.5</v>
      </c>
      <c r="AA474" s="57">
        <v>19</v>
      </c>
      <c r="AB474" s="63">
        <v>6.7</v>
      </c>
      <c r="AC474" s="63">
        <v>5.6</v>
      </c>
      <c r="AD474" s="10">
        <v>0.16</v>
      </c>
      <c r="AE474" s="36">
        <v>0.46</v>
      </c>
      <c r="AF474" s="42">
        <f t="shared" si="152"/>
        <v>1363.7249999999999</v>
      </c>
      <c r="AG474" s="42">
        <f t="shared" si="153"/>
        <v>1839.2221353999998</v>
      </c>
      <c r="AH474" s="42">
        <f t="shared" si="154"/>
        <v>1.348675235403032</v>
      </c>
      <c r="AI474" s="57">
        <v>3</v>
      </c>
      <c r="AJ474" s="57">
        <v>4</v>
      </c>
      <c r="AK474" s="36">
        <v>6.45</v>
      </c>
      <c r="AL474" s="36">
        <v>23</v>
      </c>
      <c r="AM474" s="63">
        <v>6.7</v>
      </c>
      <c r="AN474" s="63">
        <v>6.1</v>
      </c>
      <c r="AO474" s="36">
        <v>0.23</v>
      </c>
      <c r="AP474" s="68">
        <v>0.37</v>
      </c>
      <c r="AQ474" s="73">
        <f t="shared" si="155"/>
        <v>2007</v>
      </c>
      <c r="AR474" s="75">
        <f t="shared" si="156"/>
        <v>0.70752366716492276</v>
      </c>
      <c r="AS474" s="75">
        <f t="shared" si="157"/>
        <v>4.3348281016442454E-2</v>
      </c>
      <c r="AT474" s="75">
        <f t="shared" si="158"/>
        <v>0.24912805181863479</v>
      </c>
      <c r="AU474" s="26">
        <f t="shared" si="159"/>
        <v>7.2727272727272724E-2</v>
      </c>
      <c r="AV474" s="26">
        <f t="shared" si="160"/>
        <v>8.8038277511961721E-2</v>
      </c>
      <c r="AW474" s="26">
        <f t="shared" si="172"/>
        <v>0.86690647482014382</v>
      </c>
      <c r="AX474" s="24">
        <f t="shared" si="173"/>
        <v>0.83453237410071934</v>
      </c>
      <c r="AY474" s="77" t="str">
        <f t="shared" si="163"/>
        <v>7,5 ≤ Alc. Bruta &lt; 10,0 mg/L</v>
      </c>
      <c r="AZ474" s="77" t="str">
        <f t="shared" si="164"/>
        <v>10 ≤ Cor &lt;15 uC</v>
      </c>
      <c r="BA474" s="78" t="str">
        <f t="shared" si="165"/>
        <v>2,5 ≤ Turb &lt; 5,0 uT</v>
      </c>
      <c r="BB474" s="79" t="str">
        <f t="shared" si="166"/>
        <v>TOR &gt; BNN &gt; SM</v>
      </c>
      <c r="BC474" s="78" t="str">
        <f t="shared" si="167"/>
        <v>Tipo 1 (≤0,25) uT</v>
      </c>
      <c r="BD474" s="78" t="str">
        <f t="shared" si="168"/>
        <v>Tipo 1 (≤0,25) uT</v>
      </c>
      <c r="BE474" s="78" t="str">
        <f t="shared" si="169"/>
        <v>Tipo 2 (0,25-0,50) uT</v>
      </c>
      <c r="BF474" s="78" t="str">
        <f t="shared" si="170"/>
        <v>Tipo 2 (0,25-0,50) uT</v>
      </c>
      <c r="BG474" s="78" t="str">
        <f t="shared" si="171"/>
        <v>Tipo 1 (≤0,25) uT</v>
      </c>
    </row>
    <row r="475" spans="1:59" x14ac:dyDescent="0.2">
      <c r="A475" s="21">
        <v>46176</v>
      </c>
      <c r="B475" s="48">
        <v>0.72916666666666663</v>
      </c>
      <c r="C475" s="57">
        <v>1493</v>
      </c>
      <c r="D475" s="57">
        <v>95</v>
      </c>
      <c r="E475" s="57">
        <v>500</v>
      </c>
      <c r="F475" s="57">
        <v>2135</v>
      </c>
      <c r="G475" s="10" t="s">
        <v>78</v>
      </c>
      <c r="H475" s="63">
        <v>7.3</v>
      </c>
      <c r="I475" s="57">
        <v>90</v>
      </c>
      <c r="J475" s="57">
        <v>90</v>
      </c>
      <c r="K475" s="57">
        <v>90</v>
      </c>
      <c r="L475" s="63">
        <v>23.6</v>
      </c>
      <c r="M475" s="63">
        <v>6.8</v>
      </c>
      <c r="N475" s="36">
        <v>2.86</v>
      </c>
      <c r="O475" s="57">
        <v>14</v>
      </c>
      <c r="P475" s="63">
        <v>7.9</v>
      </c>
      <c r="Q475" s="36">
        <v>0.23</v>
      </c>
      <c r="R475" s="36">
        <v>22.36</v>
      </c>
      <c r="S475" s="36">
        <v>0.88</v>
      </c>
      <c r="T475" s="36">
        <v>0.7</v>
      </c>
      <c r="U475" s="42">
        <f t="shared" si="149"/>
        <v>1414.4375</v>
      </c>
      <c r="V475" s="36">
        <f t="shared" si="150"/>
        <v>1525.2278553200001</v>
      </c>
      <c r="W475" s="36">
        <f t="shared" si="151"/>
        <v>1.0783282084362158</v>
      </c>
      <c r="X475" s="57">
        <v>4</v>
      </c>
      <c r="Y475" s="57">
        <v>4</v>
      </c>
      <c r="Z475" s="63">
        <v>6.47</v>
      </c>
      <c r="AA475" s="57">
        <v>19</v>
      </c>
      <c r="AB475" s="63">
        <v>6.7</v>
      </c>
      <c r="AC475" s="63">
        <v>7.1</v>
      </c>
      <c r="AD475" s="10">
        <v>0.17</v>
      </c>
      <c r="AE475" s="36">
        <v>0.31</v>
      </c>
      <c r="AF475" s="42">
        <f t="shared" si="152"/>
        <v>1414.4375</v>
      </c>
      <c r="AG475" s="42">
        <f t="shared" si="153"/>
        <v>1860.5410985199997</v>
      </c>
      <c r="AH475" s="42">
        <f t="shared" si="154"/>
        <v>1.3153929378427818</v>
      </c>
      <c r="AI475" s="57">
        <v>3</v>
      </c>
      <c r="AJ475" s="57">
        <v>4</v>
      </c>
      <c r="AK475" s="36">
        <v>6.51</v>
      </c>
      <c r="AL475" s="36">
        <v>23</v>
      </c>
      <c r="AM475" s="63">
        <v>6.5</v>
      </c>
      <c r="AN475" s="63">
        <v>6.1</v>
      </c>
      <c r="AO475" s="36">
        <v>0.2</v>
      </c>
      <c r="AP475" s="68">
        <v>0.28000000000000003</v>
      </c>
      <c r="AQ475" s="73">
        <f t="shared" si="155"/>
        <v>2088</v>
      </c>
      <c r="AR475" s="75">
        <f t="shared" si="156"/>
        <v>0.71503831417624519</v>
      </c>
      <c r="AS475" s="75">
        <f t="shared" si="157"/>
        <v>4.5498084291187742E-2</v>
      </c>
      <c r="AT475" s="75">
        <f t="shared" si="158"/>
        <v>0.23946360153256704</v>
      </c>
      <c r="AU475" s="26">
        <f t="shared" si="159"/>
        <v>7.1194379391100709E-2</v>
      </c>
      <c r="AV475" s="26">
        <f t="shared" si="160"/>
        <v>8.6182669789227173E-2</v>
      </c>
      <c r="AW475" s="26">
        <f t="shared" si="172"/>
        <v>0.90209790209790208</v>
      </c>
      <c r="AX475" s="24">
        <f t="shared" si="173"/>
        <v>0.89160839160839156</v>
      </c>
      <c r="AY475" s="77" t="str">
        <f t="shared" si="163"/>
        <v>7,5 ≤ Alc. Bruta &lt; 10,0 mg/L</v>
      </c>
      <c r="AZ475" s="77" t="str">
        <f t="shared" si="164"/>
        <v>10 ≤ Cor &lt;15 uC</v>
      </c>
      <c r="BA475" s="78" t="str">
        <f t="shared" si="165"/>
        <v>2,5 ≤ Turb &lt; 5,0 uT</v>
      </c>
      <c r="BB475" s="79" t="str">
        <f t="shared" si="166"/>
        <v>TOR &gt; BNN &gt; SM</v>
      </c>
      <c r="BC475" s="78" t="str">
        <f t="shared" si="167"/>
        <v>Tipo 1 (≤0,25) uT</v>
      </c>
      <c r="BD475" s="78" t="str">
        <f t="shared" si="168"/>
        <v>Tipo 1 (≤0,25) uT</v>
      </c>
      <c r="BE475" s="78" t="str">
        <f t="shared" si="169"/>
        <v>Tipo 2 (0,25-0,50) uT</v>
      </c>
      <c r="BF475" s="78" t="str">
        <f t="shared" si="170"/>
        <v>Tipo 2 (0,25-0,50) uT</v>
      </c>
      <c r="BG475" s="78" t="str">
        <f t="shared" si="171"/>
        <v>Tipo 1 (≤0,25) uT</v>
      </c>
    </row>
    <row r="476" spans="1:59" x14ac:dyDescent="0.2">
      <c r="A476" s="21">
        <v>46176</v>
      </c>
      <c r="B476" s="48">
        <v>0.8125</v>
      </c>
      <c r="C476" s="57">
        <v>1412</v>
      </c>
      <c r="D476" s="57">
        <v>85</v>
      </c>
      <c r="E476" s="57">
        <v>499</v>
      </c>
      <c r="F476" s="57">
        <v>2038</v>
      </c>
      <c r="G476" s="10" t="s">
        <v>78</v>
      </c>
      <c r="H476" s="63">
        <v>7.3</v>
      </c>
      <c r="I476" s="57">
        <v>90</v>
      </c>
      <c r="J476" s="57">
        <v>90</v>
      </c>
      <c r="K476" s="57">
        <v>90</v>
      </c>
      <c r="L476" s="63">
        <v>22.9</v>
      </c>
      <c r="M476" s="63">
        <v>6.7</v>
      </c>
      <c r="N476" s="36">
        <v>2.96</v>
      </c>
      <c r="O476" s="57">
        <v>14</v>
      </c>
      <c r="P476" s="63">
        <v>9.3000000000000007</v>
      </c>
      <c r="Q476" s="36">
        <v>0.11</v>
      </c>
      <c r="R476" s="36">
        <v>22.36</v>
      </c>
      <c r="S476" s="36">
        <v>0.88</v>
      </c>
      <c r="T476" s="36">
        <v>0.7</v>
      </c>
      <c r="U476" s="42">
        <f t="shared" si="149"/>
        <v>1375.65</v>
      </c>
      <c r="V476" s="36">
        <f t="shared" si="150"/>
        <v>1513.4869770799996</v>
      </c>
      <c r="W476" s="36">
        <f t="shared" si="151"/>
        <v>1.1001977080507392</v>
      </c>
      <c r="X476" s="57">
        <v>4</v>
      </c>
      <c r="Y476" s="57">
        <v>4</v>
      </c>
      <c r="Z476" s="63">
        <v>6.43</v>
      </c>
      <c r="AA476" s="57">
        <v>19</v>
      </c>
      <c r="AB476" s="63">
        <v>6.5</v>
      </c>
      <c r="AC476" s="63">
        <v>8.8000000000000007</v>
      </c>
      <c r="AD476" s="10">
        <v>0.22</v>
      </c>
      <c r="AE476" s="36">
        <v>0.28000000000000003</v>
      </c>
      <c r="AF476" s="42">
        <f t="shared" si="152"/>
        <v>1375.65</v>
      </c>
      <c r="AG476" s="42">
        <f t="shared" si="153"/>
        <v>1841.8386534079996</v>
      </c>
      <c r="AH476" s="42">
        <f t="shared" si="154"/>
        <v>1.3388860926892738</v>
      </c>
      <c r="AI476" s="57">
        <v>3</v>
      </c>
      <c r="AJ476" s="57">
        <v>4</v>
      </c>
      <c r="AK476" s="36">
        <v>6.48</v>
      </c>
      <c r="AL476" s="36">
        <v>22.9</v>
      </c>
      <c r="AM476" s="63">
        <v>6.6</v>
      </c>
      <c r="AN476" s="63">
        <v>6.3</v>
      </c>
      <c r="AO476" s="36">
        <v>0.17</v>
      </c>
      <c r="AP476" s="68">
        <v>0.28000000000000003</v>
      </c>
      <c r="AQ476" s="73">
        <f t="shared" si="155"/>
        <v>1996</v>
      </c>
      <c r="AR476" s="75">
        <f t="shared" si="156"/>
        <v>0.70741482965931868</v>
      </c>
      <c r="AS476" s="75">
        <f t="shared" si="157"/>
        <v>4.2585170340681364E-2</v>
      </c>
      <c r="AT476" s="75">
        <f t="shared" si="158"/>
        <v>0.25</v>
      </c>
      <c r="AU476" s="26">
        <f t="shared" si="159"/>
        <v>7.4582924435721301E-2</v>
      </c>
      <c r="AV476" s="26">
        <f t="shared" si="160"/>
        <v>8.9892051030421971E-2</v>
      </c>
      <c r="AW476" s="26">
        <f t="shared" si="172"/>
        <v>0.90540540540540537</v>
      </c>
      <c r="AX476" s="24">
        <f t="shared" si="173"/>
        <v>0.90540540540540537</v>
      </c>
      <c r="AY476" s="77" t="str">
        <f t="shared" si="163"/>
        <v>7,5 ≤ Alc. Bruta &lt; 10,0 mg/L</v>
      </c>
      <c r="AZ476" s="77" t="str">
        <f t="shared" si="164"/>
        <v>10 ≤ Cor &lt;15 uC</v>
      </c>
      <c r="BA476" s="78" t="str">
        <f t="shared" si="165"/>
        <v>2,5 ≤ Turb &lt; 5,0 uT</v>
      </c>
      <c r="BB476" s="79" t="str">
        <f t="shared" si="166"/>
        <v>TOR &gt; BNN &gt; SM</v>
      </c>
      <c r="BC476" s="78" t="str">
        <f t="shared" si="167"/>
        <v>Tipo 1 (≤0,25) uT</v>
      </c>
      <c r="BD476" s="78" t="str">
        <f t="shared" si="168"/>
        <v>Tipo 1 (≤0,25) uT</v>
      </c>
      <c r="BE476" s="78" t="str">
        <f t="shared" si="169"/>
        <v>Tipo 2 (0,25-0,50) uT</v>
      </c>
      <c r="BF476" s="78" t="str">
        <f t="shared" si="170"/>
        <v>Tipo 2 (0,25-0,50) uT</v>
      </c>
      <c r="BG476" s="78" t="str">
        <f t="shared" si="171"/>
        <v>Tipo 1 (≤0,25) uT</v>
      </c>
    </row>
    <row r="477" spans="1:59" x14ac:dyDescent="0.2">
      <c r="A477" s="21">
        <v>46176</v>
      </c>
      <c r="B477" s="48">
        <v>0.89583333333333337</v>
      </c>
      <c r="C477" s="57">
        <v>1502</v>
      </c>
      <c r="D477" s="57">
        <v>85</v>
      </c>
      <c r="E477" s="57">
        <v>500</v>
      </c>
      <c r="F477" s="57">
        <v>2027</v>
      </c>
      <c r="G477" s="10" t="s">
        <v>78</v>
      </c>
      <c r="H477" s="63">
        <v>7.3</v>
      </c>
      <c r="I477" s="57">
        <v>90</v>
      </c>
      <c r="J477" s="57">
        <v>90</v>
      </c>
      <c r="K477" s="57">
        <v>90</v>
      </c>
      <c r="L477" s="63">
        <v>22.8</v>
      </c>
      <c r="M477" s="63">
        <v>6.7</v>
      </c>
      <c r="N477" s="36">
        <v>2.83</v>
      </c>
      <c r="O477" s="57">
        <v>16</v>
      </c>
      <c r="P477" s="63">
        <v>8.5</v>
      </c>
      <c r="Q477" s="36">
        <v>0.09</v>
      </c>
      <c r="R477" s="36">
        <v>22.36</v>
      </c>
      <c r="S477" s="36">
        <v>0.88</v>
      </c>
      <c r="T477" s="36">
        <v>0.7</v>
      </c>
      <c r="U477" s="42">
        <f t="shared" si="149"/>
        <v>1335.2862499999999</v>
      </c>
      <c r="V477" s="36">
        <f t="shared" si="150"/>
        <v>1452.5147689415999</v>
      </c>
      <c r="W477" s="36">
        <f t="shared" si="151"/>
        <v>1.087792800189173</v>
      </c>
      <c r="X477" s="57">
        <v>2</v>
      </c>
      <c r="Y477" s="57">
        <v>4</v>
      </c>
      <c r="Z477" s="63">
        <v>6.42</v>
      </c>
      <c r="AA477" s="57">
        <v>18.27</v>
      </c>
      <c r="AB477" s="63">
        <v>6.5</v>
      </c>
      <c r="AC477" s="63">
        <v>7.5</v>
      </c>
      <c r="AD477" s="10">
        <v>0.2</v>
      </c>
      <c r="AE477" s="36">
        <v>0.16</v>
      </c>
      <c r="AF477" s="42">
        <f t="shared" si="152"/>
        <v>1335.2862499999999</v>
      </c>
      <c r="AG477" s="42">
        <f t="shared" si="153"/>
        <v>1852.4517893959996</v>
      </c>
      <c r="AH477" s="42">
        <f t="shared" si="154"/>
        <v>1.387306871014361</v>
      </c>
      <c r="AI477" s="57">
        <v>3</v>
      </c>
      <c r="AJ477" s="57">
        <v>4</v>
      </c>
      <c r="AK477" s="36">
        <v>6.51</v>
      </c>
      <c r="AL477" s="36">
        <v>22.9</v>
      </c>
      <c r="AM477" s="63">
        <v>6.6</v>
      </c>
      <c r="AN477" s="63">
        <v>7.2</v>
      </c>
      <c r="AO477" s="36">
        <v>0.25</v>
      </c>
      <c r="AP477" s="68">
        <v>0.28000000000000003</v>
      </c>
      <c r="AQ477" s="73">
        <f t="shared" si="155"/>
        <v>2087</v>
      </c>
      <c r="AR477" s="75">
        <f t="shared" si="156"/>
        <v>0.71969333972208915</v>
      </c>
      <c r="AS477" s="75">
        <f t="shared" si="157"/>
        <v>4.0728318160038329E-2</v>
      </c>
      <c r="AT477" s="75">
        <f t="shared" si="158"/>
        <v>0.23957834211787254</v>
      </c>
      <c r="AU477" s="26">
        <f t="shared" si="159"/>
        <v>7.2106561420818949E-2</v>
      </c>
      <c r="AV477" s="26">
        <f t="shared" si="160"/>
        <v>9.0379871731623082E-2</v>
      </c>
      <c r="AW477" s="26">
        <f t="shared" si="172"/>
        <v>0.90106007067137805</v>
      </c>
      <c r="AX477" s="24">
        <f t="shared" si="173"/>
        <v>0.94346289752650181</v>
      </c>
      <c r="AY477" s="77" t="str">
        <f t="shared" si="163"/>
        <v>7,5 ≤ Alc. Bruta &lt; 10,0 mg/L</v>
      </c>
      <c r="AZ477" s="77" t="str">
        <f t="shared" si="164"/>
        <v>15 ≤ Cor &lt; 30 uC</v>
      </c>
      <c r="BA477" s="78" t="str">
        <f t="shared" si="165"/>
        <v>2,5 ≤ Turb &lt; 5,0 uT</v>
      </c>
      <c r="BB477" s="79" t="str">
        <f t="shared" si="166"/>
        <v>TOR &gt; BNN &gt; SM</v>
      </c>
      <c r="BC477" s="78" t="str">
        <f t="shared" si="167"/>
        <v>Tipo 1 (≤0,25) uT</v>
      </c>
      <c r="BD477" s="78" t="str">
        <f t="shared" si="168"/>
        <v>Tipo 1 (≤0,25) uT</v>
      </c>
      <c r="BE477" s="78" t="str">
        <f t="shared" si="169"/>
        <v>Tipo 1 (≤0,25) uT</v>
      </c>
      <c r="BF477" s="78" t="str">
        <f t="shared" si="170"/>
        <v>Tipo 2 (0,25-0,50) uT</v>
      </c>
      <c r="BG477" s="78" t="str">
        <f t="shared" si="171"/>
        <v>Tipo 1 (≤0,25) uT</v>
      </c>
    </row>
    <row r="478" spans="1:59" x14ac:dyDescent="0.2">
      <c r="A478" s="21">
        <v>46176</v>
      </c>
      <c r="B478" s="48">
        <v>0.97916666666666663</v>
      </c>
      <c r="C478" s="57">
        <v>1433</v>
      </c>
      <c r="D478" s="57">
        <v>85</v>
      </c>
      <c r="E478" s="57">
        <v>500</v>
      </c>
      <c r="F478" s="57">
        <v>2033</v>
      </c>
      <c r="G478" s="10" t="s">
        <v>78</v>
      </c>
      <c r="H478" s="63">
        <v>7.3</v>
      </c>
      <c r="I478" s="57">
        <v>90</v>
      </c>
      <c r="J478" s="57">
        <v>90</v>
      </c>
      <c r="K478" s="57">
        <v>90</v>
      </c>
      <c r="L478" s="63">
        <v>22.3</v>
      </c>
      <c r="M478" s="63">
        <v>6.7</v>
      </c>
      <c r="N478" s="36">
        <v>2.9</v>
      </c>
      <c r="O478" s="57">
        <v>13</v>
      </c>
      <c r="P478" s="63">
        <v>7.5</v>
      </c>
      <c r="Q478" s="36">
        <v>0.1</v>
      </c>
      <c r="R478" s="36">
        <v>22.36</v>
      </c>
      <c r="S478" s="36">
        <v>0.88</v>
      </c>
      <c r="T478" s="36">
        <v>0.7</v>
      </c>
      <c r="U478" s="42">
        <f t="shared" si="149"/>
        <v>1357.0274999999999</v>
      </c>
      <c r="V478" s="36">
        <f t="shared" si="150"/>
        <v>1527.3540341799999</v>
      </c>
      <c r="W478" s="36">
        <f t="shared" si="151"/>
        <v>1.1255144307539824</v>
      </c>
      <c r="X478" s="57">
        <v>2</v>
      </c>
      <c r="Y478" s="57">
        <v>4</v>
      </c>
      <c r="Z478" s="63">
        <v>6.45</v>
      </c>
      <c r="AA478" s="57">
        <v>19.100000000000001</v>
      </c>
      <c r="AB478" s="63">
        <v>6.5</v>
      </c>
      <c r="AC478" s="63">
        <v>5.7</v>
      </c>
      <c r="AD478" s="10">
        <v>0.14000000000000001</v>
      </c>
      <c r="AE478" s="36">
        <v>0.21</v>
      </c>
      <c r="AF478" s="42">
        <f t="shared" si="152"/>
        <v>1357.0274999999999</v>
      </c>
      <c r="AG478" s="42">
        <f t="shared" si="153"/>
        <v>1861.6628317455993</v>
      </c>
      <c r="AH478" s="42">
        <f t="shared" si="154"/>
        <v>1.371868169027967</v>
      </c>
      <c r="AI478" s="57">
        <v>3</v>
      </c>
      <c r="AJ478" s="57">
        <v>4</v>
      </c>
      <c r="AK478" s="36">
        <v>6.52</v>
      </c>
      <c r="AL478" s="36">
        <v>22.97</v>
      </c>
      <c r="AM478" s="63">
        <v>6.6</v>
      </c>
      <c r="AN478" s="63">
        <v>6</v>
      </c>
      <c r="AO478" s="36">
        <v>0.12</v>
      </c>
      <c r="AP478" s="68">
        <v>0.27</v>
      </c>
      <c r="AQ478" s="73">
        <f t="shared" si="155"/>
        <v>2018</v>
      </c>
      <c r="AR478" s="75">
        <f t="shared" si="156"/>
        <v>0.71010901883052524</v>
      </c>
      <c r="AS478" s="75">
        <f t="shared" si="157"/>
        <v>4.2120911793855305E-2</v>
      </c>
      <c r="AT478" s="75">
        <f t="shared" si="158"/>
        <v>0.24777006937561943</v>
      </c>
      <c r="AU478" s="26">
        <f t="shared" si="159"/>
        <v>7.5159862272503694E-2</v>
      </c>
      <c r="AV478" s="26">
        <f t="shared" si="160"/>
        <v>9.0388588293162805E-2</v>
      </c>
      <c r="AW478" s="26">
        <f t="shared" si="172"/>
        <v>0.90689655172413797</v>
      </c>
      <c r="AX478" s="24">
        <f t="shared" si="173"/>
        <v>0.92758620689655169</v>
      </c>
      <c r="AY478" s="77" t="str">
        <f t="shared" si="163"/>
        <v>7,5 ≤ Alc. Bruta &lt; 10,0 mg/L</v>
      </c>
      <c r="AZ478" s="77" t="str">
        <f t="shared" si="164"/>
        <v>10 ≤ Cor &lt;15 uC</v>
      </c>
      <c r="BA478" s="78" t="str">
        <f t="shared" si="165"/>
        <v>2,5 ≤ Turb &lt; 5,0 uT</v>
      </c>
      <c r="BB478" s="79" t="str">
        <f t="shared" si="166"/>
        <v>TOR &gt; BNN &gt; SM</v>
      </c>
      <c r="BC478" s="78" t="str">
        <f t="shared" si="167"/>
        <v>Tipo 1 (≤0,25) uT</v>
      </c>
      <c r="BD478" s="78" t="str">
        <f t="shared" si="168"/>
        <v>Tipo 1 (≤0,25) uT</v>
      </c>
      <c r="BE478" s="78" t="str">
        <f t="shared" si="169"/>
        <v>Tipo 1 (≤0,25) uT</v>
      </c>
      <c r="BF478" s="78" t="str">
        <f t="shared" si="170"/>
        <v>Tipo 2 (0,25-0,50) uT</v>
      </c>
      <c r="BG478" s="78" t="str">
        <f t="shared" si="171"/>
        <v>Tipo 1 (≤0,25) uT</v>
      </c>
    </row>
    <row r="479" spans="1:59" x14ac:dyDescent="0.2">
      <c r="A479" s="21">
        <v>46177</v>
      </c>
      <c r="B479" s="48">
        <v>6.25E-2</v>
      </c>
      <c r="C479" s="57">
        <v>1460</v>
      </c>
      <c r="D479" s="57">
        <v>84</v>
      </c>
      <c r="E479" s="57">
        <v>500</v>
      </c>
      <c r="F479" s="57">
        <v>2099</v>
      </c>
      <c r="G479" s="10" t="s">
        <v>78</v>
      </c>
      <c r="H479" s="63">
        <v>7.3</v>
      </c>
      <c r="I479" s="57">
        <v>90</v>
      </c>
      <c r="J479" s="57">
        <v>90</v>
      </c>
      <c r="K479" s="57">
        <v>90</v>
      </c>
      <c r="L479" s="63">
        <v>22.1</v>
      </c>
      <c r="M479" s="63">
        <v>6.7</v>
      </c>
      <c r="N479" s="36">
        <v>2.86</v>
      </c>
      <c r="O479" s="57">
        <v>14</v>
      </c>
      <c r="P479" s="63">
        <v>8.1</v>
      </c>
      <c r="Q479" s="36">
        <v>0.09</v>
      </c>
      <c r="R479" s="36">
        <v>22.36</v>
      </c>
      <c r="S479" s="36">
        <v>0.88</v>
      </c>
      <c r="T479" s="36">
        <v>0.7</v>
      </c>
      <c r="U479" s="42">
        <f t="shared" si="149"/>
        <v>1390.5874999999999</v>
      </c>
      <c r="V479" s="36">
        <f t="shared" si="150"/>
        <v>1497.5555352159997</v>
      </c>
      <c r="W479" s="36">
        <f t="shared" si="151"/>
        <v>1.0769229086382552</v>
      </c>
      <c r="X479" s="57">
        <v>2</v>
      </c>
      <c r="Y479" s="57">
        <v>4</v>
      </c>
      <c r="Z479" s="63">
        <v>6.43</v>
      </c>
      <c r="AA479" s="57">
        <v>18.8</v>
      </c>
      <c r="AB479" s="63">
        <v>6.5</v>
      </c>
      <c r="AC479" s="63">
        <v>6</v>
      </c>
      <c r="AD479" s="10">
        <v>0.14000000000000001</v>
      </c>
      <c r="AE479" s="36">
        <v>0.23</v>
      </c>
      <c r="AF479" s="42">
        <f t="shared" si="152"/>
        <v>1390.5874999999999</v>
      </c>
      <c r="AG479" s="42">
        <f t="shared" si="153"/>
        <v>1853.4347774799999</v>
      </c>
      <c r="AH479" s="42">
        <f t="shared" si="154"/>
        <v>1.3328429728298292</v>
      </c>
      <c r="AI479" s="57">
        <v>3</v>
      </c>
      <c r="AJ479" s="57">
        <v>4</v>
      </c>
      <c r="AK479" s="36">
        <v>6.49</v>
      </c>
      <c r="AL479" s="36">
        <v>23</v>
      </c>
      <c r="AM479" s="63">
        <v>6.5</v>
      </c>
      <c r="AN479" s="63">
        <v>6.1</v>
      </c>
      <c r="AO479" s="36">
        <v>0.1</v>
      </c>
      <c r="AP479" s="68">
        <v>0.28000000000000003</v>
      </c>
      <c r="AQ479" s="73">
        <f t="shared" si="155"/>
        <v>2044</v>
      </c>
      <c r="AR479" s="75">
        <f t="shared" si="156"/>
        <v>0.7142857142857143</v>
      </c>
      <c r="AS479" s="75">
        <f t="shared" si="157"/>
        <v>4.1095890410958902E-2</v>
      </c>
      <c r="AT479" s="75">
        <f t="shared" si="158"/>
        <v>0.2446183953033268</v>
      </c>
      <c r="AU479" s="26">
        <f t="shared" si="159"/>
        <v>7.165316817532158E-2</v>
      </c>
      <c r="AV479" s="26">
        <f t="shared" si="160"/>
        <v>8.7660790852787038E-2</v>
      </c>
      <c r="AW479" s="26">
        <f t="shared" si="172"/>
        <v>0.90209790209790208</v>
      </c>
      <c r="AX479" s="24">
        <f t="shared" si="173"/>
        <v>0.91958041958041958</v>
      </c>
      <c r="AY479" s="77" t="str">
        <f t="shared" si="163"/>
        <v>7,5 ≤ Alc. Bruta &lt; 10,0 mg/L</v>
      </c>
      <c r="AZ479" s="77" t="str">
        <f t="shared" si="164"/>
        <v>10 ≤ Cor &lt;15 uC</v>
      </c>
      <c r="BA479" s="78" t="str">
        <f t="shared" si="165"/>
        <v>2,5 ≤ Turb &lt; 5,0 uT</v>
      </c>
      <c r="BB479" s="79" t="str">
        <f t="shared" si="166"/>
        <v>TOR &gt; BNN &gt; SM</v>
      </c>
      <c r="BC479" s="78" t="str">
        <f t="shared" si="167"/>
        <v>Tipo 1 (≤0,25) uT</v>
      </c>
      <c r="BD479" s="78" t="str">
        <f t="shared" si="168"/>
        <v>Tipo 1 (≤0,25) uT</v>
      </c>
      <c r="BE479" s="78" t="str">
        <f t="shared" si="169"/>
        <v>Tipo 1 (≤0,25) uT</v>
      </c>
      <c r="BF479" s="78" t="str">
        <f t="shared" si="170"/>
        <v>Tipo 2 (0,25-0,50) uT</v>
      </c>
      <c r="BG479" s="78" t="str">
        <f t="shared" si="171"/>
        <v>Tipo 1 (≤0,25) uT</v>
      </c>
    </row>
    <row r="480" spans="1:59" x14ac:dyDescent="0.2">
      <c r="A480" s="21">
        <v>46177</v>
      </c>
      <c r="B480" s="48">
        <v>0.14583333333333334</v>
      </c>
      <c r="C480" s="57">
        <v>1063</v>
      </c>
      <c r="D480" s="57">
        <v>91</v>
      </c>
      <c r="E480" s="57">
        <v>499</v>
      </c>
      <c r="F480" s="57">
        <v>1697</v>
      </c>
      <c r="G480" s="10" t="s">
        <v>78</v>
      </c>
      <c r="H480" s="63">
        <v>7.3</v>
      </c>
      <c r="I480" s="57">
        <v>90</v>
      </c>
      <c r="J480" s="57">
        <v>90</v>
      </c>
      <c r="K480" s="57">
        <v>90</v>
      </c>
      <c r="L480" s="63">
        <v>21.8</v>
      </c>
      <c r="M480" s="63">
        <v>6.8</v>
      </c>
      <c r="N480" s="36">
        <v>2.6</v>
      </c>
      <c r="O480" s="57">
        <v>13</v>
      </c>
      <c r="P480" s="63">
        <v>7.1</v>
      </c>
      <c r="Q480" s="36">
        <v>0.08</v>
      </c>
      <c r="R480" s="36">
        <v>22.36</v>
      </c>
      <c r="S480" s="36">
        <v>0.88</v>
      </c>
      <c r="T480" s="36">
        <v>0.7</v>
      </c>
      <c r="U480" s="42">
        <f t="shared" si="149"/>
        <v>1425.48</v>
      </c>
      <c r="V480" s="36">
        <f t="shared" si="150"/>
        <v>1488.84256768</v>
      </c>
      <c r="W480" s="36">
        <f t="shared" si="151"/>
        <v>1.0444499871481887</v>
      </c>
      <c r="X480" s="57">
        <v>2</v>
      </c>
      <c r="Y480" s="57">
        <v>3</v>
      </c>
      <c r="Z480" s="63">
        <v>6.4</v>
      </c>
      <c r="AA480" s="57">
        <v>18.8</v>
      </c>
      <c r="AB480" s="63">
        <v>6.5</v>
      </c>
      <c r="AC480" s="63">
        <v>6.8</v>
      </c>
      <c r="AD480" s="10">
        <v>0.19</v>
      </c>
      <c r="AE480" s="36">
        <v>0.25</v>
      </c>
      <c r="AF480" s="42">
        <f t="shared" si="152"/>
        <v>1425.48</v>
      </c>
      <c r="AG480" s="42">
        <f t="shared" si="153"/>
        <v>1861.3500294323999</v>
      </c>
      <c r="AH480" s="42">
        <f t="shared" si="154"/>
        <v>1.3057707084156915</v>
      </c>
      <c r="AI480" s="57">
        <v>2</v>
      </c>
      <c r="AJ480" s="57">
        <v>3</v>
      </c>
      <c r="AK480" s="36">
        <v>6.51</v>
      </c>
      <c r="AL480" s="36">
        <v>23.01</v>
      </c>
      <c r="AM480" s="63">
        <v>6.5</v>
      </c>
      <c r="AN480" s="63">
        <v>5.8</v>
      </c>
      <c r="AO480" s="36">
        <v>0.2</v>
      </c>
      <c r="AP480" s="68">
        <v>0.32</v>
      </c>
      <c r="AQ480" s="73">
        <f t="shared" si="155"/>
        <v>1653</v>
      </c>
      <c r="AR480" s="75">
        <f t="shared" si="156"/>
        <v>0.64307320024198422</v>
      </c>
      <c r="AS480" s="75">
        <f t="shared" si="157"/>
        <v>5.5051421657592255E-2</v>
      </c>
      <c r="AT480" s="75">
        <f t="shared" si="158"/>
        <v>0.30187537810042347</v>
      </c>
      <c r="AU480" s="26">
        <f t="shared" si="159"/>
        <v>6.6470241602828523E-2</v>
      </c>
      <c r="AV480" s="26">
        <f t="shared" si="160"/>
        <v>8.1355332940483222E-2</v>
      </c>
      <c r="AW480" s="26">
        <f t="shared" si="172"/>
        <v>0.87692307692307692</v>
      </c>
      <c r="AX480" s="24">
        <f t="shared" si="173"/>
        <v>0.90384615384615385</v>
      </c>
      <c r="AY480" s="77" t="str">
        <f t="shared" si="163"/>
        <v>5,0 ≤ Alc. Bruta &lt; 7,5 mg/L</v>
      </c>
      <c r="AZ480" s="77" t="str">
        <f t="shared" si="164"/>
        <v>10 ≤ Cor &lt;15 uC</v>
      </c>
      <c r="BA480" s="78" t="str">
        <f t="shared" si="165"/>
        <v>2,5 ≤ Turb &lt; 5,0 uT</v>
      </c>
      <c r="BB480" s="79" t="str">
        <f t="shared" si="166"/>
        <v>TOR &gt; BNN &gt; SM</v>
      </c>
      <c r="BC480" s="78" t="str">
        <f t="shared" si="167"/>
        <v>Tipo 1 (≤0,25) uT</v>
      </c>
      <c r="BD480" s="78" t="str">
        <f t="shared" si="168"/>
        <v>Tipo 1 (≤0,25) uT</v>
      </c>
      <c r="BE480" s="78" t="str">
        <f t="shared" si="169"/>
        <v>Tipo 1 (≤0,25) uT</v>
      </c>
      <c r="BF480" s="78" t="str">
        <f t="shared" si="170"/>
        <v>Tipo 2 (0,25-0,50) uT</v>
      </c>
      <c r="BG480" s="78" t="str">
        <f t="shared" si="171"/>
        <v>Tipo 1 (≤0,25) uT</v>
      </c>
    </row>
    <row r="481" spans="1:59" ht="15.75" thickBot="1" x14ac:dyDescent="0.25">
      <c r="A481" s="21">
        <v>46177</v>
      </c>
      <c r="B481" s="51">
        <v>0.22916666666666666</v>
      </c>
      <c r="C481" s="58">
        <v>1028</v>
      </c>
      <c r="D481" s="58">
        <v>87</v>
      </c>
      <c r="E481" s="58">
        <v>499</v>
      </c>
      <c r="F481" s="58">
        <v>1775</v>
      </c>
      <c r="G481" s="11" t="s">
        <v>78</v>
      </c>
      <c r="H481" s="64">
        <v>7.3</v>
      </c>
      <c r="I481" s="58">
        <v>90</v>
      </c>
      <c r="J481" s="58">
        <v>90</v>
      </c>
      <c r="K481" s="58">
        <v>90</v>
      </c>
      <c r="L481" s="64">
        <v>21.6</v>
      </c>
      <c r="M481" s="64">
        <v>6.7</v>
      </c>
      <c r="N481" s="37">
        <v>3.09</v>
      </c>
      <c r="O481" s="58">
        <v>14</v>
      </c>
      <c r="P481" s="64">
        <v>8.6999999999999993</v>
      </c>
      <c r="Q481" s="37">
        <v>0.08</v>
      </c>
      <c r="R481" s="36">
        <v>22.36</v>
      </c>
      <c r="S481" s="36">
        <v>0.88</v>
      </c>
      <c r="T481" s="36">
        <v>0.7</v>
      </c>
      <c r="U481" s="42">
        <f t="shared" si="149"/>
        <v>1635.958333333333</v>
      </c>
      <c r="V481" s="36">
        <f t="shared" si="150"/>
        <v>1505.5212561479996</v>
      </c>
      <c r="W481" s="36">
        <f t="shared" si="151"/>
        <v>0.92026870457051158</v>
      </c>
      <c r="X481" s="58">
        <v>2</v>
      </c>
      <c r="Y481" s="58">
        <v>3</v>
      </c>
      <c r="Z481" s="64">
        <v>6.43</v>
      </c>
      <c r="AA481" s="58">
        <v>18.899999999999999</v>
      </c>
      <c r="AB481" s="63">
        <v>6.5</v>
      </c>
      <c r="AC481" s="64">
        <v>6.9</v>
      </c>
      <c r="AD481" s="11">
        <v>0.23</v>
      </c>
      <c r="AE481" s="37">
        <v>0.28000000000000003</v>
      </c>
      <c r="AF481" s="42">
        <f t="shared" si="152"/>
        <v>1635.958333333333</v>
      </c>
      <c r="AG481" s="42">
        <f t="shared" si="153"/>
        <v>1859.2314044511995</v>
      </c>
      <c r="AH481" s="42">
        <f t="shared" si="154"/>
        <v>1.1364784582642384</v>
      </c>
      <c r="AI481" s="58">
        <v>2</v>
      </c>
      <c r="AJ481" s="58">
        <v>3</v>
      </c>
      <c r="AK481" s="37">
        <v>6.52</v>
      </c>
      <c r="AL481" s="37">
        <v>22.94</v>
      </c>
      <c r="AM481" s="64">
        <v>6.6</v>
      </c>
      <c r="AN481" s="64">
        <v>6.5</v>
      </c>
      <c r="AO481" s="37">
        <v>0.14000000000000001</v>
      </c>
      <c r="AP481" s="69">
        <v>0.3</v>
      </c>
      <c r="AQ481" s="73">
        <f t="shared" si="155"/>
        <v>1614</v>
      </c>
      <c r="AR481" s="75">
        <f t="shared" si="156"/>
        <v>0.63692688971499378</v>
      </c>
      <c r="AS481" s="75">
        <f t="shared" si="157"/>
        <v>5.3903345724907063E-2</v>
      </c>
      <c r="AT481" s="75">
        <f t="shared" si="158"/>
        <v>0.30916976456009915</v>
      </c>
      <c r="AU481" s="26">
        <f t="shared" si="159"/>
        <v>6.3887323943661978E-2</v>
      </c>
      <c r="AV481" s="26">
        <f t="shared" si="160"/>
        <v>7.7543661971830991E-2</v>
      </c>
      <c r="AW481" s="26">
        <f t="shared" si="172"/>
        <v>0.90291262135922334</v>
      </c>
      <c r="AX481" s="24">
        <f t="shared" si="173"/>
        <v>0.90938511326860838</v>
      </c>
      <c r="AY481" s="77" t="str">
        <f t="shared" si="163"/>
        <v>7,5 ≤ Alc. Bruta &lt; 10,0 mg/L</v>
      </c>
      <c r="AZ481" s="77" t="str">
        <f t="shared" si="164"/>
        <v>10 ≤ Cor &lt;15 uC</v>
      </c>
      <c r="BA481" s="78" t="str">
        <f t="shared" si="165"/>
        <v>2,5 ≤ Turb &lt; 5,0 uT</v>
      </c>
      <c r="BB481" s="79" t="str">
        <f t="shared" si="166"/>
        <v>TOR &gt; BNN &gt; SM</v>
      </c>
      <c r="BC481" s="78" t="str">
        <f t="shared" si="167"/>
        <v>Tipo 1 (≤0,25) uT</v>
      </c>
      <c r="BD481" s="78" t="str">
        <f t="shared" si="168"/>
        <v>Tipo 1 (≤0,25) uT</v>
      </c>
      <c r="BE481" s="78" t="str">
        <f t="shared" si="169"/>
        <v>Tipo 2 (0,25-0,50) uT</v>
      </c>
      <c r="BF481" s="78" t="str">
        <f t="shared" si="170"/>
        <v>Tipo 2 (0,25-0,50) uT</v>
      </c>
      <c r="BG481" s="78" t="str">
        <f t="shared" si="171"/>
        <v>Tipo 1 (≤0,25) uT</v>
      </c>
    </row>
    <row r="482" spans="1:59" x14ac:dyDescent="0.2">
      <c r="A482" s="21">
        <v>46177</v>
      </c>
      <c r="B482" s="52">
        <v>0.3125</v>
      </c>
      <c r="C482" s="59">
        <v>1102</v>
      </c>
      <c r="D482" s="57">
        <v>90</v>
      </c>
      <c r="E482" s="59">
        <v>499</v>
      </c>
      <c r="F482" s="59">
        <v>1775</v>
      </c>
      <c r="G482" s="9" t="s">
        <v>78</v>
      </c>
      <c r="H482" s="65">
        <v>7.3</v>
      </c>
      <c r="I482" s="59">
        <v>90</v>
      </c>
      <c r="J482" s="59">
        <v>90</v>
      </c>
      <c r="K482" s="59">
        <v>90</v>
      </c>
      <c r="L482" s="65">
        <v>21.5</v>
      </c>
      <c r="M482" s="65">
        <v>6.8</v>
      </c>
      <c r="N482" s="38">
        <v>2.88</v>
      </c>
      <c r="O482" s="59">
        <v>13</v>
      </c>
      <c r="P482" s="65">
        <v>7.3</v>
      </c>
      <c r="Q482" s="38">
        <v>0.08</v>
      </c>
      <c r="R482" s="36">
        <v>22.36</v>
      </c>
      <c r="S482" s="36">
        <v>0.88</v>
      </c>
      <c r="T482" s="36">
        <v>0.7</v>
      </c>
      <c r="U482" s="42">
        <f t="shared" si="149"/>
        <v>1573.8333333333333</v>
      </c>
      <c r="V482" s="36">
        <f t="shared" si="150"/>
        <v>1608.5927103999998</v>
      </c>
      <c r="W482" s="36">
        <f t="shared" si="151"/>
        <v>1.022085805612623</v>
      </c>
      <c r="X482" s="59">
        <v>2</v>
      </c>
      <c r="Y482" s="59">
        <v>3</v>
      </c>
      <c r="Z482" s="65">
        <v>6.48</v>
      </c>
      <c r="AA482" s="59">
        <v>20</v>
      </c>
      <c r="AB482" s="65">
        <v>6.6</v>
      </c>
      <c r="AC482" s="65">
        <v>6</v>
      </c>
      <c r="AD482" s="9">
        <v>0.16</v>
      </c>
      <c r="AE482" s="38">
        <v>0.31</v>
      </c>
      <c r="AF482" s="42">
        <f t="shared" si="152"/>
        <v>1573.8333333333333</v>
      </c>
      <c r="AG482" s="42">
        <f t="shared" si="153"/>
        <v>1821.4563327999999</v>
      </c>
      <c r="AH482" s="42">
        <f t="shared" si="154"/>
        <v>1.1573374983373927</v>
      </c>
      <c r="AI482" s="59">
        <v>2</v>
      </c>
      <c r="AJ482" s="59">
        <v>3</v>
      </c>
      <c r="AK482" s="38">
        <v>6.4</v>
      </c>
      <c r="AL482" s="38">
        <v>23</v>
      </c>
      <c r="AM482" s="65">
        <v>6.5</v>
      </c>
      <c r="AN482" s="65">
        <v>5.6</v>
      </c>
      <c r="AO482" s="38">
        <v>0.15</v>
      </c>
      <c r="AP482" s="70">
        <v>0.32</v>
      </c>
      <c r="AQ482" s="73">
        <f t="shared" si="155"/>
        <v>1691</v>
      </c>
      <c r="AR482" s="75">
        <f t="shared" si="156"/>
        <v>0.651685393258427</v>
      </c>
      <c r="AS482" s="75">
        <f t="shared" si="157"/>
        <v>5.322294500295683E-2</v>
      </c>
      <c r="AT482" s="75">
        <f t="shared" si="158"/>
        <v>0.29509166173861623</v>
      </c>
      <c r="AU482" s="26">
        <f t="shared" si="159"/>
        <v>6.7605633802816908E-2</v>
      </c>
      <c r="AV482" s="26">
        <f t="shared" si="160"/>
        <v>7.7746478873239447E-2</v>
      </c>
      <c r="AW482" s="26">
        <f t="shared" si="172"/>
        <v>0.88888888888888884</v>
      </c>
      <c r="AX482" s="24">
        <f t="shared" si="173"/>
        <v>0.89236111111111116</v>
      </c>
      <c r="AY482" s="77" t="str">
        <f t="shared" si="163"/>
        <v>5,0 ≤ Alc. Bruta &lt; 7,5 mg/L</v>
      </c>
      <c r="AZ482" s="77" t="str">
        <f t="shared" si="164"/>
        <v>10 ≤ Cor &lt;15 uC</v>
      </c>
      <c r="BA482" s="78" t="str">
        <f t="shared" si="165"/>
        <v>2,5 ≤ Turb &lt; 5,0 uT</v>
      </c>
      <c r="BB482" s="79" t="str">
        <f t="shared" si="166"/>
        <v>TOR &gt; BNN &gt; SM</v>
      </c>
      <c r="BC482" s="78" t="str">
        <f t="shared" si="167"/>
        <v>Tipo 1 (≤0,25) uT</v>
      </c>
      <c r="BD482" s="78" t="str">
        <f t="shared" si="168"/>
        <v>Tipo 1 (≤0,25) uT</v>
      </c>
      <c r="BE482" s="78" t="str">
        <f t="shared" si="169"/>
        <v>Tipo 2 (0,25-0,50) uT</v>
      </c>
      <c r="BF482" s="78" t="str">
        <f t="shared" si="170"/>
        <v>Tipo 2 (0,25-0,50) uT</v>
      </c>
      <c r="BG482" s="78" t="str">
        <f t="shared" si="171"/>
        <v>Tipo 1 (≤0,25) uT</v>
      </c>
    </row>
    <row r="483" spans="1:59" x14ac:dyDescent="0.2">
      <c r="A483" s="21">
        <v>46177</v>
      </c>
      <c r="B483" s="54">
        <v>0.39583333333333331</v>
      </c>
      <c r="C483" s="60">
        <v>1087</v>
      </c>
      <c r="D483" s="57">
        <v>79</v>
      </c>
      <c r="E483" s="60">
        <v>500</v>
      </c>
      <c r="F483" s="60">
        <v>1735</v>
      </c>
      <c r="G483" s="27" t="s">
        <v>78</v>
      </c>
      <c r="H483" s="66">
        <v>7.3</v>
      </c>
      <c r="I483" s="60">
        <v>90</v>
      </c>
      <c r="J483" s="60">
        <v>90</v>
      </c>
      <c r="K483" s="60">
        <v>90</v>
      </c>
      <c r="L483" s="66">
        <v>21.5</v>
      </c>
      <c r="M483" s="66">
        <v>6.7</v>
      </c>
      <c r="N483" s="39">
        <v>2.87</v>
      </c>
      <c r="O483" s="60">
        <v>13</v>
      </c>
      <c r="P483" s="66">
        <v>7.1</v>
      </c>
      <c r="Q483" s="39">
        <v>0.09</v>
      </c>
      <c r="R483" s="36">
        <v>22.36</v>
      </c>
      <c r="S483" s="36">
        <v>0.88</v>
      </c>
      <c r="T483" s="36">
        <v>0.7</v>
      </c>
      <c r="U483" s="42">
        <f t="shared" si="149"/>
        <v>1535.4750000000001</v>
      </c>
      <c r="V483" s="36">
        <f t="shared" si="150"/>
        <v>1534.0335140000002</v>
      </c>
      <c r="W483" s="36">
        <f t="shared" si="151"/>
        <v>0.99906121167716833</v>
      </c>
      <c r="X483" s="60">
        <v>2</v>
      </c>
      <c r="Y483" s="60">
        <v>3</v>
      </c>
      <c r="Z483" s="66">
        <v>6.5</v>
      </c>
      <c r="AA483" s="60">
        <v>19</v>
      </c>
      <c r="AB483" s="66">
        <v>6.6</v>
      </c>
      <c r="AC483" s="66">
        <v>6.1</v>
      </c>
      <c r="AD483" s="27">
        <v>0.18</v>
      </c>
      <c r="AE483" s="39">
        <v>0.25</v>
      </c>
      <c r="AF483" s="42">
        <f t="shared" si="152"/>
        <v>1535.4750000000001</v>
      </c>
      <c r="AG483" s="42">
        <f t="shared" si="153"/>
        <v>1759.2559555999999</v>
      </c>
      <c r="AH483" s="42">
        <f t="shared" si="154"/>
        <v>1.1457405399632035</v>
      </c>
      <c r="AI483" s="60">
        <v>2</v>
      </c>
      <c r="AJ483" s="60">
        <v>3</v>
      </c>
      <c r="AK483" s="39">
        <v>6.45</v>
      </c>
      <c r="AL483" s="39">
        <v>22</v>
      </c>
      <c r="AM483" s="66">
        <v>6.5</v>
      </c>
      <c r="AN483" s="66">
        <v>5.8</v>
      </c>
      <c r="AO483" s="39">
        <v>0.17</v>
      </c>
      <c r="AP483" s="71">
        <v>0.3</v>
      </c>
      <c r="AQ483" s="73">
        <f t="shared" si="155"/>
        <v>1666</v>
      </c>
      <c r="AR483" s="75">
        <f t="shared" si="156"/>
        <v>0.65246098439375755</v>
      </c>
      <c r="AS483" s="75">
        <f t="shared" si="157"/>
        <v>4.7418967587034816E-2</v>
      </c>
      <c r="AT483" s="75">
        <f t="shared" si="158"/>
        <v>0.30012004801920766</v>
      </c>
      <c r="AU483" s="26">
        <f t="shared" si="159"/>
        <v>6.5706051873198848E-2</v>
      </c>
      <c r="AV483" s="26">
        <f t="shared" si="160"/>
        <v>7.6080691642651285E-2</v>
      </c>
      <c r="AW483" s="26">
        <f t="shared" si="172"/>
        <v>0.89547038327526129</v>
      </c>
      <c r="AX483" s="24">
        <f t="shared" si="173"/>
        <v>0.91289198606271782</v>
      </c>
      <c r="AY483" s="77" t="str">
        <f t="shared" si="163"/>
        <v>5,0 ≤ Alc. Bruta &lt; 7,5 mg/L</v>
      </c>
      <c r="AZ483" s="77" t="str">
        <f t="shared" si="164"/>
        <v>10 ≤ Cor &lt;15 uC</v>
      </c>
      <c r="BA483" s="78" t="str">
        <f t="shared" si="165"/>
        <v>2,5 ≤ Turb &lt; 5,0 uT</v>
      </c>
      <c r="BB483" s="79" t="str">
        <f t="shared" si="166"/>
        <v>TOR &gt; BNN &gt; SM</v>
      </c>
      <c r="BC483" s="78" t="str">
        <f t="shared" si="167"/>
        <v>Tipo 1 (≤0,25) uT</v>
      </c>
      <c r="BD483" s="78" t="str">
        <f t="shared" si="168"/>
        <v>Tipo 1 (≤0,25) uT</v>
      </c>
      <c r="BE483" s="78" t="str">
        <f t="shared" si="169"/>
        <v>Tipo 1 (≤0,25) uT</v>
      </c>
      <c r="BF483" s="78" t="str">
        <f t="shared" si="170"/>
        <v>Tipo 2 (0,25-0,50) uT</v>
      </c>
      <c r="BG483" s="78" t="str">
        <f t="shared" si="171"/>
        <v>Tipo 1 (≤0,25) uT</v>
      </c>
    </row>
    <row r="484" spans="1:59" x14ac:dyDescent="0.2">
      <c r="A484" s="21">
        <v>46177</v>
      </c>
      <c r="B484" s="48">
        <v>0.47916666666666669</v>
      </c>
      <c r="C484" s="57">
        <v>600</v>
      </c>
      <c r="D484" s="57">
        <v>84</v>
      </c>
      <c r="E484" s="57">
        <v>700</v>
      </c>
      <c r="F484" s="57">
        <v>1365</v>
      </c>
      <c r="G484" s="10" t="s">
        <v>78</v>
      </c>
      <c r="H484" s="63">
        <v>7.3</v>
      </c>
      <c r="I484" s="57">
        <v>90</v>
      </c>
      <c r="J484" s="57">
        <v>90</v>
      </c>
      <c r="K484" s="57">
        <v>90</v>
      </c>
      <c r="L484" s="63">
        <v>22.2</v>
      </c>
      <c r="M484" s="63">
        <v>6.8</v>
      </c>
      <c r="N484" s="36">
        <v>2.79</v>
      </c>
      <c r="O484" s="57">
        <v>12</v>
      </c>
      <c r="P484" s="63">
        <v>6.8</v>
      </c>
      <c r="Q484" s="36">
        <v>0.1</v>
      </c>
      <c r="R484" s="36">
        <v>22.36</v>
      </c>
      <c r="S484" s="36">
        <v>0.88</v>
      </c>
      <c r="T484" s="36">
        <v>0.7</v>
      </c>
      <c r="U484" s="42">
        <f t="shared" ref="U484:U531" si="174">(N484+0.3*H484+0.25)*(F484/2/Y484)</f>
        <v>1784.7375000000002</v>
      </c>
      <c r="V484" s="36">
        <f t="shared" ref="V484:V531" si="175">R484*(T484*Z484*0.987-S484)*AA484</f>
        <v>1608.5927103999998</v>
      </c>
      <c r="W484" s="36">
        <f t="shared" ref="W484:W531" si="176">V484/U484</f>
        <v>0.90130493162159675</v>
      </c>
      <c r="X484" s="57">
        <v>1</v>
      </c>
      <c r="Y484" s="57">
        <v>2</v>
      </c>
      <c r="Z484" s="63">
        <v>6.48</v>
      </c>
      <c r="AA484" s="57">
        <v>20</v>
      </c>
      <c r="AB484" s="63">
        <v>6.6</v>
      </c>
      <c r="AC484" s="63">
        <v>5.8</v>
      </c>
      <c r="AD484" s="10">
        <v>0.21</v>
      </c>
      <c r="AE484" s="36">
        <v>0.44</v>
      </c>
      <c r="AF484" s="42">
        <f t="shared" si="152"/>
        <v>1189.825</v>
      </c>
      <c r="AG484" s="42">
        <f t="shared" si="153"/>
        <v>1849.8816169599997</v>
      </c>
      <c r="AH484" s="42">
        <f t="shared" si="154"/>
        <v>1.5547510070472546</v>
      </c>
      <c r="AI484" s="57">
        <v>2</v>
      </c>
      <c r="AJ484" s="57">
        <v>3</v>
      </c>
      <c r="AK484" s="36">
        <v>6.48</v>
      </c>
      <c r="AL484" s="36">
        <v>23</v>
      </c>
      <c r="AM484" s="63">
        <v>6.5</v>
      </c>
      <c r="AN484" s="63">
        <v>6</v>
      </c>
      <c r="AO484" s="36">
        <v>0.12</v>
      </c>
      <c r="AP484" s="68">
        <v>0.28000000000000003</v>
      </c>
      <c r="AQ484" s="73">
        <f t="shared" si="155"/>
        <v>1384</v>
      </c>
      <c r="AR484" s="75">
        <f t="shared" si="156"/>
        <v>0.43352601156069365</v>
      </c>
      <c r="AS484" s="75">
        <f t="shared" si="157"/>
        <v>6.0693641618497107E-2</v>
      </c>
      <c r="AT484" s="75">
        <f t="shared" si="158"/>
        <v>0.5057803468208093</v>
      </c>
      <c r="AU484" s="26">
        <f t="shared" si="159"/>
        <v>5.8608058608058608E-2</v>
      </c>
      <c r="AV484" s="26">
        <f t="shared" si="160"/>
        <v>0.1010989010989011</v>
      </c>
      <c r="AW484" s="26">
        <f t="shared" si="172"/>
        <v>0.89964157706093184</v>
      </c>
      <c r="AX484" s="24">
        <f t="shared" si="173"/>
        <v>0.84229390681003591</v>
      </c>
      <c r="AY484" s="77" t="str">
        <f t="shared" si="163"/>
        <v>5,0 ≤ Alc. Bruta &lt; 7,5 mg/L</v>
      </c>
      <c r="AZ484" s="77" t="str">
        <f t="shared" si="164"/>
        <v>10 ≤ Cor &lt;15 uC</v>
      </c>
      <c r="BA484" s="78" t="str">
        <f t="shared" si="165"/>
        <v>2,5 ≤ Turb &lt; 5,0 uT</v>
      </c>
      <c r="BB484" s="79" t="str">
        <f t="shared" si="166"/>
        <v>Comb. diferentes</v>
      </c>
      <c r="BC484" s="78" t="str">
        <f t="shared" si="167"/>
        <v>Tipo 1 (≤0,25) uT</v>
      </c>
      <c r="BD484" s="78" t="str">
        <f t="shared" si="168"/>
        <v>Tipo 1 (≤0,25) uT</v>
      </c>
      <c r="BE484" s="78" t="str">
        <f t="shared" si="169"/>
        <v>Tipo 2 (0,25-0,50) uT</v>
      </c>
      <c r="BF484" s="78" t="str">
        <f t="shared" si="170"/>
        <v>Tipo 2 (0,25-0,50) uT</v>
      </c>
      <c r="BG484" s="78" t="str">
        <f t="shared" si="171"/>
        <v>Tipo 1 (≤0,25) uT</v>
      </c>
    </row>
    <row r="485" spans="1:59" x14ac:dyDescent="0.2">
      <c r="A485" s="21">
        <v>46177</v>
      </c>
      <c r="B485" s="48">
        <v>0.64583333333333337</v>
      </c>
      <c r="C485" s="57">
        <v>584</v>
      </c>
      <c r="D485" s="57">
        <v>91</v>
      </c>
      <c r="E485" s="57">
        <v>692</v>
      </c>
      <c r="F485" s="57">
        <v>1311</v>
      </c>
      <c r="G485" s="10" t="s">
        <v>78</v>
      </c>
      <c r="H485" s="63">
        <v>7.3</v>
      </c>
      <c r="I485" s="57">
        <v>90</v>
      </c>
      <c r="J485" s="57">
        <v>90</v>
      </c>
      <c r="K485" s="57">
        <v>90</v>
      </c>
      <c r="L485" s="63">
        <v>22.8</v>
      </c>
      <c r="M485" s="63">
        <v>6.9</v>
      </c>
      <c r="N485" s="36">
        <v>2.71</v>
      </c>
      <c r="O485" s="57">
        <v>12</v>
      </c>
      <c r="P485" s="63">
        <v>10.5</v>
      </c>
      <c r="Q485" s="36">
        <v>0.09</v>
      </c>
      <c r="R485" s="36">
        <v>22.36</v>
      </c>
      <c r="S485" s="36">
        <v>0.88</v>
      </c>
      <c r="T485" s="36">
        <v>0.7</v>
      </c>
      <c r="U485" s="42">
        <f t="shared" si="174"/>
        <v>1687.9125000000001</v>
      </c>
      <c r="V485" s="36">
        <f t="shared" si="175"/>
        <v>1685.7781558800002</v>
      </c>
      <c r="W485" s="36">
        <f t="shared" si="176"/>
        <v>0.99873551258136906</v>
      </c>
      <c r="X485" s="57">
        <v>1</v>
      </c>
      <c r="Y485" s="57">
        <v>2</v>
      </c>
      <c r="Z485" s="63">
        <v>6.47</v>
      </c>
      <c r="AA485" s="57">
        <v>21</v>
      </c>
      <c r="AB485" s="63">
        <v>6.8</v>
      </c>
      <c r="AC485" s="63">
        <v>8.3000000000000007</v>
      </c>
      <c r="AD485" s="10">
        <v>0.31</v>
      </c>
      <c r="AE485" s="36">
        <v>0.3</v>
      </c>
      <c r="AF485" s="42">
        <f t="shared" ref="AF485:AF531" si="177">(N485+0.3*H485+0.25)*(F485/2/AJ485)</f>
        <v>1125.2750000000001</v>
      </c>
      <c r="AG485" s="42">
        <f t="shared" ref="AG485:AG531" si="178">R485*(T485*AK485*0.987-S485)*AL485</f>
        <v>1934.0188982399998</v>
      </c>
      <c r="AH485" s="42">
        <f t="shared" ref="AH485:AH531" si="179">AG485/AF485</f>
        <v>1.7187077809779827</v>
      </c>
      <c r="AI485" s="57">
        <v>2</v>
      </c>
      <c r="AJ485" s="57">
        <v>3</v>
      </c>
      <c r="AK485" s="36">
        <v>6.49</v>
      </c>
      <c r="AL485" s="36">
        <v>24</v>
      </c>
      <c r="AM485" s="63">
        <v>6.7</v>
      </c>
      <c r="AN485" s="63">
        <v>8.8000000000000007</v>
      </c>
      <c r="AO485" s="36">
        <v>0.2</v>
      </c>
      <c r="AP485" s="68">
        <v>0.31</v>
      </c>
      <c r="AQ485" s="73">
        <f t="shared" si="155"/>
        <v>1367</v>
      </c>
      <c r="AR485" s="75">
        <f t="shared" si="156"/>
        <v>0.42721287490855891</v>
      </c>
      <c r="AS485" s="75">
        <f t="shared" si="157"/>
        <v>6.6569129480614483E-2</v>
      </c>
      <c r="AT485" s="75">
        <f t="shared" si="158"/>
        <v>0.50621799561082659</v>
      </c>
      <c r="AU485" s="26">
        <f t="shared" si="159"/>
        <v>6.4073226544622428E-2</v>
      </c>
      <c r="AV485" s="26">
        <f t="shared" si="160"/>
        <v>0.10983981693363844</v>
      </c>
      <c r="AW485" s="26">
        <f t="shared" si="172"/>
        <v>0.88560885608856088</v>
      </c>
      <c r="AX485" s="24">
        <f t="shared" si="173"/>
        <v>0.88929889298892983</v>
      </c>
      <c r="AY485" s="77" t="str">
        <f t="shared" si="163"/>
        <v>10,0 ≤ Alca. Bruta &lt; 15,0 mg/L</v>
      </c>
      <c r="AZ485" s="77" t="str">
        <f t="shared" si="164"/>
        <v>10 ≤ Cor &lt;15 uC</v>
      </c>
      <c r="BA485" s="78" t="str">
        <f t="shared" si="165"/>
        <v>2,5 ≤ Turb &lt; 5,0 uT</v>
      </c>
      <c r="BB485" s="79" t="str">
        <f t="shared" si="166"/>
        <v>Comb. diferentes</v>
      </c>
      <c r="BC485" s="78" t="str">
        <f t="shared" si="167"/>
        <v>Tipo 2 (0,25-0,50) uT</v>
      </c>
      <c r="BD485" s="78" t="str">
        <f t="shared" si="168"/>
        <v>Tipo 1 (≤0,25) uT</v>
      </c>
      <c r="BE485" s="78" t="str">
        <f t="shared" si="169"/>
        <v>Tipo 2 (0,25-0,50) uT</v>
      </c>
      <c r="BF485" s="78" t="str">
        <f t="shared" si="170"/>
        <v>Tipo 2 (0,25-0,50) uT</v>
      </c>
      <c r="BG485" s="78" t="str">
        <f t="shared" si="171"/>
        <v>Tipo 1 (≤0,25) uT</v>
      </c>
    </row>
    <row r="486" spans="1:59" x14ac:dyDescent="0.2">
      <c r="A486" s="21">
        <v>46177</v>
      </c>
      <c r="B486" s="48">
        <v>0.72916666666666663</v>
      </c>
      <c r="C486" s="57">
        <v>602</v>
      </c>
      <c r="D486" s="57">
        <v>86</v>
      </c>
      <c r="E486" s="57">
        <v>695</v>
      </c>
      <c r="F486" s="57">
        <v>1383</v>
      </c>
      <c r="G486" s="10" t="s">
        <v>78</v>
      </c>
      <c r="H486" s="63">
        <v>7.3</v>
      </c>
      <c r="I486" s="57">
        <v>90</v>
      </c>
      <c r="J486" s="57">
        <v>90</v>
      </c>
      <c r="K486" s="57">
        <v>90</v>
      </c>
      <c r="L486" s="63">
        <v>23</v>
      </c>
      <c r="M486" s="63">
        <v>6.9</v>
      </c>
      <c r="N486" s="36">
        <v>2.77</v>
      </c>
      <c r="O486" s="57">
        <v>12</v>
      </c>
      <c r="P486" s="63">
        <v>9.8000000000000007</v>
      </c>
      <c r="Q486" s="36">
        <v>0.08</v>
      </c>
      <c r="R486" s="36">
        <v>22.36</v>
      </c>
      <c r="S486" s="36">
        <v>0.88</v>
      </c>
      <c r="T486" s="36">
        <v>0.7</v>
      </c>
      <c r="U486" s="42">
        <f t="shared" si="174"/>
        <v>1801.3575000000001</v>
      </c>
      <c r="V486" s="36">
        <f t="shared" si="175"/>
        <v>1689.0223459199999</v>
      </c>
      <c r="W486" s="36">
        <f t="shared" si="176"/>
        <v>0.9376386119468233</v>
      </c>
      <c r="X486" s="57">
        <v>1</v>
      </c>
      <c r="Y486" s="57">
        <v>2</v>
      </c>
      <c r="Z486" s="63">
        <v>6.48</v>
      </c>
      <c r="AA486" s="57">
        <v>21</v>
      </c>
      <c r="AB486" s="63">
        <v>6.8</v>
      </c>
      <c r="AC486" s="63">
        <v>8</v>
      </c>
      <c r="AD486" s="10">
        <v>0.28000000000000003</v>
      </c>
      <c r="AE486" s="36">
        <v>0.35</v>
      </c>
      <c r="AF486" s="42">
        <f t="shared" si="177"/>
        <v>1200.905</v>
      </c>
      <c r="AG486" s="42">
        <f t="shared" si="178"/>
        <v>1937.7265440000001</v>
      </c>
      <c r="AH486" s="42">
        <f t="shared" si="179"/>
        <v>1.613555230430384</v>
      </c>
      <c r="AI486" s="57">
        <v>2</v>
      </c>
      <c r="AJ486" s="57">
        <v>3</v>
      </c>
      <c r="AK486" s="36">
        <v>6.5</v>
      </c>
      <c r="AL486" s="36">
        <v>24</v>
      </c>
      <c r="AM486" s="63">
        <v>6.7</v>
      </c>
      <c r="AN486" s="63">
        <v>8.1999999999999993</v>
      </c>
      <c r="AO486" s="36">
        <v>0.21</v>
      </c>
      <c r="AP486" s="68">
        <v>0.32</v>
      </c>
      <c r="AQ486" s="73">
        <f t="shared" si="155"/>
        <v>1383</v>
      </c>
      <c r="AR486" s="75">
        <f t="shared" si="156"/>
        <v>0.43528561099060015</v>
      </c>
      <c r="AS486" s="75">
        <f t="shared" si="157"/>
        <v>6.2183658712942881E-2</v>
      </c>
      <c r="AT486" s="75">
        <f t="shared" si="158"/>
        <v>0.50253073029645701</v>
      </c>
      <c r="AU486" s="26">
        <f t="shared" si="159"/>
        <v>6.0737527114967459E-2</v>
      </c>
      <c r="AV486" s="26">
        <f t="shared" si="160"/>
        <v>0.10412147505422993</v>
      </c>
      <c r="AW486" s="26">
        <f t="shared" si="172"/>
        <v>0.8844765342960289</v>
      </c>
      <c r="AX486" s="24">
        <f t="shared" si="173"/>
        <v>0.87364620938628157</v>
      </c>
      <c r="AY486" s="77" t="str">
        <f t="shared" si="163"/>
        <v>7,5 ≤ Alc. Bruta &lt; 10,0 mg/L</v>
      </c>
      <c r="AZ486" s="77" t="str">
        <f t="shared" si="164"/>
        <v>10 ≤ Cor &lt;15 uC</v>
      </c>
      <c r="BA486" s="78" t="str">
        <f t="shared" si="165"/>
        <v>2,5 ≤ Turb &lt; 5,0 uT</v>
      </c>
      <c r="BB486" s="79" t="str">
        <f t="shared" si="166"/>
        <v>Comb. diferentes</v>
      </c>
      <c r="BC486" s="78" t="str">
        <f t="shared" si="167"/>
        <v>Tipo 2 (0,25-0,50) uT</v>
      </c>
      <c r="BD486" s="78" t="str">
        <f t="shared" si="168"/>
        <v>Tipo 1 (≤0,25) uT</v>
      </c>
      <c r="BE486" s="78" t="str">
        <f t="shared" si="169"/>
        <v>Tipo 2 (0,25-0,50) uT</v>
      </c>
      <c r="BF486" s="78" t="str">
        <f t="shared" si="170"/>
        <v>Tipo 2 (0,25-0,50) uT</v>
      </c>
      <c r="BG486" s="78" t="str">
        <f t="shared" si="171"/>
        <v>Tipo 1 (≤0,25) uT</v>
      </c>
    </row>
    <row r="487" spans="1:59" x14ac:dyDescent="0.2">
      <c r="A487" s="21">
        <v>46177</v>
      </c>
      <c r="B487" s="48">
        <v>0.8125</v>
      </c>
      <c r="C487" s="57">
        <v>596</v>
      </c>
      <c r="D487" s="57">
        <v>87</v>
      </c>
      <c r="E487" s="57">
        <v>691</v>
      </c>
      <c r="F487" s="57">
        <v>1317</v>
      </c>
      <c r="G487" s="10" t="s">
        <v>78</v>
      </c>
      <c r="H487" s="63">
        <v>7.3</v>
      </c>
      <c r="I487" s="57">
        <v>90</v>
      </c>
      <c r="J487" s="57">
        <v>90</v>
      </c>
      <c r="K487" s="57">
        <v>90</v>
      </c>
      <c r="L487" s="63">
        <v>22.6</v>
      </c>
      <c r="M487" s="63">
        <v>6.9</v>
      </c>
      <c r="N487" s="36">
        <v>2.83</v>
      </c>
      <c r="O487" s="57">
        <v>13</v>
      </c>
      <c r="P487" s="63">
        <v>10.1</v>
      </c>
      <c r="Q487" s="36">
        <v>0.08</v>
      </c>
      <c r="R487" s="36">
        <v>22.36</v>
      </c>
      <c r="S487" s="36">
        <v>0.88</v>
      </c>
      <c r="T487" s="36">
        <v>0.7</v>
      </c>
      <c r="U487" s="42">
        <f t="shared" si="174"/>
        <v>1735.1474999999998</v>
      </c>
      <c r="V487" s="36">
        <f t="shared" si="175"/>
        <v>1692.2665359599998</v>
      </c>
      <c r="W487" s="36">
        <f t="shared" si="176"/>
        <v>0.97528684792503229</v>
      </c>
      <c r="X487" s="57">
        <v>1</v>
      </c>
      <c r="Y487" s="57">
        <v>2</v>
      </c>
      <c r="Z487" s="63">
        <v>6.49</v>
      </c>
      <c r="AA487" s="57">
        <v>21</v>
      </c>
      <c r="AB487" s="63">
        <v>6.8</v>
      </c>
      <c r="AC487" s="63">
        <v>8.3000000000000007</v>
      </c>
      <c r="AD487" s="10">
        <v>0.14000000000000001</v>
      </c>
      <c r="AE487" s="36">
        <v>0.26</v>
      </c>
      <c r="AF487" s="42">
        <f t="shared" si="177"/>
        <v>1156.7649999999999</v>
      </c>
      <c r="AG487" s="42">
        <f t="shared" si="178"/>
        <v>1941.4341897599998</v>
      </c>
      <c r="AH487" s="42">
        <f t="shared" si="179"/>
        <v>1.6783306806136078</v>
      </c>
      <c r="AI487" s="57">
        <v>2</v>
      </c>
      <c r="AJ487" s="57">
        <v>3</v>
      </c>
      <c r="AK487" s="36">
        <v>6.51</v>
      </c>
      <c r="AL487" s="36">
        <v>24</v>
      </c>
      <c r="AM487" s="63">
        <v>6.8</v>
      </c>
      <c r="AN487" s="63">
        <v>9.6999999999999993</v>
      </c>
      <c r="AO487" s="36">
        <v>0.23</v>
      </c>
      <c r="AP487" s="68">
        <v>0.22</v>
      </c>
      <c r="AQ487" s="73">
        <f t="shared" si="155"/>
        <v>1374</v>
      </c>
      <c r="AR487" s="75">
        <f t="shared" si="156"/>
        <v>0.43377001455604075</v>
      </c>
      <c r="AS487" s="75">
        <f t="shared" si="157"/>
        <v>6.3318777292576414E-2</v>
      </c>
      <c r="AT487" s="75">
        <f t="shared" si="158"/>
        <v>0.50291120815138279</v>
      </c>
      <c r="AU487" s="26">
        <f t="shared" si="159"/>
        <v>6.3781321184510256E-2</v>
      </c>
      <c r="AV487" s="26">
        <f t="shared" si="160"/>
        <v>0.10933940774487472</v>
      </c>
      <c r="AW487" s="26">
        <f t="shared" si="172"/>
        <v>0.92226148409893993</v>
      </c>
      <c r="AX487" s="24">
        <f t="shared" si="173"/>
        <v>0.90812720848056538</v>
      </c>
      <c r="AY487" s="77" t="str">
        <f t="shared" si="163"/>
        <v>10,0 ≤ Alca. Bruta &lt; 15,0 mg/L</v>
      </c>
      <c r="AZ487" s="77" t="str">
        <f t="shared" si="164"/>
        <v>10 ≤ Cor &lt;15 uC</v>
      </c>
      <c r="BA487" s="78" t="str">
        <f t="shared" si="165"/>
        <v>2,5 ≤ Turb &lt; 5,0 uT</v>
      </c>
      <c r="BB487" s="79" t="str">
        <f t="shared" si="166"/>
        <v>Comb. diferentes</v>
      </c>
      <c r="BC487" s="78" t="str">
        <f t="shared" si="167"/>
        <v>Tipo 1 (≤0,25) uT</v>
      </c>
      <c r="BD487" s="78" t="str">
        <f t="shared" si="168"/>
        <v>Tipo 1 (≤0,25) uT</v>
      </c>
      <c r="BE487" s="78" t="str">
        <f t="shared" si="169"/>
        <v>Tipo 2 (0,25-0,50) uT</v>
      </c>
      <c r="BF487" s="78" t="str">
        <f t="shared" si="170"/>
        <v>Tipo 1 (≤0,25) uT</v>
      </c>
      <c r="BG487" s="78" t="str">
        <f t="shared" si="171"/>
        <v>Tipo 1 (≤0,25) uT</v>
      </c>
    </row>
    <row r="488" spans="1:59" x14ac:dyDescent="0.2">
      <c r="A488" s="21">
        <v>46177</v>
      </c>
      <c r="B488" s="48">
        <v>0.89583333333333337</v>
      </c>
      <c r="C488" s="57">
        <v>1141</v>
      </c>
      <c r="D488" s="57">
        <v>91</v>
      </c>
      <c r="E488" s="57">
        <v>652</v>
      </c>
      <c r="F488" s="57">
        <v>1851</v>
      </c>
      <c r="G488" s="10" t="s">
        <v>78</v>
      </c>
      <c r="H488" s="63">
        <v>7.3</v>
      </c>
      <c r="I488" s="57">
        <v>90</v>
      </c>
      <c r="J488" s="57">
        <v>90</v>
      </c>
      <c r="K488" s="57">
        <v>90</v>
      </c>
      <c r="L488" s="63">
        <v>22</v>
      </c>
      <c r="M488" s="63">
        <v>6.9</v>
      </c>
      <c r="N488" s="36">
        <v>2.71</v>
      </c>
      <c r="O488" s="57">
        <v>12</v>
      </c>
      <c r="P488" s="63">
        <v>10</v>
      </c>
      <c r="Q488" s="36">
        <v>0.08</v>
      </c>
      <c r="R488" s="36">
        <v>22.36</v>
      </c>
      <c r="S488" s="36">
        <v>0.88</v>
      </c>
      <c r="T488" s="36">
        <v>0.7</v>
      </c>
      <c r="U488" s="42">
        <f t="shared" si="174"/>
        <v>1191.5812500000002</v>
      </c>
      <c r="V488" s="36">
        <f t="shared" si="175"/>
        <v>1514.2805692559994</v>
      </c>
      <c r="W488" s="36">
        <f t="shared" si="176"/>
        <v>1.2708160431829547</v>
      </c>
      <c r="X488" s="57">
        <v>2</v>
      </c>
      <c r="Y488" s="57">
        <v>4</v>
      </c>
      <c r="Z488" s="63">
        <v>6.46</v>
      </c>
      <c r="AA488" s="57">
        <v>18.899999999999999</v>
      </c>
      <c r="AB488" s="63">
        <v>6.7</v>
      </c>
      <c r="AC488" s="63">
        <v>8.1</v>
      </c>
      <c r="AD488" s="10">
        <v>0.36</v>
      </c>
      <c r="AE488" s="36">
        <v>0.3</v>
      </c>
      <c r="AF488" s="42">
        <f t="shared" si="177"/>
        <v>1588.7750000000001</v>
      </c>
      <c r="AG488" s="42">
        <f t="shared" si="178"/>
        <v>1934.0188982399998</v>
      </c>
      <c r="AH488" s="42">
        <f t="shared" si="179"/>
        <v>1.217301945360419</v>
      </c>
      <c r="AI488" s="57">
        <v>2</v>
      </c>
      <c r="AJ488" s="57">
        <v>3</v>
      </c>
      <c r="AK488" s="36">
        <v>6.49</v>
      </c>
      <c r="AL488" s="36">
        <v>24</v>
      </c>
      <c r="AM488" s="63">
        <v>6.7</v>
      </c>
      <c r="AN488" s="63">
        <v>8.1</v>
      </c>
      <c r="AO488" s="36">
        <v>0.37</v>
      </c>
      <c r="AP488" s="68">
        <v>0.25</v>
      </c>
      <c r="AQ488" s="73">
        <f t="shared" si="155"/>
        <v>1884</v>
      </c>
      <c r="AR488" s="75">
        <f t="shared" si="156"/>
        <v>0.60562632696390661</v>
      </c>
      <c r="AS488" s="75">
        <f t="shared" si="157"/>
        <v>4.8301486199575375E-2</v>
      </c>
      <c r="AT488" s="75">
        <f t="shared" si="158"/>
        <v>0.34607218683651803</v>
      </c>
      <c r="AU488" s="26">
        <f t="shared" si="159"/>
        <v>8.1685575364667737E-2</v>
      </c>
      <c r="AV488" s="26">
        <f t="shared" si="160"/>
        <v>7.7795786061588337E-2</v>
      </c>
      <c r="AW488" s="26">
        <f t="shared" si="172"/>
        <v>0.90774907749077494</v>
      </c>
      <c r="AX488" s="24">
        <f t="shared" si="173"/>
        <v>0.88929889298892983</v>
      </c>
      <c r="AY488" s="77" t="str">
        <f t="shared" si="163"/>
        <v>10,0 ≤ Alca. Bruta &lt; 15,0 mg/L</v>
      </c>
      <c r="AZ488" s="77" t="str">
        <f t="shared" si="164"/>
        <v>10 ≤ Cor &lt;15 uC</v>
      </c>
      <c r="BA488" s="78" t="str">
        <f t="shared" si="165"/>
        <v>2,5 ≤ Turb &lt; 5,0 uT</v>
      </c>
      <c r="BB488" s="79" t="str">
        <f t="shared" si="166"/>
        <v>TOR &gt; BNN &gt; SM</v>
      </c>
      <c r="BC488" s="78" t="str">
        <f t="shared" si="167"/>
        <v>Tipo 2 (0,25-0,50) uT</v>
      </c>
      <c r="BD488" s="78" t="str">
        <f t="shared" si="168"/>
        <v>Tipo 2 (0,25-0,50) uT</v>
      </c>
      <c r="BE488" s="78" t="str">
        <f t="shared" si="169"/>
        <v>Tipo 2 (0,25-0,50) uT</v>
      </c>
      <c r="BF488" s="78" t="str">
        <f t="shared" si="170"/>
        <v>Tipo 1 (≤0,25) uT</v>
      </c>
      <c r="BG488" s="78" t="str">
        <f t="shared" si="171"/>
        <v>Tipo 1 (≤0,25) uT</v>
      </c>
    </row>
    <row r="489" spans="1:59" x14ac:dyDescent="0.2">
      <c r="A489" s="21">
        <v>46177</v>
      </c>
      <c r="B489" s="48">
        <v>0.97916666666666663</v>
      </c>
      <c r="C489" s="57">
        <v>1153</v>
      </c>
      <c r="D489" s="57">
        <v>89</v>
      </c>
      <c r="E489" s="57">
        <v>656</v>
      </c>
      <c r="F489" s="57">
        <v>1913</v>
      </c>
      <c r="G489" s="10" t="s">
        <v>78</v>
      </c>
      <c r="H489" s="63">
        <v>7.3</v>
      </c>
      <c r="I489" s="57">
        <v>90</v>
      </c>
      <c r="J489" s="57">
        <v>90</v>
      </c>
      <c r="K489" s="57">
        <v>90</v>
      </c>
      <c r="L489" s="63">
        <v>21.9</v>
      </c>
      <c r="M489" s="63">
        <v>6.9</v>
      </c>
      <c r="N489" s="36">
        <v>2.63</v>
      </c>
      <c r="O489" s="57">
        <v>12</v>
      </c>
      <c r="P489" s="63">
        <v>8.6</v>
      </c>
      <c r="Q489" s="36">
        <v>0.08</v>
      </c>
      <c r="R489" s="36">
        <v>22.36</v>
      </c>
      <c r="S489" s="36">
        <v>0.88</v>
      </c>
      <c r="T489" s="36">
        <v>0.7</v>
      </c>
      <c r="U489" s="42">
        <f t="shared" si="174"/>
        <v>1212.36375</v>
      </c>
      <c r="V489" s="36">
        <f t="shared" si="175"/>
        <v>1608.5927103999998</v>
      </c>
      <c r="W489" s="36">
        <f t="shared" si="176"/>
        <v>1.3268234969908987</v>
      </c>
      <c r="X489" s="57">
        <v>2</v>
      </c>
      <c r="Y489" s="57">
        <v>4</v>
      </c>
      <c r="Z489" s="63">
        <v>6.48</v>
      </c>
      <c r="AA489" s="57">
        <v>20</v>
      </c>
      <c r="AB489" s="63">
        <v>6.7</v>
      </c>
      <c r="AC489" s="63">
        <v>7.1</v>
      </c>
      <c r="AD489" s="10">
        <v>0.25</v>
      </c>
      <c r="AE489" s="36">
        <v>0.21</v>
      </c>
      <c r="AF489" s="42">
        <f t="shared" si="177"/>
        <v>1616.4849999999999</v>
      </c>
      <c r="AG489" s="42">
        <f t="shared" si="178"/>
        <v>1937.7265440000001</v>
      </c>
      <c r="AH489" s="42">
        <f t="shared" si="179"/>
        <v>1.1987284410310026</v>
      </c>
      <c r="AI489" s="57">
        <v>2</v>
      </c>
      <c r="AJ489" s="57">
        <v>3</v>
      </c>
      <c r="AK489" s="36">
        <v>6.5</v>
      </c>
      <c r="AL489" s="36">
        <v>24</v>
      </c>
      <c r="AM489" s="63">
        <v>6.7</v>
      </c>
      <c r="AN489" s="63">
        <v>7.6</v>
      </c>
      <c r="AO489" s="36">
        <v>0.16</v>
      </c>
      <c r="AP489" s="68">
        <v>0.34</v>
      </c>
      <c r="AQ489" s="73">
        <f t="shared" si="155"/>
        <v>1898</v>
      </c>
      <c r="AR489" s="75">
        <f t="shared" si="156"/>
        <v>0.60748155953635408</v>
      </c>
      <c r="AS489" s="75">
        <f t="shared" si="157"/>
        <v>4.6891464699683881E-2</v>
      </c>
      <c r="AT489" s="75">
        <f t="shared" si="158"/>
        <v>0.34562697576396206</v>
      </c>
      <c r="AU489" s="26">
        <f t="shared" si="159"/>
        <v>8.36382645060115E-2</v>
      </c>
      <c r="AV489" s="26">
        <f t="shared" si="160"/>
        <v>7.5274438055410356E-2</v>
      </c>
      <c r="AW489" s="26">
        <f t="shared" si="172"/>
        <v>0.87072243346007605</v>
      </c>
      <c r="AX489" s="24">
        <f t="shared" si="173"/>
        <v>0.92015209125475284</v>
      </c>
      <c r="AY489" s="77" t="str">
        <f t="shared" si="163"/>
        <v>7,5 ≤ Alc. Bruta &lt; 10,0 mg/L</v>
      </c>
      <c r="AZ489" s="77" t="str">
        <f t="shared" si="164"/>
        <v>10 ≤ Cor &lt;15 uC</v>
      </c>
      <c r="BA489" s="78" t="str">
        <f t="shared" si="165"/>
        <v>2,5 ≤ Turb &lt; 5,0 uT</v>
      </c>
      <c r="BB489" s="79" t="str">
        <f t="shared" si="166"/>
        <v>TOR &gt; BNN &gt; SM</v>
      </c>
      <c r="BC489" s="78" t="str">
        <f t="shared" si="167"/>
        <v>Tipo 1 (≤0,25) uT</v>
      </c>
      <c r="BD489" s="78" t="str">
        <f t="shared" si="168"/>
        <v>Tipo 1 (≤0,25) uT</v>
      </c>
      <c r="BE489" s="78" t="str">
        <f t="shared" si="169"/>
        <v>Tipo 1 (≤0,25) uT</v>
      </c>
      <c r="BF489" s="78" t="str">
        <f t="shared" si="170"/>
        <v>Tipo 2 (0,25-0,50) uT</v>
      </c>
      <c r="BG489" s="78" t="str">
        <f t="shared" si="171"/>
        <v>Tipo 1 (≤0,25) uT</v>
      </c>
    </row>
    <row r="490" spans="1:59" x14ac:dyDescent="0.2">
      <c r="A490" s="21">
        <v>46178</v>
      </c>
      <c r="B490" s="48">
        <v>0.14583333333333334</v>
      </c>
      <c r="C490" s="57">
        <v>1119</v>
      </c>
      <c r="D490" s="57">
        <v>87</v>
      </c>
      <c r="E490" s="57">
        <v>649</v>
      </c>
      <c r="F490" s="57">
        <v>1939</v>
      </c>
      <c r="G490" s="10" t="s">
        <v>78</v>
      </c>
      <c r="H490" s="63">
        <v>7.3</v>
      </c>
      <c r="I490" s="57">
        <v>90</v>
      </c>
      <c r="J490" s="57">
        <v>90</v>
      </c>
      <c r="K490" s="57">
        <v>90</v>
      </c>
      <c r="L490" s="63">
        <v>21.3</v>
      </c>
      <c r="M490" s="63">
        <v>6.8</v>
      </c>
      <c r="N490" s="36">
        <v>2.86</v>
      </c>
      <c r="O490" s="57">
        <v>12</v>
      </c>
      <c r="P490" s="63">
        <v>8.9</v>
      </c>
      <c r="Q490" s="36">
        <v>0.08</v>
      </c>
      <c r="R490" s="36">
        <v>22.36</v>
      </c>
      <c r="S490" s="36">
        <v>0.88</v>
      </c>
      <c r="T490" s="36">
        <v>0.7</v>
      </c>
      <c r="U490" s="42">
        <f t="shared" si="174"/>
        <v>1284.5874999999999</v>
      </c>
      <c r="V490" s="36">
        <f t="shared" si="175"/>
        <v>1554.3409017759996</v>
      </c>
      <c r="W490" s="36">
        <f t="shared" si="176"/>
        <v>1.2099922362439302</v>
      </c>
      <c r="X490" s="57">
        <v>2</v>
      </c>
      <c r="Y490" s="57">
        <v>4</v>
      </c>
      <c r="Z490" s="63">
        <v>6.46</v>
      </c>
      <c r="AA490" s="57">
        <v>19.399999999999999</v>
      </c>
      <c r="AB490" s="63">
        <v>6.8</v>
      </c>
      <c r="AC490" s="63">
        <v>6.5</v>
      </c>
      <c r="AD490" s="10">
        <v>0.16</v>
      </c>
      <c r="AE490" s="36">
        <v>0.25</v>
      </c>
      <c r="AF490" s="42">
        <f t="shared" si="177"/>
        <v>1712.7833333333333</v>
      </c>
      <c r="AG490" s="42">
        <f t="shared" si="178"/>
        <v>1930.3112524799999</v>
      </c>
      <c r="AH490" s="42">
        <f t="shared" si="179"/>
        <v>1.1270025898274738</v>
      </c>
      <c r="AI490" s="57">
        <v>2</v>
      </c>
      <c r="AJ490" s="57">
        <v>3</v>
      </c>
      <c r="AK490" s="36">
        <v>6.48</v>
      </c>
      <c r="AL490" s="36">
        <v>24</v>
      </c>
      <c r="AM490" s="63">
        <v>6.7</v>
      </c>
      <c r="AN490" s="63">
        <v>7.4</v>
      </c>
      <c r="AO490" s="36">
        <v>0.2</v>
      </c>
      <c r="AP490" s="68">
        <v>0.27</v>
      </c>
      <c r="AQ490" s="73">
        <f t="shared" si="155"/>
        <v>1855</v>
      </c>
      <c r="AR490" s="75">
        <f t="shared" si="156"/>
        <v>0.60323450134770884</v>
      </c>
      <c r="AS490" s="75">
        <f t="shared" si="157"/>
        <v>4.6900269541778977E-2</v>
      </c>
      <c r="AT490" s="75">
        <f t="shared" si="158"/>
        <v>0.34986522911051215</v>
      </c>
      <c r="AU490" s="26">
        <f t="shared" si="159"/>
        <v>8.0041258380608549E-2</v>
      </c>
      <c r="AV490" s="26">
        <f t="shared" si="160"/>
        <v>7.4265085095409994E-2</v>
      </c>
      <c r="AW490" s="26">
        <f t="shared" si="172"/>
        <v>0.90559440559440563</v>
      </c>
      <c r="AX490" s="24">
        <f t="shared" si="173"/>
        <v>0.91258741258741261</v>
      </c>
      <c r="AY490" s="77" t="str">
        <f t="shared" si="163"/>
        <v>7,5 ≤ Alc. Bruta &lt; 10,0 mg/L</v>
      </c>
      <c r="AZ490" s="77" t="str">
        <f t="shared" si="164"/>
        <v>10 ≤ Cor &lt;15 uC</v>
      </c>
      <c r="BA490" s="78" t="str">
        <f t="shared" si="165"/>
        <v>2,5 ≤ Turb &lt; 5,0 uT</v>
      </c>
      <c r="BB490" s="79" t="str">
        <f t="shared" si="166"/>
        <v>TOR &gt; BNN &gt; SM</v>
      </c>
      <c r="BC490" s="78" t="str">
        <f t="shared" si="167"/>
        <v>Tipo 1 (≤0,25) uT</v>
      </c>
      <c r="BD490" s="78" t="str">
        <f t="shared" si="168"/>
        <v>Tipo 1 (≤0,25) uT</v>
      </c>
      <c r="BE490" s="78" t="str">
        <f t="shared" si="169"/>
        <v>Tipo 1 (≤0,25) uT</v>
      </c>
      <c r="BF490" s="78" t="str">
        <f t="shared" si="170"/>
        <v>Tipo 2 (0,25-0,50) uT</v>
      </c>
      <c r="BG490" s="78" t="str">
        <f t="shared" si="171"/>
        <v>Tipo 1 (≤0,25) uT</v>
      </c>
    </row>
    <row r="491" spans="1:59" ht="15.75" thickBot="1" x14ac:dyDescent="0.25">
      <c r="A491" s="21">
        <v>46178</v>
      </c>
      <c r="B491" s="51">
        <v>0.22916666666666666</v>
      </c>
      <c r="C491" s="58">
        <v>1125</v>
      </c>
      <c r="D491" s="58">
        <v>83</v>
      </c>
      <c r="E491" s="58">
        <v>649</v>
      </c>
      <c r="F491" s="58">
        <v>1857</v>
      </c>
      <c r="G491" s="11" t="s">
        <v>78</v>
      </c>
      <c r="H491" s="64">
        <v>7.3</v>
      </c>
      <c r="I491" s="58">
        <v>90</v>
      </c>
      <c r="J491" s="58">
        <v>90</v>
      </c>
      <c r="K491" s="58">
        <v>90</v>
      </c>
      <c r="L491" s="64">
        <v>20.8</v>
      </c>
      <c r="M491" s="64">
        <v>6.7</v>
      </c>
      <c r="N491" s="37">
        <v>2.68</v>
      </c>
      <c r="O491" s="58">
        <v>12</v>
      </c>
      <c r="P491" s="64">
        <v>9.4</v>
      </c>
      <c r="Q491" s="37">
        <v>0.08</v>
      </c>
      <c r="R491" s="36">
        <v>22.36</v>
      </c>
      <c r="S491" s="36">
        <v>0.88</v>
      </c>
      <c r="T491" s="36">
        <v>0.7</v>
      </c>
      <c r="U491" s="42">
        <f t="shared" si="174"/>
        <v>1188.48</v>
      </c>
      <c r="V491" s="36">
        <f t="shared" si="175"/>
        <v>1527.3540341799999</v>
      </c>
      <c r="W491" s="36">
        <f t="shared" si="176"/>
        <v>1.2851322985494076</v>
      </c>
      <c r="X491" s="58">
        <v>2</v>
      </c>
      <c r="Y491" s="58">
        <v>4</v>
      </c>
      <c r="Z491" s="64">
        <v>6.45</v>
      </c>
      <c r="AA491" s="58">
        <v>19.100000000000001</v>
      </c>
      <c r="AB491" s="63">
        <v>6.6</v>
      </c>
      <c r="AC491" s="64">
        <v>6.7</v>
      </c>
      <c r="AD491" s="11">
        <v>0.11</v>
      </c>
      <c r="AE491" s="37">
        <v>0.26</v>
      </c>
      <c r="AF491" s="42">
        <f t="shared" si="177"/>
        <v>1584.64</v>
      </c>
      <c r="AG491" s="42">
        <f t="shared" si="178"/>
        <v>1937.7265440000001</v>
      </c>
      <c r="AH491" s="42">
        <f t="shared" si="179"/>
        <v>1.2228181441841679</v>
      </c>
      <c r="AI491" s="58">
        <v>2</v>
      </c>
      <c r="AJ491" s="58">
        <v>3</v>
      </c>
      <c r="AK491" s="37">
        <v>6.5</v>
      </c>
      <c r="AL491" s="37">
        <v>24</v>
      </c>
      <c r="AM491" s="64">
        <v>6.6</v>
      </c>
      <c r="AN491" s="64">
        <v>7.2</v>
      </c>
      <c r="AO491" s="37">
        <v>0.16</v>
      </c>
      <c r="AP491" s="69">
        <v>0.27</v>
      </c>
      <c r="AQ491" s="73">
        <f t="shared" si="155"/>
        <v>1857</v>
      </c>
      <c r="AR491" s="75">
        <f t="shared" si="156"/>
        <v>0.60581583198707589</v>
      </c>
      <c r="AS491" s="75">
        <f t="shared" si="157"/>
        <v>4.4695745826602046E-2</v>
      </c>
      <c r="AT491" s="75">
        <f t="shared" si="158"/>
        <v>0.34948842218632203</v>
      </c>
      <c r="AU491" s="26">
        <f t="shared" si="159"/>
        <v>8.2283252557889069E-2</v>
      </c>
      <c r="AV491" s="26">
        <f t="shared" si="160"/>
        <v>7.7544426494345717E-2</v>
      </c>
      <c r="AW491" s="26">
        <f t="shared" si="172"/>
        <v>0.89925373134328357</v>
      </c>
      <c r="AX491" s="24">
        <f t="shared" si="173"/>
        <v>0.90298507462686572</v>
      </c>
      <c r="AY491" s="77" t="str">
        <f t="shared" si="163"/>
        <v>7,5 ≤ Alc. Bruta &lt; 10,0 mg/L</v>
      </c>
      <c r="AZ491" s="77" t="str">
        <f t="shared" si="164"/>
        <v>10 ≤ Cor &lt;15 uC</v>
      </c>
      <c r="BA491" s="78" t="str">
        <f t="shared" si="165"/>
        <v>2,5 ≤ Turb &lt; 5,0 uT</v>
      </c>
      <c r="BB491" s="79" t="str">
        <f t="shared" si="166"/>
        <v>TOR &gt; BNN &gt; SM</v>
      </c>
      <c r="BC491" s="78" t="str">
        <f t="shared" si="167"/>
        <v>Tipo 1 (≤0,25) uT</v>
      </c>
      <c r="BD491" s="78" t="str">
        <f t="shared" si="168"/>
        <v>Tipo 1 (≤0,25) uT</v>
      </c>
      <c r="BE491" s="78" t="str">
        <f t="shared" si="169"/>
        <v>Tipo 2 (0,25-0,50) uT</v>
      </c>
      <c r="BF491" s="78" t="str">
        <f t="shared" si="170"/>
        <v>Tipo 2 (0,25-0,50) uT</v>
      </c>
      <c r="BG491" s="78" t="str">
        <f t="shared" si="171"/>
        <v>Tipo 1 (≤0,25) uT</v>
      </c>
    </row>
    <row r="492" spans="1:59" x14ac:dyDescent="0.2">
      <c r="A492" s="21">
        <v>46178</v>
      </c>
      <c r="B492" s="52">
        <v>0.3125</v>
      </c>
      <c r="C492" s="59">
        <v>1145</v>
      </c>
      <c r="D492" s="57">
        <v>84</v>
      </c>
      <c r="E492" s="59">
        <v>648</v>
      </c>
      <c r="F492" s="59">
        <v>1935</v>
      </c>
      <c r="G492" s="9" t="s">
        <v>78</v>
      </c>
      <c r="H492" s="65">
        <v>7.3</v>
      </c>
      <c r="I492" s="59">
        <v>90</v>
      </c>
      <c r="J492" s="59">
        <v>90</v>
      </c>
      <c r="K492" s="59">
        <v>90</v>
      </c>
      <c r="L492" s="65">
        <v>20.8</v>
      </c>
      <c r="M492" s="65">
        <v>6.9</v>
      </c>
      <c r="N492" s="38">
        <v>2.81</v>
      </c>
      <c r="O492" s="59">
        <v>12</v>
      </c>
      <c r="P492" s="65">
        <v>8.1</v>
      </c>
      <c r="Q492" s="38">
        <v>0.09</v>
      </c>
      <c r="R492" s="36">
        <v>22.36</v>
      </c>
      <c r="S492" s="36">
        <v>0.88</v>
      </c>
      <c r="T492" s="36">
        <v>0.7</v>
      </c>
      <c r="U492" s="42">
        <f t="shared" si="174"/>
        <v>1269.84375</v>
      </c>
      <c r="V492" s="36">
        <f t="shared" si="175"/>
        <v>1425.4875648</v>
      </c>
      <c r="W492" s="36">
        <f t="shared" si="176"/>
        <v>1.1225692647619048</v>
      </c>
      <c r="X492" s="59">
        <v>2</v>
      </c>
      <c r="Y492" s="59">
        <v>4</v>
      </c>
      <c r="Z492" s="65">
        <v>6.4</v>
      </c>
      <c r="AA492" s="59">
        <v>18</v>
      </c>
      <c r="AB492" s="65">
        <v>6.7</v>
      </c>
      <c r="AC492" s="65">
        <v>6.4</v>
      </c>
      <c r="AD492" s="9">
        <v>0.16</v>
      </c>
      <c r="AE492" s="38">
        <v>0.3</v>
      </c>
      <c r="AF492" s="42">
        <f t="shared" si="177"/>
        <v>1693.125</v>
      </c>
      <c r="AG492" s="42">
        <f t="shared" si="178"/>
        <v>1856.9879380000002</v>
      </c>
      <c r="AH492" s="42">
        <f t="shared" si="179"/>
        <v>1.0967813587301589</v>
      </c>
      <c r="AI492" s="59">
        <v>2</v>
      </c>
      <c r="AJ492" s="59">
        <v>3</v>
      </c>
      <c r="AK492" s="38">
        <v>6.5</v>
      </c>
      <c r="AL492" s="38">
        <v>23</v>
      </c>
      <c r="AM492" s="65">
        <v>6.7</v>
      </c>
      <c r="AN492" s="65">
        <v>6.7</v>
      </c>
      <c r="AO492" s="38">
        <v>0.14000000000000001</v>
      </c>
      <c r="AP492" s="70">
        <v>0.31</v>
      </c>
      <c r="AQ492" s="73">
        <f t="shared" si="155"/>
        <v>1877</v>
      </c>
      <c r="AR492" s="75">
        <f t="shared" si="156"/>
        <v>0.61001598295151838</v>
      </c>
      <c r="AS492" s="75">
        <f t="shared" si="157"/>
        <v>4.4752264251465106E-2</v>
      </c>
      <c r="AT492" s="75">
        <f t="shared" si="158"/>
        <v>0.34523175279701651</v>
      </c>
      <c r="AU492" s="26">
        <f t="shared" si="159"/>
        <v>7.441860465116279E-2</v>
      </c>
      <c r="AV492" s="26">
        <f t="shared" si="160"/>
        <v>7.131782945736434E-2</v>
      </c>
      <c r="AW492" s="26">
        <f t="shared" si="172"/>
        <v>0.88967971530249113</v>
      </c>
      <c r="AX492" s="24">
        <f t="shared" si="173"/>
        <v>0.89323843416370108</v>
      </c>
      <c r="AY492" s="77" t="str">
        <f t="shared" si="163"/>
        <v>7,5 ≤ Alc. Bruta &lt; 10,0 mg/L</v>
      </c>
      <c r="AZ492" s="77" t="str">
        <f t="shared" si="164"/>
        <v>10 ≤ Cor &lt;15 uC</v>
      </c>
      <c r="BA492" s="78" t="str">
        <f t="shared" si="165"/>
        <v>2,5 ≤ Turb &lt; 5,0 uT</v>
      </c>
      <c r="BB492" s="79" t="str">
        <f t="shared" si="166"/>
        <v>TOR &gt; BNN &gt; SM</v>
      </c>
      <c r="BC492" s="78" t="str">
        <f t="shared" si="167"/>
        <v>Tipo 1 (≤0,25) uT</v>
      </c>
      <c r="BD492" s="78" t="str">
        <f t="shared" si="168"/>
        <v>Tipo 1 (≤0,25) uT</v>
      </c>
      <c r="BE492" s="78" t="str">
        <f t="shared" si="169"/>
        <v>Tipo 2 (0,25-0,50) uT</v>
      </c>
      <c r="BF492" s="78" t="str">
        <f t="shared" si="170"/>
        <v>Tipo 2 (0,25-0,50) uT</v>
      </c>
      <c r="BG492" s="78" t="str">
        <f t="shared" si="171"/>
        <v>Tipo 1 (≤0,25) uT</v>
      </c>
    </row>
    <row r="493" spans="1:59" x14ac:dyDescent="0.2">
      <c r="A493" s="21">
        <v>46178</v>
      </c>
      <c r="B493" s="54">
        <v>0.39583333333333331</v>
      </c>
      <c r="C493" s="60">
        <v>1064</v>
      </c>
      <c r="D493" s="57">
        <v>80</v>
      </c>
      <c r="E493" s="60">
        <v>649</v>
      </c>
      <c r="F493" s="60">
        <v>1903</v>
      </c>
      <c r="G493" s="27" t="s">
        <v>78</v>
      </c>
      <c r="H493" s="66">
        <v>7.3</v>
      </c>
      <c r="I493" s="60">
        <v>90</v>
      </c>
      <c r="J493" s="60">
        <v>90</v>
      </c>
      <c r="K493" s="60">
        <v>90</v>
      </c>
      <c r="L493" s="66">
        <v>20.8</v>
      </c>
      <c r="M493" s="66">
        <v>6.9</v>
      </c>
      <c r="N493" s="39">
        <v>3.62</v>
      </c>
      <c r="O493" s="60">
        <v>13</v>
      </c>
      <c r="P493" s="66">
        <v>8.1999999999999993</v>
      </c>
      <c r="Q493" s="39">
        <v>0.08</v>
      </c>
      <c r="R493" s="36">
        <v>22.36</v>
      </c>
      <c r="S493" s="36">
        <v>0.88</v>
      </c>
      <c r="T493" s="36">
        <v>0.7</v>
      </c>
      <c r="U493" s="42">
        <f t="shared" si="174"/>
        <v>1441.5225</v>
      </c>
      <c r="V493" s="36">
        <f t="shared" si="175"/>
        <v>1453.2949080000001</v>
      </c>
      <c r="W493" s="36">
        <f t="shared" si="176"/>
        <v>1.0081666488036087</v>
      </c>
      <c r="X493" s="60">
        <v>2</v>
      </c>
      <c r="Y493" s="60">
        <v>4</v>
      </c>
      <c r="Z493" s="66">
        <v>6.5</v>
      </c>
      <c r="AA493" s="60">
        <v>18</v>
      </c>
      <c r="AB493" s="66">
        <v>6.8</v>
      </c>
      <c r="AC493" s="66">
        <v>6.4</v>
      </c>
      <c r="AD493" s="27">
        <v>0.14000000000000001</v>
      </c>
      <c r="AE493" s="39">
        <v>0.2</v>
      </c>
      <c r="AF493" s="42">
        <f t="shared" si="177"/>
        <v>1922.0300000000002</v>
      </c>
      <c r="AG493" s="42">
        <f t="shared" si="178"/>
        <v>1856.9879380000002</v>
      </c>
      <c r="AH493" s="42">
        <f t="shared" si="179"/>
        <v>0.96615970510345839</v>
      </c>
      <c r="AI493" s="60">
        <v>2</v>
      </c>
      <c r="AJ493" s="60">
        <v>3</v>
      </c>
      <c r="AK493" s="39">
        <v>6.5</v>
      </c>
      <c r="AL493" s="39">
        <v>23</v>
      </c>
      <c r="AM493" s="66">
        <v>6.7</v>
      </c>
      <c r="AN493" s="66">
        <v>6.3</v>
      </c>
      <c r="AO493" s="39">
        <v>0.12</v>
      </c>
      <c r="AP493" s="71">
        <v>0.28000000000000003</v>
      </c>
      <c r="AQ493" s="73">
        <f t="shared" si="155"/>
        <v>1793</v>
      </c>
      <c r="AR493" s="75">
        <f t="shared" si="156"/>
        <v>0.59341885108756276</v>
      </c>
      <c r="AS493" s="75">
        <f t="shared" si="157"/>
        <v>4.4617958728388175E-2</v>
      </c>
      <c r="AT493" s="75">
        <f t="shared" si="158"/>
        <v>0.3619631901840491</v>
      </c>
      <c r="AU493" s="26">
        <f t="shared" si="159"/>
        <v>7.566999474513926E-2</v>
      </c>
      <c r="AV493" s="26">
        <f t="shared" si="160"/>
        <v>7.2517078297425111E-2</v>
      </c>
      <c r="AW493" s="26">
        <f t="shared" si="172"/>
        <v>0.92265193370165743</v>
      </c>
      <c r="AX493" s="24">
        <f t="shared" si="173"/>
        <v>0.94475138121546964</v>
      </c>
      <c r="AY493" s="77" t="str">
        <f t="shared" si="163"/>
        <v>7,5 ≤ Alc. Bruta &lt; 10,0 mg/L</v>
      </c>
      <c r="AZ493" s="77" t="str">
        <f t="shared" si="164"/>
        <v>10 ≤ Cor &lt;15 uC</v>
      </c>
      <c r="BA493" s="78" t="str">
        <f t="shared" si="165"/>
        <v>2,5 ≤ Turb &lt; 5,0 uT</v>
      </c>
      <c r="BB493" s="79" t="str">
        <f t="shared" si="166"/>
        <v>TOR &gt; BNN &gt; SM</v>
      </c>
      <c r="BC493" s="78" t="str">
        <f t="shared" si="167"/>
        <v>Tipo 1 (≤0,25) uT</v>
      </c>
      <c r="BD493" s="78" t="str">
        <f t="shared" si="168"/>
        <v>Tipo 1 (≤0,25) uT</v>
      </c>
      <c r="BE493" s="78" t="str">
        <f t="shared" si="169"/>
        <v>Tipo 1 (≤0,25) uT</v>
      </c>
      <c r="BF493" s="78" t="str">
        <f t="shared" si="170"/>
        <v>Tipo 2 (0,25-0,50) uT</v>
      </c>
      <c r="BG493" s="78" t="str">
        <f t="shared" si="171"/>
        <v>Tipo 1 (≤0,25) uT</v>
      </c>
    </row>
    <row r="494" spans="1:59" x14ac:dyDescent="0.2">
      <c r="A494" s="21">
        <v>46178</v>
      </c>
      <c r="B494" s="48">
        <v>0.47916666666666669</v>
      </c>
      <c r="C494" s="57">
        <v>1078</v>
      </c>
      <c r="D494" s="57">
        <v>85</v>
      </c>
      <c r="E494" s="57">
        <v>650</v>
      </c>
      <c r="F494" s="57">
        <v>1897</v>
      </c>
      <c r="G494" s="10" t="s">
        <v>78</v>
      </c>
      <c r="H494" s="63">
        <v>7.3</v>
      </c>
      <c r="I494" s="57">
        <v>90</v>
      </c>
      <c r="J494" s="57">
        <v>90</v>
      </c>
      <c r="K494" s="57">
        <v>90</v>
      </c>
      <c r="L494" s="63">
        <v>21.5</v>
      </c>
      <c r="M494" s="63">
        <v>6.9</v>
      </c>
      <c r="N494" s="36">
        <v>2.74</v>
      </c>
      <c r="O494" s="57">
        <v>13</v>
      </c>
      <c r="P494" s="63">
        <v>8.6</v>
      </c>
      <c r="Q494" s="36">
        <v>0.11</v>
      </c>
      <c r="R494" s="36">
        <v>22.36</v>
      </c>
      <c r="S494" s="36">
        <v>0.88</v>
      </c>
      <c r="T494" s="36">
        <v>0.7</v>
      </c>
      <c r="U494" s="42">
        <f t="shared" si="174"/>
        <v>1228.3074999999999</v>
      </c>
      <c r="V494" s="36">
        <f t="shared" si="175"/>
        <v>1425.4875648</v>
      </c>
      <c r="W494" s="36">
        <f t="shared" si="176"/>
        <v>1.1605298875078107</v>
      </c>
      <c r="X494" s="57">
        <v>2</v>
      </c>
      <c r="Y494" s="57">
        <v>4</v>
      </c>
      <c r="Z494" s="63">
        <v>6.4</v>
      </c>
      <c r="AA494" s="57">
        <v>18</v>
      </c>
      <c r="AB494" s="63">
        <v>6.9</v>
      </c>
      <c r="AC494" s="63">
        <v>6.3</v>
      </c>
      <c r="AD494" s="10">
        <v>0.13</v>
      </c>
      <c r="AE494" s="36">
        <v>0.23</v>
      </c>
      <c r="AF494" s="42">
        <f t="shared" si="177"/>
        <v>1637.7433333333333</v>
      </c>
      <c r="AG494" s="42">
        <f t="shared" si="178"/>
        <v>1821.4563327999999</v>
      </c>
      <c r="AH494" s="42">
        <f t="shared" si="179"/>
        <v>1.1121744755283185</v>
      </c>
      <c r="AI494" s="57">
        <v>2</v>
      </c>
      <c r="AJ494" s="57">
        <v>3</v>
      </c>
      <c r="AK494" s="36">
        <v>6.4</v>
      </c>
      <c r="AL494" s="36">
        <v>23</v>
      </c>
      <c r="AM494" s="63">
        <v>6.7</v>
      </c>
      <c r="AN494" s="63">
        <v>6.9</v>
      </c>
      <c r="AO494" s="36">
        <v>0.12</v>
      </c>
      <c r="AP494" s="68">
        <v>0.28000000000000003</v>
      </c>
      <c r="AQ494" s="73">
        <f t="shared" si="155"/>
        <v>1813</v>
      </c>
      <c r="AR494" s="75">
        <f t="shared" si="156"/>
        <v>0.59459459459459463</v>
      </c>
      <c r="AS494" s="75">
        <f t="shared" si="157"/>
        <v>4.6883618312189741E-2</v>
      </c>
      <c r="AT494" s="75">
        <f t="shared" si="158"/>
        <v>0.35852178709321564</v>
      </c>
      <c r="AU494" s="26">
        <f t="shared" si="159"/>
        <v>7.590933052187665E-2</v>
      </c>
      <c r="AV494" s="26">
        <f t="shared" si="160"/>
        <v>7.2746441750131785E-2</v>
      </c>
      <c r="AW494" s="26">
        <f t="shared" si="172"/>
        <v>0.8978102189781022</v>
      </c>
      <c r="AX494" s="24">
        <f t="shared" si="173"/>
        <v>0.91605839416058399</v>
      </c>
      <c r="AY494" s="77" t="str">
        <f t="shared" si="163"/>
        <v>7,5 ≤ Alc. Bruta &lt; 10,0 mg/L</v>
      </c>
      <c r="AZ494" s="77" t="str">
        <f t="shared" si="164"/>
        <v>10 ≤ Cor &lt;15 uC</v>
      </c>
      <c r="BA494" s="78" t="str">
        <f t="shared" si="165"/>
        <v>2,5 ≤ Turb &lt; 5,0 uT</v>
      </c>
      <c r="BB494" s="79" t="str">
        <f t="shared" si="166"/>
        <v>TOR &gt; BNN &gt; SM</v>
      </c>
      <c r="BC494" s="78" t="str">
        <f t="shared" si="167"/>
        <v>Tipo 1 (≤0,25) uT</v>
      </c>
      <c r="BD494" s="78" t="str">
        <f t="shared" si="168"/>
        <v>Tipo 1 (≤0,25) uT</v>
      </c>
      <c r="BE494" s="78" t="str">
        <f t="shared" si="169"/>
        <v>Tipo 1 (≤0,25) uT</v>
      </c>
      <c r="BF494" s="78" t="str">
        <f t="shared" si="170"/>
        <v>Tipo 2 (0,25-0,50) uT</v>
      </c>
      <c r="BG494" s="78" t="str">
        <f t="shared" si="171"/>
        <v>Tipo 1 (≤0,25) uT</v>
      </c>
    </row>
    <row r="495" spans="1:59" x14ac:dyDescent="0.2">
      <c r="A495" s="21">
        <v>46178</v>
      </c>
      <c r="B495" s="48">
        <v>0.64583333333333337</v>
      </c>
      <c r="C495" s="57">
        <v>1138</v>
      </c>
      <c r="D495" s="57">
        <v>93</v>
      </c>
      <c r="E495" s="57">
        <v>650</v>
      </c>
      <c r="F495" s="57">
        <v>1860</v>
      </c>
      <c r="G495" s="10" t="s">
        <v>78</v>
      </c>
      <c r="H495" s="63">
        <v>7.3</v>
      </c>
      <c r="I495" s="57">
        <v>90</v>
      </c>
      <c r="J495" s="57">
        <v>90</v>
      </c>
      <c r="K495" s="57">
        <v>90</v>
      </c>
      <c r="L495" s="63">
        <v>22.5</v>
      </c>
      <c r="M495" s="63">
        <v>7</v>
      </c>
      <c r="N495" s="36">
        <v>2.64</v>
      </c>
      <c r="O495" s="57">
        <v>11</v>
      </c>
      <c r="P495" s="63">
        <v>7.5</v>
      </c>
      <c r="Q495" s="36">
        <v>0.13</v>
      </c>
      <c r="R495" s="36">
        <v>22.36</v>
      </c>
      <c r="S495" s="36">
        <v>0.88</v>
      </c>
      <c r="T495" s="36">
        <v>0.7</v>
      </c>
      <c r="U495" s="42">
        <f t="shared" si="174"/>
        <v>1181.0999999999999</v>
      </c>
      <c r="V495" s="36">
        <f t="shared" si="175"/>
        <v>1453.2949080000001</v>
      </c>
      <c r="W495" s="36">
        <f t="shared" si="176"/>
        <v>1.2304588163576329</v>
      </c>
      <c r="X495" s="57">
        <v>2</v>
      </c>
      <c r="Y495" s="57">
        <v>4</v>
      </c>
      <c r="Z495" s="63">
        <v>6.5</v>
      </c>
      <c r="AA495" s="57">
        <v>18</v>
      </c>
      <c r="AB495" s="63">
        <v>6.9</v>
      </c>
      <c r="AC495" s="63">
        <v>6.7</v>
      </c>
      <c r="AD495" s="10">
        <v>0.19</v>
      </c>
      <c r="AE495" s="36">
        <v>0.26</v>
      </c>
      <c r="AF495" s="42">
        <f t="shared" si="177"/>
        <v>1574.8</v>
      </c>
      <c r="AG495" s="42">
        <f t="shared" si="178"/>
        <v>1856.9879380000002</v>
      </c>
      <c r="AH495" s="42">
        <f t="shared" si="179"/>
        <v>1.1791896990093982</v>
      </c>
      <c r="AI495" s="57">
        <v>2</v>
      </c>
      <c r="AJ495" s="57">
        <v>3</v>
      </c>
      <c r="AK495" s="36">
        <v>6.5</v>
      </c>
      <c r="AL495" s="36">
        <v>23</v>
      </c>
      <c r="AM495" s="63">
        <v>7</v>
      </c>
      <c r="AN495" s="63">
        <v>6.3</v>
      </c>
      <c r="AO495" s="36">
        <v>0.22</v>
      </c>
      <c r="AP495" s="68">
        <v>0.28999999999999998</v>
      </c>
      <c r="AQ495" s="73">
        <f t="shared" si="155"/>
        <v>1881</v>
      </c>
      <c r="AR495" s="75">
        <f t="shared" si="156"/>
        <v>0.60499734183944709</v>
      </c>
      <c r="AS495" s="75">
        <f t="shared" si="157"/>
        <v>4.9441786283891544E-2</v>
      </c>
      <c r="AT495" s="75">
        <f t="shared" si="158"/>
        <v>0.34556087187666135</v>
      </c>
      <c r="AU495" s="26">
        <f t="shared" si="159"/>
        <v>7.7419354838709681E-2</v>
      </c>
      <c r="AV495" s="26">
        <f t="shared" si="160"/>
        <v>7.4193548387096769E-2</v>
      </c>
      <c r="AW495" s="26">
        <f t="shared" si="172"/>
        <v>0.89015151515151514</v>
      </c>
      <c r="AX495" s="24">
        <f t="shared" si="173"/>
        <v>0.90151515151515149</v>
      </c>
      <c r="AY495" s="77" t="str">
        <f t="shared" si="163"/>
        <v>7,5 ≤ Alc. Bruta &lt; 10,0 mg/L</v>
      </c>
      <c r="AZ495" s="77" t="str">
        <f t="shared" si="164"/>
        <v>10 ≤ Cor &lt;15 uC</v>
      </c>
      <c r="BA495" s="78" t="str">
        <f t="shared" si="165"/>
        <v>2,5 ≤ Turb &lt; 5,0 uT</v>
      </c>
      <c r="BB495" s="79" t="str">
        <f t="shared" si="166"/>
        <v>TOR &gt; BNN &gt; SM</v>
      </c>
      <c r="BC495" s="78" t="str">
        <f t="shared" si="167"/>
        <v>Tipo 1 (≤0,25) uT</v>
      </c>
      <c r="BD495" s="78" t="str">
        <f t="shared" si="168"/>
        <v>Tipo 1 (≤0,25) uT</v>
      </c>
      <c r="BE495" s="78" t="str">
        <f t="shared" si="169"/>
        <v>Tipo 2 (0,25-0,50) uT</v>
      </c>
      <c r="BF495" s="78" t="str">
        <f t="shared" si="170"/>
        <v>Tipo 2 (0,25-0,50) uT</v>
      </c>
      <c r="BG495" s="78" t="str">
        <f t="shared" si="171"/>
        <v>Tipo 1 (≤0,25) uT</v>
      </c>
    </row>
    <row r="496" spans="1:59" x14ac:dyDescent="0.2">
      <c r="A496" s="21">
        <v>46178</v>
      </c>
      <c r="B496" s="48">
        <v>0.72916666666666663</v>
      </c>
      <c r="C496" s="57">
        <v>1079</v>
      </c>
      <c r="D496" s="57">
        <v>85</v>
      </c>
      <c r="E496" s="57">
        <v>649</v>
      </c>
      <c r="F496" s="57">
        <v>1926</v>
      </c>
      <c r="G496" s="10" t="s">
        <v>78</v>
      </c>
      <c r="H496" s="63">
        <v>7.3</v>
      </c>
      <c r="I496" s="57">
        <v>90</v>
      </c>
      <c r="J496" s="57">
        <v>90</v>
      </c>
      <c r="K496" s="57">
        <v>90</v>
      </c>
      <c r="L496" s="63">
        <v>22.2</v>
      </c>
      <c r="M496" s="63">
        <v>7</v>
      </c>
      <c r="N496" s="36">
        <v>2.73</v>
      </c>
      <c r="O496" s="57">
        <v>12</v>
      </c>
      <c r="P496" s="63">
        <v>7.3</v>
      </c>
      <c r="Q496" s="36">
        <v>0.13</v>
      </c>
      <c r="R496" s="36">
        <v>22.36</v>
      </c>
      <c r="S496" s="36">
        <v>0.88</v>
      </c>
      <c r="T496" s="36">
        <v>0.7</v>
      </c>
      <c r="U496" s="42">
        <f t="shared" si="174"/>
        <v>1244.6775</v>
      </c>
      <c r="V496" s="36">
        <f t="shared" si="175"/>
        <v>1453.2949080000001</v>
      </c>
      <c r="W496" s="36">
        <f t="shared" si="176"/>
        <v>1.1676075995589219</v>
      </c>
      <c r="X496" s="57">
        <v>2</v>
      </c>
      <c r="Y496" s="57">
        <v>4</v>
      </c>
      <c r="Z496" s="63">
        <v>6.5</v>
      </c>
      <c r="AA496" s="57">
        <v>18</v>
      </c>
      <c r="AB496" s="63">
        <v>6.7</v>
      </c>
      <c r="AC496" s="63">
        <v>6.8</v>
      </c>
      <c r="AD496" s="10">
        <v>0.17</v>
      </c>
      <c r="AE496" s="36">
        <v>0.26</v>
      </c>
      <c r="AF496" s="42">
        <f t="shared" si="177"/>
        <v>1659.57</v>
      </c>
      <c r="AG496" s="42">
        <f t="shared" si="178"/>
        <v>1776.2493320000001</v>
      </c>
      <c r="AH496" s="42">
        <f t="shared" si="179"/>
        <v>1.0703069662623452</v>
      </c>
      <c r="AI496" s="57">
        <v>2</v>
      </c>
      <c r="AJ496" s="57">
        <v>3</v>
      </c>
      <c r="AK496" s="36">
        <v>6.5</v>
      </c>
      <c r="AL496" s="36">
        <v>22</v>
      </c>
      <c r="AM496" s="63">
        <v>6.8</v>
      </c>
      <c r="AN496" s="63">
        <v>6.5</v>
      </c>
      <c r="AO496" s="36">
        <v>0.2</v>
      </c>
      <c r="AP496" s="68">
        <v>0.26</v>
      </c>
      <c r="AQ496" s="73">
        <f t="shared" si="155"/>
        <v>1813</v>
      </c>
      <c r="AR496" s="75">
        <f t="shared" si="156"/>
        <v>0.59514616657473796</v>
      </c>
      <c r="AS496" s="75">
        <f t="shared" si="157"/>
        <v>4.6883618312189741E-2</v>
      </c>
      <c r="AT496" s="75">
        <f t="shared" si="158"/>
        <v>0.35797021511307225</v>
      </c>
      <c r="AU496" s="26">
        <f t="shared" si="159"/>
        <v>7.476635514018691E-2</v>
      </c>
      <c r="AV496" s="26">
        <f t="shared" si="160"/>
        <v>6.8535825545171333E-2</v>
      </c>
      <c r="AW496" s="26">
        <f t="shared" si="172"/>
        <v>0.90476190476190477</v>
      </c>
      <c r="AX496" s="24">
        <f t="shared" si="173"/>
        <v>0.90476190476190477</v>
      </c>
      <c r="AY496" s="77" t="str">
        <f t="shared" si="163"/>
        <v>5,0 ≤ Alc. Bruta &lt; 7,5 mg/L</v>
      </c>
      <c r="AZ496" s="77" t="str">
        <f t="shared" si="164"/>
        <v>10 ≤ Cor &lt;15 uC</v>
      </c>
      <c r="BA496" s="78" t="str">
        <f t="shared" si="165"/>
        <v>2,5 ≤ Turb &lt; 5,0 uT</v>
      </c>
      <c r="BB496" s="79" t="str">
        <f t="shared" si="166"/>
        <v>TOR &gt; BNN &gt; SM</v>
      </c>
      <c r="BC496" s="78" t="str">
        <f t="shared" si="167"/>
        <v>Tipo 1 (≤0,25) uT</v>
      </c>
      <c r="BD496" s="78" t="str">
        <f t="shared" si="168"/>
        <v>Tipo 1 (≤0,25) uT</v>
      </c>
      <c r="BE496" s="78" t="str">
        <f t="shared" si="169"/>
        <v>Tipo 2 (0,25-0,50) uT</v>
      </c>
      <c r="BF496" s="78" t="str">
        <f t="shared" si="170"/>
        <v>Tipo 2 (0,25-0,50) uT</v>
      </c>
      <c r="BG496" s="78" t="str">
        <f t="shared" si="171"/>
        <v>Tipo 1 (≤0,25) uT</v>
      </c>
    </row>
    <row r="497" spans="1:59" x14ac:dyDescent="0.2">
      <c r="A497" s="21">
        <v>46178</v>
      </c>
      <c r="B497" s="48">
        <v>0.8125</v>
      </c>
      <c r="C497" s="57">
        <v>1117</v>
      </c>
      <c r="D497" s="57">
        <v>89</v>
      </c>
      <c r="E497" s="57">
        <v>651</v>
      </c>
      <c r="F497" s="57">
        <v>1856</v>
      </c>
      <c r="G497" s="10" t="s">
        <v>78</v>
      </c>
      <c r="H497" s="63">
        <v>7.3</v>
      </c>
      <c r="I497" s="57">
        <v>90</v>
      </c>
      <c r="J497" s="57">
        <v>90</v>
      </c>
      <c r="K497" s="57">
        <v>90</v>
      </c>
      <c r="L497" s="63">
        <v>21.7</v>
      </c>
      <c r="M497" s="63">
        <v>6.9</v>
      </c>
      <c r="N497" s="36">
        <v>2.57</v>
      </c>
      <c r="O497" s="57">
        <v>11</v>
      </c>
      <c r="P497" s="63">
        <v>8.6999999999999993</v>
      </c>
      <c r="Q497" s="36">
        <v>0.13</v>
      </c>
      <c r="R497" s="36">
        <v>22.36</v>
      </c>
      <c r="S497" s="36">
        <v>0.88</v>
      </c>
      <c r="T497" s="36">
        <v>0.7</v>
      </c>
      <c r="U497" s="42">
        <f t="shared" si="174"/>
        <v>1162.32</v>
      </c>
      <c r="V497" s="36">
        <f t="shared" si="175"/>
        <v>1534.0335140000002</v>
      </c>
      <c r="W497" s="36">
        <f t="shared" si="176"/>
        <v>1.3198030783261065</v>
      </c>
      <c r="X497" s="57">
        <v>2</v>
      </c>
      <c r="Y497" s="57">
        <v>4</v>
      </c>
      <c r="Z497" s="63">
        <v>6.5</v>
      </c>
      <c r="AA497" s="57">
        <v>19</v>
      </c>
      <c r="AB497" s="63">
        <v>6.7</v>
      </c>
      <c r="AC497" s="63">
        <v>7.2</v>
      </c>
      <c r="AD497" s="10">
        <v>0.28999999999999998</v>
      </c>
      <c r="AE497" s="36">
        <v>0.26</v>
      </c>
      <c r="AF497" s="42">
        <f t="shared" si="177"/>
        <v>1549.7599999999998</v>
      </c>
      <c r="AG497" s="42">
        <f t="shared" si="178"/>
        <v>1742.2625791999999</v>
      </c>
      <c r="AH497" s="42">
        <f t="shared" si="179"/>
        <v>1.1242144455915755</v>
      </c>
      <c r="AI497" s="57">
        <v>2</v>
      </c>
      <c r="AJ497" s="57">
        <v>3</v>
      </c>
      <c r="AK497" s="36">
        <v>6.4</v>
      </c>
      <c r="AL497" s="36">
        <v>22</v>
      </c>
      <c r="AM497" s="63">
        <v>6.7</v>
      </c>
      <c r="AN497" s="63">
        <v>8.1</v>
      </c>
      <c r="AO497" s="36">
        <v>0.16</v>
      </c>
      <c r="AP497" s="68">
        <v>0.27</v>
      </c>
      <c r="AQ497" s="73">
        <f t="shared" si="155"/>
        <v>1857</v>
      </c>
      <c r="AR497" s="75">
        <f t="shared" si="156"/>
        <v>0.60150780829294559</v>
      </c>
      <c r="AS497" s="75">
        <f t="shared" si="157"/>
        <v>4.7926763597199787E-2</v>
      </c>
      <c r="AT497" s="75">
        <f t="shared" si="158"/>
        <v>0.35056542810985458</v>
      </c>
      <c r="AU497" s="26">
        <f t="shared" si="159"/>
        <v>8.1896551724137928E-2</v>
      </c>
      <c r="AV497" s="26">
        <f t="shared" si="160"/>
        <v>7.1120689655172417E-2</v>
      </c>
      <c r="AW497" s="26">
        <f t="shared" ref="AW497:AW531" si="180">IF(AND(AP497&lt;&gt;"",1-(AP497/N497)&gt;0),1-(AP497/N497),"")</f>
        <v>0.89494163424124507</v>
      </c>
      <c r="AX497" s="24">
        <f t="shared" ref="AX497:AX531" si="181">IF(AND(AE497&lt;&gt;"",1-(AE497/N497)&gt;0),1-(AE497/N497),"")</f>
        <v>0.89883268482490275</v>
      </c>
      <c r="AY497" s="77" t="str">
        <f t="shared" si="163"/>
        <v>7,5 ≤ Alc. Bruta &lt; 10,0 mg/L</v>
      </c>
      <c r="AZ497" s="77" t="str">
        <f t="shared" si="164"/>
        <v>10 ≤ Cor &lt;15 uC</v>
      </c>
      <c r="BA497" s="78" t="str">
        <f t="shared" si="165"/>
        <v>2,5 ≤ Turb &lt; 5,0 uT</v>
      </c>
      <c r="BB497" s="79" t="str">
        <f t="shared" si="166"/>
        <v>TOR &gt; BNN &gt; SM</v>
      </c>
      <c r="BC497" s="78" t="str">
        <f t="shared" si="167"/>
        <v>Tipo 2 (0,25-0,50) uT</v>
      </c>
      <c r="BD497" s="78" t="str">
        <f t="shared" si="168"/>
        <v>Tipo 1 (≤0,25) uT</v>
      </c>
      <c r="BE497" s="78" t="str">
        <f t="shared" si="169"/>
        <v>Tipo 2 (0,25-0,50) uT</v>
      </c>
      <c r="BF497" s="78" t="str">
        <f t="shared" si="170"/>
        <v>Tipo 2 (0,25-0,50) uT</v>
      </c>
      <c r="BG497" s="78" t="str">
        <f t="shared" si="171"/>
        <v>Tipo 1 (≤0,25) uT</v>
      </c>
    </row>
    <row r="498" spans="1:59" x14ac:dyDescent="0.2">
      <c r="A498" s="21">
        <v>46178</v>
      </c>
      <c r="B498" s="48">
        <v>0.89583333333333337</v>
      </c>
      <c r="C498" s="57">
        <v>1165</v>
      </c>
      <c r="D498" s="57">
        <v>92</v>
      </c>
      <c r="E498" s="57">
        <v>649</v>
      </c>
      <c r="F498" s="57">
        <v>2089</v>
      </c>
      <c r="G498" s="10" t="s">
        <v>78</v>
      </c>
      <c r="H498" s="63">
        <v>7.3</v>
      </c>
      <c r="I498" s="57">
        <v>90</v>
      </c>
      <c r="J498" s="57">
        <v>90</v>
      </c>
      <c r="K498" s="57">
        <v>90</v>
      </c>
      <c r="L498" s="63">
        <v>21.5</v>
      </c>
      <c r="M498" s="63">
        <v>6.9</v>
      </c>
      <c r="N498" s="36">
        <v>2.42</v>
      </c>
      <c r="O498" s="57">
        <v>7</v>
      </c>
      <c r="P498" s="63">
        <v>8.6999999999999993</v>
      </c>
      <c r="Q498" s="36">
        <v>0.09</v>
      </c>
      <c r="R498" s="36">
        <v>22.36</v>
      </c>
      <c r="S498" s="36">
        <v>0.88</v>
      </c>
      <c r="T498" s="36">
        <v>0.7</v>
      </c>
      <c r="U498" s="42">
        <f t="shared" si="174"/>
        <v>1269.0674999999999</v>
      </c>
      <c r="V498" s="36">
        <f t="shared" si="175"/>
        <v>1504.6813183999998</v>
      </c>
      <c r="W498" s="36">
        <f t="shared" si="176"/>
        <v>1.1856590121486839</v>
      </c>
      <c r="X498" s="57">
        <v>2</v>
      </c>
      <c r="Y498" s="57">
        <v>4</v>
      </c>
      <c r="Z498" s="63">
        <v>6.4</v>
      </c>
      <c r="AA498" s="57">
        <v>19</v>
      </c>
      <c r="AB498" s="63">
        <v>6.8</v>
      </c>
      <c r="AC498" s="63">
        <v>7.4</v>
      </c>
      <c r="AD498" s="10">
        <v>0.24</v>
      </c>
      <c r="AE498" s="36">
        <v>0.25</v>
      </c>
      <c r="AF498" s="42">
        <f t="shared" si="177"/>
        <v>1692.09</v>
      </c>
      <c r="AG498" s="42">
        <f t="shared" si="178"/>
        <v>1856.9879380000002</v>
      </c>
      <c r="AH498" s="42">
        <f t="shared" si="179"/>
        <v>1.0974522265364137</v>
      </c>
      <c r="AI498" s="57">
        <v>2</v>
      </c>
      <c r="AJ498" s="57">
        <v>3</v>
      </c>
      <c r="AK498" s="36">
        <v>6.5</v>
      </c>
      <c r="AL498" s="36">
        <v>23</v>
      </c>
      <c r="AM498" s="63">
        <v>6.8</v>
      </c>
      <c r="AN498" s="63">
        <v>6.9</v>
      </c>
      <c r="AO498" s="36">
        <v>0.22</v>
      </c>
      <c r="AP498" s="68">
        <v>0.26</v>
      </c>
      <c r="AQ498" s="73">
        <f t="shared" si="155"/>
        <v>1906</v>
      </c>
      <c r="AR498" s="75">
        <f t="shared" si="156"/>
        <v>0.61122770199370413</v>
      </c>
      <c r="AS498" s="75">
        <f t="shared" si="157"/>
        <v>4.8268625393494226E-2</v>
      </c>
      <c r="AT498" s="75">
        <f t="shared" si="158"/>
        <v>0.34050367261280168</v>
      </c>
      <c r="AU498" s="26">
        <f t="shared" si="159"/>
        <v>7.2762087123025371E-2</v>
      </c>
      <c r="AV498" s="26">
        <f t="shared" si="160"/>
        <v>6.6060315940641448E-2</v>
      </c>
      <c r="AW498" s="26">
        <f t="shared" si="180"/>
        <v>0.8925619834710744</v>
      </c>
      <c r="AX498" s="24">
        <f t="shared" si="181"/>
        <v>0.89669421487603307</v>
      </c>
      <c r="AY498" s="77" t="str">
        <f t="shared" si="163"/>
        <v>7,5 ≤ Alc. Bruta &lt; 10,0 mg/L</v>
      </c>
      <c r="AZ498" s="77" t="str">
        <f t="shared" si="164"/>
        <v>5 ≤ Cor &lt; 10 uC</v>
      </c>
      <c r="BA498" s="78" t="str">
        <f t="shared" si="165"/>
        <v>Turbidez &lt; 2,5 uT</v>
      </c>
      <c r="BB498" s="79" t="str">
        <f t="shared" si="166"/>
        <v>TOR &gt; BNN &gt; SM</v>
      </c>
      <c r="BC498" s="78" t="str">
        <f t="shared" si="167"/>
        <v>Tipo 1 (≤0,25) uT</v>
      </c>
      <c r="BD498" s="78" t="str">
        <f t="shared" si="168"/>
        <v>Tipo 1 (≤0,25) uT</v>
      </c>
      <c r="BE498" s="78" t="str">
        <f t="shared" si="169"/>
        <v>Tipo 1 (≤0,25) uT</v>
      </c>
      <c r="BF498" s="78" t="str">
        <f t="shared" si="170"/>
        <v>Tipo 2 (0,25-0,50) uT</v>
      </c>
      <c r="BG498" s="78" t="str">
        <f t="shared" si="171"/>
        <v>Tipo 1 (≤0,25) uT</v>
      </c>
    </row>
    <row r="499" spans="1:59" x14ac:dyDescent="0.2">
      <c r="A499" s="21">
        <v>46179</v>
      </c>
      <c r="B499" s="48">
        <v>6.25E-2</v>
      </c>
      <c r="C499" s="57">
        <v>1110</v>
      </c>
      <c r="D499" s="57">
        <v>90</v>
      </c>
      <c r="E499" s="57">
        <v>650</v>
      </c>
      <c r="F499" s="57">
        <v>1932</v>
      </c>
      <c r="G499" s="10" t="s">
        <v>78</v>
      </c>
      <c r="H499" s="63">
        <v>7.3</v>
      </c>
      <c r="I499" s="57">
        <v>90</v>
      </c>
      <c r="J499" s="57">
        <v>90</v>
      </c>
      <c r="K499" s="57">
        <v>90</v>
      </c>
      <c r="L499" s="63">
        <v>20.7</v>
      </c>
      <c r="M499" s="63">
        <v>6.8</v>
      </c>
      <c r="N499" s="36">
        <v>2.4700000000000002</v>
      </c>
      <c r="O499" s="57">
        <v>9</v>
      </c>
      <c r="P499" s="63">
        <v>9.3000000000000007</v>
      </c>
      <c r="Q499" s="36">
        <v>0.11</v>
      </c>
      <c r="R499" s="36">
        <v>22.36</v>
      </c>
      <c r="S499" s="36">
        <v>0.88</v>
      </c>
      <c r="T499" s="36">
        <v>0.7</v>
      </c>
      <c r="U499" s="42">
        <f t="shared" si="174"/>
        <v>1185.7650000000001</v>
      </c>
      <c r="V499" s="36">
        <f t="shared" si="175"/>
        <v>1453.2949080000001</v>
      </c>
      <c r="W499" s="36">
        <f t="shared" si="176"/>
        <v>1.2256179833272192</v>
      </c>
      <c r="X499" s="57">
        <v>2</v>
      </c>
      <c r="Y499" s="57">
        <v>4</v>
      </c>
      <c r="Z499" s="63">
        <v>6.5</v>
      </c>
      <c r="AA499" s="57">
        <v>18</v>
      </c>
      <c r="AB499" s="63">
        <v>6.7</v>
      </c>
      <c r="AC499" s="63">
        <v>7.4</v>
      </c>
      <c r="AD499" s="10">
        <v>0.22</v>
      </c>
      <c r="AE499" s="36">
        <v>0.3</v>
      </c>
      <c r="AF499" s="42">
        <f t="shared" si="177"/>
        <v>1581.02</v>
      </c>
      <c r="AG499" s="42">
        <f t="shared" si="178"/>
        <v>1856.9879380000002</v>
      </c>
      <c r="AH499" s="42">
        <f t="shared" si="179"/>
        <v>1.1745505673552519</v>
      </c>
      <c r="AI499" s="57">
        <v>2</v>
      </c>
      <c r="AJ499" s="57">
        <v>3</v>
      </c>
      <c r="AK499" s="36">
        <v>6.5</v>
      </c>
      <c r="AL499" s="36">
        <v>23</v>
      </c>
      <c r="AM499" s="63">
        <v>6.7</v>
      </c>
      <c r="AN499" s="63">
        <v>7.8</v>
      </c>
      <c r="AO499" s="36">
        <v>0.22</v>
      </c>
      <c r="AP499" s="68">
        <v>0.28999999999999998</v>
      </c>
      <c r="AQ499" s="73">
        <f t="shared" si="155"/>
        <v>1850</v>
      </c>
      <c r="AR499" s="75">
        <f t="shared" si="156"/>
        <v>0.6</v>
      </c>
      <c r="AS499" s="75">
        <f t="shared" si="157"/>
        <v>4.8648648648648651E-2</v>
      </c>
      <c r="AT499" s="75">
        <f t="shared" si="158"/>
        <v>0.35135135135135137</v>
      </c>
      <c r="AU499" s="26">
        <f t="shared" si="159"/>
        <v>7.4534161490683232E-2</v>
      </c>
      <c r="AV499" s="26">
        <f t="shared" si="160"/>
        <v>7.1428571428571425E-2</v>
      </c>
      <c r="AW499" s="26">
        <f t="shared" si="180"/>
        <v>0.88259109311740891</v>
      </c>
      <c r="AX499" s="24">
        <f t="shared" si="181"/>
        <v>0.87854251012145745</v>
      </c>
      <c r="AY499" s="77" t="str">
        <f t="shared" si="163"/>
        <v>7,5 ≤ Alc. Bruta &lt; 10,0 mg/L</v>
      </c>
      <c r="AZ499" s="77" t="str">
        <f t="shared" si="164"/>
        <v>5 ≤ Cor &lt; 10 uC</v>
      </c>
      <c r="BA499" s="78" t="str">
        <f t="shared" si="165"/>
        <v>Turbidez &lt; 2,5 uT</v>
      </c>
      <c r="BB499" s="79" t="str">
        <f t="shared" si="166"/>
        <v>TOR &gt; BNN &gt; SM</v>
      </c>
      <c r="BC499" s="78" t="str">
        <f t="shared" si="167"/>
        <v>Tipo 1 (≤0,25) uT</v>
      </c>
      <c r="BD499" s="78" t="str">
        <f t="shared" si="168"/>
        <v>Tipo 1 (≤0,25) uT</v>
      </c>
      <c r="BE499" s="78" t="str">
        <f t="shared" si="169"/>
        <v>Tipo 2 (0,25-0,50) uT</v>
      </c>
      <c r="BF499" s="78" t="str">
        <f t="shared" si="170"/>
        <v>Tipo 2 (0,25-0,50) uT</v>
      </c>
      <c r="BG499" s="78" t="str">
        <f t="shared" si="171"/>
        <v>Tipo 1 (≤0,25) uT</v>
      </c>
    </row>
    <row r="500" spans="1:59" x14ac:dyDescent="0.2">
      <c r="A500" s="21">
        <v>46179</v>
      </c>
      <c r="B500" s="48">
        <v>0.14583333333333334</v>
      </c>
      <c r="C500" s="57">
        <v>1137</v>
      </c>
      <c r="D500" s="57">
        <v>87</v>
      </c>
      <c r="E500" s="57">
        <v>650</v>
      </c>
      <c r="F500" s="57">
        <v>1970</v>
      </c>
      <c r="G500" s="10" t="s">
        <v>78</v>
      </c>
      <c r="H500" s="63">
        <v>7.3</v>
      </c>
      <c r="I500" s="57">
        <v>90</v>
      </c>
      <c r="J500" s="57">
        <v>90</v>
      </c>
      <c r="K500" s="57">
        <v>90</v>
      </c>
      <c r="L500" s="63">
        <v>20.3</v>
      </c>
      <c r="M500" s="63">
        <v>6.8</v>
      </c>
      <c r="N500" s="36">
        <v>2.4500000000000002</v>
      </c>
      <c r="O500" s="57">
        <v>10</v>
      </c>
      <c r="P500" s="63">
        <v>8</v>
      </c>
      <c r="Q500" s="36">
        <v>0.09</v>
      </c>
      <c r="R500" s="36">
        <v>22.36</v>
      </c>
      <c r="S500" s="36">
        <v>0.88</v>
      </c>
      <c r="T500" s="36">
        <v>0.7</v>
      </c>
      <c r="U500" s="42">
        <f t="shared" si="174"/>
        <v>1204.1625000000001</v>
      </c>
      <c r="V500" s="36">
        <f t="shared" si="175"/>
        <v>1453.2949080000001</v>
      </c>
      <c r="W500" s="36">
        <f t="shared" si="176"/>
        <v>1.2068926810127369</v>
      </c>
      <c r="X500" s="57">
        <v>2</v>
      </c>
      <c r="Y500" s="57">
        <v>4</v>
      </c>
      <c r="Z500" s="63">
        <v>6.5</v>
      </c>
      <c r="AA500" s="57">
        <v>18</v>
      </c>
      <c r="AB500" s="63">
        <v>6.7</v>
      </c>
      <c r="AC500" s="63">
        <v>7</v>
      </c>
      <c r="AD500" s="10">
        <v>0.23</v>
      </c>
      <c r="AE500" s="36">
        <v>0.26</v>
      </c>
      <c r="AF500" s="42">
        <f t="shared" si="177"/>
        <v>1605.5500000000002</v>
      </c>
      <c r="AG500" s="42">
        <f t="shared" si="178"/>
        <v>1776.2493320000001</v>
      </c>
      <c r="AH500" s="42">
        <f t="shared" si="179"/>
        <v>1.1063182909283422</v>
      </c>
      <c r="AI500" s="57">
        <v>2</v>
      </c>
      <c r="AJ500" s="57">
        <v>3</v>
      </c>
      <c r="AK500" s="36">
        <v>6.5</v>
      </c>
      <c r="AL500" s="36">
        <v>22</v>
      </c>
      <c r="AM500" s="63">
        <v>6.8</v>
      </c>
      <c r="AN500" s="63">
        <v>7.4</v>
      </c>
      <c r="AO500" s="36">
        <v>0.21</v>
      </c>
      <c r="AP500" s="68">
        <v>0.27</v>
      </c>
      <c r="AQ500" s="73">
        <f t="shared" si="155"/>
        <v>1874</v>
      </c>
      <c r="AR500" s="75">
        <f t="shared" si="156"/>
        <v>0.60672358591248665</v>
      </c>
      <c r="AS500" s="75">
        <f t="shared" si="157"/>
        <v>4.6424759871931696E-2</v>
      </c>
      <c r="AT500" s="75">
        <f t="shared" si="158"/>
        <v>0.34685165421558162</v>
      </c>
      <c r="AU500" s="26">
        <f t="shared" si="159"/>
        <v>7.309644670050762E-2</v>
      </c>
      <c r="AV500" s="26">
        <f t="shared" si="160"/>
        <v>6.7005076142131983E-2</v>
      </c>
      <c r="AW500" s="26">
        <f t="shared" si="180"/>
        <v>0.88979591836734695</v>
      </c>
      <c r="AX500" s="24">
        <f t="shared" si="181"/>
        <v>0.89387755102040822</v>
      </c>
      <c r="AY500" s="77" t="str">
        <f t="shared" si="163"/>
        <v>7,5 ≤ Alc. Bruta &lt; 10,0 mg/L</v>
      </c>
      <c r="AZ500" s="77" t="str">
        <f t="shared" si="164"/>
        <v>10 ≤ Cor &lt;15 uC</v>
      </c>
      <c r="BA500" s="78" t="str">
        <f t="shared" si="165"/>
        <v>Turbidez &lt; 2,5 uT</v>
      </c>
      <c r="BB500" s="79" t="str">
        <f t="shared" si="166"/>
        <v>TOR &gt; BNN &gt; SM</v>
      </c>
      <c r="BC500" s="78" t="str">
        <f t="shared" si="167"/>
        <v>Tipo 1 (≤0,25) uT</v>
      </c>
      <c r="BD500" s="78" t="str">
        <f t="shared" si="168"/>
        <v>Tipo 1 (≤0,25) uT</v>
      </c>
      <c r="BE500" s="78" t="str">
        <f t="shared" si="169"/>
        <v>Tipo 2 (0,25-0,50) uT</v>
      </c>
      <c r="BF500" s="78" t="str">
        <f t="shared" si="170"/>
        <v>Tipo 2 (0,25-0,50) uT</v>
      </c>
      <c r="BG500" s="78" t="str">
        <f t="shared" si="171"/>
        <v>Tipo 1 (≤0,25) uT</v>
      </c>
    </row>
    <row r="501" spans="1:59" ht="15.75" thickBot="1" x14ac:dyDescent="0.25">
      <c r="A501" s="21">
        <v>46179</v>
      </c>
      <c r="B501" s="51">
        <v>0.22916666666666666</v>
      </c>
      <c r="C501" s="58">
        <v>1005</v>
      </c>
      <c r="D501" s="58">
        <v>92</v>
      </c>
      <c r="E501" s="58">
        <v>651</v>
      </c>
      <c r="F501" s="58">
        <v>2087</v>
      </c>
      <c r="G501" s="11" t="s">
        <v>78</v>
      </c>
      <c r="H501" s="64">
        <v>7.3</v>
      </c>
      <c r="I501" s="58">
        <v>90</v>
      </c>
      <c r="J501" s="58">
        <v>90</v>
      </c>
      <c r="K501" s="58">
        <v>90</v>
      </c>
      <c r="L501" s="64">
        <v>19.899999999999999</v>
      </c>
      <c r="M501" s="64">
        <v>6.8</v>
      </c>
      <c r="N501" s="37">
        <v>2.73</v>
      </c>
      <c r="O501" s="58">
        <v>9</v>
      </c>
      <c r="P501" s="64">
        <v>8.1999999999999993</v>
      </c>
      <c r="Q501" s="37">
        <v>0.09</v>
      </c>
      <c r="R501" s="36">
        <v>22.36</v>
      </c>
      <c r="S501" s="36">
        <v>0.88</v>
      </c>
      <c r="T501" s="36">
        <v>0.7</v>
      </c>
      <c r="U501" s="42">
        <f t="shared" si="174"/>
        <v>1348.7237499999999</v>
      </c>
      <c r="V501" s="36">
        <f t="shared" si="175"/>
        <v>1425.4875648</v>
      </c>
      <c r="W501" s="36">
        <f t="shared" si="176"/>
        <v>1.0569158916345918</v>
      </c>
      <c r="X501" s="58">
        <v>2</v>
      </c>
      <c r="Y501" s="58">
        <v>4</v>
      </c>
      <c r="Z501" s="64">
        <v>6.4</v>
      </c>
      <c r="AA501" s="58">
        <v>18</v>
      </c>
      <c r="AB501" s="63">
        <v>6.7</v>
      </c>
      <c r="AC501" s="64">
        <v>6.9</v>
      </c>
      <c r="AD501" s="11">
        <v>0.23</v>
      </c>
      <c r="AE501" s="37">
        <v>0.26</v>
      </c>
      <c r="AF501" s="42">
        <f t="shared" si="177"/>
        <v>1798.2983333333332</v>
      </c>
      <c r="AG501" s="42">
        <f t="shared" si="178"/>
        <v>1856.9879380000002</v>
      </c>
      <c r="AH501" s="42">
        <f t="shared" si="179"/>
        <v>1.0326361892122091</v>
      </c>
      <c r="AI501" s="58">
        <v>2</v>
      </c>
      <c r="AJ501" s="58">
        <v>3</v>
      </c>
      <c r="AK501" s="37">
        <v>6.5</v>
      </c>
      <c r="AL501" s="37">
        <v>23</v>
      </c>
      <c r="AM501" s="64">
        <v>6.7</v>
      </c>
      <c r="AN501" s="64">
        <v>7.2</v>
      </c>
      <c r="AO501" s="37">
        <v>0.14000000000000001</v>
      </c>
      <c r="AP501" s="69">
        <v>0.28000000000000003</v>
      </c>
      <c r="AQ501" s="73">
        <f t="shared" si="155"/>
        <v>1748</v>
      </c>
      <c r="AR501" s="75">
        <f t="shared" si="156"/>
        <v>0.57494279176201368</v>
      </c>
      <c r="AS501" s="75">
        <f t="shared" si="157"/>
        <v>5.2631578947368418E-2</v>
      </c>
      <c r="AT501" s="75">
        <f t="shared" si="158"/>
        <v>0.37242562929061784</v>
      </c>
      <c r="AU501" s="26">
        <f t="shared" si="159"/>
        <v>6.8998562529947294E-2</v>
      </c>
      <c r="AV501" s="26">
        <f t="shared" si="160"/>
        <v>6.6123622424532832E-2</v>
      </c>
      <c r="AW501" s="26">
        <f t="shared" si="180"/>
        <v>0.89743589743589747</v>
      </c>
      <c r="AX501" s="24">
        <f t="shared" si="181"/>
        <v>0.90476190476190477</v>
      </c>
      <c r="AY501" s="77" t="str">
        <f t="shared" si="163"/>
        <v>7,5 ≤ Alc. Bruta &lt; 10,0 mg/L</v>
      </c>
      <c r="AZ501" s="77" t="str">
        <f t="shared" si="164"/>
        <v>5 ≤ Cor &lt; 10 uC</v>
      </c>
      <c r="BA501" s="78" t="str">
        <f t="shared" si="165"/>
        <v>2,5 ≤ Turb &lt; 5,0 uT</v>
      </c>
      <c r="BB501" s="79" t="str">
        <f t="shared" si="166"/>
        <v>TOR &gt; BNN &gt; SM</v>
      </c>
      <c r="BC501" s="78" t="str">
        <f t="shared" si="167"/>
        <v>Tipo 1 (≤0,25) uT</v>
      </c>
      <c r="BD501" s="78" t="str">
        <f t="shared" si="168"/>
        <v>Tipo 1 (≤0,25) uT</v>
      </c>
      <c r="BE501" s="78" t="str">
        <f t="shared" si="169"/>
        <v>Tipo 2 (0,25-0,50) uT</v>
      </c>
      <c r="BF501" s="78" t="str">
        <f t="shared" si="170"/>
        <v>Tipo 2 (0,25-0,50) uT</v>
      </c>
      <c r="BG501" s="78" t="str">
        <f t="shared" si="171"/>
        <v>Tipo 1 (≤0,25) uT</v>
      </c>
    </row>
    <row r="502" spans="1:59" x14ac:dyDescent="0.2">
      <c r="A502" s="21">
        <v>46179</v>
      </c>
      <c r="B502" s="52">
        <v>0.3125</v>
      </c>
      <c r="C502" s="59">
        <v>1088</v>
      </c>
      <c r="D502" s="57">
        <v>83</v>
      </c>
      <c r="E502" s="59">
        <v>651</v>
      </c>
      <c r="F502" s="59">
        <v>1936</v>
      </c>
      <c r="G502" s="9" t="s">
        <v>78</v>
      </c>
      <c r="H502" s="65">
        <v>7.3</v>
      </c>
      <c r="I502" s="59">
        <v>90</v>
      </c>
      <c r="J502" s="59">
        <v>90</v>
      </c>
      <c r="K502" s="59">
        <v>90</v>
      </c>
      <c r="L502" s="65">
        <v>20.6</v>
      </c>
      <c r="M502" s="65">
        <v>6.9</v>
      </c>
      <c r="N502" s="38">
        <v>2.4900000000000002</v>
      </c>
      <c r="O502" s="59">
        <v>13</v>
      </c>
      <c r="P502" s="65">
        <v>8</v>
      </c>
      <c r="Q502" s="38">
        <v>0.09</v>
      </c>
      <c r="R502" s="36">
        <v>22.36</v>
      </c>
      <c r="S502" s="36">
        <v>0.88</v>
      </c>
      <c r="T502" s="36">
        <v>0.7</v>
      </c>
      <c r="U502" s="42">
        <f t="shared" si="174"/>
        <v>1193.06</v>
      </c>
      <c r="V502" s="36">
        <f t="shared" si="175"/>
        <v>1623.0700447935999</v>
      </c>
      <c r="W502" s="36">
        <f t="shared" si="176"/>
        <v>1.3604261686701422</v>
      </c>
      <c r="X502" s="59">
        <v>2</v>
      </c>
      <c r="Y502" s="59">
        <v>4</v>
      </c>
      <c r="Z502" s="65">
        <v>6.48</v>
      </c>
      <c r="AA502" s="59">
        <v>20.18</v>
      </c>
      <c r="AB502" s="65">
        <v>6.7</v>
      </c>
      <c r="AC502" s="65">
        <v>6.8</v>
      </c>
      <c r="AD502" s="9">
        <v>0.19</v>
      </c>
      <c r="AE502" s="38">
        <v>0.24</v>
      </c>
      <c r="AF502" s="42">
        <f t="shared" si="177"/>
        <v>1590.7466666666667</v>
      </c>
      <c r="AG502" s="42">
        <f t="shared" si="178"/>
        <v>1846.3284564400001</v>
      </c>
      <c r="AH502" s="42">
        <f t="shared" si="179"/>
        <v>1.1606678141334048</v>
      </c>
      <c r="AI502" s="59">
        <v>2</v>
      </c>
      <c r="AJ502" s="59">
        <v>3</v>
      </c>
      <c r="AK502" s="38">
        <v>6.47</v>
      </c>
      <c r="AL502" s="38">
        <v>23</v>
      </c>
      <c r="AM502" s="65">
        <v>3.6</v>
      </c>
      <c r="AN502" s="65">
        <v>7.1</v>
      </c>
      <c r="AO502" s="38">
        <v>0.22</v>
      </c>
      <c r="AP502" s="70">
        <v>0.23</v>
      </c>
      <c r="AQ502" s="73">
        <f t="shared" si="155"/>
        <v>1822</v>
      </c>
      <c r="AR502" s="75">
        <f t="shared" si="156"/>
        <v>0.5971459934138309</v>
      </c>
      <c r="AS502" s="75">
        <f t="shared" si="157"/>
        <v>4.5554335894621295E-2</v>
      </c>
      <c r="AT502" s="75">
        <f t="shared" si="158"/>
        <v>0.35729967069154778</v>
      </c>
      <c r="AU502" s="26">
        <f t="shared" si="159"/>
        <v>8.3388429752066118E-2</v>
      </c>
      <c r="AV502" s="26">
        <f t="shared" si="160"/>
        <v>7.1280991735537189E-2</v>
      </c>
      <c r="AW502" s="26">
        <f t="shared" si="180"/>
        <v>0.90763052208835338</v>
      </c>
      <c r="AX502" s="24">
        <f t="shared" si="181"/>
        <v>0.90361445783132532</v>
      </c>
      <c r="AY502" s="77" t="str">
        <f t="shared" si="163"/>
        <v>7,5 ≤ Alc. Bruta &lt; 10,0 mg/L</v>
      </c>
      <c r="AZ502" s="77" t="str">
        <f t="shared" si="164"/>
        <v>10 ≤ Cor &lt;15 uC</v>
      </c>
      <c r="BA502" s="78" t="str">
        <f t="shared" si="165"/>
        <v>Turbidez &lt; 2,5 uT</v>
      </c>
      <c r="BB502" s="79" t="str">
        <f t="shared" si="166"/>
        <v>TOR &gt; BNN &gt; SM</v>
      </c>
      <c r="BC502" s="78" t="str">
        <f t="shared" si="167"/>
        <v>Tipo 1 (≤0,25) uT</v>
      </c>
      <c r="BD502" s="78" t="str">
        <f t="shared" si="168"/>
        <v>Tipo 1 (≤0,25) uT</v>
      </c>
      <c r="BE502" s="78" t="str">
        <f t="shared" si="169"/>
        <v>Tipo 1 (≤0,25) uT</v>
      </c>
      <c r="BF502" s="78" t="str">
        <f t="shared" si="170"/>
        <v>Tipo 1 (≤0,25) uT</v>
      </c>
      <c r="BG502" s="78" t="str">
        <f t="shared" si="171"/>
        <v>Tipo 1 (≤0,25) uT</v>
      </c>
    </row>
    <row r="503" spans="1:59" x14ac:dyDescent="0.2">
      <c r="A503" s="21">
        <v>46179</v>
      </c>
      <c r="B503" s="54">
        <v>0.39583333333333331</v>
      </c>
      <c r="C503" s="60">
        <v>1077</v>
      </c>
      <c r="D503" s="57">
        <v>82</v>
      </c>
      <c r="E503" s="60">
        <v>649</v>
      </c>
      <c r="F503" s="60">
        <v>1913</v>
      </c>
      <c r="G503" s="27" t="s">
        <v>78</v>
      </c>
      <c r="H503" s="66">
        <v>7.3</v>
      </c>
      <c r="I503" s="60">
        <v>90</v>
      </c>
      <c r="J503" s="60">
        <v>90</v>
      </c>
      <c r="K503" s="60">
        <v>90</v>
      </c>
      <c r="L503" s="66">
        <v>20.9</v>
      </c>
      <c r="M503" s="66">
        <v>6.8</v>
      </c>
      <c r="N503" s="39">
        <v>2.5099999999999998</v>
      </c>
      <c r="O503" s="60">
        <v>13</v>
      </c>
      <c r="P503" s="66">
        <v>7.9</v>
      </c>
      <c r="Q503" s="39">
        <v>0.09</v>
      </c>
      <c r="R503" s="36">
        <v>22.36</v>
      </c>
      <c r="S503" s="36">
        <v>0.88</v>
      </c>
      <c r="T503" s="36">
        <v>0.7</v>
      </c>
      <c r="U503" s="42">
        <f t="shared" si="174"/>
        <v>1183.6687499999998</v>
      </c>
      <c r="V503" s="36">
        <f t="shared" si="175"/>
        <v>1711.7316761999998</v>
      </c>
      <c r="W503" s="36">
        <f t="shared" si="176"/>
        <v>1.4461239060336772</v>
      </c>
      <c r="X503" s="60">
        <v>2</v>
      </c>
      <c r="Y503" s="60">
        <v>4</v>
      </c>
      <c r="Z503" s="66">
        <v>6.55</v>
      </c>
      <c r="AA503" s="60">
        <v>21</v>
      </c>
      <c r="AB503" s="66">
        <v>6.6</v>
      </c>
      <c r="AC503" s="66">
        <v>6.7</v>
      </c>
      <c r="AD503" s="27">
        <v>0.21</v>
      </c>
      <c r="AE503" s="39">
        <v>0.27</v>
      </c>
      <c r="AF503" s="42">
        <f t="shared" si="177"/>
        <v>1578.2249999999997</v>
      </c>
      <c r="AG503" s="42">
        <f t="shared" si="178"/>
        <v>1793.2427083999996</v>
      </c>
      <c r="AH503" s="42">
        <f t="shared" si="179"/>
        <v>1.1362402118836035</v>
      </c>
      <c r="AI503" s="60">
        <v>2</v>
      </c>
      <c r="AJ503" s="60">
        <v>3</v>
      </c>
      <c r="AK503" s="39">
        <v>6.55</v>
      </c>
      <c r="AL503" s="39">
        <v>22</v>
      </c>
      <c r="AM503" s="66">
        <v>6.5</v>
      </c>
      <c r="AN503" s="66">
        <v>7</v>
      </c>
      <c r="AO503" s="39">
        <v>0.21</v>
      </c>
      <c r="AP503" s="71">
        <v>0.25</v>
      </c>
      <c r="AQ503" s="73">
        <f t="shared" si="155"/>
        <v>1808</v>
      </c>
      <c r="AR503" s="75">
        <f t="shared" si="156"/>
        <v>0.5956858407079646</v>
      </c>
      <c r="AS503" s="75">
        <f t="shared" si="157"/>
        <v>4.5353982300884957E-2</v>
      </c>
      <c r="AT503" s="75">
        <f t="shared" si="158"/>
        <v>0.35896017699115046</v>
      </c>
      <c r="AU503" s="26">
        <f t="shared" si="159"/>
        <v>8.782017773131208E-2</v>
      </c>
      <c r="AV503" s="26">
        <f t="shared" si="160"/>
        <v>6.9001568217459494E-2</v>
      </c>
      <c r="AW503" s="26">
        <f t="shared" si="180"/>
        <v>0.90039840637450197</v>
      </c>
      <c r="AX503" s="24">
        <f t="shared" si="181"/>
        <v>0.89243027888446214</v>
      </c>
      <c r="AY503" s="77" t="str">
        <f t="shared" si="163"/>
        <v>7,5 ≤ Alc. Bruta &lt; 10,0 mg/L</v>
      </c>
      <c r="AZ503" s="77" t="str">
        <f t="shared" si="164"/>
        <v>10 ≤ Cor &lt;15 uC</v>
      </c>
      <c r="BA503" s="78" t="str">
        <f t="shared" si="165"/>
        <v>2,5 ≤ Turb &lt; 5,0 uT</v>
      </c>
      <c r="BB503" s="79" t="str">
        <f t="shared" si="166"/>
        <v>TOR &gt; BNN &gt; SM</v>
      </c>
      <c r="BC503" s="78" t="str">
        <f t="shared" si="167"/>
        <v>Tipo 1 (≤0,25) uT</v>
      </c>
      <c r="BD503" s="78" t="str">
        <f t="shared" si="168"/>
        <v>Tipo 1 (≤0,25) uT</v>
      </c>
      <c r="BE503" s="78" t="str">
        <f t="shared" si="169"/>
        <v>Tipo 2 (0,25-0,50) uT</v>
      </c>
      <c r="BF503" s="78" t="str">
        <f t="shared" si="170"/>
        <v>Tipo 1 (≤0,25) uT</v>
      </c>
      <c r="BG503" s="78" t="str">
        <f t="shared" si="171"/>
        <v>Tipo 1 (≤0,25) uT</v>
      </c>
    </row>
    <row r="504" spans="1:59" x14ac:dyDescent="0.2">
      <c r="A504" s="21">
        <v>46179</v>
      </c>
      <c r="B504" s="48">
        <v>0.47916666666666669</v>
      </c>
      <c r="C504" s="57">
        <v>603</v>
      </c>
      <c r="D504" s="57">
        <v>92</v>
      </c>
      <c r="E504" s="57">
        <v>693</v>
      </c>
      <c r="F504" s="57">
        <v>1310</v>
      </c>
      <c r="G504" s="10" t="s">
        <v>78</v>
      </c>
      <c r="H504" s="63">
        <v>7.3</v>
      </c>
      <c r="I504" s="57">
        <v>90</v>
      </c>
      <c r="J504" s="57">
        <v>90</v>
      </c>
      <c r="K504" s="57">
        <v>90</v>
      </c>
      <c r="L504" s="63">
        <v>22.3</v>
      </c>
      <c r="M504" s="63">
        <v>6.9</v>
      </c>
      <c r="N504" s="36">
        <v>2.36</v>
      </c>
      <c r="O504" s="57">
        <v>13</v>
      </c>
      <c r="P504" s="63">
        <v>9</v>
      </c>
      <c r="Q504" s="36">
        <v>0.08</v>
      </c>
      <c r="R504" s="36">
        <v>22.36</v>
      </c>
      <c r="S504" s="36">
        <v>0.88</v>
      </c>
      <c r="T504" s="36">
        <v>0.7</v>
      </c>
      <c r="U504" s="42">
        <f t="shared" si="174"/>
        <v>1048</v>
      </c>
      <c r="V504" s="36">
        <f t="shared" si="175"/>
        <v>1620.9515295999995</v>
      </c>
      <c r="W504" s="36">
        <f t="shared" si="176"/>
        <v>1.5467094748091599</v>
      </c>
      <c r="X504" s="57">
        <v>1</v>
      </c>
      <c r="Y504" s="57">
        <v>3</v>
      </c>
      <c r="Z504" s="63">
        <v>6.52</v>
      </c>
      <c r="AA504" s="57">
        <v>20</v>
      </c>
      <c r="AB504" s="63">
        <v>6.7</v>
      </c>
      <c r="AC504" s="63">
        <v>8.1999999999999993</v>
      </c>
      <c r="AD504" s="10">
        <v>0.13</v>
      </c>
      <c r="AE504" s="36">
        <v>0.28000000000000003</v>
      </c>
      <c r="AF504" s="42">
        <f t="shared" si="177"/>
        <v>1572</v>
      </c>
      <c r="AG504" s="42">
        <f t="shared" si="178"/>
        <v>1835.6689748800002</v>
      </c>
      <c r="AH504" s="42">
        <f t="shared" si="179"/>
        <v>1.1677283555216287</v>
      </c>
      <c r="AI504" s="57">
        <v>2</v>
      </c>
      <c r="AJ504" s="57">
        <v>2</v>
      </c>
      <c r="AK504" s="36">
        <v>6.44</v>
      </c>
      <c r="AL504" s="36">
        <v>23</v>
      </c>
      <c r="AM504" s="63">
        <v>6.7</v>
      </c>
      <c r="AN504" s="63">
        <v>7.4</v>
      </c>
      <c r="AO504" s="36">
        <v>0.12</v>
      </c>
      <c r="AP504" s="68">
        <v>0.25</v>
      </c>
      <c r="AQ504" s="73">
        <f t="shared" si="155"/>
        <v>1388</v>
      </c>
      <c r="AR504" s="75">
        <f t="shared" si="156"/>
        <v>0.43443804034582134</v>
      </c>
      <c r="AS504" s="75">
        <f t="shared" si="157"/>
        <v>6.6282420749279536E-2</v>
      </c>
      <c r="AT504" s="75">
        <f t="shared" si="158"/>
        <v>0.49927953890489912</v>
      </c>
      <c r="AU504" s="26">
        <f t="shared" si="159"/>
        <v>9.1603053435114504E-2</v>
      </c>
      <c r="AV504" s="26">
        <f t="shared" si="160"/>
        <v>7.0229007633587789E-2</v>
      </c>
      <c r="AW504" s="26">
        <f t="shared" si="180"/>
        <v>0.89406779661016944</v>
      </c>
      <c r="AX504" s="24">
        <f t="shared" si="181"/>
        <v>0.88135593220338981</v>
      </c>
      <c r="AY504" s="77" t="str">
        <f t="shared" si="163"/>
        <v>7,5 ≤ Alc. Bruta &lt; 10,0 mg/L</v>
      </c>
      <c r="AZ504" s="77" t="str">
        <f t="shared" si="164"/>
        <v>10 ≤ Cor &lt;15 uC</v>
      </c>
      <c r="BA504" s="78" t="str">
        <f t="shared" si="165"/>
        <v>Turbidez &lt; 2,5 uT</v>
      </c>
      <c r="BB504" s="79" t="str">
        <f t="shared" si="166"/>
        <v>Comb. diferentes</v>
      </c>
      <c r="BC504" s="78" t="str">
        <f t="shared" si="167"/>
        <v>Tipo 1 (≤0,25) uT</v>
      </c>
      <c r="BD504" s="78" t="str">
        <f t="shared" si="168"/>
        <v>Tipo 1 (≤0,25) uT</v>
      </c>
      <c r="BE504" s="78" t="str">
        <f t="shared" si="169"/>
        <v>Tipo 2 (0,25-0,50) uT</v>
      </c>
      <c r="BF504" s="78" t="str">
        <f t="shared" si="170"/>
        <v>Tipo 1 (≤0,25) uT</v>
      </c>
      <c r="BG504" s="78" t="str">
        <f t="shared" si="171"/>
        <v>Tipo 1 (≤0,25) uT</v>
      </c>
    </row>
    <row r="505" spans="1:59" x14ac:dyDescent="0.2">
      <c r="A505" s="21">
        <v>46179</v>
      </c>
      <c r="B505" s="48">
        <v>0.64583333333333337</v>
      </c>
      <c r="C505" s="57">
        <v>620</v>
      </c>
      <c r="D505" s="57">
        <v>91</v>
      </c>
      <c r="E505" s="57">
        <v>594</v>
      </c>
      <c r="F505" s="57">
        <v>1908</v>
      </c>
      <c r="G505" s="10" t="s">
        <v>78</v>
      </c>
      <c r="H505" s="63">
        <v>7.3</v>
      </c>
      <c r="I505" s="57">
        <v>90</v>
      </c>
      <c r="J505" s="57">
        <v>90</v>
      </c>
      <c r="K505" s="57">
        <v>90</v>
      </c>
      <c r="L505" s="63">
        <v>22</v>
      </c>
      <c r="M505" s="63">
        <v>6.9</v>
      </c>
      <c r="N505" s="36">
        <v>2.31</v>
      </c>
      <c r="O505" s="57">
        <v>12</v>
      </c>
      <c r="P505" s="63">
        <v>10.7</v>
      </c>
      <c r="Q505" s="36">
        <v>0.09</v>
      </c>
      <c r="R505" s="36">
        <v>22.36</v>
      </c>
      <c r="S505" s="36">
        <v>0.88</v>
      </c>
      <c r="T505" s="36">
        <v>0.7</v>
      </c>
      <c r="U505" s="42">
        <f t="shared" si="174"/>
        <v>1510.5</v>
      </c>
      <c r="V505" s="36">
        <f t="shared" si="175"/>
        <v>1614.7721200000001</v>
      </c>
      <c r="W505" s="36">
        <f t="shared" si="176"/>
        <v>1.0690315259847734</v>
      </c>
      <c r="X505" s="57">
        <v>1</v>
      </c>
      <c r="Y505" s="57">
        <v>3</v>
      </c>
      <c r="Z505" s="63">
        <v>6.5</v>
      </c>
      <c r="AA505" s="57">
        <v>20</v>
      </c>
      <c r="AB505" s="63">
        <v>6.9</v>
      </c>
      <c r="AC505" s="63">
        <v>9.5</v>
      </c>
      <c r="AD505" s="10">
        <v>0.22</v>
      </c>
      <c r="AE505" s="36">
        <v>0.28999999999999998</v>
      </c>
      <c r="AF505" s="42">
        <f t="shared" si="177"/>
        <v>2265.75</v>
      </c>
      <c r="AG505" s="42">
        <f t="shared" si="178"/>
        <v>1769.4519814399998</v>
      </c>
      <c r="AH505" s="42">
        <f t="shared" si="179"/>
        <v>0.78095640800617894</v>
      </c>
      <c r="AI505" s="57">
        <v>2</v>
      </c>
      <c r="AJ505" s="57">
        <v>2</v>
      </c>
      <c r="AK505" s="36">
        <v>6.48</v>
      </c>
      <c r="AL505" s="36">
        <v>22</v>
      </c>
      <c r="AM505" s="63">
        <v>6.8</v>
      </c>
      <c r="AN505" s="63">
        <v>9.6999999999999993</v>
      </c>
      <c r="AO505" s="36">
        <v>0.22</v>
      </c>
      <c r="AP505" s="68">
        <v>0.26</v>
      </c>
      <c r="AQ505" s="73">
        <f t="shared" si="155"/>
        <v>1305</v>
      </c>
      <c r="AR505" s="75">
        <f t="shared" si="156"/>
        <v>0.47509578544061304</v>
      </c>
      <c r="AS505" s="75">
        <f t="shared" si="157"/>
        <v>6.9731800766283519E-2</v>
      </c>
      <c r="AT505" s="75">
        <f t="shared" si="158"/>
        <v>0.45517241379310347</v>
      </c>
      <c r="AU505" s="26">
        <f t="shared" si="159"/>
        <v>6.2893081761006289E-2</v>
      </c>
      <c r="AV505" s="26">
        <f t="shared" si="160"/>
        <v>4.6121593291404611E-2</v>
      </c>
      <c r="AW505" s="26">
        <f t="shared" si="180"/>
        <v>0.88744588744588748</v>
      </c>
      <c r="AX505" s="24">
        <f t="shared" si="181"/>
        <v>0.87445887445887449</v>
      </c>
      <c r="AY505" s="77" t="str">
        <f t="shared" si="163"/>
        <v>10,0 ≤ Alca. Bruta &lt; 15,0 mg/L</v>
      </c>
      <c r="AZ505" s="77" t="str">
        <f t="shared" si="164"/>
        <v>10 ≤ Cor &lt;15 uC</v>
      </c>
      <c r="BA505" s="78" t="str">
        <f t="shared" si="165"/>
        <v>Turbidez &lt; 2,5 uT</v>
      </c>
      <c r="BB505" s="79" t="str">
        <f t="shared" si="166"/>
        <v>TOR &gt; BNN &gt; SM</v>
      </c>
      <c r="BC505" s="78" t="str">
        <f t="shared" si="167"/>
        <v>Tipo 1 (≤0,25) uT</v>
      </c>
      <c r="BD505" s="78" t="str">
        <f t="shared" si="168"/>
        <v>Tipo 1 (≤0,25) uT</v>
      </c>
      <c r="BE505" s="78" t="str">
        <f t="shared" si="169"/>
        <v>Tipo 2 (0,25-0,50) uT</v>
      </c>
      <c r="BF505" s="78" t="str">
        <f t="shared" si="170"/>
        <v>Tipo 2 (0,25-0,50) uT</v>
      </c>
      <c r="BG505" s="78" t="str">
        <f t="shared" si="171"/>
        <v>Tipo 1 (≤0,25) uT</v>
      </c>
    </row>
    <row r="506" spans="1:59" x14ac:dyDescent="0.2">
      <c r="A506" s="21">
        <v>46179</v>
      </c>
      <c r="B506" s="48">
        <v>0.72916666666666663</v>
      </c>
      <c r="C506" s="57">
        <v>1071</v>
      </c>
      <c r="D506" s="57">
        <v>95</v>
      </c>
      <c r="E506" s="57">
        <v>578</v>
      </c>
      <c r="F506" s="57">
        <v>1749</v>
      </c>
      <c r="G506" s="10" t="s">
        <v>78</v>
      </c>
      <c r="H506" s="63">
        <v>7.3</v>
      </c>
      <c r="I506" s="57">
        <v>90</v>
      </c>
      <c r="J506" s="57">
        <v>90</v>
      </c>
      <c r="K506" s="57">
        <v>90</v>
      </c>
      <c r="L506" s="63">
        <v>21.9</v>
      </c>
      <c r="M506" s="63">
        <v>6.9</v>
      </c>
      <c r="N506" s="36">
        <v>2.38</v>
      </c>
      <c r="O506" s="57">
        <v>12</v>
      </c>
      <c r="P506" s="63">
        <v>10.4</v>
      </c>
      <c r="Q506" s="36">
        <v>0.1</v>
      </c>
      <c r="R506" s="36">
        <v>22.36</v>
      </c>
      <c r="S506" s="36">
        <v>0.88</v>
      </c>
      <c r="T506" s="36">
        <v>0.7</v>
      </c>
      <c r="U506" s="42">
        <f t="shared" si="174"/>
        <v>1405.03</v>
      </c>
      <c r="V506" s="36">
        <f t="shared" si="175"/>
        <v>1692.2665359599998</v>
      </c>
      <c r="W506" s="36">
        <f t="shared" si="176"/>
        <v>1.2044344504814843</v>
      </c>
      <c r="X506" s="57">
        <v>2</v>
      </c>
      <c r="Y506" s="57">
        <v>3</v>
      </c>
      <c r="Z506" s="63">
        <v>6.49</v>
      </c>
      <c r="AA506" s="57">
        <v>21</v>
      </c>
      <c r="AB506" s="63">
        <v>6.8</v>
      </c>
      <c r="AC506" s="63">
        <v>9.3000000000000007</v>
      </c>
      <c r="AD506" s="10">
        <v>0.21</v>
      </c>
      <c r="AE506" s="36">
        <v>0.28000000000000003</v>
      </c>
      <c r="AF506" s="42">
        <f t="shared" si="177"/>
        <v>1405.03</v>
      </c>
      <c r="AG506" s="42">
        <f t="shared" si="178"/>
        <v>1846.3284564400001</v>
      </c>
      <c r="AH506" s="42">
        <f t="shared" si="179"/>
        <v>1.3140847216358371</v>
      </c>
      <c r="AI506" s="57">
        <v>2</v>
      </c>
      <c r="AJ506" s="57">
        <v>3</v>
      </c>
      <c r="AK506" s="36">
        <v>6.47</v>
      </c>
      <c r="AL506" s="36">
        <v>23</v>
      </c>
      <c r="AM506" s="63">
        <v>6.7</v>
      </c>
      <c r="AN506" s="63">
        <v>9.4</v>
      </c>
      <c r="AO506" s="36">
        <v>0.23</v>
      </c>
      <c r="AP506" s="68">
        <v>0.28999999999999998</v>
      </c>
      <c r="AQ506" s="73">
        <f t="shared" si="155"/>
        <v>1744</v>
      </c>
      <c r="AR506" s="75">
        <f t="shared" si="156"/>
        <v>0.61410550458715596</v>
      </c>
      <c r="AS506" s="75">
        <f t="shared" si="157"/>
        <v>5.4472477064220183E-2</v>
      </c>
      <c r="AT506" s="75">
        <f t="shared" si="158"/>
        <v>0.33142201834862384</v>
      </c>
      <c r="AU506" s="26">
        <f t="shared" si="159"/>
        <v>7.2041166380789029E-2</v>
      </c>
      <c r="AV506" s="26">
        <f t="shared" si="160"/>
        <v>7.8902229845626073E-2</v>
      </c>
      <c r="AW506" s="26">
        <f t="shared" si="180"/>
        <v>0.87815126050420167</v>
      </c>
      <c r="AX506" s="24">
        <f t="shared" si="181"/>
        <v>0.88235294117647056</v>
      </c>
      <c r="AY506" s="77" t="str">
        <f t="shared" si="163"/>
        <v>10,0 ≤ Alca. Bruta &lt; 15,0 mg/L</v>
      </c>
      <c r="AZ506" s="77" t="str">
        <f t="shared" si="164"/>
        <v>10 ≤ Cor &lt;15 uC</v>
      </c>
      <c r="BA506" s="78" t="str">
        <f t="shared" si="165"/>
        <v>Turbidez &lt; 2,5 uT</v>
      </c>
      <c r="BB506" s="79" t="str">
        <f t="shared" si="166"/>
        <v>TOR &gt; BNN &gt; SM</v>
      </c>
      <c r="BC506" s="78" t="str">
        <f t="shared" si="167"/>
        <v>Tipo 1 (≤0,25) uT</v>
      </c>
      <c r="BD506" s="78" t="str">
        <f t="shared" si="168"/>
        <v>Tipo 1 (≤0,25) uT</v>
      </c>
      <c r="BE506" s="78" t="str">
        <f t="shared" si="169"/>
        <v>Tipo 2 (0,25-0,50) uT</v>
      </c>
      <c r="BF506" s="78" t="str">
        <f t="shared" si="170"/>
        <v>Tipo 2 (0,25-0,50) uT</v>
      </c>
      <c r="BG506" s="78" t="str">
        <f t="shared" si="171"/>
        <v>Tipo 1 (≤0,25) uT</v>
      </c>
    </row>
    <row r="507" spans="1:59" x14ac:dyDescent="0.2">
      <c r="A507" s="21">
        <v>46179</v>
      </c>
      <c r="B507" s="48">
        <v>0.8125</v>
      </c>
      <c r="C507" s="57">
        <v>1132</v>
      </c>
      <c r="D507" s="57">
        <v>94</v>
      </c>
      <c r="E507" s="57">
        <v>578</v>
      </c>
      <c r="F507" s="57">
        <v>1874</v>
      </c>
      <c r="G507" s="10" t="s">
        <v>78</v>
      </c>
      <c r="H507" s="63">
        <v>7.3</v>
      </c>
      <c r="I507" s="57">
        <v>90</v>
      </c>
      <c r="J507" s="57">
        <v>90</v>
      </c>
      <c r="K507" s="57">
        <v>90</v>
      </c>
      <c r="L507" s="63">
        <v>21.5</v>
      </c>
      <c r="M507" s="63">
        <v>6.9</v>
      </c>
      <c r="N507" s="36">
        <v>2.21</v>
      </c>
      <c r="O507" s="57">
        <v>10</v>
      </c>
      <c r="P507" s="63">
        <v>7.5</v>
      </c>
      <c r="Q507" s="36">
        <v>0.1</v>
      </c>
      <c r="R507" s="36">
        <v>22.36</v>
      </c>
      <c r="S507" s="36">
        <v>0.88</v>
      </c>
      <c r="T507" s="36">
        <v>0.7</v>
      </c>
      <c r="U507" s="42">
        <f t="shared" si="174"/>
        <v>1452.3500000000001</v>
      </c>
      <c r="V507" s="36">
        <f t="shared" si="175"/>
        <v>1695.510726</v>
      </c>
      <c r="W507" s="36">
        <f t="shared" si="176"/>
        <v>1.1674257073019587</v>
      </c>
      <c r="X507" s="57">
        <v>2</v>
      </c>
      <c r="Y507" s="57">
        <v>3</v>
      </c>
      <c r="Z507" s="63">
        <v>6.5</v>
      </c>
      <c r="AA507" s="57">
        <v>21</v>
      </c>
      <c r="AB507" s="63">
        <v>6.7</v>
      </c>
      <c r="AC507" s="63">
        <v>6.3</v>
      </c>
      <c r="AD507" s="10">
        <v>0.26</v>
      </c>
      <c r="AE507" s="36">
        <v>0.27</v>
      </c>
      <c r="AF507" s="42">
        <f t="shared" si="177"/>
        <v>1089.2625</v>
      </c>
      <c r="AG507" s="42">
        <f t="shared" si="178"/>
        <v>1856.9879380000002</v>
      </c>
      <c r="AH507" s="42">
        <f t="shared" si="179"/>
        <v>1.7048121439965116</v>
      </c>
      <c r="AI507" s="57">
        <v>2</v>
      </c>
      <c r="AJ507" s="57">
        <v>4</v>
      </c>
      <c r="AK507" s="36">
        <v>6.5</v>
      </c>
      <c r="AL507" s="36">
        <v>23</v>
      </c>
      <c r="AM507" s="63">
        <v>6.6</v>
      </c>
      <c r="AN507" s="63">
        <v>6.6</v>
      </c>
      <c r="AO507" s="36">
        <v>0.24</v>
      </c>
      <c r="AP507" s="68">
        <v>0.28000000000000003</v>
      </c>
      <c r="AQ507" s="73">
        <f t="shared" si="155"/>
        <v>1804</v>
      </c>
      <c r="AR507" s="75">
        <f t="shared" si="156"/>
        <v>0.6274944567627494</v>
      </c>
      <c r="AS507" s="75">
        <f t="shared" si="157"/>
        <v>5.2106430155210645E-2</v>
      </c>
      <c r="AT507" s="75">
        <f t="shared" si="158"/>
        <v>0.32039911308203989</v>
      </c>
      <c r="AU507" s="26">
        <f t="shared" si="159"/>
        <v>6.7235859124866598E-2</v>
      </c>
      <c r="AV507" s="26">
        <f t="shared" si="160"/>
        <v>9.818569903948772E-2</v>
      </c>
      <c r="AW507" s="26">
        <f t="shared" si="180"/>
        <v>0.87330316742081449</v>
      </c>
      <c r="AX507" s="24">
        <f t="shared" si="181"/>
        <v>0.87782805429864252</v>
      </c>
      <c r="AY507" s="77" t="str">
        <f t="shared" si="163"/>
        <v>7,5 ≤ Alc. Bruta &lt; 10,0 mg/L</v>
      </c>
      <c r="AZ507" s="77" t="str">
        <f t="shared" si="164"/>
        <v>10 ≤ Cor &lt;15 uC</v>
      </c>
      <c r="BA507" s="78" t="str">
        <f t="shared" si="165"/>
        <v>Turbidez &lt; 2,5 uT</v>
      </c>
      <c r="BB507" s="79" t="str">
        <f t="shared" si="166"/>
        <v>TOR &gt; BNN &gt; SM</v>
      </c>
      <c r="BC507" s="78" t="str">
        <f t="shared" si="167"/>
        <v>Tipo 2 (0,25-0,50) uT</v>
      </c>
      <c r="BD507" s="78" t="str">
        <f t="shared" si="168"/>
        <v>Tipo 1 (≤0,25) uT</v>
      </c>
      <c r="BE507" s="78" t="str">
        <f t="shared" si="169"/>
        <v>Tipo 2 (0,25-0,50) uT</v>
      </c>
      <c r="BF507" s="78" t="str">
        <f t="shared" si="170"/>
        <v>Tipo 2 (0,25-0,50) uT</v>
      </c>
      <c r="BG507" s="78" t="str">
        <f t="shared" si="171"/>
        <v>Tipo 1 (≤0,25) uT</v>
      </c>
    </row>
    <row r="508" spans="1:59" x14ac:dyDescent="0.2">
      <c r="A508" s="21">
        <v>46179</v>
      </c>
      <c r="B508" s="48">
        <v>0.89583333333333337</v>
      </c>
      <c r="C508" s="57">
        <v>1148</v>
      </c>
      <c r="D508" s="57">
        <v>92</v>
      </c>
      <c r="E508" s="57">
        <v>578</v>
      </c>
      <c r="F508" s="57">
        <v>1872</v>
      </c>
      <c r="G508" s="10" t="s">
        <v>78</v>
      </c>
      <c r="H508" s="63">
        <v>7.3</v>
      </c>
      <c r="I508" s="57">
        <v>90</v>
      </c>
      <c r="J508" s="57">
        <v>90</v>
      </c>
      <c r="K508" s="57">
        <v>90</v>
      </c>
      <c r="L508" s="63">
        <v>20.9</v>
      </c>
      <c r="M508" s="63">
        <v>7</v>
      </c>
      <c r="N508" s="36">
        <v>2.4700000000000002</v>
      </c>
      <c r="O508" s="57">
        <v>11</v>
      </c>
      <c r="P508" s="63">
        <v>8</v>
      </c>
      <c r="Q508" s="36">
        <v>0.09</v>
      </c>
      <c r="R508" s="36">
        <v>22.36</v>
      </c>
      <c r="S508" s="36">
        <v>0.88</v>
      </c>
      <c r="T508" s="36">
        <v>0.7</v>
      </c>
      <c r="U508" s="42">
        <f t="shared" si="174"/>
        <v>1531.92</v>
      </c>
      <c r="V508" s="36">
        <f t="shared" si="175"/>
        <v>1682.5339658399996</v>
      </c>
      <c r="W508" s="36">
        <f t="shared" si="176"/>
        <v>1.0983171221995924</v>
      </c>
      <c r="X508" s="57">
        <v>2</v>
      </c>
      <c r="Y508" s="57">
        <v>3</v>
      </c>
      <c r="Z508" s="63">
        <v>6.46</v>
      </c>
      <c r="AA508" s="57">
        <v>21</v>
      </c>
      <c r="AB508" s="63">
        <v>6.8</v>
      </c>
      <c r="AC508" s="63">
        <v>3.8</v>
      </c>
      <c r="AD508" s="10">
        <v>0.22</v>
      </c>
      <c r="AE508" s="36">
        <v>0.21</v>
      </c>
      <c r="AF508" s="42">
        <f t="shared" si="177"/>
        <v>1148.94</v>
      </c>
      <c r="AG508" s="42">
        <f t="shared" si="178"/>
        <v>1821.4563327999999</v>
      </c>
      <c r="AH508" s="42">
        <f t="shared" si="179"/>
        <v>1.5853363385381307</v>
      </c>
      <c r="AI508" s="57">
        <v>2</v>
      </c>
      <c r="AJ508" s="57">
        <v>4</v>
      </c>
      <c r="AK508" s="36">
        <v>6.4</v>
      </c>
      <c r="AL508" s="36">
        <v>23</v>
      </c>
      <c r="AM508" s="63">
        <v>6.7</v>
      </c>
      <c r="AN508" s="63">
        <v>6.7</v>
      </c>
      <c r="AO508" s="36">
        <v>0.12</v>
      </c>
      <c r="AP508" s="68">
        <v>0.21</v>
      </c>
      <c r="AQ508" s="73">
        <f t="shared" si="155"/>
        <v>1818</v>
      </c>
      <c r="AR508" s="75">
        <f t="shared" si="156"/>
        <v>0.63146314631463152</v>
      </c>
      <c r="AS508" s="75">
        <f t="shared" si="157"/>
        <v>5.0605060506050605E-2</v>
      </c>
      <c r="AT508" s="75">
        <f t="shared" si="158"/>
        <v>0.31793179317931791</v>
      </c>
      <c r="AU508" s="26">
        <f t="shared" si="159"/>
        <v>6.7307692307692304E-2</v>
      </c>
      <c r="AV508" s="26">
        <f t="shared" si="160"/>
        <v>9.8290598290598288E-2</v>
      </c>
      <c r="AW508" s="26">
        <f t="shared" si="180"/>
        <v>0.91497975708502022</v>
      </c>
      <c r="AX508" s="24">
        <f t="shared" si="181"/>
        <v>0.91497975708502022</v>
      </c>
      <c r="AY508" s="77" t="str">
        <f t="shared" si="163"/>
        <v>7,5 ≤ Alc. Bruta &lt; 10,0 mg/L</v>
      </c>
      <c r="AZ508" s="77" t="str">
        <f t="shared" si="164"/>
        <v>10 ≤ Cor &lt;15 uC</v>
      </c>
      <c r="BA508" s="78" t="str">
        <f t="shared" si="165"/>
        <v>Turbidez &lt; 2,5 uT</v>
      </c>
      <c r="BB508" s="79" t="str">
        <f t="shared" si="166"/>
        <v>TOR &gt; BNN &gt; SM</v>
      </c>
      <c r="BC508" s="78" t="str">
        <f t="shared" si="167"/>
        <v>Tipo 1 (≤0,25) uT</v>
      </c>
      <c r="BD508" s="78" t="str">
        <f t="shared" si="168"/>
        <v>Tipo 1 (≤0,25) uT</v>
      </c>
      <c r="BE508" s="78" t="str">
        <f t="shared" si="169"/>
        <v>Tipo 1 (≤0,25) uT</v>
      </c>
      <c r="BF508" s="78" t="str">
        <f t="shared" si="170"/>
        <v>Tipo 1 (≤0,25) uT</v>
      </c>
      <c r="BG508" s="78" t="str">
        <f t="shared" si="171"/>
        <v>Tipo 1 (≤0,25) uT</v>
      </c>
    </row>
    <row r="509" spans="1:59" x14ac:dyDescent="0.2">
      <c r="A509" s="21">
        <v>46180</v>
      </c>
      <c r="B509" s="48">
        <v>6.25E-2</v>
      </c>
      <c r="C509" s="57">
        <v>1103</v>
      </c>
      <c r="D509" s="57">
        <v>94</v>
      </c>
      <c r="E509" s="57">
        <v>578</v>
      </c>
      <c r="F509" s="57">
        <v>1797</v>
      </c>
      <c r="G509" s="10" t="s">
        <v>78</v>
      </c>
      <c r="H509" s="63">
        <v>7.3</v>
      </c>
      <c r="I509" s="57">
        <v>90</v>
      </c>
      <c r="J509" s="57">
        <v>90</v>
      </c>
      <c r="K509" s="57">
        <v>90</v>
      </c>
      <c r="L509" s="63">
        <v>20.6</v>
      </c>
      <c r="M509" s="63">
        <v>6.9</v>
      </c>
      <c r="N509" s="36">
        <v>2.48</v>
      </c>
      <c r="O509" s="57">
        <v>11</v>
      </c>
      <c r="P509" s="63">
        <v>7.3</v>
      </c>
      <c r="Q509" s="36">
        <v>0.1</v>
      </c>
      <c r="R509" s="36">
        <v>22.36</v>
      </c>
      <c r="S509" s="36">
        <v>0.88</v>
      </c>
      <c r="T509" s="36">
        <v>0.7</v>
      </c>
      <c r="U509" s="42">
        <f t="shared" si="174"/>
        <v>1473.54</v>
      </c>
      <c r="V509" s="36">
        <f t="shared" si="175"/>
        <v>1698.7549160399999</v>
      </c>
      <c r="W509" s="36">
        <f t="shared" si="176"/>
        <v>1.1528393637363084</v>
      </c>
      <c r="X509" s="57">
        <v>2</v>
      </c>
      <c r="Y509" s="57">
        <v>3</v>
      </c>
      <c r="Z509" s="63">
        <v>6.51</v>
      </c>
      <c r="AA509" s="57">
        <v>21</v>
      </c>
      <c r="AB509" s="63">
        <v>6.7</v>
      </c>
      <c r="AC509" s="63">
        <v>6.7</v>
      </c>
      <c r="AD509" s="10">
        <v>0.16</v>
      </c>
      <c r="AE509" s="36">
        <v>0.22</v>
      </c>
      <c r="AF509" s="42">
        <f t="shared" si="177"/>
        <v>1105.155</v>
      </c>
      <c r="AG509" s="42">
        <f t="shared" si="178"/>
        <v>1849.8816169599997</v>
      </c>
      <c r="AH509" s="42">
        <f t="shared" si="179"/>
        <v>1.6738662151100976</v>
      </c>
      <c r="AI509" s="57">
        <v>2</v>
      </c>
      <c r="AJ509" s="57">
        <v>4</v>
      </c>
      <c r="AK509" s="36">
        <v>6.48</v>
      </c>
      <c r="AL509" s="36">
        <v>23</v>
      </c>
      <c r="AM509" s="63">
        <v>6.7</v>
      </c>
      <c r="AN509" s="63">
        <v>6.7</v>
      </c>
      <c r="AO509" s="36">
        <v>0.14000000000000001</v>
      </c>
      <c r="AP509" s="68">
        <v>0.21</v>
      </c>
      <c r="AQ509" s="73">
        <f t="shared" si="155"/>
        <v>1775</v>
      </c>
      <c r="AR509" s="75">
        <f t="shared" si="156"/>
        <v>0.62140845070422535</v>
      </c>
      <c r="AS509" s="75">
        <f t="shared" si="157"/>
        <v>5.295774647887324E-2</v>
      </c>
      <c r="AT509" s="75">
        <f t="shared" si="158"/>
        <v>0.32563380281690141</v>
      </c>
      <c r="AU509" s="26">
        <f t="shared" si="159"/>
        <v>7.0116861435726208E-2</v>
      </c>
      <c r="AV509" s="26">
        <f t="shared" si="160"/>
        <v>0.10239287701725097</v>
      </c>
      <c r="AW509" s="26">
        <f t="shared" si="180"/>
        <v>0.91532258064516125</v>
      </c>
      <c r="AX509" s="24">
        <f t="shared" si="181"/>
        <v>0.91129032258064513</v>
      </c>
      <c r="AY509" s="77" t="str">
        <f t="shared" si="163"/>
        <v>5,0 ≤ Alc. Bruta &lt; 7,5 mg/L</v>
      </c>
      <c r="AZ509" s="77" t="str">
        <f t="shared" si="164"/>
        <v>10 ≤ Cor &lt;15 uC</v>
      </c>
      <c r="BA509" s="78" t="str">
        <f t="shared" si="165"/>
        <v>Turbidez &lt; 2,5 uT</v>
      </c>
      <c r="BB509" s="79" t="str">
        <f t="shared" si="166"/>
        <v>TOR &gt; BNN &gt; SM</v>
      </c>
      <c r="BC509" s="78" t="str">
        <f t="shared" si="167"/>
        <v>Tipo 1 (≤0,25) uT</v>
      </c>
      <c r="BD509" s="78" t="str">
        <f t="shared" si="168"/>
        <v>Tipo 1 (≤0,25) uT</v>
      </c>
      <c r="BE509" s="78" t="str">
        <f t="shared" si="169"/>
        <v>Tipo 1 (≤0,25) uT</v>
      </c>
      <c r="BF509" s="78" t="str">
        <f t="shared" si="170"/>
        <v>Tipo 1 (≤0,25) uT</v>
      </c>
      <c r="BG509" s="78" t="str">
        <f t="shared" si="171"/>
        <v>Tipo 1 (≤0,25) uT</v>
      </c>
    </row>
    <row r="510" spans="1:59" x14ac:dyDescent="0.2">
      <c r="A510" s="21">
        <v>46180</v>
      </c>
      <c r="B510" s="48">
        <v>0.14583333333333334</v>
      </c>
      <c r="C510" s="57">
        <v>1147</v>
      </c>
      <c r="D510" s="57">
        <v>86</v>
      </c>
      <c r="E510" s="57">
        <v>579</v>
      </c>
      <c r="F510" s="57">
        <v>1792</v>
      </c>
      <c r="G510" s="10" t="s">
        <v>78</v>
      </c>
      <c r="H510" s="63">
        <v>7.3</v>
      </c>
      <c r="I510" s="57">
        <v>90</v>
      </c>
      <c r="J510" s="57">
        <v>90</v>
      </c>
      <c r="K510" s="57">
        <v>90</v>
      </c>
      <c r="L510" s="63">
        <v>20.5</v>
      </c>
      <c r="M510" s="63">
        <v>7</v>
      </c>
      <c r="N510" s="36">
        <v>2.34</v>
      </c>
      <c r="O510" s="57">
        <v>11</v>
      </c>
      <c r="P510" s="63">
        <v>7.4</v>
      </c>
      <c r="Q510" s="36">
        <v>0.1</v>
      </c>
      <c r="R510" s="36">
        <v>22.36</v>
      </c>
      <c r="S510" s="36">
        <v>0.88</v>
      </c>
      <c r="T510" s="36">
        <v>0.7</v>
      </c>
      <c r="U510" s="42">
        <f t="shared" si="174"/>
        <v>1427.6266666666666</v>
      </c>
      <c r="V510" s="36">
        <f t="shared" si="175"/>
        <v>1698.7549160399999</v>
      </c>
      <c r="W510" s="36">
        <f t="shared" si="176"/>
        <v>1.1899153719273012</v>
      </c>
      <c r="X510" s="57">
        <v>2</v>
      </c>
      <c r="Y510" s="57">
        <v>3</v>
      </c>
      <c r="Z510" s="63">
        <v>6.51</v>
      </c>
      <c r="AA510" s="57">
        <v>21</v>
      </c>
      <c r="AB510" s="63">
        <v>6.8</v>
      </c>
      <c r="AC510" s="63">
        <v>6.8</v>
      </c>
      <c r="AD510" s="10">
        <v>0.17</v>
      </c>
      <c r="AE510" s="36">
        <v>0.22</v>
      </c>
      <c r="AF510" s="42">
        <f t="shared" si="177"/>
        <v>1070.7199999999998</v>
      </c>
      <c r="AG510" s="42">
        <f t="shared" si="178"/>
        <v>1839.2221353999998</v>
      </c>
      <c r="AH510" s="42">
        <f t="shared" si="179"/>
        <v>1.7177433272937839</v>
      </c>
      <c r="AI510" s="57">
        <v>2</v>
      </c>
      <c r="AJ510" s="57">
        <v>4</v>
      </c>
      <c r="AK510" s="36">
        <v>6.45</v>
      </c>
      <c r="AL510" s="36">
        <v>23</v>
      </c>
      <c r="AM510" s="63">
        <v>6.8</v>
      </c>
      <c r="AN510" s="63">
        <v>6.8</v>
      </c>
      <c r="AO510" s="36">
        <v>0.15</v>
      </c>
      <c r="AP510" s="68">
        <v>0.23</v>
      </c>
      <c r="AQ510" s="73">
        <f t="shared" si="155"/>
        <v>1812</v>
      </c>
      <c r="AR510" s="75">
        <f t="shared" si="156"/>
        <v>0.63300220750551872</v>
      </c>
      <c r="AS510" s="75">
        <f t="shared" si="157"/>
        <v>4.7461368653421633E-2</v>
      </c>
      <c r="AT510" s="75">
        <f t="shared" si="158"/>
        <v>0.31953642384105962</v>
      </c>
      <c r="AU510" s="26">
        <f t="shared" si="159"/>
        <v>7.03125E-2</v>
      </c>
      <c r="AV510" s="26">
        <f t="shared" si="160"/>
        <v>0.10267857142857142</v>
      </c>
      <c r="AW510" s="26">
        <f t="shared" si="180"/>
        <v>0.90170940170940173</v>
      </c>
      <c r="AX510" s="24">
        <f t="shared" si="181"/>
        <v>0.90598290598290598</v>
      </c>
      <c r="AY510" s="77" t="str">
        <f t="shared" si="163"/>
        <v>5,0 ≤ Alc. Bruta &lt; 7,5 mg/L</v>
      </c>
      <c r="AZ510" s="77" t="str">
        <f t="shared" si="164"/>
        <v>10 ≤ Cor &lt;15 uC</v>
      </c>
      <c r="BA510" s="78" t="str">
        <f t="shared" si="165"/>
        <v>Turbidez &lt; 2,5 uT</v>
      </c>
      <c r="BB510" s="79" t="str">
        <f t="shared" si="166"/>
        <v>TOR &gt; BNN &gt; SM</v>
      </c>
      <c r="BC510" s="78" t="str">
        <f t="shared" si="167"/>
        <v>Tipo 1 (≤0,25) uT</v>
      </c>
      <c r="BD510" s="78" t="str">
        <f t="shared" si="168"/>
        <v>Tipo 1 (≤0,25) uT</v>
      </c>
      <c r="BE510" s="78" t="str">
        <f t="shared" si="169"/>
        <v>Tipo 1 (≤0,25) uT</v>
      </c>
      <c r="BF510" s="78" t="str">
        <f t="shared" si="170"/>
        <v>Tipo 1 (≤0,25) uT</v>
      </c>
      <c r="BG510" s="78" t="str">
        <f t="shared" si="171"/>
        <v>Tipo 1 (≤0,25) uT</v>
      </c>
    </row>
    <row r="511" spans="1:59" ht="15.75" thickBot="1" x14ac:dyDescent="0.25">
      <c r="A511" s="21">
        <v>46180</v>
      </c>
      <c r="B511" s="51">
        <v>0.22916666666666666</v>
      </c>
      <c r="C511" s="58">
        <v>597</v>
      </c>
      <c r="D511" s="58">
        <v>85</v>
      </c>
      <c r="E511" s="58">
        <v>619</v>
      </c>
      <c r="F511" s="58">
        <v>1362</v>
      </c>
      <c r="G511" s="11" t="s">
        <v>78</v>
      </c>
      <c r="H511" s="64">
        <v>7.3</v>
      </c>
      <c r="I511" s="58">
        <v>90</v>
      </c>
      <c r="J511" s="58">
        <v>90</v>
      </c>
      <c r="K511" s="58">
        <v>90</v>
      </c>
      <c r="L511" s="64">
        <v>19.899999999999999</v>
      </c>
      <c r="M511" s="64">
        <v>6.8</v>
      </c>
      <c r="N511" s="37">
        <v>2.79</v>
      </c>
      <c r="O511" s="58">
        <v>11</v>
      </c>
      <c r="P511" s="64">
        <v>8.1</v>
      </c>
      <c r="Q511" s="37">
        <v>0.08</v>
      </c>
      <c r="R511" s="36">
        <v>22.36</v>
      </c>
      <c r="S511" s="36">
        <v>0.88</v>
      </c>
      <c r="T511" s="36">
        <v>0.7</v>
      </c>
      <c r="U511" s="42">
        <f t="shared" si="174"/>
        <v>1780.8150000000001</v>
      </c>
      <c r="V511" s="36">
        <f t="shared" si="175"/>
        <v>1698.7549160399999</v>
      </c>
      <c r="W511" s="36">
        <f t="shared" si="176"/>
        <v>0.95391992769602674</v>
      </c>
      <c r="X511" s="58">
        <v>1</v>
      </c>
      <c r="Y511" s="58">
        <v>2</v>
      </c>
      <c r="Z511" s="64">
        <v>6.51</v>
      </c>
      <c r="AA511" s="58">
        <v>21</v>
      </c>
      <c r="AB511" s="63">
        <v>6.7</v>
      </c>
      <c r="AC511" s="64">
        <v>6.9</v>
      </c>
      <c r="AD511" s="11">
        <v>0.21</v>
      </c>
      <c r="AE511" s="37">
        <v>0.23</v>
      </c>
      <c r="AF511" s="42">
        <f t="shared" si="177"/>
        <v>1187.21</v>
      </c>
      <c r="AG511" s="42">
        <f t="shared" si="178"/>
        <v>1919.1883151999998</v>
      </c>
      <c r="AH511" s="42">
        <f t="shared" si="179"/>
        <v>1.6165533605680542</v>
      </c>
      <c r="AI511" s="58">
        <v>1</v>
      </c>
      <c r="AJ511" s="58">
        <v>3</v>
      </c>
      <c r="AK511" s="37">
        <v>6.45</v>
      </c>
      <c r="AL511" s="37">
        <v>24</v>
      </c>
      <c r="AM511" s="64">
        <v>6.9</v>
      </c>
      <c r="AN511" s="64">
        <v>6.9</v>
      </c>
      <c r="AO511" s="37">
        <v>0.19</v>
      </c>
      <c r="AP511" s="69">
        <v>0.23</v>
      </c>
      <c r="AQ511" s="73">
        <f t="shared" si="155"/>
        <v>1301</v>
      </c>
      <c r="AR511" s="75">
        <f t="shared" si="156"/>
        <v>0.45887778631821674</v>
      </c>
      <c r="AS511" s="75">
        <f t="shared" si="157"/>
        <v>6.5334358186010758E-2</v>
      </c>
      <c r="AT511" s="75">
        <f t="shared" si="158"/>
        <v>0.47578785549577246</v>
      </c>
      <c r="AU511" s="26">
        <f t="shared" si="159"/>
        <v>6.1674008810572688E-2</v>
      </c>
      <c r="AV511" s="26">
        <f t="shared" si="160"/>
        <v>0.10572687224669604</v>
      </c>
      <c r="AW511" s="26">
        <f t="shared" si="180"/>
        <v>0.91756272401433692</v>
      </c>
      <c r="AX511" s="24">
        <f t="shared" si="181"/>
        <v>0.91756272401433692</v>
      </c>
      <c r="AY511" s="77" t="str">
        <f t="shared" si="163"/>
        <v>7,5 ≤ Alc. Bruta &lt; 10,0 mg/L</v>
      </c>
      <c r="AZ511" s="77" t="str">
        <f t="shared" si="164"/>
        <v>10 ≤ Cor &lt;15 uC</v>
      </c>
      <c r="BA511" s="78" t="str">
        <f t="shared" si="165"/>
        <v>2,5 ≤ Turb &lt; 5,0 uT</v>
      </c>
      <c r="BB511" s="79" t="str">
        <f t="shared" si="166"/>
        <v>Comb. diferentes</v>
      </c>
      <c r="BC511" s="78" t="str">
        <f t="shared" si="167"/>
        <v>Tipo 1 (≤0,25) uT</v>
      </c>
      <c r="BD511" s="78" t="str">
        <f t="shared" si="168"/>
        <v>Tipo 1 (≤0,25) uT</v>
      </c>
      <c r="BE511" s="78" t="str">
        <f t="shared" si="169"/>
        <v>Tipo 1 (≤0,25) uT</v>
      </c>
      <c r="BF511" s="78" t="str">
        <f t="shared" si="170"/>
        <v>Tipo 1 (≤0,25) uT</v>
      </c>
      <c r="BG511" s="78" t="str">
        <f t="shared" si="171"/>
        <v>Tipo 1 (≤0,25) uT</v>
      </c>
    </row>
    <row r="512" spans="1:59" x14ac:dyDescent="0.2">
      <c r="A512" s="21">
        <v>46180</v>
      </c>
      <c r="B512" s="52">
        <v>0.3125</v>
      </c>
      <c r="C512" s="59">
        <v>595</v>
      </c>
      <c r="D512" s="57">
        <v>84</v>
      </c>
      <c r="E512" s="59">
        <v>617</v>
      </c>
      <c r="F512" s="59">
        <v>1367</v>
      </c>
      <c r="G512" s="9" t="s">
        <v>78</v>
      </c>
      <c r="H512" s="65">
        <v>7.3</v>
      </c>
      <c r="I512" s="59">
        <v>90</v>
      </c>
      <c r="J512" s="59">
        <v>90</v>
      </c>
      <c r="K512" s="59">
        <v>90</v>
      </c>
      <c r="L512" s="65">
        <v>19.8</v>
      </c>
      <c r="M512" s="65">
        <v>6.9</v>
      </c>
      <c r="N512" s="38">
        <v>2.37</v>
      </c>
      <c r="O512" s="59">
        <v>11</v>
      </c>
      <c r="P512" s="65">
        <v>9.9</v>
      </c>
      <c r="Q512" s="38">
        <v>0.08</v>
      </c>
      <c r="R512" s="36">
        <v>22.36</v>
      </c>
      <c r="S512" s="36">
        <v>0.88</v>
      </c>
      <c r="T512" s="36">
        <v>0.7</v>
      </c>
      <c r="U512" s="42">
        <f t="shared" si="174"/>
        <v>1643.8175000000001</v>
      </c>
      <c r="V512" s="36">
        <f t="shared" si="175"/>
        <v>1788.0693990744001</v>
      </c>
      <c r="W512" s="36">
        <f t="shared" si="176"/>
        <v>1.0877542057280689</v>
      </c>
      <c r="X512" s="59">
        <v>1</v>
      </c>
      <c r="Y512" s="59">
        <v>2</v>
      </c>
      <c r="Z512" s="65">
        <v>6.53</v>
      </c>
      <c r="AA512" s="59">
        <v>22.02</v>
      </c>
      <c r="AB512" s="65">
        <v>6.8</v>
      </c>
      <c r="AC512" s="65">
        <v>9.3000000000000007</v>
      </c>
      <c r="AD512" s="9">
        <v>0.17</v>
      </c>
      <c r="AE512" s="38">
        <v>0.28000000000000003</v>
      </c>
      <c r="AF512" s="42">
        <f t="shared" si="177"/>
        <v>1095.8783333333336</v>
      </c>
      <c r="AG512" s="42">
        <f t="shared" si="178"/>
        <v>1925.9604861639996</v>
      </c>
      <c r="AH512" s="42">
        <f t="shared" si="179"/>
        <v>1.7574583122797991</v>
      </c>
      <c r="AI512" s="59">
        <v>1</v>
      </c>
      <c r="AJ512" s="59">
        <v>3</v>
      </c>
      <c r="AK512" s="38">
        <v>6.49</v>
      </c>
      <c r="AL512" s="38">
        <v>23.9</v>
      </c>
      <c r="AM512" s="65">
        <v>6.7</v>
      </c>
      <c r="AN512" s="65">
        <v>9.1</v>
      </c>
      <c r="AO512" s="38">
        <v>0.15</v>
      </c>
      <c r="AP512" s="70">
        <v>0.25</v>
      </c>
      <c r="AQ512" s="73">
        <f t="shared" si="155"/>
        <v>1296</v>
      </c>
      <c r="AR512" s="75">
        <f t="shared" si="156"/>
        <v>0.45910493827160492</v>
      </c>
      <c r="AS512" s="75">
        <f t="shared" si="157"/>
        <v>6.4814814814814811E-2</v>
      </c>
      <c r="AT512" s="75">
        <f t="shared" si="158"/>
        <v>0.47608024691358025</v>
      </c>
      <c r="AU512" s="26">
        <f t="shared" si="159"/>
        <v>6.4433065106071691E-2</v>
      </c>
      <c r="AV512" s="26">
        <f t="shared" si="160"/>
        <v>0.10490124359912216</v>
      </c>
      <c r="AW512" s="26">
        <f t="shared" si="180"/>
        <v>0.89451476793248941</v>
      </c>
      <c r="AX512" s="24">
        <f t="shared" si="181"/>
        <v>0.88185654008438819</v>
      </c>
      <c r="AY512" s="77" t="str">
        <f t="shared" si="163"/>
        <v>7,5 ≤ Alc. Bruta &lt; 10,0 mg/L</v>
      </c>
      <c r="AZ512" s="77" t="str">
        <f t="shared" si="164"/>
        <v>10 ≤ Cor &lt;15 uC</v>
      </c>
      <c r="BA512" s="78" t="str">
        <f t="shared" si="165"/>
        <v>Turbidez &lt; 2,5 uT</v>
      </c>
      <c r="BB512" s="79" t="str">
        <f t="shared" si="166"/>
        <v>Comb. diferentes</v>
      </c>
      <c r="BC512" s="78" t="str">
        <f t="shared" si="167"/>
        <v>Tipo 1 (≤0,25) uT</v>
      </c>
      <c r="BD512" s="78" t="str">
        <f t="shared" si="168"/>
        <v>Tipo 1 (≤0,25) uT</v>
      </c>
      <c r="BE512" s="78" t="str">
        <f t="shared" si="169"/>
        <v>Tipo 2 (0,25-0,50) uT</v>
      </c>
      <c r="BF512" s="78" t="str">
        <f t="shared" si="170"/>
        <v>Tipo 1 (≤0,25) uT</v>
      </c>
      <c r="BG512" s="78" t="str">
        <f t="shared" si="171"/>
        <v>Tipo 1 (≤0,25) uT</v>
      </c>
    </row>
    <row r="513" spans="1:59" x14ac:dyDescent="0.2">
      <c r="A513" s="21">
        <v>46180</v>
      </c>
      <c r="B513" s="54">
        <v>0.39583333333333331</v>
      </c>
      <c r="C513" s="60">
        <v>564</v>
      </c>
      <c r="D513" s="57">
        <v>86</v>
      </c>
      <c r="E513" s="60">
        <v>619</v>
      </c>
      <c r="F513" s="60">
        <v>1255</v>
      </c>
      <c r="G513" s="27" t="s">
        <v>78</v>
      </c>
      <c r="H513" s="66">
        <v>7.3</v>
      </c>
      <c r="I513" s="60">
        <v>90</v>
      </c>
      <c r="J513" s="60">
        <v>90</v>
      </c>
      <c r="K513" s="60">
        <v>90</v>
      </c>
      <c r="L513" s="66">
        <v>20.3</v>
      </c>
      <c r="M513" s="66">
        <v>6.8</v>
      </c>
      <c r="N513" s="39">
        <v>2.38</v>
      </c>
      <c r="O513" s="60">
        <v>11</v>
      </c>
      <c r="P513" s="66">
        <v>10.199999999999999</v>
      </c>
      <c r="Q513" s="39">
        <v>0.08</v>
      </c>
      <c r="R513" s="36">
        <v>22.36</v>
      </c>
      <c r="S513" s="36">
        <v>0.88</v>
      </c>
      <c r="T513" s="36">
        <v>0.7</v>
      </c>
      <c r="U513" s="42">
        <f t="shared" si="174"/>
        <v>1512.2750000000001</v>
      </c>
      <c r="V513" s="36">
        <f t="shared" si="175"/>
        <v>1798.4036589064001</v>
      </c>
      <c r="W513" s="36">
        <f t="shared" si="176"/>
        <v>1.1892041188979519</v>
      </c>
      <c r="X513" s="60">
        <v>1</v>
      </c>
      <c r="Y513" s="60">
        <v>2</v>
      </c>
      <c r="Z513" s="66">
        <v>6.57</v>
      </c>
      <c r="AA513" s="60">
        <v>21.98</v>
      </c>
      <c r="AB513" s="66">
        <v>6.6</v>
      </c>
      <c r="AC513" s="66">
        <v>8.3000000000000007</v>
      </c>
      <c r="AD513" s="27">
        <v>0.2</v>
      </c>
      <c r="AE513" s="39">
        <v>0.33</v>
      </c>
      <c r="AF513" s="42">
        <f t="shared" si="177"/>
        <v>1008.1833333333334</v>
      </c>
      <c r="AG513" s="42">
        <f t="shared" si="178"/>
        <v>1925.4854743487999</v>
      </c>
      <c r="AH513" s="42">
        <f t="shared" si="179"/>
        <v>1.9098564821366482</v>
      </c>
      <c r="AI513" s="60">
        <v>1</v>
      </c>
      <c r="AJ513" s="60">
        <v>3</v>
      </c>
      <c r="AK513" s="39">
        <v>6.48</v>
      </c>
      <c r="AL513" s="39">
        <v>23.94</v>
      </c>
      <c r="AM513" s="66">
        <v>6.6</v>
      </c>
      <c r="AN513" s="66">
        <v>6.5</v>
      </c>
      <c r="AO513" s="39">
        <v>0.16</v>
      </c>
      <c r="AP513" s="71">
        <v>0.37</v>
      </c>
      <c r="AQ513" s="73">
        <f t="shared" si="155"/>
        <v>1269</v>
      </c>
      <c r="AR513" s="75">
        <f t="shared" si="156"/>
        <v>0.44444444444444442</v>
      </c>
      <c r="AS513" s="75">
        <f t="shared" si="157"/>
        <v>6.77698975571316E-2</v>
      </c>
      <c r="AT513" s="75">
        <f t="shared" si="158"/>
        <v>0.48778565799842394</v>
      </c>
      <c r="AU513" s="26">
        <f t="shared" si="159"/>
        <v>7.0055776892430283E-2</v>
      </c>
      <c r="AV513" s="26">
        <f t="shared" si="160"/>
        <v>0.11445418326693228</v>
      </c>
      <c r="AW513" s="26">
        <f t="shared" si="180"/>
        <v>0.84453781512605042</v>
      </c>
      <c r="AX513" s="24">
        <f t="shared" si="181"/>
        <v>0.8613445378151261</v>
      </c>
      <c r="AY513" s="77" t="str">
        <f t="shared" si="163"/>
        <v>10,0 ≤ Alca. Bruta &lt; 15,0 mg/L</v>
      </c>
      <c r="AZ513" s="77" t="str">
        <f t="shared" si="164"/>
        <v>10 ≤ Cor &lt;15 uC</v>
      </c>
      <c r="BA513" s="78" t="str">
        <f t="shared" si="165"/>
        <v>Turbidez &lt; 2,5 uT</v>
      </c>
      <c r="BB513" s="79" t="str">
        <f t="shared" si="166"/>
        <v>Comb. diferentes</v>
      </c>
      <c r="BC513" s="78" t="str">
        <f t="shared" si="167"/>
        <v>Tipo 1 (≤0,25) uT</v>
      </c>
      <c r="BD513" s="78" t="str">
        <f t="shared" si="168"/>
        <v>Tipo 1 (≤0,25) uT</v>
      </c>
      <c r="BE513" s="78" t="str">
        <f t="shared" si="169"/>
        <v>Tipo 2 (0,25-0,50) uT</v>
      </c>
      <c r="BF513" s="78" t="str">
        <f t="shared" si="170"/>
        <v>Tipo 2 (0,25-0,50) uT</v>
      </c>
      <c r="BG513" s="78" t="str">
        <f t="shared" si="171"/>
        <v>Tipo 1 (≤0,25) uT</v>
      </c>
    </row>
    <row r="514" spans="1:59" x14ac:dyDescent="0.2">
      <c r="A514" s="21">
        <v>46180</v>
      </c>
      <c r="B514" s="48">
        <v>0.47916666666666669</v>
      </c>
      <c r="C514" s="57">
        <v>582</v>
      </c>
      <c r="D514" s="57">
        <v>85</v>
      </c>
      <c r="E514" s="57">
        <v>620</v>
      </c>
      <c r="F514" s="57">
        <v>1241</v>
      </c>
      <c r="G514" s="10" t="s">
        <v>78</v>
      </c>
      <c r="H514" s="63">
        <v>7.3</v>
      </c>
      <c r="I514" s="57">
        <v>90</v>
      </c>
      <c r="J514" s="57">
        <v>90</v>
      </c>
      <c r="K514" s="57">
        <v>90</v>
      </c>
      <c r="L514" s="63">
        <v>20.5</v>
      </c>
      <c r="M514" s="63">
        <v>6.8</v>
      </c>
      <c r="N514" s="36">
        <v>2.2000000000000002</v>
      </c>
      <c r="O514" s="57">
        <v>10</v>
      </c>
      <c r="P514" s="63">
        <v>11</v>
      </c>
      <c r="Q514" s="36">
        <v>7.0000000000000007E-2</v>
      </c>
      <c r="R514" s="36">
        <v>22.36</v>
      </c>
      <c r="S514" s="36">
        <v>0.88</v>
      </c>
      <c r="T514" s="36">
        <v>0.7</v>
      </c>
      <c r="U514" s="42">
        <f t="shared" si="174"/>
        <v>1439.5600000000002</v>
      </c>
      <c r="V514" s="36">
        <f t="shared" si="175"/>
        <v>1760.1016108000001</v>
      </c>
      <c r="W514" s="36">
        <f t="shared" si="176"/>
        <v>1.2226663777821001</v>
      </c>
      <c r="X514" s="57">
        <v>1</v>
      </c>
      <c r="Y514" s="57">
        <v>2</v>
      </c>
      <c r="Z514" s="63">
        <v>6.5</v>
      </c>
      <c r="AA514" s="57">
        <v>21.8</v>
      </c>
      <c r="AB514" s="63">
        <v>6.7</v>
      </c>
      <c r="AC514" s="63">
        <v>8.5</v>
      </c>
      <c r="AD514" s="10">
        <v>0.15</v>
      </c>
      <c r="AE514" s="36">
        <v>0.28000000000000003</v>
      </c>
      <c r="AF514" s="42">
        <f t="shared" si="177"/>
        <v>959.70666666666682</v>
      </c>
      <c r="AG514" s="42">
        <f t="shared" si="178"/>
        <v>1939.9628087423998</v>
      </c>
      <c r="AH514" s="42">
        <f t="shared" si="179"/>
        <v>2.0214122461818884</v>
      </c>
      <c r="AI514" s="57">
        <v>1</v>
      </c>
      <c r="AJ514" s="57">
        <v>3</v>
      </c>
      <c r="AK514" s="36">
        <v>6.48</v>
      </c>
      <c r="AL514" s="36">
        <v>24.12</v>
      </c>
      <c r="AM514" s="63">
        <v>6.7</v>
      </c>
      <c r="AN514" s="63">
        <v>8.6</v>
      </c>
      <c r="AO514" s="36">
        <v>0.1</v>
      </c>
      <c r="AP514" s="68">
        <v>0.22</v>
      </c>
      <c r="AQ514" s="73">
        <f t="shared" ref="AQ514:AQ531" si="182">SUM(C514:E514)</f>
        <v>1287</v>
      </c>
      <c r="AR514" s="75">
        <f t="shared" ref="AR514:AR531" si="183">C514/AQ514</f>
        <v>0.45221445221445222</v>
      </c>
      <c r="AS514" s="75">
        <f t="shared" ref="AS514:AS531" si="184">D514/AQ514</f>
        <v>6.6045066045066048E-2</v>
      </c>
      <c r="AT514" s="75">
        <f t="shared" ref="AT514:AT531" si="185">E514/AQ514</f>
        <v>0.48174048174048173</v>
      </c>
      <c r="AU514" s="26">
        <f t="shared" ref="AU514:AU531" si="186">IF(AND(F514&lt;&gt;"",Y514&lt;&gt;""),AA514/(F514/2/Y514),"")</f>
        <v>7.0265914585012093E-2</v>
      </c>
      <c r="AV514" s="26">
        <f t="shared" ref="AV514:AV531" si="187">IF(AND(F514&lt;&gt;"",AJ514&lt;&gt;""),AL514/(F514/2/AJ514),"")</f>
        <v>0.11661563255439161</v>
      </c>
      <c r="AW514" s="26">
        <f t="shared" si="180"/>
        <v>0.9</v>
      </c>
      <c r="AX514" s="24">
        <f t="shared" si="181"/>
        <v>0.87272727272727268</v>
      </c>
      <c r="AY514" s="77" t="str">
        <f t="shared" ref="AY514:AY531" si="188">IF(P514="","",IF(P514&lt;2.5,"Alc. Bruta &lt; 2,5 mg/L",IF(P514&lt;5,"2,5 ≤ Alc. Bruta &lt; 5,0 mg/L",IF(P514&lt;7.5,"5,0 ≤ Alc. Bruta &lt; 7,5 mg/L",IF(P514&lt;10,"7,5 ≤ Alc. Bruta &lt; 10,0 mg/L",IF(P514&lt;15,"10,0 ≤ Alca. Bruta &lt; 15,0 mg/L","Alc. Bruta &gt; 15 mg/L"))))))</f>
        <v>10,0 ≤ Alca. Bruta &lt; 15,0 mg/L</v>
      </c>
      <c r="AZ514" s="77" t="str">
        <f t="shared" ref="AZ514:AZ531" si="189">IF(O514="","",IF(O514&lt;5,"Cor &lt;5 uC",IF(O514&lt;10,"5 ≤ Cor &lt; 10 uC",IF(O514&lt;15,"10 ≤ Cor &lt;15 uC",IF(O514&lt;30,"15 ≤ Cor &lt; 30 uC",IF(O514&lt;50,"30 ≤ Cor &lt; 50 uC","Cor &gt; 50 uC"))))))</f>
        <v>10 ≤ Cor &lt;15 uC</v>
      </c>
      <c r="BA514" s="78" t="str">
        <f t="shared" ref="BA514:BA531" si="190">IF(N514="","",IF(N514&lt;2.5,"Turbidez &lt; 2,5 uT",IF(N514&lt;5,"2,5 ≤ Turb &lt; 5,0 uT",IF(N514&lt;7.5,"5,0 ≤ Turb &lt; 7,5 uT",IF(N514&lt;10,"7,5 ≤ Turb &lt; 10,0 uT",IF(N514&lt;15,"10,0 ≤ Turb &lt; 15,0 uT","Turb &gt; 15 uT"))))))</f>
        <v>Turbidez &lt; 2,5 uT</v>
      </c>
      <c r="BB514" s="79" t="str">
        <f t="shared" ref="BB514:BB531" si="191">IF(AND(C514&gt;D514,D514&gt;E514),"TOR &gt; SM &gt; BNN",IF(AND(C514&gt;E514,E514&gt;D514),"TOR &gt; BNN &gt; SM",IF(AND(D514&gt;C514,C514&gt;E514),"SM &gt; TOR &gt; BNN",IF(AND(D514&gt;E514,E514&gt;C514),"SM &gt; BNN &gt; TOR",IF(AND(C514=D514,D514=E514),"TOR = SM = BNN","Comb. diferentes")))))</f>
        <v>Comb. diferentes</v>
      </c>
      <c r="BC514" s="78" t="str">
        <f t="shared" ref="BC514:BC531" si="192">IF(OR(AD514="",AP514="-"),"",IF(AD514&lt;=0.25,"Tipo 1 (≤0,25) uT",IF(AD514&lt;=0.5,"Tipo 2 (0,25-0,50) uT",IF(AD514&lt;=0.75,"Tipo 3 (0,50-0,75) uT","Tipo 4 (&gt;0,75) uT"))))</f>
        <v>Tipo 1 (≤0,25) uT</v>
      </c>
      <c r="BD514" s="78" t="str">
        <f t="shared" ref="BD514:BD531" si="193">IF(OR(AO514="",AY514="-"),"",IF(AO514&lt;=0.25,"Tipo 1 (≤0,25) uT",IF(AO514&lt;=0.5,"Tipo 2 (0,25-0,50) uT",IF(AO514&lt;=0.75,"Tipo 3 (0,50-0,75) uT","Tipo 4 (&gt;0,75) uT"))))</f>
        <v>Tipo 1 (≤0,25) uT</v>
      </c>
      <c r="BE514" s="78" t="str">
        <f t="shared" ref="BE514:BE521" si="194">IF(OR(AE514="",AP514="-"),"",IF(AE514&lt;=0.25,"Tipo 1 (≤0,25) uT",IF(AE514&lt;=0.5,"Tipo 2 (0,25-0,50) uT",IF(AE514&lt;=0.75,"Tipo 3 (0,50-0,75) uT","Tipo 4 (&gt;0,75) uT"))))</f>
        <v>Tipo 2 (0,25-0,50) uT</v>
      </c>
      <c r="BF514" s="78" t="str">
        <f t="shared" ref="BF514:BF521" si="195">IF(OR(AP514="",AP514="-"),"",IF(AP514&lt;=0.25,"Tipo 1 (≤0,25) uT",IF(AP514&lt;=0.5,"Tipo 2 (0,25-0,50) uT",IF(AP514&lt;=0.75,"Tipo 3 (0,50-0,75) uT","Tipo 4 (&gt;0,75) uT"))))</f>
        <v>Tipo 1 (≤0,25) uT</v>
      </c>
      <c r="BG514" s="78" t="str">
        <f t="shared" ref="BG514:BG531" si="196">IF(OR(Q514="",Q514="-"),"",IF(Q514&lt;=0.25,"Tipo 1 (≤0,25) uT",IF(Q514&lt;=0.5,"Tipo 2 (0,25-0,50) uT",IF(Q514&lt;=0.75,"Tipo 3 (0,50-0,75) uT","Tipo 4 (&gt;0,75) uT"))))</f>
        <v>Tipo 1 (≤0,25) uT</v>
      </c>
    </row>
    <row r="515" spans="1:59" x14ac:dyDescent="0.2">
      <c r="A515" s="21">
        <v>46180</v>
      </c>
      <c r="B515" s="48">
        <v>0.64583333333333337</v>
      </c>
      <c r="C515" s="57">
        <v>591</v>
      </c>
      <c r="D515" s="57">
        <v>79</v>
      </c>
      <c r="E515" s="57">
        <v>620</v>
      </c>
      <c r="F515" s="57">
        <v>1323</v>
      </c>
      <c r="G515" s="10" t="s">
        <v>78</v>
      </c>
      <c r="H515" s="63">
        <v>7.3</v>
      </c>
      <c r="I515" s="57">
        <v>90</v>
      </c>
      <c r="J515" s="57">
        <v>90</v>
      </c>
      <c r="K515" s="57">
        <v>90</v>
      </c>
      <c r="L515" s="63">
        <v>21.7</v>
      </c>
      <c r="M515" s="63">
        <v>6.9</v>
      </c>
      <c r="N515" s="36">
        <v>2.95</v>
      </c>
      <c r="O515" s="57">
        <v>12</v>
      </c>
      <c r="P515" s="63">
        <v>10.9</v>
      </c>
      <c r="Q515" s="36">
        <v>0.08</v>
      </c>
      <c r="R515" s="36">
        <v>22.36</v>
      </c>
      <c r="S515" s="36">
        <v>0.88</v>
      </c>
      <c r="T515" s="36">
        <v>0.7</v>
      </c>
      <c r="U515" s="42">
        <f t="shared" si="174"/>
        <v>1782.7425000000003</v>
      </c>
      <c r="V515" s="36">
        <f t="shared" si="175"/>
        <v>1743.0345320387996</v>
      </c>
      <c r="W515" s="36">
        <f t="shared" si="176"/>
        <v>0.97772647033365689</v>
      </c>
      <c r="X515" s="57">
        <v>1</v>
      </c>
      <c r="Y515" s="57">
        <v>2</v>
      </c>
      <c r="Z515" s="63">
        <v>6.49</v>
      </c>
      <c r="AA515" s="57">
        <v>21.63</v>
      </c>
      <c r="AB515" s="63">
        <v>6.8</v>
      </c>
      <c r="AC515" s="63">
        <v>8.9</v>
      </c>
      <c r="AD515" s="10">
        <v>0.18</v>
      </c>
      <c r="AE515" s="36">
        <v>0.28000000000000003</v>
      </c>
      <c r="AF515" s="42">
        <f t="shared" si="177"/>
        <v>1188.4950000000001</v>
      </c>
      <c r="AG515" s="42">
        <f t="shared" si="178"/>
        <v>1935.9413269663999</v>
      </c>
      <c r="AH515" s="42">
        <f t="shared" si="179"/>
        <v>1.6289015325822991</v>
      </c>
      <c r="AI515" s="57">
        <v>1</v>
      </c>
      <c r="AJ515" s="57">
        <v>3</v>
      </c>
      <c r="AK515" s="36">
        <v>6.48</v>
      </c>
      <c r="AL515" s="36">
        <v>24.07</v>
      </c>
      <c r="AM515" s="63">
        <v>6.8</v>
      </c>
      <c r="AN515" s="63">
        <v>9.1999999999999993</v>
      </c>
      <c r="AO515" s="36">
        <v>0.12</v>
      </c>
      <c r="AP515" s="68">
        <v>0.33</v>
      </c>
      <c r="AQ515" s="73">
        <f t="shared" si="182"/>
        <v>1290</v>
      </c>
      <c r="AR515" s="75">
        <f t="shared" si="183"/>
        <v>0.45813953488372094</v>
      </c>
      <c r="AS515" s="75">
        <f t="shared" si="184"/>
        <v>6.1240310077519379E-2</v>
      </c>
      <c r="AT515" s="75">
        <f t="shared" si="185"/>
        <v>0.48062015503875971</v>
      </c>
      <c r="AU515" s="26">
        <f t="shared" si="186"/>
        <v>6.5396825396825398E-2</v>
      </c>
      <c r="AV515" s="26">
        <f t="shared" si="187"/>
        <v>0.10916099773242631</v>
      </c>
      <c r="AW515" s="26">
        <f t="shared" si="180"/>
        <v>0.88813559322033897</v>
      </c>
      <c r="AX515" s="24">
        <f t="shared" si="181"/>
        <v>0.90508474576271181</v>
      </c>
      <c r="AY515" s="77" t="str">
        <f t="shared" si="188"/>
        <v>10,0 ≤ Alca. Bruta &lt; 15,0 mg/L</v>
      </c>
      <c r="AZ515" s="77" t="str">
        <f t="shared" si="189"/>
        <v>10 ≤ Cor &lt;15 uC</v>
      </c>
      <c r="BA515" s="78" t="str">
        <f t="shared" si="190"/>
        <v>2,5 ≤ Turb &lt; 5,0 uT</v>
      </c>
      <c r="BB515" s="79" t="str">
        <f t="shared" si="191"/>
        <v>Comb. diferentes</v>
      </c>
      <c r="BC515" s="78" t="str">
        <f t="shared" si="192"/>
        <v>Tipo 1 (≤0,25) uT</v>
      </c>
      <c r="BD515" s="78" t="str">
        <f t="shared" si="193"/>
        <v>Tipo 1 (≤0,25) uT</v>
      </c>
      <c r="BE515" s="78" t="str">
        <f t="shared" si="194"/>
        <v>Tipo 2 (0,25-0,50) uT</v>
      </c>
      <c r="BF515" s="78" t="str">
        <f t="shared" si="195"/>
        <v>Tipo 2 (0,25-0,50) uT</v>
      </c>
      <c r="BG515" s="78" t="str">
        <f t="shared" si="196"/>
        <v>Tipo 1 (≤0,25) uT</v>
      </c>
    </row>
    <row r="516" spans="1:59" x14ac:dyDescent="0.2">
      <c r="A516" s="21">
        <v>46180</v>
      </c>
      <c r="B516" s="48">
        <v>0.72916666666666663</v>
      </c>
      <c r="C516" s="57">
        <v>582</v>
      </c>
      <c r="D516" s="57">
        <v>87</v>
      </c>
      <c r="E516" s="57">
        <v>621</v>
      </c>
      <c r="F516" s="57">
        <v>1336</v>
      </c>
      <c r="G516" s="10" t="s">
        <v>78</v>
      </c>
      <c r="H516" s="63">
        <v>7.3</v>
      </c>
      <c r="I516" s="57">
        <v>90</v>
      </c>
      <c r="J516" s="57">
        <v>90</v>
      </c>
      <c r="K516" s="57">
        <v>90</v>
      </c>
      <c r="L516" s="63">
        <v>22</v>
      </c>
      <c r="M516" s="63">
        <v>6.9</v>
      </c>
      <c r="N516" s="36">
        <v>2.79</v>
      </c>
      <c r="O516" s="57">
        <v>10</v>
      </c>
      <c r="P516" s="63">
        <v>10.1</v>
      </c>
      <c r="Q516" s="36">
        <v>0.09</v>
      </c>
      <c r="R516" s="36">
        <v>22.36</v>
      </c>
      <c r="S516" s="36">
        <v>0.88</v>
      </c>
      <c r="T516" s="36">
        <v>0.7</v>
      </c>
      <c r="U516" s="42">
        <f t="shared" si="174"/>
        <v>1746.8200000000002</v>
      </c>
      <c r="V516" s="36">
        <f t="shared" si="175"/>
        <v>1426.6915658319999</v>
      </c>
      <c r="W516" s="36">
        <f t="shared" si="176"/>
        <v>0.81673645013910978</v>
      </c>
      <c r="X516" s="57">
        <v>1</v>
      </c>
      <c r="Y516" s="57">
        <v>2</v>
      </c>
      <c r="Z516" s="63">
        <v>5.51</v>
      </c>
      <c r="AA516" s="57">
        <v>21.8</v>
      </c>
      <c r="AB516" s="63">
        <v>6.8</v>
      </c>
      <c r="AC516" s="63">
        <v>8.6</v>
      </c>
      <c r="AD516" s="10">
        <v>0.11</v>
      </c>
      <c r="AE516" s="36">
        <v>0.25</v>
      </c>
      <c r="AF516" s="42">
        <f t="shared" si="177"/>
        <v>1164.5466666666666</v>
      </c>
      <c r="AG516" s="42">
        <f t="shared" si="178"/>
        <v>1930.7955334095998</v>
      </c>
      <c r="AH516" s="42">
        <f t="shared" si="179"/>
        <v>1.6579803872834062</v>
      </c>
      <c r="AI516" s="57">
        <v>1</v>
      </c>
      <c r="AJ516" s="57">
        <v>3</v>
      </c>
      <c r="AK516" s="36">
        <v>6.49</v>
      </c>
      <c r="AL516" s="36">
        <v>23.96</v>
      </c>
      <c r="AM516" s="63">
        <v>6.8</v>
      </c>
      <c r="AN516" s="63">
        <v>9.3000000000000007</v>
      </c>
      <c r="AO516" s="36">
        <v>0.17</v>
      </c>
      <c r="AP516" s="68">
        <v>0.23</v>
      </c>
      <c r="AQ516" s="73">
        <f t="shared" si="182"/>
        <v>1290</v>
      </c>
      <c r="AR516" s="75">
        <f t="shared" si="183"/>
        <v>0.4511627906976744</v>
      </c>
      <c r="AS516" s="75">
        <f t="shared" si="184"/>
        <v>6.7441860465116285E-2</v>
      </c>
      <c r="AT516" s="75">
        <f t="shared" si="185"/>
        <v>0.4813953488372093</v>
      </c>
      <c r="AU516" s="26">
        <f t="shared" si="186"/>
        <v>6.5269461077844315E-2</v>
      </c>
      <c r="AV516" s="26">
        <f t="shared" si="187"/>
        <v>0.10760479041916168</v>
      </c>
      <c r="AW516" s="26">
        <f t="shared" si="180"/>
        <v>0.91756272401433692</v>
      </c>
      <c r="AX516" s="24">
        <f t="shared" si="181"/>
        <v>0.91039426523297495</v>
      </c>
      <c r="AY516" s="77" t="str">
        <f t="shared" si="188"/>
        <v>10,0 ≤ Alca. Bruta &lt; 15,0 mg/L</v>
      </c>
      <c r="AZ516" s="77" t="str">
        <f t="shared" si="189"/>
        <v>10 ≤ Cor &lt;15 uC</v>
      </c>
      <c r="BA516" s="78" t="str">
        <f t="shared" si="190"/>
        <v>2,5 ≤ Turb &lt; 5,0 uT</v>
      </c>
      <c r="BB516" s="79" t="str">
        <f t="shared" si="191"/>
        <v>Comb. diferentes</v>
      </c>
      <c r="BC516" s="78" t="str">
        <f t="shared" si="192"/>
        <v>Tipo 1 (≤0,25) uT</v>
      </c>
      <c r="BD516" s="78" t="str">
        <f t="shared" si="193"/>
        <v>Tipo 1 (≤0,25) uT</v>
      </c>
      <c r="BE516" s="78" t="str">
        <f t="shared" si="194"/>
        <v>Tipo 1 (≤0,25) uT</v>
      </c>
      <c r="BF516" s="78" t="str">
        <f t="shared" si="195"/>
        <v>Tipo 1 (≤0,25) uT</v>
      </c>
      <c r="BG516" s="78" t="str">
        <f t="shared" si="196"/>
        <v>Tipo 1 (≤0,25) uT</v>
      </c>
    </row>
    <row r="517" spans="1:59" x14ac:dyDescent="0.2">
      <c r="A517" s="21">
        <v>46180</v>
      </c>
      <c r="B517" s="48">
        <v>0.8125</v>
      </c>
      <c r="C517" s="57">
        <v>1125</v>
      </c>
      <c r="D517" s="57">
        <v>94</v>
      </c>
      <c r="E517" s="57">
        <v>578</v>
      </c>
      <c r="F517" s="57">
        <v>1787</v>
      </c>
      <c r="G517" s="10" t="s">
        <v>78</v>
      </c>
      <c r="H517" s="63">
        <v>7.3</v>
      </c>
      <c r="I517" s="57">
        <v>90</v>
      </c>
      <c r="J517" s="57">
        <v>90</v>
      </c>
      <c r="K517" s="57">
        <v>90</v>
      </c>
      <c r="L517" s="63">
        <v>22.3</v>
      </c>
      <c r="M517" s="63">
        <v>6.9</v>
      </c>
      <c r="N517" s="36">
        <v>2.4700000000000002</v>
      </c>
      <c r="O517" s="57">
        <v>12</v>
      </c>
      <c r="P517" s="63">
        <v>10.5</v>
      </c>
      <c r="Q517" s="36">
        <v>0.09</v>
      </c>
      <c r="R517" s="36">
        <v>22.36</v>
      </c>
      <c r="S517" s="36">
        <v>0.88</v>
      </c>
      <c r="T517" s="36">
        <v>0.7</v>
      </c>
      <c r="U517" s="42">
        <f t="shared" si="174"/>
        <v>1096.77125</v>
      </c>
      <c r="V517" s="36">
        <f t="shared" si="175"/>
        <v>1776.2493320000001</v>
      </c>
      <c r="W517" s="36">
        <f t="shared" si="176"/>
        <v>1.6195257962861445</v>
      </c>
      <c r="X517" s="57">
        <v>2</v>
      </c>
      <c r="Y517" s="57">
        <v>4</v>
      </c>
      <c r="Z517" s="63">
        <v>6.5</v>
      </c>
      <c r="AA517" s="57">
        <v>22</v>
      </c>
      <c r="AB517" s="63">
        <v>6.8</v>
      </c>
      <c r="AC517" s="63">
        <v>9.1</v>
      </c>
      <c r="AD517" s="10">
        <v>0.19</v>
      </c>
      <c r="AE517" s="36">
        <v>0.31</v>
      </c>
      <c r="AF517" s="42">
        <f t="shared" si="177"/>
        <v>1462.3616666666667</v>
      </c>
      <c r="AG517" s="42">
        <f t="shared" si="178"/>
        <v>1937.7265440000001</v>
      </c>
      <c r="AH517" s="42">
        <f t="shared" si="179"/>
        <v>1.3250665605977545</v>
      </c>
      <c r="AI517" s="57">
        <v>2</v>
      </c>
      <c r="AJ517" s="57">
        <v>3</v>
      </c>
      <c r="AK517" s="36">
        <v>6.5</v>
      </c>
      <c r="AL517" s="36">
        <v>24</v>
      </c>
      <c r="AM517" s="63">
        <v>6.8</v>
      </c>
      <c r="AN517" s="63">
        <v>9.5</v>
      </c>
      <c r="AO517" s="36">
        <v>0.19</v>
      </c>
      <c r="AP517" s="68">
        <v>0.26</v>
      </c>
      <c r="AQ517" s="73">
        <f t="shared" si="182"/>
        <v>1797</v>
      </c>
      <c r="AR517" s="75">
        <f t="shared" si="183"/>
        <v>0.62604340567612693</v>
      </c>
      <c r="AS517" s="75">
        <f t="shared" si="184"/>
        <v>5.230940456316082E-2</v>
      </c>
      <c r="AT517" s="75">
        <f t="shared" si="185"/>
        <v>0.32164718976071227</v>
      </c>
      <c r="AU517" s="26">
        <f t="shared" si="186"/>
        <v>9.8489087856743152E-2</v>
      </c>
      <c r="AV517" s="26">
        <f t="shared" si="187"/>
        <v>8.0581980973698938E-2</v>
      </c>
      <c r="AW517" s="26">
        <f t="shared" si="180"/>
        <v>0.89473684210526316</v>
      </c>
      <c r="AX517" s="24">
        <f t="shared" si="181"/>
        <v>0.87449392712550611</v>
      </c>
      <c r="AY517" s="77" t="str">
        <f t="shared" si="188"/>
        <v>10,0 ≤ Alca. Bruta &lt; 15,0 mg/L</v>
      </c>
      <c r="AZ517" s="77" t="str">
        <f t="shared" si="189"/>
        <v>10 ≤ Cor &lt;15 uC</v>
      </c>
      <c r="BA517" s="78" t="str">
        <f t="shared" si="190"/>
        <v>Turbidez &lt; 2,5 uT</v>
      </c>
      <c r="BB517" s="79" t="str">
        <f t="shared" si="191"/>
        <v>TOR &gt; BNN &gt; SM</v>
      </c>
      <c r="BC517" s="78" t="str">
        <f t="shared" si="192"/>
        <v>Tipo 1 (≤0,25) uT</v>
      </c>
      <c r="BD517" s="78" t="str">
        <f t="shared" si="193"/>
        <v>Tipo 1 (≤0,25) uT</v>
      </c>
      <c r="BE517" s="78" t="str">
        <f t="shared" si="194"/>
        <v>Tipo 2 (0,25-0,50) uT</v>
      </c>
      <c r="BF517" s="78" t="str">
        <f t="shared" si="195"/>
        <v>Tipo 2 (0,25-0,50) uT</v>
      </c>
      <c r="BG517" s="78" t="str">
        <f t="shared" si="196"/>
        <v>Tipo 1 (≤0,25) uT</v>
      </c>
    </row>
    <row r="518" spans="1:59" x14ac:dyDescent="0.2">
      <c r="A518" s="21">
        <v>46180</v>
      </c>
      <c r="B518" s="48">
        <v>0.89583333333333337</v>
      </c>
      <c r="C518" s="57">
        <v>1113</v>
      </c>
      <c r="D518" s="57">
        <v>89</v>
      </c>
      <c r="E518" s="57">
        <v>577</v>
      </c>
      <c r="F518" s="57">
        <v>1802</v>
      </c>
      <c r="G518" s="10" t="s">
        <v>78</v>
      </c>
      <c r="H518" s="63">
        <v>7.3</v>
      </c>
      <c r="I518" s="57">
        <v>90</v>
      </c>
      <c r="J518" s="57">
        <v>90</v>
      </c>
      <c r="K518" s="57">
        <v>90</v>
      </c>
      <c r="L518" s="63">
        <v>21.7</v>
      </c>
      <c r="M518" s="63">
        <v>7</v>
      </c>
      <c r="N518" s="36">
        <v>2.82</v>
      </c>
      <c r="O518" s="57">
        <v>13</v>
      </c>
      <c r="P518" s="63">
        <v>10.7</v>
      </c>
      <c r="Q518" s="36">
        <v>0.09</v>
      </c>
      <c r="R518" s="36">
        <v>22.36</v>
      </c>
      <c r="S518" s="36">
        <v>0.88</v>
      </c>
      <c r="T518" s="36">
        <v>0.7</v>
      </c>
      <c r="U518" s="42">
        <f t="shared" si="174"/>
        <v>1184.8150000000001</v>
      </c>
      <c r="V518" s="36">
        <f t="shared" si="175"/>
        <v>1776.2493320000001</v>
      </c>
      <c r="W518" s="36">
        <f t="shared" si="176"/>
        <v>1.4991786329511358</v>
      </c>
      <c r="X518" s="57">
        <v>2</v>
      </c>
      <c r="Y518" s="57">
        <v>4</v>
      </c>
      <c r="Z518" s="63">
        <v>6.5</v>
      </c>
      <c r="AA518" s="57">
        <v>22</v>
      </c>
      <c r="AB518" s="63">
        <v>6.8</v>
      </c>
      <c r="AC518" s="63">
        <v>8.6999999999999993</v>
      </c>
      <c r="AD518" s="10">
        <v>0.17</v>
      </c>
      <c r="AE518" s="36">
        <v>0.2</v>
      </c>
      <c r="AF518" s="42">
        <f t="shared" si="177"/>
        <v>1579.7533333333331</v>
      </c>
      <c r="AG518" s="42">
        <f t="shared" si="178"/>
        <v>1937.7265440000001</v>
      </c>
      <c r="AH518" s="42">
        <f t="shared" si="179"/>
        <v>1.2266006996872931</v>
      </c>
      <c r="AI518" s="57">
        <v>2</v>
      </c>
      <c r="AJ518" s="57">
        <v>3</v>
      </c>
      <c r="AK518" s="36">
        <v>6.5</v>
      </c>
      <c r="AL518" s="36">
        <v>24</v>
      </c>
      <c r="AM518" s="63">
        <v>6.9</v>
      </c>
      <c r="AN518" s="63">
        <v>9.9</v>
      </c>
      <c r="AO518" s="36">
        <v>0.14000000000000001</v>
      </c>
      <c r="AP518" s="68">
        <v>0.2</v>
      </c>
      <c r="AQ518" s="73">
        <f t="shared" si="182"/>
        <v>1779</v>
      </c>
      <c r="AR518" s="75">
        <f t="shared" si="183"/>
        <v>0.62563237774030356</v>
      </c>
      <c r="AS518" s="75">
        <f t="shared" si="184"/>
        <v>5.0028105677346821E-2</v>
      </c>
      <c r="AT518" s="75">
        <f t="shared" si="185"/>
        <v>0.32433951658234961</v>
      </c>
      <c r="AU518" s="26">
        <f t="shared" si="186"/>
        <v>9.7669256381798006E-2</v>
      </c>
      <c r="AV518" s="26">
        <f t="shared" si="187"/>
        <v>7.9911209766925645E-2</v>
      </c>
      <c r="AW518" s="26">
        <f t="shared" si="180"/>
        <v>0.92907801418439717</v>
      </c>
      <c r="AX518" s="24">
        <f t="shared" si="181"/>
        <v>0.92907801418439717</v>
      </c>
      <c r="AY518" s="77" t="str">
        <f t="shared" si="188"/>
        <v>10,0 ≤ Alca. Bruta &lt; 15,0 mg/L</v>
      </c>
      <c r="AZ518" s="77" t="str">
        <f t="shared" si="189"/>
        <v>10 ≤ Cor &lt;15 uC</v>
      </c>
      <c r="BA518" s="78" t="str">
        <f t="shared" si="190"/>
        <v>2,5 ≤ Turb &lt; 5,0 uT</v>
      </c>
      <c r="BB518" s="79" t="str">
        <f t="shared" si="191"/>
        <v>TOR &gt; BNN &gt; SM</v>
      </c>
      <c r="BC518" s="78" t="str">
        <f t="shared" si="192"/>
        <v>Tipo 1 (≤0,25) uT</v>
      </c>
      <c r="BD518" s="78" t="str">
        <f t="shared" si="193"/>
        <v>Tipo 1 (≤0,25) uT</v>
      </c>
      <c r="BE518" s="78" t="str">
        <f t="shared" si="194"/>
        <v>Tipo 1 (≤0,25) uT</v>
      </c>
      <c r="BF518" s="78" t="str">
        <f t="shared" si="195"/>
        <v>Tipo 1 (≤0,25) uT</v>
      </c>
      <c r="BG518" s="78" t="str">
        <f t="shared" si="196"/>
        <v>Tipo 1 (≤0,25) uT</v>
      </c>
    </row>
    <row r="519" spans="1:59" x14ac:dyDescent="0.2">
      <c r="A519" s="21">
        <v>46181</v>
      </c>
      <c r="B519" s="48">
        <v>6.25E-2</v>
      </c>
      <c r="C519" s="57">
        <v>1099</v>
      </c>
      <c r="D519" s="57">
        <v>88</v>
      </c>
      <c r="E519" s="57">
        <v>578</v>
      </c>
      <c r="F519" s="57">
        <v>1804</v>
      </c>
      <c r="G519" s="10" t="s">
        <v>78</v>
      </c>
      <c r="H519" s="63">
        <v>7.3</v>
      </c>
      <c r="I519" s="57">
        <v>90</v>
      </c>
      <c r="J519" s="57">
        <v>90</v>
      </c>
      <c r="K519" s="57">
        <v>90</v>
      </c>
      <c r="L519" s="63">
        <v>21.9</v>
      </c>
      <c r="M519" s="63">
        <v>6.9</v>
      </c>
      <c r="N519" s="36">
        <v>2.2799999999999998</v>
      </c>
      <c r="O519" s="57">
        <v>13</v>
      </c>
      <c r="P519" s="63">
        <v>9</v>
      </c>
      <c r="Q519" s="36">
        <v>0.08</v>
      </c>
      <c r="R519" s="36">
        <v>22.36</v>
      </c>
      <c r="S519" s="36">
        <v>0.88</v>
      </c>
      <c r="T519" s="36">
        <v>0.7</v>
      </c>
      <c r="U519" s="42">
        <f t="shared" si="174"/>
        <v>1064.3599999999999</v>
      </c>
      <c r="V519" s="36">
        <f t="shared" si="175"/>
        <v>1531.0982944399998</v>
      </c>
      <c r="W519" s="36">
        <f t="shared" si="176"/>
        <v>1.4385154406779661</v>
      </c>
      <c r="X519" s="57">
        <v>2</v>
      </c>
      <c r="Y519" s="57">
        <v>4</v>
      </c>
      <c r="Z519" s="63">
        <v>6.49</v>
      </c>
      <c r="AA519" s="57">
        <v>19</v>
      </c>
      <c r="AB519" s="63">
        <v>6.6</v>
      </c>
      <c r="AC519" s="63">
        <v>6.6</v>
      </c>
      <c r="AD519" s="10">
        <v>0.19</v>
      </c>
      <c r="AE519" s="36">
        <v>0.2</v>
      </c>
      <c r="AF519" s="42">
        <f t="shared" si="177"/>
        <v>1419.1466666666668</v>
      </c>
      <c r="AG519" s="42">
        <f t="shared" si="178"/>
        <v>1842.7752959199995</v>
      </c>
      <c r="AH519" s="42">
        <f t="shared" si="179"/>
        <v>1.2985094065353824</v>
      </c>
      <c r="AI519" s="57">
        <v>2</v>
      </c>
      <c r="AJ519" s="57">
        <v>3</v>
      </c>
      <c r="AK519" s="36">
        <v>6.46</v>
      </c>
      <c r="AL519" s="36">
        <v>23</v>
      </c>
      <c r="AM519" s="63">
        <v>6.5</v>
      </c>
      <c r="AN519" s="63">
        <v>6.7</v>
      </c>
      <c r="AO519" s="36">
        <v>0.17</v>
      </c>
      <c r="AP519" s="68">
        <v>0.22</v>
      </c>
      <c r="AQ519" s="73">
        <f t="shared" si="182"/>
        <v>1765</v>
      </c>
      <c r="AR519" s="75">
        <f t="shared" si="183"/>
        <v>0.62266288951841364</v>
      </c>
      <c r="AS519" s="75">
        <f t="shared" si="184"/>
        <v>4.9858356940509913E-2</v>
      </c>
      <c r="AT519" s="75">
        <f t="shared" si="185"/>
        <v>0.32747875354107647</v>
      </c>
      <c r="AU519" s="26">
        <f t="shared" si="186"/>
        <v>8.4257206208425722E-2</v>
      </c>
      <c r="AV519" s="26">
        <f t="shared" si="187"/>
        <v>7.6496674057649663E-2</v>
      </c>
      <c r="AW519" s="26">
        <f t="shared" si="180"/>
        <v>0.90350877192982459</v>
      </c>
      <c r="AX519" s="24">
        <f t="shared" si="181"/>
        <v>0.91228070175438591</v>
      </c>
      <c r="AY519" s="77" t="str">
        <f t="shared" si="188"/>
        <v>7,5 ≤ Alc. Bruta &lt; 10,0 mg/L</v>
      </c>
      <c r="AZ519" s="77" t="str">
        <f t="shared" si="189"/>
        <v>10 ≤ Cor &lt;15 uC</v>
      </c>
      <c r="BA519" s="78" t="str">
        <f t="shared" si="190"/>
        <v>Turbidez &lt; 2,5 uT</v>
      </c>
      <c r="BB519" s="79" t="str">
        <f t="shared" si="191"/>
        <v>TOR &gt; BNN &gt; SM</v>
      </c>
      <c r="BC519" s="78" t="str">
        <f t="shared" si="192"/>
        <v>Tipo 1 (≤0,25) uT</v>
      </c>
      <c r="BD519" s="78" t="str">
        <f t="shared" si="193"/>
        <v>Tipo 1 (≤0,25) uT</v>
      </c>
      <c r="BE519" s="78" t="str">
        <f t="shared" si="194"/>
        <v>Tipo 1 (≤0,25) uT</v>
      </c>
      <c r="BF519" s="78" t="str">
        <f t="shared" si="195"/>
        <v>Tipo 1 (≤0,25) uT</v>
      </c>
      <c r="BG519" s="78" t="str">
        <f t="shared" si="196"/>
        <v>Tipo 1 (≤0,25) uT</v>
      </c>
    </row>
    <row r="520" spans="1:59" x14ac:dyDescent="0.2">
      <c r="A520" s="21">
        <v>46181</v>
      </c>
      <c r="B520" s="48">
        <v>0.14583333333333334</v>
      </c>
      <c r="C520" s="57">
        <v>1109</v>
      </c>
      <c r="D520" s="57">
        <v>84</v>
      </c>
      <c r="E520" s="57">
        <v>577</v>
      </c>
      <c r="F520" s="57">
        <v>1845</v>
      </c>
      <c r="G520" s="10" t="s">
        <v>78</v>
      </c>
      <c r="H520" s="63">
        <v>7.3</v>
      </c>
      <c r="I520" s="57">
        <v>90</v>
      </c>
      <c r="J520" s="57">
        <v>90</v>
      </c>
      <c r="K520" s="57">
        <v>90</v>
      </c>
      <c r="L520" s="63">
        <v>20.5</v>
      </c>
      <c r="M520" s="63">
        <v>6.9</v>
      </c>
      <c r="N520" s="36">
        <v>2.3199999999999998</v>
      </c>
      <c r="O520" s="57">
        <v>10</v>
      </c>
      <c r="P520" s="63">
        <v>8.1</v>
      </c>
      <c r="Q520" s="36">
        <v>7.0000000000000007E-2</v>
      </c>
      <c r="R520" s="36">
        <v>22.36</v>
      </c>
      <c r="S520" s="36">
        <v>0.88</v>
      </c>
      <c r="T520" s="36">
        <v>0.7</v>
      </c>
      <c r="U520" s="42">
        <f t="shared" si="174"/>
        <v>1097.7749999999999</v>
      </c>
      <c r="V520" s="36">
        <f t="shared" si="175"/>
        <v>1534.0335140000002</v>
      </c>
      <c r="W520" s="36">
        <f t="shared" si="176"/>
        <v>1.3974024859374647</v>
      </c>
      <c r="X520" s="57">
        <v>2</v>
      </c>
      <c r="Y520" s="57">
        <v>4</v>
      </c>
      <c r="Z520" s="63">
        <v>6.5</v>
      </c>
      <c r="AA520" s="57">
        <v>19</v>
      </c>
      <c r="AB520" s="63">
        <v>6.9</v>
      </c>
      <c r="AC520" s="63">
        <v>6.2</v>
      </c>
      <c r="AD520" s="10">
        <v>0.12</v>
      </c>
      <c r="AE520" s="36">
        <v>0.19</v>
      </c>
      <c r="AF520" s="42">
        <f t="shared" si="177"/>
        <v>1463.7</v>
      </c>
      <c r="AG520" s="42">
        <f t="shared" si="178"/>
        <v>1937.7265440000001</v>
      </c>
      <c r="AH520" s="42">
        <f t="shared" si="179"/>
        <v>1.3238549866775979</v>
      </c>
      <c r="AI520" s="57">
        <v>2</v>
      </c>
      <c r="AJ520" s="57">
        <v>3</v>
      </c>
      <c r="AK520" s="36">
        <v>6.5</v>
      </c>
      <c r="AL520" s="36">
        <v>24</v>
      </c>
      <c r="AM520" s="63">
        <v>6.7</v>
      </c>
      <c r="AN520" s="63">
        <v>6.6</v>
      </c>
      <c r="AO520" s="36">
        <v>0.18</v>
      </c>
      <c r="AP520" s="68">
        <v>0.24</v>
      </c>
      <c r="AQ520" s="73">
        <f t="shared" si="182"/>
        <v>1770</v>
      </c>
      <c r="AR520" s="75">
        <f t="shared" si="183"/>
        <v>0.62655367231638415</v>
      </c>
      <c r="AS520" s="75">
        <f t="shared" si="184"/>
        <v>4.7457627118644069E-2</v>
      </c>
      <c r="AT520" s="75">
        <f t="shared" si="185"/>
        <v>0.32598870056497176</v>
      </c>
      <c r="AU520" s="26">
        <f t="shared" si="186"/>
        <v>8.2384823848238489E-2</v>
      </c>
      <c r="AV520" s="26">
        <f t="shared" si="187"/>
        <v>7.8048780487804878E-2</v>
      </c>
      <c r="AW520" s="26">
        <f t="shared" si="180"/>
        <v>0.89655172413793105</v>
      </c>
      <c r="AX520" s="24">
        <f t="shared" si="181"/>
        <v>0.9181034482758621</v>
      </c>
      <c r="AY520" s="77" t="str">
        <f t="shared" si="188"/>
        <v>7,5 ≤ Alc. Bruta &lt; 10,0 mg/L</v>
      </c>
      <c r="AZ520" s="77" t="str">
        <f t="shared" si="189"/>
        <v>10 ≤ Cor &lt;15 uC</v>
      </c>
      <c r="BA520" s="78" t="str">
        <f t="shared" si="190"/>
        <v>Turbidez &lt; 2,5 uT</v>
      </c>
      <c r="BB520" s="79" t="str">
        <f t="shared" si="191"/>
        <v>TOR &gt; BNN &gt; SM</v>
      </c>
      <c r="BC520" s="78" t="str">
        <f t="shared" si="192"/>
        <v>Tipo 1 (≤0,25) uT</v>
      </c>
      <c r="BD520" s="78" t="str">
        <f t="shared" si="193"/>
        <v>Tipo 1 (≤0,25) uT</v>
      </c>
      <c r="BE520" s="78" t="str">
        <f t="shared" si="194"/>
        <v>Tipo 1 (≤0,25) uT</v>
      </c>
      <c r="BF520" s="78" t="str">
        <f t="shared" si="195"/>
        <v>Tipo 1 (≤0,25) uT</v>
      </c>
      <c r="BG520" s="78" t="str">
        <f t="shared" si="196"/>
        <v>Tipo 1 (≤0,25) uT</v>
      </c>
    </row>
    <row r="521" spans="1:59" ht="15.75" thickBot="1" x14ac:dyDescent="0.25">
      <c r="A521" s="21">
        <v>46181</v>
      </c>
      <c r="B521" s="51">
        <v>0.22916666666666666</v>
      </c>
      <c r="C521" s="58">
        <v>1141</v>
      </c>
      <c r="D521" s="58">
        <v>92</v>
      </c>
      <c r="E521" s="58">
        <v>579</v>
      </c>
      <c r="F521" s="58">
        <v>1838</v>
      </c>
      <c r="G521" s="11" t="s">
        <v>78</v>
      </c>
      <c r="H521" s="64">
        <v>7.3</v>
      </c>
      <c r="I521" s="58">
        <v>90</v>
      </c>
      <c r="J521" s="58">
        <v>90</v>
      </c>
      <c r="K521" s="58">
        <v>90</v>
      </c>
      <c r="L521" s="64">
        <v>20.100000000000001</v>
      </c>
      <c r="M521" s="64">
        <v>6.9</v>
      </c>
      <c r="N521" s="37">
        <v>2.34</v>
      </c>
      <c r="O521" s="58">
        <v>11</v>
      </c>
      <c r="P521" s="64">
        <v>8.6</v>
      </c>
      <c r="Q521" s="37">
        <v>7.0000000000000007E-2</v>
      </c>
      <c r="R521" s="36">
        <v>22.36</v>
      </c>
      <c r="S521" s="36">
        <v>0.88</v>
      </c>
      <c r="T521" s="36">
        <v>0.7</v>
      </c>
      <c r="U521" s="42">
        <f t="shared" si="174"/>
        <v>1098.2049999999999</v>
      </c>
      <c r="V521" s="36">
        <f t="shared" si="175"/>
        <v>1534.0335140000002</v>
      </c>
      <c r="W521" s="36">
        <f t="shared" si="176"/>
        <v>1.3968553357524327</v>
      </c>
      <c r="X521" s="58">
        <v>2</v>
      </c>
      <c r="Y521" s="58">
        <v>4</v>
      </c>
      <c r="Z521" s="64">
        <v>6.5</v>
      </c>
      <c r="AA521" s="58">
        <v>19</v>
      </c>
      <c r="AB521" s="63">
        <v>6.9</v>
      </c>
      <c r="AC521" s="64">
        <v>6.8</v>
      </c>
      <c r="AD521" s="11">
        <v>0.17</v>
      </c>
      <c r="AE521" s="37">
        <v>0.2</v>
      </c>
      <c r="AF521" s="42">
        <f t="shared" si="177"/>
        <v>1464.2733333333331</v>
      </c>
      <c r="AG521" s="42">
        <f t="shared" si="178"/>
        <v>1937.7265440000001</v>
      </c>
      <c r="AH521" s="42">
        <f t="shared" si="179"/>
        <v>1.3233366338707258</v>
      </c>
      <c r="AI521" s="58">
        <v>2</v>
      </c>
      <c r="AJ521" s="58">
        <v>3</v>
      </c>
      <c r="AK521" s="37">
        <v>6.5</v>
      </c>
      <c r="AL521" s="37">
        <v>24</v>
      </c>
      <c r="AM521" s="64">
        <v>6.6</v>
      </c>
      <c r="AN521" s="64">
        <v>6.6</v>
      </c>
      <c r="AO521" s="37">
        <v>0.2</v>
      </c>
      <c r="AP521" s="69">
        <v>0.25</v>
      </c>
      <c r="AQ521" s="73">
        <f t="shared" si="182"/>
        <v>1812</v>
      </c>
      <c r="AR521" s="75">
        <f t="shared" si="183"/>
        <v>0.62969094922737312</v>
      </c>
      <c r="AS521" s="75">
        <f t="shared" si="184"/>
        <v>5.0772626931567331E-2</v>
      </c>
      <c r="AT521" s="75">
        <f t="shared" si="185"/>
        <v>0.31953642384105962</v>
      </c>
      <c r="AU521" s="26">
        <f t="shared" si="186"/>
        <v>8.2698585418933629E-2</v>
      </c>
      <c r="AV521" s="26">
        <f t="shared" si="187"/>
        <v>7.8346028291621336E-2</v>
      </c>
      <c r="AW521" s="26">
        <f t="shared" si="180"/>
        <v>0.8931623931623931</v>
      </c>
      <c r="AX521" s="24">
        <f t="shared" si="181"/>
        <v>0.9145299145299145</v>
      </c>
      <c r="AY521" s="77" t="str">
        <f t="shared" si="188"/>
        <v>7,5 ≤ Alc. Bruta &lt; 10,0 mg/L</v>
      </c>
      <c r="AZ521" s="77" t="str">
        <f t="shared" si="189"/>
        <v>10 ≤ Cor &lt;15 uC</v>
      </c>
      <c r="BA521" s="78" t="str">
        <f t="shared" si="190"/>
        <v>Turbidez &lt; 2,5 uT</v>
      </c>
      <c r="BB521" s="79" t="str">
        <f t="shared" si="191"/>
        <v>TOR &gt; BNN &gt; SM</v>
      </c>
      <c r="BC521" s="78" t="str">
        <f t="shared" si="192"/>
        <v>Tipo 1 (≤0,25) uT</v>
      </c>
      <c r="BD521" s="78" t="str">
        <f t="shared" si="193"/>
        <v>Tipo 1 (≤0,25) uT</v>
      </c>
      <c r="BE521" s="78" t="str">
        <f t="shared" si="194"/>
        <v>Tipo 1 (≤0,25) uT</v>
      </c>
      <c r="BF521" s="78" t="str">
        <f t="shared" si="195"/>
        <v>Tipo 1 (≤0,25) uT</v>
      </c>
      <c r="BG521" s="78" t="str">
        <f t="shared" si="196"/>
        <v>Tipo 1 (≤0,25) uT</v>
      </c>
    </row>
    <row r="522" spans="1:59" x14ac:dyDescent="0.2">
      <c r="A522" s="21">
        <v>46181</v>
      </c>
      <c r="B522" s="52">
        <v>0.3125</v>
      </c>
      <c r="C522" s="59">
        <v>1453</v>
      </c>
      <c r="D522" s="57">
        <v>86</v>
      </c>
      <c r="E522" s="59">
        <v>387</v>
      </c>
      <c r="F522" s="59">
        <v>1986</v>
      </c>
      <c r="G522" s="9" t="s">
        <v>78</v>
      </c>
      <c r="H522" s="65">
        <v>7.3</v>
      </c>
      <c r="I522" s="59">
        <v>90</v>
      </c>
      <c r="J522" s="59">
        <v>90</v>
      </c>
      <c r="K522" s="59">
        <v>90</v>
      </c>
      <c r="L522" s="65">
        <v>21.9</v>
      </c>
      <c r="M522" s="65">
        <v>6.7</v>
      </c>
      <c r="N522" s="38">
        <v>3.56</v>
      </c>
      <c r="O522" s="59">
        <v>18</v>
      </c>
      <c r="P522" s="65">
        <v>6.7</v>
      </c>
      <c r="Q522" s="38">
        <v>0.1</v>
      </c>
      <c r="R522" s="36">
        <v>22.36</v>
      </c>
      <c r="S522" s="36">
        <v>0.88</v>
      </c>
      <c r="T522" s="36">
        <v>0.7</v>
      </c>
      <c r="U522" s="42">
        <f t="shared" si="174"/>
        <v>1986</v>
      </c>
      <c r="V522" s="36">
        <f t="shared" si="175"/>
        <v>1525.2278553200001</v>
      </c>
      <c r="W522" s="36">
        <f t="shared" si="176"/>
        <v>0.76798985665659625</v>
      </c>
      <c r="X522" s="59">
        <v>4</v>
      </c>
      <c r="Y522" s="59">
        <v>3</v>
      </c>
      <c r="Z522" s="65">
        <v>6.47</v>
      </c>
      <c r="AA522" s="59">
        <v>19</v>
      </c>
      <c r="AB522" s="65">
        <v>6.6</v>
      </c>
      <c r="AC522" s="65">
        <v>6.1</v>
      </c>
      <c r="AD522" s="9">
        <v>0.18</v>
      </c>
      <c r="AE522" s="38">
        <v>0.56000000000000005</v>
      </c>
      <c r="AF522" s="42">
        <f t="shared" si="177"/>
        <v>1489.5</v>
      </c>
      <c r="AG522" s="42">
        <f t="shared" si="178"/>
        <v>1842.7752959199995</v>
      </c>
      <c r="AH522" s="42">
        <f t="shared" si="179"/>
        <v>1.2371771036723729</v>
      </c>
      <c r="AI522" s="59">
        <v>3</v>
      </c>
      <c r="AJ522" s="59">
        <v>4</v>
      </c>
      <c r="AK522" s="38">
        <v>6.46</v>
      </c>
      <c r="AL522" s="38">
        <v>23</v>
      </c>
      <c r="AM522" s="65">
        <v>6.5</v>
      </c>
      <c r="AN522" s="65">
        <v>6.8</v>
      </c>
      <c r="AO522" s="38">
        <v>0.3</v>
      </c>
      <c r="AP522" s="70">
        <v>0.32</v>
      </c>
      <c r="AQ522" s="73">
        <f t="shared" si="182"/>
        <v>1926</v>
      </c>
      <c r="AR522" s="75">
        <f t="shared" si="183"/>
        <v>0.75441329179646932</v>
      </c>
      <c r="AS522" s="75">
        <f t="shared" si="184"/>
        <v>4.46521287642783E-2</v>
      </c>
      <c r="AT522" s="75">
        <f t="shared" si="185"/>
        <v>0.20093457943925233</v>
      </c>
      <c r="AU522" s="26">
        <f t="shared" si="186"/>
        <v>5.7401812688821753E-2</v>
      </c>
      <c r="AV522" s="26">
        <f t="shared" si="187"/>
        <v>9.264853977844914E-2</v>
      </c>
      <c r="AW522" s="26">
        <f t="shared" si="180"/>
        <v>0.9101123595505618</v>
      </c>
      <c r="AX522" s="24">
        <f t="shared" si="181"/>
        <v>0.84269662921348309</v>
      </c>
      <c r="AY522" s="77" t="str">
        <f t="shared" si="188"/>
        <v>5,0 ≤ Alc. Bruta &lt; 7,5 mg/L</v>
      </c>
      <c r="AZ522" s="77" t="str">
        <f t="shared" si="189"/>
        <v>15 ≤ Cor &lt; 30 uC</v>
      </c>
      <c r="BA522" s="78" t="str">
        <f t="shared" si="190"/>
        <v>2,5 ≤ Turb &lt; 5,0 uT</v>
      </c>
      <c r="BB522" s="79" t="str">
        <f t="shared" si="191"/>
        <v>TOR &gt; BNN &gt; SM</v>
      </c>
      <c r="BC522" s="78" t="str">
        <f t="shared" si="192"/>
        <v>Tipo 1 (≤0,25) uT</v>
      </c>
      <c r="BD522" s="78" t="str">
        <f t="shared" si="193"/>
        <v>Tipo 2 (0,25-0,50) uT</v>
      </c>
      <c r="BE522" s="78" t="str">
        <f t="shared" ref="BE522:BE531" si="197">IF(OR(AE522="",AP522="-"),"",IF(AE522&lt;=0.25,"Tipo 1 (≤0,25) uT",IF(AE522&lt;=0.5,"Tipo 2 (0,25-0,50) uT",IF(AE522&lt;=0.75,"Tipo 3 (0,50-0,75) uT","Tipo 4 (&gt;0,75) uT"))))</f>
        <v>Tipo 3 (0,50-0,75) uT</v>
      </c>
      <c r="BF522" s="78" t="str">
        <f t="shared" ref="BF522:BF531" si="198">IF(OR(AP522="",AP522="-"),"",IF(AP522&lt;=0.25,"Tipo 1 (≤0,25) uT",IF(AP522&lt;=0.5,"Tipo 2 (0,25-0,50) uT",IF(AP522&lt;=0.75,"Tipo 3 (0,50-0,75) uT","Tipo 4 (&gt;0,75) uT"))))</f>
        <v>Tipo 2 (0,25-0,50) uT</v>
      </c>
      <c r="BG522" s="78" t="str">
        <f t="shared" si="196"/>
        <v>Tipo 1 (≤0,25) uT</v>
      </c>
    </row>
    <row r="523" spans="1:59" x14ac:dyDescent="0.2">
      <c r="A523" s="21">
        <v>46181</v>
      </c>
      <c r="B523" s="48">
        <v>0.47916666666666669</v>
      </c>
      <c r="C523" s="60">
        <v>1415</v>
      </c>
      <c r="D523" s="57">
        <v>88</v>
      </c>
      <c r="E523" s="60">
        <v>500</v>
      </c>
      <c r="F523" s="60">
        <v>2203</v>
      </c>
      <c r="G523" s="27" t="s">
        <v>78</v>
      </c>
      <c r="H523" s="66">
        <v>7.3</v>
      </c>
      <c r="I523" s="60">
        <v>90</v>
      </c>
      <c r="J523" s="60">
        <v>90</v>
      </c>
      <c r="K523" s="60">
        <v>90</v>
      </c>
      <c r="L523" s="66">
        <v>22.6</v>
      </c>
      <c r="M523" s="66">
        <v>6.7</v>
      </c>
      <c r="N523" s="39">
        <v>3.01</v>
      </c>
      <c r="O523" s="60">
        <v>16</v>
      </c>
      <c r="P523" s="66">
        <v>6.2</v>
      </c>
      <c r="Q523" s="39">
        <v>0.14000000000000001</v>
      </c>
      <c r="R523" s="36">
        <v>22.36</v>
      </c>
      <c r="S523" s="36">
        <v>0.88</v>
      </c>
      <c r="T523" s="36">
        <v>0.7</v>
      </c>
      <c r="U523" s="42">
        <f t="shared" si="174"/>
        <v>1500.7937499999998</v>
      </c>
      <c r="V523" s="36">
        <f t="shared" si="175"/>
        <v>1614.7721200000001</v>
      </c>
      <c r="W523" s="36">
        <f t="shared" si="176"/>
        <v>1.0759453922299451</v>
      </c>
      <c r="X523" s="60">
        <v>4</v>
      </c>
      <c r="Y523" s="60">
        <v>4</v>
      </c>
      <c r="Z523" s="66">
        <v>6.5</v>
      </c>
      <c r="AA523" s="60">
        <v>20</v>
      </c>
      <c r="AB523" s="66">
        <v>6.6</v>
      </c>
      <c r="AC523" s="66">
        <v>4.7</v>
      </c>
      <c r="AD523" s="27">
        <v>0.2</v>
      </c>
      <c r="AE523" s="39">
        <v>0.61</v>
      </c>
      <c r="AF523" s="42">
        <f t="shared" si="177"/>
        <v>1500.7937499999998</v>
      </c>
      <c r="AG523" s="42">
        <f t="shared" si="178"/>
        <v>1839.2221353999998</v>
      </c>
      <c r="AH523" s="42">
        <f t="shared" si="179"/>
        <v>1.2254995967300637</v>
      </c>
      <c r="AI523" s="60">
        <v>3</v>
      </c>
      <c r="AJ523" s="60">
        <v>4</v>
      </c>
      <c r="AK523" s="39">
        <v>6.45</v>
      </c>
      <c r="AL523" s="39">
        <v>23</v>
      </c>
      <c r="AM523" s="66">
        <v>6.6</v>
      </c>
      <c r="AN523" s="66">
        <v>4.5999999999999996</v>
      </c>
      <c r="AO523" s="39">
        <v>0.16</v>
      </c>
      <c r="AP523" s="71">
        <v>0.36</v>
      </c>
      <c r="AQ523" s="73">
        <f t="shared" si="182"/>
        <v>2003</v>
      </c>
      <c r="AR523" s="75">
        <f t="shared" si="183"/>
        <v>0.7064403394907639</v>
      </c>
      <c r="AS523" s="75">
        <f t="shared" si="184"/>
        <v>4.393409885172242E-2</v>
      </c>
      <c r="AT523" s="75">
        <f t="shared" si="185"/>
        <v>0.24962556165751373</v>
      </c>
      <c r="AU523" s="26">
        <f t="shared" si="186"/>
        <v>7.2628234226055383E-2</v>
      </c>
      <c r="AV523" s="26">
        <f t="shared" si="187"/>
        <v>8.3522469359963686E-2</v>
      </c>
      <c r="AW523" s="26">
        <f t="shared" si="180"/>
        <v>0.88039867109634551</v>
      </c>
      <c r="AX523" s="24">
        <f t="shared" si="181"/>
        <v>0.79734219269102991</v>
      </c>
      <c r="AY523" s="77" t="str">
        <f t="shared" si="188"/>
        <v>5,0 ≤ Alc. Bruta &lt; 7,5 mg/L</v>
      </c>
      <c r="AZ523" s="77" t="str">
        <f t="shared" si="189"/>
        <v>15 ≤ Cor &lt; 30 uC</v>
      </c>
      <c r="BA523" s="78" t="str">
        <f t="shared" si="190"/>
        <v>2,5 ≤ Turb &lt; 5,0 uT</v>
      </c>
      <c r="BB523" s="79" t="str">
        <f t="shared" si="191"/>
        <v>TOR &gt; BNN &gt; SM</v>
      </c>
      <c r="BC523" s="78" t="str">
        <f t="shared" si="192"/>
        <v>Tipo 1 (≤0,25) uT</v>
      </c>
      <c r="BD523" s="78" t="str">
        <f t="shared" si="193"/>
        <v>Tipo 1 (≤0,25) uT</v>
      </c>
      <c r="BE523" s="78" t="str">
        <f t="shared" si="197"/>
        <v>Tipo 3 (0,50-0,75) uT</v>
      </c>
      <c r="BF523" s="78" t="str">
        <f t="shared" si="198"/>
        <v>Tipo 2 (0,25-0,50) uT</v>
      </c>
      <c r="BG523" s="78" t="str">
        <f t="shared" si="196"/>
        <v>Tipo 1 (≤0,25) uT</v>
      </c>
    </row>
    <row r="524" spans="1:59" x14ac:dyDescent="0.2">
      <c r="A524" s="21">
        <v>46181</v>
      </c>
      <c r="B524" s="48">
        <v>0.64583333333333337</v>
      </c>
      <c r="C524" s="57">
        <v>1420</v>
      </c>
      <c r="D524" s="57">
        <v>87</v>
      </c>
      <c r="E524" s="57">
        <v>500</v>
      </c>
      <c r="F524" s="57">
        <v>2090</v>
      </c>
      <c r="G524" s="10" t="s">
        <v>78</v>
      </c>
      <c r="H524" s="63">
        <v>7.3</v>
      </c>
      <c r="I524" s="57">
        <v>90</v>
      </c>
      <c r="J524" s="57">
        <v>90</v>
      </c>
      <c r="K524" s="57">
        <v>90</v>
      </c>
      <c r="L524" s="63">
        <v>23.9</v>
      </c>
      <c r="M524" s="63">
        <v>6.8</v>
      </c>
      <c r="N524" s="36">
        <v>2.78</v>
      </c>
      <c r="O524" s="57">
        <v>13</v>
      </c>
      <c r="P524" s="63">
        <v>7.8</v>
      </c>
      <c r="Q524" s="36">
        <v>0.12</v>
      </c>
      <c r="R524" s="36">
        <v>22.36</v>
      </c>
      <c r="S524" s="36">
        <v>0.88</v>
      </c>
      <c r="T524" s="36">
        <v>0.7</v>
      </c>
      <c r="U524" s="42">
        <f t="shared" si="174"/>
        <v>1363.7249999999999</v>
      </c>
      <c r="V524" s="36">
        <f t="shared" si="175"/>
        <v>1534.0335140000002</v>
      </c>
      <c r="W524" s="36">
        <f t="shared" si="176"/>
        <v>1.1248847927551378</v>
      </c>
      <c r="X524" s="57">
        <v>4</v>
      </c>
      <c r="Y524" s="57">
        <v>4</v>
      </c>
      <c r="Z524" s="63">
        <v>6.5</v>
      </c>
      <c r="AA524" s="57">
        <v>19</v>
      </c>
      <c r="AB524" s="63">
        <v>6.7</v>
      </c>
      <c r="AC524" s="63">
        <v>5.6</v>
      </c>
      <c r="AD524" s="10">
        <v>0.6</v>
      </c>
      <c r="AE524" s="36">
        <v>0.46</v>
      </c>
      <c r="AF524" s="42">
        <f t="shared" si="177"/>
        <v>1363.7249999999999</v>
      </c>
      <c r="AG524" s="42">
        <f t="shared" si="178"/>
        <v>1839.2221353999998</v>
      </c>
      <c r="AH524" s="42">
        <f t="shared" si="179"/>
        <v>1.348675235403032</v>
      </c>
      <c r="AI524" s="57">
        <v>3</v>
      </c>
      <c r="AJ524" s="57">
        <v>4</v>
      </c>
      <c r="AK524" s="36">
        <v>6.45</v>
      </c>
      <c r="AL524" s="36">
        <v>23</v>
      </c>
      <c r="AM524" s="63">
        <v>6.7</v>
      </c>
      <c r="AN524" s="63">
        <v>6.1</v>
      </c>
      <c r="AO524" s="36">
        <v>0.23</v>
      </c>
      <c r="AP524" s="68">
        <v>0.37</v>
      </c>
      <c r="AQ524" s="73">
        <f t="shared" si="182"/>
        <v>2007</v>
      </c>
      <c r="AR524" s="75">
        <f t="shared" si="183"/>
        <v>0.70752366716492276</v>
      </c>
      <c r="AS524" s="75">
        <f t="shared" si="184"/>
        <v>4.3348281016442454E-2</v>
      </c>
      <c r="AT524" s="75">
        <f t="shared" si="185"/>
        <v>0.24912805181863479</v>
      </c>
      <c r="AU524" s="26">
        <f t="shared" si="186"/>
        <v>7.2727272727272724E-2</v>
      </c>
      <c r="AV524" s="26">
        <f t="shared" si="187"/>
        <v>8.8038277511961721E-2</v>
      </c>
      <c r="AW524" s="26">
        <f t="shared" si="180"/>
        <v>0.86690647482014382</v>
      </c>
      <c r="AX524" s="24">
        <f t="shared" si="181"/>
        <v>0.83453237410071934</v>
      </c>
      <c r="AY524" s="77" t="str">
        <f t="shared" si="188"/>
        <v>7,5 ≤ Alc. Bruta &lt; 10,0 mg/L</v>
      </c>
      <c r="AZ524" s="77" t="str">
        <f t="shared" si="189"/>
        <v>10 ≤ Cor &lt;15 uC</v>
      </c>
      <c r="BA524" s="78" t="str">
        <f t="shared" si="190"/>
        <v>2,5 ≤ Turb &lt; 5,0 uT</v>
      </c>
      <c r="BB524" s="79" t="str">
        <f t="shared" si="191"/>
        <v>TOR &gt; BNN &gt; SM</v>
      </c>
      <c r="BC524" s="78" t="str">
        <f t="shared" si="192"/>
        <v>Tipo 3 (0,50-0,75) uT</v>
      </c>
      <c r="BD524" s="78" t="str">
        <f t="shared" si="193"/>
        <v>Tipo 1 (≤0,25) uT</v>
      </c>
      <c r="BE524" s="78" t="str">
        <f t="shared" si="197"/>
        <v>Tipo 2 (0,25-0,50) uT</v>
      </c>
      <c r="BF524" s="78" t="str">
        <f t="shared" si="198"/>
        <v>Tipo 2 (0,25-0,50) uT</v>
      </c>
      <c r="BG524" s="78" t="str">
        <f t="shared" si="196"/>
        <v>Tipo 1 (≤0,25) uT</v>
      </c>
    </row>
    <row r="525" spans="1:59" x14ac:dyDescent="0.2">
      <c r="A525" s="21">
        <v>46181</v>
      </c>
      <c r="B525" s="48">
        <v>0.72916666666666663</v>
      </c>
      <c r="C525" s="57">
        <v>1493</v>
      </c>
      <c r="D525" s="57">
        <v>95</v>
      </c>
      <c r="E525" s="57">
        <v>499</v>
      </c>
      <c r="F525" s="57">
        <v>2135</v>
      </c>
      <c r="G525" s="10" t="s">
        <v>78</v>
      </c>
      <c r="H525" s="63">
        <v>7.3</v>
      </c>
      <c r="I525" s="57">
        <v>90</v>
      </c>
      <c r="J525" s="57">
        <v>90</v>
      </c>
      <c r="K525" s="57">
        <v>90</v>
      </c>
      <c r="L525" s="63">
        <v>23.6</v>
      </c>
      <c r="M525" s="63">
        <v>6.7</v>
      </c>
      <c r="N525" s="36">
        <v>2.8559999999999999</v>
      </c>
      <c r="O525" s="57">
        <v>14</v>
      </c>
      <c r="P525" s="63">
        <v>7.9</v>
      </c>
      <c r="Q525" s="36">
        <v>0.13</v>
      </c>
      <c r="R525" s="36">
        <v>22.36</v>
      </c>
      <c r="S525" s="36">
        <v>0.88</v>
      </c>
      <c r="T525" s="36">
        <v>0.7</v>
      </c>
      <c r="U525" s="42">
        <f t="shared" si="174"/>
        <v>1413.37</v>
      </c>
      <c r="V525" s="36">
        <f t="shared" si="175"/>
        <v>1525.2278553200001</v>
      </c>
      <c r="W525" s="36">
        <f t="shared" si="176"/>
        <v>1.0791426557235546</v>
      </c>
      <c r="X525" s="57">
        <v>4</v>
      </c>
      <c r="Y525" s="57">
        <v>4</v>
      </c>
      <c r="Z525" s="63">
        <v>6.47</v>
      </c>
      <c r="AA525" s="57">
        <v>19</v>
      </c>
      <c r="AB525" s="63">
        <v>6.7</v>
      </c>
      <c r="AC525" s="63">
        <v>7.1</v>
      </c>
      <c r="AD525" s="10">
        <v>0.17</v>
      </c>
      <c r="AE525" s="36">
        <v>0.31</v>
      </c>
      <c r="AF525" s="42">
        <f t="shared" si="177"/>
        <v>1413.37</v>
      </c>
      <c r="AG525" s="42">
        <f t="shared" si="178"/>
        <v>1860.5410985199997</v>
      </c>
      <c r="AH525" s="42">
        <f t="shared" si="179"/>
        <v>1.3163864370405483</v>
      </c>
      <c r="AI525" s="57">
        <v>3</v>
      </c>
      <c r="AJ525" s="57">
        <v>4</v>
      </c>
      <c r="AK525" s="36">
        <v>6.51</v>
      </c>
      <c r="AL525" s="36">
        <v>23</v>
      </c>
      <c r="AM525" s="63">
        <v>6.5</v>
      </c>
      <c r="AN525" s="63">
        <v>6.1</v>
      </c>
      <c r="AO525" s="36">
        <v>0.2</v>
      </c>
      <c r="AP525" s="68">
        <v>0.28000000000000003</v>
      </c>
      <c r="AQ525" s="73">
        <f t="shared" si="182"/>
        <v>2087</v>
      </c>
      <c r="AR525" s="75">
        <f t="shared" si="183"/>
        <v>0.71538092956396737</v>
      </c>
      <c r="AS525" s="75">
        <f t="shared" si="184"/>
        <v>4.5519885002395781E-2</v>
      </c>
      <c r="AT525" s="75">
        <f t="shared" si="185"/>
        <v>0.23909918543363681</v>
      </c>
      <c r="AU525" s="26">
        <f t="shared" si="186"/>
        <v>7.1194379391100709E-2</v>
      </c>
      <c r="AV525" s="26">
        <f t="shared" si="187"/>
        <v>8.6182669789227173E-2</v>
      </c>
      <c r="AW525" s="26">
        <f t="shared" si="180"/>
        <v>0.90196078431372551</v>
      </c>
      <c r="AX525" s="24">
        <f t="shared" si="181"/>
        <v>0.89145658263305316</v>
      </c>
      <c r="AY525" s="77" t="str">
        <f t="shared" si="188"/>
        <v>7,5 ≤ Alc. Bruta &lt; 10,0 mg/L</v>
      </c>
      <c r="AZ525" s="77" t="str">
        <f t="shared" si="189"/>
        <v>10 ≤ Cor &lt;15 uC</v>
      </c>
      <c r="BA525" s="78" t="str">
        <f t="shared" si="190"/>
        <v>2,5 ≤ Turb &lt; 5,0 uT</v>
      </c>
      <c r="BB525" s="79" t="str">
        <f t="shared" si="191"/>
        <v>TOR &gt; BNN &gt; SM</v>
      </c>
      <c r="BC525" s="78" t="str">
        <f t="shared" si="192"/>
        <v>Tipo 1 (≤0,25) uT</v>
      </c>
      <c r="BD525" s="78" t="str">
        <f t="shared" si="193"/>
        <v>Tipo 1 (≤0,25) uT</v>
      </c>
      <c r="BE525" s="78" t="str">
        <f t="shared" si="197"/>
        <v>Tipo 2 (0,25-0,50) uT</v>
      </c>
      <c r="BF525" s="78" t="str">
        <f t="shared" si="198"/>
        <v>Tipo 2 (0,25-0,50) uT</v>
      </c>
      <c r="BG525" s="78" t="str">
        <f t="shared" si="196"/>
        <v>Tipo 1 (≤0,25) uT</v>
      </c>
    </row>
    <row r="526" spans="1:59" x14ac:dyDescent="0.2">
      <c r="A526" s="21">
        <v>46181</v>
      </c>
      <c r="B526" s="48">
        <v>0.8125</v>
      </c>
      <c r="C526" s="57">
        <v>1412</v>
      </c>
      <c r="D526" s="57">
        <v>85</v>
      </c>
      <c r="E526" s="57">
        <v>500</v>
      </c>
      <c r="F526" s="57">
        <v>2038</v>
      </c>
      <c r="G526" s="10" t="s">
        <v>78</v>
      </c>
      <c r="H526" s="63">
        <v>7.3</v>
      </c>
      <c r="I526" s="57">
        <v>90</v>
      </c>
      <c r="J526" s="57">
        <v>90</v>
      </c>
      <c r="K526" s="57">
        <v>90</v>
      </c>
      <c r="L526" s="63">
        <v>22.9</v>
      </c>
      <c r="M526" s="63">
        <v>6.7</v>
      </c>
      <c r="N526" s="36">
        <v>2.96</v>
      </c>
      <c r="O526" s="57">
        <v>14</v>
      </c>
      <c r="P526" s="63">
        <v>9.3000000000000007</v>
      </c>
      <c r="Q526" s="36">
        <v>0.11</v>
      </c>
      <c r="R526" s="36">
        <v>22.36</v>
      </c>
      <c r="S526" s="36">
        <v>0.88</v>
      </c>
      <c r="T526" s="36">
        <v>0.7</v>
      </c>
      <c r="U526" s="42">
        <f t="shared" si="174"/>
        <v>1375.65</v>
      </c>
      <c r="V526" s="36">
        <f t="shared" si="175"/>
        <v>1513.4869770799996</v>
      </c>
      <c r="W526" s="36">
        <f t="shared" si="176"/>
        <v>1.1001977080507392</v>
      </c>
      <c r="X526" s="57">
        <v>4</v>
      </c>
      <c r="Y526" s="57">
        <v>4</v>
      </c>
      <c r="Z526" s="63">
        <v>6.43</v>
      </c>
      <c r="AA526" s="57">
        <v>19</v>
      </c>
      <c r="AB526" s="63">
        <v>6.5</v>
      </c>
      <c r="AC526" s="63">
        <v>8.8000000000000007</v>
      </c>
      <c r="AD526" s="10">
        <v>0.22</v>
      </c>
      <c r="AE526" s="36">
        <v>0.28000000000000003</v>
      </c>
      <c r="AF526" s="42">
        <f t="shared" si="177"/>
        <v>1375.65</v>
      </c>
      <c r="AG526" s="42">
        <f t="shared" si="178"/>
        <v>1841.8386534079996</v>
      </c>
      <c r="AH526" s="42">
        <f t="shared" si="179"/>
        <v>1.3388860926892738</v>
      </c>
      <c r="AI526" s="57">
        <v>3</v>
      </c>
      <c r="AJ526" s="57">
        <v>4</v>
      </c>
      <c r="AK526" s="36">
        <v>6.48</v>
      </c>
      <c r="AL526" s="36">
        <v>22.9</v>
      </c>
      <c r="AM526" s="63">
        <v>6.6</v>
      </c>
      <c r="AN526" s="63">
        <v>6.3</v>
      </c>
      <c r="AO526" s="36">
        <v>0.17</v>
      </c>
      <c r="AP526" s="68">
        <v>0.28000000000000003</v>
      </c>
      <c r="AQ526" s="73">
        <f t="shared" si="182"/>
        <v>1997</v>
      </c>
      <c r="AR526" s="75">
        <f t="shared" si="183"/>
        <v>0.70706059088632944</v>
      </c>
      <c r="AS526" s="75">
        <f t="shared" si="184"/>
        <v>4.2563845768652978E-2</v>
      </c>
      <c r="AT526" s="75">
        <f t="shared" si="185"/>
        <v>0.25037556334501754</v>
      </c>
      <c r="AU526" s="26">
        <f t="shared" si="186"/>
        <v>7.4582924435721301E-2</v>
      </c>
      <c r="AV526" s="26">
        <f t="shared" si="187"/>
        <v>8.9892051030421971E-2</v>
      </c>
      <c r="AW526" s="26">
        <f t="shared" si="180"/>
        <v>0.90540540540540537</v>
      </c>
      <c r="AX526" s="24">
        <f t="shared" si="181"/>
        <v>0.90540540540540537</v>
      </c>
      <c r="AY526" s="77" t="str">
        <f t="shared" si="188"/>
        <v>7,5 ≤ Alc. Bruta &lt; 10,0 mg/L</v>
      </c>
      <c r="AZ526" s="77" t="str">
        <f t="shared" si="189"/>
        <v>10 ≤ Cor &lt;15 uC</v>
      </c>
      <c r="BA526" s="78" t="str">
        <f t="shared" si="190"/>
        <v>2,5 ≤ Turb &lt; 5,0 uT</v>
      </c>
      <c r="BB526" s="79" t="str">
        <f t="shared" si="191"/>
        <v>TOR &gt; BNN &gt; SM</v>
      </c>
      <c r="BC526" s="78" t="str">
        <f t="shared" si="192"/>
        <v>Tipo 1 (≤0,25) uT</v>
      </c>
      <c r="BD526" s="78" t="str">
        <f t="shared" si="193"/>
        <v>Tipo 1 (≤0,25) uT</v>
      </c>
      <c r="BE526" s="78" t="str">
        <f t="shared" si="197"/>
        <v>Tipo 2 (0,25-0,50) uT</v>
      </c>
      <c r="BF526" s="78" t="str">
        <f t="shared" si="198"/>
        <v>Tipo 2 (0,25-0,50) uT</v>
      </c>
      <c r="BG526" s="78" t="str">
        <f t="shared" si="196"/>
        <v>Tipo 1 (≤0,25) uT</v>
      </c>
    </row>
    <row r="527" spans="1:59" x14ac:dyDescent="0.2">
      <c r="A527" s="21">
        <v>46181</v>
      </c>
      <c r="B527" s="48">
        <v>0.89583333333333337</v>
      </c>
      <c r="C527" s="57">
        <v>1502</v>
      </c>
      <c r="D527" s="57">
        <v>85</v>
      </c>
      <c r="E527" s="57">
        <v>500</v>
      </c>
      <c r="F527" s="57">
        <v>2027</v>
      </c>
      <c r="G527" s="10" t="s">
        <v>78</v>
      </c>
      <c r="H527" s="63">
        <v>7.3</v>
      </c>
      <c r="I527" s="57">
        <v>90</v>
      </c>
      <c r="J527" s="57">
        <v>90</v>
      </c>
      <c r="K527" s="57">
        <v>90</v>
      </c>
      <c r="L527" s="63">
        <v>22.8</v>
      </c>
      <c r="M527" s="63">
        <v>6.7</v>
      </c>
      <c r="N527" s="36">
        <v>2.83</v>
      </c>
      <c r="O527" s="57">
        <v>16</v>
      </c>
      <c r="P527" s="63">
        <v>8.5</v>
      </c>
      <c r="Q527" s="36">
        <v>0.09</v>
      </c>
      <c r="R527" s="36">
        <v>22.36</v>
      </c>
      <c r="S527" s="36">
        <v>0.88</v>
      </c>
      <c r="T527" s="36">
        <v>0.7</v>
      </c>
      <c r="U527" s="42">
        <f t="shared" si="174"/>
        <v>1335.2862499999999</v>
      </c>
      <c r="V527" s="36">
        <f t="shared" si="175"/>
        <v>1492.2661309815999</v>
      </c>
      <c r="W527" s="36">
        <f t="shared" si="176"/>
        <v>1.1175627180925438</v>
      </c>
      <c r="X527" s="57">
        <v>2</v>
      </c>
      <c r="Y527" s="57">
        <v>4</v>
      </c>
      <c r="Z527" s="63">
        <v>6.42</v>
      </c>
      <c r="AA527" s="57">
        <v>18.77</v>
      </c>
      <c r="AB527" s="63">
        <v>6.5</v>
      </c>
      <c r="AC527" s="63">
        <v>7.5</v>
      </c>
      <c r="AD527" s="10">
        <v>0.2</v>
      </c>
      <c r="AE527" s="36">
        <v>0.16</v>
      </c>
      <c r="AF527" s="42">
        <f t="shared" si="177"/>
        <v>1335.2862499999999</v>
      </c>
      <c r="AG527" s="42">
        <f t="shared" si="178"/>
        <v>1857.3053748703999</v>
      </c>
      <c r="AH527" s="42">
        <f t="shared" si="179"/>
        <v>1.390941736178591</v>
      </c>
      <c r="AI527" s="57">
        <v>3</v>
      </c>
      <c r="AJ527" s="57">
        <v>4</v>
      </c>
      <c r="AK527" s="36">
        <v>6.51</v>
      </c>
      <c r="AL527" s="36">
        <v>22.96</v>
      </c>
      <c r="AM527" s="63">
        <v>6.6</v>
      </c>
      <c r="AN527" s="63">
        <v>7.2</v>
      </c>
      <c r="AO527" s="36">
        <v>0.25</v>
      </c>
      <c r="AP527" s="68">
        <v>0.28000000000000003</v>
      </c>
      <c r="AQ527" s="73">
        <f t="shared" si="182"/>
        <v>2087</v>
      </c>
      <c r="AR527" s="75">
        <f t="shared" si="183"/>
        <v>0.71969333972208915</v>
      </c>
      <c r="AS527" s="75">
        <f t="shared" si="184"/>
        <v>4.0728318160038329E-2</v>
      </c>
      <c r="AT527" s="75">
        <f t="shared" si="185"/>
        <v>0.23957834211787254</v>
      </c>
      <c r="AU527" s="26">
        <f t="shared" si="186"/>
        <v>7.4079921065614202E-2</v>
      </c>
      <c r="AV527" s="26">
        <f t="shared" si="187"/>
        <v>9.0616674888998522E-2</v>
      </c>
      <c r="AW527" s="26">
        <f t="shared" si="180"/>
        <v>0.90106007067137805</v>
      </c>
      <c r="AX527" s="24">
        <f t="shared" si="181"/>
        <v>0.94346289752650181</v>
      </c>
      <c r="AY527" s="77" t="str">
        <f t="shared" si="188"/>
        <v>7,5 ≤ Alc. Bruta &lt; 10,0 mg/L</v>
      </c>
      <c r="AZ527" s="77" t="str">
        <f t="shared" si="189"/>
        <v>15 ≤ Cor &lt; 30 uC</v>
      </c>
      <c r="BA527" s="78" t="str">
        <f t="shared" si="190"/>
        <v>2,5 ≤ Turb &lt; 5,0 uT</v>
      </c>
      <c r="BB527" s="79" t="str">
        <f t="shared" si="191"/>
        <v>TOR &gt; BNN &gt; SM</v>
      </c>
      <c r="BC527" s="78" t="str">
        <f t="shared" si="192"/>
        <v>Tipo 1 (≤0,25) uT</v>
      </c>
      <c r="BD527" s="78" t="str">
        <f t="shared" si="193"/>
        <v>Tipo 1 (≤0,25) uT</v>
      </c>
      <c r="BE527" s="78" t="str">
        <f t="shared" si="197"/>
        <v>Tipo 1 (≤0,25) uT</v>
      </c>
      <c r="BF527" s="78" t="str">
        <f t="shared" si="198"/>
        <v>Tipo 2 (0,25-0,50) uT</v>
      </c>
      <c r="BG527" s="78" t="str">
        <f t="shared" si="196"/>
        <v>Tipo 1 (≤0,25) uT</v>
      </c>
    </row>
    <row r="528" spans="1:59" x14ac:dyDescent="0.2">
      <c r="A528" s="21">
        <v>46181</v>
      </c>
      <c r="B528" s="48">
        <v>0.97916666666666663</v>
      </c>
      <c r="C528" s="57">
        <v>1433</v>
      </c>
      <c r="D528" s="57">
        <v>85</v>
      </c>
      <c r="E528" s="57">
        <v>500</v>
      </c>
      <c r="F528" s="57">
        <v>2033</v>
      </c>
      <c r="G528" s="10" t="s">
        <v>78</v>
      </c>
      <c r="H528" s="63">
        <v>7.3</v>
      </c>
      <c r="I528" s="57">
        <v>90</v>
      </c>
      <c r="J528" s="57">
        <v>90</v>
      </c>
      <c r="K528" s="57">
        <v>90</v>
      </c>
      <c r="L528" s="63">
        <v>22.3</v>
      </c>
      <c r="M528" s="63">
        <v>6.7</v>
      </c>
      <c r="N528" s="36">
        <v>2.9</v>
      </c>
      <c r="O528" s="57">
        <v>13</v>
      </c>
      <c r="P528" s="63">
        <v>7.5</v>
      </c>
      <c r="Q528" s="36">
        <v>0.1</v>
      </c>
      <c r="R528" s="36">
        <v>22.36</v>
      </c>
      <c r="S528" s="36">
        <v>0.88</v>
      </c>
      <c r="T528" s="36">
        <v>0.7</v>
      </c>
      <c r="U528" s="42">
        <f t="shared" si="174"/>
        <v>1357.0274999999999</v>
      </c>
      <c r="V528" s="36">
        <f t="shared" si="175"/>
        <v>1527.3540341799999</v>
      </c>
      <c r="W528" s="36">
        <f t="shared" si="176"/>
        <v>1.1255144307539824</v>
      </c>
      <c r="X528" s="57">
        <v>2</v>
      </c>
      <c r="Y528" s="57">
        <v>4</v>
      </c>
      <c r="Z528" s="63">
        <v>6.45</v>
      </c>
      <c r="AA528" s="57">
        <v>19.100000000000001</v>
      </c>
      <c r="AB528" s="63">
        <v>6.5</v>
      </c>
      <c r="AC528" s="63">
        <v>5.7</v>
      </c>
      <c r="AD528" s="10">
        <v>0.14000000000000001</v>
      </c>
      <c r="AE528" s="36">
        <v>0.21</v>
      </c>
      <c r="AF528" s="42">
        <f t="shared" si="177"/>
        <v>1357.0274999999999</v>
      </c>
      <c r="AG528" s="42">
        <f t="shared" si="178"/>
        <v>1861.6628317455993</v>
      </c>
      <c r="AH528" s="42">
        <f t="shared" si="179"/>
        <v>1.371868169027967</v>
      </c>
      <c r="AI528" s="57">
        <v>3</v>
      </c>
      <c r="AJ528" s="57">
        <v>4</v>
      </c>
      <c r="AK528" s="36">
        <v>6.52</v>
      </c>
      <c r="AL528" s="36">
        <v>22.97</v>
      </c>
      <c r="AM528" s="63">
        <v>6.6</v>
      </c>
      <c r="AN528" s="63">
        <v>6</v>
      </c>
      <c r="AO528" s="36">
        <v>0.12</v>
      </c>
      <c r="AP528" s="68">
        <v>0.27</v>
      </c>
      <c r="AQ528" s="73">
        <f t="shared" si="182"/>
        <v>2018</v>
      </c>
      <c r="AR528" s="75">
        <f t="shared" si="183"/>
        <v>0.71010901883052524</v>
      </c>
      <c r="AS528" s="75">
        <f t="shared" si="184"/>
        <v>4.2120911793855305E-2</v>
      </c>
      <c r="AT528" s="75">
        <f t="shared" si="185"/>
        <v>0.24777006937561943</v>
      </c>
      <c r="AU528" s="26">
        <f t="shared" si="186"/>
        <v>7.5159862272503694E-2</v>
      </c>
      <c r="AV528" s="26">
        <f t="shared" si="187"/>
        <v>9.0388588293162805E-2</v>
      </c>
      <c r="AW528" s="26">
        <f t="shared" si="180"/>
        <v>0.90689655172413797</v>
      </c>
      <c r="AX528" s="24">
        <f t="shared" si="181"/>
        <v>0.92758620689655169</v>
      </c>
      <c r="AY528" s="77" t="str">
        <f t="shared" si="188"/>
        <v>7,5 ≤ Alc. Bruta &lt; 10,0 mg/L</v>
      </c>
      <c r="AZ528" s="77" t="str">
        <f t="shared" si="189"/>
        <v>10 ≤ Cor &lt;15 uC</v>
      </c>
      <c r="BA528" s="78" t="str">
        <f t="shared" si="190"/>
        <v>2,5 ≤ Turb &lt; 5,0 uT</v>
      </c>
      <c r="BB528" s="79" t="str">
        <f t="shared" si="191"/>
        <v>TOR &gt; BNN &gt; SM</v>
      </c>
      <c r="BC528" s="78" t="str">
        <f t="shared" si="192"/>
        <v>Tipo 1 (≤0,25) uT</v>
      </c>
      <c r="BD528" s="78" t="str">
        <f t="shared" si="193"/>
        <v>Tipo 1 (≤0,25) uT</v>
      </c>
      <c r="BE528" s="78" t="str">
        <f t="shared" si="197"/>
        <v>Tipo 1 (≤0,25) uT</v>
      </c>
      <c r="BF528" s="78" t="str">
        <f t="shared" si="198"/>
        <v>Tipo 2 (0,25-0,50) uT</v>
      </c>
      <c r="BG528" s="78" t="str">
        <f t="shared" si="196"/>
        <v>Tipo 1 (≤0,25) uT</v>
      </c>
    </row>
    <row r="529" spans="1:59" x14ac:dyDescent="0.2">
      <c r="A529" s="21">
        <v>46182</v>
      </c>
      <c r="B529" s="48">
        <v>6.25E-2</v>
      </c>
      <c r="C529" s="57">
        <v>1460</v>
      </c>
      <c r="D529" s="57">
        <v>84</v>
      </c>
      <c r="E529" s="57">
        <v>500</v>
      </c>
      <c r="F529" s="57">
        <v>2099</v>
      </c>
      <c r="G529" s="10" t="s">
        <v>78</v>
      </c>
      <c r="H529" s="63">
        <v>7.3</v>
      </c>
      <c r="I529" s="57">
        <v>90</v>
      </c>
      <c r="J529" s="57">
        <v>90</v>
      </c>
      <c r="K529" s="57">
        <v>90</v>
      </c>
      <c r="L529" s="63">
        <v>22.1</v>
      </c>
      <c r="M529" s="63">
        <v>6.6</v>
      </c>
      <c r="N529" s="36">
        <v>2.86</v>
      </c>
      <c r="O529" s="57">
        <v>14</v>
      </c>
      <c r="P529" s="63">
        <v>8.1</v>
      </c>
      <c r="Q529" s="36">
        <v>0.06</v>
      </c>
      <c r="R529" s="36">
        <v>22.36</v>
      </c>
      <c r="S529" s="36">
        <v>0.88</v>
      </c>
      <c r="T529" s="36">
        <v>0.7</v>
      </c>
      <c r="U529" s="42">
        <f t="shared" si="174"/>
        <v>1390.5874999999999</v>
      </c>
      <c r="V529" s="36">
        <f t="shared" si="175"/>
        <v>1497.5555352159997</v>
      </c>
      <c r="W529" s="36">
        <f t="shared" si="176"/>
        <v>1.0769229086382552</v>
      </c>
      <c r="X529" s="57">
        <v>2</v>
      </c>
      <c r="Y529" s="57">
        <v>4</v>
      </c>
      <c r="Z529" s="63">
        <v>6.43</v>
      </c>
      <c r="AA529" s="57">
        <v>18.8</v>
      </c>
      <c r="AB529" s="63">
        <v>6.5</v>
      </c>
      <c r="AC529" s="63">
        <v>6</v>
      </c>
      <c r="AD529" s="10">
        <v>0.14000000000000001</v>
      </c>
      <c r="AE529" s="36">
        <v>0.23</v>
      </c>
      <c r="AF529" s="42">
        <f t="shared" si="177"/>
        <v>1390.5874999999999</v>
      </c>
      <c r="AG529" s="42">
        <f t="shared" si="178"/>
        <v>1853.4347774799999</v>
      </c>
      <c r="AH529" s="42">
        <f t="shared" si="179"/>
        <v>1.3328429728298292</v>
      </c>
      <c r="AI529" s="57">
        <v>3</v>
      </c>
      <c r="AJ529" s="57">
        <v>4</v>
      </c>
      <c r="AK529" s="36">
        <v>6.49</v>
      </c>
      <c r="AL529" s="36">
        <v>23</v>
      </c>
      <c r="AM529" s="63">
        <v>6.5</v>
      </c>
      <c r="AN529" s="63">
        <v>6.1</v>
      </c>
      <c r="AO529" s="36">
        <v>0.1</v>
      </c>
      <c r="AP529" s="68">
        <v>0.28000000000000003</v>
      </c>
      <c r="AQ529" s="73">
        <f t="shared" si="182"/>
        <v>2044</v>
      </c>
      <c r="AR529" s="75">
        <f t="shared" si="183"/>
        <v>0.7142857142857143</v>
      </c>
      <c r="AS529" s="75">
        <f t="shared" si="184"/>
        <v>4.1095890410958902E-2</v>
      </c>
      <c r="AT529" s="75">
        <f t="shared" si="185"/>
        <v>0.2446183953033268</v>
      </c>
      <c r="AU529" s="26">
        <f t="shared" si="186"/>
        <v>7.165316817532158E-2</v>
      </c>
      <c r="AV529" s="26">
        <f t="shared" si="187"/>
        <v>8.7660790852787038E-2</v>
      </c>
      <c r="AW529" s="26">
        <f t="shared" si="180"/>
        <v>0.90209790209790208</v>
      </c>
      <c r="AX529" s="24">
        <f t="shared" si="181"/>
        <v>0.91958041958041958</v>
      </c>
      <c r="AY529" s="77" t="str">
        <f t="shared" si="188"/>
        <v>7,5 ≤ Alc. Bruta &lt; 10,0 mg/L</v>
      </c>
      <c r="AZ529" s="77" t="str">
        <f t="shared" si="189"/>
        <v>10 ≤ Cor &lt;15 uC</v>
      </c>
      <c r="BA529" s="78" t="str">
        <f t="shared" si="190"/>
        <v>2,5 ≤ Turb &lt; 5,0 uT</v>
      </c>
      <c r="BB529" s="79" t="str">
        <f t="shared" si="191"/>
        <v>TOR &gt; BNN &gt; SM</v>
      </c>
      <c r="BC529" s="78" t="str">
        <f t="shared" si="192"/>
        <v>Tipo 1 (≤0,25) uT</v>
      </c>
      <c r="BD529" s="78" t="str">
        <f t="shared" si="193"/>
        <v>Tipo 1 (≤0,25) uT</v>
      </c>
      <c r="BE529" s="78" t="str">
        <f t="shared" si="197"/>
        <v>Tipo 1 (≤0,25) uT</v>
      </c>
      <c r="BF529" s="78" t="str">
        <f t="shared" si="198"/>
        <v>Tipo 2 (0,25-0,50) uT</v>
      </c>
      <c r="BG529" s="78" t="str">
        <f t="shared" si="196"/>
        <v>Tipo 1 (≤0,25) uT</v>
      </c>
    </row>
    <row r="530" spans="1:59" x14ac:dyDescent="0.2">
      <c r="A530" s="21">
        <v>46182</v>
      </c>
      <c r="B530" s="48">
        <v>0.14583333333333334</v>
      </c>
      <c r="C530" s="57">
        <v>1063</v>
      </c>
      <c r="D530" s="57">
        <v>91</v>
      </c>
      <c r="E530" s="57">
        <v>499</v>
      </c>
      <c r="F530" s="57">
        <v>1697</v>
      </c>
      <c r="G530" s="10" t="s">
        <v>78</v>
      </c>
      <c r="H530" s="63">
        <v>7.3</v>
      </c>
      <c r="I530" s="57">
        <v>90</v>
      </c>
      <c r="J530" s="57">
        <v>90</v>
      </c>
      <c r="K530" s="57">
        <v>90</v>
      </c>
      <c r="L530" s="63">
        <v>21.8</v>
      </c>
      <c r="M530" s="63">
        <v>6.8</v>
      </c>
      <c r="N530" s="36">
        <v>2.6</v>
      </c>
      <c r="O530" s="57">
        <v>13</v>
      </c>
      <c r="P530" s="63">
        <v>7.1</v>
      </c>
      <c r="Q530" s="36">
        <v>0.08</v>
      </c>
      <c r="R530" s="36">
        <v>22.36</v>
      </c>
      <c r="S530" s="36">
        <v>0.88</v>
      </c>
      <c r="T530" s="36">
        <v>0.7</v>
      </c>
      <c r="U530" s="42">
        <f t="shared" si="174"/>
        <v>1425.48</v>
      </c>
      <c r="V530" s="36">
        <f t="shared" si="175"/>
        <v>1488.84256768</v>
      </c>
      <c r="W530" s="36">
        <f t="shared" si="176"/>
        <v>1.0444499871481887</v>
      </c>
      <c r="X530" s="57">
        <v>2</v>
      </c>
      <c r="Y530" s="57">
        <v>3</v>
      </c>
      <c r="Z530" s="63">
        <v>6.4</v>
      </c>
      <c r="AA530" s="57">
        <v>18.8</v>
      </c>
      <c r="AB530" s="63">
        <v>6.5</v>
      </c>
      <c r="AC530" s="63">
        <v>6.8</v>
      </c>
      <c r="AD530" s="10">
        <v>0.19</v>
      </c>
      <c r="AE530" s="36">
        <v>0.25</v>
      </c>
      <c r="AF530" s="42">
        <f t="shared" si="177"/>
        <v>1425.48</v>
      </c>
      <c r="AG530" s="42">
        <f t="shared" si="178"/>
        <v>1861.3500294323999</v>
      </c>
      <c r="AH530" s="42">
        <f t="shared" si="179"/>
        <v>1.3057707084156915</v>
      </c>
      <c r="AI530" s="57">
        <v>2</v>
      </c>
      <c r="AJ530" s="57">
        <v>3</v>
      </c>
      <c r="AK530" s="36">
        <v>6.51</v>
      </c>
      <c r="AL530" s="36">
        <v>23.01</v>
      </c>
      <c r="AM530" s="63">
        <v>6.5</v>
      </c>
      <c r="AN530" s="63">
        <v>5.8</v>
      </c>
      <c r="AO530" s="36">
        <v>0.2</v>
      </c>
      <c r="AP530" s="68">
        <v>0.32</v>
      </c>
      <c r="AQ530" s="73">
        <f t="shared" si="182"/>
        <v>1653</v>
      </c>
      <c r="AR530" s="75">
        <f t="shared" si="183"/>
        <v>0.64307320024198422</v>
      </c>
      <c r="AS530" s="75">
        <f t="shared" si="184"/>
        <v>5.5051421657592255E-2</v>
      </c>
      <c r="AT530" s="75">
        <f t="shared" si="185"/>
        <v>0.30187537810042347</v>
      </c>
      <c r="AU530" s="26">
        <f t="shared" si="186"/>
        <v>6.6470241602828523E-2</v>
      </c>
      <c r="AV530" s="26">
        <f t="shared" si="187"/>
        <v>8.1355332940483222E-2</v>
      </c>
      <c r="AW530" s="26">
        <f t="shared" si="180"/>
        <v>0.87692307692307692</v>
      </c>
      <c r="AX530" s="24">
        <f t="shared" si="181"/>
        <v>0.90384615384615385</v>
      </c>
      <c r="AY530" s="77" t="str">
        <f t="shared" si="188"/>
        <v>5,0 ≤ Alc. Bruta &lt; 7,5 mg/L</v>
      </c>
      <c r="AZ530" s="77" t="str">
        <f t="shared" si="189"/>
        <v>10 ≤ Cor &lt;15 uC</v>
      </c>
      <c r="BA530" s="78" t="str">
        <f t="shared" si="190"/>
        <v>2,5 ≤ Turb &lt; 5,0 uT</v>
      </c>
      <c r="BB530" s="79" t="str">
        <f t="shared" si="191"/>
        <v>TOR &gt; BNN &gt; SM</v>
      </c>
      <c r="BC530" s="78" t="str">
        <f t="shared" si="192"/>
        <v>Tipo 1 (≤0,25) uT</v>
      </c>
      <c r="BD530" s="78" t="str">
        <f t="shared" si="193"/>
        <v>Tipo 1 (≤0,25) uT</v>
      </c>
      <c r="BE530" s="78" t="str">
        <f t="shared" si="197"/>
        <v>Tipo 1 (≤0,25) uT</v>
      </c>
      <c r="BF530" s="78" t="str">
        <f t="shared" si="198"/>
        <v>Tipo 2 (0,25-0,50) uT</v>
      </c>
      <c r="BG530" s="78" t="str">
        <f t="shared" si="196"/>
        <v>Tipo 1 (≤0,25) uT</v>
      </c>
    </row>
    <row r="531" spans="1:59" ht="15.75" thickBot="1" x14ac:dyDescent="0.25">
      <c r="A531" s="21">
        <v>46182</v>
      </c>
      <c r="B531" s="51">
        <v>0.22916666666666666</v>
      </c>
      <c r="C531" s="58">
        <v>1028</v>
      </c>
      <c r="D531" s="58">
        <v>87</v>
      </c>
      <c r="E531" s="58">
        <v>499</v>
      </c>
      <c r="F531" s="58">
        <v>1775</v>
      </c>
      <c r="G531" s="11" t="s">
        <v>78</v>
      </c>
      <c r="H531" s="64">
        <v>7.3</v>
      </c>
      <c r="I531" s="58">
        <v>90</v>
      </c>
      <c r="J531" s="58">
        <v>90</v>
      </c>
      <c r="K531" s="58">
        <v>90</v>
      </c>
      <c r="L531" s="64">
        <v>21.6</v>
      </c>
      <c r="M531" s="64">
        <v>6.7</v>
      </c>
      <c r="N531" s="37">
        <v>3.09</v>
      </c>
      <c r="O531" s="58">
        <v>14</v>
      </c>
      <c r="P531" s="64">
        <v>8.6999999999999993</v>
      </c>
      <c r="Q531" s="37">
        <v>0.08</v>
      </c>
      <c r="R531" s="36">
        <v>22.36</v>
      </c>
      <c r="S531" s="36">
        <v>0.88</v>
      </c>
      <c r="T531" s="36">
        <v>0.7</v>
      </c>
      <c r="U531" s="42">
        <f t="shared" si="174"/>
        <v>1635.958333333333</v>
      </c>
      <c r="V531" s="36">
        <f t="shared" si="175"/>
        <v>1505.5212561479996</v>
      </c>
      <c r="W531" s="36">
        <f t="shared" si="176"/>
        <v>0.92026870457051158</v>
      </c>
      <c r="X531" s="58">
        <v>2</v>
      </c>
      <c r="Y531" s="58">
        <v>3</v>
      </c>
      <c r="Z531" s="64">
        <v>6.43</v>
      </c>
      <c r="AA531" s="58">
        <v>18.899999999999999</v>
      </c>
      <c r="AB531" s="63">
        <v>6.5</v>
      </c>
      <c r="AC531" s="64">
        <v>6.9</v>
      </c>
      <c r="AD531" s="11">
        <v>0.23</v>
      </c>
      <c r="AE531" s="37">
        <v>0.28000000000000003</v>
      </c>
      <c r="AF531" s="42">
        <f t="shared" si="177"/>
        <v>1635.958333333333</v>
      </c>
      <c r="AG531" s="42">
        <f t="shared" si="178"/>
        <v>1859.2314044511995</v>
      </c>
      <c r="AH531" s="42">
        <f t="shared" si="179"/>
        <v>1.1364784582642384</v>
      </c>
      <c r="AI531" s="58">
        <v>2</v>
      </c>
      <c r="AJ531" s="58">
        <v>3</v>
      </c>
      <c r="AK531" s="37">
        <v>6.52</v>
      </c>
      <c r="AL531" s="37">
        <v>22.94</v>
      </c>
      <c r="AM531" s="64">
        <v>6.6</v>
      </c>
      <c r="AN531" s="64">
        <v>6.5</v>
      </c>
      <c r="AO531" s="37">
        <v>0.14000000000000001</v>
      </c>
      <c r="AP531" s="69">
        <v>0.3</v>
      </c>
      <c r="AQ531" s="73">
        <f t="shared" si="182"/>
        <v>1614</v>
      </c>
      <c r="AR531" s="75">
        <f t="shared" si="183"/>
        <v>0.63692688971499378</v>
      </c>
      <c r="AS531" s="75">
        <f t="shared" si="184"/>
        <v>5.3903345724907063E-2</v>
      </c>
      <c r="AT531" s="75">
        <f t="shared" si="185"/>
        <v>0.30916976456009915</v>
      </c>
      <c r="AU531" s="26">
        <f t="shared" si="186"/>
        <v>6.3887323943661978E-2</v>
      </c>
      <c r="AV531" s="26">
        <f t="shared" si="187"/>
        <v>7.7543661971830991E-2</v>
      </c>
      <c r="AW531" s="26">
        <f t="shared" si="180"/>
        <v>0.90291262135922334</v>
      </c>
      <c r="AX531" s="24">
        <f t="shared" si="181"/>
        <v>0.90938511326860838</v>
      </c>
      <c r="AY531" s="77" t="str">
        <f t="shared" si="188"/>
        <v>7,5 ≤ Alc. Bruta &lt; 10,0 mg/L</v>
      </c>
      <c r="AZ531" s="77" t="str">
        <f t="shared" si="189"/>
        <v>10 ≤ Cor &lt;15 uC</v>
      </c>
      <c r="BA531" s="78" t="str">
        <f t="shared" si="190"/>
        <v>2,5 ≤ Turb &lt; 5,0 uT</v>
      </c>
      <c r="BB531" s="79" t="str">
        <f t="shared" si="191"/>
        <v>TOR &gt; BNN &gt; SM</v>
      </c>
      <c r="BC531" s="78" t="str">
        <f t="shared" si="192"/>
        <v>Tipo 1 (≤0,25) uT</v>
      </c>
      <c r="BD531" s="78" t="str">
        <f t="shared" si="193"/>
        <v>Tipo 1 (≤0,25) uT</v>
      </c>
      <c r="BE531" s="78" t="str">
        <f t="shared" si="197"/>
        <v>Tipo 2 (0,25-0,50) uT</v>
      </c>
      <c r="BF531" s="78" t="str">
        <f t="shared" si="198"/>
        <v>Tipo 2 (0,25-0,50) uT</v>
      </c>
      <c r="BG531" s="78" t="str">
        <f t="shared" si="196"/>
        <v>Tipo 1 (≤0,25) uT</v>
      </c>
    </row>
  </sheetData>
  <autoFilter ref="A1:BG531" xr:uid="{DFF5E3E3-7810-4FE4-98E4-2F4B293F5DD5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21.04</vt:lpstr>
      <vt:lpstr>20.04</vt:lpstr>
      <vt:lpstr>19.04</vt:lpstr>
      <vt:lpstr>18.04</vt:lpstr>
      <vt:lpstr>17.04</vt:lpstr>
      <vt:lpstr>16.04</vt:lpstr>
      <vt:lpstr>EQUILIBRIO QUIMICO COM CARGA</vt:lpstr>
      <vt:lpstr>EQUILIBRIO QUIMICO</vt:lpstr>
      <vt:lpstr>16.04!Area_de_impressao</vt:lpstr>
      <vt:lpstr>17.04!Area_de_impressao</vt:lpstr>
      <vt:lpstr>18.04!Area_de_impressao</vt:lpstr>
      <vt:lpstr>19.04!Area_de_impressao</vt:lpstr>
      <vt:lpstr>20.04!Area_de_impressao</vt:lpstr>
      <vt:lpstr>21.04!Area_de_impressao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Kleiton Castro Vianna</dc:creator>
  <cp:lastModifiedBy>José Ricardo Pereira Ramos</cp:lastModifiedBy>
  <cp:lastPrinted>2026-10-13T17:06:35Z</cp:lastPrinted>
  <dcterms:created xsi:type="dcterms:W3CDTF">2015-06-05T18:19:34Z</dcterms:created>
  <dcterms:modified xsi:type="dcterms:W3CDTF">2026-10-28T12:10:06Z</dcterms:modified>
</cp:coreProperties>
</file>