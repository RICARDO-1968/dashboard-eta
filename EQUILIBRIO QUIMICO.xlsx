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5C90F05A-A9A1-4E46-A79F-B990CEDECE7A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CARGA'!$A$1:$BH$572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64" i="28" l="1"/>
  <c r="AH565" i="28"/>
  <c r="AH566" i="28"/>
  <c r="AH567" i="28"/>
  <c r="AH568" i="28"/>
  <c r="AH569" i="28"/>
  <c r="AH570" i="28"/>
  <c r="AH571" i="28"/>
  <c r="AH572" i="28"/>
  <c r="AG564" i="28"/>
  <c r="AG565" i="28"/>
  <c r="AG566" i="28"/>
  <c r="AG567" i="28"/>
  <c r="AG568" i="28"/>
  <c r="AG569" i="28"/>
  <c r="AG570" i="28"/>
  <c r="AG571" i="28"/>
  <c r="AG572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17" i="28"/>
  <c r="AH18" i="28"/>
  <c r="AH19" i="28"/>
  <c r="AH20" i="28"/>
  <c r="AH21" i="28"/>
  <c r="AH22" i="28"/>
  <c r="AH23" i="28"/>
  <c r="AH24" i="28"/>
  <c r="AH25" i="28"/>
  <c r="AH26" i="28"/>
  <c r="AH27" i="28"/>
  <c r="AH28" i="28"/>
  <c r="AH29" i="28"/>
  <c r="AH30" i="28"/>
  <c r="AH31" i="28"/>
  <c r="AH32" i="28"/>
  <c r="AH33" i="28"/>
  <c r="AH34" i="28"/>
  <c r="AH35" i="28"/>
  <c r="AH36" i="28"/>
  <c r="AH37" i="28"/>
  <c r="AH38" i="28"/>
  <c r="AH39" i="28"/>
  <c r="AH40" i="28"/>
  <c r="AH41" i="28"/>
  <c r="AH42" i="28"/>
  <c r="AH43" i="28"/>
  <c r="AH44" i="28"/>
  <c r="AH45" i="28"/>
  <c r="AH46" i="28"/>
  <c r="AH47" i="28"/>
  <c r="AH48" i="28"/>
  <c r="AH49" i="28"/>
  <c r="AH50" i="28"/>
  <c r="AH51" i="28"/>
  <c r="AH52" i="28"/>
  <c r="AH53" i="28"/>
  <c r="AH54" i="28"/>
  <c r="AH55" i="28"/>
  <c r="AH56" i="28"/>
  <c r="AH57" i="28"/>
  <c r="AH58" i="28"/>
  <c r="AH59" i="28"/>
  <c r="AH60" i="28"/>
  <c r="AH61" i="28"/>
  <c r="AH62" i="28"/>
  <c r="AH63" i="28"/>
  <c r="AH64" i="28"/>
  <c r="AH65" i="28"/>
  <c r="AH66" i="28"/>
  <c r="AH67" i="28"/>
  <c r="AH68" i="28"/>
  <c r="AH69" i="28"/>
  <c r="AH70" i="28"/>
  <c r="AH71" i="28"/>
  <c r="AH72" i="28"/>
  <c r="AH73" i="28"/>
  <c r="AH74" i="28"/>
  <c r="AH75" i="28"/>
  <c r="AH76" i="28"/>
  <c r="AH77" i="28"/>
  <c r="AH78" i="28"/>
  <c r="AH79" i="28"/>
  <c r="AH80" i="28"/>
  <c r="AH81" i="28"/>
  <c r="AH82" i="28"/>
  <c r="AH83" i="28"/>
  <c r="AH84" i="28"/>
  <c r="AH85" i="28"/>
  <c r="AH86" i="28"/>
  <c r="AH87" i="28"/>
  <c r="AH88" i="28"/>
  <c r="AH89" i="28"/>
  <c r="AH90" i="28"/>
  <c r="AH91" i="28"/>
  <c r="AH92" i="28"/>
  <c r="AH93" i="28"/>
  <c r="AH94" i="28"/>
  <c r="AH95" i="28"/>
  <c r="AH96" i="28"/>
  <c r="AH97" i="28"/>
  <c r="AH98" i="28"/>
  <c r="AH99" i="28"/>
  <c r="AH100" i="28"/>
  <c r="AH101" i="28"/>
  <c r="AH102" i="28"/>
  <c r="AH103" i="28"/>
  <c r="AH104" i="28"/>
  <c r="AH105" i="28"/>
  <c r="AH106" i="28"/>
  <c r="AH107" i="28"/>
  <c r="AH108" i="28"/>
  <c r="AH109" i="28"/>
  <c r="AH110" i="28"/>
  <c r="AH111" i="28"/>
  <c r="AH112" i="28"/>
  <c r="AH113" i="28"/>
  <c r="AH114" i="28"/>
  <c r="AH115" i="28"/>
  <c r="AH116" i="28"/>
  <c r="AH117" i="28"/>
  <c r="AH118" i="28"/>
  <c r="AH119" i="28"/>
  <c r="AH120" i="28"/>
  <c r="AH121" i="28"/>
  <c r="AH122" i="28"/>
  <c r="AH123" i="28"/>
  <c r="AH124" i="28"/>
  <c r="AH125" i="28"/>
  <c r="AH126" i="28"/>
  <c r="AH127" i="28"/>
  <c r="AH128" i="28"/>
  <c r="AH129" i="28"/>
  <c r="AH130" i="28"/>
  <c r="AH131" i="28"/>
  <c r="AH132" i="28"/>
  <c r="AH133" i="28"/>
  <c r="AH134" i="28"/>
  <c r="AH135" i="28"/>
  <c r="AH136" i="28"/>
  <c r="AH137" i="28"/>
  <c r="AH138" i="28"/>
  <c r="AH139" i="28"/>
  <c r="AH140" i="28"/>
  <c r="AH141" i="28"/>
  <c r="AH142" i="28"/>
  <c r="AH143" i="28"/>
  <c r="AH144" i="28"/>
  <c r="AH145" i="28"/>
  <c r="AH146" i="28"/>
  <c r="AH147" i="28"/>
  <c r="AH148" i="28"/>
  <c r="AH149" i="28"/>
  <c r="AH150" i="28"/>
  <c r="AH151" i="28"/>
  <c r="AH152" i="28"/>
  <c r="AH153" i="28"/>
  <c r="AH154" i="28"/>
  <c r="AH155" i="28"/>
  <c r="AH156" i="28"/>
  <c r="AH157" i="28"/>
  <c r="AH158" i="28"/>
  <c r="AH159" i="28"/>
  <c r="AH160" i="28"/>
  <c r="AH161" i="28"/>
  <c r="AH162" i="28"/>
  <c r="AH163" i="28"/>
  <c r="AH164" i="28"/>
  <c r="AH165" i="28"/>
  <c r="AH166" i="28"/>
  <c r="AH167" i="28"/>
  <c r="AH168" i="28"/>
  <c r="AH169" i="28"/>
  <c r="AH170" i="28"/>
  <c r="AH171" i="28"/>
  <c r="AH172" i="28"/>
  <c r="AH173" i="28"/>
  <c r="AH174" i="28"/>
  <c r="AH175" i="28"/>
  <c r="AH176" i="28"/>
  <c r="AH177" i="28"/>
  <c r="AH178" i="28"/>
  <c r="AH179" i="28"/>
  <c r="AH180" i="28"/>
  <c r="AH181" i="28"/>
  <c r="AH182" i="28"/>
  <c r="AH183" i="28"/>
  <c r="AH184" i="28"/>
  <c r="AH185" i="28"/>
  <c r="AH186" i="28"/>
  <c r="AH187" i="28"/>
  <c r="AH188" i="28"/>
  <c r="AH189" i="28"/>
  <c r="AH190" i="28"/>
  <c r="AH191" i="28"/>
  <c r="AH192" i="28"/>
  <c r="AH193" i="28"/>
  <c r="AH194" i="28"/>
  <c r="AH195" i="28"/>
  <c r="AH196" i="28"/>
  <c r="AH197" i="28"/>
  <c r="AH198" i="28"/>
  <c r="AH199" i="28"/>
  <c r="AH200" i="28"/>
  <c r="AH201" i="28"/>
  <c r="AH202" i="28"/>
  <c r="AH203" i="28"/>
  <c r="AH204" i="28"/>
  <c r="AH205" i="28"/>
  <c r="AH206" i="28"/>
  <c r="AH207" i="28"/>
  <c r="AH208" i="28"/>
  <c r="AH209" i="28"/>
  <c r="AH210" i="28"/>
  <c r="AH211" i="28"/>
  <c r="AH212" i="28"/>
  <c r="AH213" i="28"/>
  <c r="AH214" i="28"/>
  <c r="AH215" i="28"/>
  <c r="AH216" i="28"/>
  <c r="AH217" i="28"/>
  <c r="AH218" i="28"/>
  <c r="AH219" i="28"/>
  <c r="AH220" i="28"/>
  <c r="AH221" i="28"/>
  <c r="AH222" i="28"/>
  <c r="AH223" i="28"/>
  <c r="AH224" i="28"/>
  <c r="AH225" i="28"/>
  <c r="AH226" i="28"/>
  <c r="AH227" i="28"/>
  <c r="AH228" i="28"/>
  <c r="AH229" i="28"/>
  <c r="AH230" i="28"/>
  <c r="AH231" i="28"/>
  <c r="AH232" i="28"/>
  <c r="AH233" i="28"/>
  <c r="AH234" i="28"/>
  <c r="AH235" i="28"/>
  <c r="AH236" i="28"/>
  <c r="AH237" i="28"/>
  <c r="AH238" i="28"/>
  <c r="AH239" i="28"/>
  <c r="AH240" i="28"/>
  <c r="AH241" i="28"/>
  <c r="AH242" i="28"/>
  <c r="AH243" i="28"/>
  <c r="AH244" i="28"/>
  <c r="AH245" i="28"/>
  <c r="AH246" i="28"/>
  <c r="AH247" i="28"/>
  <c r="AH248" i="28"/>
  <c r="AH249" i="28"/>
  <c r="AH250" i="28"/>
  <c r="AH251" i="28"/>
  <c r="AH252" i="28"/>
  <c r="AH253" i="28"/>
  <c r="AH254" i="28"/>
  <c r="AH255" i="28"/>
  <c r="AH256" i="28"/>
  <c r="AH257" i="28"/>
  <c r="AH258" i="28"/>
  <c r="AH259" i="28"/>
  <c r="AH260" i="28"/>
  <c r="AH261" i="28"/>
  <c r="AH262" i="28"/>
  <c r="AH263" i="28"/>
  <c r="AH264" i="28"/>
  <c r="AH265" i="28"/>
  <c r="AH266" i="28"/>
  <c r="AH267" i="28"/>
  <c r="AH268" i="28"/>
  <c r="AH269" i="28"/>
  <c r="AH270" i="28"/>
  <c r="AH271" i="28"/>
  <c r="AH272" i="28"/>
  <c r="AH273" i="28"/>
  <c r="AH274" i="28"/>
  <c r="AH275" i="28"/>
  <c r="AH276" i="28"/>
  <c r="AH277" i="28"/>
  <c r="AH278" i="28"/>
  <c r="AH279" i="28"/>
  <c r="AH280" i="28"/>
  <c r="AH281" i="28"/>
  <c r="AH282" i="28"/>
  <c r="AH283" i="28"/>
  <c r="AH284" i="28"/>
  <c r="AH285" i="28"/>
  <c r="AH286" i="28"/>
  <c r="AH287" i="28"/>
  <c r="AH288" i="28"/>
  <c r="AH289" i="28"/>
  <c r="AH290" i="28"/>
  <c r="AH291" i="28"/>
  <c r="AH292" i="28"/>
  <c r="AH293" i="28"/>
  <c r="AH294" i="28"/>
  <c r="AH295" i="28"/>
  <c r="AH296" i="28"/>
  <c r="AH297" i="28"/>
  <c r="AH298" i="28"/>
  <c r="AH299" i="28"/>
  <c r="AH300" i="28"/>
  <c r="AH301" i="28"/>
  <c r="AH302" i="28"/>
  <c r="AH303" i="28"/>
  <c r="AH304" i="28"/>
  <c r="AH305" i="28"/>
  <c r="AH306" i="28"/>
  <c r="AH307" i="28"/>
  <c r="AH308" i="28"/>
  <c r="AH309" i="28"/>
  <c r="AH310" i="28"/>
  <c r="AH311" i="28"/>
  <c r="AH312" i="28"/>
  <c r="AH313" i="28"/>
  <c r="AH314" i="28"/>
  <c r="AH315" i="28"/>
  <c r="AH316" i="28"/>
  <c r="AH317" i="28"/>
  <c r="AH318" i="28"/>
  <c r="AH319" i="28"/>
  <c r="AH320" i="28"/>
  <c r="AH321" i="28"/>
  <c r="AH322" i="28"/>
  <c r="AH323" i="28"/>
  <c r="AH324" i="28"/>
  <c r="AH325" i="28"/>
  <c r="AH326" i="28"/>
  <c r="AH327" i="28"/>
  <c r="AH328" i="28"/>
  <c r="AH329" i="28"/>
  <c r="AH330" i="28"/>
  <c r="AH331" i="28"/>
  <c r="AH332" i="28"/>
  <c r="AH333" i="28"/>
  <c r="AH334" i="28"/>
  <c r="AH335" i="28"/>
  <c r="AH336" i="28"/>
  <c r="AH337" i="28"/>
  <c r="AH338" i="28"/>
  <c r="AH339" i="28"/>
  <c r="AH340" i="28"/>
  <c r="AH341" i="28"/>
  <c r="AH342" i="28"/>
  <c r="AH343" i="28"/>
  <c r="AH344" i="28"/>
  <c r="AH345" i="28"/>
  <c r="AH346" i="28"/>
  <c r="AH347" i="28"/>
  <c r="AH348" i="28"/>
  <c r="AH349" i="28"/>
  <c r="AH350" i="28"/>
  <c r="AH351" i="28"/>
  <c r="AH352" i="28"/>
  <c r="AH353" i="28"/>
  <c r="AH354" i="28"/>
  <c r="AH355" i="28"/>
  <c r="AH356" i="28"/>
  <c r="AH357" i="28"/>
  <c r="AH358" i="28"/>
  <c r="AH359" i="28"/>
  <c r="AH360" i="28"/>
  <c r="AH361" i="28"/>
  <c r="AH362" i="28"/>
  <c r="AH363" i="28"/>
  <c r="AH364" i="28"/>
  <c r="AH365" i="28"/>
  <c r="AH366" i="28"/>
  <c r="AH367" i="28"/>
  <c r="AH368" i="28"/>
  <c r="AH369" i="28"/>
  <c r="AH370" i="28"/>
  <c r="AH371" i="28"/>
  <c r="AH372" i="28"/>
  <c r="AH373" i="28"/>
  <c r="AH374" i="28"/>
  <c r="AH375" i="28"/>
  <c r="AH376" i="28"/>
  <c r="AH377" i="28"/>
  <c r="AH378" i="28"/>
  <c r="AH379" i="28"/>
  <c r="AH380" i="28"/>
  <c r="AH381" i="28"/>
  <c r="AH382" i="28"/>
  <c r="AH383" i="28"/>
  <c r="AH384" i="28"/>
  <c r="AH385" i="28"/>
  <c r="AH386" i="28"/>
  <c r="AH387" i="28"/>
  <c r="AH388" i="28"/>
  <c r="AH389" i="28"/>
  <c r="AH390" i="28"/>
  <c r="AH391" i="28"/>
  <c r="AH392" i="28"/>
  <c r="AH393" i="28"/>
  <c r="AH394" i="28"/>
  <c r="AH395" i="28"/>
  <c r="AH396" i="28"/>
  <c r="AH397" i="28"/>
  <c r="AH398" i="28"/>
  <c r="AH399" i="28"/>
  <c r="AH400" i="28"/>
  <c r="AH401" i="28"/>
  <c r="AH402" i="28"/>
  <c r="AH403" i="28"/>
  <c r="AH404" i="28"/>
  <c r="AH405" i="28"/>
  <c r="AH406" i="28"/>
  <c r="AH407" i="28"/>
  <c r="AH408" i="28"/>
  <c r="AH409" i="28"/>
  <c r="AH410" i="28"/>
  <c r="AH411" i="28"/>
  <c r="AH412" i="28"/>
  <c r="AH413" i="28"/>
  <c r="AH414" i="28"/>
  <c r="AH415" i="28"/>
  <c r="AH416" i="28"/>
  <c r="AH417" i="28"/>
  <c r="AH418" i="28"/>
  <c r="AH419" i="28"/>
  <c r="AH420" i="28"/>
  <c r="AH421" i="28"/>
  <c r="AH422" i="28"/>
  <c r="AH423" i="28"/>
  <c r="AH424" i="28"/>
  <c r="AH425" i="28"/>
  <c r="AH426" i="28"/>
  <c r="AH427" i="28"/>
  <c r="AH428" i="28"/>
  <c r="AH429" i="28"/>
  <c r="AH430" i="28"/>
  <c r="AH431" i="28"/>
  <c r="AH432" i="28"/>
  <c r="AH433" i="28"/>
  <c r="AH434" i="28"/>
  <c r="AH435" i="28"/>
  <c r="AH436" i="28"/>
  <c r="AH437" i="28"/>
  <c r="AH438" i="28"/>
  <c r="AH439" i="28"/>
  <c r="AH440" i="28"/>
  <c r="AH441" i="28"/>
  <c r="AH442" i="28"/>
  <c r="AH443" i="28"/>
  <c r="AH444" i="28"/>
  <c r="AH445" i="28"/>
  <c r="AH446" i="28"/>
  <c r="AH447" i="28"/>
  <c r="AH448" i="28"/>
  <c r="AH449" i="28"/>
  <c r="AH450" i="28"/>
  <c r="AH451" i="28"/>
  <c r="AH452" i="28"/>
  <c r="AH453" i="28"/>
  <c r="AH454" i="28"/>
  <c r="AH455" i="28"/>
  <c r="AH456" i="28"/>
  <c r="AH457" i="28"/>
  <c r="AH458" i="28"/>
  <c r="AH459" i="28"/>
  <c r="AH460" i="28"/>
  <c r="AH461" i="28"/>
  <c r="AH462" i="28"/>
  <c r="AH463" i="28"/>
  <c r="AH464" i="28"/>
  <c r="AH465" i="28"/>
  <c r="AH466" i="28"/>
  <c r="AH467" i="28"/>
  <c r="AH468" i="28"/>
  <c r="AH469" i="28"/>
  <c r="AH470" i="28"/>
  <c r="AH471" i="28"/>
  <c r="AH472" i="28"/>
  <c r="AH473" i="28"/>
  <c r="AH474" i="28"/>
  <c r="AH475" i="28"/>
  <c r="AH476" i="28"/>
  <c r="AH477" i="28"/>
  <c r="AH478" i="28"/>
  <c r="AH479" i="28"/>
  <c r="AH480" i="28"/>
  <c r="AH481" i="28"/>
  <c r="AH482" i="28"/>
  <c r="AH483" i="28"/>
  <c r="AH484" i="28"/>
  <c r="AH485" i="28"/>
  <c r="AH486" i="28"/>
  <c r="AH487" i="28"/>
  <c r="AH488" i="28"/>
  <c r="AH489" i="28"/>
  <c r="AH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H512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H528" i="28"/>
  <c r="AH529" i="28"/>
  <c r="AH530" i="28"/>
  <c r="AH531" i="28"/>
  <c r="AH532" i="28"/>
  <c r="AH533" i="28"/>
  <c r="AH534" i="28"/>
  <c r="AH535" i="28"/>
  <c r="AH536" i="28"/>
  <c r="AH537" i="28"/>
  <c r="AH538" i="28"/>
  <c r="AH539" i="28"/>
  <c r="AH540" i="28"/>
  <c r="AH541" i="28"/>
  <c r="AH542" i="28"/>
  <c r="AH543" i="28"/>
  <c r="AH544" i="28"/>
  <c r="AH545" i="28"/>
  <c r="AH546" i="28"/>
  <c r="AH547" i="28"/>
  <c r="AH548" i="28"/>
  <c r="AH549" i="28"/>
  <c r="AH550" i="28"/>
  <c r="AH551" i="28"/>
  <c r="AH552" i="28"/>
  <c r="AH553" i="28"/>
  <c r="AH554" i="28"/>
  <c r="AH555" i="28"/>
  <c r="AH556" i="28"/>
  <c r="AH557" i="28"/>
  <c r="AH558" i="28"/>
  <c r="AH559" i="28"/>
  <c r="AH560" i="28"/>
  <c r="AH561" i="28"/>
  <c r="AH562" i="28"/>
  <c r="AH563" i="28"/>
  <c r="AG3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AG511" i="28"/>
  <c r="AG512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G528" i="28"/>
  <c r="AG529" i="28"/>
  <c r="AG530" i="28"/>
  <c r="AG531" i="28"/>
  <c r="AG532" i="28"/>
  <c r="AG533" i="28"/>
  <c r="AG534" i="28"/>
  <c r="AG535" i="28"/>
  <c r="AG536" i="28"/>
  <c r="AG537" i="28"/>
  <c r="AG538" i="28"/>
  <c r="AG539" i="28"/>
  <c r="AG540" i="28"/>
  <c r="AG541" i="28"/>
  <c r="AG542" i="28"/>
  <c r="AG543" i="28"/>
  <c r="AG544" i="28"/>
  <c r="AG545" i="28"/>
  <c r="AG546" i="28"/>
  <c r="AG547" i="28"/>
  <c r="AG548" i="28"/>
  <c r="AG549" i="28"/>
  <c r="AG550" i="28"/>
  <c r="AG551" i="28"/>
  <c r="AG552" i="28"/>
  <c r="AG553" i="28"/>
  <c r="AG554" i="28"/>
  <c r="AG555" i="28"/>
  <c r="AG556" i="28"/>
  <c r="AG557" i="28"/>
  <c r="AG558" i="28"/>
  <c r="AG559" i="28"/>
  <c r="AG560" i="28"/>
  <c r="AG561" i="28"/>
  <c r="AG562" i="28"/>
  <c r="AG563" i="28"/>
  <c r="W3" i="28"/>
  <c r="W4" i="28"/>
  <c r="W5" i="28"/>
  <c r="W6" i="28"/>
  <c r="W7" i="28"/>
  <c r="W8" i="28"/>
  <c r="W9" i="28"/>
  <c r="W10" i="28"/>
  <c r="W11" i="28"/>
  <c r="W12" i="28"/>
  <c r="W13" i="28"/>
  <c r="W14" i="28"/>
  <c r="W15" i="28"/>
  <c r="W16" i="28"/>
  <c r="W17" i="28"/>
  <c r="W18" i="28"/>
  <c r="W19" i="28"/>
  <c r="W20" i="28"/>
  <c r="W21" i="28"/>
  <c r="W22" i="28"/>
  <c r="W23" i="28"/>
  <c r="W24" i="28"/>
  <c r="W25" i="28"/>
  <c r="W26" i="28"/>
  <c r="W27" i="28"/>
  <c r="W28" i="28"/>
  <c r="W29" i="28"/>
  <c r="W30" i="28"/>
  <c r="W31" i="28"/>
  <c r="W32" i="28"/>
  <c r="W33" i="28"/>
  <c r="W34" i="28"/>
  <c r="W35" i="28"/>
  <c r="W36" i="28"/>
  <c r="W37" i="28"/>
  <c r="W38" i="28"/>
  <c r="W39" i="28"/>
  <c r="W40" i="28"/>
  <c r="W41" i="28"/>
  <c r="W42" i="28"/>
  <c r="W43" i="28"/>
  <c r="W44" i="28"/>
  <c r="W45" i="28"/>
  <c r="W46" i="28"/>
  <c r="W47" i="28"/>
  <c r="W48" i="28"/>
  <c r="W49" i="28"/>
  <c r="W50" i="28"/>
  <c r="W51" i="28"/>
  <c r="W52" i="28"/>
  <c r="W53" i="28"/>
  <c r="W54" i="28"/>
  <c r="W55" i="28"/>
  <c r="W56" i="28"/>
  <c r="W57" i="28"/>
  <c r="W58" i="28"/>
  <c r="W59" i="28"/>
  <c r="W60" i="28"/>
  <c r="W61" i="28"/>
  <c r="W62" i="28"/>
  <c r="W63" i="28"/>
  <c r="W64" i="28"/>
  <c r="W65" i="28"/>
  <c r="W66" i="28"/>
  <c r="W67" i="28"/>
  <c r="W68" i="28"/>
  <c r="W69" i="28"/>
  <c r="W70" i="28"/>
  <c r="W71" i="28"/>
  <c r="W72" i="28"/>
  <c r="W73" i="28"/>
  <c r="W74" i="28"/>
  <c r="W75" i="28"/>
  <c r="W76" i="28"/>
  <c r="W77" i="28"/>
  <c r="W78" i="28"/>
  <c r="W79" i="28"/>
  <c r="W80" i="28"/>
  <c r="W81" i="28"/>
  <c r="W82" i="28"/>
  <c r="W83" i="28"/>
  <c r="W84" i="28"/>
  <c r="W85" i="28"/>
  <c r="W86" i="28"/>
  <c r="W87" i="28"/>
  <c r="W88" i="28"/>
  <c r="W89" i="28"/>
  <c r="W90" i="28"/>
  <c r="W91" i="28"/>
  <c r="W92" i="28"/>
  <c r="W93" i="28"/>
  <c r="W94" i="28"/>
  <c r="W95" i="28"/>
  <c r="W96" i="28"/>
  <c r="W97" i="28"/>
  <c r="W98" i="28"/>
  <c r="W99" i="28"/>
  <c r="W100" i="28"/>
  <c r="W101" i="28"/>
  <c r="W102" i="28"/>
  <c r="W103" i="28"/>
  <c r="W104" i="28"/>
  <c r="W105" i="28"/>
  <c r="W106" i="28"/>
  <c r="W107" i="28"/>
  <c r="W108" i="28"/>
  <c r="W109" i="28"/>
  <c r="W110" i="28"/>
  <c r="W111" i="28"/>
  <c r="W112" i="28"/>
  <c r="W113" i="28"/>
  <c r="W114" i="28"/>
  <c r="W115" i="28"/>
  <c r="W116" i="28"/>
  <c r="W117" i="28"/>
  <c r="W118" i="28"/>
  <c r="W119" i="28"/>
  <c r="W120" i="28"/>
  <c r="W121" i="28"/>
  <c r="W122" i="28"/>
  <c r="W123" i="28"/>
  <c r="W124" i="28"/>
  <c r="W125" i="28"/>
  <c r="W126" i="28"/>
  <c r="W127" i="28"/>
  <c r="W128" i="28"/>
  <c r="W129" i="28"/>
  <c r="W130" i="28"/>
  <c r="W131" i="28"/>
  <c r="W132" i="28"/>
  <c r="W133" i="28"/>
  <c r="W134" i="28"/>
  <c r="W135" i="28"/>
  <c r="W136" i="28"/>
  <c r="W137" i="28"/>
  <c r="W138" i="28"/>
  <c r="W139" i="28"/>
  <c r="W140" i="28"/>
  <c r="W141" i="28"/>
  <c r="W142" i="28"/>
  <c r="W143" i="28"/>
  <c r="W144" i="28"/>
  <c r="W145" i="28"/>
  <c r="W146" i="28"/>
  <c r="W147" i="28"/>
  <c r="W148" i="28"/>
  <c r="W149" i="28"/>
  <c r="W150" i="28"/>
  <c r="W151" i="28"/>
  <c r="W152" i="28"/>
  <c r="W153" i="28"/>
  <c r="W154" i="28"/>
  <c r="W155" i="28"/>
  <c r="W156" i="28"/>
  <c r="W157" i="28"/>
  <c r="W158" i="28"/>
  <c r="W159" i="28"/>
  <c r="W160" i="28"/>
  <c r="W161" i="28"/>
  <c r="W162" i="28"/>
  <c r="W163" i="28"/>
  <c r="W164" i="28"/>
  <c r="W165" i="28"/>
  <c r="W166" i="28"/>
  <c r="W167" i="28"/>
  <c r="W168" i="28"/>
  <c r="W169" i="28"/>
  <c r="W170" i="28"/>
  <c r="W171" i="28"/>
  <c r="W172" i="28"/>
  <c r="W173" i="28"/>
  <c r="W174" i="28"/>
  <c r="W175" i="28"/>
  <c r="W176" i="28"/>
  <c r="W177" i="28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W275" i="28"/>
  <c r="W276" i="28"/>
  <c r="W277" i="28"/>
  <c r="W278" i="28"/>
  <c r="W279" i="28"/>
  <c r="W280" i="28"/>
  <c r="W281" i="28"/>
  <c r="W282" i="28"/>
  <c r="W283" i="28"/>
  <c r="W284" i="28"/>
  <c r="W285" i="28"/>
  <c r="W286" i="28"/>
  <c r="W287" i="28"/>
  <c r="W288" i="28"/>
  <c r="W289" i="28"/>
  <c r="W290" i="28"/>
  <c r="W291" i="28"/>
  <c r="W292" i="28"/>
  <c r="W293" i="28"/>
  <c r="W294" i="28"/>
  <c r="W295" i="28"/>
  <c r="W296" i="28"/>
  <c r="W297" i="28"/>
  <c r="W298" i="28"/>
  <c r="W299" i="28"/>
  <c r="W300" i="28"/>
  <c r="W301" i="28"/>
  <c r="W302" i="28"/>
  <c r="W303" i="28"/>
  <c r="W304" i="28"/>
  <c r="W305" i="28"/>
  <c r="W306" i="28"/>
  <c r="W307" i="28"/>
  <c r="W308" i="28"/>
  <c r="W309" i="28"/>
  <c r="W310" i="28"/>
  <c r="W311" i="28"/>
  <c r="W312" i="28"/>
  <c r="W313" i="28"/>
  <c r="W314" i="28"/>
  <c r="W315" i="28"/>
  <c r="W316" i="28"/>
  <c r="W317" i="28"/>
  <c r="W318" i="28"/>
  <c r="W319" i="28"/>
  <c r="W320" i="28"/>
  <c r="W321" i="28"/>
  <c r="W322" i="28"/>
  <c r="W323" i="28"/>
  <c r="W324" i="28"/>
  <c r="W325" i="28"/>
  <c r="W326" i="28"/>
  <c r="W327" i="28"/>
  <c r="W328" i="28"/>
  <c r="W329" i="28"/>
  <c r="W330" i="28"/>
  <c r="W331" i="28"/>
  <c r="W332" i="28"/>
  <c r="W333" i="28"/>
  <c r="W334" i="28"/>
  <c r="W335" i="28"/>
  <c r="W336" i="28"/>
  <c r="W337" i="28"/>
  <c r="W338" i="28"/>
  <c r="W339" i="28"/>
  <c r="W340" i="28"/>
  <c r="W341" i="28"/>
  <c r="W342" i="28"/>
  <c r="W343" i="28"/>
  <c r="W344" i="28"/>
  <c r="W345" i="28"/>
  <c r="W346" i="28"/>
  <c r="W347" i="28"/>
  <c r="W348" i="28"/>
  <c r="W349" i="28"/>
  <c r="W350" i="28"/>
  <c r="W351" i="28"/>
  <c r="W352" i="28"/>
  <c r="W353" i="28"/>
  <c r="W354" i="28"/>
  <c r="W355" i="28"/>
  <c r="W356" i="28"/>
  <c r="W357" i="28"/>
  <c r="W358" i="28"/>
  <c r="W359" i="28"/>
  <c r="W360" i="28"/>
  <c r="W361" i="28"/>
  <c r="W362" i="28"/>
  <c r="W363" i="28"/>
  <c r="W364" i="28"/>
  <c r="W365" i="28"/>
  <c r="W366" i="28"/>
  <c r="W367" i="28"/>
  <c r="W368" i="28"/>
  <c r="W369" i="28"/>
  <c r="W370" i="28"/>
  <c r="W371" i="28"/>
  <c r="W372" i="28"/>
  <c r="W373" i="28"/>
  <c r="W374" i="28"/>
  <c r="W375" i="28"/>
  <c r="W376" i="28"/>
  <c r="W377" i="28"/>
  <c r="W378" i="28"/>
  <c r="W379" i="28"/>
  <c r="W380" i="28"/>
  <c r="W381" i="28"/>
  <c r="W382" i="28"/>
  <c r="W383" i="28"/>
  <c r="W384" i="28"/>
  <c r="W385" i="28"/>
  <c r="W386" i="28"/>
  <c r="W387" i="28"/>
  <c r="W388" i="28"/>
  <c r="W389" i="28"/>
  <c r="W390" i="28"/>
  <c r="W391" i="28"/>
  <c r="W392" i="28"/>
  <c r="W393" i="28"/>
  <c r="W394" i="28"/>
  <c r="W395" i="28"/>
  <c r="W396" i="28"/>
  <c r="W397" i="28"/>
  <c r="W398" i="28"/>
  <c r="W399" i="28"/>
  <c r="W400" i="28"/>
  <c r="W401" i="28"/>
  <c r="W402" i="28"/>
  <c r="W403" i="28"/>
  <c r="W404" i="28"/>
  <c r="W405" i="28"/>
  <c r="W406" i="28"/>
  <c r="W407" i="28"/>
  <c r="W408" i="28"/>
  <c r="W409" i="28"/>
  <c r="W410" i="28"/>
  <c r="W411" i="28"/>
  <c r="W412" i="28"/>
  <c r="W413" i="28"/>
  <c r="W414" i="28"/>
  <c r="W415" i="28"/>
  <c r="W416" i="28"/>
  <c r="W417" i="28"/>
  <c r="W418" i="28"/>
  <c r="W419" i="28"/>
  <c r="W420" i="28"/>
  <c r="W421" i="28"/>
  <c r="W422" i="28"/>
  <c r="W423" i="28"/>
  <c r="W424" i="28"/>
  <c r="W425" i="28"/>
  <c r="W426" i="28"/>
  <c r="W427" i="28"/>
  <c r="W428" i="28"/>
  <c r="W429" i="28"/>
  <c r="W430" i="28"/>
  <c r="W431" i="28"/>
  <c r="W432" i="28"/>
  <c r="W433" i="28"/>
  <c r="W434" i="28"/>
  <c r="W435" i="28"/>
  <c r="W436" i="28"/>
  <c r="W437" i="28"/>
  <c r="W438" i="28"/>
  <c r="W439" i="28"/>
  <c r="W440" i="28"/>
  <c r="W441" i="28"/>
  <c r="W442" i="28"/>
  <c r="W443" i="28"/>
  <c r="W444" i="28"/>
  <c r="W445" i="28"/>
  <c r="W446" i="28"/>
  <c r="W447" i="28"/>
  <c r="W448" i="28"/>
  <c r="W449" i="28"/>
  <c r="W450" i="28"/>
  <c r="W451" i="28"/>
  <c r="W452" i="28"/>
  <c r="W453" i="28"/>
  <c r="W454" i="28"/>
  <c r="W455" i="28"/>
  <c r="W456" i="28"/>
  <c r="W457" i="28"/>
  <c r="W458" i="28"/>
  <c r="W459" i="28"/>
  <c r="W460" i="28"/>
  <c r="W461" i="28"/>
  <c r="W462" i="28"/>
  <c r="W463" i="28"/>
  <c r="W464" i="28"/>
  <c r="W465" i="28"/>
  <c r="W466" i="28"/>
  <c r="W467" i="28"/>
  <c r="W468" i="28"/>
  <c r="W469" i="28"/>
  <c r="W470" i="28"/>
  <c r="W471" i="28"/>
  <c r="W472" i="28"/>
  <c r="W473" i="28"/>
  <c r="W474" i="28"/>
  <c r="W475" i="28"/>
  <c r="W476" i="28"/>
  <c r="W477" i="28"/>
  <c r="W478" i="28"/>
  <c r="W479" i="28"/>
  <c r="W480" i="28"/>
  <c r="W481" i="28"/>
  <c r="W482" i="28"/>
  <c r="W483" i="28"/>
  <c r="W484" i="28"/>
  <c r="W485" i="28"/>
  <c r="W486" i="28"/>
  <c r="W487" i="28"/>
  <c r="W488" i="28"/>
  <c r="W489" i="28"/>
  <c r="W490" i="28"/>
  <c r="W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W528" i="28"/>
  <c r="W529" i="28"/>
  <c r="W530" i="28"/>
  <c r="W531" i="28"/>
  <c r="W532" i="28"/>
  <c r="W533" i="28"/>
  <c r="W534" i="28"/>
  <c r="W535" i="28"/>
  <c r="W536" i="28"/>
  <c r="W537" i="28"/>
  <c r="W538" i="28"/>
  <c r="W539" i="28"/>
  <c r="W540" i="28"/>
  <c r="W541" i="28"/>
  <c r="W542" i="28"/>
  <c r="W543" i="28"/>
  <c r="W544" i="28"/>
  <c r="W545" i="28"/>
  <c r="W546" i="28"/>
  <c r="W547" i="28"/>
  <c r="W548" i="28"/>
  <c r="W549" i="28"/>
  <c r="W550" i="28"/>
  <c r="W551" i="28"/>
  <c r="W552" i="28"/>
  <c r="W553" i="28"/>
  <c r="W554" i="28"/>
  <c r="W555" i="28"/>
  <c r="W556" i="28"/>
  <c r="W557" i="28"/>
  <c r="W558" i="28"/>
  <c r="W559" i="28"/>
  <c r="W560" i="28"/>
  <c r="W561" i="28"/>
  <c r="W562" i="28"/>
  <c r="W563" i="28"/>
  <c r="W564" i="28"/>
  <c r="W565" i="28"/>
  <c r="W566" i="28"/>
  <c r="W567" i="28"/>
  <c r="W568" i="28"/>
  <c r="W569" i="28"/>
  <c r="W570" i="28"/>
  <c r="W571" i="28"/>
  <c r="W572" i="28"/>
  <c r="V567" i="28"/>
  <c r="X567" i="28"/>
  <c r="V568" i="28"/>
  <c r="X568" i="28"/>
  <c r="V569" i="28"/>
  <c r="X569" i="28"/>
  <c r="V570" i="28"/>
  <c r="V571" i="28"/>
  <c r="V572" i="28"/>
  <c r="V558" i="28"/>
  <c r="X558" i="28"/>
  <c r="V559" i="28"/>
  <c r="X559" i="28"/>
  <c r="V560" i="28"/>
  <c r="X560" i="28"/>
  <c r="V561" i="28"/>
  <c r="X561" i="28"/>
  <c r="V562" i="28"/>
  <c r="X562" i="28"/>
  <c r="V563" i="28"/>
  <c r="X563" i="28"/>
  <c r="V564" i="28"/>
  <c r="X564" i="28"/>
  <c r="V565" i="28"/>
  <c r="X565" i="28"/>
  <c r="V566" i="28"/>
  <c r="X566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X26" i="28"/>
  <c r="V27" i="28"/>
  <c r="X27" i="28"/>
  <c r="V28" i="28"/>
  <c r="X28" i="28"/>
  <c r="V29" i="28"/>
  <c r="X29" i="28"/>
  <c r="V30" i="28"/>
  <c r="X30" i="28"/>
  <c r="V31" i="28"/>
  <c r="X31" i="28"/>
  <c r="V32" i="28"/>
  <c r="X32" i="28"/>
  <c r="V33" i="28"/>
  <c r="X33" i="28"/>
  <c r="V34" i="28"/>
  <c r="X34" i="28"/>
  <c r="V35" i="28"/>
  <c r="X35" i="28"/>
  <c r="V36" i="28"/>
  <c r="X36" i="28"/>
  <c r="V37" i="28"/>
  <c r="X37" i="28"/>
  <c r="V38" i="28"/>
  <c r="X38" i="28"/>
  <c r="V39" i="28"/>
  <c r="X39" i="28"/>
  <c r="V40" i="28"/>
  <c r="X40" i="28"/>
  <c r="V41" i="28"/>
  <c r="X41" i="28"/>
  <c r="V42" i="28"/>
  <c r="X42" i="28"/>
  <c r="V43" i="28"/>
  <c r="X43" i="28"/>
  <c r="V44" i="28"/>
  <c r="X44" i="28"/>
  <c r="V45" i="28"/>
  <c r="X45" i="28"/>
  <c r="V46" i="28"/>
  <c r="X46" i="28"/>
  <c r="V47" i="28"/>
  <c r="X47" i="28"/>
  <c r="V48" i="28"/>
  <c r="X48" i="28"/>
  <c r="V49" i="28"/>
  <c r="X49" i="28"/>
  <c r="V50" i="28"/>
  <c r="X50" i="28"/>
  <c r="V51" i="28"/>
  <c r="X51" i="28"/>
  <c r="V52" i="28"/>
  <c r="X52" i="28"/>
  <c r="V53" i="28"/>
  <c r="X53" i="28"/>
  <c r="V54" i="28"/>
  <c r="X54" i="28"/>
  <c r="V55" i="28"/>
  <c r="X55" i="28"/>
  <c r="V56" i="28"/>
  <c r="X56" i="28"/>
  <c r="V57" i="28"/>
  <c r="X57" i="28"/>
  <c r="V58" i="28"/>
  <c r="X58" i="28"/>
  <c r="V59" i="28"/>
  <c r="X59" i="28"/>
  <c r="V60" i="28"/>
  <c r="X60" i="28"/>
  <c r="V61" i="28"/>
  <c r="X61" i="28"/>
  <c r="V62" i="28"/>
  <c r="X62" i="28"/>
  <c r="V63" i="28"/>
  <c r="X63" i="28"/>
  <c r="V64" i="28"/>
  <c r="X64" i="28"/>
  <c r="V65" i="28"/>
  <c r="X65" i="28"/>
  <c r="V66" i="28"/>
  <c r="X66" i="28"/>
  <c r="V67" i="28"/>
  <c r="X67" i="28"/>
  <c r="V68" i="28"/>
  <c r="X68" i="28"/>
  <c r="V69" i="28"/>
  <c r="X69" i="28"/>
  <c r="V70" i="28"/>
  <c r="X70" i="28"/>
  <c r="V71" i="28"/>
  <c r="X71" i="28"/>
  <c r="V72" i="28"/>
  <c r="X72" i="28"/>
  <c r="V73" i="28"/>
  <c r="X73" i="28"/>
  <c r="V74" i="28"/>
  <c r="X74" i="28"/>
  <c r="V75" i="28"/>
  <c r="X75" i="28"/>
  <c r="V76" i="28"/>
  <c r="X76" i="28"/>
  <c r="V77" i="28"/>
  <c r="X77" i="28"/>
  <c r="V78" i="28"/>
  <c r="X78" i="28"/>
  <c r="V79" i="28"/>
  <c r="X79" i="28"/>
  <c r="V80" i="28"/>
  <c r="X80" i="28"/>
  <c r="V81" i="28"/>
  <c r="X81" i="28"/>
  <c r="V82" i="28"/>
  <c r="X82" i="28"/>
  <c r="V83" i="28"/>
  <c r="X83" i="28"/>
  <c r="V84" i="28"/>
  <c r="X84" i="28"/>
  <c r="V85" i="28"/>
  <c r="X85" i="28"/>
  <c r="V86" i="28"/>
  <c r="X86" i="28"/>
  <c r="V87" i="28"/>
  <c r="X87" i="28"/>
  <c r="V88" i="28"/>
  <c r="X88" i="28"/>
  <c r="V89" i="28"/>
  <c r="X89" i="28"/>
  <c r="V90" i="28"/>
  <c r="X90" i="28"/>
  <c r="V91" i="28"/>
  <c r="X91" i="28"/>
  <c r="V92" i="28"/>
  <c r="X92" i="28"/>
  <c r="V93" i="28"/>
  <c r="X93" i="28"/>
  <c r="V94" i="28"/>
  <c r="X94" i="28"/>
  <c r="V95" i="28"/>
  <c r="X95" i="28"/>
  <c r="V96" i="28"/>
  <c r="X96" i="28"/>
  <c r="V97" i="28"/>
  <c r="X97" i="28"/>
  <c r="V98" i="28"/>
  <c r="X98" i="28"/>
  <c r="V99" i="28"/>
  <c r="X99" i="28"/>
  <c r="V100" i="28"/>
  <c r="X100" i="28"/>
  <c r="V101" i="28"/>
  <c r="X101" i="28"/>
  <c r="V102" i="28"/>
  <c r="X102" i="28"/>
  <c r="V103" i="28"/>
  <c r="X103" i="28"/>
  <c r="V104" i="28"/>
  <c r="X104" i="28"/>
  <c r="V105" i="28"/>
  <c r="X105" i="28"/>
  <c r="V106" i="28"/>
  <c r="X106" i="28"/>
  <c r="V107" i="28"/>
  <c r="X107" i="28"/>
  <c r="V108" i="28"/>
  <c r="X108" i="28"/>
  <c r="V109" i="28"/>
  <c r="X109" i="28"/>
  <c r="V110" i="28"/>
  <c r="X110" i="28"/>
  <c r="V111" i="28"/>
  <c r="X111" i="28"/>
  <c r="V112" i="28"/>
  <c r="X112" i="28"/>
  <c r="V113" i="28"/>
  <c r="X113" i="28"/>
  <c r="V114" i="28"/>
  <c r="X114" i="28"/>
  <c r="V115" i="28"/>
  <c r="X115" i="28"/>
  <c r="V116" i="28"/>
  <c r="X116" i="28"/>
  <c r="V117" i="28"/>
  <c r="X117" i="28"/>
  <c r="V118" i="28"/>
  <c r="X118" i="28"/>
  <c r="V119" i="28"/>
  <c r="X119" i="28"/>
  <c r="V120" i="28"/>
  <c r="X120" i="28"/>
  <c r="V121" i="28"/>
  <c r="X121" i="28"/>
  <c r="V122" i="28"/>
  <c r="X122" i="28"/>
  <c r="V123" i="28"/>
  <c r="X123" i="28"/>
  <c r="V124" i="28"/>
  <c r="X124" i="28"/>
  <c r="V125" i="28"/>
  <c r="X125" i="28"/>
  <c r="V126" i="28"/>
  <c r="X126" i="28"/>
  <c r="V127" i="28"/>
  <c r="X127" i="28"/>
  <c r="V128" i="28"/>
  <c r="X128" i="28"/>
  <c r="V129" i="28"/>
  <c r="X129" i="28"/>
  <c r="V130" i="28"/>
  <c r="X130" i="28"/>
  <c r="V131" i="28"/>
  <c r="X131" i="28"/>
  <c r="V132" i="28"/>
  <c r="X132" i="28"/>
  <c r="V133" i="28"/>
  <c r="X133" i="28"/>
  <c r="V134" i="28"/>
  <c r="X134" i="28"/>
  <c r="V135" i="28"/>
  <c r="X135" i="28"/>
  <c r="V136" i="28"/>
  <c r="X136" i="28"/>
  <c r="V137" i="28"/>
  <c r="X137" i="28"/>
  <c r="V138" i="28"/>
  <c r="X138" i="28"/>
  <c r="V139" i="28"/>
  <c r="X139" i="28"/>
  <c r="V140" i="28"/>
  <c r="X140" i="28"/>
  <c r="V141" i="28"/>
  <c r="X141" i="28"/>
  <c r="V142" i="28"/>
  <c r="X142" i="28"/>
  <c r="V143" i="28"/>
  <c r="X143" i="28"/>
  <c r="V144" i="28"/>
  <c r="X144" i="28"/>
  <c r="V145" i="28"/>
  <c r="X145" i="28"/>
  <c r="V146" i="28"/>
  <c r="X146" i="28"/>
  <c r="V147" i="28"/>
  <c r="X147" i="28"/>
  <c r="V148" i="28"/>
  <c r="X148" i="28"/>
  <c r="V149" i="28"/>
  <c r="X149" i="28"/>
  <c r="V150" i="28"/>
  <c r="X150" i="28"/>
  <c r="V151" i="28"/>
  <c r="X151" i="28"/>
  <c r="V152" i="28"/>
  <c r="X152" i="28"/>
  <c r="V153" i="28"/>
  <c r="X153" i="28"/>
  <c r="V154" i="28"/>
  <c r="X154" i="28"/>
  <c r="V155" i="28"/>
  <c r="X155" i="28"/>
  <c r="V156" i="28"/>
  <c r="X156" i="28"/>
  <c r="V157" i="28"/>
  <c r="X157" i="28"/>
  <c r="V158" i="28"/>
  <c r="X158" i="28"/>
  <c r="V159" i="28"/>
  <c r="X159" i="28"/>
  <c r="V160" i="28"/>
  <c r="X160" i="28"/>
  <c r="V161" i="28"/>
  <c r="X161" i="28"/>
  <c r="V162" i="28"/>
  <c r="X162" i="28"/>
  <c r="V163" i="28"/>
  <c r="X163" i="28"/>
  <c r="V164" i="28"/>
  <c r="X164" i="28"/>
  <c r="V165" i="28"/>
  <c r="X165" i="28"/>
  <c r="V166" i="28"/>
  <c r="X166" i="28"/>
  <c r="V167" i="28"/>
  <c r="X167" i="28"/>
  <c r="V168" i="28"/>
  <c r="X168" i="28"/>
  <c r="V169" i="28"/>
  <c r="X169" i="28"/>
  <c r="V170" i="28"/>
  <c r="X170" i="28"/>
  <c r="V171" i="28"/>
  <c r="X171" i="28"/>
  <c r="V172" i="28"/>
  <c r="X172" i="28"/>
  <c r="V173" i="28"/>
  <c r="X173" i="28"/>
  <c r="V174" i="28"/>
  <c r="X174" i="28"/>
  <c r="V175" i="28"/>
  <c r="X175" i="28"/>
  <c r="V176" i="28"/>
  <c r="X176" i="28"/>
  <c r="V177" i="28"/>
  <c r="X177" i="28"/>
  <c r="V178" i="28"/>
  <c r="X178" i="28"/>
  <c r="V179" i="28"/>
  <c r="X179" i="28"/>
  <c r="V180" i="28"/>
  <c r="X180" i="28"/>
  <c r="V181" i="28"/>
  <c r="X181" i="28"/>
  <c r="V182" i="28"/>
  <c r="X182" i="28"/>
  <c r="V183" i="28"/>
  <c r="X183" i="28"/>
  <c r="V184" i="28"/>
  <c r="X184" i="28"/>
  <c r="V185" i="28"/>
  <c r="X185" i="28"/>
  <c r="V186" i="28"/>
  <c r="X186" i="28"/>
  <c r="V187" i="28"/>
  <c r="X187" i="28"/>
  <c r="V188" i="28"/>
  <c r="X188" i="28"/>
  <c r="V189" i="28"/>
  <c r="X189" i="28"/>
  <c r="V190" i="28"/>
  <c r="X190" i="28"/>
  <c r="V191" i="28"/>
  <c r="X191" i="28"/>
  <c r="V192" i="28"/>
  <c r="X192" i="28"/>
  <c r="V193" i="28"/>
  <c r="X193" i="28"/>
  <c r="V194" i="28"/>
  <c r="X194" i="28"/>
  <c r="V195" i="28"/>
  <c r="X195" i="28"/>
  <c r="V196" i="28"/>
  <c r="X196" i="28"/>
  <c r="V197" i="28"/>
  <c r="X197" i="28"/>
  <c r="V198" i="28"/>
  <c r="X198" i="28"/>
  <c r="V199" i="28"/>
  <c r="X199" i="28"/>
  <c r="V200" i="28"/>
  <c r="X200" i="28"/>
  <c r="V201" i="28"/>
  <c r="X201" i="28"/>
  <c r="V202" i="28"/>
  <c r="X202" i="28"/>
  <c r="V203" i="28"/>
  <c r="X203" i="28"/>
  <c r="V204" i="28"/>
  <c r="X204" i="28"/>
  <c r="V205" i="28"/>
  <c r="X205" i="28"/>
  <c r="V206" i="28"/>
  <c r="X206" i="28"/>
  <c r="V207" i="28"/>
  <c r="X207" i="28"/>
  <c r="V208" i="28"/>
  <c r="X208" i="28"/>
  <c r="V209" i="28"/>
  <c r="X209" i="28"/>
  <c r="V210" i="28"/>
  <c r="X210" i="28"/>
  <c r="V211" i="28"/>
  <c r="X211" i="28"/>
  <c r="V212" i="28"/>
  <c r="X212" i="28"/>
  <c r="V213" i="28"/>
  <c r="X213" i="28"/>
  <c r="V214" i="28"/>
  <c r="X214" i="28"/>
  <c r="V215" i="28"/>
  <c r="X215" i="28"/>
  <c r="V216" i="28"/>
  <c r="X216" i="28"/>
  <c r="V217" i="28"/>
  <c r="X217" i="28"/>
  <c r="V218" i="28"/>
  <c r="X218" i="28"/>
  <c r="V219" i="28"/>
  <c r="X219" i="28"/>
  <c r="V220" i="28"/>
  <c r="X220" i="28"/>
  <c r="V221" i="28"/>
  <c r="X221" i="28"/>
  <c r="V222" i="28"/>
  <c r="X222" i="28"/>
  <c r="V223" i="28"/>
  <c r="X223" i="28"/>
  <c r="V224" i="28"/>
  <c r="X224" i="28"/>
  <c r="V225" i="28"/>
  <c r="X225" i="28"/>
  <c r="V226" i="28"/>
  <c r="X226" i="28"/>
  <c r="V227" i="28"/>
  <c r="X227" i="28"/>
  <c r="V228" i="28"/>
  <c r="X228" i="28"/>
  <c r="V229" i="28"/>
  <c r="X229" i="28"/>
  <c r="V230" i="28"/>
  <c r="X230" i="28"/>
  <c r="V231" i="28"/>
  <c r="X231" i="28"/>
  <c r="V232" i="28"/>
  <c r="X232" i="28"/>
  <c r="V233" i="28"/>
  <c r="X233" i="28"/>
  <c r="V234" i="28"/>
  <c r="X234" i="28"/>
  <c r="V235" i="28"/>
  <c r="X235" i="28"/>
  <c r="V236" i="28"/>
  <c r="X236" i="28"/>
  <c r="V237" i="28"/>
  <c r="X237" i="28"/>
  <c r="V238" i="28"/>
  <c r="X238" i="28"/>
  <c r="V239" i="28"/>
  <c r="X239" i="28"/>
  <c r="V240" i="28"/>
  <c r="X240" i="28"/>
  <c r="V241" i="28"/>
  <c r="X241" i="28"/>
  <c r="V242" i="28"/>
  <c r="X242" i="28"/>
  <c r="V243" i="28"/>
  <c r="X243" i="28"/>
  <c r="V244" i="28"/>
  <c r="X244" i="28"/>
  <c r="V245" i="28"/>
  <c r="X245" i="28"/>
  <c r="V246" i="28"/>
  <c r="X246" i="28"/>
  <c r="V247" i="28"/>
  <c r="X247" i="28"/>
  <c r="V248" i="28"/>
  <c r="X248" i="28"/>
  <c r="V249" i="28"/>
  <c r="X249" i="28"/>
  <c r="V250" i="28"/>
  <c r="X250" i="28"/>
  <c r="V251" i="28"/>
  <c r="X251" i="28"/>
  <c r="V252" i="28"/>
  <c r="X252" i="28"/>
  <c r="V253" i="28"/>
  <c r="X253" i="28"/>
  <c r="V254" i="28"/>
  <c r="X254" i="28"/>
  <c r="V255" i="28"/>
  <c r="X255" i="28"/>
  <c r="V256" i="28"/>
  <c r="X256" i="28"/>
  <c r="V257" i="28"/>
  <c r="X257" i="28"/>
  <c r="V258" i="28"/>
  <c r="X258" i="28"/>
  <c r="V259" i="28"/>
  <c r="X259" i="28"/>
  <c r="V260" i="28"/>
  <c r="X260" i="28"/>
  <c r="V261" i="28"/>
  <c r="X261" i="28"/>
  <c r="V262" i="28"/>
  <c r="X262" i="28"/>
  <c r="V263" i="28"/>
  <c r="X263" i="28"/>
  <c r="V264" i="28"/>
  <c r="X264" i="28"/>
  <c r="V265" i="28"/>
  <c r="X265" i="28"/>
  <c r="V266" i="28"/>
  <c r="X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X437" i="28"/>
  <c r="V438" i="28"/>
  <c r="X438" i="28"/>
  <c r="V439" i="28"/>
  <c r="X439" i="28"/>
  <c r="V440" i="28"/>
  <c r="X440" i="28"/>
  <c r="V441" i="28"/>
  <c r="X441" i="28"/>
  <c r="V442" i="28"/>
  <c r="X442" i="28"/>
  <c r="V443" i="28"/>
  <c r="X443" i="28"/>
  <c r="V444" i="28"/>
  <c r="X444" i="28"/>
  <c r="V445" i="28"/>
  <c r="X445" i="28"/>
  <c r="V446" i="28"/>
  <c r="X446" i="28"/>
  <c r="V447" i="28"/>
  <c r="X447" i="28"/>
  <c r="V448" i="28"/>
  <c r="X448" i="28"/>
  <c r="V449" i="28"/>
  <c r="X449" i="28"/>
  <c r="V450" i="28"/>
  <c r="X450" i="28"/>
  <c r="V451" i="28"/>
  <c r="X451" i="28"/>
  <c r="V452" i="28"/>
  <c r="X452" i="28"/>
  <c r="V453" i="28"/>
  <c r="X453" i="28"/>
  <c r="V454" i="28"/>
  <c r="X454" i="28"/>
  <c r="V455" i="28"/>
  <c r="X455" i="28"/>
  <c r="V456" i="28"/>
  <c r="X456" i="28"/>
  <c r="V457" i="28"/>
  <c r="X457" i="28"/>
  <c r="V458" i="28"/>
  <c r="X458" i="28"/>
  <c r="V459" i="28"/>
  <c r="X459" i="28"/>
  <c r="V460" i="28"/>
  <c r="X460" i="28"/>
  <c r="V461" i="28"/>
  <c r="X461" i="28"/>
  <c r="V462" i="28"/>
  <c r="X462" i="28"/>
  <c r="V463" i="28"/>
  <c r="X463" i="28"/>
  <c r="V464" i="28"/>
  <c r="X464" i="28"/>
  <c r="V465" i="28"/>
  <c r="X465" i="28"/>
  <c r="V466" i="28"/>
  <c r="X466" i="28"/>
  <c r="V467" i="28"/>
  <c r="X467" i="28"/>
  <c r="V468" i="28"/>
  <c r="X468" i="28"/>
  <c r="V469" i="28"/>
  <c r="X469" i="28"/>
  <c r="V470" i="28"/>
  <c r="X470" i="28"/>
  <c r="V471" i="28"/>
  <c r="X471" i="28"/>
  <c r="V472" i="28"/>
  <c r="X472" i="28"/>
  <c r="V473" i="28"/>
  <c r="X473" i="28"/>
  <c r="V474" i="28"/>
  <c r="X474" i="28"/>
  <c r="V475" i="28"/>
  <c r="X475" i="28"/>
  <c r="V476" i="28"/>
  <c r="X476" i="28"/>
  <c r="V477" i="28"/>
  <c r="X477" i="28"/>
  <c r="V478" i="28"/>
  <c r="X478" i="28"/>
  <c r="V479" i="28"/>
  <c r="X479" i="28"/>
  <c r="V480" i="28"/>
  <c r="X480" i="28"/>
  <c r="V481" i="28"/>
  <c r="X481" i="28"/>
  <c r="V482" i="28"/>
  <c r="X482" i="28"/>
  <c r="V483" i="28"/>
  <c r="X483" i="28"/>
  <c r="V484" i="28"/>
  <c r="X484" i="28"/>
  <c r="V485" i="28"/>
  <c r="X485" i="28"/>
  <c r="V486" i="28"/>
  <c r="X486" i="28"/>
  <c r="V487" i="28"/>
  <c r="X487" i="28"/>
  <c r="V488" i="28"/>
  <c r="X488" i="28"/>
  <c r="V489" i="28"/>
  <c r="X489" i="28"/>
  <c r="V490" i="28"/>
  <c r="X490" i="28"/>
  <c r="V491" i="28"/>
  <c r="X491" i="28"/>
  <c r="V492" i="28"/>
  <c r="X492" i="28"/>
  <c r="V493" i="28"/>
  <c r="X493" i="28"/>
  <c r="V494" i="28"/>
  <c r="X494" i="28"/>
  <c r="V495" i="28"/>
  <c r="X495" i="28"/>
  <c r="V496" i="28"/>
  <c r="X496" i="28"/>
  <c r="V497" i="28"/>
  <c r="X497" i="28"/>
  <c r="V498" i="28"/>
  <c r="X498" i="28"/>
  <c r="V499" i="28"/>
  <c r="X499" i="28"/>
  <c r="V500" i="28"/>
  <c r="X500" i="28"/>
  <c r="V501" i="28"/>
  <c r="X501" i="28"/>
  <c r="V502" i="28"/>
  <c r="X502" i="28"/>
  <c r="V503" i="28"/>
  <c r="X503" i="28"/>
  <c r="V504" i="28"/>
  <c r="X504" i="28"/>
  <c r="V505" i="28"/>
  <c r="X505" i="28"/>
  <c r="V506" i="28"/>
  <c r="X506" i="28"/>
  <c r="V507" i="28"/>
  <c r="X507" i="28"/>
  <c r="V508" i="28"/>
  <c r="X508" i="28"/>
  <c r="V509" i="28"/>
  <c r="X509" i="28"/>
  <c r="V510" i="28"/>
  <c r="X510" i="28"/>
  <c r="V511" i="28"/>
  <c r="X511" i="28"/>
  <c r="V512" i="28"/>
  <c r="X512" i="28"/>
  <c r="V513" i="28"/>
  <c r="X513" i="28"/>
  <c r="V514" i="28"/>
  <c r="X514" i="28"/>
  <c r="V515" i="28"/>
  <c r="X515" i="28"/>
  <c r="V516" i="28"/>
  <c r="X516" i="28"/>
  <c r="V517" i="28"/>
  <c r="X517" i="28"/>
  <c r="V518" i="28"/>
  <c r="X518" i="28"/>
  <c r="V519" i="28"/>
  <c r="X519" i="28"/>
  <c r="V520" i="28"/>
  <c r="X520" i="28"/>
  <c r="V521" i="28"/>
  <c r="X521" i="28"/>
  <c r="V522" i="28"/>
  <c r="X522" i="28"/>
  <c r="V523" i="28"/>
  <c r="X523" i="28"/>
  <c r="V524" i="28"/>
  <c r="X524" i="28"/>
  <c r="V525" i="28"/>
  <c r="X525" i="28"/>
  <c r="V526" i="28"/>
  <c r="X526" i="28"/>
  <c r="V527" i="28"/>
  <c r="X527" i="28"/>
  <c r="V528" i="28"/>
  <c r="X528" i="28"/>
  <c r="V529" i="28"/>
  <c r="X529" i="28"/>
  <c r="V530" i="28"/>
  <c r="X530" i="28"/>
  <c r="V531" i="28"/>
  <c r="X531" i="28"/>
  <c r="V532" i="28"/>
  <c r="X532" i="28"/>
  <c r="V533" i="28"/>
  <c r="X533" i="28"/>
  <c r="V534" i="28"/>
  <c r="X534" i="28"/>
  <c r="V535" i="28"/>
  <c r="X535" i="28"/>
  <c r="V536" i="28"/>
  <c r="X536" i="28"/>
  <c r="V537" i="28"/>
  <c r="X537" i="28"/>
  <c r="V538" i="28"/>
  <c r="X538" i="28"/>
  <c r="V539" i="28"/>
  <c r="X539" i="28"/>
  <c r="V540" i="28"/>
  <c r="X540" i="28"/>
  <c r="V541" i="28"/>
  <c r="X541" i="28"/>
  <c r="V542" i="28"/>
  <c r="X542" i="28"/>
  <c r="V543" i="28"/>
  <c r="X543" i="28"/>
  <c r="V544" i="28"/>
  <c r="X544" i="28"/>
  <c r="V545" i="28"/>
  <c r="X545" i="28"/>
  <c r="V546" i="28"/>
  <c r="X546" i="28"/>
  <c r="V547" i="28"/>
  <c r="X547" i="28"/>
  <c r="V548" i="28"/>
  <c r="X548" i="28"/>
  <c r="V549" i="28"/>
  <c r="X549" i="28"/>
  <c r="V550" i="28"/>
  <c r="X550" i="28"/>
  <c r="V551" i="28"/>
  <c r="X551" i="28"/>
  <c r="V552" i="28"/>
  <c r="X552" i="28"/>
  <c r="V553" i="28"/>
  <c r="X553" i="28"/>
  <c r="V554" i="28"/>
  <c r="X554" i="28"/>
  <c r="V555" i="28"/>
  <c r="X555" i="28"/>
  <c r="V556" i="28"/>
  <c r="X556" i="28"/>
  <c r="V557" i="28"/>
  <c r="X557" i="28"/>
  <c r="V10" i="28"/>
  <c r="V11" i="28"/>
  <c r="V3" i="28"/>
  <c r="V4" i="28"/>
  <c r="V5" i="28"/>
  <c r="V6" i="28"/>
  <c r="V7" i="28"/>
  <c r="V8" i="28"/>
  <c r="V9" i="28"/>
  <c r="BH572" i="28"/>
  <c r="BG572" i="28"/>
  <c r="BF572" i="28"/>
  <c r="BD572" i="28"/>
  <c r="BC572" i="28"/>
  <c r="BB572" i="28"/>
  <c r="BA572" i="28"/>
  <c r="AZ572" i="28"/>
  <c r="BE572" i="28"/>
  <c r="AY572" i="28"/>
  <c r="AX572" i="28"/>
  <c r="AR572" i="28"/>
  <c r="BH571" i="28"/>
  <c r="BG571" i="28"/>
  <c r="BF571" i="28"/>
  <c r="BD571" i="28"/>
  <c r="BC571" i="28"/>
  <c r="BB571" i="28"/>
  <c r="BA571" i="28"/>
  <c r="AZ571" i="28"/>
  <c r="BE571" i="28"/>
  <c r="AY571" i="28"/>
  <c r="AX571" i="28"/>
  <c r="AR571" i="28"/>
  <c r="BH570" i="28"/>
  <c r="BG570" i="28"/>
  <c r="BF570" i="28"/>
  <c r="BD570" i="28"/>
  <c r="BC570" i="28"/>
  <c r="BB570" i="28"/>
  <c r="BA570" i="28"/>
  <c r="AZ570" i="28"/>
  <c r="BE570" i="28"/>
  <c r="AY570" i="28"/>
  <c r="AX570" i="28"/>
  <c r="AR570" i="28"/>
  <c r="BH569" i="28"/>
  <c r="BG569" i="28"/>
  <c r="BF569" i="28"/>
  <c r="BD569" i="28"/>
  <c r="BC569" i="28"/>
  <c r="BB569" i="28"/>
  <c r="BA569" i="28"/>
  <c r="AZ569" i="28"/>
  <c r="BE569" i="28"/>
  <c r="AY569" i="28"/>
  <c r="AX569" i="28"/>
  <c r="AR569" i="28"/>
  <c r="BH568" i="28"/>
  <c r="BG568" i="28"/>
  <c r="BF568" i="28"/>
  <c r="BD568" i="28"/>
  <c r="BC568" i="28"/>
  <c r="BB568" i="28"/>
  <c r="BA568" i="28"/>
  <c r="AZ568" i="28"/>
  <c r="BE568" i="28"/>
  <c r="AY568" i="28"/>
  <c r="AX568" i="28"/>
  <c r="AR568" i="28"/>
  <c r="BH567" i="28"/>
  <c r="BG567" i="28"/>
  <c r="BF567" i="28"/>
  <c r="BD567" i="28"/>
  <c r="BC567" i="28"/>
  <c r="BB567" i="28"/>
  <c r="BA567" i="28"/>
  <c r="AZ567" i="28"/>
  <c r="BE567" i="28"/>
  <c r="AY567" i="28"/>
  <c r="AX567" i="28"/>
  <c r="AR567" i="28"/>
  <c r="BH566" i="28"/>
  <c r="BG566" i="28"/>
  <c r="BF566" i="28"/>
  <c r="BD566" i="28"/>
  <c r="BC566" i="28"/>
  <c r="BB566" i="28"/>
  <c r="BA566" i="28"/>
  <c r="AZ566" i="28"/>
  <c r="BE566" i="28"/>
  <c r="AY566" i="28"/>
  <c r="AX566" i="28"/>
  <c r="AR566" i="28"/>
  <c r="BH565" i="28"/>
  <c r="BG565" i="28"/>
  <c r="BF565" i="28"/>
  <c r="BD565" i="28"/>
  <c r="BC565" i="28"/>
  <c r="BB565" i="28"/>
  <c r="BA565" i="28"/>
  <c r="AZ565" i="28"/>
  <c r="BE565" i="28"/>
  <c r="AY565" i="28"/>
  <c r="AX565" i="28"/>
  <c r="AR565" i="28"/>
  <c r="BH564" i="28"/>
  <c r="BG564" i="28"/>
  <c r="BF564" i="28"/>
  <c r="BD564" i="28"/>
  <c r="BC564" i="28"/>
  <c r="BB564" i="28"/>
  <c r="BA564" i="28"/>
  <c r="AZ564" i="28"/>
  <c r="BE564" i="28"/>
  <c r="AY564" i="28"/>
  <c r="AX564" i="28"/>
  <c r="AR564" i="28"/>
  <c r="BH563" i="28"/>
  <c r="BG563" i="28"/>
  <c r="BF563" i="28"/>
  <c r="BD563" i="28"/>
  <c r="BC563" i="28"/>
  <c r="BB563" i="28"/>
  <c r="BA563" i="28"/>
  <c r="AZ563" i="28"/>
  <c r="BE563" i="28"/>
  <c r="AY563" i="28"/>
  <c r="AX563" i="28"/>
  <c r="AR563" i="28"/>
  <c r="BH562" i="28"/>
  <c r="BG562" i="28"/>
  <c r="BF562" i="28"/>
  <c r="BD562" i="28"/>
  <c r="BC562" i="28"/>
  <c r="BB562" i="28"/>
  <c r="BA562" i="28"/>
  <c r="AZ562" i="28"/>
  <c r="BE562" i="28"/>
  <c r="AY562" i="28"/>
  <c r="AX562" i="28"/>
  <c r="AR562" i="28"/>
  <c r="BH561" i="28"/>
  <c r="BG561" i="28"/>
  <c r="BF561" i="28"/>
  <c r="BD561" i="28"/>
  <c r="BC561" i="28"/>
  <c r="BB561" i="28"/>
  <c r="BA561" i="28"/>
  <c r="AZ561" i="28"/>
  <c r="BE561" i="28"/>
  <c r="AY561" i="28"/>
  <c r="AX561" i="28"/>
  <c r="AR561" i="28"/>
  <c r="BH560" i="28"/>
  <c r="BG560" i="28"/>
  <c r="BF560" i="28"/>
  <c r="BD560" i="28"/>
  <c r="BC560" i="28"/>
  <c r="BB560" i="28"/>
  <c r="BA560" i="28"/>
  <c r="AZ560" i="28"/>
  <c r="BE560" i="28"/>
  <c r="AY560" i="28"/>
  <c r="AX560" i="28"/>
  <c r="AR560" i="28"/>
  <c r="BH559" i="28"/>
  <c r="BG559" i="28"/>
  <c r="BF559" i="28"/>
  <c r="BD559" i="28"/>
  <c r="BC559" i="28"/>
  <c r="BB559" i="28"/>
  <c r="BA559" i="28"/>
  <c r="AZ559" i="28"/>
  <c r="BE559" i="28"/>
  <c r="AY559" i="28"/>
  <c r="AX559" i="28"/>
  <c r="AR559" i="28"/>
  <c r="BH558" i="28"/>
  <c r="BG558" i="28"/>
  <c r="BF558" i="28"/>
  <c r="BD558" i="28"/>
  <c r="BC558" i="28"/>
  <c r="BB558" i="28"/>
  <c r="BA558" i="28"/>
  <c r="AZ558" i="28"/>
  <c r="BE558" i="28"/>
  <c r="AY558" i="28"/>
  <c r="AX558" i="28"/>
  <c r="AR558" i="28"/>
  <c r="BH557" i="28"/>
  <c r="BG557" i="28"/>
  <c r="BF557" i="28"/>
  <c r="BD557" i="28"/>
  <c r="BC557" i="28"/>
  <c r="BB557" i="28"/>
  <c r="BA557" i="28"/>
  <c r="AZ557" i="28"/>
  <c r="BE557" i="28"/>
  <c r="AY557" i="28"/>
  <c r="AX557" i="28"/>
  <c r="AR557" i="28"/>
  <c r="BH556" i="28"/>
  <c r="BG556" i="28"/>
  <c r="BF556" i="28"/>
  <c r="BD556" i="28"/>
  <c r="BC556" i="28"/>
  <c r="BB556" i="28"/>
  <c r="BA556" i="28"/>
  <c r="AZ556" i="28"/>
  <c r="BE556" i="28"/>
  <c r="AY556" i="28"/>
  <c r="AX556" i="28"/>
  <c r="AR556" i="28"/>
  <c r="BH555" i="28"/>
  <c r="BG555" i="28"/>
  <c r="BF555" i="28"/>
  <c r="BD555" i="28"/>
  <c r="BC555" i="28"/>
  <c r="BB555" i="28"/>
  <c r="BA555" i="28"/>
  <c r="AZ555" i="28"/>
  <c r="BE555" i="28"/>
  <c r="AY555" i="28"/>
  <c r="AX555" i="28"/>
  <c r="AR555" i="28"/>
  <c r="BH554" i="28"/>
  <c r="BG554" i="28"/>
  <c r="BF554" i="28"/>
  <c r="BD554" i="28"/>
  <c r="BC554" i="28"/>
  <c r="BB554" i="28"/>
  <c r="BA554" i="28"/>
  <c r="AZ554" i="28"/>
  <c r="BE554" i="28"/>
  <c r="AY554" i="28"/>
  <c r="AX554" i="28"/>
  <c r="AR554" i="28"/>
  <c r="BH553" i="28"/>
  <c r="BG553" i="28"/>
  <c r="BF553" i="28"/>
  <c r="BD553" i="28"/>
  <c r="BC553" i="28"/>
  <c r="BB553" i="28"/>
  <c r="BA553" i="28"/>
  <c r="AZ553" i="28"/>
  <c r="BE553" i="28"/>
  <c r="AY553" i="28"/>
  <c r="AX553" i="28"/>
  <c r="AR553" i="28"/>
  <c r="BH552" i="28"/>
  <c r="BG552" i="28"/>
  <c r="BF552" i="28"/>
  <c r="BD552" i="28"/>
  <c r="BC552" i="28"/>
  <c r="BB552" i="28"/>
  <c r="BA552" i="28"/>
  <c r="AZ552" i="28"/>
  <c r="BE552" i="28"/>
  <c r="AY552" i="28"/>
  <c r="AX552" i="28"/>
  <c r="AR552" i="28"/>
  <c r="BH551" i="28"/>
  <c r="BG551" i="28"/>
  <c r="BF551" i="28"/>
  <c r="BD551" i="28"/>
  <c r="BC551" i="28"/>
  <c r="BB551" i="28"/>
  <c r="BA551" i="28"/>
  <c r="AZ551" i="28"/>
  <c r="BE551" i="28"/>
  <c r="AY551" i="28"/>
  <c r="AX551" i="28"/>
  <c r="AR551" i="28"/>
  <c r="BH550" i="28"/>
  <c r="BG550" i="28"/>
  <c r="BF550" i="28"/>
  <c r="BD550" i="28"/>
  <c r="BC550" i="28"/>
  <c r="BB550" i="28"/>
  <c r="BA550" i="28"/>
  <c r="AZ550" i="28"/>
  <c r="BE550" i="28"/>
  <c r="AY550" i="28"/>
  <c r="AX550" i="28"/>
  <c r="AR550" i="28"/>
  <c r="BH549" i="28"/>
  <c r="BG549" i="28"/>
  <c r="BF549" i="28"/>
  <c r="BD549" i="28"/>
  <c r="BC549" i="28"/>
  <c r="BB549" i="28"/>
  <c r="BA549" i="28"/>
  <c r="AZ549" i="28"/>
  <c r="BE549" i="28"/>
  <c r="AY549" i="28"/>
  <c r="AX549" i="28"/>
  <c r="AR549" i="28"/>
  <c r="BH548" i="28"/>
  <c r="BG548" i="28"/>
  <c r="BF548" i="28"/>
  <c r="BD548" i="28"/>
  <c r="BC548" i="28"/>
  <c r="BB548" i="28"/>
  <c r="BA548" i="28"/>
  <c r="AZ548" i="28"/>
  <c r="BE548" i="28"/>
  <c r="AY548" i="28"/>
  <c r="AX548" i="28"/>
  <c r="AR548" i="28"/>
  <c r="BH547" i="28"/>
  <c r="BG547" i="28"/>
  <c r="BF547" i="28"/>
  <c r="BD547" i="28"/>
  <c r="BC547" i="28"/>
  <c r="BB547" i="28"/>
  <c r="BA547" i="28"/>
  <c r="AZ547" i="28"/>
  <c r="BE547" i="28"/>
  <c r="AY547" i="28"/>
  <c r="AX547" i="28"/>
  <c r="AR547" i="28"/>
  <c r="BH546" i="28"/>
  <c r="BG546" i="28"/>
  <c r="BF546" i="28"/>
  <c r="BD546" i="28"/>
  <c r="BC546" i="28"/>
  <c r="BB546" i="28"/>
  <c r="BA546" i="28"/>
  <c r="AZ546" i="28"/>
  <c r="BE546" i="28"/>
  <c r="AY546" i="28"/>
  <c r="AX546" i="28"/>
  <c r="AR546" i="28"/>
  <c r="BH545" i="28"/>
  <c r="BG545" i="28"/>
  <c r="BF545" i="28"/>
  <c r="BD545" i="28"/>
  <c r="BC545" i="28"/>
  <c r="BB545" i="28"/>
  <c r="BA545" i="28"/>
  <c r="AZ545" i="28"/>
  <c r="BE545" i="28"/>
  <c r="AY545" i="28"/>
  <c r="AX545" i="28"/>
  <c r="AR545" i="28"/>
  <c r="BH544" i="28"/>
  <c r="BG544" i="28"/>
  <c r="BF544" i="28"/>
  <c r="BD544" i="28"/>
  <c r="BC544" i="28"/>
  <c r="BB544" i="28"/>
  <c r="BA544" i="28"/>
  <c r="AZ544" i="28"/>
  <c r="BE544" i="28"/>
  <c r="AY544" i="28"/>
  <c r="AX544" i="28"/>
  <c r="AR544" i="28"/>
  <c r="BH543" i="28"/>
  <c r="BG543" i="28"/>
  <c r="BF543" i="28"/>
  <c r="BD543" i="28"/>
  <c r="BC543" i="28"/>
  <c r="BB543" i="28"/>
  <c r="BA543" i="28"/>
  <c r="AZ543" i="28"/>
  <c r="BE543" i="28"/>
  <c r="AY543" i="28"/>
  <c r="AX543" i="28"/>
  <c r="AR543" i="28"/>
  <c r="BH542" i="28"/>
  <c r="BG542" i="28"/>
  <c r="BF542" i="28"/>
  <c r="BD542" i="28"/>
  <c r="BC542" i="28"/>
  <c r="BB542" i="28"/>
  <c r="BA542" i="28"/>
  <c r="AZ542" i="28"/>
  <c r="BE542" i="28"/>
  <c r="AY542" i="28"/>
  <c r="AX542" i="28"/>
  <c r="AR542" i="28"/>
  <c r="BH541" i="28"/>
  <c r="BG541" i="28"/>
  <c r="BF541" i="28"/>
  <c r="BD541" i="28"/>
  <c r="BC541" i="28"/>
  <c r="BB541" i="28"/>
  <c r="BA541" i="28"/>
  <c r="AZ541" i="28"/>
  <c r="BE541" i="28"/>
  <c r="AY541" i="28"/>
  <c r="AX541" i="28"/>
  <c r="AR541" i="28"/>
  <c r="BH540" i="28"/>
  <c r="BG540" i="28"/>
  <c r="BF540" i="28"/>
  <c r="BD540" i="28"/>
  <c r="BC540" i="28"/>
  <c r="BB540" i="28"/>
  <c r="BA540" i="28"/>
  <c r="AZ540" i="28"/>
  <c r="BE540" i="28"/>
  <c r="AY540" i="28"/>
  <c r="AX540" i="28"/>
  <c r="AR540" i="28"/>
  <c r="BH539" i="28"/>
  <c r="BG539" i="28"/>
  <c r="BF539" i="28"/>
  <c r="BD539" i="28"/>
  <c r="BC539" i="28"/>
  <c r="BB539" i="28"/>
  <c r="BA539" i="28"/>
  <c r="AZ539" i="28"/>
  <c r="BE539" i="28"/>
  <c r="AY539" i="28"/>
  <c r="AX539" i="28"/>
  <c r="AR539" i="28"/>
  <c r="BH538" i="28"/>
  <c r="BG538" i="28"/>
  <c r="BF538" i="28"/>
  <c r="BD538" i="28"/>
  <c r="BC538" i="28"/>
  <c r="BB538" i="28"/>
  <c r="BA538" i="28"/>
  <c r="AZ538" i="28"/>
  <c r="BE538" i="28"/>
  <c r="AY538" i="28"/>
  <c r="AX538" i="28"/>
  <c r="AR538" i="28"/>
  <c r="BH537" i="28"/>
  <c r="BG537" i="28"/>
  <c r="BF537" i="28"/>
  <c r="BD537" i="28"/>
  <c r="BC537" i="28"/>
  <c r="BB537" i="28"/>
  <c r="BA537" i="28"/>
  <c r="AZ537" i="28"/>
  <c r="BE537" i="28"/>
  <c r="AY537" i="28"/>
  <c r="AX537" i="28"/>
  <c r="AR537" i="28"/>
  <c r="BH536" i="28"/>
  <c r="BG536" i="28"/>
  <c r="BF536" i="28"/>
  <c r="BD536" i="28"/>
  <c r="BC536" i="28"/>
  <c r="BB536" i="28"/>
  <c r="BA536" i="28"/>
  <c r="AZ536" i="28"/>
  <c r="BE536" i="28"/>
  <c r="AY536" i="28"/>
  <c r="AX536" i="28"/>
  <c r="AR536" i="28"/>
  <c r="AS536" i="28"/>
  <c r="BH535" i="28"/>
  <c r="BG535" i="28"/>
  <c r="BF535" i="28"/>
  <c r="BD535" i="28"/>
  <c r="BC535" i="28"/>
  <c r="BB535" i="28"/>
  <c r="BA535" i="28"/>
  <c r="AZ535" i="28"/>
  <c r="BE535" i="28"/>
  <c r="AY535" i="28"/>
  <c r="AX535" i="28"/>
  <c r="AR535" i="28"/>
  <c r="BH534" i="28"/>
  <c r="BG534" i="28"/>
  <c r="BF534" i="28"/>
  <c r="BD534" i="28"/>
  <c r="BC534" i="28"/>
  <c r="BB534" i="28"/>
  <c r="BA534" i="28"/>
  <c r="AZ534" i="28"/>
  <c r="BE534" i="28"/>
  <c r="AY534" i="28"/>
  <c r="AX534" i="28"/>
  <c r="AR534" i="28"/>
  <c r="BH533" i="28"/>
  <c r="BG533" i="28"/>
  <c r="BF533" i="28"/>
  <c r="BD533" i="28"/>
  <c r="BC533" i="28"/>
  <c r="BB533" i="28"/>
  <c r="BA533" i="28"/>
  <c r="AZ533" i="28"/>
  <c r="BE533" i="28"/>
  <c r="AY533" i="28"/>
  <c r="AX533" i="28"/>
  <c r="AR533" i="28"/>
  <c r="BH532" i="28"/>
  <c r="BG532" i="28"/>
  <c r="BF532" i="28"/>
  <c r="BD532" i="28"/>
  <c r="BC532" i="28"/>
  <c r="BB532" i="28"/>
  <c r="BA532" i="28"/>
  <c r="AZ532" i="28"/>
  <c r="BE532" i="28"/>
  <c r="AY532" i="28"/>
  <c r="AX532" i="28"/>
  <c r="AR532" i="28"/>
  <c r="BH531" i="28"/>
  <c r="BG531" i="28"/>
  <c r="BF531" i="28"/>
  <c r="BD531" i="28"/>
  <c r="BC531" i="28"/>
  <c r="BB531" i="28"/>
  <c r="BA531" i="28"/>
  <c r="AZ531" i="28"/>
  <c r="BE531" i="28"/>
  <c r="AY531" i="28"/>
  <c r="AX531" i="28"/>
  <c r="AR531" i="28"/>
  <c r="BH530" i="28"/>
  <c r="BG530" i="28"/>
  <c r="BF530" i="28"/>
  <c r="BD530" i="28"/>
  <c r="BC530" i="28"/>
  <c r="BB530" i="28"/>
  <c r="BA530" i="28"/>
  <c r="AZ530" i="28"/>
  <c r="BE530" i="28"/>
  <c r="AY530" i="28"/>
  <c r="AX530" i="28"/>
  <c r="AR530" i="28"/>
  <c r="BH529" i="28"/>
  <c r="BG529" i="28"/>
  <c r="BF529" i="28"/>
  <c r="BD529" i="28"/>
  <c r="BC529" i="28"/>
  <c r="BB529" i="28"/>
  <c r="BA529" i="28"/>
  <c r="AZ529" i="28"/>
  <c r="BE529" i="28"/>
  <c r="AY529" i="28"/>
  <c r="AX529" i="28"/>
  <c r="AR529" i="28"/>
  <c r="BH528" i="28"/>
  <c r="BG528" i="28"/>
  <c r="BF528" i="28"/>
  <c r="BD528" i="28"/>
  <c r="BC528" i="28"/>
  <c r="BB528" i="28"/>
  <c r="BA528" i="28"/>
  <c r="AZ528" i="28"/>
  <c r="BE528" i="28"/>
  <c r="AY528" i="28"/>
  <c r="AX528" i="28"/>
  <c r="AR528" i="28"/>
  <c r="AS528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R512" i="28"/>
  <c r="AH2" i="28"/>
  <c r="AG2" i="28"/>
  <c r="W2" i="28"/>
  <c r="AY493" i="28"/>
  <c r="BF488" i="28"/>
  <c r="AR511" i="28"/>
  <c r="AR510" i="28"/>
  <c r="AU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V2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X267" i="28"/>
  <c r="X268" i="28"/>
  <c r="X269" i="28"/>
  <c r="X270" i="28"/>
  <c r="X271" i="28"/>
  <c r="X357" i="28"/>
  <c r="X358" i="28"/>
  <c r="X359" i="28"/>
  <c r="X360" i="28"/>
  <c r="X361" i="28"/>
  <c r="X362" i="28"/>
  <c r="X363" i="28"/>
  <c r="X364" i="28"/>
  <c r="X365" i="28"/>
  <c r="X366" i="28"/>
  <c r="X367" i="28"/>
  <c r="X368" i="28"/>
  <c r="X369" i="28"/>
  <c r="X370" i="28"/>
  <c r="X371" i="28"/>
  <c r="X372" i="28"/>
  <c r="X373" i="28"/>
  <c r="X374" i="28"/>
  <c r="X375" i="28"/>
  <c r="X376" i="28"/>
  <c r="X377" i="28"/>
  <c r="X378" i="28"/>
  <c r="X379" i="28"/>
  <c r="X380" i="28"/>
  <c r="X381" i="28"/>
  <c r="X382" i="28"/>
  <c r="X383" i="28"/>
  <c r="X384" i="28"/>
  <c r="X385" i="28"/>
  <c r="X386" i="28"/>
  <c r="X387" i="28"/>
  <c r="X388" i="28"/>
  <c r="X389" i="28"/>
  <c r="X390" i="28"/>
  <c r="X391" i="28"/>
  <c r="X392" i="28"/>
  <c r="X393" i="28"/>
  <c r="X394" i="28"/>
  <c r="X395" i="28"/>
  <c r="X396" i="28"/>
  <c r="X397" i="28"/>
  <c r="X398" i="28"/>
  <c r="X399" i="28"/>
  <c r="X400" i="28"/>
  <c r="X401" i="28"/>
  <c r="X402" i="28"/>
  <c r="X403" i="28"/>
  <c r="X404" i="28"/>
  <c r="X405" i="28"/>
  <c r="X406" i="28"/>
  <c r="X407" i="28"/>
  <c r="X408" i="28"/>
  <c r="X409" i="28"/>
  <c r="X410" i="28"/>
  <c r="X411" i="28"/>
  <c r="X412" i="28"/>
  <c r="X413" i="28"/>
  <c r="X414" i="28"/>
  <c r="X415" i="28"/>
  <c r="X416" i="28"/>
  <c r="X417" i="28"/>
  <c r="X418" i="28"/>
  <c r="X419" i="28"/>
  <c r="X420" i="28"/>
  <c r="X421" i="28"/>
  <c r="X422" i="28"/>
  <c r="X423" i="28"/>
  <c r="X424" i="28"/>
  <c r="X425" i="28"/>
  <c r="X426" i="28"/>
  <c r="X427" i="28"/>
  <c r="X428" i="28"/>
  <c r="X429" i="28"/>
  <c r="X430" i="28"/>
  <c r="X431" i="28"/>
  <c r="X432" i="28"/>
  <c r="X433" i="28"/>
  <c r="X434" i="28"/>
  <c r="X435" i="28"/>
  <c r="X436" i="28"/>
  <c r="X272" i="28"/>
  <c r="X273" i="28"/>
  <c r="X274" i="28"/>
  <c r="X275" i="28"/>
  <c r="X276" i="28"/>
  <c r="X277" i="28"/>
  <c r="X278" i="28"/>
  <c r="X279" i="28"/>
  <c r="X280" i="28"/>
  <c r="X281" i="28"/>
  <c r="X282" i="28"/>
  <c r="X283" i="28"/>
  <c r="X284" i="28"/>
  <c r="X285" i="28"/>
  <c r="X286" i="28"/>
  <c r="X287" i="28"/>
  <c r="X288" i="28"/>
  <c r="X289" i="28"/>
  <c r="X290" i="28"/>
  <c r="X291" i="28"/>
  <c r="X292" i="28"/>
  <c r="X293" i="28"/>
  <c r="X294" i="28"/>
  <c r="X295" i="28"/>
  <c r="X296" i="28"/>
  <c r="X297" i="28"/>
  <c r="X298" i="28"/>
  <c r="X299" i="28"/>
  <c r="X300" i="28"/>
  <c r="X301" i="28"/>
  <c r="X302" i="28"/>
  <c r="X303" i="28"/>
  <c r="X304" i="28"/>
  <c r="X305" i="28"/>
  <c r="X306" i="28"/>
  <c r="X307" i="28"/>
  <c r="X308" i="28"/>
  <c r="X309" i="28"/>
  <c r="X310" i="28"/>
  <c r="X311" i="28"/>
  <c r="X312" i="28"/>
  <c r="X313" i="28"/>
  <c r="X314" i="28"/>
  <c r="X315" i="28"/>
  <c r="X316" i="28"/>
  <c r="X317" i="28"/>
  <c r="X318" i="28"/>
  <c r="X319" i="28"/>
  <c r="X320" i="28"/>
  <c r="X321" i="28"/>
  <c r="X322" i="28"/>
  <c r="X323" i="28"/>
  <c r="X324" i="28"/>
  <c r="X325" i="28"/>
  <c r="X326" i="28"/>
  <c r="X327" i="28"/>
  <c r="X328" i="28"/>
  <c r="X329" i="28"/>
  <c r="X330" i="28"/>
  <c r="X331" i="28"/>
  <c r="X332" i="28"/>
  <c r="X333" i="28"/>
  <c r="X334" i="28"/>
  <c r="X335" i="28"/>
  <c r="X336" i="28"/>
  <c r="X337" i="28"/>
  <c r="X338" i="28"/>
  <c r="X339" i="28"/>
  <c r="X340" i="28"/>
  <c r="X341" i="28"/>
  <c r="X342" i="28"/>
  <c r="X343" i="28"/>
  <c r="X344" i="28"/>
  <c r="X345" i="28"/>
  <c r="X346" i="28"/>
  <c r="X347" i="28"/>
  <c r="X348" i="28"/>
  <c r="X349" i="28"/>
  <c r="X350" i="28"/>
  <c r="X351" i="28"/>
  <c r="X352" i="28"/>
  <c r="X353" i="28"/>
  <c r="X354" i="28"/>
  <c r="X355" i="28"/>
  <c r="X356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17" i="28"/>
  <c r="AI18" i="28"/>
  <c r="AI19" i="28"/>
  <c r="AI20" i="28"/>
  <c r="AI21" i="28"/>
  <c r="AI22" i="28"/>
  <c r="AI23" i="28"/>
  <c r="AI24" i="28"/>
  <c r="AI25" i="28"/>
  <c r="AI26" i="28"/>
  <c r="AI27" i="28"/>
  <c r="AI28" i="28"/>
  <c r="AI29" i="28"/>
  <c r="AI30" i="28"/>
  <c r="AI31" i="28"/>
  <c r="AI32" i="28"/>
  <c r="AI33" i="28"/>
  <c r="AI34" i="28"/>
  <c r="AI35" i="28"/>
  <c r="AI36" i="28"/>
  <c r="AI37" i="28"/>
  <c r="AI38" i="28"/>
  <c r="AI39" i="28"/>
  <c r="AI40" i="28"/>
  <c r="AI41" i="28"/>
  <c r="AI42" i="28"/>
  <c r="AI43" i="28"/>
  <c r="AI44" i="28"/>
  <c r="AI45" i="28"/>
  <c r="AI46" i="28"/>
  <c r="AI47" i="28"/>
  <c r="AI48" i="28"/>
  <c r="AI49" i="28"/>
  <c r="AI50" i="28"/>
  <c r="AI51" i="28"/>
  <c r="AI52" i="28"/>
  <c r="AI53" i="28"/>
  <c r="AI54" i="28"/>
  <c r="AI55" i="28"/>
  <c r="AI56" i="28"/>
  <c r="AI57" i="28"/>
  <c r="AI58" i="28"/>
  <c r="AI59" i="28"/>
  <c r="AI60" i="28"/>
  <c r="AI61" i="28"/>
  <c r="AI62" i="28"/>
  <c r="AI63" i="28"/>
  <c r="AI64" i="28"/>
  <c r="AI65" i="28"/>
  <c r="AI66" i="28"/>
  <c r="AI67" i="28"/>
  <c r="AI68" i="28"/>
  <c r="AI69" i="28"/>
  <c r="AI70" i="28"/>
  <c r="AI71" i="28"/>
  <c r="AI72" i="28"/>
  <c r="AI73" i="28"/>
  <c r="AI74" i="28"/>
  <c r="AI75" i="28"/>
  <c r="AI76" i="28"/>
  <c r="AI77" i="28"/>
  <c r="AI78" i="28"/>
  <c r="AI79" i="28"/>
  <c r="AI80" i="28"/>
  <c r="AI81" i="28"/>
  <c r="AI82" i="28"/>
  <c r="AI83" i="28"/>
  <c r="AI84" i="28"/>
  <c r="AI85" i="28"/>
  <c r="AI86" i="28"/>
  <c r="AI87" i="28"/>
  <c r="AI88" i="28"/>
  <c r="AI89" i="28"/>
  <c r="AI90" i="28"/>
  <c r="AI91" i="28"/>
  <c r="AI92" i="28"/>
  <c r="AI93" i="28"/>
  <c r="AI94" i="28"/>
  <c r="AI95" i="28"/>
  <c r="AI96" i="28"/>
  <c r="AI97" i="28"/>
  <c r="AI98" i="28"/>
  <c r="AI99" i="28"/>
  <c r="AI100" i="28"/>
  <c r="AI101" i="28"/>
  <c r="AI102" i="28"/>
  <c r="AI103" i="28"/>
  <c r="AI104" i="28"/>
  <c r="AI105" i="28"/>
  <c r="AI106" i="28"/>
  <c r="AI107" i="28"/>
  <c r="AI108" i="28"/>
  <c r="AI109" i="28"/>
  <c r="AI110" i="28"/>
  <c r="AI111" i="28"/>
  <c r="AI112" i="28"/>
  <c r="AI113" i="28"/>
  <c r="AI114" i="28"/>
  <c r="AI115" i="28"/>
  <c r="AI116" i="28"/>
  <c r="AI117" i="28"/>
  <c r="AI118" i="28"/>
  <c r="AI119" i="28"/>
  <c r="AI120" i="28"/>
  <c r="AI121" i="28"/>
  <c r="AI122" i="28"/>
  <c r="AI123" i="28"/>
  <c r="AI124" i="28"/>
  <c r="AI125" i="28"/>
  <c r="AI126" i="28"/>
  <c r="AI127" i="28"/>
  <c r="AI128" i="28"/>
  <c r="AI129" i="28"/>
  <c r="AI130" i="28"/>
  <c r="AI131" i="28"/>
  <c r="AI132" i="28"/>
  <c r="AI133" i="28"/>
  <c r="AI134" i="28"/>
  <c r="AI135" i="28"/>
  <c r="AI136" i="28"/>
  <c r="AI137" i="28"/>
  <c r="AI138" i="28"/>
  <c r="AI139" i="28"/>
  <c r="AI140" i="28"/>
  <c r="AI141" i="28"/>
  <c r="AI142" i="28"/>
  <c r="AI143" i="28"/>
  <c r="AI144" i="28"/>
  <c r="AI145" i="28"/>
  <c r="AI146" i="28"/>
  <c r="AI147" i="28"/>
  <c r="AI148" i="28"/>
  <c r="AI149" i="28"/>
  <c r="AI150" i="28"/>
  <c r="AI151" i="28"/>
  <c r="AI152" i="28"/>
  <c r="AI153" i="28"/>
  <c r="AI154" i="28"/>
  <c r="AI155" i="28"/>
  <c r="AI156" i="28"/>
  <c r="AI157" i="28"/>
  <c r="AI158" i="28"/>
  <c r="AI159" i="28"/>
  <c r="AI160" i="28"/>
  <c r="AI161" i="28"/>
  <c r="AI162" i="28"/>
  <c r="AI163" i="28"/>
  <c r="AI164" i="28"/>
  <c r="AI165" i="28"/>
  <c r="AI166" i="28"/>
  <c r="AI167" i="28"/>
  <c r="AI168" i="28"/>
  <c r="AI169" i="28"/>
  <c r="AI170" i="28"/>
  <c r="AI171" i="28"/>
  <c r="AI172" i="28"/>
  <c r="AI173" i="28"/>
  <c r="AI174" i="28"/>
  <c r="AI175" i="28"/>
  <c r="AI176" i="28"/>
  <c r="AI177" i="28"/>
  <c r="AI178" i="28"/>
  <c r="AI179" i="28"/>
  <c r="AI180" i="28"/>
  <c r="AI181" i="28"/>
  <c r="AI182" i="28"/>
  <c r="AI183" i="28"/>
  <c r="AI184" i="28"/>
  <c r="AI185" i="28"/>
  <c r="AI186" i="28"/>
  <c r="AI187" i="28"/>
  <c r="AI188" i="28"/>
  <c r="AI189" i="28"/>
  <c r="AI190" i="28"/>
  <c r="AI191" i="28"/>
  <c r="AI192" i="28"/>
  <c r="AI193" i="28"/>
  <c r="AI194" i="28"/>
  <c r="AI195" i="28"/>
  <c r="AI196" i="28"/>
  <c r="AI197" i="28"/>
  <c r="AI198" i="28"/>
  <c r="AI199" i="28"/>
  <c r="AI200" i="28"/>
  <c r="AI201" i="28"/>
  <c r="AI202" i="28"/>
  <c r="AI203" i="28"/>
  <c r="AI204" i="28"/>
  <c r="AI205" i="28"/>
  <c r="AI206" i="28"/>
  <c r="AI207" i="28"/>
  <c r="AI208" i="28"/>
  <c r="AI209" i="28"/>
  <c r="AI210" i="28"/>
  <c r="AI211" i="28"/>
  <c r="AI212" i="28"/>
  <c r="AI213" i="28"/>
  <c r="AI214" i="28"/>
  <c r="AI215" i="28"/>
  <c r="AI216" i="28"/>
  <c r="AI217" i="28"/>
  <c r="AI218" i="28"/>
  <c r="AI219" i="28"/>
  <c r="AI220" i="28"/>
  <c r="AI221" i="28"/>
  <c r="AI222" i="28"/>
  <c r="AI223" i="28"/>
  <c r="AI224" i="28"/>
  <c r="AI225" i="28"/>
  <c r="AI226" i="28"/>
  <c r="AI227" i="28"/>
  <c r="AI228" i="28"/>
  <c r="AI229" i="28"/>
  <c r="AI230" i="28"/>
  <c r="AI231" i="28"/>
  <c r="AI232" i="28"/>
  <c r="AI233" i="28"/>
  <c r="AI234" i="28"/>
  <c r="AI235" i="28"/>
  <c r="AI236" i="28"/>
  <c r="AI237" i="28"/>
  <c r="AI238" i="28"/>
  <c r="AI239" i="28"/>
  <c r="AI240" i="28"/>
  <c r="AI241" i="28"/>
  <c r="AI242" i="28"/>
  <c r="AI243" i="28"/>
  <c r="AI244" i="28"/>
  <c r="AI245" i="28"/>
  <c r="AI246" i="28"/>
  <c r="AI247" i="28"/>
  <c r="AI248" i="28"/>
  <c r="AI249" i="28"/>
  <c r="AI250" i="28"/>
  <c r="AI251" i="28"/>
  <c r="AI252" i="28"/>
  <c r="AI253" i="28"/>
  <c r="AI254" i="28"/>
  <c r="AI255" i="28"/>
  <c r="AI256" i="28"/>
  <c r="AI257" i="28"/>
  <c r="AI258" i="28"/>
  <c r="AI259" i="28"/>
  <c r="AI260" i="28"/>
  <c r="AI261" i="28"/>
  <c r="AI262" i="28"/>
  <c r="AI263" i="28"/>
  <c r="AI264" i="28"/>
  <c r="AI265" i="28"/>
  <c r="AI266" i="28"/>
  <c r="AI267" i="28"/>
  <c r="AI268" i="28"/>
  <c r="AI269" i="28"/>
  <c r="AI270" i="28"/>
  <c r="AI271" i="28"/>
  <c r="AI272" i="28"/>
  <c r="AI273" i="28"/>
  <c r="AI274" i="28"/>
  <c r="AI275" i="28"/>
  <c r="AI276" i="28"/>
  <c r="AI277" i="28"/>
  <c r="AI278" i="28"/>
  <c r="AI279" i="28"/>
  <c r="AI280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353" i="28"/>
  <c r="AI354" i="28"/>
  <c r="AI355" i="28"/>
  <c r="AI356" i="28"/>
  <c r="AI357" i="28"/>
  <c r="AI358" i="28"/>
  <c r="AI359" i="28"/>
  <c r="AI360" i="28"/>
  <c r="AI361" i="28"/>
  <c r="AI362" i="28"/>
  <c r="AI363" i="28"/>
  <c r="AI364" i="28"/>
  <c r="AI365" i="28"/>
  <c r="AI366" i="28"/>
  <c r="AI367" i="28"/>
  <c r="AI368" i="28"/>
  <c r="AI369" i="28"/>
  <c r="AI370" i="28"/>
  <c r="AI371" i="28"/>
  <c r="AI372" i="28"/>
  <c r="AI373" i="28"/>
  <c r="AI374" i="28"/>
  <c r="AI375" i="28"/>
  <c r="AI376" i="28"/>
  <c r="AI377" i="28"/>
  <c r="AI378" i="28"/>
  <c r="AI379" i="28"/>
  <c r="AI380" i="28"/>
  <c r="AI381" i="28"/>
  <c r="AI382" i="28"/>
  <c r="AI383" i="28"/>
  <c r="AI384" i="28"/>
  <c r="AI385" i="28"/>
  <c r="AI386" i="28"/>
  <c r="AI387" i="28"/>
  <c r="AI388" i="28"/>
  <c r="AI389" i="28"/>
  <c r="AI390" i="28"/>
  <c r="AI391" i="28"/>
  <c r="AI392" i="28"/>
  <c r="AI393" i="28"/>
  <c r="AI394" i="28"/>
  <c r="AI395" i="28"/>
  <c r="AI396" i="28"/>
  <c r="AI397" i="28"/>
  <c r="AI398" i="28"/>
  <c r="AI399" i="28"/>
  <c r="AI400" i="28"/>
  <c r="AI401" i="28"/>
  <c r="AI402" i="28"/>
  <c r="AI403" i="28"/>
  <c r="AI404" i="28"/>
  <c r="AI405" i="28"/>
  <c r="AI406" i="28"/>
  <c r="AI407" i="28"/>
  <c r="AI408" i="28"/>
  <c r="AI409" i="28"/>
  <c r="AI410" i="28"/>
  <c r="AI411" i="28"/>
  <c r="AI412" i="28"/>
  <c r="AI413" i="28"/>
  <c r="AI414" i="28"/>
  <c r="AI415" i="28"/>
  <c r="AI416" i="28"/>
  <c r="AI417" i="28"/>
  <c r="AI418" i="28"/>
  <c r="AI419" i="28"/>
  <c r="AI420" i="28"/>
  <c r="AI421" i="28"/>
  <c r="AI422" i="28"/>
  <c r="AI423" i="28"/>
  <c r="AI424" i="28"/>
  <c r="AI425" i="28"/>
  <c r="AI426" i="28"/>
  <c r="AI427" i="28"/>
  <c r="AI428" i="28"/>
  <c r="AI429" i="28"/>
  <c r="AI430" i="28"/>
  <c r="AI431" i="28"/>
  <c r="AI432" i="28"/>
  <c r="AI433" i="28"/>
  <c r="AI434" i="28"/>
  <c r="AI435" i="28"/>
  <c r="AI436" i="28"/>
  <c r="AI437" i="28"/>
  <c r="AI438" i="28"/>
  <c r="AI439" i="28"/>
  <c r="AI440" i="28"/>
  <c r="AI441" i="28"/>
  <c r="AI442" i="28"/>
  <c r="AI443" i="28"/>
  <c r="AI444" i="28"/>
  <c r="AI445" i="28"/>
  <c r="AI446" i="28"/>
  <c r="AI447" i="28"/>
  <c r="AI448" i="28"/>
  <c r="AI449" i="28"/>
  <c r="AI450" i="28"/>
  <c r="AI451" i="28"/>
  <c r="AI452" i="28"/>
  <c r="AI453" i="28"/>
  <c r="AI454" i="28"/>
  <c r="AI455" i="28"/>
  <c r="AI456" i="28"/>
  <c r="AI457" i="28"/>
  <c r="AI458" i="28"/>
  <c r="AI459" i="28"/>
  <c r="AI460" i="28"/>
  <c r="AI461" i="28"/>
  <c r="AI462" i="28"/>
  <c r="AI463" i="28"/>
  <c r="AI464" i="28"/>
  <c r="AI465" i="28"/>
  <c r="AI466" i="28"/>
  <c r="AI467" i="28"/>
  <c r="AI468" i="28"/>
  <c r="AI469" i="28"/>
  <c r="AI470" i="28"/>
  <c r="AI471" i="28"/>
  <c r="AI472" i="28"/>
  <c r="AI473" i="28"/>
  <c r="AI474" i="28"/>
  <c r="AI475" i="28"/>
  <c r="AI476" i="28"/>
  <c r="AI477" i="28"/>
  <c r="AI478" i="28"/>
  <c r="AI479" i="28"/>
  <c r="AI480" i="28"/>
  <c r="AI481" i="28"/>
  <c r="AI482" i="28"/>
  <c r="AI483" i="28"/>
  <c r="AI484" i="28"/>
  <c r="AI485" i="28"/>
  <c r="AI486" i="28"/>
  <c r="AI487" i="28"/>
  <c r="AI488" i="28"/>
  <c r="AI489" i="28"/>
  <c r="AI490" i="28"/>
  <c r="AI491" i="28"/>
  <c r="AI492" i="28"/>
  <c r="AI493" i="28"/>
  <c r="AI494" i="28"/>
  <c r="AI495" i="28"/>
  <c r="AI496" i="28"/>
  <c r="AI497" i="28"/>
  <c r="AI498" i="28"/>
  <c r="AI499" i="28"/>
  <c r="AI500" i="28"/>
  <c r="AI501" i="28"/>
  <c r="AI502" i="28"/>
  <c r="AI503" i="28"/>
  <c r="AI504" i="28"/>
  <c r="AI505" i="28"/>
  <c r="AI506" i="28"/>
  <c r="AI507" i="28"/>
  <c r="AI508" i="28"/>
  <c r="AI509" i="28"/>
  <c r="AI510" i="28"/>
  <c r="AI511" i="28"/>
  <c r="AI512" i="28"/>
  <c r="AW512" i="28"/>
  <c r="AI513" i="28"/>
  <c r="AW513" i="28"/>
  <c r="AI514" i="28"/>
  <c r="AW514" i="28"/>
  <c r="AI515" i="28"/>
  <c r="AW515" i="28"/>
  <c r="AI516" i="28"/>
  <c r="AW516" i="28"/>
  <c r="AI517" i="28"/>
  <c r="AW517" i="28"/>
  <c r="AI518" i="28"/>
  <c r="AW518" i="28"/>
  <c r="AI519" i="28"/>
  <c r="AW519" i="28"/>
  <c r="AI520" i="28"/>
  <c r="AW520" i="28"/>
  <c r="AI521" i="28"/>
  <c r="AW521" i="28"/>
  <c r="AI522" i="28"/>
  <c r="AW522" i="28"/>
  <c r="AI523" i="28"/>
  <c r="AW523" i="28"/>
  <c r="AI524" i="28"/>
  <c r="AW524" i="28"/>
  <c r="AI525" i="28"/>
  <c r="AW525" i="28"/>
  <c r="AI526" i="28"/>
  <c r="AW526" i="28"/>
  <c r="AI527" i="28"/>
  <c r="AW527" i="28"/>
  <c r="AI528" i="28"/>
  <c r="AI529" i="28"/>
  <c r="AI530" i="28"/>
  <c r="AI531" i="28"/>
  <c r="AI532" i="28"/>
  <c r="AI533" i="28"/>
  <c r="AI534" i="28"/>
  <c r="AI535" i="28"/>
  <c r="AI536" i="28"/>
  <c r="AI537" i="28"/>
  <c r="AI538" i="28"/>
  <c r="AI539" i="28"/>
  <c r="AI540" i="28"/>
  <c r="AI541" i="28"/>
  <c r="AI542" i="28"/>
  <c r="AI543" i="28"/>
  <c r="AI544" i="28"/>
  <c r="AI545" i="28"/>
  <c r="AI546" i="28"/>
  <c r="AI547" i="28"/>
  <c r="AI548" i="28"/>
  <c r="AI549" i="28"/>
  <c r="AI550" i="28"/>
  <c r="AI551" i="28"/>
  <c r="AI552" i="28"/>
  <c r="AI553" i="28"/>
  <c r="AI554" i="28"/>
  <c r="AI555" i="28"/>
  <c r="AI556" i="28"/>
  <c r="X2" i="28"/>
  <c r="AI564" i="28"/>
  <c r="AI565" i="28"/>
  <c r="AI566" i="28"/>
  <c r="AI567" i="28"/>
  <c r="AI568" i="28"/>
  <c r="AI569" i="28"/>
  <c r="AI570" i="28"/>
  <c r="AI571" i="28"/>
  <c r="AI572" i="28"/>
  <c r="AI557" i="28"/>
  <c r="AI558" i="28"/>
  <c r="AI559" i="28"/>
  <c r="AI560" i="28"/>
  <c r="AI561" i="28"/>
  <c r="AI562" i="28"/>
  <c r="AI563" i="28"/>
  <c r="X3" i="28"/>
  <c r="X4" i="28"/>
  <c r="X5" i="28"/>
  <c r="X6" i="28"/>
  <c r="X7" i="28"/>
  <c r="X8" i="28"/>
  <c r="X9" i="28"/>
  <c r="X10" i="28"/>
  <c r="X11" i="28"/>
  <c r="X12" i="28"/>
  <c r="X13" i="28"/>
  <c r="X14" i="28"/>
  <c r="X15" i="28"/>
  <c r="X16" i="28"/>
  <c r="X17" i="28"/>
  <c r="X18" i="28"/>
  <c r="X19" i="28"/>
  <c r="X20" i="28"/>
  <c r="X21" i="28"/>
  <c r="X22" i="28"/>
  <c r="X23" i="28"/>
  <c r="X24" i="28"/>
  <c r="X25" i="28"/>
  <c r="X570" i="28"/>
  <c r="X571" i="28"/>
  <c r="X572" i="28"/>
  <c r="AS572" i="28"/>
  <c r="AU572" i="28"/>
  <c r="AT572" i="28"/>
  <c r="AS571" i="28"/>
  <c r="AT571" i="28"/>
  <c r="AU571" i="28"/>
  <c r="AU570" i="28"/>
  <c r="AT570" i="28"/>
  <c r="AS570" i="28"/>
  <c r="AU569" i="28"/>
  <c r="AT569" i="28"/>
  <c r="AS569" i="28"/>
  <c r="AU568" i="28"/>
  <c r="AT568" i="28"/>
  <c r="AS568" i="28"/>
  <c r="AT567" i="28"/>
  <c r="AU567" i="28"/>
  <c r="AS567" i="28"/>
  <c r="AU566" i="28"/>
  <c r="AT566" i="28"/>
  <c r="AS566" i="28"/>
  <c r="AU565" i="28"/>
  <c r="AT565" i="28"/>
  <c r="AS565" i="28"/>
  <c r="AU564" i="28"/>
  <c r="AT564" i="28"/>
  <c r="AS564" i="28"/>
  <c r="AT563" i="28"/>
  <c r="AS563" i="28"/>
  <c r="AU563" i="28"/>
  <c r="AT562" i="28"/>
  <c r="AU562" i="28"/>
  <c r="AS562" i="28"/>
  <c r="AU561" i="28"/>
  <c r="AS561" i="28"/>
  <c r="AT561" i="28"/>
  <c r="AU560" i="28"/>
  <c r="AT560" i="28"/>
  <c r="AS560" i="28"/>
  <c r="AU559" i="28"/>
  <c r="AT559" i="28"/>
  <c r="AS559" i="28"/>
  <c r="AS558" i="28"/>
  <c r="AU558" i="28"/>
  <c r="AT558" i="28"/>
  <c r="AU557" i="28"/>
  <c r="AT557" i="28"/>
  <c r="AS557" i="28"/>
  <c r="AS556" i="28"/>
  <c r="AU556" i="28"/>
  <c r="AT556" i="28"/>
  <c r="AT555" i="28"/>
  <c r="AS555" i="28"/>
  <c r="AU555" i="28"/>
  <c r="AT554" i="28"/>
  <c r="AS554" i="28"/>
  <c r="AU554" i="28"/>
  <c r="AT553" i="28"/>
  <c r="AU553" i="28"/>
  <c r="AS553" i="28"/>
  <c r="AS552" i="28"/>
  <c r="AU552" i="28"/>
  <c r="AT552" i="28"/>
  <c r="AT551" i="28"/>
  <c r="AS551" i="28"/>
  <c r="AU551" i="28"/>
  <c r="AU550" i="28"/>
  <c r="AT550" i="28"/>
  <c r="AS550" i="28"/>
  <c r="AT549" i="28"/>
  <c r="AS549" i="28"/>
  <c r="AU549" i="28"/>
  <c r="AU548" i="28"/>
  <c r="AS548" i="28"/>
  <c r="AT548" i="28"/>
  <c r="AT547" i="28"/>
  <c r="AS547" i="28"/>
  <c r="AU547" i="28"/>
  <c r="AS546" i="28"/>
  <c r="AT546" i="28"/>
  <c r="AU546" i="28"/>
  <c r="AU545" i="28"/>
  <c r="AS545" i="28"/>
  <c r="AT545" i="28"/>
  <c r="AS544" i="28"/>
  <c r="AT544" i="28"/>
  <c r="AU544" i="28"/>
  <c r="AT543" i="28"/>
  <c r="AU543" i="28"/>
  <c r="AS543" i="28"/>
  <c r="AS542" i="28"/>
  <c r="AT542" i="28"/>
  <c r="AU542" i="28"/>
  <c r="AU541" i="28"/>
  <c r="AT541" i="28"/>
  <c r="AS541" i="28"/>
  <c r="AS540" i="28"/>
  <c r="AT540" i="28"/>
  <c r="AU540" i="28"/>
  <c r="AS539" i="28"/>
  <c r="AU539" i="28"/>
  <c r="AT539" i="28"/>
  <c r="AS538" i="28"/>
  <c r="AU538" i="28"/>
  <c r="AT538" i="28"/>
  <c r="AS537" i="28"/>
  <c r="AU537" i="28"/>
  <c r="AT537" i="28"/>
  <c r="AU536" i="28"/>
  <c r="AT536" i="28"/>
  <c r="AS535" i="28"/>
  <c r="AU535" i="28"/>
  <c r="AT535" i="28"/>
  <c r="AT534" i="28"/>
  <c r="AS534" i="28"/>
  <c r="AU534" i="28"/>
  <c r="AS533" i="28"/>
  <c r="AT533" i="28"/>
  <c r="AU533" i="28"/>
  <c r="AT532" i="28"/>
  <c r="AU532" i="28"/>
  <c r="AS532" i="28"/>
  <c r="AT531" i="28"/>
  <c r="AU531" i="28"/>
  <c r="AS531" i="28"/>
  <c r="AT530" i="28"/>
  <c r="AU530" i="28"/>
  <c r="AS530" i="28"/>
  <c r="AS529" i="28"/>
  <c r="AU529" i="28"/>
  <c r="AT529" i="28"/>
  <c r="AU528" i="28"/>
  <c r="AT528" i="28"/>
  <c r="AI2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  <c r="AV532" i="28"/>
  <c r="AV533" i="28"/>
  <c r="AV571" i="28"/>
  <c r="AV570" i="28"/>
  <c r="AV538" i="28"/>
  <c r="AV567" i="28"/>
  <c r="AV534" i="28"/>
  <c r="AV529" i="28"/>
  <c r="AV546" i="28"/>
  <c r="AV530" i="28"/>
  <c r="AV547" i="28"/>
  <c r="AV562" i="28"/>
  <c r="AV564" i="28"/>
  <c r="AV549" i="28"/>
  <c r="AV572" i="28"/>
  <c r="AV563" i="28"/>
  <c r="AV531" i="28"/>
  <c r="AV536" i="28"/>
  <c r="AV556" i="28"/>
  <c r="AV568" i="28"/>
  <c r="AV552" i="28"/>
  <c r="AV560" i="28"/>
  <c r="AV551" i="28"/>
  <c r="AV557" i="28"/>
  <c r="AV540" i="28"/>
  <c r="AV559" i="28"/>
  <c r="AV542" i="28"/>
  <c r="AV545" i="28"/>
  <c r="AV539" i="28"/>
  <c r="AV535" i="28"/>
  <c r="AV548" i="28"/>
  <c r="AV544" i="28"/>
  <c r="AV554" i="28"/>
  <c r="AV541" i="28"/>
  <c r="AV553" i="28"/>
  <c r="AV555" i="28"/>
  <c r="AV537" i="28"/>
  <c r="AV558" i="28"/>
  <c r="AV565" i="28"/>
  <c r="AV566" i="28"/>
  <c r="AV528" i="28"/>
  <c r="AV550" i="28"/>
  <c r="AV543" i="28"/>
  <c r="AV561" i="28"/>
  <c r="AV569" i="28"/>
  <c r="AW568" i="28"/>
  <c r="AW548" i="28"/>
  <c r="AW563" i="28"/>
  <c r="AW555" i="28"/>
  <c r="AW543" i="28"/>
  <c r="AW551" i="28"/>
  <c r="AW572" i="28"/>
  <c r="AW544" i="28"/>
  <c r="AW558" i="28"/>
  <c r="AW560" i="28"/>
  <c r="AW536" i="28"/>
  <c r="AW547" i="28"/>
  <c r="AW561" i="28"/>
  <c r="AW569" i="28"/>
  <c r="AW541" i="28"/>
  <c r="AW538" i="28"/>
  <c r="AW529" i="28"/>
  <c r="AW531" i="28"/>
  <c r="AW550" i="28"/>
  <c r="AW570" i="28"/>
  <c r="AW537" i="28"/>
  <c r="AW532" i="28"/>
  <c r="AW553" i="28"/>
  <c r="AW562" i="28"/>
  <c r="AW571" i="28"/>
  <c r="AW540" i="28"/>
  <c r="AW567" i="28"/>
  <c r="AW552" i="28"/>
  <c r="AW534" i="28"/>
  <c r="AW564" i="28"/>
  <c r="AW559" i="28"/>
  <c r="AW565" i="28"/>
  <c r="AW554" i="28"/>
  <c r="AW535" i="28"/>
  <c r="AW556" i="28"/>
  <c r="AW528" i="28"/>
  <c r="AW566" i="28"/>
  <c r="AW549" i="28"/>
  <c r="AW545" i="28"/>
  <c r="AW546" i="28"/>
  <c r="AW539" i="28"/>
  <c r="AW530" i="28"/>
  <c r="AW542" i="28"/>
  <c r="AW533" i="28"/>
  <c r="AW557" i="28"/>
</calcChain>
</file>

<file path=xl/sharedStrings.xml><?xml version="1.0" encoding="utf-8"?>
<sst xmlns="http://schemas.openxmlformats.org/spreadsheetml/2006/main" count="1679" uniqueCount="117">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</sst>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164" fontId="0" fillId="0" borderId="10" xfId="0" quotePrefix="1" applyNumberFormat="1" applyBorder="1" applyAlignment="1">
      <alignment horizontal="center" vertical="center"/>
    </xf>
    <xf numFmtId="9" fontId="0" fillId="0" borderId="13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95" t="s">
        <v>39</v>
      </c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</row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6" t="s">
        <v>45</v>
      </c>
      <c r="R8" s="96"/>
      <c r="S8" s="96"/>
      <c r="T8" s="96"/>
      <c r="U8" s="96" t="s">
        <v>46</v>
      </c>
      <c r="V8" s="96"/>
      <c r="W8" s="96"/>
      <c r="X8" s="9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72"/>
  <sheetViews>
    <sheetView tabSelected="1" zoomScaleNormal="100" workbookViewId="0"/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style="61" customWidth="1"/>
    <col min="11" max="13" width="8.875" style="61"/>
    <col min="14" max="14" width="8.875" style="28"/>
    <col min="15" max="15" width="8.875" style="40"/>
    <col min="16" max="16" width="8.875" style="61"/>
    <col min="17" max="17" width="8.875" style="28"/>
    <col min="18" max="18" width="9.14453125" style="40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25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56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74" t="s">
        <v>90</v>
      </c>
      <c r="AW1" s="74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57">
        <v>90</v>
      </c>
      <c r="K2" s="57">
        <v>90</v>
      </c>
      <c r="L2" s="57">
        <v>90</v>
      </c>
      <c r="M2" s="57">
        <v>25</v>
      </c>
      <c r="N2" s="63">
        <v>6.4</v>
      </c>
      <c r="O2" s="36">
        <v>1.06</v>
      </c>
      <c r="P2" s="57">
        <v>8</v>
      </c>
      <c r="Q2" s="63">
        <v>5.8</v>
      </c>
      <c r="R2" s="36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93">
        <f t="shared" ref="AS2:AS65" si="2">C2/AR2</f>
        <v>0.17073170731707318</v>
      </c>
      <c r="AT2" s="93">
        <f t="shared" ref="AT2:AT65" si="3">D2/AR2</f>
        <v>0.82926829268292679</v>
      </c>
      <c r="AU2" s="93">
        <f t="shared" ref="AU2:AU65" si="4">E2/AR2</f>
        <v>0</v>
      </c>
      <c r="AV2" s="26">
        <f t="shared" ref="AV2:AV65" si="5">IF(AND(F2&lt;&gt;"",Z2&lt;&gt;""),AB2/(F2/2/Z2),"")</f>
        <v>6.1818181818181821E-2</v>
      </c>
      <c r="AW2" s="26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57">
        <v>90</v>
      </c>
      <c r="K3" s="57">
        <v>90</v>
      </c>
      <c r="L3" s="57">
        <v>90</v>
      </c>
      <c r="M3" s="57">
        <v>25.4</v>
      </c>
      <c r="N3" s="63">
        <v>6.4</v>
      </c>
      <c r="O3" s="36">
        <v>0.9</v>
      </c>
      <c r="P3" s="57">
        <v>7</v>
      </c>
      <c r="Q3" s="63">
        <v>5</v>
      </c>
      <c r="R3" s="36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93">
        <f t="shared" si="2"/>
        <v>0.17632732586458841</v>
      </c>
      <c r="AT3" s="93">
        <f t="shared" si="3"/>
        <v>0.82367267413541156</v>
      </c>
      <c r="AU3" s="93">
        <f t="shared" si="4"/>
        <v>0</v>
      </c>
      <c r="AV3" s="26">
        <f t="shared" si="5"/>
        <v>6.2385321100917435E-2</v>
      </c>
      <c r="AW3" s="26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57">
        <v>90</v>
      </c>
      <c r="K4" s="57">
        <v>90</v>
      </c>
      <c r="L4" s="57">
        <v>90</v>
      </c>
      <c r="M4" s="57">
        <v>26.6</v>
      </c>
      <c r="N4" s="63">
        <v>6.5</v>
      </c>
      <c r="O4" s="36">
        <v>0.98</v>
      </c>
      <c r="P4" s="57">
        <v>9</v>
      </c>
      <c r="Q4" s="63">
        <v>6.3</v>
      </c>
      <c r="R4" s="36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93">
        <f t="shared" si="2"/>
        <v>0.15370866845397677</v>
      </c>
      <c r="AT4" s="93">
        <f t="shared" si="3"/>
        <v>0.68990169794459344</v>
      </c>
      <c r="AU4" s="93">
        <f t="shared" si="4"/>
        <v>0.15638963360142985</v>
      </c>
      <c r="AV4" s="26">
        <f t="shared" si="5"/>
        <v>5.9649122807017542E-2</v>
      </c>
      <c r="AW4" s="26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57">
        <v>90</v>
      </c>
      <c r="K5" s="57">
        <v>90</v>
      </c>
      <c r="L5" s="57">
        <v>90</v>
      </c>
      <c r="M5" s="57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36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93">
        <f t="shared" si="2"/>
        <v>0.15367679436371642</v>
      </c>
      <c r="AT5" s="93">
        <f t="shared" si="3"/>
        <v>0.69220607661822986</v>
      </c>
      <c r="AU5" s="93">
        <f t="shared" si="4"/>
        <v>0.15411712901805372</v>
      </c>
      <c r="AV5" s="26">
        <f t="shared" si="5"/>
        <v>6.142728093947606E-2</v>
      </c>
      <c r="AW5" s="26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57">
        <v>90</v>
      </c>
      <c r="K6" s="57">
        <v>90</v>
      </c>
      <c r="L6" s="57">
        <v>90</v>
      </c>
      <c r="M6" s="57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36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93">
        <f t="shared" si="2"/>
        <v>0.14902998236331569</v>
      </c>
      <c r="AT6" s="93">
        <f t="shared" si="3"/>
        <v>0.69708994708994709</v>
      </c>
      <c r="AU6" s="93">
        <f t="shared" si="4"/>
        <v>0.15388007054673722</v>
      </c>
      <c r="AV6" s="26">
        <f t="shared" si="5"/>
        <v>5.7142857142857141E-2</v>
      </c>
      <c r="AW6" s="26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57">
        <v>90</v>
      </c>
      <c r="K7" s="57">
        <v>90</v>
      </c>
      <c r="L7" s="57">
        <v>90</v>
      </c>
      <c r="M7" s="57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36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93">
        <f t="shared" si="2"/>
        <v>0.16222879684418146</v>
      </c>
      <c r="AT7" s="93">
        <f t="shared" si="3"/>
        <v>0.66518737672583828</v>
      </c>
      <c r="AU7" s="93">
        <f t="shared" si="4"/>
        <v>0.17258382642998027</v>
      </c>
      <c r="AV7" s="26">
        <f t="shared" si="5"/>
        <v>5.8369098712446353E-2</v>
      </c>
      <c r="AW7" s="26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57">
        <v>90</v>
      </c>
      <c r="K8" s="57">
        <v>90</v>
      </c>
      <c r="L8" s="57">
        <v>90</v>
      </c>
      <c r="M8" s="57">
        <v>24.3</v>
      </c>
      <c r="N8" s="63">
        <v>6.6</v>
      </c>
      <c r="O8" s="36">
        <v>0.98</v>
      </c>
      <c r="P8" s="57">
        <v>6</v>
      </c>
      <c r="Q8" s="63">
        <v>7.4</v>
      </c>
      <c r="R8" s="36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93">
        <f t="shared" si="2"/>
        <v>0.15150136487716107</v>
      </c>
      <c r="AT8" s="93">
        <f t="shared" si="3"/>
        <v>0.69381255686988175</v>
      </c>
      <c r="AU8" s="93">
        <f t="shared" si="4"/>
        <v>0.15468607825295724</v>
      </c>
      <c r="AV8" s="26">
        <f t="shared" si="5"/>
        <v>6.0471320586927522E-2</v>
      </c>
      <c r="AW8" s="26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58">
        <v>90</v>
      </c>
      <c r="K9" s="58">
        <v>90</v>
      </c>
      <c r="L9" s="58">
        <v>90</v>
      </c>
      <c r="M9" s="58">
        <v>24.2</v>
      </c>
      <c r="N9" s="64">
        <v>6.6</v>
      </c>
      <c r="O9" s="37">
        <v>0.87</v>
      </c>
      <c r="P9" s="58">
        <v>5</v>
      </c>
      <c r="Q9" s="64">
        <v>7</v>
      </c>
      <c r="R9" s="37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93">
        <f t="shared" si="2"/>
        <v>0.15029161058770749</v>
      </c>
      <c r="AT9" s="93">
        <f t="shared" si="3"/>
        <v>0.69313593539703899</v>
      </c>
      <c r="AU9" s="93">
        <f t="shared" si="4"/>
        <v>0.15657245401525346</v>
      </c>
      <c r="AV9" s="26">
        <f t="shared" si="5"/>
        <v>5.8620689655172413E-2</v>
      </c>
      <c r="AW9" s="26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59">
        <v>90</v>
      </c>
      <c r="K10" s="59">
        <v>90</v>
      </c>
      <c r="L10" s="59">
        <v>90</v>
      </c>
      <c r="M10" s="59">
        <v>24.9</v>
      </c>
      <c r="N10" s="65">
        <v>6.4</v>
      </c>
      <c r="O10" s="38">
        <v>0.97</v>
      </c>
      <c r="P10" s="59">
        <v>7</v>
      </c>
      <c r="Q10" s="65">
        <v>6.9</v>
      </c>
      <c r="R10" s="38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93">
        <f t="shared" si="2"/>
        <v>0.14561322921451539</v>
      </c>
      <c r="AT10" s="93">
        <f t="shared" si="3"/>
        <v>0.69361506660542027</v>
      </c>
      <c r="AU10" s="93">
        <f t="shared" si="4"/>
        <v>0.16077170418006431</v>
      </c>
      <c r="AV10" s="26">
        <f t="shared" si="5"/>
        <v>4.3965517241379308E-2</v>
      </c>
      <c r="AW10" s="26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57">
        <v>90</v>
      </c>
      <c r="K11" s="57">
        <v>90</v>
      </c>
      <c r="L11" s="57">
        <v>90</v>
      </c>
      <c r="M11" s="57">
        <v>26.1</v>
      </c>
      <c r="N11" s="63">
        <v>6.5</v>
      </c>
      <c r="O11" s="36">
        <v>0.96</v>
      </c>
      <c r="P11" s="57">
        <v>5</v>
      </c>
      <c r="Q11" s="63">
        <v>8</v>
      </c>
      <c r="R11" s="36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93">
        <f t="shared" si="2"/>
        <v>0.1338475499092559</v>
      </c>
      <c r="AT11" s="93">
        <f t="shared" si="3"/>
        <v>0.7078039927404719</v>
      </c>
      <c r="AU11" s="93">
        <f t="shared" si="4"/>
        <v>0.15834845735027223</v>
      </c>
      <c r="AV11" s="26">
        <f t="shared" si="5"/>
        <v>4.7441860465116281E-2</v>
      </c>
      <c r="AW11" s="26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57">
        <v>90</v>
      </c>
      <c r="K12" s="57">
        <v>90</v>
      </c>
      <c r="L12" s="57">
        <v>90</v>
      </c>
      <c r="M12" s="57">
        <v>27.2</v>
      </c>
      <c r="N12" s="63">
        <v>6.4</v>
      </c>
      <c r="O12" s="36">
        <v>0.9</v>
      </c>
      <c r="P12" s="57">
        <v>6</v>
      </c>
      <c r="Q12" s="63">
        <v>7.6</v>
      </c>
      <c r="R12" s="36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93">
        <f t="shared" si="2"/>
        <v>0.14712643678160919</v>
      </c>
      <c r="AT12" s="93">
        <f t="shared" si="3"/>
        <v>0.69195402298850572</v>
      </c>
      <c r="AU12" s="93">
        <f t="shared" si="4"/>
        <v>0.16091954022988506</v>
      </c>
      <c r="AV12" s="26">
        <f t="shared" si="5"/>
        <v>4.7331786542923429E-2</v>
      </c>
      <c r="AW12" s="26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57">
        <v>90</v>
      </c>
      <c r="K13" s="57">
        <v>90</v>
      </c>
      <c r="L13" s="57">
        <v>90</v>
      </c>
      <c r="M13" s="57">
        <v>25.9</v>
      </c>
      <c r="N13" s="63">
        <v>6.4</v>
      </c>
      <c r="O13" s="36">
        <v>0.99</v>
      </c>
      <c r="P13" s="57">
        <v>7</v>
      </c>
      <c r="Q13" s="63">
        <v>6.8</v>
      </c>
      <c r="R13" s="36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93">
        <f t="shared" si="2"/>
        <v>0.14008133755083596</v>
      </c>
      <c r="AT13" s="93">
        <f t="shared" si="3"/>
        <v>0.70221418888386811</v>
      </c>
      <c r="AU13" s="93">
        <f t="shared" si="4"/>
        <v>0.15770447356529599</v>
      </c>
      <c r="AV13" s="26">
        <f t="shared" si="5"/>
        <v>4.5333333333333337E-2</v>
      </c>
      <c r="AW13" s="26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57">
        <v>90</v>
      </c>
      <c r="K14" s="57">
        <v>90</v>
      </c>
      <c r="L14" s="57">
        <v>90</v>
      </c>
      <c r="M14" s="57">
        <v>26</v>
      </c>
      <c r="N14" s="63">
        <v>6.4</v>
      </c>
      <c r="O14" s="36">
        <v>0.89</v>
      </c>
      <c r="P14" s="57">
        <v>6</v>
      </c>
      <c r="Q14" s="63">
        <v>7.4</v>
      </c>
      <c r="R14" s="36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93">
        <f t="shared" si="2"/>
        <v>0.1683673469387755</v>
      </c>
      <c r="AT14" s="93">
        <f t="shared" si="3"/>
        <v>0.66929499072356213</v>
      </c>
      <c r="AU14" s="93">
        <f t="shared" si="4"/>
        <v>0.16233766233766234</v>
      </c>
      <c r="AV14" s="26">
        <f t="shared" si="5"/>
        <v>6.0525144637294172E-2</v>
      </c>
      <c r="AW14" s="26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57">
        <v>90</v>
      </c>
      <c r="K15" s="57">
        <v>90</v>
      </c>
      <c r="L15" s="57">
        <v>90</v>
      </c>
      <c r="M15" s="57">
        <v>25.8</v>
      </c>
      <c r="N15" s="63">
        <v>6.4</v>
      </c>
      <c r="O15" s="36">
        <v>0.91</v>
      </c>
      <c r="P15" s="57">
        <v>6</v>
      </c>
      <c r="Q15" s="63">
        <v>7.2</v>
      </c>
      <c r="R15" s="36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93">
        <f t="shared" si="2"/>
        <v>0.16822429906542055</v>
      </c>
      <c r="AT15" s="93">
        <f t="shared" si="3"/>
        <v>0.66822429906542058</v>
      </c>
      <c r="AU15" s="93">
        <f t="shared" si="4"/>
        <v>0.16355140186915887</v>
      </c>
      <c r="AV15" s="26">
        <f t="shared" si="5"/>
        <v>6.2385321100917435E-2</v>
      </c>
      <c r="AW15" s="26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57">
        <v>90</v>
      </c>
      <c r="K16" s="57">
        <v>90</v>
      </c>
      <c r="L16" s="57">
        <v>90</v>
      </c>
      <c r="M16" s="57">
        <v>24.4</v>
      </c>
      <c r="N16" s="63">
        <v>6.4</v>
      </c>
      <c r="O16" s="36">
        <v>0.92</v>
      </c>
      <c r="P16" s="57">
        <v>6</v>
      </c>
      <c r="Q16" s="63">
        <v>7.5</v>
      </c>
      <c r="R16" s="36">
        <v>0.09</v>
      </c>
      <c r="S16" s="36">
        <v>22.36</v>
      </c>
      <c r="T16" s="36">
        <v>0.88</v>
      </c>
      <c r="U16" s="36">
        <v>0.7</v>
      </c>
      <c r="V16" s="42">
        <f t="shared" si="18"/>
        <v>744.27555555555557</v>
      </c>
      <c r="W16" s="42">
        <f t="shared" si="19"/>
        <v>1372.556302</v>
      </c>
      <c r="X16" s="42">
        <f t="shared" si="20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93">
        <f t="shared" si="2"/>
        <v>0.16651162790697674</v>
      </c>
      <c r="AT16" s="93">
        <f t="shared" si="3"/>
        <v>0.67116279069767437</v>
      </c>
      <c r="AU16" s="93">
        <f t="shared" si="4"/>
        <v>0.16232558139534883</v>
      </c>
      <c r="AV16" s="26">
        <f t="shared" si="5"/>
        <v>0.13521873619089703</v>
      </c>
      <c r="AW16" s="26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57">
        <v>90</v>
      </c>
      <c r="K17" s="57">
        <v>90</v>
      </c>
      <c r="L17" s="57">
        <v>90</v>
      </c>
      <c r="M17" s="57">
        <v>24.7</v>
      </c>
      <c r="N17" s="63">
        <v>6.5</v>
      </c>
      <c r="O17" s="36">
        <v>1</v>
      </c>
      <c r="P17" s="57">
        <v>6</v>
      </c>
      <c r="Q17" s="63">
        <v>6.8</v>
      </c>
      <c r="R17" s="36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93">
        <f t="shared" si="2"/>
        <v>0.16513761467889909</v>
      </c>
      <c r="AT17" s="93">
        <f t="shared" si="3"/>
        <v>0.67431192660550454</v>
      </c>
      <c r="AU17" s="93">
        <f t="shared" si="4"/>
        <v>0.16055045871559634</v>
      </c>
      <c r="AV17" s="26">
        <f t="shared" si="5"/>
        <v>6.0203629924745462E-2</v>
      </c>
      <c r="AW17" s="26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58">
        <v>90</v>
      </c>
      <c r="K18" s="58">
        <v>90</v>
      </c>
      <c r="L18" s="58">
        <v>90</v>
      </c>
      <c r="M18" s="58">
        <v>24.4</v>
      </c>
      <c r="N18" s="64">
        <v>6.5</v>
      </c>
      <c r="O18" s="37">
        <v>0.82</v>
      </c>
      <c r="P18" s="58">
        <v>6</v>
      </c>
      <c r="Q18" s="64">
        <v>7.1</v>
      </c>
      <c r="R18" s="37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93">
        <f t="shared" si="2"/>
        <v>0.16589861751152074</v>
      </c>
      <c r="AT18" s="93">
        <f t="shared" si="3"/>
        <v>0.67281105990783407</v>
      </c>
      <c r="AU18" s="93">
        <f t="shared" si="4"/>
        <v>0.16129032258064516</v>
      </c>
      <c r="AV18" s="26">
        <f t="shared" si="5"/>
        <v>6.0256978289765173E-2</v>
      </c>
      <c r="AW18" s="26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59">
        <v>90</v>
      </c>
      <c r="K19" s="59">
        <v>90</v>
      </c>
      <c r="L19" s="59">
        <v>90</v>
      </c>
      <c r="M19" s="59">
        <v>24.3</v>
      </c>
      <c r="N19" s="65">
        <v>6.4</v>
      </c>
      <c r="O19" s="38">
        <v>6.93</v>
      </c>
      <c r="P19" s="59">
        <v>6</v>
      </c>
      <c r="Q19" s="65">
        <v>8.9</v>
      </c>
      <c r="R19" s="38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93">
        <f t="shared" si="2"/>
        <v>0.27762039660056659</v>
      </c>
      <c r="AT19" s="93">
        <f t="shared" si="3"/>
        <v>0.48158640226628896</v>
      </c>
      <c r="AU19" s="93">
        <f t="shared" si="4"/>
        <v>0.24079320113314448</v>
      </c>
      <c r="AV19" s="26">
        <f t="shared" si="5"/>
        <v>7.435757244395845E-2</v>
      </c>
      <c r="AW19" s="26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57">
        <v>90</v>
      </c>
      <c r="K20" s="57">
        <v>90</v>
      </c>
      <c r="L20" s="57">
        <v>90</v>
      </c>
      <c r="M20" s="57">
        <v>25.8</v>
      </c>
      <c r="N20" s="63">
        <v>6.4</v>
      </c>
      <c r="O20" s="36">
        <v>1.016</v>
      </c>
      <c r="P20" s="57">
        <v>6</v>
      </c>
      <c r="Q20" s="63">
        <v>8.5</v>
      </c>
      <c r="R20" s="36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93">
        <f t="shared" si="2"/>
        <v>0.27272727272727271</v>
      </c>
      <c r="AT20" s="93">
        <f t="shared" si="3"/>
        <v>0.48313321898227557</v>
      </c>
      <c r="AU20" s="93">
        <f t="shared" si="4"/>
        <v>0.2441395082904517</v>
      </c>
      <c r="AV20" s="26">
        <f t="shared" si="5"/>
        <v>7.8160919540229884E-2</v>
      </c>
      <c r="AW20" s="26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57">
        <v>90</v>
      </c>
      <c r="K21" s="57">
        <v>90</v>
      </c>
      <c r="L21" s="57">
        <v>90</v>
      </c>
      <c r="M21" s="57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36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93">
        <f t="shared" si="2"/>
        <v>0.27397260273972601</v>
      </c>
      <c r="AT21" s="93">
        <f t="shared" si="3"/>
        <v>0.48344748858447489</v>
      </c>
      <c r="AU21" s="93">
        <f t="shared" si="4"/>
        <v>0.24257990867579909</v>
      </c>
      <c r="AV21" s="26">
        <f t="shared" si="5"/>
        <v>7.8116025272831707E-2</v>
      </c>
      <c r="AW21" s="26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57">
        <v>90</v>
      </c>
      <c r="K22" s="57">
        <v>90</v>
      </c>
      <c r="L22" s="57">
        <v>90</v>
      </c>
      <c r="M22" s="57">
        <v>26.1</v>
      </c>
      <c r="N22" s="63">
        <v>6.5</v>
      </c>
      <c r="O22" s="36">
        <v>1.26</v>
      </c>
      <c r="P22" s="57">
        <v>6</v>
      </c>
      <c r="Q22" s="63">
        <v>6.3</v>
      </c>
      <c r="R22" s="36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93">
        <f t="shared" si="2"/>
        <v>0.17299955297273134</v>
      </c>
      <c r="AT22" s="93">
        <f t="shared" si="3"/>
        <v>0.73759499329459099</v>
      </c>
      <c r="AU22" s="93">
        <f t="shared" si="4"/>
        <v>8.9405453732677692E-2</v>
      </c>
      <c r="AV22" s="26">
        <f t="shared" si="5"/>
        <v>6.0070671378091869E-2</v>
      </c>
      <c r="AW22" s="26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57">
        <v>90</v>
      </c>
      <c r="K23" s="57">
        <v>90</v>
      </c>
      <c r="L23" s="57">
        <v>90</v>
      </c>
      <c r="M23" s="57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36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93">
        <f t="shared" si="2"/>
        <v>0.1727069351230425</v>
      </c>
      <c r="AT23" s="93">
        <f t="shared" si="3"/>
        <v>0.73825503355704702</v>
      </c>
      <c r="AU23" s="93">
        <f t="shared" si="4"/>
        <v>8.9038031319910518E-2</v>
      </c>
      <c r="AV23" s="26">
        <f t="shared" si="5"/>
        <v>6.0660124888492414E-2</v>
      </c>
      <c r="AW23" s="26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57">
        <v>90</v>
      </c>
      <c r="K24" s="57">
        <v>90</v>
      </c>
      <c r="L24" s="57">
        <v>90</v>
      </c>
      <c r="M24" s="57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36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93">
        <f t="shared" si="2"/>
        <v>0.16874443455031166</v>
      </c>
      <c r="AT24" s="93">
        <f t="shared" si="3"/>
        <v>0.74265360641139799</v>
      </c>
      <c r="AU24" s="93">
        <f t="shared" si="4"/>
        <v>8.8601959038290296E-2</v>
      </c>
      <c r="AV24" s="26">
        <f t="shared" si="5"/>
        <v>6.1151079136690649E-2</v>
      </c>
      <c r="AW24" s="26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57">
        <v>90</v>
      </c>
      <c r="K25" s="57">
        <v>90</v>
      </c>
      <c r="L25" s="57">
        <v>90</v>
      </c>
      <c r="M25" s="57">
        <v>25.3</v>
      </c>
      <c r="N25" s="63">
        <v>6.3</v>
      </c>
      <c r="O25" s="36">
        <v>1.21</v>
      </c>
      <c r="P25" s="57">
        <v>10</v>
      </c>
      <c r="Q25" s="63">
        <v>8.6</v>
      </c>
      <c r="R25" s="36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93">
        <f t="shared" si="2"/>
        <v>0.17130044843049327</v>
      </c>
      <c r="AT25" s="93">
        <f t="shared" si="3"/>
        <v>0.73901345291479825</v>
      </c>
      <c r="AU25" s="93">
        <f t="shared" si="4"/>
        <v>8.9686098654708515E-2</v>
      </c>
      <c r="AV25" s="26">
        <f t="shared" si="5"/>
        <v>6.1068702290076333E-2</v>
      </c>
      <c r="AW25" s="26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57">
        <v>90</v>
      </c>
      <c r="K26" s="57">
        <v>90</v>
      </c>
      <c r="L26" s="57">
        <v>90</v>
      </c>
      <c r="M26" s="57">
        <v>24.7</v>
      </c>
      <c r="N26" s="63">
        <v>6.6</v>
      </c>
      <c r="O26" s="36">
        <v>2.73</v>
      </c>
      <c r="P26" s="57">
        <v>5</v>
      </c>
      <c r="Q26" s="63">
        <v>7.7</v>
      </c>
      <c r="R26" s="36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93">
        <f t="shared" si="2"/>
        <v>0.17036379769299023</v>
      </c>
      <c r="AT26" s="93">
        <f t="shared" si="3"/>
        <v>0.74090505767524406</v>
      </c>
      <c r="AU26" s="93">
        <f t="shared" si="4"/>
        <v>8.8731144631765749E-2</v>
      </c>
      <c r="AV26" s="26">
        <f t="shared" si="5"/>
        <v>5.8394160583941604E-2</v>
      </c>
      <c r="AW26" s="26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57">
        <v>90</v>
      </c>
      <c r="K27" s="57">
        <v>90</v>
      </c>
      <c r="L27" s="57">
        <v>90</v>
      </c>
      <c r="M27" s="57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36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93">
        <f t="shared" si="2"/>
        <v>0.17024128686327078</v>
      </c>
      <c r="AT27" s="93">
        <f t="shared" si="3"/>
        <v>0.74039320822162646</v>
      </c>
      <c r="AU27" s="93">
        <f t="shared" si="4"/>
        <v>8.936550491510277E-2</v>
      </c>
      <c r="AV27" s="26">
        <f t="shared" si="5"/>
        <v>6.0986547085201792E-2</v>
      </c>
      <c r="AW27" s="26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58">
        <v>90</v>
      </c>
      <c r="K28" s="58">
        <v>90</v>
      </c>
      <c r="L28" s="58">
        <v>90</v>
      </c>
      <c r="M28" s="58">
        <v>24.6</v>
      </c>
      <c r="N28" s="64">
        <v>6.6</v>
      </c>
      <c r="O28" s="37">
        <v>1.72</v>
      </c>
      <c r="P28" s="58">
        <v>10</v>
      </c>
      <c r="Q28" s="64">
        <v>5.3</v>
      </c>
      <c r="R28" s="37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93">
        <f t="shared" si="2"/>
        <v>0.26497395833333331</v>
      </c>
      <c r="AT28" s="93">
        <f t="shared" si="3"/>
        <v>0.58203125</v>
      </c>
      <c r="AU28" s="93">
        <f t="shared" si="4"/>
        <v>0.15299479166666666</v>
      </c>
      <c r="AV28" s="26">
        <f t="shared" si="5"/>
        <v>8.3743842364532015E-2</v>
      </c>
      <c r="AW28" s="26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59">
        <v>90</v>
      </c>
      <c r="K29" s="59">
        <v>90</v>
      </c>
      <c r="L29" s="59">
        <v>90</v>
      </c>
      <c r="M29" s="59">
        <v>27.8</v>
      </c>
      <c r="N29" s="65">
        <v>6.5</v>
      </c>
      <c r="O29" s="38">
        <v>1.08</v>
      </c>
      <c r="P29" s="59">
        <v>8</v>
      </c>
      <c r="Q29" s="65">
        <v>7.5</v>
      </c>
      <c r="R29" s="38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93">
        <f t="shared" si="2"/>
        <v>0.19451907576571736</v>
      </c>
      <c r="AT29" s="93">
        <f t="shared" si="3"/>
        <v>0.53680816765180006</v>
      </c>
      <c r="AU29" s="93">
        <f t="shared" si="4"/>
        <v>0.26867275658248252</v>
      </c>
      <c r="AV29" s="26">
        <f t="shared" si="5"/>
        <v>7.2961373390557943E-2</v>
      </c>
      <c r="AW29" s="26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57">
        <v>90</v>
      </c>
      <c r="K30" s="57">
        <v>90</v>
      </c>
      <c r="L30" s="57">
        <v>90</v>
      </c>
      <c r="M30" s="57">
        <v>25.3</v>
      </c>
      <c r="N30" s="63">
        <v>6.5</v>
      </c>
      <c r="O30" s="36">
        <v>0.97</v>
      </c>
      <c r="P30" s="57">
        <v>6</v>
      </c>
      <c r="Q30" s="63">
        <v>7.9</v>
      </c>
      <c r="R30" s="36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93">
        <f t="shared" si="2"/>
        <v>0.12265834076717216</v>
      </c>
      <c r="AT30" s="93">
        <f t="shared" si="3"/>
        <v>0.78813559322033899</v>
      </c>
      <c r="AU30" s="93">
        <f t="shared" si="4"/>
        <v>8.9206066012488844E-2</v>
      </c>
      <c r="AV30" s="26">
        <f t="shared" si="5"/>
        <v>5.978021978021978E-2</v>
      </c>
      <c r="AW30" s="26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57">
        <v>90</v>
      </c>
      <c r="K31" s="57">
        <v>90</v>
      </c>
      <c r="L31" s="57">
        <v>90</v>
      </c>
      <c r="M31" s="57">
        <v>25.9</v>
      </c>
      <c r="N31" s="63">
        <v>6.5</v>
      </c>
      <c r="O31" s="36">
        <v>1.01</v>
      </c>
      <c r="P31" s="57">
        <v>7</v>
      </c>
      <c r="Q31" s="63">
        <v>7.6</v>
      </c>
      <c r="R31" s="36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93">
        <f t="shared" si="2"/>
        <v>0.13879352623835214</v>
      </c>
      <c r="AT31" s="93">
        <f t="shared" si="3"/>
        <v>0.86120647376164783</v>
      </c>
      <c r="AU31" s="93">
        <f t="shared" si="4"/>
        <v>0</v>
      </c>
      <c r="AV31" s="26">
        <f t="shared" si="5"/>
        <v>4.7999999999999994E-2</v>
      </c>
      <c r="AW31" s="26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57">
        <v>90</v>
      </c>
      <c r="K32" s="57">
        <v>90</v>
      </c>
      <c r="L32" s="57">
        <v>90</v>
      </c>
      <c r="M32" s="57">
        <v>26</v>
      </c>
      <c r="N32" s="63">
        <v>6.5</v>
      </c>
      <c r="O32" s="36">
        <v>0.91</v>
      </c>
      <c r="P32" s="57">
        <v>5</v>
      </c>
      <c r="Q32" s="63">
        <v>6.8</v>
      </c>
      <c r="R32" s="36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93">
        <f t="shared" si="2"/>
        <v>0.13720819437827536</v>
      </c>
      <c r="AT32" s="93">
        <f t="shared" si="3"/>
        <v>0.76750833730347789</v>
      </c>
      <c r="AU32" s="93">
        <f t="shared" si="4"/>
        <v>9.5283468318246786E-2</v>
      </c>
      <c r="AV32" s="26">
        <f t="shared" si="5"/>
        <v>6.634146341463415E-2</v>
      </c>
      <c r="AW32" s="26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57">
        <v>90</v>
      </c>
      <c r="K33" s="57">
        <v>90</v>
      </c>
      <c r="L33" s="57">
        <v>90</v>
      </c>
      <c r="M33" s="57">
        <v>26.4</v>
      </c>
      <c r="N33" s="63">
        <v>6.5</v>
      </c>
      <c r="O33" s="36">
        <v>0.83</v>
      </c>
      <c r="P33" s="57">
        <v>5</v>
      </c>
      <c r="Q33" s="63">
        <v>6.1</v>
      </c>
      <c r="R33" s="36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93">
        <f t="shared" si="2"/>
        <v>0.19554924242424243</v>
      </c>
      <c r="AT33" s="93">
        <f t="shared" si="3"/>
        <v>0.71022727272727271</v>
      </c>
      <c r="AU33" s="93">
        <f t="shared" si="4"/>
        <v>9.4223484848484848E-2</v>
      </c>
      <c r="AV33" s="26">
        <f t="shared" si="5"/>
        <v>6.5102920057443753E-2</v>
      </c>
      <c r="AW33" s="26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57">
        <v>90</v>
      </c>
      <c r="K34" s="57">
        <v>90</v>
      </c>
      <c r="L34" s="57">
        <v>90</v>
      </c>
      <c r="M34" s="57">
        <v>25.7</v>
      </c>
      <c r="N34" s="63">
        <v>6.6</v>
      </c>
      <c r="O34" s="36">
        <v>0.96</v>
      </c>
      <c r="P34" s="57">
        <v>6</v>
      </c>
      <c r="Q34" s="63">
        <v>5.7</v>
      </c>
      <c r="R34" s="36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93">
        <f t="shared" si="2"/>
        <v>0.18867018722995679</v>
      </c>
      <c r="AT34" s="93">
        <f t="shared" si="3"/>
        <v>0.71531445031204988</v>
      </c>
      <c r="AU34" s="93">
        <f t="shared" si="4"/>
        <v>9.6015362457993275E-2</v>
      </c>
      <c r="AV34" s="26">
        <f t="shared" si="5"/>
        <v>6.4761904761904757E-2</v>
      </c>
      <c r="AW34" s="26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57">
        <v>90</v>
      </c>
      <c r="K35" s="57">
        <v>90</v>
      </c>
      <c r="L35" s="57">
        <v>90</v>
      </c>
      <c r="M35" s="57">
        <v>24.8</v>
      </c>
      <c r="N35" s="63">
        <v>6.6</v>
      </c>
      <c r="O35" s="36">
        <v>0.93</v>
      </c>
      <c r="P35" s="57">
        <v>6</v>
      </c>
      <c r="Q35" s="63">
        <v>6.7</v>
      </c>
      <c r="R35" s="36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93">
        <f t="shared" si="2"/>
        <v>0.18284106891701829</v>
      </c>
      <c r="AT35" s="93">
        <f t="shared" si="3"/>
        <v>0.69995311767463664</v>
      </c>
      <c r="AU35" s="93">
        <f t="shared" si="4"/>
        <v>0.11720581340834506</v>
      </c>
      <c r="AV35" s="26">
        <f t="shared" si="5"/>
        <v>6.3226406322640635E-2</v>
      </c>
      <c r="AW35" s="26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57">
        <v>90</v>
      </c>
      <c r="K36" s="57">
        <v>90</v>
      </c>
      <c r="L36" s="57">
        <v>90</v>
      </c>
      <c r="M36" s="57">
        <v>25</v>
      </c>
      <c r="N36" s="63">
        <v>6.6</v>
      </c>
      <c r="O36" s="36">
        <v>0.85</v>
      </c>
      <c r="P36" s="57">
        <v>6</v>
      </c>
      <c r="Q36" s="63">
        <v>6.8</v>
      </c>
      <c r="R36" s="36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93">
        <f t="shared" si="2"/>
        <v>0.14418377321603129</v>
      </c>
      <c r="AT36" s="93">
        <f t="shared" si="3"/>
        <v>0.73362658846529816</v>
      </c>
      <c r="AU36" s="93">
        <f t="shared" si="4"/>
        <v>0.12218963831867058</v>
      </c>
      <c r="AV36" s="26">
        <f t="shared" si="5"/>
        <v>6.1930783242258654E-2</v>
      </c>
      <c r="AW36" s="26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57">
        <v>90</v>
      </c>
      <c r="K37" s="57">
        <v>90</v>
      </c>
      <c r="L37" s="57">
        <v>90</v>
      </c>
      <c r="M37" s="57">
        <v>25</v>
      </c>
      <c r="N37" s="63">
        <v>6.6</v>
      </c>
      <c r="O37" s="36">
        <v>0.94</v>
      </c>
      <c r="P37" s="57">
        <v>6</v>
      </c>
      <c r="Q37" s="63">
        <v>6.2</v>
      </c>
      <c r="R37" s="36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93">
        <f t="shared" si="2"/>
        <v>0.17565698478561548</v>
      </c>
      <c r="AT37" s="93">
        <f t="shared" si="3"/>
        <v>0.70908252650991244</v>
      </c>
      <c r="AU37" s="93">
        <f t="shared" si="4"/>
        <v>0.11526048870447211</v>
      </c>
      <c r="AV37" s="26">
        <f t="shared" si="5"/>
        <v>6.340326340326341E-2</v>
      </c>
      <c r="AW37" s="26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58">
        <v>90</v>
      </c>
      <c r="K38" s="58">
        <v>90</v>
      </c>
      <c r="L38" s="58">
        <v>90</v>
      </c>
      <c r="M38" s="58">
        <v>24.8</v>
      </c>
      <c r="N38" s="64">
        <v>6.6</v>
      </c>
      <c r="O38" s="37">
        <v>0.81</v>
      </c>
      <c r="P38" s="58">
        <v>6</v>
      </c>
      <c r="Q38" s="64">
        <v>6.9</v>
      </c>
      <c r="R38" s="37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93">
        <f t="shared" si="2"/>
        <v>0.18490917559385189</v>
      </c>
      <c r="AT38" s="93">
        <f t="shared" si="3"/>
        <v>0.69864927806241262</v>
      </c>
      <c r="AU38" s="93">
        <f t="shared" si="4"/>
        <v>0.11644154634373545</v>
      </c>
      <c r="AV38" s="26">
        <f t="shared" si="5"/>
        <v>6.3373718546132343E-2</v>
      </c>
      <c r="AW38" s="26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59">
        <v>90</v>
      </c>
      <c r="K39" s="59">
        <v>90</v>
      </c>
      <c r="L39" s="59">
        <v>90</v>
      </c>
      <c r="M39" s="59">
        <v>24.8</v>
      </c>
      <c r="N39" s="65">
        <v>6.5</v>
      </c>
      <c r="O39" s="38">
        <v>0.59</v>
      </c>
      <c r="P39" s="59">
        <v>6</v>
      </c>
      <c r="Q39" s="65">
        <v>6.9</v>
      </c>
      <c r="R39" s="38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93">
        <f t="shared" si="2"/>
        <v>0.15475648611743287</v>
      </c>
      <c r="AT39" s="93">
        <f t="shared" si="3"/>
        <v>0.73190714610832952</v>
      </c>
      <c r="AU39" s="93">
        <f t="shared" si="4"/>
        <v>0.1133363677742376</v>
      </c>
      <c r="AV39" s="26">
        <f t="shared" si="5"/>
        <v>6.093189964157706E-2</v>
      </c>
      <c r="AW39" s="26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57">
        <v>90</v>
      </c>
      <c r="K40" s="57">
        <v>90</v>
      </c>
      <c r="L40" s="57">
        <v>90</v>
      </c>
      <c r="M40" s="57">
        <v>22.8</v>
      </c>
      <c r="N40" s="63">
        <v>6.6</v>
      </c>
      <c r="O40" s="36">
        <v>0.76</v>
      </c>
      <c r="P40" s="57">
        <v>5</v>
      </c>
      <c r="Q40" s="63">
        <v>6.3</v>
      </c>
      <c r="R40" s="36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93">
        <f t="shared" si="2"/>
        <v>0.15667074663402691</v>
      </c>
      <c r="AT40" s="93">
        <f t="shared" si="3"/>
        <v>0.74173806609547122</v>
      </c>
      <c r="AU40" s="93">
        <f t="shared" si="4"/>
        <v>0.10159118727050184</v>
      </c>
      <c r="AV40" s="26">
        <f t="shared" si="5"/>
        <v>6.1622111463525149E-2</v>
      </c>
      <c r="AW40" s="26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57">
        <v>90</v>
      </c>
      <c r="K41" s="57">
        <v>90</v>
      </c>
      <c r="L41" s="57">
        <v>90</v>
      </c>
      <c r="M41" s="57">
        <v>26.5</v>
      </c>
      <c r="N41" s="63">
        <v>6.6</v>
      </c>
      <c r="O41" s="36">
        <v>0.82</v>
      </c>
      <c r="P41" s="57">
        <v>6</v>
      </c>
      <c r="Q41" s="63">
        <v>6.3</v>
      </c>
      <c r="R41" s="36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93">
        <f t="shared" si="2"/>
        <v>0.1884526558891455</v>
      </c>
      <c r="AT41" s="93">
        <f t="shared" si="3"/>
        <v>0.6965357967667436</v>
      </c>
      <c r="AU41" s="93">
        <f t="shared" si="4"/>
        <v>0.11501154734411086</v>
      </c>
      <c r="AV41" s="26">
        <f t="shared" si="5"/>
        <v>6.5447545717035607E-2</v>
      </c>
      <c r="AW41" s="26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57">
        <v>90</v>
      </c>
      <c r="K42" s="57">
        <v>90</v>
      </c>
      <c r="L42" s="57">
        <v>90</v>
      </c>
      <c r="M42" s="57">
        <v>27.5</v>
      </c>
      <c r="N42" s="63">
        <v>6.6</v>
      </c>
      <c r="O42" s="36">
        <v>0.77</v>
      </c>
      <c r="P42" s="57">
        <v>5</v>
      </c>
      <c r="Q42" s="63">
        <v>6.5</v>
      </c>
      <c r="R42" s="36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93">
        <f t="shared" si="2"/>
        <v>0.14720812182741116</v>
      </c>
      <c r="AT42" s="93">
        <f t="shared" si="3"/>
        <v>0.73788647900323023</v>
      </c>
      <c r="AU42" s="93">
        <f t="shared" si="4"/>
        <v>0.11490539916935856</v>
      </c>
      <c r="AV42" s="26">
        <f t="shared" si="5"/>
        <v>6.5700483091787443E-2</v>
      </c>
      <c r="AW42" s="26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57">
        <v>90</v>
      </c>
      <c r="K43" s="57">
        <v>90</v>
      </c>
      <c r="L43" s="57">
        <v>90</v>
      </c>
      <c r="M43" s="57">
        <v>26.9</v>
      </c>
      <c r="N43" s="63">
        <v>6.5</v>
      </c>
      <c r="O43" s="36">
        <v>0.8</v>
      </c>
      <c r="P43" s="57">
        <v>5</v>
      </c>
      <c r="Q43" s="63">
        <v>6.1</v>
      </c>
      <c r="R43" s="36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93">
        <f t="shared" si="2"/>
        <v>0.19280843149411037</v>
      </c>
      <c r="AT43" s="93">
        <f t="shared" si="3"/>
        <v>0.61686298822070673</v>
      </c>
      <c r="AU43" s="93">
        <f t="shared" si="4"/>
        <v>0.1903285802851829</v>
      </c>
      <c r="AV43" s="26">
        <f t="shared" si="5"/>
        <v>8.3180428134556575E-2</v>
      </c>
      <c r="AW43" s="26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57">
        <v>90</v>
      </c>
      <c r="K44" s="57">
        <v>90</v>
      </c>
      <c r="L44" s="57">
        <v>90</v>
      </c>
      <c r="M44" s="57">
        <v>26.1</v>
      </c>
      <c r="N44" s="63">
        <v>6.5</v>
      </c>
      <c r="O44" s="36">
        <v>0.93</v>
      </c>
      <c r="P44" s="57">
        <v>6</v>
      </c>
      <c r="Q44" s="63">
        <v>6.2</v>
      </c>
      <c r="R44" s="36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93">
        <f t="shared" si="2"/>
        <v>0.18244013683010263</v>
      </c>
      <c r="AT44" s="93">
        <f t="shared" si="3"/>
        <v>0.53249714937286208</v>
      </c>
      <c r="AU44" s="93">
        <f t="shared" si="4"/>
        <v>0.28506271379703535</v>
      </c>
      <c r="AV44" s="26">
        <f t="shared" si="5"/>
        <v>7.6619718309859156E-2</v>
      </c>
      <c r="AW44" s="26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57">
        <v>90</v>
      </c>
      <c r="K45" s="57">
        <v>90</v>
      </c>
      <c r="L45" s="57">
        <v>90</v>
      </c>
      <c r="M45" s="57">
        <v>25.5</v>
      </c>
      <c r="N45" s="63">
        <v>6.7</v>
      </c>
      <c r="O45" s="36">
        <v>0.75</v>
      </c>
      <c r="P45" s="57">
        <v>6</v>
      </c>
      <c r="Q45" s="63">
        <v>8.4</v>
      </c>
      <c r="R45" s="36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93">
        <f t="shared" si="2"/>
        <v>0.20751633986928106</v>
      </c>
      <c r="AT45" s="93">
        <f t="shared" si="3"/>
        <v>0.52015250544662306</v>
      </c>
      <c r="AU45" s="93">
        <f t="shared" si="4"/>
        <v>0.27233115468409586</v>
      </c>
      <c r="AV45" s="26">
        <f t="shared" si="5"/>
        <v>7.6619718309859156E-2</v>
      </c>
      <c r="AW45" s="26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57">
        <v>90</v>
      </c>
      <c r="K46" s="57">
        <v>90</v>
      </c>
      <c r="L46" s="57">
        <v>90</v>
      </c>
      <c r="M46" s="57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36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93">
        <f t="shared" si="2"/>
        <v>0.21010209564750135</v>
      </c>
      <c r="AT46" s="93">
        <f t="shared" si="3"/>
        <v>0.52122514777001616</v>
      </c>
      <c r="AU46" s="93">
        <f t="shared" si="4"/>
        <v>0.26867275658248252</v>
      </c>
      <c r="AV46" s="26">
        <f t="shared" si="5"/>
        <v>7.4195308237861426E-2</v>
      </c>
      <c r="AW46" s="26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57">
        <v>90</v>
      </c>
      <c r="K47" s="57">
        <v>90</v>
      </c>
      <c r="L47" s="57">
        <v>90</v>
      </c>
      <c r="M47" s="57">
        <v>25.8</v>
      </c>
      <c r="N47" s="63">
        <v>6.6</v>
      </c>
      <c r="O47" s="36">
        <v>0.93</v>
      </c>
      <c r="P47" s="57">
        <v>7</v>
      </c>
      <c r="Q47" s="63">
        <v>9.1</v>
      </c>
      <c r="R47" s="36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93">
        <f t="shared" si="2"/>
        <v>0.2067099567099567</v>
      </c>
      <c r="AT47" s="93">
        <f t="shared" si="3"/>
        <v>0.52326839826839822</v>
      </c>
      <c r="AU47" s="93">
        <f t="shared" si="4"/>
        <v>0.270021645021645</v>
      </c>
      <c r="AV47" s="26">
        <f t="shared" si="5"/>
        <v>7.2456046883324451E-2</v>
      </c>
      <c r="AW47" s="26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57">
        <v>90</v>
      </c>
      <c r="K48" s="57">
        <v>90</v>
      </c>
      <c r="L48" s="57">
        <v>90</v>
      </c>
      <c r="M48" s="57">
        <v>25.3</v>
      </c>
      <c r="N48" s="63">
        <v>6.6</v>
      </c>
      <c r="O48" s="36">
        <v>0.85</v>
      </c>
      <c r="P48" s="57">
        <v>5</v>
      </c>
      <c r="Q48" s="63">
        <v>8.4</v>
      </c>
      <c r="R48" s="36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93">
        <f t="shared" si="2"/>
        <v>0.23624401913875598</v>
      </c>
      <c r="AT48" s="93">
        <f t="shared" si="3"/>
        <v>0.46471291866028708</v>
      </c>
      <c r="AU48" s="93">
        <f t="shared" si="4"/>
        <v>0.29904306220095694</v>
      </c>
      <c r="AV48" s="26">
        <f t="shared" si="5"/>
        <v>8.2026537997587454E-2</v>
      </c>
      <c r="AW48" s="26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58">
        <v>90</v>
      </c>
      <c r="K49" s="58">
        <v>90</v>
      </c>
      <c r="L49" s="58">
        <v>90</v>
      </c>
      <c r="M49" s="58">
        <v>25.3</v>
      </c>
      <c r="N49" s="64">
        <v>6.6</v>
      </c>
      <c r="O49" s="37">
        <v>0.87</v>
      </c>
      <c r="P49" s="58">
        <v>5</v>
      </c>
      <c r="Q49" s="64">
        <v>10.7</v>
      </c>
      <c r="R49" s="37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93">
        <f t="shared" si="2"/>
        <v>0.18864097363083165</v>
      </c>
      <c r="AT49" s="93">
        <f t="shared" si="3"/>
        <v>0.5608519269776876</v>
      </c>
      <c r="AU49" s="93">
        <f t="shared" si="4"/>
        <v>0.25050709939148075</v>
      </c>
      <c r="AV49" s="26">
        <f t="shared" si="5"/>
        <v>6.9352371239163699E-2</v>
      </c>
      <c r="AW49" s="26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59">
        <v>90</v>
      </c>
      <c r="K50" s="59">
        <v>90</v>
      </c>
      <c r="L50" s="59">
        <v>90</v>
      </c>
      <c r="M50" s="59">
        <v>24.7</v>
      </c>
      <c r="N50" s="65">
        <v>6.6</v>
      </c>
      <c r="O50" s="38">
        <v>0.78</v>
      </c>
      <c r="P50" s="59">
        <v>5</v>
      </c>
      <c r="Q50" s="65">
        <v>8.5</v>
      </c>
      <c r="R50" s="38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93">
        <f t="shared" si="2"/>
        <v>0.15163254012174876</v>
      </c>
      <c r="AT50" s="93">
        <f t="shared" si="3"/>
        <v>0.6104039845047039</v>
      </c>
      <c r="AU50" s="93">
        <f t="shared" si="4"/>
        <v>0.23796347537354731</v>
      </c>
      <c r="AV50" s="26">
        <f t="shared" si="5"/>
        <v>7.5304540420819494E-2</v>
      </c>
      <c r="AW50" s="26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57">
        <v>90</v>
      </c>
      <c r="K51" s="57">
        <v>90</v>
      </c>
      <c r="L51" s="57">
        <v>90</v>
      </c>
      <c r="M51" s="57">
        <v>26.1</v>
      </c>
      <c r="N51" s="63">
        <v>6.6</v>
      </c>
      <c r="O51" s="36">
        <v>0.81</v>
      </c>
      <c r="P51" s="57">
        <v>5</v>
      </c>
      <c r="Q51" s="63">
        <v>8.1</v>
      </c>
      <c r="R51" s="36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93">
        <f t="shared" si="2"/>
        <v>0.15160349854227406</v>
      </c>
      <c r="AT51" s="93">
        <f t="shared" si="3"/>
        <v>0.59766763848396498</v>
      </c>
      <c r="AU51" s="93">
        <f t="shared" si="4"/>
        <v>0.25072886297376096</v>
      </c>
      <c r="AV51" s="26">
        <f t="shared" si="5"/>
        <v>7.9023823358512491E-2</v>
      </c>
      <c r="AW51" s="26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57">
        <v>90</v>
      </c>
      <c r="K52" s="57">
        <v>90</v>
      </c>
      <c r="L52" s="57">
        <v>90</v>
      </c>
      <c r="M52" s="57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36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93">
        <f t="shared" si="2"/>
        <v>0.10866807610993658</v>
      </c>
      <c r="AT52" s="93">
        <f t="shared" si="3"/>
        <v>0.71120507399577171</v>
      </c>
      <c r="AU52" s="93">
        <f t="shared" si="4"/>
        <v>0.18012684989429176</v>
      </c>
      <c r="AV52" s="26">
        <f t="shared" si="5"/>
        <v>7.5935231714126181E-2</v>
      </c>
      <c r="AW52" s="26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57">
        <v>90</v>
      </c>
      <c r="K53" s="57">
        <v>90</v>
      </c>
      <c r="L53" s="57">
        <v>90</v>
      </c>
      <c r="M53" s="57">
        <v>27.9</v>
      </c>
      <c r="N53" s="63">
        <v>6.7</v>
      </c>
      <c r="O53" s="36">
        <v>0.78</v>
      </c>
      <c r="P53" s="57">
        <v>5</v>
      </c>
      <c r="Q53" s="63">
        <v>8.9</v>
      </c>
      <c r="R53" s="36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93">
        <f t="shared" si="2"/>
        <v>0.14649321266968326</v>
      </c>
      <c r="AT53" s="93">
        <f t="shared" si="3"/>
        <v>0.61255656108597289</v>
      </c>
      <c r="AU53" s="93">
        <f t="shared" si="4"/>
        <v>0.2409502262443439</v>
      </c>
      <c r="AV53" s="26">
        <f t="shared" si="5"/>
        <v>7.9532163742690065E-2</v>
      </c>
      <c r="AW53" s="26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57">
        <v>90</v>
      </c>
      <c r="K54" s="57">
        <v>90</v>
      </c>
      <c r="L54" s="57">
        <v>90</v>
      </c>
      <c r="M54" s="57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36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93">
        <f t="shared" si="2"/>
        <v>0.16425120772946861</v>
      </c>
      <c r="AT54" s="93">
        <f t="shared" si="3"/>
        <v>0.65458937198067635</v>
      </c>
      <c r="AU54" s="93">
        <f t="shared" si="4"/>
        <v>0.18115942028985507</v>
      </c>
      <c r="AV54" s="26">
        <f t="shared" si="5"/>
        <v>8.3180428134556575E-2</v>
      </c>
      <c r="AW54" s="26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57">
        <v>90</v>
      </c>
      <c r="K55" s="57">
        <v>90</v>
      </c>
      <c r="L55" s="57">
        <v>90</v>
      </c>
      <c r="M55" s="57">
        <v>28.4</v>
      </c>
      <c r="N55" s="63">
        <v>6.6</v>
      </c>
      <c r="O55" s="36">
        <v>0.81</v>
      </c>
      <c r="P55" s="57">
        <v>6</v>
      </c>
      <c r="Q55" s="63">
        <v>8.9</v>
      </c>
      <c r="R55" s="36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93">
        <f t="shared" si="2"/>
        <v>0.16399286987522282</v>
      </c>
      <c r="AT55" s="93">
        <f t="shared" si="3"/>
        <v>0.65775401069518713</v>
      </c>
      <c r="AU55" s="93">
        <f t="shared" si="4"/>
        <v>0.17825311942959002</v>
      </c>
      <c r="AV55" s="26">
        <f t="shared" si="5"/>
        <v>8.2125603864734303E-2</v>
      </c>
      <c r="AW55" s="26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57">
        <v>90</v>
      </c>
      <c r="K56" s="57">
        <v>90</v>
      </c>
      <c r="L56" s="57">
        <v>90</v>
      </c>
      <c r="M56" s="57">
        <v>27.8</v>
      </c>
      <c r="N56" s="63">
        <v>6.8</v>
      </c>
      <c r="O56" s="36">
        <v>0.92</v>
      </c>
      <c r="P56" s="57">
        <v>6</v>
      </c>
      <c r="Q56" s="63">
        <v>7</v>
      </c>
      <c r="R56" s="36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93">
        <f t="shared" si="2"/>
        <v>0.1967990515708358</v>
      </c>
      <c r="AT56" s="93">
        <f t="shared" si="3"/>
        <v>0.62596324836988737</v>
      </c>
      <c r="AU56" s="93">
        <f t="shared" si="4"/>
        <v>0.17723770005927683</v>
      </c>
      <c r="AV56" s="26">
        <f t="shared" si="5"/>
        <v>8.3282302510716472E-2</v>
      </c>
      <c r="AW56" s="26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57">
        <v>90</v>
      </c>
      <c r="K57" s="57">
        <v>90</v>
      </c>
      <c r="L57" s="57">
        <v>90</v>
      </c>
      <c r="M57" s="57">
        <v>26.9</v>
      </c>
      <c r="N57" s="63">
        <v>6.5</v>
      </c>
      <c r="O57" s="36">
        <v>0.88</v>
      </c>
      <c r="P57" s="57">
        <v>5</v>
      </c>
      <c r="Q57" s="63">
        <v>6.9</v>
      </c>
      <c r="R57" s="36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93">
        <f t="shared" si="2"/>
        <v>0.16023875114784206</v>
      </c>
      <c r="AT57" s="93">
        <f t="shared" si="3"/>
        <v>0.72497704315886136</v>
      </c>
      <c r="AU57" s="93">
        <f t="shared" si="4"/>
        <v>0.1147842056932966</v>
      </c>
      <c r="AV57" s="26">
        <f t="shared" si="5"/>
        <v>6.313834726090993E-2</v>
      </c>
      <c r="AW57" s="26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57">
        <v>90</v>
      </c>
      <c r="K58" s="57">
        <v>90</v>
      </c>
      <c r="L58" s="57">
        <v>90</v>
      </c>
      <c r="M58" s="57">
        <v>26.2</v>
      </c>
      <c r="N58" s="63">
        <v>6.6</v>
      </c>
      <c r="O58" s="36">
        <v>0.83</v>
      </c>
      <c r="P58" s="57">
        <v>5</v>
      </c>
      <c r="Q58" s="63">
        <v>6.7</v>
      </c>
      <c r="R58" s="36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93">
        <f t="shared" si="2"/>
        <v>0.16613272311212815</v>
      </c>
      <c r="AT58" s="93">
        <f t="shared" si="3"/>
        <v>0.71945080091533176</v>
      </c>
      <c r="AU58" s="93">
        <f t="shared" si="4"/>
        <v>0.11441647597254005</v>
      </c>
      <c r="AV58" s="26">
        <f t="shared" si="5"/>
        <v>6.3255813953488366E-2</v>
      </c>
      <c r="AW58" s="26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57">
        <v>90</v>
      </c>
      <c r="K59" s="57">
        <v>90</v>
      </c>
      <c r="L59" s="57">
        <v>90</v>
      </c>
      <c r="M59" s="57">
        <v>25.8</v>
      </c>
      <c r="N59" s="63">
        <v>6.5</v>
      </c>
      <c r="O59" s="36">
        <v>0.78</v>
      </c>
      <c r="P59" s="57">
        <v>5</v>
      </c>
      <c r="Q59" s="63">
        <v>6.8</v>
      </c>
      <c r="R59" s="36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93">
        <f t="shared" si="2"/>
        <v>0.16391898257183232</v>
      </c>
      <c r="AT59" s="93">
        <f t="shared" si="3"/>
        <v>0.71832312764955253</v>
      </c>
      <c r="AU59" s="93">
        <f t="shared" si="4"/>
        <v>0.11775788977861516</v>
      </c>
      <c r="AV59" s="26">
        <f t="shared" si="5"/>
        <v>6.3492063492063489E-2</v>
      </c>
      <c r="AW59" s="26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58">
        <v>90</v>
      </c>
      <c r="K60" s="58">
        <v>90</v>
      </c>
      <c r="L60" s="58">
        <v>90</v>
      </c>
      <c r="M60" s="58">
        <v>25.6</v>
      </c>
      <c r="N60" s="64">
        <v>6.5</v>
      </c>
      <c r="O60" s="37">
        <v>1.02</v>
      </c>
      <c r="P60" s="58">
        <v>3</v>
      </c>
      <c r="Q60" s="64">
        <v>7</v>
      </c>
      <c r="R60" s="37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93">
        <f t="shared" si="2"/>
        <v>0.15854823304680038</v>
      </c>
      <c r="AT60" s="93">
        <f t="shared" si="3"/>
        <v>0.72206303724928367</v>
      </c>
      <c r="AU60" s="93">
        <f t="shared" si="4"/>
        <v>0.11938872970391595</v>
      </c>
      <c r="AV60" s="26">
        <f t="shared" si="5"/>
        <v>6.4120697784064123E-2</v>
      </c>
      <c r="AW60" s="26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59">
        <v>90</v>
      </c>
      <c r="K61" s="59">
        <v>90</v>
      </c>
      <c r="L61" s="59">
        <v>90</v>
      </c>
      <c r="M61" s="59">
        <v>25.2</v>
      </c>
      <c r="N61" s="65">
        <v>6.5</v>
      </c>
      <c r="O61" s="38">
        <v>0.79</v>
      </c>
      <c r="P61" s="59">
        <v>5</v>
      </c>
      <c r="Q61" s="65">
        <v>8</v>
      </c>
      <c r="R61" s="38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93">
        <f t="shared" si="2"/>
        <v>0.16295264623955433</v>
      </c>
      <c r="AT61" s="93">
        <f t="shared" si="3"/>
        <v>0.7209842154131848</v>
      </c>
      <c r="AU61" s="93">
        <f t="shared" si="4"/>
        <v>0.11606313834726091</v>
      </c>
      <c r="AV61" s="26">
        <f t="shared" si="5"/>
        <v>6.3255813953488366E-2</v>
      </c>
      <c r="AW61" s="26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57">
        <v>90</v>
      </c>
      <c r="K62" s="57">
        <v>90</v>
      </c>
      <c r="L62" s="57">
        <v>90</v>
      </c>
      <c r="M62" s="57">
        <v>25.7</v>
      </c>
      <c r="N62" s="63">
        <v>6.6</v>
      </c>
      <c r="O62" s="36">
        <v>0.8</v>
      </c>
      <c r="P62" s="57">
        <v>5</v>
      </c>
      <c r="Q62" s="63">
        <v>7.8</v>
      </c>
      <c r="R62" s="36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93">
        <f t="shared" si="2"/>
        <v>0.16078984485190409</v>
      </c>
      <c r="AT62" s="93">
        <f t="shared" si="3"/>
        <v>0.72167371885284437</v>
      </c>
      <c r="AU62" s="93">
        <f t="shared" si="4"/>
        <v>0.11753643629525153</v>
      </c>
      <c r="AV62" s="26">
        <f t="shared" si="5"/>
        <v>6.1874431301182892E-2</v>
      </c>
      <c r="AW62" s="26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57">
        <v>90</v>
      </c>
      <c r="K63" s="57">
        <v>90</v>
      </c>
      <c r="L63" s="57">
        <v>90</v>
      </c>
      <c r="M63" s="57">
        <v>25.8</v>
      </c>
      <c r="N63" s="63">
        <v>6.5</v>
      </c>
      <c r="O63" s="36">
        <v>0.91</v>
      </c>
      <c r="P63" s="57">
        <v>6</v>
      </c>
      <c r="Q63" s="63">
        <v>7.6</v>
      </c>
      <c r="R63" s="36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93">
        <f t="shared" si="2"/>
        <v>0.17493975903614459</v>
      </c>
      <c r="AT63" s="93">
        <f t="shared" si="3"/>
        <v>0.70457831325301201</v>
      </c>
      <c r="AU63" s="93">
        <f t="shared" si="4"/>
        <v>0.12048192771084337</v>
      </c>
      <c r="AV63" s="26">
        <f t="shared" si="5"/>
        <v>6.4608076009501192E-2</v>
      </c>
      <c r="AW63" s="26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57">
        <v>90</v>
      </c>
      <c r="K64" s="57">
        <v>90</v>
      </c>
      <c r="L64" s="57">
        <v>90</v>
      </c>
      <c r="M64" s="57">
        <v>25.8</v>
      </c>
      <c r="N64" s="63">
        <v>6.5</v>
      </c>
      <c r="O64" s="36">
        <v>0.87</v>
      </c>
      <c r="P64" s="57">
        <v>6</v>
      </c>
      <c r="Q64" s="63">
        <v>6.3</v>
      </c>
      <c r="R64" s="36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93">
        <f t="shared" si="2"/>
        <v>0.17121354656632173</v>
      </c>
      <c r="AT64" s="93">
        <f t="shared" si="3"/>
        <v>0.7111947318908749</v>
      </c>
      <c r="AU64" s="93">
        <f t="shared" si="4"/>
        <v>0.11759172154280338</v>
      </c>
      <c r="AV64" s="26">
        <f t="shared" si="5"/>
        <v>6.5700483091787443E-2</v>
      </c>
      <c r="AW64" s="26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57">
        <v>90</v>
      </c>
      <c r="K65" s="57">
        <v>90</v>
      </c>
      <c r="L65" s="57">
        <v>90</v>
      </c>
      <c r="M65" s="57">
        <v>25.5</v>
      </c>
      <c r="N65" s="63">
        <v>6.5</v>
      </c>
      <c r="O65" s="36">
        <v>0.83</v>
      </c>
      <c r="P65" s="57">
        <v>6</v>
      </c>
      <c r="Q65" s="63">
        <v>7.7</v>
      </c>
      <c r="R65" s="36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93">
        <f t="shared" si="2"/>
        <v>0.17322456813819578</v>
      </c>
      <c r="AT65" s="93">
        <f t="shared" si="3"/>
        <v>0.70681381957773515</v>
      </c>
      <c r="AU65" s="93">
        <f t="shared" si="4"/>
        <v>0.1199616122840691</v>
      </c>
      <c r="AV65" s="26">
        <f t="shared" si="5"/>
        <v>6.5259117082533583E-2</v>
      </c>
      <c r="AW65" s="26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57">
        <v>90</v>
      </c>
      <c r="K66" s="57">
        <v>90</v>
      </c>
      <c r="L66" s="57">
        <v>90</v>
      </c>
      <c r="M66" s="57">
        <v>24.8</v>
      </c>
      <c r="N66" s="63">
        <v>6.5</v>
      </c>
      <c r="O66" s="36">
        <v>0.92</v>
      </c>
      <c r="P66" s="57">
        <v>6</v>
      </c>
      <c r="Q66" s="63">
        <v>6.3</v>
      </c>
      <c r="R66" s="36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93">
        <f t="shared" ref="AS66:AS129" si="25">C66/AR66</f>
        <v>0.17397732873336619</v>
      </c>
      <c r="AT66" s="93">
        <f t="shared" ref="AT66:AT129" si="26">D66/AR66</f>
        <v>0.70280926564810253</v>
      </c>
      <c r="AU66" s="93">
        <f t="shared" ref="AU66:AU129" si="27">E66/AR66</f>
        <v>0.12321340561853129</v>
      </c>
      <c r="AV66" s="26">
        <f t="shared" ref="AV66:AV129" si="28">IF(AND(F66&lt;&gt;"",Z66&lt;&gt;""),AB66/(F66/2/Z66),"")</f>
        <v>6.5955383123181374E-2</v>
      </c>
      <c r="AW66" s="26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57">
        <v>90</v>
      </c>
      <c r="K67" s="57">
        <v>90</v>
      </c>
      <c r="L67" s="57">
        <v>90</v>
      </c>
      <c r="M67" s="57">
        <v>24.6</v>
      </c>
      <c r="N67" s="63">
        <v>6.4</v>
      </c>
      <c r="O67" s="36">
        <v>0.89</v>
      </c>
      <c r="P67" s="57">
        <v>6</v>
      </c>
      <c r="Q67" s="63">
        <v>6.3</v>
      </c>
      <c r="R67" s="36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93">
        <f t="shared" si="25"/>
        <v>0.16310679611650486</v>
      </c>
      <c r="AT67" s="93">
        <f t="shared" si="26"/>
        <v>0.71553398058252426</v>
      </c>
      <c r="AU67" s="93">
        <f t="shared" si="27"/>
        <v>0.12135922330097088</v>
      </c>
      <c r="AV67" s="26">
        <f t="shared" si="28"/>
        <v>6.340326340326341E-2</v>
      </c>
      <c r="AW67" s="26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58">
        <v>90</v>
      </c>
      <c r="K68" s="58">
        <v>90</v>
      </c>
      <c r="L68" s="58">
        <v>90</v>
      </c>
      <c r="M68" s="58">
        <v>24.5</v>
      </c>
      <c r="N68" s="64">
        <v>6.5</v>
      </c>
      <c r="O68" s="37">
        <v>0.89</v>
      </c>
      <c r="P68" s="58">
        <v>6</v>
      </c>
      <c r="Q68" s="64">
        <v>6.6</v>
      </c>
      <c r="R68" s="37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93">
        <f t="shared" si="25"/>
        <v>0.16208530805687205</v>
      </c>
      <c r="AT68" s="93">
        <f t="shared" si="26"/>
        <v>0.71943127962085307</v>
      </c>
      <c r="AU68" s="93">
        <f t="shared" si="27"/>
        <v>0.11848341232227488</v>
      </c>
      <c r="AV68" s="26">
        <f t="shared" si="28"/>
        <v>6.3255813953488366E-2</v>
      </c>
      <c r="AW68" s="26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59">
        <v>90</v>
      </c>
      <c r="K69" s="59">
        <v>90</v>
      </c>
      <c r="L69" s="59">
        <v>90</v>
      </c>
      <c r="M69" s="59">
        <v>24.3</v>
      </c>
      <c r="N69" s="65">
        <v>6.5</v>
      </c>
      <c r="O69" s="38">
        <v>0.92</v>
      </c>
      <c r="P69" s="59">
        <v>8</v>
      </c>
      <c r="Q69" s="65">
        <v>6.3</v>
      </c>
      <c r="R69" s="38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93">
        <f t="shared" si="25"/>
        <v>0.15703275529865124</v>
      </c>
      <c r="AT69" s="93">
        <f t="shared" si="26"/>
        <v>0.7225433526011561</v>
      </c>
      <c r="AU69" s="93">
        <f t="shared" si="27"/>
        <v>0.12042389210019268</v>
      </c>
      <c r="AV69" s="26">
        <f t="shared" si="28"/>
        <v>6.4577397910731249E-2</v>
      </c>
      <c r="AW69" s="26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57">
        <v>90</v>
      </c>
      <c r="K70" s="57">
        <v>90</v>
      </c>
      <c r="L70" s="57">
        <v>90</v>
      </c>
      <c r="M70" s="57">
        <v>24.1</v>
      </c>
      <c r="N70" s="63">
        <v>6.5</v>
      </c>
      <c r="O70" s="36">
        <v>0.95</v>
      </c>
      <c r="P70" s="57">
        <v>8</v>
      </c>
      <c r="Q70" s="63">
        <v>5.9</v>
      </c>
      <c r="R70" s="36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93">
        <f t="shared" si="25"/>
        <v>0.14051183003380011</v>
      </c>
      <c r="AT70" s="93">
        <f t="shared" si="26"/>
        <v>0.73877353935296963</v>
      </c>
      <c r="AU70" s="93">
        <f t="shared" si="27"/>
        <v>0.12071463061323032</v>
      </c>
      <c r="AV70" s="26">
        <f t="shared" si="28"/>
        <v>6.56687590535973E-2</v>
      </c>
      <c r="AW70" s="26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57">
        <v>90</v>
      </c>
      <c r="K71" s="57">
        <v>90</v>
      </c>
      <c r="L71" s="57">
        <v>90</v>
      </c>
      <c r="M71" s="57">
        <v>24.5</v>
      </c>
      <c r="N71" s="63">
        <v>6.6</v>
      </c>
      <c r="O71" s="36">
        <v>0.99</v>
      </c>
      <c r="P71" s="57">
        <v>7</v>
      </c>
      <c r="Q71" s="63">
        <v>6.3</v>
      </c>
      <c r="R71" s="36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93">
        <f t="shared" si="25"/>
        <v>0.1362763915547025</v>
      </c>
      <c r="AT71" s="93">
        <f t="shared" si="26"/>
        <v>0.72936660268714015</v>
      </c>
      <c r="AU71" s="93">
        <f t="shared" si="27"/>
        <v>0.1343570057581574</v>
      </c>
      <c r="AV71" s="26">
        <f t="shared" si="28"/>
        <v>6.5290446471435434E-2</v>
      </c>
      <c r="AW71" s="26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57">
        <v>90</v>
      </c>
      <c r="K72" s="57">
        <v>90</v>
      </c>
      <c r="L72" s="57">
        <v>90</v>
      </c>
      <c r="M72" s="57">
        <v>24.3</v>
      </c>
      <c r="N72" s="63">
        <v>6.6</v>
      </c>
      <c r="O72" s="36">
        <v>0.96</v>
      </c>
      <c r="P72" s="57">
        <v>7</v>
      </c>
      <c r="Q72" s="63">
        <v>6.6</v>
      </c>
      <c r="R72" s="36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93">
        <f t="shared" si="25"/>
        <v>0.13750616067028093</v>
      </c>
      <c r="AT72" s="93">
        <f t="shared" si="26"/>
        <v>0.73928043371118779</v>
      </c>
      <c r="AU72" s="93">
        <f t="shared" si="27"/>
        <v>0.12321340561853129</v>
      </c>
      <c r="AV72" s="26">
        <f t="shared" si="28"/>
        <v>6.702809265648102E-2</v>
      </c>
      <c r="AW72" s="26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57">
        <v>90</v>
      </c>
      <c r="K73" s="57">
        <v>90</v>
      </c>
      <c r="L73" s="57">
        <v>90</v>
      </c>
      <c r="M73" s="57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36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93">
        <f t="shared" si="25"/>
        <v>0.1342248637939574</v>
      </c>
      <c r="AT73" s="93">
        <f t="shared" si="26"/>
        <v>0.74195146111936605</v>
      </c>
      <c r="AU73" s="93">
        <f t="shared" si="27"/>
        <v>0.12382367508667658</v>
      </c>
      <c r="AV73" s="26">
        <f t="shared" si="28"/>
        <v>6.7628045748383894E-2</v>
      </c>
      <c r="AW73" s="26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57">
        <v>90</v>
      </c>
      <c r="K74" s="57">
        <v>90</v>
      </c>
      <c r="L74" s="57">
        <v>90</v>
      </c>
      <c r="M74" s="57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36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93">
        <f t="shared" si="25"/>
        <v>0.13622902270483711</v>
      </c>
      <c r="AT74" s="93">
        <f t="shared" si="26"/>
        <v>0.74086870681145112</v>
      </c>
      <c r="AU74" s="93">
        <f t="shared" si="27"/>
        <v>0.12290227048371175</v>
      </c>
      <c r="AV74" s="26">
        <f t="shared" si="28"/>
        <v>6.7127344521224083E-2</v>
      </c>
      <c r="AW74" s="26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57">
        <v>90</v>
      </c>
      <c r="K75" s="57">
        <v>90</v>
      </c>
      <c r="L75" s="57">
        <v>90</v>
      </c>
      <c r="M75" s="57">
        <v>24.9</v>
      </c>
      <c r="N75" s="63">
        <v>6.6</v>
      </c>
      <c r="O75" s="36">
        <v>0.95</v>
      </c>
      <c r="P75" s="57">
        <v>6</v>
      </c>
      <c r="Q75" s="63">
        <v>8.6</v>
      </c>
      <c r="R75" s="36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93">
        <f t="shared" si="25"/>
        <v>0.14306784660766961</v>
      </c>
      <c r="AT75" s="93">
        <f t="shared" si="26"/>
        <v>0.73402163225172079</v>
      </c>
      <c r="AU75" s="93">
        <f t="shared" si="27"/>
        <v>0.12291052114060963</v>
      </c>
      <c r="AV75" s="26">
        <f t="shared" si="28"/>
        <v>6.6863323500491637E-2</v>
      </c>
      <c r="AW75" s="26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57">
        <v>90</v>
      </c>
      <c r="K76" s="57">
        <v>90</v>
      </c>
      <c r="L76" s="57">
        <v>90</v>
      </c>
      <c r="M76" s="57">
        <v>24.4</v>
      </c>
      <c r="N76" s="63">
        <v>6.5</v>
      </c>
      <c r="O76" s="36">
        <v>1</v>
      </c>
      <c r="P76" s="57">
        <v>7</v>
      </c>
      <c r="Q76" s="63">
        <v>8.9</v>
      </c>
      <c r="R76" s="36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93">
        <f t="shared" si="25"/>
        <v>0.14658140678799803</v>
      </c>
      <c r="AT76" s="93">
        <f t="shared" si="26"/>
        <v>0.73044761436301031</v>
      </c>
      <c r="AU76" s="93">
        <f t="shared" si="27"/>
        <v>0.12297097884899164</v>
      </c>
      <c r="AV76" s="26">
        <f t="shared" si="28"/>
        <v>6.7226890756302518E-2</v>
      </c>
      <c r="AW76" s="26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58">
        <v>90</v>
      </c>
      <c r="K77" s="58">
        <v>90</v>
      </c>
      <c r="L77" s="58">
        <v>90</v>
      </c>
      <c r="M77" s="58">
        <v>23.7</v>
      </c>
      <c r="N77" s="64">
        <v>6.6</v>
      </c>
      <c r="O77" s="37">
        <v>1.04</v>
      </c>
      <c r="P77" s="58">
        <v>3</v>
      </c>
      <c r="Q77" s="64">
        <v>8.4</v>
      </c>
      <c r="R77" s="37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93">
        <f t="shared" si="25"/>
        <v>0.19473927088140286</v>
      </c>
      <c r="AT77" s="93">
        <f t="shared" si="26"/>
        <v>0.69035532994923854</v>
      </c>
      <c r="AU77" s="93">
        <f t="shared" si="27"/>
        <v>0.11490539916935856</v>
      </c>
      <c r="AV77" s="26">
        <f t="shared" si="28"/>
        <v>6.0959211116091441E-2</v>
      </c>
      <c r="AW77" s="26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59">
        <v>90</v>
      </c>
      <c r="K78" s="59">
        <v>90</v>
      </c>
      <c r="L78" s="59">
        <v>90</v>
      </c>
      <c r="M78" s="59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38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93">
        <f t="shared" si="25"/>
        <v>0.1822429906542056</v>
      </c>
      <c r="AT78" s="93">
        <f t="shared" si="26"/>
        <v>0.7009345794392523</v>
      </c>
      <c r="AU78" s="93">
        <f t="shared" si="27"/>
        <v>0.11682242990654206</v>
      </c>
      <c r="AV78" s="26">
        <f t="shared" si="28"/>
        <v>6.0959211116091441E-2</v>
      </c>
      <c r="AW78" s="26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57">
        <v>90</v>
      </c>
      <c r="K79" s="57">
        <v>90</v>
      </c>
      <c r="L79" s="57">
        <v>90</v>
      </c>
      <c r="M79" s="57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36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93">
        <f t="shared" si="25"/>
        <v>0.16996917657419638</v>
      </c>
      <c r="AT79" s="93">
        <f t="shared" si="26"/>
        <v>0.7199471598414795</v>
      </c>
      <c r="AU79" s="93">
        <f t="shared" si="27"/>
        <v>0.11008366358432409</v>
      </c>
      <c r="AV79" s="26">
        <f t="shared" si="28"/>
        <v>5.9027777777777776E-2</v>
      </c>
      <c r="AW79" s="26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57">
        <v>90</v>
      </c>
      <c r="K80" s="57">
        <v>90</v>
      </c>
      <c r="L80" s="57">
        <v>90</v>
      </c>
      <c r="M80" s="57">
        <v>24.2</v>
      </c>
      <c r="N80" s="63">
        <v>6.4</v>
      </c>
      <c r="O80" s="36">
        <v>1.02</v>
      </c>
      <c r="P80" s="57">
        <v>5</v>
      </c>
      <c r="Q80" s="63">
        <v>5.7</v>
      </c>
      <c r="R80" s="36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93">
        <f t="shared" si="25"/>
        <v>0.16527472527472528</v>
      </c>
      <c r="AT80" s="93">
        <f t="shared" si="26"/>
        <v>0.72527472527472525</v>
      </c>
      <c r="AU80" s="93">
        <f t="shared" si="27"/>
        <v>0.10945054945054945</v>
      </c>
      <c r="AV80" s="26">
        <f t="shared" si="28"/>
        <v>6.0795708538220833E-2</v>
      </c>
      <c r="AW80" s="26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57">
        <v>90</v>
      </c>
      <c r="K81" s="57">
        <v>90</v>
      </c>
      <c r="L81" s="57">
        <v>90</v>
      </c>
      <c r="M81" s="57">
        <v>25.2</v>
      </c>
      <c r="N81" s="63">
        <v>6.3</v>
      </c>
      <c r="O81" s="36">
        <v>1.04</v>
      </c>
      <c r="P81" s="57">
        <v>5</v>
      </c>
      <c r="Q81" s="63">
        <v>5.8</v>
      </c>
      <c r="R81" s="36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93">
        <f t="shared" si="25"/>
        <v>0.13281606572341398</v>
      </c>
      <c r="AT81" s="93">
        <f t="shared" si="26"/>
        <v>0.7530807850296668</v>
      </c>
      <c r="AU81" s="93">
        <f t="shared" si="27"/>
        <v>0.11410314924691921</v>
      </c>
      <c r="AV81" s="26">
        <f t="shared" si="28"/>
        <v>6.0687193217313702E-2</v>
      </c>
      <c r="AW81" s="26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57">
        <v>90</v>
      </c>
      <c r="K82" s="57">
        <v>90</v>
      </c>
      <c r="L82" s="57">
        <v>90</v>
      </c>
      <c r="M82" s="57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36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93">
        <f t="shared" si="25"/>
        <v>0.13082437275985664</v>
      </c>
      <c r="AT82" s="93">
        <f t="shared" si="26"/>
        <v>0.75716845878136196</v>
      </c>
      <c r="AU82" s="93">
        <f t="shared" si="27"/>
        <v>0.11200716845878136</v>
      </c>
      <c r="AV82" s="26">
        <f t="shared" si="28"/>
        <v>6.1510628674807777E-2</v>
      </c>
      <c r="AW82" s="26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57">
        <v>90</v>
      </c>
      <c r="K83" s="57">
        <v>90</v>
      </c>
      <c r="L83" s="57">
        <v>90</v>
      </c>
      <c r="M83" s="57">
        <v>25</v>
      </c>
      <c r="N83" s="63">
        <v>6.5</v>
      </c>
      <c r="O83" s="36">
        <v>1.08</v>
      </c>
      <c r="P83" s="57">
        <v>6</v>
      </c>
      <c r="Q83" s="63">
        <v>6.3</v>
      </c>
      <c r="R83" s="36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93">
        <f t="shared" si="25"/>
        <v>0.12724820143884893</v>
      </c>
      <c r="AT83" s="93">
        <f t="shared" si="26"/>
        <v>0.76034172661870503</v>
      </c>
      <c r="AU83" s="93">
        <f t="shared" si="27"/>
        <v>0.11241007194244604</v>
      </c>
      <c r="AV83" s="26">
        <f t="shared" si="28"/>
        <v>5.9362723701440419E-2</v>
      </c>
      <c r="AW83" s="26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57">
        <v>90</v>
      </c>
      <c r="K84" s="57">
        <v>90</v>
      </c>
      <c r="L84" s="57">
        <v>90</v>
      </c>
      <c r="M84" s="57">
        <v>24.5</v>
      </c>
      <c r="N84" s="63">
        <v>6.6</v>
      </c>
      <c r="O84" s="36">
        <v>1.03</v>
      </c>
      <c r="P84" s="57">
        <v>6</v>
      </c>
      <c r="Q84" s="63">
        <v>6.4</v>
      </c>
      <c r="R84" s="36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93">
        <f t="shared" si="25"/>
        <v>0.13073394495412843</v>
      </c>
      <c r="AT84" s="93">
        <f t="shared" si="26"/>
        <v>0.75458715596330272</v>
      </c>
      <c r="AU84" s="93">
        <f t="shared" si="27"/>
        <v>0.11467889908256881</v>
      </c>
      <c r="AV84" s="26">
        <f t="shared" si="28"/>
        <v>6.1650045330915684E-2</v>
      </c>
      <c r="AW84" s="26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57">
        <v>90</v>
      </c>
      <c r="K85" s="57">
        <v>90</v>
      </c>
      <c r="L85" s="57">
        <v>90</v>
      </c>
      <c r="M85" s="57">
        <v>23.7</v>
      </c>
      <c r="N85" s="63">
        <v>6.4</v>
      </c>
      <c r="O85" s="36">
        <v>0.89</v>
      </c>
      <c r="P85" s="57">
        <v>5</v>
      </c>
      <c r="Q85" s="63">
        <v>5.6</v>
      </c>
      <c r="R85" s="36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93">
        <f t="shared" si="25"/>
        <v>0.17686467172845019</v>
      </c>
      <c r="AT85" s="93">
        <f t="shared" si="26"/>
        <v>0.70031263957123713</v>
      </c>
      <c r="AU85" s="93">
        <f t="shared" si="27"/>
        <v>0.12282268870031264</v>
      </c>
      <c r="AV85" s="26">
        <f t="shared" si="28"/>
        <v>5.8874458874458878E-2</v>
      </c>
      <c r="AW85" s="26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57">
        <v>90</v>
      </c>
      <c r="K86" s="57">
        <v>90</v>
      </c>
      <c r="L86" s="57">
        <v>90</v>
      </c>
      <c r="M86" s="57">
        <v>23.3</v>
      </c>
      <c r="N86" s="63">
        <v>6.4</v>
      </c>
      <c r="O86" s="36">
        <v>0.93</v>
      </c>
      <c r="P86" s="57">
        <v>5</v>
      </c>
      <c r="Q86" s="63">
        <v>5.7</v>
      </c>
      <c r="R86" s="36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93">
        <f t="shared" si="25"/>
        <v>0.17123893805309734</v>
      </c>
      <c r="AT86" s="93">
        <f t="shared" si="26"/>
        <v>0.70840707964601768</v>
      </c>
      <c r="AU86" s="93">
        <f t="shared" si="27"/>
        <v>0.12035398230088495</v>
      </c>
      <c r="AV86" s="26">
        <f t="shared" si="28"/>
        <v>6.0444444444444446E-2</v>
      </c>
      <c r="AW86" s="26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58">
        <v>90</v>
      </c>
      <c r="K87" s="58">
        <v>90</v>
      </c>
      <c r="L87" s="58">
        <v>90</v>
      </c>
      <c r="M87" s="58">
        <v>23.5</v>
      </c>
      <c r="N87" s="64">
        <v>6.3</v>
      </c>
      <c r="O87" s="37">
        <v>0.97</v>
      </c>
      <c r="P87" s="58">
        <v>6</v>
      </c>
      <c r="Q87" s="64">
        <v>5.5</v>
      </c>
      <c r="R87" s="37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93">
        <f t="shared" si="25"/>
        <v>0.1751336898395722</v>
      </c>
      <c r="AT87" s="93">
        <f t="shared" si="26"/>
        <v>0.70365418894830656</v>
      </c>
      <c r="AU87" s="93">
        <f t="shared" si="27"/>
        <v>0.12121212121212122</v>
      </c>
      <c r="AV87" s="26">
        <f t="shared" si="28"/>
        <v>6.0203629924745462E-2</v>
      </c>
      <c r="AW87" s="26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59">
        <v>90</v>
      </c>
      <c r="K88" s="59">
        <v>90</v>
      </c>
      <c r="L88" s="59">
        <v>90</v>
      </c>
      <c r="M88" s="59">
        <v>24.1</v>
      </c>
      <c r="N88" s="65">
        <v>6.5</v>
      </c>
      <c r="O88" s="38">
        <v>0.93</v>
      </c>
      <c r="P88" s="59">
        <v>9</v>
      </c>
      <c r="Q88" s="65">
        <v>6.8</v>
      </c>
      <c r="R88" s="38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93">
        <f t="shared" si="25"/>
        <v>0.1682284694332887</v>
      </c>
      <c r="AT88" s="93">
        <f t="shared" si="26"/>
        <v>0.71039714413208388</v>
      </c>
      <c r="AU88" s="93">
        <f t="shared" si="27"/>
        <v>0.1213743864346274</v>
      </c>
      <c r="AV88" s="26">
        <f t="shared" si="28"/>
        <v>6.1096136567834684E-2</v>
      </c>
      <c r="AW88" s="26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57">
        <v>90</v>
      </c>
      <c r="K89" s="57">
        <v>90</v>
      </c>
      <c r="L89" s="57">
        <v>90</v>
      </c>
      <c r="M89" s="57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36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93">
        <f t="shared" si="25"/>
        <v>0.16614560071460474</v>
      </c>
      <c r="AT89" s="93">
        <f t="shared" si="26"/>
        <v>0.71728450200982585</v>
      </c>
      <c r="AU89" s="93">
        <f t="shared" si="27"/>
        <v>0.11656989727556945</v>
      </c>
      <c r="AV89" s="26">
        <f t="shared" si="28"/>
        <v>6.1510628674807777E-2</v>
      </c>
      <c r="AW89" s="26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57">
        <v>90</v>
      </c>
      <c r="K90" s="57">
        <v>90</v>
      </c>
      <c r="L90" s="57">
        <v>90</v>
      </c>
      <c r="M90" s="57">
        <v>25.9</v>
      </c>
      <c r="N90" s="63">
        <v>6.5</v>
      </c>
      <c r="O90" s="36">
        <v>0.96</v>
      </c>
      <c r="P90" s="57">
        <v>7</v>
      </c>
      <c r="Q90" s="63">
        <v>7.2</v>
      </c>
      <c r="R90" s="36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93">
        <f t="shared" si="25"/>
        <v>0.17285648784961027</v>
      </c>
      <c r="AT90" s="93">
        <f t="shared" si="26"/>
        <v>0.70747363594681334</v>
      </c>
      <c r="AU90" s="93">
        <f t="shared" si="27"/>
        <v>0.11966987620357634</v>
      </c>
      <c r="AV90" s="26">
        <f t="shared" si="28"/>
        <v>6.1818181818181821E-2</v>
      </c>
      <c r="AW90" s="26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57">
        <v>90</v>
      </c>
      <c r="K91" s="57">
        <v>90</v>
      </c>
      <c r="L91" s="57">
        <v>90</v>
      </c>
      <c r="M91" s="57">
        <v>25.4</v>
      </c>
      <c r="N91" s="63">
        <v>6.4</v>
      </c>
      <c r="O91" s="36">
        <v>1.01</v>
      </c>
      <c r="P91" s="57">
        <v>15</v>
      </c>
      <c r="Q91" s="63">
        <v>7.7</v>
      </c>
      <c r="R91" s="36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93">
        <f t="shared" si="25"/>
        <v>0.15805604203152365</v>
      </c>
      <c r="AT91" s="93">
        <f t="shared" si="26"/>
        <v>0.72110332749562167</v>
      </c>
      <c r="AU91" s="93">
        <f t="shared" si="27"/>
        <v>0.12084063047285463</v>
      </c>
      <c r="AV91" s="26">
        <f t="shared" si="28"/>
        <v>6.0363959165557035E-2</v>
      </c>
      <c r="AW91" s="26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57">
        <v>90</v>
      </c>
      <c r="K92" s="57">
        <v>90</v>
      </c>
      <c r="L92" s="57">
        <v>90</v>
      </c>
      <c r="M92" s="57">
        <v>26</v>
      </c>
      <c r="N92" s="63">
        <v>6.5</v>
      </c>
      <c r="O92" s="36">
        <v>1.04</v>
      </c>
      <c r="P92" s="57">
        <v>5</v>
      </c>
      <c r="Q92" s="63">
        <v>7.8</v>
      </c>
      <c r="R92" s="36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93">
        <f t="shared" si="25"/>
        <v>0.16297968397291196</v>
      </c>
      <c r="AT92" s="93">
        <f t="shared" si="26"/>
        <v>0.71151241534988718</v>
      </c>
      <c r="AU92" s="93">
        <f t="shared" si="27"/>
        <v>0.12550790067720091</v>
      </c>
      <c r="AV92" s="26">
        <f t="shared" si="28"/>
        <v>6.0959211116091441E-2</v>
      </c>
      <c r="AW92" s="26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57">
        <v>90</v>
      </c>
      <c r="K93" s="57">
        <v>90</v>
      </c>
      <c r="L93" s="57">
        <v>90</v>
      </c>
      <c r="M93" s="57">
        <v>26.1</v>
      </c>
      <c r="N93" s="63">
        <v>6.5</v>
      </c>
      <c r="O93" s="36">
        <v>1.07</v>
      </c>
      <c r="P93" s="57">
        <v>6</v>
      </c>
      <c r="Q93" s="63">
        <v>7.4</v>
      </c>
      <c r="R93" s="36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93">
        <f t="shared" si="25"/>
        <v>0.16003536693191867</v>
      </c>
      <c r="AT93" s="93">
        <f t="shared" si="26"/>
        <v>0.7183908045977011</v>
      </c>
      <c r="AU93" s="93">
        <f t="shared" si="27"/>
        <v>0.12157382847038019</v>
      </c>
      <c r="AV93" s="26">
        <f t="shared" si="28"/>
        <v>6.0444444444444446E-2</v>
      </c>
      <c r="AW93" s="26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57">
        <v>90</v>
      </c>
      <c r="K94" s="57">
        <v>90</v>
      </c>
      <c r="L94" s="57">
        <v>90</v>
      </c>
      <c r="M94" s="57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36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93">
        <f t="shared" si="25"/>
        <v>0.16501352569882777</v>
      </c>
      <c r="AT94" s="93">
        <f t="shared" si="26"/>
        <v>0.71280432822362494</v>
      </c>
      <c r="AU94" s="93">
        <f t="shared" si="27"/>
        <v>0.12218214607754734</v>
      </c>
      <c r="AV94" s="26">
        <f t="shared" si="28"/>
        <v>6.0579064587973276E-2</v>
      </c>
      <c r="AW94" s="26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57">
        <v>90</v>
      </c>
      <c r="K95" s="57">
        <v>90</v>
      </c>
      <c r="L95" s="57">
        <v>90</v>
      </c>
      <c r="M95" s="57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36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93">
        <f t="shared" si="25"/>
        <v>0.1615523465703971</v>
      </c>
      <c r="AT95" s="93">
        <f t="shared" si="26"/>
        <v>0.71344765342960292</v>
      </c>
      <c r="AU95" s="93">
        <f t="shared" si="27"/>
        <v>0.125</v>
      </c>
      <c r="AV95" s="26">
        <f t="shared" si="28"/>
        <v>6.0850111856823264E-2</v>
      </c>
      <c r="AW95" s="26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57">
        <v>90</v>
      </c>
      <c r="K96" s="57">
        <v>90</v>
      </c>
      <c r="L96" s="57">
        <v>90</v>
      </c>
      <c r="M96" s="57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36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93">
        <f t="shared" si="25"/>
        <v>0.20663033605812897</v>
      </c>
      <c r="AT96" s="93">
        <f t="shared" si="26"/>
        <v>0.68392370572207084</v>
      </c>
      <c r="AU96" s="93">
        <f t="shared" si="27"/>
        <v>0.10944595821980019</v>
      </c>
      <c r="AV96" s="26">
        <f t="shared" si="28"/>
        <v>6.0044150110375276E-2</v>
      </c>
      <c r="AW96" s="26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57">
        <v>90</v>
      </c>
      <c r="K97" s="57">
        <v>90</v>
      </c>
      <c r="L97" s="57">
        <v>90</v>
      </c>
      <c r="M97" s="57">
        <v>25</v>
      </c>
      <c r="N97" s="63">
        <v>6.5</v>
      </c>
      <c r="O97" s="36">
        <v>1</v>
      </c>
      <c r="P97" s="57">
        <v>7</v>
      </c>
      <c r="Q97" s="63">
        <v>6.5</v>
      </c>
      <c r="R97" s="36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93">
        <f t="shared" si="25"/>
        <v>0.214636323070058</v>
      </c>
      <c r="AT97" s="93">
        <f t="shared" si="26"/>
        <v>0.66488174921909859</v>
      </c>
      <c r="AU97" s="93">
        <f t="shared" si="27"/>
        <v>0.12048192771084337</v>
      </c>
      <c r="AV97" s="26">
        <f t="shared" si="28"/>
        <v>5.9727711901624944E-2</v>
      </c>
      <c r="AW97" s="26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58">
        <v>90</v>
      </c>
      <c r="K98" s="58">
        <v>90</v>
      </c>
      <c r="L98" s="58">
        <v>90</v>
      </c>
      <c r="M98" s="58">
        <v>24.9</v>
      </c>
      <c r="N98" s="64">
        <v>6.6</v>
      </c>
      <c r="O98" s="37">
        <v>1.08</v>
      </c>
      <c r="P98" s="58">
        <v>6</v>
      </c>
      <c r="Q98" s="64">
        <v>6.2</v>
      </c>
      <c r="R98" s="37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93">
        <f t="shared" si="25"/>
        <v>0.21817363922627081</v>
      </c>
      <c r="AT98" s="93">
        <f t="shared" si="26"/>
        <v>0.65991902834008098</v>
      </c>
      <c r="AU98" s="93">
        <f t="shared" si="27"/>
        <v>0.12190733243364822</v>
      </c>
      <c r="AV98" s="26">
        <f t="shared" si="28"/>
        <v>6.0283687943262408E-2</v>
      </c>
      <c r="AW98" s="26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59">
        <v>90</v>
      </c>
      <c r="K99" s="59">
        <v>90</v>
      </c>
      <c r="L99" s="59">
        <v>90</v>
      </c>
      <c r="M99" s="59">
        <v>25</v>
      </c>
      <c r="N99" s="65">
        <v>6.6</v>
      </c>
      <c r="O99" s="38">
        <v>1.27</v>
      </c>
      <c r="P99" s="59">
        <v>7</v>
      </c>
      <c r="Q99" s="65">
        <v>6.3</v>
      </c>
      <c r="R99" s="38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93">
        <f t="shared" si="25"/>
        <v>0.20350109409190373</v>
      </c>
      <c r="AT99" s="93">
        <f t="shared" si="26"/>
        <v>0.6783369803063457</v>
      </c>
      <c r="AU99" s="93">
        <f t="shared" si="27"/>
        <v>0.11816192560175055</v>
      </c>
      <c r="AV99" s="26">
        <f t="shared" si="28"/>
        <v>5.8772687986171135E-2</v>
      </c>
      <c r="AW99" s="26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57">
        <v>90</v>
      </c>
      <c r="K100" s="57">
        <v>90</v>
      </c>
      <c r="L100" s="57">
        <v>90</v>
      </c>
      <c r="M100" s="57">
        <v>25.6</v>
      </c>
      <c r="N100" s="63">
        <v>6.5</v>
      </c>
      <c r="O100" s="36">
        <v>1.02</v>
      </c>
      <c r="P100" s="57">
        <v>5</v>
      </c>
      <c r="Q100" s="63">
        <v>6.1</v>
      </c>
      <c r="R100" s="36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93">
        <f t="shared" si="25"/>
        <v>0.20940750791497059</v>
      </c>
      <c r="AT100" s="93">
        <f t="shared" si="26"/>
        <v>0.66621438263229305</v>
      </c>
      <c r="AU100" s="93">
        <f t="shared" si="27"/>
        <v>0.12437810945273632</v>
      </c>
      <c r="AV100" s="26">
        <f t="shared" si="28"/>
        <v>5.9649122807017542E-2</v>
      </c>
      <c r="AW100" s="26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57">
        <v>90</v>
      </c>
      <c r="K101" s="57">
        <v>90</v>
      </c>
      <c r="L101" s="57">
        <v>90</v>
      </c>
      <c r="M101" s="57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36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93">
        <f t="shared" si="25"/>
        <v>0.18169702354509107</v>
      </c>
      <c r="AT101" s="93">
        <f t="shared" si="26"/>
        <v>0.70279875610839626</v>
      </c>
      <c r="AU101" s="93">
        <f t="shared" si="27"/>
        <v>0.11550422034651266</v>
      </c>
      <c r="AV101" s="26">
        <f t="shared" si="28"/>
        <v>6.1538461538461542E-2</v>
      </c>
      <c r="AW101" s="26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57">
        <v>90</v>
      </c>
      <c r="K102" s="57">
        <v>90</v>
      </c>
      <c r="L102" s="57">
        <v>90</v>
      </c>
      <c r="M102" s="57">
        <v>26.1</v>
      </c>
      <c r="N102" s="63">
        <v>6.5</v>
      </c>
      <c r="O102" s="36">
        <v>1.01</v>
      </c>
      <c r="P102" s="57">
        <v>7</v>
      </c>
      <c r="Q102" s="63">
        <v>6.5</v>
      </c>
      <c r="R102" s="36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93">
        <f t="shared" si="25"/>
        <v>0.18607888631090488</v>
      </c>
      <c r="AT102" s="93">
        <f t="shared" si="26"/>
        <v>0.69327146171693732</v>
      </c>
      <c r="AU102" s="93">
        <f t="shared" si="27"/>
        <v>0.12064965197215777</v>
      </c>
      <c r="AV102" s="26">
        <f t="shared" si="28"/>
        <v>5.8899956691208316E-2</v>
      </c>
      <c r="AW102" s="26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57">
        <v>90</v>
      </c>
      <c r="K103" s="57">
        <v>90</v>
      </c>
      <c r="L103" s="57">
        <v>90</v>
      </c>
      <c r="M103" s="57">
        <v>25.8</v>
      </c>
      <c r="N103" s="63">
        <v>6.5</v>
      </c>
      <c r="O103" s="36">
        <v>0.96</v>
      </c>
      <c r="P103" s="57">
        <v>7</v>
      </c>
      <c r="Q103" s="63">
        <v>6.5</v>
      </c>
      <c r="R103" s="36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93">
        <f t="shared" si="25"/>
        <v>0.15035906642728905</v>
      </c>
      <c r="AT103" s="93">
        <f t="shared" si="26"/>
        <v>0.73294434470377023</v>
      </c>
      <c r="AU103" s="93">
        <f t="shared" si="27"/>
        <v>0.11669658886894076</v>
      </c>
      <c r="AV103" s="26">
        <f t="shared" si="28"/>
        <v>5.8925476603119586E-2</v>
      </c>
      <c r="AW103" s="26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57">
        <v>90</v>
      </c>
      <c r="K104" s="57">
        <v>90</v>
      </c>
      <c r="L104" s="57">
        <v>90</v>
      </c>
      <c r="M104" s="57">
        <v>25.2</v>
      </c>
      <c r="N104" s="63">
        <v>6.6</v>
      </c>
      <c r="O104" s="36">
        <v>0.94</v>
      </c>
      <c r="P104" s="57">
        <v>7</v>
      </c>
      <c r="Q104" s="63">
        <v>6.9</v>
      </c>
      <c r="R104" s="36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93">
        <f t="shared" si="25"/>
        <v>0.17775792764627066</v>
      </c>
      <c r="AT104" s="93">
        <f t="shared" si="26"/>
        <v>0.70656543099598035</v>
      </c>
      <c r="AU104" s="93">
        <f t="shared" si="27"/>
        <v>0.11567664135774899</v>
      </c>
      <c r="AV104" s="26">
        <f t="shared" si="28"/>
        <v>6.0123784261715295E-2</v>
      </c>
      <c r="AW104" s="26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57">
        <v>90</v>
      </c>
      <c r="K105" s="57">
        <v>90</v>
      </c>
      <c r="L105" s="57">
        <v>90</v>
      </c>
      <c r="M105" s="57">
        <v>25.1</v>
      </c>
      <c r="N105" s="63">
        <v>6.5</v>
      </c>
      <c r="O105" s="36">
        <v>1.07</v>
      </c>
      <c r="P105" s="57">
        <v>7</v>
      </c>
      <c r="Q105" s="63">
        <v>6.2</v>
      </c>
      <c r="R105" s="36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93">
        <f t="shared" si="25"/>
        <v>0.18521939953810623</v>
      </c>
      <c r="AT105" s="93">
        <f t="shared" si="26"/>
        <v>0.69515011547344108</v>
      </c>
      <c r="AU105" s="93">
        <f t="shared" si="27"/>
        <v>0.11963048498845266</v>
      </c>
      <c r="AV105" s="26">
        <f t="shared" si="28"/>
        <v>6.0256978289765173E-2</v>
      </c>
      <c r="AW105" s="26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57">
        <v>90</v>
      </c>
      <c r="K106" s="57">
        <v>90</v>
      </c>
      <c r="L106" s="57">
        <v>90</v>
      </c>
      <c r="M106" s="57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36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93">
        <f t="shared" si="25"/>
        <v>0.17200526546731024</v>
      </c>
      <c r="AT106" s="93">
        <f t="shared" si="26"/>
        <v>0.7147871873628785</v>
      </c>
      <c r="AU106" s="93">
        <f t="shared" si="27"/>
        <v>0.11320754716981132</v>
      </c>
      <c r="AV106" s="26">
        <f t="shared" si="28"/>
        <v>5.8570198105081829E-2</v>
      </c>
      <c r="AW106" s="26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57">
        <v>90</v>
      </c>
      <c r="K107" s="57">
        <v>90</v>
      </c>
      <c r="L107" s="57">
        <v>90</v>
      </c>
      <c r="M107" s="57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36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93">
        <f t="shared" si="25"/>
        <v>0.18029064486830154</v>
      </c>
      <c r="AT107" s="93">
        <f t="shared" si="26"/>
        <v>0.70208900999091739</v>
      </c>
      <c r="AU107" s="93">
        <f t="shared" si="27"/>
        <v>0.11762034514078111</v>
      </c>
      <c r="AV107" s="26">
        <f t="shared" si="28"/>
        <v>6.0097216084843127E-2</v>
      </c>
      <c r="AW107" s="26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58">
        <v>90</v>
      </c>
      <c r="K108" s="58">
        <v>90</v>
      </c>
      <c r="L108" s="58">
        <v>90</v>
      </c>
      <c r="M108" s="58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37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93">
        <f t="shared" si="25"/>
        <v>0.1814497973885637</v>
      </c>
      <c r="AT108" s="93">
        <f t="shared" si="26"/>
        <v>0.70193606483565962</v>
      </c>
      <c r="AU108" s="93">
        <f t="shared" si="27"/>
        <v>0.11661413777577667</v>
      </c>
      <c r="AV108" s="26">
        <f t="shared" si="28"/>
        <v>5.8519793459552494E-2</v>
      </c>
      <c r="AW108" s="26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59">
        <v>90</v>
      </c>
      <c r="K109" s="59">
        <v>90</v>
      </c>
      <c r="L109" s="59">
        <v>90</v>
      </c>
      <c r="M109" s="59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38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93">
        <f t="shared" si="25"/>
        <v>0.15789473684210525</v>
      </c>
      <c r="AT109" s="93">
        <f t="shared" si="26"/>
        <v>0.72993960310612593</v>
      </c>
      <c r="AU109" s="93">
        <f t="shared" si="27"/>
        <v>0.11216566005176877</v>
      </c>
      <c r="AV109" s="26">
        <f t="shared" si="28"/>
        <v>5.9079061685490875E-2</v>
      </c>
      <c r="AW109" s="26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57">
        <v>90</v>
      </c>
      <c r="K110" s="57">
        <v>90</v>
      </c>
      <c r="L110" s="57">
        <v>90</v>
      </c>
      <c r="M110" s="57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36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93">
        <f t="shared" si="25"/>
        <v>0.21464788732394366</v>
      </c>
      <c r="AT110" s="93">
        <f t="shared" si="26"/>
        <v>0.61915492957746476</v>
      </c>
      <c r="AU110" s="93">
        <f t="shared" si="27"/>
        <v>0.16619718309859155</v>
      </c>
      <c r="AV110" s="26">
        <f t="shared" si="28"/>
        <v>7.4195308237861426E-2</v>
      </c>
      <c r="AW110" s="26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57">
        <v>90</v>
      </c>
      <c r="K111" s="57">
        <v>90</v>
      </c>
      <c r="L111" s="57">
        <v>90</v>
      </c>
      <c r="M111" s="57">
        <v>24.3</v>
      </c>
      <c r="N111" s="63">
        <v>6.6</v>
      </c>
      <c r="O111" s="36">
        <v>1.19</v>
      </c>
      <c r="P111" s="57">
        <v>7</v>
      </c>
      <c r="Q111" s="63">
        <v>8</v>
      </c>
      <c r="R111" s="36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93">
        <f t="shared" si="25"/>
        <v>0.20856820744081173</v>
      </c>
      <c r="AT111" s="93">
        <f t="shared" si="26"/>
        <v>0.62514092446448699</v>
      </c>
      <c r="AU111" s="93">
        <f t="shared" si="27"/>
        <v>0.16629086809470123</v>
      </c>
      <c r="AV111" s="26">
        <f t="shared" si="28"/>
        <v>7.5597554196775982E-2</v>
      </c>
      <c r="AW111" s="26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57">
        <v>90</v>
      </c>
      <c r="K112" s="57">
        <v>90</v>
      </c>
      <c r="L112" s="57">
        <v>90</v>
      </c>
      <c r="M112" s="57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36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93">
        <f t="shared" si="25"/>
        <v>0.23790552077404667</v>
      </c>
      <c r="AT112" s="93">
        <f t="shared" si="26"/>
        <v>0.59419464997154237</v>
      </c>
      <c r="AU112" s="93">
        <f t="shared" si="27"/>
        <v>0.16789982925441094</v>
      </c>
      <c r="AV112" s="26">
        <f t="shared" si="28"/>
        <v>7.9115764979639319E-2</v>
      </c>
      <c r="AW112" s="26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57">
        <v>90</v>
      </c>
      <c r="K113" s="57">
        <v>90</v>
      </c>
      <c r="L113" s="57">
        <v>90</v>
      </c>
      <c r="M113" s="57">
        <v>24.4</v>
      </c>
      <c r="N113" s="63">
        <v>6.5</v>
      </c>
      <c r="O113" s="36">
        <v>1.93</v>
      </c>
      <c r="P113" s="57">
        <v>8</v>
      </c>
      <c r="Q113" s="63">
        <v>8.5</v>
      </c>
      <c r="R113" s="36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93">
        <f t="shared" si="25"/>
        <v>0.23781902552204176</v>
      </c>
      <c r="AT113" s="93">
        <f t="shared" si="26"/>
        <v>0.59048723897911837</v>
      </c>
      <c r="AU113" s="93">
        <f t="shared" si="27"/>
        <v>0.1716937354988399</v>
      </c>
      <c r="AV113" s="26">
        <f t="shared" si="28"/>
        <v>7.6576576576576572E-2</v>
      </c>
      <c r="AW113" s="26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57">
        <v>90</v>
      </c>
      <c r="K114" s="57">
        <v>90</v>
      </c>
      <c r="L114" s="57">
        <v>90</v>
      </c>
      <c r="M114" s="57">
        <v>25.6</v>
      </c>
      <c r="N114" s="63">
        <v>6.6</v>
      </c>
      <c r="O114" s="36">
        <v>1.51</v>
      </c>
      <c r="P114" s="57">
        <v>8</v>
      </c>
      <c r="Q114" s="63">
        <v>5.7</v>
      </c>
      <c r="R114" s="36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93">
        <f t="shared" si="25"/>
        <v>0.22234957020057305</v>
      </c>
      <c r="AT114" s="93">
        <f t="shared" si="26"/>
        <v>0.60802292263610314</v>
      </c>
      <c r="AU114" s="93">
        <f t="shared" si="27"/>
        <v>0.16962750716332378</v>
      </c>
      <c r="AV114" s="26">
        <f t="shared" si="28"/>
        <v>7.7448747152619596E-2</v>
      </c>
      <c r="AW114" s="26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57">
        <v>90</v>
      </c>
      <c r="K115" s="57">
        <v>90</v>
      </c>
      <c r="L115" s="57">
        <v>90</v>
      </c>
      <c r="M115" s="57">
        <v>25.6</v>
      </c>
      <c r="N115" s="63">
        <v>6.6</v>
      </c>
      <c r="O115" s="36">
        <v>1.54</v>
      </c>
      <c r="P115" s="57">
        <v>9</v>
      </c>
      <c r="Q115" s="63">
        <v>6.3</v>
      </c>
      <c r="R115" s="36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93">
        <f t="shared" si="25"/>
        <v>0.296127562642369</v>
      </c>
      <c r="AT115" s="93">
        <f t="shared" si="26"/>
        <v>0.53302961275626426</v>
      </c>
      <c r="AU115" s="93">
        <f t="shared" si="27"/>
        <v>0.17084282460136674</v>
      </c>
      <c r="AV115" s="26">
        <f t="shared" si="28"/>
        <v>7.7272727272727271E-2</v>
      </c>
      <c r="AW115" s="26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57">
        <v>90</v>
      </c>
      <c r="K116" s="57">
        <v>90</v>
      </c>
      <c r="L116" s="57">
        <v>90</v>
      </c>
      <c r="M116" s="57">
        <v>24.7</v>
      </c>
      <c r="N116" s="63">
        <v>6.5</v>
      </c>
      <c r="O116" s="36">
        <v>1.76</v>
      </c>
      <c r="P116" s="57">
        <v>9</v>
      </c>
      <c r="Q116" s="63">
        <v>7.1</v>
      </c>
      <c r="R116" s="36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93">
        <f t="shared" si="25"/>
        <v>0.49498632634457612</v>
      </c>
      <c r="AT116" s="93">
        <f t="shared" si="26"/>
        <v>0.23518687329079307</v>
      </c>
      <c r="AU116" s="93">
        <f t="shared" si="27"/>
        <v>0.2698268003646308</v>
      </c>
      <c r="AV116" s="26">
        <f t="shared" si="28"/>
        <v>7.5429839156960624E-2</v>
      </c>
      <c r="AW116" s="26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57">
        <v>90</v>
      </c>
      <c r="K117" s="57">
        <v>90</v>
      </c>
      <c r="L117" s="57">
        <v>90</v>
      </c>
      <c r="M117" s="57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36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93">
        <f t="shared" si="25"/>
        <v>0.32560706401766004</v>
      </c>
      <c r="AT117" s="93">
        <f t="shared" si="26"/>
        <v>0.51324503311258274</v>
      </c>
      <c r="AU117" s="93">
        <f t="shared" si="27"/>
        <v>0.16114790286975716</v>
      </c>
      <c r="AV117" s="26">
        <f t="shared" si="28"/>
        <v>7.4398249452954049E-2</v>
      </c>
      <c r="AW117" s="26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58">
        <v>90</v>
      </c>
      <c r="K118" s="58">
        <v>90</v>
      </c>
      <c r="L118" s="58">
        <v>90</v>
      </c>
      <c r="M118" s="58">
        <v>24.5</v>
      </c>
      <c r="N118" s="64">
        <v>6.5</v>
      </c>
      <c r="O118" s="37">
        <v>3.98</v>
      </c>
      <c r="P118" s="58">
        <v>19</v>
      </c>
      <c r="Q118" s="64">
        <v>6</v>
      </c>
      <c r="R118" s="37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93">
        <f t="shared" si="25"/>
        <v>0.32935431361909928</v>
      </c>
      <c r="AT118" s="93">
        <f t="shared" si="26"/>
        <v>0.51003798155181768</v>
      </c>
      <c r="AU118" s="93">
        <f t="shared" si="27"/>
        <v>0.16060770482908301</v>
      </c>
      <c r="AV118" s="26">
        <f t="shared" si="28"/>
        <v>7.4561403508771926E-2</v>
      </c>
      <c r="AW118" s="26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59">
        <v>90</v>
      </c>
      <c r="K119" s="59">
        <v>90</v>
      </c>
      <c r="L119" s="59">
        <v>90</v>
      </c>
      <c r="M119" s="59">
        <v>24.3</v>
      </c>
      <c r="N119" s="65">
        <v>6.4</v>
      </c>
      <c r="O119" s="38">
        <v>4.76</v>
      </c>
      <c r="P119" s="59">
        <v>21</v>
      </c>
      <c r="Q119" s="65">
        <v>7.3</v>
      </c>
      <c r="R119" s="38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93">
        <f t="shared" si="25"/>
        <v>0.32669983416252074</v>
      </c>
      <c r="AT119" s="93">
        <f t="shared" si="26"/>
        <v>0.50967385295743506</v>
      </c>
      <c r="AU119" s="93">
        <f t="shared" si="27"/>
        <v>0.16362631288004423</v>
      </c>
      <c r="AV119" s="26">
        <f t="shared" si="28"/>
        <v>7.2649572649572655E-2</v>
      </c>
      <c r="AW119" s="26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57">
        <v>90</v>
      </c>
      <c r="K120" s="57">
        <v>90</v>
      </c>
      <c r="L120" s="57">
        <v>90</v>
      </c>
      <c r="M120" s="57">
        <v>24.4</v>
      </c>
      <c r="N120" s="63">
        <v>6.4</v>
      </c>
      <c r="O120" s="36">
        <v>3.9</v>
      </c>
      <c r="P120" s="57">
        <v>15</v>
      </c>
      <c r="Q120" s="63">
        <v>6.7</v>
      </c>
      <c r="R120" s="36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93">
        <f t="shared" si="25"/>
        <v>0.32894014277869305</v>
      </c>
      <c r="AT120" s="93">
        <f t="shared" si="26"/>
        <v>0.5085118066996156</v>
      </c>
      <c r="AU120" s="93">
        <f t="shared" si="27"/>
        <v>0.16254805052169138</v>
      </c>
      <c r="AV120" s="26">
        <f t="shared" si="28"/>
        <v>7.2186836518046707E-2</v>
      </c>
      <c r="AW120" s="26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57">
        <v>90</v>
      </c>
      <c r="K121" s="57">
        <v>90</v>
      </c>
      <c r="L121" s="57">
        <v>90</v>
      </c>
      <c r="M121" s="57">
        <v>25.5</v>
      </c>
      <c r="N121" s="63">
        <v>6.4</v>
      </c>
      <c r="O121" s="36">
        <v>3.44</v>
      </c>
      <c r="P121" s="57">
        <v>13</v>
      </c>
      <c r="Q121" s="63">
        <v>7.2</v>
      </c>
      <c r="R121" s="36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93">
        <f t="shared" si="25"/>
        <v>0.31396648044692738</v>
      </c>
      <c r="AT121" s="93">
        <f t="shared" si="26"/>
        <v>0.5201117318435754</v>
      </c>
      <c r="AU121" s="93">
        <f t="shared" si="27"/>
        <v>0.1659217877094972</v>
      </c>
      <c r="AV121" s="26">
        <f t="shared" si="28"/>
        <v>7.6318742985409652E-2</v>
      </c>
      <c r="AW121" s="26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57">
        <v>90</v>
      </c>
      <c r="K122" s="57">
        <v>90</v>
      </c>
      <c r="L122" s="57">
        <v>90</v>
      </c>
      <c r="M122" s="57">
        <v>22.7</v>
      </c>
      <c r="N122" s="63">
        <v>6.5</v>
      </c>
      <c r="O122" s="36">
        <v>1.5</v>
      </c>
      <c r="P122" s="57">
        <v>7</v>
      </c>
      <c r="Q122" s="63">
        <v>7.4</v>
      </c>
      <c r="R122" s="36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93">
        <f t="shared" si="25"/>
        <v>0.28153153153153154</v>
      </c>
      <c r="AT122" s="93">
        <f t="shared" si="26"/>
        <v>0.57770270270270274</v>
      </c>
      <c r="AU122" s="93">
        <f t="shared" si="27"/>
        <v>0.14076576576576577</v>
      </c>
      <c r="AV122" s="26">
        <f t="shared" si="28"/>
        <v>5.5464926590538338E-2</v>
      </c>
      <c r="AW122" s="26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57">
        <v>90</v>
      </c>
      <c r="K123" s="57">
        <v>90</v>
      </c>
      <c r="L123" s="57">
        <v>90</v>
      </c>
      <c r="M123" s="57">
        <v>22.9</v>
      </c>
      <c r="N123" s="63">
        <v>6.5</v>
      </c>
      <c r="O123" s="36">
        <v>1.38</v>
      </c>
      <c r="P123" s="57">
        <v>7</v>
      </c>
      <c r="Q123" s="63">
        <v>6.8</v>
      </c>
      <c r="R123" s="36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93">
        <f t="shared" si="25"/>
        <v>0.2840269966254218</v>
      </c>
      <c r="AT123" s="93">
        <f t="shared" si="26"/>
        <v>0.5759280089988752</v>
      </c>
      <c r="AU123" s="93">
        <f t="shared" si="27"/>
        <v>0.14004499437570303</v>
      </c>
      <c r="AV123" s="26">
        <f t="shared" si="28"/>
        <v>5.1863857374392218E-2</v>
      </c>
      <c r="AW123" s="26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58">
        <v>90</v>
      </c>
      <c r="K124" s="58">
        <v>90</v>
      </c>
      <c r="L124" s="58">
        <v>90</v>
      </c>
      <c r="M124" s="58">
        <v>22.8</v>
      </c>
      <c r="N124" s="64">
        <v>6.4</v>
      </c>
      <c r="O124" s="37">
        <v>1.45</v>
      </c>
      <c r="P124" s="58">
        <v>8</v>
      </c>
      <c r="Q124" s="64">
        <v>7.3</v>
      </c>
      <c r="R124" s="37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93">
        <f t="shared" si="25"/>
        <v>0.28603859250851305</v>
      </c>
      <c r="AT124" s="93">
        <f t="shared" si="26"/>
        <v>0.57264472190692395</v>
      </c>
      <c r="AU124" s="93">
        <f t="shared" si="27"/>
        <v>0.14131668558456301</v>
      </c>
      <c r="AV124" s="26">
        <f t="shared" si="28"/>
        <v>5.2173913043478258E-2</v>
      </c>
      <c r="AW124" s="26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57">
        <v>90</v>
      </c>
      <c r="K125" s="57">
        <v>90</v>
      </c>
      <c r="L125" s="57">
        <v>90</v>
      </c>
      <c r="M125" s="57">
        <v>24.1</v>
      </c>
      <c r="N125" s="63">
        <v>6.6</v>
      </c>
      <c r="O125" s="36">
        <v>1.66</v>
      </c>
      <c r="P125" s="57">
        <v>10</v>
      </c>
      <c r="Q125" s="63">
        <v>7.8</v>
      </c>
      <c r="R125" s="36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93">
        <f t="shared" si="25"/>
        <v>0.28747203579418346</v>
      </c>
      <c r="AT125" s="93">
        <f t="shared" si="26"/>
        <v>0.57270693512304249</v>
      </c>
      <c r="AU125" s="93">
        <f t="shared" si="27"/>
        <v>0.13982102908277405</v>
      </c>
      <c r="AV125" s="26">
        <f t="shared" si="28"/>
        <v>6.9640914036996737E-2</v>
      </c>
      <c r="AW125" s="26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57">
        <v>90</v>
      </c>
      <c r="K126" s="57">
        <v>90</v>
      </c>
      <c r="L126" s="57">
        <v>90</v>
      </c>
      <c r="M126" s="57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36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93">
        <f t="shared" si="25"/>
        <v>0.2843680709534368</v>
      </c>
      <c r="AT126" s="93">
        <f t="shared" si="26"/>
        <v>0.57705099778270508</v>
      </c>
      <c r="AU126" s="93">
        <f t="shared" si="27"/>
        <v>0.13858093126385809</v>
      </c>
      <c r="AV126" s="26">
        <f t="shared" si="28"/>
        <v>6.9792802617230101E-2</v>
      </c>
      <c r="AW126" s="26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57">
        <v>90</v>
      </c>
      <c r="K127" s="57">
        <v>90</v>
      </c>
      <c r="L127" s="57">
        <v>90</v>
      </c>
      <c r="M127" s="57">
        <v>24.3</v>
      </c>
      <c r="N127" s="63">
        <v>6.5</v>
      </c>
      <c r="O127" s="36">
        <v>2.12</v>
      </c>
      <c r="P127" s="57">
        <v>12</v>
      </c>
      <c r="Q127" s="63">
        <v>8.1</v>
      </c>
      <c r="R127" s="36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93">
        <f t="shared" si="25"/>
        <v>0.58778625954198471</v>
      </c>
      <c r="AT127" s="93">
        <f t="shared" si="26"/>
        <v>7.3064340239912762E-2</v>
      </c>
      <c r="AU127" s="93">
        <f t="shared" si="27"/>
        <v>0.33914940021810253</v>
      </c>
      <c r="AV127" s="26">
        <f t="shared" si="28"/>
        <v>9.657947686116701E-2</v>
      </c>
      <c r="AW127" s="26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57">
        <v>90</v>
      </c>
      <c r="K128" s="57">
        <v>90</v>
      </c>
      <c r="L128" s="57">
        <v>90</v>
      </c>
      <c r="M128" s="57">
        <v>24</v>
      </c>
      <c r="N128" s="63">
        <v>6.5</v>
      </c>
      <c r="O128" s="36">
        <v>3.23</v>
      </c>
      <c r="P128" s="57">
        <v>16</v>
      </c>
      <c r="Q128" s="63">
        <v>7.9</v>
      </c>
      <c r="R128" s="36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93">
        <f t="shared" si="25"/>
        <v>0.40898705255140899</v>
      </c>
      <c r="AT128" s="93">
        <f t="shared" si="26"/>
        <v>0.59101294744859101</v>
      </c>
      <c r="AU128" s="93">
        <f t="shared" si="27"/>
        <v>0</v>
      </c>
      <c r="AV128" s="26">
        <f t="shared" si="28"/>
        <v>6.9767441860465115E-2</v>
      </c>
      <c r="AW128" s="26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57">
        <v>90</v>
      </c>
      <c r="K129" s="57">
        <v>90</v>
      </c>
      <c r="L129" s="57">
        <v>90</v>
      </c>
      <c r="M129" s="57">
        <v>23.8</v>
      </c>
      <c r="N129" s="63">
        <v>6.4</v>
      </c>
      <c r="O129" s="36">
        <v>1.51</v>
      </c>
      <c r="P129" s="57">
        <v>9</v>
      </c>
      <c r="Q129" s="63">
        <v>5.8</v>
      </c>
      <c r="R129" s="36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93">
        <f t="shared" si="25"/>
        <v>0.40735068912710565</v>
      </c>
      <c r="AT129" s="93">
        <f t="shared" si="26"/>
        <v>0.5926493108728943</v>
      </c>
      <c r="AU129" s="93">
        <f t="shared" si="27"/>
        <v>0</v>
      </c>
      <c r="AV129" s="26">
        <f t="shared" si="28"/>
        <v>7.476635514018691E-2</v>
      </c>
      <c r="AW129" s="26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57">
        <v>90</v>
      </c>
      <c r="K130" s="57">
        <v>90</v>
      </c>
      <c r="L130" s="57">
        <v>90</v>
      </c>
      <c r="M130" s="57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36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93">
        <f t="shared" ref="AS130:AS193" si="48">C130/AR130</f>
        <v>0.41538461538461541</v>
      </c>
      <c r="AT130" s="93">
        <f t="shared" ref="AT130:AT193" si="49">D130/AR130</f>
        <v>0.58461538461538465</v>
      </c>
      <c r="AU130" s="93">
        <f t="shared" ref="AU130:AU193" si="50">E130/AR130</f>
        <v>0</v>
      </c>
      <c r="AV130" s="26">
        <f t="shared" ref="AV130:AV193" si="51">IF(AND(F130&lt;&gt;"",Z130&lt;&gt;""),AB130/(F130/2/Z130),"")</f>
        <v>7.2180451127819553E-2</v>
      </c>
      <c r="AW130" s="26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57">
        <v>90</v>
      </c>
      <c r="K131" s="57">
        <v>90</v>
      </c>
      <c r="L131" s="57">
        <v>90</v>
      </c>
      <c r="M131" s="57">
        <v>23.5</v>
      </c>
      <c r="N131" s="63">
        <v>6.5</v>
      </c>
      <c r="O131" s="36">
        <v>1.39</v>
      </c>
      <c r="P131" s="57">
        <v>8</v>
      </c>
      <c r="Q131" s="63">
        <v>5.2</v>
      </c>
      <c r="R131" s="36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93">
        <f t="shared" si="48"/>
        <v>0.26701570680628273</v>
      </c>
      <c r="AT131" s="93">
        <f t="shared" si="49"/>
        <v>0.73298429319371727</v>
      </c>
      <c r="AU131" s="93">
        <f t="shared" si="50"/>
        <v>0</v>
      </c>
      <c r="AV131" s="26">
        <f t="shared" si="51"/>
        <v>6.9779374037968189E-2</v>
      </c>
      <c r="AW131" s="26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57">
        <v>90</v>
      </c>
      <c r="K132" s="57">
        <v>90</v>
      </c>
      <c r="L132" s="57">
        <v>90</v>
      </c>
      <c r="M132" s="57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36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93">
        <f t="shared" si="48"/>
        <v>0.24305555555555555</v>
      </c>
      <c r="AT132" s="93">
        <f t="shared" si="49"/>
        <v>0.75694444444444442</v>
      </c>
      <c r="AU132" s="93">
        <f t="shared" si="50"/>
        <v>0</v>
      </c>
      <c r="AV132" s="26">
        <f t="shared" si="51"/>
        <v>6.4761904761904757E-2</v>
      </c>
      <c r="AW132" s="26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58">
        <v>90</v>
      </c>
      <c r="K133" s="58">
        <v>90</v>
      </c>
      <c r="L133" s="58">
        <v>90</v>
      </c>
      <c r="M133" s="58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37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93">
        <f t="shared" si="48"/>
        <v>0.23581809657759026</v>
      </c>
      <c r="AT133" s="93">
        <f t="shared" si="49"/>
        <v>0.76418190342240977</v>
      </c>
      <c r="AU133" s="93">
        <f t="shared" si="50"/>
        <v>0</v>
      </c>
      <c r="AV133" s="26">
        <f t="shared" si="51"/>
        <v>6.5700483091787443E-2</v>
      </c>
      <c r="AW133" s="26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59">
        <v>90</v>
      </c>
      <c r="K134" s="59">
        <v>90</v>
      </c>
      <c r="L134" s="59">
        <v>90</v>
      </c>
      <c r="M134" s="59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38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93">
        <f t="shared" si="48"/>
        <v>0.25636007827788648</v>
      </c>
      <c r="AT134" s="93">
        <f t="shared" si="49"/>
        <v>0.74363992172211346</v>
      </c>
      <c r="AU134" s="93">
        <f t="shared" si="50"/>
        <v>0</v>
      </c>
      <c r="AV134" s="26">
        <f t="shared" si="51"/>
        <v>6.5637065637065631E-2</v>
      </c>
      <c r="AW134" s="26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57">
        <v>90</v>
      </c>
      <c r="K135" s="57">
        <v>90</v>
      </c>
      <c r="L135" s="57">
        <v>90</v>
      </c>
      <c r="M135" s="57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36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93">
        <f t="shared" si="48"/>
        <v>0.21137393054856568</v>
      </c>
      <c r="AT135" s="93">
        <f t="shared" si="49"/>
        <v>0.78862606945143432</v>
      </c>
      <c r="AU135" s="93">
        <f t="shared" si="50"/>
        <v>0</v>
      </c>
      <c r="AV135" s="26">
        <f t="shared" si="51"/>
        <v>6.5637065637065631E-2</v>
      </c>
      <c r="AW135" s="26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57">
        <v>90</v>
      </c>
      <c r="K136" s="57">
        <v>90</v>
      </c>
      <c r="L136" s="57">
        <v>90</v>
      </c>
      <c r="M136" s="57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36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93">
        <f t="shared" si="48"/>
        <v>0.19514563106796118</v>
      </c>
      <c r="AT136" s="93">
        <f t="shared" si="49"/>
        <v>0.80485436893203888</v>
      </c>
      <c r="AU136" s="93">
        <f t="shared" si="50"/>
        <v>0</v>
      </c>
      <c r="AV136" s="26">
        <f t="shared" si="51"/>
        <v>6.6536203522504889E-2</v>
      </c>
      <c r="AW136" s="26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57">
        <v>90</v>
      </c>
      <c r="K137" s="57">
        <v>90</v>
      </c>
      <c r="L137" s="57">
        <v>90</v>
      </c>
      <c r="M137" s="57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36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93">
        <f t="shared" si="48"/>
        <v>0.21368421052631578</v>
      </c>
      <c r="AT137" s="93">
        <f t="shared" si="49"/>
        <v>0.78631578947368419</v>
      </c>
      <c r="AU137" s="93">
        <f t="shared" si="50"/>
        <v>0</v>
      </c>
      <c r="AV137" s="26">
        <f t="shared" si="51"/>
        <v>6.9281711665817633E-2</v>
      </c>
      <c r="AW137" s="26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57">
        <v>90</v>
      </c>
      <c r="K138" s="57">
        <v>90</v>
      </c>
      <c r="L138" s="57">
        <v>90</v>
      </c>
      <c r="M138" s="57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36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93">
        <f t="shared" si="48"/>
        <v>0.21676151060527676</v>
      </c>
      <c r="AT138" s="93">
        <f t="shared" si="49"/>
        <v>0.78323848939472318</v>
      </c>
      <c r="AU138" s="93">
        <f t="shared" si="50"/>
        <v>0</v>
      </c>
      <c r="AV138" s="26">
        <f t="shared" si="51"/>
        <v>6.7864271457085831E-2</v>
      </c>
      <c r="AW138" s="26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57">
        <v>90</v>
      </c>
      <c r="K139" s="57">
        <v>90</v>
      </c>
      <c r="L139" s="57">
        <v>90</v>
      </c>
      <c r="M139" s="57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36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93">
        <f t="shared" si="48"/>
        <v>0.21676151060527676</v>
      </c>
      <c r="AT139" s="93">
        <f t="shared" si="49"/>
        <v>0.78323848939472318</v>
      </c>
      <c r="AU139" s="93">
        <f t="shared" si="50"/>
        <v>0</v>
      </c>
      <c r="AV139" s="26">
        <f t="shared" si="51"/>
        <v>6.7864271457085831E-2</v>
      </c>
      <c r="AW139" s="26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57">
        <v>90</v>
      </c>
      <c r="K140" s="57">
        <v>90</v>
      </c>
      <c r="L140" s="57">
        <v>90</v>
      </c>
      <c r="M140" s="57">
        <v>24.6</v>
      </c>
      <c r="N140" s="63">
        <v>6.3</v>
      </c>
      <c r="O140" s="36">
        <v>1.01</v>
      </c>
      <c r="P140" s="57">
        <v>5.2</v>
      </c>
      <c r="Q140" s="63">
        <v>10</v>
      </c>
      <c r="R140" s="36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93">
        <f t="shared" si="48"/>
        <v>0.15930814747382796</v>
      </c>
      <c r="AT140" s="93">
        <f t="shared" si="49"/>
        <v>0.74965862539827033</v>
      </c>
      <c r="AU140" s="93">
        <f t="shared" si="50"/>
        <v>9.1033227127901684E-2</v>
      </c>
      <c r="AV140" s="26">
        <f t="shared" si="51"/>
        <v>6.1371841155234655E-2</v>
      </c>
      <c r="AW140" s="26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57">
        <v>90</v>
      </c>
      <c r="K141" s="57">
        <v>90</v>
      </c>
      <c r="L141" s="57">
        <v>90</v>
      </c>
      <c r="M141" s="57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36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93">
        <f t="shared" si="48"/>
        <v>0.15818686401480112</v>
      </c>
      <c r="AT141" s="93">
        <f t="shared" si="49"/>
        <v>0.74976873265494914</v>
      </c>
      <c r="AU141" s="93">
        <f t="shared" si="50"/>
        <v>9.2044403330249769E-2</v>
      </c>
      <c r="AV141" s="26">
        <f t="shared" si="51"/>
        <v>6.1371841155234655E-2</v>
      </c>
      <c r="AW141" s="26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57">
        <v>90</v>
      </c>
      <c r="K142" s="57">
        <v>90</v>
      </c>
      <c r="L142" s="57">
        <v>90</v>
      </c>
      <c r="M142" s="57">
        <v>23.8</v>
      </c>
      <c r="N142" s="63">
        <v>6.6</v>
      </c>
      <c r="O142" s="36">
        <v>1.06</v>
      </c>
      <c r="P142" s="57">
        <v>6</v>
      </c>
      <c r="Q142" s="63">
        <v>5.6</v>
      </c>
      <c r="R142" s="36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93">
        <f t="shared" si="48"/>
        <v>0.18090954522738631</v>
      </c>
      <c r="AT142" s="93">
        <f t="shared" si="49"/>
        <v>0.81909045477261366</v>
      </c>
      <c r="AU142" s="93">
        <f t="shared" si="50"/>
        <v>0</v>
      </c>
      <c r="AV142" s="26">
        <f t="shared" si="51"/>
        <v>6.5987384764677345E-2</v>
      </c>
      <c r="AW142" s="26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58">
        <v>90</v>
      </c>
      <c r="K143" s="58">
        <v>90</v>
      </c>
      <c r="L143" s="58">
        <v>90</v>
      </c>
      <c r="M143" s="58">
        <v>23.8</v>
      </c>
      <c r="N143" s="64">
        <v>6.5</v>
      </c>
      <c r="O143" s="37">
        <v>1.03</v>
      </c>
      <c r="P143" s="58">
        <v>6</v>
      </c>
      <c r="Q143" s="64">
        <v>5.6</v>
      </c>
      <c r="R143" s="37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93">
        <f t="shared" si="48"/>
        <v>0.16044776119402984</v>
      </c>
      <c r="AT143" s="93">
        <f t="shared" si="49"/>
        <v>0.83955223880597019</v>
      </c>
      <c r="AU143" s="93">
        <f t="shared" si="50"/>
        <v>0</v>
      </c>
      <c r="AV143" s="26">
        <f t="shared" si="51"/>
        <v>6.5987384764677345E-2</v>
      </c>
      <c r="AW143" s="26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59">
        <v>90</v>
      </c>
      <c r="K144" s="59">
        <v>90</v>
      </c>
      <c r="L144" s="59">
        <v>90</v>
      </c>
      <c r="M144" s="59">
        <v>25</v>
      </c>
      <c r="N144" s="65">
        <v>6.1</v>
      </c>
      <c r="O144" s="38">
        <v>1.03</v>
      </c>
      <c r="P144" s="59">
        <v>6</v>
      </c>
      <c r="Q144" s="65">
        <v>5.4</v>
      </c>
      <c r="R144" s="38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93">
        <f t="shared" si="48"/>
        <v>0.17092337917485265</v>
      </c>
      <c r="AT144" s="93">
        <f t="shared" si="49"/>
        <v>0.82907662082514733</v>
      </c>
      <c r="AU144" s="93">
        <f t="shared" si="50"/>
        <v>0</v>
      </c>
      <c r="AV144" s="26">
        <f t="shared" si="51"/>
        <v>6.4181217555450684E-2</v>
      </c>
      <c r="AW144" s="26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57">
        <v>90</v>
      </c>
      <c r="K145" s="57">
        <v>90</v>
      </c>
      <c r="L145" s="57">
        <v>90</v>
      </c>
      <c r="M145" s="57">
        <v>24.8</v>
      </c>
      <c r="N145" s="63">
        <v>6.4</v>
      </c>
      <c r="O145" s="36">
        <v>0.98</v>
      </c>
      <c r="P145" s="57">
        <v>5</v>
      </c>
      <c r="Q145" s="63">
        <v>5.4</v>
      </c>
      <c r="R145" s="36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93">
        <f t="shared" si="48"/>
        <v>0.17380600689315609</v>
      </c>
      <c r="AT145" s="93">
        <f t="shared" si="49"/>
        <v>0.82619399310684394</v>
      </c>
      <c r="AU145" s="93">
        <f t="shared" si="50"/>
        <v>0</v>
      </c>
      <c r="AV145" s="26">
        <f t="shared" si="51"/>
        <v>6.1872909698996656E-2</v>
      </c>
      <c r="AW145" s="26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57">
        <v>90</v>
      </c>
      <c r="K146" s="57">
        <v>90</v>
      </c>
      <c r="L146" s="57">
        <v>90</v>
      </c>
      <c r="M146" s="57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36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93">
        <f t="shared" si="48"/>
        <v>0.220703125</v>
      </c>
      <c r="AT146" s="93">
        <f t="shared" si="49"/>
        <v>0.779296875</v>
      </c>
      <c r="AU146" s="93">
        <f t="shared" si="50"/>
        <v>0</v>
      </c>
      <c r="AV146" s="26">
        <f t="shared" si="51"/>
        <v>6.2080536912751678E-2</v>
      </c>
      <c r="AW146" s="26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57">
        <v>90</v>
      </c>
      <c r="K147" s="57">
        <v>90</v>
      </c>
      <c r="L147" s="57">
        <v>90</v>
      </c>
      <c r="M147" s="57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36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93">
        <f t="shared" si="48"/>
        <v>0.21508903467666354</v>
      </c>
      <c r="AT147" s="93">
        <f t="shared" si="49"/>
        <v>0.78491096532333648</v>
      </c>
      <c r="AU147" s="93">
        <f t="shared" si="50"/>
        <v>0</v>
      </c>
      <c r="AV147" s="26">
        <f t="shared" si="51"/>
        <v>5.1232876712328762E-2</v>
      </c>
      <c r="AW147" s="26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57">
        <v>90</v>
      </c>
      <c r="K148" s="57">
        <v>90</v>
      </c>
      <c r="L148" s="57">
        <v>90</v>
      </c>
      <c r="M148" s="57">
        <v>26</v>
      </c>
      <c r="N148" s="63">
        <v>6.2</v>
      </c>
      <c r="O148" s="36">
        <v>1.45</v>
      </c>
      <c r="P148" s="57">
        <v>9</v>
      </c>
      <c r="Q148" s="63">
        <v>5</v>
      </c>
      <c r="R148" s="36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93">
        <f t="shared" si="48"/>
        <v>0.22072936660268713</v>
      </c>
      <c r="AT148" s="93">
        <f t="shared" si="49"/>
        <v>0.77927063339731284</v>
      </c>
      <c r="AU148" s="93">
        <f t="shared" si="50"/>
        <v>0</v>
      </c>
      <c r="AV148" s="26">
        <f t="shared" si="51"/>
        <v>5.0796540737369139E-2</v>
      </c>
      <c r="AW148" s="26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57">
        <v>90</v>
      </c>
      <c r="K149" s="57">
        <v>90</v>
      </c>
      <c r="L149" s="57">
        <v>90</v>
      </c>
      <c r="M149" s="57">
        <v>25.5</v>
      </c>
      <c r="N149" s="63">
        <v>6.3</v>
      </c>
      <c r="O149" s="36">
        <v>1.21</v>
      </c>
      <c r="P149" s="57">
        <v>8</v>
      </c>
      <c r="Q149" s="63">
        <v>5.6</v>
      </c>
      <c r="R149" s="36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93">
        <f t="shared" si="48"/>
        <v>0.22025565388397247</v>
      </c>
      <c r="AT149" s="93">
        <f t="shared" si="49"/>
        <v>0.7797443461160275</v>
      </c>
      <c r="AU149" s="93">
        <f t="shared" si="50"/>
        <v>0</v>
      </c>
      <c r="AV149" s="26">
        <f t="shared" si="51"/>
        <v>5.0727272727272732E-2</v>
      </c>
      <c r="AW149" s="26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58">
        <v>90</v>
      </c>
      <c r="K150" s="58">
        <v>90</v>
      </c>
      <c r="L150" s="58">
        <v>90</v>
      </c>
      <c r="M150" s="58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37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93">
        <f t="shared" si="48"/>
        <v>0.20954653937947493</v>
      </c>
      <c r="AT150" s="93">
        <f t="shared" si="49"/>
        <v>0.79045346062052502</v>
      </c>
      <c r="AU150" s="93">
        <f t="shared" si="50"/>
        <v>0</v>
      </c>
      <c r="AV150" s="26">
        <f t="shared" si="51"/>
        <v>5.1075514874141879E-2</v>
      </c>
      <c r="AW150" s="26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59">
        <v>90</v>
      </c>
      <c r="K151" s="59">
        <v>90</v>
      </c>
      <c r="L151" s="59">
        <v>90</v>
      </c>
      <c r="M151" s="59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38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93">
        <f t="shared" si="48"/>
        <v>0.17514970059880239</v>
      </c>
      <c r="AT151" s="93">
        <f t="shared" si="49"/>
        <v>0.82485029940119758</v>
      </c>
      <c r="AU151" s="93">
        <f t="shared" si="50"/>
        <v>0</v>
      </c>
      <c r="AV151" s="26">
        <f t="shared" si="51"/>
        <v>4.9427917620137297E-2</v>
      </c>
      <c r="AW151" s="26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57">
        <v>90</v>
      </c>
      <c r="K152" s="57">
        <v>90</v>
      </c>
      <c r="L152" s="57">
        <v>90</v>
      </c>
      <c r="M152" s="57">
        <v>25.1</v>
      </c>
      <c r="N152" s="63">
        <v>6.3</v>
      </c>
      <c r="O152" s="36">
        <v>1.08</v>
      </c>
      <c r="P152" s="57">
        <v>7</v>
      </c>
      <c r="Q152" s="63">
        <v>5.8</v>
      </c>
      <c r="R152" s="36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93">
        <f t="shared" si="48"/>
        <v>0.1775236200895077</v>
      </c>
      <c r="AT152" s="93">
        <f t="shared" si="49"/>
        <v>0.82247637991049227</v>
      </c>
      <c r="AU152" s="93">
        <f t="shared" si="50"/>
        <v>0</v>
      </c>
      <c r="AV152" s="26">
        <f t="shared" si="51"/>
        <v>4.8300536672629693E-2</v>
      </c>
      <c r="AW152" s="26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57">
        <v>90</v>
      </c>
      <c r="K153" s="57">
        <v>90</v>
      </c>
      <c r="L153" s="57">
        <v>90</v>
      </c>
      <c r="M153" s="57">
        <v>26.2</v>
      </c>
      <c r="N153" s="63">
        <v>6.2</v>
      </c>
      <c r="O153" s="36">
        <v>0.91</v>
      </c>
      <c r="P153" s="57">
        <v>6</v>
      </c>
      <c r="Q153" s="63">
        <v>6.1</v>
      </c>
      <c r="R153" s="36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93">
        <f t="shared" si="48"/>
        <v>0.17418728772440562</v>
      </c>
      <c r="AT153" s="93">
        <f t="shared" si="49"/>
        <v>0.82581271227559438</v>
      </c>
      <c r="AU153" s="93">
        <f t="shared" si="50"/>
        <v>0</v>
      </c>
      <c r="AV153" s="26">
        <f t="shared" si="51"/>
        <v>4.9450549450549448E-2</v>
      </c>
      <c r="AW153" s="26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57">
        <v>90</v>
      </c>
      <c r="K154" s="57">
        <v>90</v>
      </c>
      <c r="L154" s="57">
        <v>90</v>
      </c>
      <c r="M154" s="57">
        <v>25.6</v>
      </c>
      <c r="N154" s="63">
        <v>6.3</v>
      </c>
      <c r="O154" s="36">
        <v>1.78</v>
      </c>
      <c r="P154" s="57">
        <v>10</v>
      </c>
      <c r="Q154" s="63">
        <v>7.7</v>
      </c>
      <c r="R154" s="36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93">
        <f t="shared" si="48"/>
        <v>0.15100087032201914</v>
      </c>
      <c r="AT154" s="93">
        <f t="shared" si="49"/>
        <v>0.74020887728459528</v>
      </c>
      <c r="AU154" s="93">
        <f t="shared" si="50"/>
        <v>0.10879025239338555</v>
      </c>
      <c r="AV154" s="26">
        <f t="shared" si="51"/>
        <v>6.5627563576702214E-2</v>
      </c>
      <c r="AW154" s="26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57">
        <v>90</v>
      </c>
      <c r="K155" s="57">
        <v>90</v>
      </c>
      <c r="L155" s="57">
        <v>90</v>
      </c>
      <c r="M155" s="57">
        <v>25.5</v>
      </c>
      <c r="N155" s="63">
        <v>6.2</v>
      </c>
      <c r="O155" s="36">
        <v>1.42</v>
      </c>
      <c r="P155" s="57">
        <v>10</v>
      </c>
      <c r="Q155" s="63">
        <v>7.8</v>
      </c>
      <c r="R155" s="36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93">
        <f t="shared" si="48"/>
        <v>0.14255499153976312</v>
      </c>
      <c r="AT155" s="93">
        <f t="shared" si="49"/>
        <v>0.75169204737732653</v>
      </c>
      <c r="AU155" s="93">
        <f t="shared" si="50"/>
        <v>0.10575296108291032</v>
      </c>
      <c r="AV155" s="26">
        <f t="shared" si="51"/>
        <v>6.7170445004198151E-2</v>
      </c>
      <c r="AW155" s="26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57">
        <v>90</v>
      </c>
      <c r="K156" s="57">
        <v>90</v>
      </c>
      <c r="L156" s="57">
        <v>90</v>
      </c>
      <c r="M156" s="57">
        <v>25.2</v>
      </c>
      <c r="N156" s="63">
        <v>6.3</v>
      </c>
      <c r="O156" s="36">
        <v>1.53</v>
      </c>
      <c r="P156" s="57">
        <v>11</v>
      </c>
      <c r="Q156" s="63">
        <v>8.6</v>
      </c>
      <c r="R156" s="36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93">
        <f t="shared" si="48"/>
        <v>0.14425645592163847</v>
      </c>
      <c r="AT156" s="93">
        <f t="shared" si="49"/>
        <v>0.74443455031166517</v>
      </c>
      <c r="AU156" s="93">
        <f t="shared" si="50"/>
        <v>0.11130899376669635</v>
      </c>
      <c r="AV156" s="26">
        <f t="shared" si="51"/>
        <v>6.962576153176675E-2</v>
      </c>
      <c r="AW156" s="26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57">
        <v>90</v>
      </c>
      <c r="K157" s="57">
        <v>90</v>
      </c>
      <c r="L157" s="57">
        <v>90</v>
      </c>
      <c r="M157" s="57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36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93">
        <f t="shared" si="48"/>
        <v>0.14349775784753363</v>
      </c>
      <c r="AT157" s="93">
        <f t="shared" si="49"/>
        <v>0.74439461883408076</v>
      </c>
      <c r="AU157" s="93">
        <f t="shared" si="50"/>
        <v>0.11210762331838565</v>
      </c>
      <c r="AV157" s="26">
        <f t="shared" si="51"/>
        <v>7.4999999999999997E-2</v>
      </c>
      <c r="AW157" s="26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57">
        <v>90</v>
      </c>
      <c r="K158" s="57">
        <v>90</v>
      </c>
      <c r="L158" s="57">
        <v>90</v>
      </c>
      <c r="M158" s="57">
        <v>25.2</v>
      </c>
      <c r="N158" s="63">
        <v>6.3</v>
      </c>
      <c r="O158" s="36">
        <v>1.49</v>
      </c>
      <c r="P158" s="57">
        <v>10</v>
      </c>
      <c r="Q158" s="63">
        <v>8.5</v>
      </c>
      <c r="R158" s="36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93">
        <f t="shared" si="48"/>
        <v>0.15193247445579741</v>
      </c>
      <c r="AT158" s="93">
        <f t="shared" si="49"/>
        <v>0.73700577521101729</v>
      </c>
      <c r="AU158" s="93">
        <f t="shared" si="50"/>
        <v>0.11106175033318526</v>
      </c>
      <c r="AV158" s="26">
        <f t="shared" si="51"/>
        <v>7.476635514018691E-2</v>
      </c>
      <c r="AW158" s="26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57">
        <v>90</v>
      </c>
      <c r="K159" s="57">
        <v>90</v>
      </c>
      <c r="L159" s="57">
        <v>90</v>
      </c>
      <c r="M159" s="57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36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93">
        <f t="shared" si="48"/>
        <v>0.1479028697571744</v>
      </c>
      <c r="AT159" s="93">
        <f t="shared" si="49"/>
        <v>0.74172185430463577</v>
      </c>
      <c r="AU159" s="93">
        <f t="shared" si="50"/>
        <v>0.11037527593818984</v>
      </c>
      <c r="AV159" s="26">
        <f t="shared" si="51"/>
        <v>7.4666666666666673E-2</v>
      </c>
      <c r="AW159" s="26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58">
        <v>90</v>
      </c>
      <c r="K160" s="58">
        <v>90</v>
      </c>
      <c r="L160" s="58">
        <v>90</v>
      </c>
      <c r="M160" s="58">
        <v>24.2</v>
      </c>
      <c r="N160" s="64">
        <v>6.3</v>
      </c>
      <c r="O160" s="37">
        <v>1.38</v>
      </c>
      <c r="P160" s="58">
        <v>8</v>
      </c>
      <c r="Q160" s="64">
        <v>6.4</v>
      </c>
      <c r="R160" s="37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93">
        <f t="shared" si="48"/>
        <v>0.14416475972540047</v>
      </c>
      <c r="AT160" s="93">
        <f t="shared" si="49"/>
        <v>0.74141876430205955</v>
      </c>
      <c r="AU160" s="93">
        <f t="shared" si="50"/>
        <v>0.11441647597254005</v>
      </c>
      <c r="AV160" s="26">
        <f t="shared" si="51"/>
        <v>7.4966532797858101E-2</v>
      </c>
      <c r="AW160" s="26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57">
        <v>90</v>
      </c>
      <c r="K161" s="57">
        <v>90</v>
      </c>
      <c r="L161" s="57">
        <v>90</v>
      </c>
      <c r="M161" s="57">
        <v>25.8</v>
      </c>
      <c r="N161" s="63">
        <v>6.4</v>
      </c>
      <c r="O161" s="36">
        <v>1.76</v>
      </c>
      <c r="P161" s="57">
        <v>8</v>
      </c>
      <c r="Q161" s="63">
        <v>7.4</v>
      </c>
      <c r="R161" s="36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93">
        <f t="shared" si="48"/>
        <v>0.14687500000000001</v>
      </c>
      <c r="AT161" s="93">
        <f t="shared" si="49"/>
        <v>0.74151785714285712</v>
      </c>
      <c r="AU161" s="93">
        <f t="shared" si="50"/>
        <v>0.11160714285714286</v>
      </c>
      <c r="AV161" s="26">
        <f t="shared" si="51"/>
        <v>5.3198059108954573E-2</v>
      </c>
      <c r="AW161" s="26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57">
        <v>90</v>
      </c>
      <c r="K162" s="57">
        <v>90</v>
      </c>
      <c r="L162" s="57">
        <v>90</v>
      </c>
      <c r="M162" s="57">
        <v>25.9</v>
      </c>
      <c r="N162" s="63">
        <v>6.3</v>
      </c>
      <c r="O162" s="36">
        <v>1.72</v>
      </c>
      <c r="P162" s="57">
        <v>8</v>
      </c>
      <c r="Q162" s="63">
        <v>7.3</v>
      </c>
      <c r="R162" s="36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93">
        <f t="shared" si="48"/>
        <v>0.14908767245215843</v>
      </c>
      <c r="AT162" s="93">
        <f t="shared" si="49"/>
        <v>0.74009790832220734</v>
      </c>
      <c r="AU162" s="93">
        <f t="shared" si="50"/>
        <v>0.11081441922563418</v>
      </c>
      <c r="AV162" s="26">
        <f t="shared" si="51"/>
        <v>5.2840158520475564E-2</v>
      </c>
      <c r="AW162" s="26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57">
        <v>90</v>
      </c>
      <c r="K163" s="57">
        <v>90</v>
      </c>
      <c r="L163" s="57">
        <v>90</v>
      </c>
      <c r="M163" s="57">
        <v>25.3</v>
      </c>
      <c r="N163" s="63">
        <v>6.5</v>
      </c>
      <c r="O163" s="36">
        <v>1.57</v>
      </c>
      <c r="P163" s="57">
        <v>10</v>
      </c>
      <c r="Q163" s="63">
        <v>7.8</v>
      </c>
      <c r="R163" s="36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93">
        <f t="shared" si="48"/>
        <v>0.1511679153812252</v>
      </c>
      <c r="AT163" s="93">
        <f t="shared" si="49"/>
        <v>0.7386513882767739</v>
      </c>
      <c r="AU163" s="93">
        <f t="shared" si="50"/>
        <v>0.11018069634200088</v>
      </c>
      <c r="AV163" s="26">
        <f t="shared" si="51"/>
        <v>6.8551842330762641E-2</v>
      </c>
      <c r="AW163" s="26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57">
        <v>90</v>
      </c>
      <c r="K164" s="57">
        <v>90</v>
      </c>
      <c r="L164" s="57">
        <v>90</v>
      </c>
      <c r="M164" s="57">
        <v>25.6</v>
      </c>
      <c r="N164" s="63">
        <v>6.5</v>
      </c>
      <c r="O164" s="36">
        <v>1.38</v>
      </c>
      <c r="P164" s="57">
        <v>7</v>
      </c>
      <c r="Q164" s="63">
        <v>7.9</v>
      </c>
      <c r="R164" s="36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93">
        <f t="shared" si="48"/>
        <v>0.14714980114891738</v>
      </c>
      <c r="AT164" s="93">
        <f t="shared" si="49"/>
        <v>0.74281926646045071</v>
      </c>
      <c r="AU164" s="93">
        <f t="shared" si="50"/>
        <v>0.1100309323906319</v>
      </c>
      <c r="AV164" s="26">
        <f t="shared" si="51"/>
        <v>6.9084628670120898E-2</v>
      </c>
      <c r="AW164" s="26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57">
        <v>90</v>
      </c>
      <c r="K165" s="57">
        <v>90</v>
      </c>
      <c r="L165" s="57">
        <v>90</v>
      </c>
      <c r="M165" s="57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36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93">
        <f t="shared" si="48"/>
        <v>0.15702846975088969</v>
      </c>
      <c r="AT165" s="93">
        <f t="shared" si="49"/>
        <v>0.73176156583629892</v>
      </c>
      <c r="AU165" s="93">
        <f t="shared" si="50"/>
        <v>0.11120996441281139</v>
      </c>
      <c r="AV165" s="26">
        <f t="shared" si="51"/>
        <v>7.0577856197618E-2</v>
      </c>
      <c r="AW165" s="26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57">
        <v>90</v>
      </c>
      <c r="K166" s="57">
        <v>90</v>
      </c>
      <c r="L166" s="57">
        <v>90</v>
      </c>
      <c r="M166" s="57">
        <v>23.7</v>
      </c>
      <c r="N166" s="63">
        <v>6.5</v>
      </c>
      <c r="O166" s="36">
        <v>1.17</v>
      </c>
      <c r="P166" s="57">
        <v>8</v>
      </c>
      <c r="Q166" s="63">
        <v>8</v>
      </c>
      <c r="R166" s="36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93">
        <f t="shared" si="48"/>
        <v>0.15616797900262466</v>
      </c>
      <c r="AT166" s="93">
        <f t="shared" si="49"/>
        <v>0.73490813648293962</v>
      </c>
      <c r="AU166" s="93">
        <f t="shared" si="50"/>
        <v>0.1089238845144357</v>
      </c>
      <c r="AV166" s="26">
        <f t="shared" si="51"/>
        <v>6.8346860316104235E-2</v>
      </c>
      <c r="AW166" s="26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58">
        <v>90</v>
      </c>
      <c r="K167" s="58">
        <v>90</v>
      </c>
      <c r="L167" s="58">
        <v>90</v>
      </c>
      <c r="M167" s="58">
        <v>23.8</v>
      </c>
      <c r="N167" s="64">
        <v>6.7</v>
      </c>
      <c r="O167" s="37">
        <v>1.21</v>
      </c>
      <c r="P167" s="58">
        <v>6</v>
      </c>
      <c r="Q167" s="64">
        <v>7.8</v>
      </c>
      <c r="R167" s="37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93">
        <f t="shared" si="48"/>
        <v>0.20964125560538116</v>
      </c>
      <c r="AT167" s="93">
        <f t="shared" si="49"/>
        <v>0.65078475336322872</v>
      </c>
      <c r="AU167" s="93">
        <f t="shared" si="50"/>
        <v>0.13957399103139012</v>
      </c>
      <c r="AV167" s="26">
        <f t="shared" si="51"/>
        <v>8.5975282106394407E-2</v>
      </c>
      <c r="AW167" s="26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59">
        <v>90</v>
      </c>
      <c r="K168" s="59">
        <v>90</v>
      </c>
      <c r="L168" s="59">
        <v>90</v>
      </c>
      <c r="M168" s="59">
        <v>23.5</v>
      </c>
      <c r="N168" s="65">
        <v>6.8</v>
      </c>
      <c r="O168" s="38">
        <v>1.49</v>
      </c>
      <c r="P168" s="59">
        <v>9</v>
      </c>
      <c r="Q168" s="65">
        <v>6.5</v>
      </c>
      <c r="R168" s="38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93">
        <f t="shared" si="48"/>
        <v>0.20449438202247192</v>
      </c>
      <c r="AT168" s="93">
        <f t="shared" si="49"/>
        <v>0.65505617977528086</v>
      </c>
      <c r="AU168" s="93">
        <f t="shared" si="50"/>
        <v>0.1404494382022472</v>
      </c>
      <c r="AV168" s="26">
        <f t="shared" si="51"/>
        <v>8.6771819137749728E-2</v>
      </c>
      <c r="AW168" s="26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57">
        <v>90</v>
      </c>
      <c r="K169" s="57">
        <v>90</v>
      </c>
      <c r="L169" s="57">
        <v>90</v>
      </c>
      <c r="M169" s="57">
        <v>23.8</v>
      </c>
      <c r="N169" s="63">
        <v>6.7</v>
      </c>
      <c r="O169" s="36">
        <v>1.51</v>
      </c>
      <c r="P169" s="57">
        <v>9</v>
      </c>
      <c r="Q169" s="63">
        <v>6.3</v>
      </c>
      <c r="R169" s="36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93">
        <f t="shared" si="48"/>
        <v>0.20261809903244166</v>
      </c>
      <c r="AT169" s="93">
        <f t="shared" si="49"/>
        <v>0.65566306203756408</v>
      </c>
      <c r="AU169" s="93">
        <f t="shared" si="50"/>
        <v>0.14171883892999432</v>
      </c>
      <c r="AV169" s="26">
        <f t="shared" si="51"/>
        <v>9.2638580931263856E-2</v>
      </c>
      <c r="AW169" s="26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57">
        <v>90</v>
      </c>
      <c r="K170" s="57">
        <v>90</v>
      </c>
      <c r="L170" s="57">
        <v>90</v>
      </c>
      <c r="M170" s="57">
        <v>25.1</v>
      </c>
      <c r="N170" s="63">
        <v>6.7</v>
      </c>
      <c r="O170" s="36">
        <v>1.58</v>
      </c>
      <c r="P170" s="57">
        <v>9</v>
      </c>
      <c r="Q170" s="63">
        <v>6.3</v>
      </c>
      <c r="R170" s="36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93">
        <f t="shared" si="48"/>
        <v>0.20136131593874079</v>
      </c>
      <c r="AT170" s="93">
        <f t="shared" si="49"/>
        <v>0.65740215541690306</v>
      </c>
      <c r="AU170" s="93">
        <f t="shared" si="50"/>
        <v>0.14123652864435621</v>
      </c>
      <c r="AV170" s="26">
        <f t="shared" si="51"/>
        <v>9.1933701657458566E-2</v>
      </c>
      <c r="AW170" s="26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57">
        <v>90</v>
      </c>
      <c r="K171" s="57">
        <v>90</v>
      </c>
      <c r="L171" s="57">
        <v>90</v>
      </c>
      <c r="M171" s="57">
        <v>23.7</v>
      </c>
      <c r="N171" s="63">
        <v>6.7</v>
      </c>
      <c r="O171" s="36">
        <v>1.48</v>
      </c>
      <c r="P171" s="57">
        <v>7</v>
      </c>
      <c r="Q171" s="63">
        <v>6.1</v>
      </c>
      <c r="R171" s="36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93">
        <f t="shared" si="48"/>
        <v>0.20409323479249575</v>
      </c>
      <c r="AT171" s="93">
        <f t="shared" si="49"/>
        <v>0.6537805571347356</v>
      </c>
      <c r="AU171" s="93">
        <f t="shared" si="50"/>
        <v>0.14212620807276863</v>
      </c>
      <c r="AV171" s="26">
        <f t="shared" si="51"/>
        <v>9.347415230683713E-2</v>
      </c>
      <c r="AW171" s="26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57">
        <v>90</v>
      </c>
      <c r="K172" s="57">
        <v>90</v>
      </c>
      <c r="L172" s="57">
        <v>90</v>
      </c>
      <c r="M172" s="57">
        <v>25.8</v>
      </c>
      <c r="N172" s="63">
        <v>6.7</v>
      </c>
      <c r="O172" s="36">
        <v>1.48</v>
      </c>
      <c r="P172" s="57">
        <v>9</v>
      </c>
      <c r="Q172" s="63">
        <v>6.2</v>
      </c>
      <c r="R172" s="36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93">
        <f t="shared" si="48"/>
        <v>0.20519911504424779</v>
      </c>
      <c r="AT172" s="93">
        <f t="shared" si="49"/>
        <v>0.65707964601769908</v>
      </c>
      <c r="AU172" s="93">
        <f t="shared" si="50"/>
        <v>0.1377212389380531</v>
      </c>
      <c r="AV172" s="26">
        <f t="shared" si="51"/>
        <v>8.9693053311793211E-2</v>
      </c>
      <c r="AW172" s="26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57">
        <v>90</v>
      </c>
      <c r="K173" s="57">
        <v>90</v>
      </c>
      <c r="L173" s="57">
        <v>90</v>
      </c>
      <c r="M173" s="57">
        <v>25.3</v>
      </c>
      <c r="N173" s="63">
        <v>6.7</v>
      </c>
      <c r="O173" s="36">
        <v>1.43</v>
      </c>
      <c r="P173" s="57">
        <v>8</v>
      </c>
      <c r="Q173" s="63">
        <v>6.2</v>
      </c>
      <c r="R173" s="36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93">
        <f t="shared" si="48"/>
        <v>0.21034678794769757</v>
      </c>
      <c r="AT173" s="93">
        <f t="shared" si="49"/>
        <v>0.64809550881182487</v>
      </c>
      <c r="AU173" s="93">
        <f t="shared" si="50"/>
        <v>0.14155770324047753</v>
      </c>
      <c r="AV173" s="26">
        <f t="shared" si="51"/>
        <v>9.3460033538289536E-2</v>
      </c>
      <c r="AW173" s="26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57">
        <v>90</v>
      </c>
      <c r="K174" s="57">
        <v>90</v>
      </c>
      <c r="L174" s="57">
        <v>90</v>
      </c>
      <c r="M174" s="57">
        <v>25.4</v>
      </c>
      <c r="N174" s="63">
        <v>6.6</v>
      </c>
      <c r="O174" s="36">
        <v>1.46</v>
      </c>
      <c r="P174" s="57">
        <v>8</v>
      </c>
      <c r="Q174" s="63">
        <v>6.9</v>
      </c>
      <c r="R174" s="36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93">
        <f t="shared" si="48"/>
        <v>0.23529411764705882</v>
      </c>
      <c r="AT174" s="93">
        <f t="shared" si="49"/>
        <v>0.62330316742081449</v>
      </c>
      <c r="AU174" s="93">
        <f t="shared" si="50"/>
        <v>0.14140271493212669</v>
      </c>
      <c r="AV174" s="26">
        <f t="shared" si="51"/>
        <v>9.2511013215859028E-2</v>
      </c>
      <c r="AW174" s="26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57">
        <v>90</v>
      </c>
      <c r="K175" s="57">
        <v>90</v>
      </c>
      <c r="L175" s="57">
        <v>90</v>
      </c>
      <c r="M175" s="57">
        <v>25.5</v>
      </c>
      <c r="N175" s="63">
        <v>6.6</v>
      </c>
      <c r="O175" s="36">
        <v>1.45</v>
      </c>
      <c r="P175" s="57">
        <v>8</v>
      </c>
      <c r="Q175" s="63">
        <v>6.7</v>
      </c>
      <c r="R175" s="36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93">
        <f t="shared" si="48"/>
        <v>0.20994475138121546</v>
      </c>
      <c r="AT175" s="93">
        <f t="shared" si="49"/>
        <v>0.65193370165745856</v>
      </c>
      <c r="AU175" s="93">
        <f t="shared" si="50"/>
        <v>0.13812154696132597</v>
      </c>
      <c r="AV175" s="26">
        <f t="shared" si="51"/>
        <v>9.3407821229050267E-2</v>
      </c>
      <c r="AW175" s="26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57">
        <v>90</v>
      </c>
      <c r="K176" s="57">
        <v>90</v>
      </c>
      <c r="L176" s="57">
        <v>90</v>
      </c>
      <c r="M176" s="57">
        <v>25.5</v>
      </c>
      <c r="N176" s="63">
        <v>6.6</v>
      </c>
      <c r="O176" s="36">
        <v>1.49</v>
      </c>
      <c r="P176" s="57">
        <v>8</v>
      </c>
      <c r="Q176" s="63">
        <v>6.3</v>
      </c>
      <c r="R176" s="36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93">
        <f t="shared" si="48"/>
        <v>0.19813519813519814</v>
      </c>
      <c r="AT176" s="93">
        <f t="shared" si="49"/>
        <v>0.65617715617715622</v>
      </c>
      <c r="AU176" s="93">
        <f t="shared" si="50"/>
        <v>0.14568764568764569</v>
      </c>
      <c r="AV176" s="26">
        <f t="shared" si="51"/>
        <v>7.2538860103626937E-2</v>
      </c>
      <c r="AW176" s="26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58">
        <v>90</v>
      </c>
      <c r="K177" s="58">
        <v>90</v>
      </c>
      <c r="L177" s="58">
        <v>90</v>
      </c>
      <c r="M177" s="58">
        <v>24.7</v>
      </c>
      <c r="N177" s="64">
        <v>6.5</v>
      </c>
      <c r="O177" s="37">
        <v>1.4</v>
      </c>
      <c r="P177" s="58">
        <v>9</v>
      </c>
      <c r="Q177" s="64">
        <v>6.6</v>
      </c>
      <c r="R177" s="37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93">
        <f t="shared" si="48"/>
        <v>0.19191343963553531</v>
      </c>
      <c r="AT177" s="93">
        <f t="shared" si="49"/>
        <v>0.66571753986332571</v>
      </c>
      <c r="AU177" s="93">
        <f t="shared" si="50"/>
        <v>0.14236902050113895</v>
      </c>
      <c r="AV177" s="26">
        <f t="shared" si="51"/>
        <v>7.411347517730496E-2</v>
      </c>
      <c r="AW177" s="26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59">
        <v>90</v>
      </c>
      <c r="K178" s="59">
        <v>90</v>
      </c>
      <c r="L178" s="59">
        <v>90</v>
      </c>
      <c r="M178" s="59">
        <v>24.9</v>
      </c>
      <c r="N178" s="65">
        <v>6.6</v>
      </c>
      <c r="O178" s="38">
        <v>1.19</v>
      </c>
      <c r="P178" s="59">
        <v>9</v>
      </c>
      <c r="Q178" s="65">
        <v>6.3</v>
      </c>
      <c r="R178" s="38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93">
        <f t="shared" si="48"/>
        <v>0.14986619090098127</v>
      </c>
      <c r="AT178" s="93">
        <f t="shared" si="49"/>
        <v>0.73862622658340771</v>
      </c>
      <c r="AU178" s="93">
        <f t="shared" si="50"/>
        <v>0.11150758251561106</v>
      </c>
      <c r="AV178" s="26">
        <f t="shared" si="51"/>
        <v>7.2195960464116887E-2</v>
      </c>
      <c r="AW178" s="26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57">
        <v>90</v>
      </c>
      <c r="K179" s="57">
        <v>90</v>
      </c>
      <c r="L179" s="57">
        <v>90</v>
      </c>
      <c r="M179" s="57">
        <v>25.6</v>
      </c>
      <c r="N179" s="63">
        <v>6.6</v>
      </c>
      <c r="O179" s="36">
        <v>1.26</v>
      </c>
      <c r="P179" s="57">
        <v>7</v>
      </c>
      <c r="Q179" s="63">
        <v>5.8</v>
      </c>
      <c r="R179" s="36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93">
        <f t="shared" si="48"/>
        <v>0.14691522414558367</v>
      </c>
      <c r="AT179" s="93">
        <f t="shared" si="49"/>
        <v>0.74212161562361301</v>
      </c>
      <c r="AU179" s="93">
        <f t="shared" si="50"/>
        <v>0.11096316023080337</v>
      </c>
      <c r="AV179" s="26">
        <f t="shared" si="51"/>
        <v>7.2185720543144996E-2</v>
      </c>
      <c r="AW179" s="26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57">
        <v>90</v>
      </c>
      <c r="K180" s="57">
        <v>90</v>
      </c>
      <c r="L180" s="57">
        <v>90</v>
      </c>
      <c r="M180" s="57">
        <v>26.1</v>
      </c>
      <c r="N180" s="63">
        <v>6.6</v>
      </c>
      <c r="O180" s="36">
        <v>1.32</v>
      </c>
      <c r="P180" s="57">
        <v>8</v>
      </c>
      <c r="Q180" s="63">
        <v>6.1</v>
      </c>
      <c r="R180" s="36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93">
        <f t="shared" si="48"/>
        <v>0.20554926387315969</v>
      </c>
      <c r="AT180" s="93">
        <f t="shared" si="49"/>
        <v>0.65345413363533411</v>
      </c>
      <c r="AU180" s="93">
        <f t="shared" si="50"/>
        <v>0.14099660249150622</v>
      </c>
      <c r="AV180" s="26">
        <f t="shared" si="51"/>
        <v>9.1378363536518403E-2</v>
      </c>
      <c r="AW180" s="26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57">
        <v>90</v>
      </c>
      <c r="K181" s="57">
        <v>90</v>
      </c>
      <c r="L181" s="57">
        <v>90</v>
      </c>
      <c r="M181" s="57">
        <v>26.6</v>
      </c>
      <c r="N181" s="63">
        <v>6.7</v>
      </c>
      <c r="O181" s="36">
        <v>1.65</v>
      </c>
      <c r="P181" s="57">
        <v>6</v>
      </c>
      <c r="Q181" s="63">
        <v>6.2</v>
      </c>
      <c r="R181" s="36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93">
        <f t="shared" si="48"/>
        <v>0.20747350808700502</v>
      </c>
      <c r="AT181" s="93">
        <f t="shared" si="49"/>
        <v>0.65309537088678193</v>
      </c>
      <c r="AU181" s="93">
        <f t="shared" si="50"/>
        <v>0.13943112102621305</v>
      </c>
      <c r="AV181" s="26">
        <f t="shared" si="51"/>
        <v>7.6454293628808873E-2</v>
      </c>
      <c r="AW181" s="26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57">
        <v>90</v>
      </c>
      <c r="K182" s="57">
        <v>90</v>
      </c>
      <c r="L182" s="57">
        <v>90</v>
      </c>
      <c r="M182" s="57">
        <v>26.5</v>
      </c>
      <c r="N182" s="63">
        <v>6.7</v>
      </c>
      <c r="O182" s="36">
        <v>1.39</v>
      </c>
      <c r="P182" s="57">
        <v>8</v>
      </c>
      <c r="Q182" s="63">
        <v>6</v>
      </c>
      <c r="R182" s="36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93">
        <f t="shared" si="48"/>
        <v>0.21125206839492552</v>
      </c>
      <c r="AT182" s="93">
        <f t="shared" si="49"/>
        <v>0.64699393270821848</v>
      </c>
      <c r="AU182" s="93">
        <f t="shared" si="50"/>
        <v>0.14175399889685603</v>
      </c>
      <c r="AV182" s="26">
        <f t="shared" si="51"/>
        <v>7.2277227722772272E-2</v>
      </c>
      <c r="AW182" s="26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57">
        <v>90</v>
      </c>
      <c r="K183" s="57">
        <v>90</v>
      </c>
      <c r="L183" s="57">
        <v>90</v>
      </c>
      <c r="M183" s="57">
        <v>24.8</v>
      </c>
      <c r="N183" s="63">
        <v>6.6</v>
      </c>
      <c r="O183" s="36">
        <v>1.47</v>
      </c>
      <c r="P183" s="57">
        <v>8</v>
      </c>
      <c r="Q183" s="63">
        <v>8.4</v>
      </c>
      <c r="R183" s="36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93">
        <f t="shared" si="48"/>
        <v>0.20747350808700502</v>
      </c>
      <c r="AT183" s="93">
        <f t="shared" si="49"/>
        <v>0.65309537088678193</v>
      </c>
      <c r="AU183" s="93">
        <f t="shared" si="50"/>
        <v>0.13943112102621305</v>
      </c>
      <c r="AV183" s="26">
        <f t="shared" si="51"/>
        <v>6.9527896995708161E-2</v>
      </c>
      <c r="AW183" s="26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57">
        <v>90</v>
      </c>
      <c r="K184" s="57">
        <v>90</v>
      </c>
      <c r="L184" s="57">
        <v>90</v>
      </c>
      <c r="M184" s="57">
        <v>24.1</v>
      </c>
      <c r="N184" s="63">
        <v>6.6</v>
      </c>
      <c r="O184" s="36">
        <v>1.54</v>
      </c>
      <c r="P184" s="57">
        <v>8</v>
      </c>
      <c r="Q184" s="63">
        <v>7</v>
      </c>
      <c r="R184" s="36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93">
        <f t="shared" si="48"/>
        <v>0.13952584531675088</v>
      </c>
      <c r="AT184" s="93">
        <f t="shared" si="49"/>
        <v>0.76369996113486205</v>
      </c>
      <c r="AU184" s="93">
        <f t="shared" si="50"/>
        <v>9.6774193548387094E-2</v>
      </c>
      <c r="AV184" s="26">
        <f t="shared" si="51"/>
        <v>6.741573033707865E-2</v>
      </c>
      <c r="AW184" s="26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57">
        <v>90</v>
      </c>
      <c r="K185" s="57">
        <v>90</v>
      </c>
      <c r="L185" s="57">
        <v>90</v>
      </c>
      <c r="M185" s="57">
        <v>25.6</v>
      </c>
      <c r="N185" s="63">
        <v>6.5</v>
      </c>
      <c r="O185" s="36">
        <v>1.39</v>
      </c>
      <c r="P185" s="57">
        <v>10</v>
      </c>
      <c r="Q185" s="63">
        <v>8.6</v>
      </c>
      <c r="R185" s="36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93">
        <f t="shared" si="48"/>
        <v>0.20903954802259886</v>
      </c>
      <c r="AT185" s="93">
        <f t="shared" si="49"/>
        <v>0.64971751412429379</v>
      </c>
      <c r="AU185" s="93">
        <f t="shared" si="50"/>
        <v>0.14124293785310735</v>
      </c>
      <c r="AV185" s="26">
        <f t="shared" si="51"/>
        <v>6.8071312803889783E-2</v>
      </c>
      <c r="AW185" s="26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57">
        <v>90</v>
      </c>
      <c r="K186" s="57">
        <v>90</v>
      </c>
      <c r="L186" s="57">
        <v>90</v>
      </c>
      <c r="M186" s="57">
        <v>24.8</v>
      </c>
      <c r="N186" s="63">
        <v>6.6</v>
      </c>
      <c r="O186" s="36">
        <v>1.45</v>
      </c>
      <c r="P186" s="57">
        <v>10</v>
      </c>
      <c r="Q186" s="63">
        <v>7.5</v>
      </c>
      <c r="R186" s="36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93">
        <f t="shared" si="48"/>
        <v>0.20281690140845071</v>
      </c>
      <c r="AT186" s="93">
        <f t="shared" si="49"/>
        <v>0.65690140845070422</v>
      </c>
      <c r="AU186" s="93">
        <f t="shared" si="50"/>
        <v>0.14028169014084507</v>
      </c>
      <c r="AV186" s="26">
        <f t="shared" si="51"/>
        <v>7.2240802675585289E-2</v>
      </c>
      <c r="AW186" s="26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58">
        <v>90</v>
      </c>
      <c r="K187" s="58">
        <v>90</v>
      </c>
      <c r="L187" s="58">
        <v>90</v>
      </c>
      <c r="M187" s="58">
        <v>24.5</v>
      </c>
      <c r="N187" s="64">
        <v>6.5</v>
      </c>
      <c r="O187" s="37">
        <v>1.52</v>
      </c>
      <c r="P187" s="58">
        <v>11</v>
      </c>
      <c r="Q187" s="64">
        <v>7.1</v>
      </c>
      <c r="R187" s="37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93">
        <f t="shared" si="48"/>
        <v>0.20701168614357263</v>
      </c>
      <c r="AT187" s="93">
        <f t="shared" si="49"/>
        <v>0.65442404006677801</v>
      </c>
      <c r="AU187" s="93">
        <f t="shared" si="50"/>
        <v>0.13856427378964942</v>
      </c>
      <c r="AV187" s="26">
        <f t="shared" si="51"/>
        <v>7.2040022234574771E-2</v>
      </c>
      <c r="AW187" s="26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59">
        <v>90</v>
      </c>
      <c r="K188" s="59">
        <v>90</v>
      </c>
      <c r="L188" s="59">
        <v>90</v>
      </c>
      <c r="M188" s="59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38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93">
        <f t="shared" si="48"/>
        <v>0.17861205915813425</v>
      </c>
      <c r="AT188" s="93">
        <f t="shared" si="49"/>
        <v>0.67918088737201365</v>
      </c>
      <c r="AU188" s="93">
        <f t="shared" si="50"/>
        <v>0.1422070534698521</v>
      </c>
      <c r="AV188" s="26">
        <f t="shared" si="51"/>
        <v>6.7039106145251395E-2</v>
      </c>
      <c r="AW188" s="26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57">
        <v>90</v>
      </c>
      <c r="K189" s="57">
        <v>90</v>
      </c>
      <c r="L189" s="57">
        <v>90</v>
      </c>
      <c r="M189" s="57">
        <v>25</v>
      </c>
      <c r="N189" s="63">
        <v>6.7</v>
      </c>
      <c r="O189" s="36">
        <v>1.8</v>
      </c>
      <c r="P189" s="57">
        <v>10</v>
      </c>
      <c r="Q189" s="63">
        <v>7.5</v>
      </c>
      <c r="R189" s="36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93">
        <f t="shared" si="48"/>
        <v>0.17885264341957255</v>
      </c>
      <c r="AT189" s="93">
        <f t="shared" si="49"/>
        <v>0.68053993250843647</v>
      </c>
      <c r="AU189" s="93">
        <f t="shared" si="50"/>
        <v>0.14060742407199101</v>
      </c>
      <c r="AV189" s="26">
        <f t="shared" si="51"/>
        <v>7.0194986072423388E-2</v>
      </c>
      <c r="AW189" s="26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57">
        <v>90</v>
      </c>
      <c r="K190" s="57">
        <v>90</v>
      </c>
      <c r="L190" s="57">
        <v>90</v>
      </c>
      <c r="M190" s="57">
        <v>24.9</v>
      </c>
      <c r="N190" s="63">
        <v>6.7</v>
      </c>
      <c r="O190" s="36">
        <v>1.32</v>
      </c>
      <c r="P190" s="57">
        <v>9</v>
      </c>
      <c r="Q190" s="63">
        <v>7.1</v>
      </c>
      <c r="R190" s="36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93">
        <f t="shared" si="48"/>
        <v>0.12198332602018429</v>
      </c>
      <c r="AT190" s="93">
        <f t="shared" si="49"/>
        <v>0.76831943835015359</v>
      </c>
      <c r="AU190" s="93">
        <f t="shared" si="50"/>
        <v>0.10969723562966213</v>
      </c>
      <c r="AV190" s="26">
        <f t="shared" si="51"/>
        <v>7.260155574762317E-2</v>
      </c>
      <c r="AW190" s="26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57">
        <v>90</v>
      </c>
      <c r="K191" s="57">
        <v>90</v>
      </c>
      <c r="L191" s="57">
        <v>90</v>
      </c>
      <c r="M191" s="57">
        <v>26</v>
      </c>
      <c r="N191" s="63">
        <v>6.6</v>
      </c>
      <c r="O191" s="36">
        <v>1.4</v>
      </c>
      <c r="P191" s="57">
        <v>9</v>
      </c>
      <c r="Q191" s="63">
        <v>7.3</v>
      </c>
      <c r="R191" s="36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93">
        <f t="shared" si="48"/>
        <v>0.12335381913959614</v>
      </c>
      <c r="AT191" s="93">
        <f t="shared" si="49"/>
        <v>0.76690079016681301</v>
      </c>
      <c r="AU191" s="93">
        <f t="shared" si="50"/>
        <v>0.10974539069359086</v>
      </c>
      <c r="AV191" s="26">
        <f t="shared" si="51"/>
        <v>8.0622995877233164E-2</v>
      </c>
      <c r="AW191" s="26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57">
        <v>90</v>
      </c>
      <c r="K192" s="57">
        <v>90</v>
      </c>
      <c r="L192" s="57">
        <v>90</v>
      </c>
      <c r="M192" s="57">
        <v>26</v>
      </c>
      <c r="N192" s="63">
        <v>6.5</v>
      </c>
      <c r="O192" s="36">
        <v>1.38</v>
      </c>
      <c r="P192" s="57">
        <v>9</v>
      </c>
      <c r="Q192" s="63">
        <v>7.4</v>
      </c>
      <c r="R192" s="36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93">
        <f t="shared" si="48"/>
        <v>0.12690798081116442</v>
      </c>
      <c r="AT192" s="93">
        <f t="shared" si="49"/>
        <v>0.7640645442651548</v>
      </c>
      <c r="AU192" s="93">
        <f t="shared" si="50"/>
        <v>0.10902747492368077</v>
      </c>
      <c r="AV192" s="26">
        <f t="shared" si="51"/>
        <v>7.8888390856118332E-2</v>
      </c>
      <c r="AW192" s="26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57">
        <v>90</v>
      </c>
      <c r="K193" s="57">
        <v>90</v>
      </c>
      <c r="L193" s="57">
        <v>90</v>
      </c>
      <c r="M193" s="57">
        <v>26</v>
      </c>
      <c r="N193" s="63">
        <v>6.4</v>
      </c>
      <c r="O193" s="36">
        <v>1.37</v>
      </c>
      <c r="P193" s="57">
        <v>10</v>
      </c>
      <c r="Q193" s="63">
        <v>5.9</v>
      </c>
      <c r="R193" s="36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93">
        <f t="shared" si="48"/>
        <v>0.1275465013286094</v>
      </c>
      <c r="AT193" s="93">
        <f t="shared" si="49"/>
        <v>0.76173604960141716</v>
      </c>
      <c r="AU193" s="93">
        <f t="shared" si="50"/>
        <v>0.11071744906997343</v>
      </c>
      <c r="AV193" s="26">
        <f t="shared" si="51"/>
        <v>7.1944922547332174E-2</v>
      </c>
      <c r="AW193" s="26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57">
        <v>90</v>
      </c>
      <c r="K194" s="57">
        <v>90</v>
      </c>
      <c r="L194" s="57">
        <v>90</v>
      </c>
      <c r="M194" s="57">
        <v>25.8</v>
      </c>
      <c r="N194" s="63">
        <v>6.5</v>
      </c>
      <c r="O194" s="36">
        <v>1.22</v>
      </c>
      <c r="P194" s="57">
        <v>9</v>
      </c>
      <c r="Q194" s="63">
        <v>6.4</v>
      </c>
      <c r="R194" s="36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93">
        <f t="shared" ref="AS194:AS257" si="71">C194/AR194</f>
        <v>0.11285971223021583</v>
      </c>
      <c r="AT194" s="93">
        <f t="shared" ref="AT194:AT257" si="72">D194/AR194</f>
        <v>0.77562949640287771</v>
      </c>
      <c r="AU194" s="93">
        <f t="shared" ref="AU194:AU257" si="73">E194/AR194</f>
        <v>0.11151079136690648</v>
      </c>
      <c r="AV194" s="26">
        <f t="shared" ref="AV194:AV257" si="74">IF(AND(F194&lt;&gt;"",Z194&lt;&gt;""),AB194/(F194/2/Z194),"")</f>
        <v>7.4576271186440668E-2</v>
      </c>
      <c r="AW194" s="26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57">
        <v>90</v>
      </c>
      <c r="K195" s="57">
        <v>90</v>
      </c>
      <c r="L195" s="57">
        <v>90</v>
      </c>
      <c r="M195" s="57">
        <v>24.9</v>
      </c>
      <c r="N195" s="63">
        <v>6.5</v>
      </c>
      <c r="O195" s="36">
        <v>1.4</v>
      </c>
      <c r="P195" s="57">
        <v>9</v>
      </c>
      <c r="Q195" s="63">
        <v>5.9</v>
      </c>
      <c r="R195" s="36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93">
        <f t="shared" si="71"/>
        <v>0.12792236435818263</v>
      </c>
      <c r="AT195" s="93">
        <f t="shared" si="72"/>
        <v>0.76179973533303924</v>
      </c>
      <c r="AU195" s="93">
        <f t="shared" si="73"/>
        <v>0.11027790030877813</v>
      </c>
      <c r="AV195" s="26">
        <f t="shared" si="74"/>
        <v>7.3786407766990289E-2</v>
      </c>
      <c r="AW195" s="26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57">
        <v>90</v>
      </c>
      <c r="K196" s="57">
        <v>90</v>
      </c>
      <c r="L196" s="57">
        <v>90</v>
      </c>
      <c r="M196" s="57">
        <v>24.8</v>
      </c>
      <c r="N196" s="63">
        <v>6.5</v>
      </c>
      <c r="O196" s="36">
        <v>1.31</v>
      </c>
      <c r="P196" s="57">
        <v>9</v>
      </c>
      <c r="Q196" s="63">
        <v>6</v>
      </c>
      <c r="R196" s="36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93">
        <f t="shared" si="71"/>
        <v>0.12742008104457453</v>
      </c>
      <c r="AT196" s="93">
        <f t="shared" si="72"/>
        <v>0.76046825754164793</v>
      </c>
      <c r="AU196" s="93">
        <f t="shared" si="73"/>
        <v>0.11211166141377758</v>
      </c>
      <c r="AV196" s="26">
        <f t="shared" si="74"/>
        <v>7.0967741935483872E-2</v>
      </c>
      <c r="AW196" s="26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58">
        <v>90</v>
      </c>
      <c r="K197" s="58">
        <v>90</v>
      </c>
      <c r="L197" s="58">
        <v>90</v>
      </c>
      <c r="M197" s="58">
        <v>24.8</v>
      </c>
      <c r="N197" s="64">
        <v>6.4</v>
      </c>
      <c r="O197" s="37">
        <v>1.24</v>
      </c>
      <c r="P197" s="58">
        <v>8</v>
      </c>
      <c r="Q197" s="64">
        <v>6.4</v>
      </c>
      <c r="R197" s="37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93">
        <f t="shared" si="71"/>
        <v>0.17885264341957255</v>
      </c>
      <c r="AT197" s="93">
        <f t="shared" si="72"/>
        <v>0.68110236220472442</v>
      </c>
      <c r="AU197" s="93">
        <f t="shared" si="73"/>
        <v>0.14004499437570303</v>
      </c>
      <c r="AV197" s="26">
        <f t="shared" si="74"/>
        <v>9.0525175961017862E-2</v>
      </c>
      <c r="AW197" s="26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59">
        <v>90</v>
      </c>
      <c r="K198" s="59">
        <v>90</v>
      </c>
      <c r="L198" s="59">
        <v>90</v>
      </c>
      <c r="M198" s="59">
        <v>25.3</v>
      </c>
      <c r="N198" s="65">
        <v>6.5</v>
      </c>
      <c r="O198" s="38">
        <v>1.27</v>
      </c>
      <c r="P198" s="59">
        <v>8</v>
      </c>
      <c r="Q198" s="65">
        <v>6.2</v>
      </c>
      <c r="R198" s="38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93">
        <f t="shared" si="71"/>
        <v>0.12975391498881431</v>
      </c>
      <c r="AT198" s="93">
        <f t="shared" si="72"/>
        <v>0.78076062639821031</v>
      </c>
      <c r="AU198" s="93">
        <f t="shared" si="73"/>
        <v>8.9485458612975396E-2</v>
      </c>
      <c r="AV198" s="26">
        <f t="shared" si="74"/>
        <v>7.636363636363637E-2</v>
      </c>
      <c r="AW198" s="26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57">
        <v>90</v>
      </c>
      <c r="K199" s="57">
        <v>90</v>
      </c>
      <c r="L199" s="57">
        <v>90</v>
      </c>
      <c r="M199" s="57">
        <v>24.8</v>
      </c>
      <c r="N199" s="63">
        <v>6.4</v>
      </c>
      <c r="O199" s="36">
        <v>1.31</v>
      </c>
      <c r="P199" s="57">
        <v>10</v>
      </c>
      <c r="Q199" s="63">
        <v>5.6</v>
      </c>
      <c r="R199" s="36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93">
        <f t="shared" si="71"/>
        <v>0.12784349408553231</v>
      </c>
      <c r="AT199" s="93">
        <f t="shared" si="72"/>
        <v>0.78116469517743403</v>
      </c>
      <c r="AU199" s="93">
        <f t="shared" si="73"/>
        <v>9.0991810737033663E-2</v>
      </c>
      <c r="AV199" s="26">
        <f t="shared" si="74"/>
        <v>7.3126142595978064E-2</v>
      </c>
      <c r="AW199" s="26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57">
        <v>90</v>
      </c>
      <c r="K200" s="57">
        <v>90</v>
      </c>
      <c r="L200" s="57">
        <v>90</v>
      </c>
      <c r="M200" s="57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36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93">
        <f t="shared" si="71"/>
        <v>0.12791228871630883</v>
      </c>
      <c r="AT200" s="93">
        <f t="shared" si="72"/>
        <v>0.78117862037460029</v>
      </c>
      <c r="AU200" s="93">
        <f t="shared" si="73"/>
        <v>9.0909090909090912E-2</v>
      </c>
      <c r="AV200" s="26">
        <f t="shared" si="74"/>
        <v>7.7348066298342538E-2</v>
      </c>
      <c r="AW200" s="26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57">
        <v>90</v>
      </c>
      <c r="K201" s="57">
        <v>90</v>
      </c>
      <c r="L201" s="57">
        <v>90</v>
      </c>
      <c r="M201" s="57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36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93">
        <f t="shared" si="71"/>
        <v>0.12659902955447727</v>
      </c>
      <c r="AT201" s="93">
        <f t="shared" si="72"/>
        <v>0.78517865019850019</v>
      </c>
      <c r="AU201" s="93">
        <f t="shared" si="73"/>
        <v>8.8222320247022493E-2</v>
      </c>
      <c r="AV201" s="26">
        <f t="shared" si="74"/>
        <v>7.4270557029177717E-2</v>
      </c>
      <c r="AW201" s="26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57">
        <v>90</v>
      </c>
      <c r="K202" s="57">
        <v>90</v>
      </c>
      <c r="L202" s="57">
        <v>90</v>
      </c>
      <c r="M202" s="57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36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93">
        <f t="shared" si="71"/>
        <v>0.13084532374100719</v>
      </c>
      <c r="AT202" s="93">
        <f t="shared" si="72"/>
        <v>0.77922661870503596</v>
      </c>
      <c r="AU202" s="93">
        <f t="shared" si="73"/>
        <v>8.9928057553956831E-2</v>
      </c>
      <c r="AV202" s="26">
        <f t="shared" si="74"/>
        <v>7.2267389340560068E-2</v>
      </c>
      <c r="AW202" s="26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57">
        <v>90</v>
      </c>
      <c r="K203" s="57">
        <v>90</v>
      </c>
      <c r="L203" s="57">
        <v>90</v>
      </c>
      <c r="M203" s="57">
        <v>25</v>
      </c>
      <c r="N203" s="63">
        <v>6.5</v>
      </c>
      <c r="O203" s="36">
        <v>1.51</v>
      </c>
      <c r="P203" s="57">
        <v>9</v>
      </c>
      <c r="Q203" s="63">
        <v>6.2</v>
      </c>
      <c r="R203" s="36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93">
        <f t="shared" si="71"/>
        <v>0.17826672653794343</v>
      </c>
      <c r="AT203" s="93">
        <f t="shared" si="72"/>
        <v>0.73192635832959141</v>
      </c>
      <c r="AU203" s="93">
        <f t="shared" si="73"/>
        <v>8.9806915132465207E-2</v>
      </c>
      <c r="AV203" s="26">
        <f t="shared" si="74"/>
        <v>7.584650112866817E-2</v>
      </c>
      <c r="AW203" s="26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57">
        <v>90</v>
      </c>
      <c r="K204" s="57">
        <v>90</v>
      </c>
      <c r="L204" s="57">
        <v>90</v>
      </c>
      <c r="M204" s="57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36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93">
        <f t="shared" si="71"/>
        <v>0.17539863325740318</v>
      </c>
      <c r="AT204" s="93">
        <f t="shared" si="72"/>
        <v>0.73348519362186793</v>
      </c>
      <c r="AU204" s="93">
        <f t="shared" si="73"/>
        <v>9.1116173120728935E-2</v>
      </c>
      <c r="AV204" s="26">
        <f t="shared" si="74"/>
        <v>7.1428571428571425E-2</v>
      </c>
      <c r="AW204" s="26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57">
        <v>90</v>
      </c>
      <c r="K205" s="57">
        <v>90</v>
      </c>
      <c r="L205" s="57">
        <v>90</v>
      </c>
      <c r="M205" s="57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36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93">
        <f t="shared" si="71"/>
        <v>0.2484472049689441</v>
      </c>
      <c r="AT205" s="93">
        <f t="shared" si="72"/>
        <v>0.6628216503992902</v>
      </c>
      <c r="AU205" s="93">
        <f t="shared" si="73"/>
        <v>8.8731144631765749E-2</v>
      </c>
      <c r="AV205" s="26">
        <f t="shared" si="74"/>
        <v>7.1652485445588887E-2</v>
      </c>
      <c r="AW205" s="26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57">
        <v>90</v>
      </c>
      <c r="K206" s="57">
        <v>90</v>
      </c>
      <c r="L206" s="57">
        <v>90</v>
      </c>
      <c r="M206" s="57">
        <v>24.8</v>
      </c>
      <c r="N206" s="63">
        <v>6.4</v>
      </c>
      <c r="O206" s="36">
        <v>1.37</v>
      </c>
      <c r="P206" s="57">
        <v>9</v>
      </c>
      <c r="Q206" s="63">
        <v>6.3</v>
      </c>
      <c r="R206" s="36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93">
        <f t="shared" si="71"/>
        <v>0.17917235106866758</v>
      </c>
      <c r="AT206" s="93">
        <f t="shared" si="72"/>
        <v>0.72987721691678031</v>
      </c>
      <c r="AU206" s="93">
        <f t="shared" si="73"/>
        <v>9.0950432014552066E-2</v>
      </c>
      <c r="AV206" s="26">
        <f t="shared" si="74"/>
        <v>6.9534984789222071E-2</v>
      </c>
      <c r="AW206" s="26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58">
        <v>90</v>
      </c>
      <c r="K207" s="58">
        <v>90</v>
      </c>
      <c r="L207" s="58">
        <v>90</v>
      </c>
      <c r="M207" s="58">
        <v>24.7</v>
      </c>
      <c r="N207" s="64">
        <v>6.4</v>
      </c>
      <c r="O207" s="37">
        <v>1.76</v>
      </c>
      <c r="P207" s="58">
        <v>10</v>
      </c>
      <c r="Q207" s="64">
        <v>6.3</v>
      </c>
      <c r="R207" s="37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93">
        <f t="shared" si="71"/>
        <v>0.17858769931662871</v>
      </c>
      <c r="AT207" s="93">
        <f t="shared" si="72"/>
        <v>0.73029612756264239</v>
      </c>
      <c r="AU207" s="93">
        <f t="shared" si="73"/>
        <v>9.1116173120728935E-2</v>
      </c>
      <c r="AV207" s="26">
        <f t="shared" si="74"/>
        <v>6.9504778453518684E-2</v>
      </c>
      <c r="AW207" s="26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59">
        <v>90</v>
      </c>
      <c r="K208" s="59">
        <v>90</v>
      </c>
      <c r="L208" s="59">
        <v>90</v>
      </c>
      <c r="M208" s="59">
        <v>24.3</v>
      </c>
      <c r="N208" s="65">
        <v>6.3</v>
      </c>
      <c r="O208" s="38">
        <v>1.53</v>
      </c>
      <c r="P208" s="59">
        <v>9</v>
      </c>
      <c r="Q208" s="65">
        <v>6.4</v>
      </c>
      <c r="R208" s="38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93">
        <f t="shared" si="71"/>
        <v>0.19197292069632496</v>
      </c>
      <c r="AT208" s="93">
        <f t="shared" si="72"/>
        <v>0.80802707930367501</v>
      </c>
      <c r="AU208" s="93">
        <f t="shared" si="73"/>
        <v>0</v>
      </c>
      <c r="AV208" s="26">
        <f t="shared" si="74"/>
        <v>7.7575757575757576E-2</v>
      </c>
      <c r="AW208" s="26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57">
        <v>90</v>
      </c>
      <c r="K209" s="57">
        <v>90</v>
      </c>
      <c r="L209" s="57">
        <v>90</v>
      </c>
      <c r="M209" s="57">
        <v>23.8</v>
      </c>
      <c r="N209" s="63">
        <v>6.3</v>
      </c>
      <c r="O209" s="36">
        <v>1.39</v>
      </c>
      <c r="P209" s="57">
        <v>8</v>
      </c>
      <c r="Q209" s="63">
        <v>6.3</v>
      </c>
      <c r="R209" s="36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93">
        <f t="shared" si="71"/>
        <v>0.19718309859154928</v>
      </c>
      <c r="AT209" s="93">
        <f t="shared" si="72"/>
        <v>0.80281690140845074</v>
      </c>
      <c r="AU209" s="93">
        <f t="shared" si="73"/>
        <v>0</v>
      </c>
      <c r="AV209" s="26">
        <f t="shared" si="74"/>
        <v>8.1222276983735839E-2</v>
      </c>
      <c r="AW209" s="26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57">
        <v>90</v>
      </c>
      <c r="K210" s="57">
        <v>90</v>
      </c>
      <c r="L210" s="57">
        <v>90</v>
      </c>
      <c r="M210" s="57">
        <v>25.7</v>
      </c>
      <c r="N210" s="63">
        <v>6.3</v>
      </c>
      <c r="O210" s="36">
        <v>1.37</v>
      </c>
      <c r="P210" s="57">
        <v>10</v>
      </c>
      <c r="Q210" s="63">
        <v>6.3</v>
      </c>
      <c r="R210" s="36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93">
        <f t="shared" si="71"/>
        <v>0.16747465843984133</v>
      </c>
      <c r="AT210" s="93">
        <f t="shared" si="72"/>
        <v>0.73380343763772582</v>
      </c>
      <c r="AU210" s="93">
        <f t="shared" si="73"/>
        <v>9.8721903922432797E-2</v>
      </c>
      <c r="AV210" s="26">
        <f t="shared" si="74"/>
        <v>7.6313364055299537E-2</v>
      </c>
      <c r="AW210" s="26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57">
        <v>90</v>
      </c>
      <c r="K211" s="57">
        <v>90</v>
      </c>
      <c r="L211" s="57">
        <v>90</v>
      </c>
      <c r="M211" s="57">
        <v>25.8</v>
      </c>
      <c r="N211" s="63">
        <v>6.3</v>
      </c>
      <c r="O211" s="36">
        <v>1.4</v>
      </c>
      <c r="P211" s="57">
        <v>9</v>
      </c>
      <c r="Q211" s="63">
        <v>6.3</v>
      </c>
      <c r="R211" s="36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93">
        <f t="shared" si="71"/>
        <v>0.16878562034195529</v>
      </c>
      <c r="AT211" s="93">
        <f t="shared" si="72"/>
        <v>0.73257343270495401</v>
      </c>
      <c r="AU211" s="93">
        <f t="shared" si="73"/>
        <v>9.8640946953090752E-2</v>
      </c>
      <c r="AV211" s="26">
        <f t="shared" si="74"/>
        <v>7.4401805869074494E-2</v>
      </c>
      <c r="AW211" s="26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57">
        <v>90</v>
      </c>
      <c r="K212" s="57">
        <v>90</v>
      </c>
      <c r="L212" s="57">
        <v>90</v>
      </c>
      <c r="M212" s="57">
        <v>24.9</v>
      </c>
      <c r="N212" s="63">
        <v>6.5</v>
      </c>
      <c r="O212" s="36">
        <v>1.27</v>
      </c>
      <c r="P212" s="57">
        <v>9</v>
      </c>
      <c r="Q212" s="63">
        <v>7.8</v>
      </c>
      <c r="R212" s="36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93">
        <f t="shared" si="71"/>
        <v>0.16916299559471365</v>
      </c>
      <c r="AT212" s="93">
        <f t="shared" si="72"/>
        <v>0.73171806167400877</v>
      </c>
      <c r="AU212" s="93">
        <f t="shared" si="73"/>
        <v>9.9118942731277526E-2</v>
      </c>
      <c r="AV212" s="26">
        <f t="shared" si="74"/>
        <v>0.10724246513720198</v>
      </c>
      <c r="AW212" s="26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57">
        <v>90</v>
      </c>
      <c r="K213" s="57">
        <v>90</v>
      </c>
      <c r="L213" s="57">
        <v>90</v>
      </c>
      <c r="M213" s="57">
        <v>24.5</v>
      </c>
      <c r="N213" s="63">
        <v>6.5</v>
      </c>
      <c r="O213" s="36">
        <v>1.27</v>
      </c>
      <c r="P213" s="57">
        <v>12</v>
      </c>
      <c r="Q213" s="63">
        <v>8</v>
      </c>
      <c r="R213" s="36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93">
        <f t="shared" si="71"/>
        <v>0.18227501142074007</v>
      </c>
      <c r="AT213" s="93">
        <f t="shared" si="72"/>
        <v>0.71539515760621286</v>
      </c>
      <c r="AU213" s="93">
        <f t="shared" si="73"/>
        <v>0.10232983097304706</v>
      </c>
      <c r="AV213" s="26">
        <f t="shared" si="74"/>
        <v>6.4748201438848921E-2</v>
      </c>
      <c r="AW213" s="26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57">
        <v>90</v>
      </c>
      <c r="K214" s="57">
        <v>90</v>
      </c>
      <c r="L214" s="57">
        <v>90</v>
      </c>
      <c r="M214" s="57">
        <v>24.1</v>
      </c>
      <c r="N214" s="63">
        <v>6.4</v>
      </c>
      <c r="O214" s="36">
        <v>1.52</v>
      </c>
      <c r="P214" s="57">
        <v>14</v>
      </c>
      <c r="Q214" s="63">
        <v>8</v>
      </c>
      <c r="R214" s="36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93">
        <f t="shared" si="71"/>
        <v>0.16918967052537845</v>
      </c>
      <c r="AT214" s="93">
        <f t="shared" si="72"/>
        <v>0.73107747105966159</v>
      </c>
      <c r="AU214" s="93">
        <f t="shared" si="73"/>
        <v>9.9732858414959935E-2</v>
      </c>
      <c r="AV214" s="26">
        <f t="shared" si="74"/>
        <v>6.4199732501114576E-2</v>
      </c>
      <c r="AW214" s="26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57">
        <v>90</v>
      </c>
      <c r="K215" s="57">
        <v>90</v>
      </c>
      <c r="L215" s="57">
        <v>90</v>
      </c>
      <c r="M215" s="57">
        <v>24.6</v>
      </c>
      <c r="N215" s="63">
        <v>6.6</v>
      </c>
      <c r="O215" s="36">
        <v>1.31</v>
      </c>
      <c r="P215" s="57">
        <v>11</v>
      </c>
      <c r="Q215" s="63">
        <v>8</v>
      </c>
      <c r="R215" s="36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93">
        <f t="shared" si="71"/>
        <v>0.17349607672188316</v>
      </c>
      <c r="AT215" s="93">
        <f t="shared" si="72"/>
        <v>0.72842197035745426</v>
      </c>
      <c r="AU215" s="93">
        <f t="shared" si="73"/>
        <v>9.8081952920662602E-2</v>
      </c>
      <c r="AV215" s="26">
        <f t="shared" si="74"/>
        <v>7.123775601068566E-2</v>
      </c>
      <c r="AW215" s="26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58">
        <v>30</v>
      </c>
      <c r="K216" s="58">
        <v>90</v>
      </c>
      <c r="L216" s="58">
        <v>90</v>
      </c>
      <c r="M216" s="58">
        <v>23.1</v>
      </c>
      <c r="N216" s="64">
        <v>6.6</v>
      </c>
      <c r="O216" s="37">
        <v>1.47</v>
      </c>
      <c r="P216" s="58">
        <v>13</v>
      </c>
      <c r="Q216" s="64">
        <v>8</v>
      </c>
      <c r="R216" s="37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93">
        <f t="shared" si="71"/>
        <v>0.17723796671165093</v>
      </c>
      <c r="AT216" s="93">
        <f t="shared" si="72"/>
        <v>0.72154745838956369</v>
      </c>
      <c r="AU216" s="93">
        <f t="shared" si="73"/>
        <v>0.10121457489878542</v>
      </c>
      <c r="AV216" s="26">
        <f t="shared" si="74"/>
        <v>7.130124777183601E-2</v>
      </c>
      <c r="AW216" s="26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59">
        <v>90</v>
      </c>
      <c r="K217" s="59">
        <v>90</v>
      </c>
      <c r="L217" s="59">
        <v>90</v>
      </c>
      <c r="M217" s="59">
        <v>23.4</v>
      </c>
      <c r="N217" s="65">
        <v>6.5</v>
      </c>
      <c r="O217" s="38">
        <v>1.4</v>
      </c>
      <c r="P217" s="59">
        <v>12</v>
      </c>
      <c r="Q217" s="65">
        <v>8</v>
      </c>
      <c r="R217" s="38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93">
        <f t="shared" si="71"/>
        <v>0.17279574656623836</v>
      </c>
      <c r="AT217" s="93">
        <f t="shared" si="72"/>
        <v>0.72972972972972971</v>
      </c>
      <c r="AU217" s="93">
        <f t="shared" si="73"/>
        <v>9.7474523704031896E-2</v>
      </c>
      <c r="AV217" s="26">
        <f t="shared" si="74"/>
        <v>7.1428571428571425E-2</v>
      </c>
      <c r="AW217" s="26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57">
        <v>90</v>
      </c>
      <c r="K218" s="57">
        <v>90</v>
      </c>
      <c r="L218" s="57">
        <v>90</v>
      </c>
      <c r="M218" s="57">
        <v>26.4</v>
      </c>
      <c r="N218" s="63">
        <v>6.5</v>
      </c>
      <c r="O218" s="36">
        <v>1.19</v>
      </c>
      <c r="P218" s="57">
        <v>12</v>
      </c>
      <c r="Q218" s="63">
        <v>6.6</v>
      </c>
      <c r="R218" s="36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93">
        <f t="shared" si="71"/>
        <v>0.16906318082788671</v>
      </c>
      <c r="AT218" s="93">
        <f t="shared" si="72"/>
        <v>0.7220043572984749</v>
      </c>
      <c r="AU218" s="93">
        <f t="shared" si="73"/>
        <v>0.10893246187363835</v>
      </c>
      <c r="AV218" s="26">
        <f t="shared" si="74"/>
        <v>7.2595281306715068E-2</v>
      </c>
      <c r="AW218" s="26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57">
        <v>90</v>
      </c>
      <c r="K219" s="57">
        <v>90</v>
      </c>
      <c r="L219" s="57">
        <v>90</v>
      </c>
      <c r="M219" s="57">
        <v>25.5</v>
      </c>
      <c r="N219" s="63">
        <v>6.4</v>
      </c>
      <c r="O219" s="36">
        <v>1.61</v>
      </c>
      <c r="P219" s="57">
        <v>16</v>
      </c>
      <c r="Q219" s="63">
        <v>6.3</v>
      </c>
      <c r="R219" s="36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93">
        <f t="shared" si="71"/>
        <v>0.17286652078774617</v>
      </c>
      <c r="AT219" s="93">
        <f t="shared" si="72"/>
        <v>0.73085339168490149</v>
      </c>
      <c r="AU219" s="93">
        <f t="shared" si="73"/>
        <v>9.6280087527352301E-2</v>
      </c>
      <c r="AV219" s="26">
        <f t="shared" si="74"/>
        <v>6.9565217391304349E-2</v>
      </c>
      <c r="AW219" s="26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57">
        <v>90</v>
      </c>
      <c r="K220" s="57">
        <v>90</v>
      </c>
      <c r="L220" s="57">
        <v>90</v>
      </c>
      <c r="M220" s="57">
        <v>25.6</v>
      </c>
      <c r="N220" s="63">
        <v>6.3</v>
      </c>
      <c r="O220" s="36">
        <v>1.37</v>
      </c>
      <c r="P220" s="57">
        <v>14</v>
      </c>
      <c r="Q220" s="63">
        <v>6.4</v>
      </c>
      <c r="R220" s="36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93">
        <f t="shared" si="71"/>
        <v>0.16883680555555555</v>
      </c>
      <c r="AT220" s="93">
        <f t="shared" si="72"/>
        <v>0.72265625</v>
      </c>
      <c r="AU220" s="93">
        <f t="shared" si="73"/>
        <v>0.10850694444444445</v>
      </c>
      <c r="AV220" s="26">
        <f t="shared" si="74"/>
        <v>6.9747166521360066E-2</v>
      </c>
      <c r="AW220" s="26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57">
        <v>90</v>
      </c>
      <c r="K221" s="57">
        <v>90</v>
      </c>
      <c r="L221" s="57">
        <v>90</v>
      </c>
      <c r="M221" s="57">
        <v>23.9</v>
      </c>
      <c r="N221" s="63">
        <v>6.3</v>
      </c>
      <c r="O221" s="36">
        <v>1.7</v>
      </c>
      <c r="P221" s="57">
        <v>15</v>
      </c>
      <c r="Q221" s="63">
        <v>6.3</v>
      </c>
      <c r="R221" s="36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93">
        <f t="shared" si="71"/>
        <v>0.17748344370860927</v>
      </c>
      <c r="AT221" s="93">
        <f t="shared" si="72"/>
        <v>0.7121412803532009</v>
      </c>
      <c r="AU221" s="93">
        <f t="shared" si="73"/>
        <v>0.11037527593818984</v>
      </c>
      <c r="AV221" s="26">
        <f t="shared" si="74"/>
        <v>7.0671378091872794E-2</v>
      </c>
      <c r="AW221" s="26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57">
        <v>90</v>
      </c>
      <c r="K222" s="57">
        <v>90</v>
      </c>
      <c r="L222" s="57">
        <v>90</v>
      </c>
      <c r="M222" s="57">
        <v>25.1</v>
      </c>
      <c r="N222" s="63">
        <v>6.4</v>
      </c>
      <c r="O222" s="36">
        <v>1.22</v>
      </c>
      <c r="P222" s="57">
        <v>10</v>
      </c>
      <c r="Q222" s="63">
        <v>6.5</v>
      </c>
      <c r="R222" s="36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93">
        <f t="shared" si="71"/>
        <v>0.16501933820369574</v>
      </c>
      <c r="AT222" s="93">
        <f t="shared" si="72"/>
        <v>0.72754619681993982</v>
      </c>
      <c r="AU222" s="93">
        <f t="shared" si="73"/>
        <v>0.10743446497636441</v>
      </c>
      <c r="AV222" s="26">
        <f t="shared" si="74"/>
        <v>7.0796460176991149E-2</v>
      </c>
      <c r="AW222" s="26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57">
        <v>90</v>
      </c>
      <c r="K223" s="57">
        <v>90</v>
      </c>
      <c r="L223" s="57">
        <v>90</v>
      </c>
      <c r="M223" s="57">
        <v>24.9</v>
      </c>
      <c r="N223" s="63">
        <v>6.4</v>
      </c>
      <c r="O223" s="36">
        <v>1.33</v>
      </c>
      <c r="P223" s="57">
        <v>10</v>
      </c>
      <c r="Q223" s="63">
        <v>6.3</v>
      </c>
      <c r="R223" s="36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93">
        <f t="shared" si="71"/>
        <v>0.17858729453576189</v>
      </c>
      <c r="AT223" s="93">
        <f t="shared" si="72"/>
        <v>0.71079520213238556</v>
      </c>
      <c r="AU223" s="93">
        <f t="shared" si="73"/>
        <v>0.11061750333185251</v>
      </c>
      <c r="AV223" s="26">
        <f t="shared" si="74"/>
        <v>6.9204152249134954E-2</v>
      </c>
      <c r="AW223" s="26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57">
        <v>90</v>
      </c>
      <c r="K224" s="57">
        <v>90</v>
      </c>
      <c r="L224" s="57">
        <v>90</v>
      </c>
      <c r="M224" s="57">
        <v>24.6</v>
      </c>
      <c r="N224" s="63">
        <v>6.4</v>
      </c>
      <c r="O224" s="36">
        <v>1.31</v>
      </c>
      <c r="P224" s="57">
        <v>7</v>
      </c>
      <c r="Q224" s="63">
        <v>6.4</v>
      </c>
      <c r="R224" s="36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93">
        <f t="shared" si="71"/>
        <v>0.17073170731707318</v>
      </c>
      <c r="AT224" s="93">
        <f t="shared" si="72"/>
        <v>0.72038327526132406</v>
      </c>
      <c r="AU224" s="93">
        <f t="shared" si="73"/>
        <v>0.10888501742160278</v>
      </c>
      <c r="AV224" s="26">
        <f t="shared" si="74"/>
        <v>6.3604240282685506E-2</v>
      </c>
      <c r="AW224" s="26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58">
        <v>90</v>
      </c>
      <c r="K225" s="58">
        <v>90</v>
      </c>
      <c r="L225" s="58">
        <v>90</v>
      </c>
      <c r="M225" s="58">
        <v>24.2</v>
      </c>
      <c r="N225" s="64">
        <v>6.5</v>
      </c>
      <c r="O225" s="37">
        <v>1.29</v>
      </c>
      <c r="P225" s="58">
        <v>7</v>
      </c>
      <c r="Q225" s="64">
        <v>6.4</v>
      </c>
      <c r="R225" s="37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93">
        <f t="shared" si="71"/>
        <v>0.17649647887323944</v>
      </c>
      <c r="AT225" s="93">
        <f t="shared" si="72"/>
        <v>0.71390845070422537</v>
      </c>
      <c r="AU225" s="93">
        <f t="shared" si="73"/>
        <v>0.10959507042253522</v>
      </c>
      <c r="AV225" s="26">
        <f t="shared" si="74"/>
        <v>7.1111111111111111E-2</v>
      </c>
      <c r="AW225" s="26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59">
        <v>90</v>
      </c>
      <c r="K226" s="59">
        <v>90</v>
      </c>
      <c r="L226" s="59">
        <v>90</v>
      </c>
      <c r="M226" s="59">
        <v>24.1</v>
      </c>
      <c r="N226" s="65">
        <v>6.5</v>
      </c>
      <c r="O226" s="38">
        <v>1.32</v>
      </c>
      <c r="P226" s="59">
        <v>10</v>
      </c>
      <c r="Q226" s="65">
        <v>6.8</v>
      </c>
      <c r="R226" s="38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93">
        <f t="shared" si="71"/>
        <v>0.17450549450549452</v>
      </c>
      <c r="AT226" s="93">
        <f t="shared" si="72"/>
        <v>0.71560439560439559</v>
      </c>
      <c r="AU226" s="93">
        <f t="shared" si="73"/>
        <v>0.10989010989010989</v>
      </c>
      <c r="AV226" s="26">
        <f t="shared" si="74"/>
        <v>7.2678809418036422E-2</v>
      </c>
      <c r="AW226" s="26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57">
        <v>90</v>
      </c>
      <c r="K227" s="57">
        <v>90</v>
      </c>
      <c r="L227" s="57">
        <v>90</v>
      </c>
      <c r="M227" s="57">
        <v>25.2</v>
      </c>
      <c r="N227" s="63">
        <v>6.5</v>
      </c>
      <c r="O227" s="36">
        <v>1.44</v>
      </c>
      <c r="P227" s="57">
        <v>10</v>
      </c>
      <c r="Q227" s="63">
        <v>6.8</v>
      </c>
      <c r="R227" s="36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93">
        <f t="shared" si="71"/>
        <v>0.17027863777089783</v>
      </c>
      <c r="AT227" s="93">
        <f t="shared" si="72"/>
        <v>0.71915081822202565</v>
      </c>
      <c r="AU227" s="93">
        <f t="shared" si="73"/>
        <v>0.11057054400707651</v>
      </c>
      <c r="AV227" s="26">
        <f t="shared" si="74"/>
        <v>7.12784588441331E-2</v>
      </c>
      <c r="AW227" s="26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57">
        <v>90</v>
      </c>
      <c r="K228" s="57">
        <v>90</v>
      </c>
      <c r="L228" s="57">
        <v>90</v>
      </c>
      <c r="M228" s="57">
        <v>26</v>
      </c>
      <c r="N228" s="63">
        <v>6.5</v>
      </c>
      <c r="O228" s="36">
        <v>1.41</v>
      </c>
      <c r="P228" s="57">
        <v>9</v>
      </c>
      <c r="Q228" s="63">
        <v>6.5</v>
      </c>
      <c r="R228" s="36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93">
        <f t="shared" si="71"/>
        <v>0.1650485436893204</v>
      </c>
      <c r="AT228" s="93">
        <f t="shared" si="72"/>
        <v>0.7298438159560996</v>
      </c>
      <c r="AU228" s="93">
        <f t="shared" si="73"/>
        <v>0.10510764035457999</v>
      </c>
      <c r="AV228" s="26">
        <f t="shared" si="74"/>
        <v>8.1019108280254784E-2</v>
      </c>
      <c r="AW228" s="26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57">
        <v>90</v>
      </c>
      <c r="K229" s="57">
        <v>90</v>
      </c>
      <c r="L229" s="57">
        <v>90</v>
      </c>
      <c r="M229" s="57">
        <v>26.7</v>
      </c>
      <c r="N229" s="63">
        <v>6.3</v>
      </c>
      <c r="O229" s="36">
        <v>1.58</v>
      </c>
      <c r="P229" s="57">
        <v>13</v>
      </c>
      <c r="Q229" s="63">
        <v>7.7</v>
      </c>
      <c r="R229" s="36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93">
        <f t="shared" si="71"/>
        <v>0.17526690391459074</v>
      </c>
      <c r="AT229" s="93">
        <f t="shared" si="72"/>
        <v>0.71396797153024916</v>
      </c>
      <c r="AU229" s="93">
        <f t="shared" si="73"/>
        <v>0.11076512455516015</v>
      </c>
      <c r="AV229" s="26">
        <f t="shared" si="74"/>
        <v>7.320490367775831E-2</v>
      </c>
      <c r="AW229" s="26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57">
        <v>90</v>
      </c>
      <c r="K230" s="57">
        <v>90</v>
      </c>
      <c r="L230" s="57">
        <v>90</v>
      </c>
      <c r="M230" s="57">
        <v>25.9</v>
      </c>
      <c r="N230" s="63">
        <v>6.3</v>
      </c>
      <c r="O230" s="36">
        <v>1.55</v>
      </c>
      <c r="P230" s="57">
        <v>11</v>
      </c>
      <c r="Q230" s="63">
        <v>7.2</v>
      </c>
      <c r="R230" s="36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93">
        <f t="shared" si="71"/>
        <v>0.17310252996005326</v>
      </c>
      <c r="AT230" s="93">
        <f t="shared" si="72"/>
        <v>0.71726586773191303</v>
      </c>
      <c r="AU230" s="93">
        <f t="shared" si="73"/>
        <v>0.10963160230803373</v>
      </c>
      <c r="AV230" s="26">
        <f t="shared" si="74"/>
        <v>7.2920353982300887E-2</v>
      </c>
      <c r="AW230" s="26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57">
        <v>90</v>
      </c>
      <c r="K231" s="57">
        <v>90</v>
      </c>
      <c r="L231" s="57">
        <v>90</v>
      </c>
      <c r="M231" s="57">
        <v>25.3</v>
      </c>
      <c r="N231" s="63">
        <v>6.4</v>
      </c>
      <c r="O231" s="36">
        <v>1.36</v>
      </c>
      <c r="P231" s="57">
        <v>10</v>
      </c>
      <c r="Q231" s="63">
        <v>6.4</v>
      </c>
      <c r="R231" s="36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93">
        <f t="shared" si="71"/>
        <v>0.18068535825545171</v>
      </c>
      <c r="AT231" s="93">
        <f t="shared" si="72"/>
        <v>0.73030707610146861</v>
      </c>
      <c r="AU231" s="93">
        <f t="shared" si="73"/>
        <v>8.9007565643079656E-2</v>
      </c>
      <c r="AV231" s="26">
        <f t="shared" si="74"/>
        <v>7.0237050043898158E-2</v>
      </c>
      <c r="AW231" s="26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57">
        <v>90</v>
      </c>
      <c r="K232" s="57">
        <v>90</v>
      </c>
      <c r="L232" s="57">
        <v>90</v>
      </c>
      <c r="M232" s="57">
        <v>25.1</v>
      </c>
      <c r="N232" s="63">
        <v>6.3</v>
      </c>
      <c r="O232" s="36">
        <v>1.45</v>
      </c>
      <c r="P232" s="57">
        <v>12</v>
      </c>
      <c r="Q232" s="63">
        <v>6.9</v>
      </c>
      <c r="R232" s="36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93">
        <f t="shared" si="71"/>
        <v>0.17777777777777778</v>
      </c>
      <c r="AT232" s="93">
        <f t="shared" si="72"/>
        <v>0.73377777777777775</v>
      </c>
      <c r="AU232" s="93">
        <f t="shared" si="73"/>
        <v>8.8444444444444451E-2</v>
      </c>
      <c r="AV232" s="26">
        <f t="shared" si="74"/>
        <v>7.1047957371225573E-2</v>
      </c>
      <c r="AW232" s="26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57">
        <v>90</v>
      </c>
      <c r="K233" s="57">
        <v>90</v>
      </c>
      <c r="L233" s="57">
        <v>90</v>
      </c>
      <c r="M233" s="57">
        <v>24.6</v>
      </c>
      <c r="N233" s="63">
        <v>6.2</v>
      </c>
      <c r="O233" s="36">
        <v>1.35</v>
      </c>
      <c r="P233" s="57">
        <v>10</v>
      </c>
      <c r="Q233" s="63">
        <v>6.8</v>
      </c>
      <c r="R233" s="36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93">
        <f t="shared" si="71"/>
        <v>0.17694013303769401</v>
      </c>
      <c r="AT233" s="93">
        <f t="shared" si="72"/>
        <v>0.7348115299334812</v>
      </c>
      <c r="AU233" s="93">
        <f t="shared" si="73"/>
        <v>8.8248337028824828E-2</v>
      </c>
      <c r="AV233" s="26">
        <f t="shared" si="74"/>
        <v>7.032967032967033E-2</v>
      </c>
      <c r="AW233" s="26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57">
        <v>90</v>
      </c>
      <c r="K234" s="57">
        <v>90</v>
      </c>
      <c r="L234" s="57">
        <v>90</v>
      </c>
      <c r="M234" s="57">
        <v>24.3</v>
      </c>
      <c r="N234" s="63">
        <v>6.3</v>
      </c>
      <c r="O234" s="36">
        <v>1.4</v>
      </c>
      <c r="P234" s="57">
        <v>11</v>
      </c>
      <c r="Q234" s="63">
        <v>6.5</v>
      </c>
      <c r="R234" s="36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93">
        <f t="shared" si="71"/>
        <v>0.1114723641430562</v>
      </c>
      <c r="AT234" s="93">
        <f t="shared" si="72"/>
        <v>0.79563399907106358</v>
      </c>
      <c r="AU234" s="93">
        <f t="shared" si="73"/>
        <v>9.2893636785880168E-2</v>
      </c>
      <c r="AV234" s="26">
        <f t="shared" si="74"/>
        <v>7.0422535211267609E-2</v>
      </c>
      <c r="AW234" s="26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58">
        <v>90</v>
      </c>
      <c r="K235" s="58">
        <v>90</v>
      </c>
      <c r="L235" s="58">
        <v>90</v>
      </c>
      <c r="M235" s="58">
        <v>24.1</v>
      </c>
      <c r="N235" s="64">
        <v>6.4</v>
      </c>
      <c r="O235" s="37">
        <v>1.33</v>
      </c>
      <c r="P235" s="58">
        <v>10</v>
      </c>
      <c r="Q235" s="64">
        <v>6.5</v>
      </c>
      <c r="R235" s="37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93">
        <f t="shared" si="71"/>
        <v>0.11234396671289876</v>
      </c>
      <c r="AT235" s="93">
        <f t="shared" si="72"/>
        <v>0.79519186315302826</v>
      </c>
      <c r="AU235" s="93">
        <f t="shared" si="73"/>
        <v>9.2464170134073043E-2</v>
      </c>
      <c r="AV235" s="26">
        <f t="shared" si="74"/>
        <v>7.0484581497797363E-2</v>
      </c>
      <c r="AW235" s="26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59">
        <v>90</v>
      </c>
      <c r="K236" s="59">
        <v>90</v>
      </c>
      <c r="L236" s="59">
        <v>90</v>
      </c>
      <c r="M236" s="59">
        <v>24.2</v>
      </c>
      <c r="N236" s="65">
        <v>6.5</v>
      </c>
      <c r="O236" s="38">
        <v>1.22</v>
      </c>
      <c r="P236" s="59">
        <v>8</v>
      </c>
      <c r="Q236" s="65">
        <v>7.5</v>
      </c>
      <c r="R236" s="38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93">
        <f t="shared" si="71"/>
        <v>0.15630630630630632</v>
      </c>
      <c r="AT236" s="93">
        <f t="shared" si="72"/>
        <v>0.75360360360360357</v>
      </c>
      <c r="AU236" s="93">
        <f t="shared" si="73"/>
        <v>9.0090090090090086E-2</v>
      </c>
      <c r="AV236" s="26">
        <f t="shared" si="74"/>
        <v>7.026789635485288E-2</v>
      </c>
      <c r="AW236" s="26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57">
        <v>90</v>
      </c>
      <c r="K237" s="57">
        <v>90</v>
      </c>
      <c r="L237" s="57">
        <v>90</v>
      </c>
      <c r="M237" s="57">
        <v>25</v>
      </c>
      <c r="N237" s="63">
        <v>6.5</v>
      </c>
      <c r="O237" s="36">
        <v>1.3</v>
      </c>
      <c r="P237" s="57">
        <v>9</v>
      </c>
      <c r="Q237" s="63">
        <v>7.7</v>
      </c>
      <c r="R237" s="36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93">
        <f t="shared" si="71"/>
        <v>0.20928961748633879</v>
      </c>
      <c r="AT237" s="93">
        <f t="shared" si="72"/>
        <v>0.6683060109289618</v>
      </c>
      <c r="AU237" s="93">
        <f t="shared" si="73"/>
        <v>0.12240437158469945</v>
      </c>
      <c r="AV237" s="26">
        <f t="shared" si="74"/>
        <v>9.03954802259887E-2</v>
      </c>
      <c r="AW237" s="26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57">
        <v>90</v>
      </c>
      <c r="K238" s="57">
        <v>90</v>
      </c>
      <c r="L238" s="57">
        <v>90</v>
      </c>
      <c r="M238" s="57">
        <v>25.2</v>
      </c>
      <c r="N238" s="63">
        <v>6.5</v>
      </c>
      <c r="O238" s="36">
        <v>1.7</v>
      </c>
      <c r="P238" s="57">
        <v>10</v>
      </c>
      <c r="Q238" s="63">
        <v>7.7</v>
      </c>
      <c r="R238" s="36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93">
        <f t="shared" si="71"/>
        <v>0.20810514786418402</v>
      </c>
      <c r="AT238" s="93">
        <f t="shared" si="72"/>
        <v>0.66867469879518071</v>
      </c>
      <c r="AU238" s="93">
        <f t="shared" si="73"/>
        <v>0.12322015334063527</v>
      </c>
      <c r="AV238" s="26">
        <f t="shared" si="74"/>
        <v>9.0497737556561084E-2</v>
      </c>
      <c r="AW238" s="26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57">
        <v>90</v>
      </c>
      <c r="K239" s="57">
        <v>90</v>
      </c>
      <c r="L239" s="57">
        <v>90</v>
      </c>
      <c r="M239" s="57">
        <v>26</v>
      </c>
      <c r="N239" s="63">
        <v>6.4</v>
      </c>
      <c r="O239" s="36">
        <v>1.91</v>
      </c>
      <c r="P239" s="57">
        <v>11</v>
      </c>
      <c r="Q239" s="63">
        <v>7.5</v>
      </c>
      <c r="R239" s="36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93">
        <f t="shared" si="71"/>
        <v>0.18328690807799444</v>
      </c>
      <c r="AT239" s="93">
        <f t="shared" si="72"/>
        <v>0.69247910863509754</v>
      </c>
      <c r="AU239" s="93">
        <f t="shared" si="73"/>
        <v>0.12423398328690807</v>
      </c>
      <c r="AV239" s="26">
        <f t="shared" si="74"/>
        <v>9.556313993174062E-2</v>
      </c>
      <c r="AW239" s="26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57">
        <v>90</v>
      </c>
      <c r="K240" s="57">
        <v>90</v>
      </c>
      <c r="L240" s="57">
        <v>90</v>
      </c>
      <c r="M240" s="57">
        <v>26.1</v>
      </c>
      <c r="N240" s="63">
        <v>6.4</v>
      </c>
      <c r="O240" s="36">
        <v>1.82</v>
      </c>
      <c r="P240" s="57">
        <v>10</v>
      </c>
      <c r="Q240" s="63">
        <v>7.4</v>
      </c>
      <c r="R240" s="36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93">
        <f t="shared" si="71"/>
        <v>0.18811881188118812</v>
      </c>
      <c r="AT240" s="93">
        <f t="shared" si="72"/>
        <v>0.68142108328479911</v>
      </c>
      <c r="AU240" s="93">
        <f t="shared" si="73"/>
        <v>0.13046010483401282</v>
      </c>
      <c r="AV240" s="26">
        <f t="shared" si="74"/>
        <v>9.400705052878966E-2</v>
      </c>
      <c r="AW240" s="26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57">
        <v>90</v>
      </c>
      <c r="K241" s="57">
        <v>90</v>
      </c>
      <c r="L241" s="57">
        <v>90</v>
      </c>
      <c r="M241" s="57">
        <v>25.8</v>
      </c>
      <c r="N241" s="63">
        <v>6.5</v>
      </c>
      <c r="O241" s="36">
        <v>1.77</v>
      </c>
      <c r="P241" s="57">
        <v>10</v>
      </c>
      <c r="Q241" s="63">
        <v>7.1</v>
      </c>
      <c r="R241" s="36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93">
        <f t="shared" si="71"/>
        <v>0.17816091954022989</v>
      </c>
      <c r="AT241" s="93">
        <f t="shared" si="72"/>
        <v>0.6954022988505747</v>
      </c>
      <c r="AU241" s="93">
        <f t="shared" si="73"/>
        <v>0.12643678160919541</v>
      </c>
      <c r="AV241" s="26">
        <f t="shared" si="74"/>
        <v>9.075439591605218E-2</v>
      </c>
      <c r="AW241" s="26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57">
        <v>90</v>
      </c>
      <c r="K242" s="57">
        <v>90</v>
      </c>
      <c r="L242" s="57">
        <v>90</v>
      </c>
      <c r="M242" s="57">
        <v>24.9</v>
      </c>
      <c r="N242" s="63">
        <v>6.4</v>
      </c>
      <c r="O242" s="36">
        <v>1.33</v>
      </c>
      <c r="P242" s="57">
        <v>9</v>
      </c>
      <c r="Q242" s="63">
        <v>6.8</v>
      </c>
      <c r="R242" s="36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93">
        <f t="shared" si="71"/>
        <v>0.17616875712656785</v>
      </c>
      <c r="AT242" s="93">
        <f t="shared" si="72"/>
        <v>0.69840364880273664</v>
      </c>
      <c r="AU242" s="93">
        <f t="shared" si="73"/>
        <v>0.12542759407069556</v>
      </c>
      <c r="AV242" s="26">
        <f t="shared" si="74"/>
        <v>9.1064314171883889E-2</v>
      </c>
      <c r="AW242" s="26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57">
        <v>90</v>
      </c>
      <c r="K243" s="57">
        <v>90</v>
      </c>
      <c r="L243" s="57">
        <v>90</v>
      </c>
      <c r="M243" s="57">
        <v>24.7</v>
      </c>
      <c r="N243" s="63">
        <v>6.5</v>
      </c>
      <c r="O243" s="36">
        <v>1.35</v>
      </c>
      <c r="P243" s="57">
        <v>10</v>
      </c>
      <c r="Q243" s="63">
        <v>7</v>
      </c>
      <c r="R243" s="36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93">
        <f t="shared" si="71"/>
        <v>0.17683970336565888</v>
      </c>
      <c r="AT243" s="93">
        <f t="shared" si="72"/>
        <v>0.69594980034227039</v>
      </c>
      <c r="AU243" s="93">
        <f t="shared" si="73"/>
        <v>0.12721049629207073</v>
      </c>
      <c r="AV243" s="26">
        <f t="shared" si="74"/>
        <v>9.4915254237288138E-2</v>
      </c>
      <c r="AW243" s="26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57">
        <v>90</v>
      </c>
      <c r="K244" s="57">
        <v>90</v>
      </c>
      <c r="L244" s="57">
        <v>90</v>
      </c>
      <c r="M244" s="57">
        <v>24.4</v>
      </c>
      <c r="N244" s="63">
        <v>6.5</v>
      </c>
      <c r="O244" s="36">
        <v>1.32</v>
      </c>
      <c r="P244" s="57">
        <v>10</v>
      </c>
      <c r="Q244" s="63">
        <v>6.1</v>
      </c>
      <c r="R244" s="36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93">
        <f t="shared" si="71"/>
        <v>0.18207762557077625</v>
      </c>
      <c r="AT244" s="93">
        <f t="shared" si="72"/>
        <v>0.69121004566210043</v>
      </c>
      <c r="AU244" s="93">
        <f t="shared" si="73"/>
        <v>0.12671232876712329</v>
      </c>
      <c r="AV244" s="26">
        <f t="shared" si="74"/>
        <v>9.3333333333333338E-2</v>
      </c>
      <c r="AW244" s="26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57">
        <v>90</v>
      </c>
      <c r="K245" s="57">
        <v>90</v>
      </c>
      <c r="L245" s="57">
        <v>90</v>
      </c>
      <c r="M245" s="57">
        <v>24.3</v>
      </c>
      <c r="N245" s="63">
        <v>6.4</v>
      </c>
      <c r="O245" s="36">
        <v>1.41</v>
      </c>
      <c r="P245" s="57">
        <v>10</v>
      </c>
      <c r="Q245" s="63">
        <v>6.3</v>
      </c>
      <c r="R245" s="36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93">
        <f t="shared" si="71"/>
        <v>0.17667436489607391</v>
      </c>
      <c r="AT245" s="93">
        <f t="shared" si="72"/>
        <v>0.69457274826789839</v>
      </c>
      <c r="AU245" s="93">
        <f t="shared" si="73"/>
        <v>0.1287528868360277</v>
      </c>
      <c r="AV245" s="26">
        <f t="shared" si="74"/>
        <v>9.2920353982300891E-2</v>
      </c>
      <c r="AW245" s="26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58">
        <v>90</v>
      </c>
      <c r="K246" s="58">
        <v>80</v>
      </c>
      <c r="L246" s="58">
        <v>70</v>
      </c>
      <c r="M246" s="58">
        <v>24.2</v>
      </c>
      <c r="N246" s="64">
        <v>6.6</v>
      </c>
      <c r="O246" s="37">
        <v>1.48</v>
      </c>
      <c r="P246" s="58">
        <v>10</v>
      </c>
      <c r="Q246" s="64">
        <v>6.5</v>
      </c>
      <c r="R246" s="37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93">
        <f t="shared" si="71"/>
        <v>0.17824601366742596</v>
      </c>
      <c r="AT246" s="93">
        <f t="shared" si="72"/>
        <v>0.69476082004555806</v>
      </c>
      <c r="AU246" s="93">
        <f t="shared" si="73"/>
        <v>0.12699316628701596</v>
      </c>
      <c r="AV246" s="26">
        <f t="shared" si="74"/>
        <v>9.2511013215859028E-2</v>
      </c>
      <c r="AW246" s="26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57">
        <v>90</v>
      </c>
      <c r="K247" s="57">
        <v>90</v>
      </c>
      <c r="L247" s="57">
        <v>90</v>
      </c>
      <c r="M247" s="57">
        <v>25.5</v>
      </c>
      <c r="N247" s="63">
        <v>6.5</v>
      </c>
      <c r="O247" s="36">
        <v>2.42</v>
      </c>
      <c r="P247" s="57">
        <v>12</v>
      </c>
      <c r="Q247" s="63">
        <v>7.6</v>
      </c>
      <c r="R247" s="36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93">
        <f t="shared" si="71"/>
        <v>0.15343680709534369</v>
      </c>
      <c r="AT247" s="93">
        <f t="shared" si="72"/>
        <v>0.72682926829268291</v>
      </c>
      <c r="AU247" s="93">
        <f t="shared" si="73"/>
        <v>0.11973392461197339</v>
      </c>
      <c r="AV247" s="26">
        <f t="shared" si="74"/>
        <v>7.3651907058307764E-2</v>
      </c>
      <c r="AW247" s="26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57">
        <v>90</v>
      </c>
      <c r="K248" s="57">
        <v>90</v>
      </c>
      <c r="L248" s="57">
        <v>90</v>
      </c>
      <c r="M248" s="57">
        <v>25.3</v>
      </c>
      <c r="N248" s="63">
        <v>6.4</v>
      </c>
      <c r="O248" s="36">
        <v>2.4</v>
      </c>
      <c r="P248" s="57">
        <v>11</v>
      </c>
      <c r="Q248" s="63">
        <v>7.8</v>
      </c>
      <c r="R248" s="36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93">
        <f t="shared" si="71"/>
        <v>0.15568332596196374</v>
      </c>
      <c r="AT248" s="93">
        <f t="shared" si="72"/>
        <v>0.72534276868642189</v>
      </c>
      <c r="AU248" s="93">
        <f t="shared" si="73"/>
        <v>0.11897390535161433</v>
      </c>
      <c r="AV248" s="26">
        <f t="shared" si="74"/>
        <v>7.0457460453185128E-2</v>
      </c>
      <c r="AW248" s="26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57">
        <v>90</v>
      </c>
      <c r="K249" s="57">
        <v>90</v>
      </c>
      <c r="L249" s="57">
        <v>90</v>
      </c>
      <c r="M249" s="57">
        <v>25.1</v>
      </c>
      <c r="N249" s="63">
        <v>6.4</v>
      </c>
      <c r="O249" s="36">
        <v>1.49</v>
      </c>
      <c r="P249" s="57">
        <v>12</v>
      </c>
      <c r="Q249" s="63">
        <v>7.4</v>
      </c>
      <c r="R249" s="36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93">
        <f t="shared" si="71"/>
        <v>0.15404699738903394</v>
      </c>
      <c r="AT249" s="93">
        <f t="shared" si="72"/>
        <v>0.72845953002610964</v>
      </c>
      <c r="AU249" s="93">
        <f t="shared" si="73"/>
        <v>0.1174934725848564</v>
      </c>
      <c r="AV249" s="26">
        <f t="shared" si="74"/>
        <v>7.1764203331909443E-2</v>
      </c>
      <c r="AW249" s="26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57">
        <v>90</v>
      </c>
      <c r="K250" s="57">
        <v>90</v>
      </c>
      <c r="L250" s="57">
        <v>90</v>
      </c>
      <c r="M250" s="57">
        <v>27.3</v>
      </c>
      <c r="N250" s="63">
        <v>6.7</v>
      </c>
      <c r="O250" s="36">
        <v>1.3</v>
      </c>
      <c r="P250" s="57">
        <v>9</v>
      </c>
      <c r="Q250" s="63">
        <v>6.4</v>
      </c>
      <c r="R250" s="36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93">
        <f t="shared" si="71"/>
        <v>0.18235561618917689</v>
      </c>
      <c r="AT250" s="93">
        <f t="shared" si="72"/>
        <v>0.72669395179627105</v>
      </c>
      <c r="AU250" s="93">
        <f t="shared" si="73"/>
        <v>9.0950432014552066E-2</v>
      </c>
      <c r="AV250" s="26">
        <f t="shared" si="74"/>
        <v>7.8021978021978022E-2</v>
      </c>
      <c r="AW250" s="26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57">
        <v>90</v>
      </c>
      <c r="K251" s="57">
        <v>90</v>
      </c>
      <c r="L251" s="57">
        <v>90</v>
      </c>
      <c r="M251" s="57">
        <v>27</v>
      </c>
      <c r="N251" s="63">
        <v>6.7</v>
      </c>
      <c r="O251" s="36">
        <v>1.36</v>
      </c>
      <c r="P251" s="57">
        <v>9</v>
      </c>
      <c r="Q251" s="63">
        <v>6.3</v>
      </c>
      <c r="R251" s="36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93">
        <f t="shared" si="71"/>
        <v>0.18041704442429737</v>
      </c>
      <c r="AT251" s="93">
        <f t="shared" si="72"/>
        <v>0.72892112420670896</v>
      </c>
      <c r="AU251" s="93">
        <f t="shared" si="73"/>
        <v>9.0661831368993653E-2</v>
      </c>
      <c r="AV251" s="26">
        <f t="shared" si="74"/>
        <v>7.5714285714285706E-2</v>
      </c>
      <c r="AW251" s="26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57">
        <v>90</v>
      </c>
      <c r="K252" s="57">
        <v>90</v>
      </c>
      <c r="L252" s="57">
        <v>90</v>
      </c>
      <c r="M252" s="57">
        <v>26.8</v>
      </c>
      <c r="N252" s="63">
        <v>6.5</v>
      </c>
      <c r="O252" s="36">
        <v>1.35</v>
      </c>
      <c r="P252" s="57">
        <v>12</v>
      </c>
      <c r="Q252" s="63">
        <v>5.4</v>
      </c>
      <c r="R252" s="36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93">
        <f t="shared" si="71"/>
        <v>0.18706697459584296</v>
      </c>
      <c r="AT252" s="93">
        <f t="shared" si="72"/>
        <v>0.72055427251732107</v>
      </c>
      <c r="AU252" s="93">
        <f t="shared" si="73"/>
        <v>9.237875288683603E-2</v>
      </c>
      <c r="AV252" s="26">
        <f t="shared" si="74"/>
        <v>7.0144673388864529E-2</v>
      </c>
      <c r="AW252" s="26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57">
        <v>90</v>
      </c>
      <c r="K253" s="57">
        <v>90</v>
      </c>
      <c r="L253" s="57">
        <v>90</v>
      </c>
      <c r="M253" s="57">
        <v>26</v>
      </c>
      <c r="N253" s="63">
        <v>6.4</v>
      </c>
      <c r="O253" s="36">
        <v>1.44</v>
      </c>
      <c r="P253" s="57">
        <v>12</v>
      </c>
      <c r="Q253" s="63">
        <v>5.9</v>
      </c>
      <c r="R253" s="36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93">
        <f t="shared" si="71"/>
        <v>0.1741472172351885</v>
      </c>
      <c r="AT253" s="93">
        <f t="shared" si="72"/>
        <v>0.73608617594254933</v>
      </c>
      <c r="AU253" s="93">
        <f t="shared" si="73"/>
        <v>8.9766606822262118E-2</v>
      </c>
      <c r="AV253" s="26">
        <f t="shared" si="74"/>
        <v>7.4988733663812535E-2</v>
      </c>
      <c r="AW253" s="26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57">
        <v>90</v>
      </c>
      <c r="K254" s="57">
        <v>90</v>
      </c>
      <c r="L254" s="57">
        <v>90</v>
      </c>
      <c r="M254" s="57">
        <v>25.7</v>
      </c>
      <c r="N254" s="63">
        <v>6.4</v>
      </c>
      <c r="O254" s="36">
        <v>1.39</v>
      </c>
      <c r="P254" s="57">
        <v>10</v>
      </c>
      <c r="Q254" s="63">
        <v>5.6</v>
      </c>
      <c r="R254" s="36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93">
        <f t="shared" si="71"/>
        <v>0.17391304347826086</v>
      </c>
      <c r="AT254" s="93">
        <f t="shared" si="72"/>
        <v>0.73913043478260865</v>
      </c>
      <c r="AU254" s="93">
        <f t="shared" si="73"/>
        <v>8.6956521739130432E-2</v>
      </c>
      <c r="AV254" s="26">
        <f t="shared" si="74"/>
        <v>7.0391553013638364E-2</v>
      </c>
      <c r="AW254" s="26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57">
        <v>90</v>
      </c>
      <c r="K255" s="57">
        <v>90</v>
      </c>
      <c r="L255" s="57">
        <v>90</v>
      </c>
      <c r="M255" s="57">
        <v>25.3</v>
      </c>
      <c r="N255" s="63">
        <v>6.4</v>
      </c>
      <c r="O255" s="36">
        <v>1.54</v>
      </c>
      <c r="P255" s="57">
        <v>14</v>
      </c>
      <c r="Q255" s="63">
        <v>6.2</v>
      </c>
      <c r="R255" s="36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93">
        <f t="shared" si="71"/>
        <v>0.18140174072377463</v>
      </c>
      <c r="AT255" s="93">
        <f t="shared" si="72"/>
        <v>0.72743930371049015</v>
      </c>
      <c r="AU255" s="93">
        <f t="shared" si="73"/>
        <v>9.1158955565735222E-2</v>
      </c>
      <c r="AV255" s="26">
        <f t="shared" si="74"/>
        <v>7.4988733663812535E-2</v>
      </c>
      <c r="AW255" s="26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58">
        <v>90</v>
      </c>
      <c r="K256" s="58">
        <v>90</v>
      </c>
      <c r="L256" s="58">
        <v>90</v>
      </c>
      <c r="M256" s="58">
        <v>24.4</v>
      </c>
      <c r="N256" s="64">
        <v>6.4</v>
      </c>
      <c r="O256" s="37">
        <v>1.45</v>
      </c>
      <c r="P256" s="58">
        <v>13</v>
      </c>
      <c r="Q256" s="64">
        <v>5.2</v>
      </c>
      <c r="R256" s="37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93">
        <f t="shared" si="71"/>
        <v>0.1738013698630137</v>
      </c>
      <c r="AT256" s="93">
        <f t="shared" si="72"/>
        <v>0.74058219178082196</v>
      </c>
      <c r="AU256" s="93">
        <f t="shared" si="73"/>
        <v>8.5616438356164379E-2</v>
      </c>
      <c r="AV256" s="26">
        <f t="shared" si="74"/>
        <v>7.3142857142857148E-2</v>
      </c>
      <c r="AW256" s="26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59">
        <v>90</v>
      </c>
      <c r="K257" s="59">
        <v>90</v>
      </c>
      <c r="L257" s="59">
        <v>90</v>
      </c>
      <c r="M257" s="59">
        <v>24.7</v>
      </c>
      <c r="N257" s="65">
        <v>6.4</v>
      </c>
      <c r="O257" s="38">
        <v>1.39</v>
      </c>
      <c r="P257" s="59">
        <v>12</v>
      </c>
      <c r="Q257" s="65">
        <v>5.4</v>
      </c>
      <c r="R257" s="38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93">
        <f t="shared" si="71"/>
        <v>0.15405046480743692</v>
      </c>
      <c r="AT257" s="93">
        <f t="shared" si="72"/>
        <v>0.75741478530323147</v>
      </c>
      <c r="AU257" s="93">
        <f t="shared" si="73"/>
        <v>8.8534749889331563E-2</v>
      </c>
      <c r="AV257" s="26">
        <f t="shared" si="74"/>
        <v>7.0175438596491224E-2</v>
      </c>
      <c r="AW257" s="26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57">
        <v>90</v>
      </c>
      <c r="K258" s="57">
        <v>90</v>
      </c>
      <c r="L258" s="57">
        <v>90</v>
      </c>
      <c r="M258" s="57">
        <v>25</v>
      </c>
      <c r="N258" s="63">
        <v>6.3</v>
      </c>
      <c r="O258" s="36">
        <v>1.56</v>
      </c>
      <c r="P258" s="57">
        <v>11</v>
      </c>
      <c r="Q258" s="63">
        <v>6.2</v>
      </c>
      <c r="R258" s="36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93">
        <f t="shared" ref="AS258:AS321" si="94">C258/AR258</f>
        <v>0.15599639314697927</v>
      </c>
      <c r="AT258" s="93">
        <f t="shared" ref="AT258:AT321" si="95">D258/AR258</f>
        <v>0.75473399458972046</v>
      </c>
      <c r="AU258" s="93">
        <f t="shared" ref="AU258:AU321" si="96">E258/AR258</f>
        <v>8.9269612263300269E-2</v>
      </c>
      <c r="AV258" s="26">
        <f t="shared" ref="AV258:AV321" si="97">IF(AND(F258&lt;&gt;"",Z258&lt;&gt;""),AB258/(F258/2/Z258),"")</f>
        <v>7.3698756333486867E-2</v>
      </c>
      <c r="AW258" s="26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57">
        <v>90</v>
      </c>
      <c r="K259" s="57">
        <v>90</v>
      </c>
      <c r="L259" s="57">
        <v>90</v>
      </c>
      <c r="M259" s="57">
        <v>25.4</v>
      </c>
      <c r="N259" s="63">
        <v>5.3</v>
      </c>
      <c r="O259" s="36">
        <v>1.49</v>
      </c>
      <c r="P259" s="57">
        <v>11</v>
      </c>
      <c r="Q259" s="63">
        <v>6.5</v>
      </c>
      <c r="R259" s="36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93">
        <f t="shared" si="94"/>
        <v>0.15322217214961695</v>
      </c>
      <c r="AT259" s="93">
        <f t="shared" si="95"/>
        <v>0.75709779179810721</v>
      </c>
      <c r="AU259" s="93">
        <f t="shared" si="96"/>
        <v>8.9680036052275799E-2</v>
      </c>
      <c r="AV259" s="26">
        <f t="shared" si="97"/>
        <v>7.3563218390804597E-2</v>
      </c>
      <c r="AW259" s="26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57">
        <v>90</v>
      </c>
      <c r="K260" s="57">
        <v>90</v>
      </c>
      <c r="L260" s="57">
        <v>90</v>
      </c>
      <c r="M260" s="57">
        <v>27.5</v>
      </c>
      <c r="N260" s="63">
        <v>6.4</v>
      </c>
      <c r="O260" s="36">
        <v>1.33</v>
      </c>
      <c r="P260" s="57">
        <v>10</v>
      </c>
      <c r="Q260" s="63">
        <v>5.5</v>
      </c>
      <c r="R260" s="36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93">
        <f t="shared" si="94"/>
        <v>0.15892531876138433</v>
      </c>
      <c r="AT260" s="93">
        <f t="shared" si="95"/>
        <v>0.75</v>
      </c>
      <c r="AU260" s="93">
        <f t="shared" si="96"/>
        <v>9.107468123861566E-2</v>
      </c>
      <c r="AV260" s="26">
        <f t="shared" si="97"/>
        <v>7.3971336107258437E-2</v>
      </c>
      <c r="AW260" s="26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57">
        <v>90</v>
      </c>
      <c r="K261" s="57">
        <v>90</v>
      </c>
      <c r="L261" s="57">
        <v>90</v>
      </c>
      <c r="M261" s="57">
        <v>26.9</v>
      </c>
      <c r="N261" s="63">
        <v>6.4</v>
      </c>
      <c r="O261" s="36">
        <v>1.35</v>
      </c>
      <c r="P261" s="57">
        <v>9</v>
      </c>
      <c r="Q261" s="63">
        <v>6.4</v>
      </c>
      <c r="R261" s="36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93">
        <f t="shared" si="94"/>
        <v>0.15054249547920434</v>
      </c>
      <c r="AT261" s="93">
        <f t="shared" si="95"/>
        <v>0.75904159132007232</v>
      </c>
      <c r="AU261" s="93">
        <f t="shared" si="96"/>
        <v>9.0415913200723327E-2</v>
      </c>
      <c r="AV261" s="26">
        <f t="shared" si="97"/>
        <v>7.5512995896032831E-2</v>
      </c>
      <c r="AW261" s="26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57">
        <v>90</v>
      </c>
      <c r="K262" s="57">
        <v>90</v>
      </c>
      <c r="L262" s="57">
        <v>90</v>
      </c>
      <c r="M262" s="57">
        <v>26</v>
      </c>
      <c r="N262" s="63">
        <v>6.4</v>
      </c>
      <c r="O262" s="36">
        <v>1.47</v>
      </c>
      <c r="P262" s="57">
        <v>11</v>
      </c>
      <c r="Q262" s="63">
        <v>6.8</v>
      </c>
      <c r="R262" s="36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93">
        <f t="shared" si="94"/>
        <v>0.11756440281030445</v>
      </c>
      <c r="AT262" s="93">
        <f t="shared" si="95"/>
        <v>0.78922716627634659</v>
      </c>
      <c r="AU262" s="93">
        <f t="shared" si="96"/>
        <v>9.3208430913348947E-2</v>
      </c>
      <c r="AV262" s="26">
        <f t="shared" si="97"/>
        <v>7.6328941390277141E-2</v>
      </c>
      <c r="AW262" s="26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57">
        <v>90</v>
      </c>
      <c r="K263" s="57">
        <v>90</v>
      </c>
      <c r="L263" s="57">
        <v>90</v>
      </c>
      <c r="M263" s="57">
        <v>25.9</v>
      </c>
      <c r="N263" s="63">
        <v>6.4</v>
      </c>
      <c r="O263" s="36">
        <v>1.48</v>
      </c>
      <c r="P263" s="57">
        <v>10</v>
      </c>
      <c r="Q263" s="63">
        <v>6.7</v>
      </c>
      <c r="R263" s="36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93">
        <f t="shared" si="94"/>
        <v>0.15487914055505819</v>
      </c>
      <c r="AT263" s="93">
        <f t="shared" si="95"/>
        <v>0.75559534467323186</v>
      </c>
      <c r="AU263" s="93">
        <f t="shared" si="96"/>
        <v>8.9525514771709933E-2</v>
      </c>
      <c r="AV263" s="26">
        <f t="shared" si="97"/>
        <v>7.2759073021425452E-2</v>
      </c>
      <c r="AW263" s="26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57">
        <v>90</v>
      </c>
      <c r="K264" s="57">
        <v>90</v>
      </c>
      <c r="L264" s="57">
        <v>90</v>
      </c>
      <c r="M264" s="57">
        <v>25.4</v>
      </c>
      <c r="N264" s="63">
        <v>6.4</v>
      </c>
      <c r="O264" s="36">
        <v>1.41</v>
      </c>
      <c r="P264" s="57">
        <v>10</v>
      </c>
      <c r="Q264" s="63">
        <v>6.2</v>
      </c>
      <c r="R264" s="36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93">
        <f t="shared" si="94"/>
        <v>0.15705128205128205</v>
      </c>
      <c r="AT264" s="93">
        <f t="shared" si="95"/>
        <v>0.75137362637362637</v>
      </c>
      <c r="AU264" s="93">
        <f t="shared" si="96"/>
        <v>9.1575091575091569E-2</v>
      </c>
      <c r="AV264" s="26">
        <f t="shared" si="97"/>
        <v>7.237422771403354E-2</v>
      </c>
      <c r="AW264" s="26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58">
        <v>90</v>
      </c>
      <c r="K265" s="58">
        <v>90</v>
      </c>
      <c r="L265" s="58">
        <v>90</v>
      </c>
      <c r="M265" s="58">
        <v>25.2</v>
      </c>
      <c r="N265" s="64">
        <v>6.3</v>
      </c>
      <c r="O265" s="37">
        <v>1.36</v>
      </c>
      <c r="P265" s="58">
        <v>10</v>
      </c>
      <c r="Q265" s="64">
        <v>5.9</v>
      </c>
      <c r="R265" s="37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93">
        <f t="shared" si="94"/>
        <v>0.15646258503401361</v>
      </c>
      <c r="AT265" s="93">
        <f t="shared" si="95"/>
        <v>0.75283446712018143</v>
      </c>
      <c r="AU265" s="93">
        <f t="shared" si="96"/>
        <v>9.0702947845804988E-2</v>
      </c>
      <c r="AV265" s="26">
        <f t="shared" si="97"/>
        <v>7.436012572968119E-2</v>
      </c>
      <c r="AW265" s="26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59">
        <v>90</v>
      </c>
      <c r="K266" s="59">
        <v>90</v>
      </c>
      <c r="L266" s="59">
        <v>90</v>
      </c>
      <c r="M266" s="59">
        <v>25.1</v>
      </c>
      <c r="N266" s="65">
        <v>6.3</v>
      </c>
      <c r="O266" s="38">
        <v>1.26</v>
      </c>
      <c r="P266" s="59">
        <v>11</v>
      </c>
      <c r="Q266" s="65">
        <v>5.8</v>
      </c>
      <c r="R266" s="38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93">
        <f t="shared" si="94"/>
        <v>0.15447154471544716</v>
      </c>
      <c r="AT266" s="93">
        <f t="shared" si="95"/>
        <v>0.75564588979223124</v>
      </c>
      <c r="AU266" s="93">
        <f t="shared" si="96"/>
        <v>8.9882565492321584E-2</v>
      </c>
      <c r="AV266" s="26">
        <f t="shared" si="97"/>
        <v>7.4825870646766171E-2</v>
      </c>
      <c r="AW266" s="26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57">
        <v>90</v>
      </c>
      <c r="K267" s="57">
        <v>90</v>
      </c>
      <c r="L267" s="57">
        <v>90</v>
      </c>
      <c r="M267" s="57">
        <v>25</v>
      </c>
      <c r="N267" s="63">
        <v>6.4</v>
      </c>
      <c r="O267" s="36">
        <v>1.25</v>
      </c>
      <c r="P267" s="57">
        <v>11</v>
      </c>
      <c r="Q267" s="63">
        <v>6.1</v>
      </c>
      <c r="R267" s="36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93">
        <f t="shared" si="94"/>
        <v>0.1625944024877832</v>
      </c>
      <c r="AT267" s="93">
        <f t="shared" si="95"/>
        <v>0.74855619724566858</v>
      </c>
      <c r="AU267" s="93">
        <f t="shared" si="96"/>
        <v>8.8849400266548195E-2</v>
      </c>
      <c r="AV267" s="26">
        <f t="shared" si="97"/>
        <v>7.0921985815602842E-2</v>
      </c>
      <c r="AW267" s="26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57">
        <v>90</v>
      </c>
      <c r="K268" s="57">
        <v>90</v>
      </c>
      <c r="L268" s="57">
        <v>90</v>
      </c>
      <c r="M268" s="57">
        <v>26.1</v>
      </c>
      <c r="N268" s="63">
        <v>6.4</v>
      </c>
      <c r="O268" s="36">
        <v>1.31</v>
      </c>
      <c r="P268" s="57">
        <v>10</v>
      </c>
      <c r="Q268" s="63">
        <v>6.2</v>
      </c>
      <c r="R268" s="36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93">
        <f t="shared" si="94"/>
        <v>0.13362637362637364</v>
      </c>
      <c r="AT268" s="93">
        <f t="shared" si="95"/>
        <v>0.77846153846153843</v>
      </c>
      <c r="AU268" s="93">
        <f t="shared" si="96"/>
        <v>8.7912087912087919E-2</v>
      </c>
      <c r="AV268" s="26">
        <f t="shared" si="97"/>
        <v>7.7134986225895319E-2</v>
      </c>
      <c r="AW268" s="26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57">
        <v>90</v>
      </c>
      <c r="K269" s="57">
        <v>90</v>
      </c>
      <c r="L269" s="57">
        <v>90</v>
      </c>
      <c r="M269" s="57">
        <v>26.2</v>
      </c>
      <c r="N269" s="63">
        <v>6.4</v>
      </c>
      <c r="O269" s="36">
        <v>1.36</v>
      </c>
      <c r="P269" s="57">
        <v>11</v>
      </c>
      <c r="Q269" s="63">
        <v>6.4</v>
      </c>
      <c r="R269" s="36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93">
        <f t="shared" si="94"/>
        <v>0.1091077207582062</v>
      </c>
      <c r="AT269" s="93">
        <f t="shared" si="95"/>
        <v>0.7988904299583911</v>
      </c>
      <c r="AU269" s="93">
        <f t="shared" si="96"/>
        <v>9.2001849283402687E-2</v>
      </c>
      <c r="AV269" s="26">
        <f t="shared" si="97"/>
        <v>7.5547445255474452E-2</v>
      </c>
      <c r="AW269" s="26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57">
        <v>90</v>
      </c>
      <c r="K270" s="57">
        <v>90</v>
      </c>
      <c r="L270" s="57">
        <v>90</v>
      </c>
      <c r="M270" s="57">
        <v>25.9</v>
      </c>
      <c r="N270" s="63">
        <v>6.4</v>
      </c>
      <c r="O270" s="36">
        <v>1.4</v>
      </c>
      <c r="P270" s="57">
        <v>11</v>
      </c>
      <c r="Q270" s="63">
        <v>6</v>
      </c>
      <c r="R270" s="36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93">
        <f t="shared" si="94"/>
        <v>0.10714285714285714</v>
      </c>
      <c r="AT270" s="93">
        <f t="shared" si="95"/>
        <v>0.80244122965641951</v>
      </c>
      <c r="AU270" s="93">
        <f t="shared" si="96"/>
        <v>9.0415913200723327E-2</v>
      </c>
      <c r="AV270" s="26">
        <f t="shared" si="97"/>
        <v>7.2727272727272724E-2</v>
      </c>
      <c r="AW270" s="26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57">
        <v>90</v>
      </c>
      <c r="K271" s="57">
        <v>90</v>
      </c>
      <c r="L271" s="57">
        <v>90</v>
      </c>
      <c r="M271" s="57">
        <v>26</v>
      </c>
      <c r="N271" s="63">
        <v>6.5</v>
      </c>
      <c r="O271" s="36">
        <v>1.41</v>
      </c>
      <c r="P271" s="57">
        <v>11</v>
      </c>
      <c r="Q271" s="63">
        <v>6.1</v>
      </c>
      <c r="R271" s="36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93">
        <f t="shared" si="94"/>
        <v>0.10286458333333333</v>
      </c>
      <c r="AT271" s="93">
        <f t="shared" si="95"/>
        <v>0.81032986111111116</v>
      </c>
      <c r="AU271" s="93">
        <f t="shared" si="96"/>
        <v>8.6805555555555552E-2</v>
      </c>
      <c r="AV271" s="26">
        <f t="shared" si="97"/>
        <v>7.123775601068566E-2</v>
      </c>
      <c r="AW271" s="26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57">
        <v>90</v>
      </c>
      <c r="K272" s="57">
        <v>90</v>
      </c>
      <c r="L272" s="57">
        <v>90</v>
      </c>
      <c r="M272" s="57">
        <v>24.9</v>
      </c>
      <c r="N272" s="63">
        <v>6.5</v>
      </c>
      <c r="O272" s="36">
        <v>1.4</v>
      </c>
      <c r="P272" s="57">
        <v>10</v>
      </c>
      <c r="Q272" s="63">
        <v>6.1</v>
      </c>
      <c r="R272" s="36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93">
        <f t="shared" si="94"/>
        <v>0.10747663551401869</v>
      </c>
      <c r="AT272" s="93">
        <f t="shared" si="95"/>
        <v>0.7990654205607477</v>
      </c>
      <c r="AU272" s="93">
        <f t="shared" si="96"/>
        <v>9.3457943925233641E-2</v>
      </c>
      <c r="AV272" s="26">
        <f t="shared" si="97"/>
        <v>7.1748878923766815E-2</v>
      </c>
      <c r="AW272" s="26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57">
        <v>90</v>
      </c>
      <c r="K273" s="57">
        <v>90</v>
      </c>
      <c r="L273" s="57">
        <v>90</v>
      </c>
      <c r="M273" s="57">
        <v>25.1</v>
      </c>
      <c r="N273" s="63">
        <v>6.5</v>
      </c>
      <c r="O273" s="36">
        <v>1.46</v>
      </c>
      <c r="P273" s="57">
        <v>11</v>
      </c>
      <c r="Q273" s="63">
        <v>6</v>
      </c>
      <c r="R273" s="36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93">
        <f t="shared" si="94"/>
        <v>0.14655172413793102</v>
      </c>
      <c r="AT273" s="93">
        <f t="shared" si="95"/>
        <v>0.76724137931034486</v>
      </c>
      <c r="AU273" s="93">
        <f t="shared" si="96"/>
        <v>8.6206896551724144E-2</v>
      </c>
      <c r="AV273" s="26">
        <f t="shared" si="97"/>
        <v>7.2007200720072009E-2</v>
      </c>
      <c r="AW273" s="26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57">
        <v>90</v>
      </c>
      <c r="K274" s="57">
        <v>90</v>
      </c>
      <c r="L274" s="57">
        <v>90</v>
      </c>
      <c r="M274" s="57">
        <v>25</v>
      </c>
      <c r="N274" s="63">
        <v>6.5</v>
      </c>
      <c r="O274" s="36">
        <v>1.49</v>
      </c>
      <c r="P274" s="57">
        <v>11</v>
      </c>
      <c r="Q274" s="63">
        <v>6.1</v>
      </c>
      <c r="R274" s="36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93">
        <f t="shared" si="94"/>
        <v>0.15662650602409639</v>
      </c>
      <c r="AT274" s="93">
        <f t="shared" si="95"/>
        <v>0.75412762159750113</v>
      </c>
      <c r="AU274" s="93">
        <f t="shared" si="96"/>
        <v>8.9245872378402494E-2</v>
      </c>
      <c r="AV274" s="26">
        <f t="shared" si="97"/>
        <v>7.1396697902722003E-2</v>
      </c>
      <c r="AW274" s="26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58">
        <v>90</v>
      </c>
      <c r="K275" s="58">
        <v>90</v>
      </c>
      <c r="L275" s="58">
        <v>90</v>
      </c>
      <c r="M275" s="58">
        <v>25</v>
      </c>
      <c r="N275" s="64">
        <v>6.5</v>
      </c>
      <c r="O275" s="37">
        <v>1.46</v>
      </c>
      <c r="P275" s="58">
        <v>12</v>
      </c>
      <c r="Q275" s="64">
        <v>6</v>
      </c>
      <c r="R275" s="37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93">
        <f t="shared" si="94"/>
        <v>0.17141522652965904</v>
      </c>
      <c r="AT275" s="93">
        <f t="shared" si="95"/>
        <v>0.73470340962167213</v>
      </c>
      <c r="AU275" s="93">
        <f t="shared" si="96"/>
        <v>9.3881363848668853E-2</v>
      </c>
      <c r="AV275" s="26">
        <f t="shared" si="97"/>
        <v>7.2007200720072009E-2</v>
      </c>
      <c r="AW275" s="26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59">
        <v>90</v>
      </c>
      <c r="K276" s="59">
        <v>90</v>
      </c>
      <c r="L276" s="59">
        <v>90</v>
      </c>
      <c r="M276" s="59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38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93">
        <f t="shared" si="94"/>
        <v>0.17224453369031684</v>
      </c>
      <c r="AT276" s="93">
        <f t="shared" si="95"/>
        <v>0.73850959393128068</v>
      </c>
      <c r="AU276" s="93">
        <f t="shared" si="96"/>
        <v>8.9245872378402494E-2</v>
      </c>
      <c r="AV276" s="26">
        <f t="shared" si="97"/>
        <v>7.2087912087912084E-2</v>
      </c>
      <c r="AW276" s="26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57">
        <v>90</v>
      </c>
      <c r="K277" s="57">
        <v>90</v>
      </c>
      <c r="L277" s="57">
        <v>90</v>
      </c>
      <c r="M277" s="57">
        <v>24.8</v>
      </c>
      <c r="N277" s="63">
        <v>6.4</v>
      </c>
      <c r="O277" s="36">
        <v>1.55</v>
      </c>
      <c r="P277" s="57">
        <v>13</v>
      </c>
      <c r="Q277" s="63">
        <v>7.3</v>
      </c>
      <c r="R277" s="36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93">
        <f t="shared" si="94"/>
        <v>0.16393442622950818</v>
      </c>
      <c r="AT277" s="93">
        <f t="shared" si="95"/>
        <v>0.74745237040319013</v>
      </c>
      <c r="AU277" s="93">
        <f t="shared" si="96"/>
        <v>8.8613203367301732E-2</v>
      </c>
      <c r="AV277" s="26">
        <f t="shared" si="97"/>
        <v>7.1174377224199295E-2</v>
      </c>
      <c r="AW277" s="26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57">
        <v>90</v>
      </c>
      <c r="K278" s="57">
        <v>90</v>
      </c>
      <c r="L278" s="57">
        <v>90</v>
      </c>
      <c r="M278" s="57">
        <v>26.3</v>
      </c>
      <c r="N278" s="63">
        <v>6.4</v>
      </c>
      <c r="O278" s="36">
        <v>1.39</v>
      </c>
      <c r="P278" s="57">
        <v>11</v>
      </c>
      <c r="Q278" s="63">
        <v>7.3</v>
      </c>
      <c r="R278" s="36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93">
        <f t="shared" si="94"/>
        <v>0.16206428248076052</v>
      </c>
      <c r="AT278" s="93">
        <f t="shared" si="95"/>
        <v>0.74739701222272525</v>
      </c>
      <c r="AU278" s="93">
        <f t="shared" si="96"/>
        <v>9.0538705296514255E-2</v>
      </c>
      <c r="AV278" s="26">
        <f t="shared" si="97"/>
        <v>7.3107049608355096E-2</v>
      </c>
      <c r="AW278" s="26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57">
        <v>90</v>
      </c>
      <c r="K279" s="57">
        <v>90</v>
      </c>
      <c r="L279" s="57">
        <v>90</v>
      </c>
      <c r="M279" s="57">
        <v>27.2</v>
      </c>
      <c r="N279" s="63">
        <v>6.4</v>
      </c>
      <c r="O279" s="36">
        <v>1.29</v>
      </c>
      <c r="P279" s="57">
        <v>10</v>
      </c>
      <c r="Q279" s="63">
        <v>7.5</v>
      </c>
      <c r="R279" s="36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93">
        <f t="shared" si="94"/>
        <v>0.12182741116751269</v>
      </c>
      <c r="AT279" s="93">
        <f t="shared" si="95"/>
        <v>0.79357021996615906</v>
      </c>
      <c r="AU279" s="93">
        <f t="shared" si="96"/>
        <v>8.4602368866328256E-2</v>
      </c>
      <c r="AV279" s="26">
        <f t="shared" si="97"/>
        <v>7.1428571428571425E-2</v>
      </c>
      <c r="AW279" s="26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57">
        <v>90</v>
      </c>
      <c r="K280" s="57">
        <v>90</v>
      </c>
      <c r="L280" s="57">
        <v>90</v>
      </c>
      <c r="M280" s="57">
        <v>26.8</v>
      </c>
      <c r="N280" s="63">
        <v>6.4</v>
      </c>
      <c r="O280" s="36">
        <v>1.35</v>
      </c>
      <c r="P280" s="57">
        <v>10</v>
      </c>
      <c r="Q280" s="63">
        <v>7.5</v>
      </c>
      <c r="R280" s="36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93">
        <f t="shared" si="94"/>
        <v>0.12657130472475075</v>
      </c>
      <c r="AT280" s="93">
        <f t="shared" si="95"/>
        <v>0.7871694841785869</v>
      </c>
      <c r="AU280" s="93">
        <f t="shared" si="96"/>
        <v>8.6259211096662333E-2</v>
      </c>
      <c r="AV280" s="26">
        <f t="shared" si="97"/>
        <v>7.026789635485288E-2</v>
      </c>
      <c r="AW280" s="26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57">
        <v>90</v>
      </c>
      <c r="K281" s="57">
        <v>90</v>
      </c>
      <c r="L281" s="57">
        <v>90</v>
      </c>
      <c r="M281" s="57">
        <v>26</v>
      </c>
      <c r="N281" s="63">
        <v>6.3</v>
      </c>
      <c r="O281" s="36">
        <v>1.37</v>
      </c>
      <c r="P281" s="57">
        <v>11</v>
      </c>
      <c r="Q281" s="63">
        <v>5.8</v>
      </c>
      <c r="R281" s="36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93">
        <f t="shared" si="94"/>
        <v>0.1315671306690615</v>
      </c>
      <c r="AT281" s="93">
        <f t="shared" si="95"/>
        <v>0.77907498877413561</v>
      </c>
      <c r="AU281" s="93">
        <f t="shared" si="96"/>
        <v>8.9357880556802868E-2</v>
      </c>
      <c r="AV281" s="26">
        <f t="shared" si="97"/>
        <v>7.3813708260105443E-2</v>
      </c>
      <c r="AW281" s="26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57">
        <v>90</v>
      </c>
      <c r="K282" s="57">
        <v>90</v>
      </c>
      <c r="L282" s="57">
        <v>90</v>
      </c>
      <c r="M282" s="57">
        <v>25.7</v>
      </c>
      <c r="N282" s="63">
        <v>6.6</v>
      </c>
      <c r="O282" s="36">
        <v>1.39</v>
      </c>
      <c r="P282" s="57">
        <v>11</v>
      </c>
      <c r="Q282" s="63">
        <v>5.9</v>
      </c>
      <c r="R282" s="36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93">
        <f t="shared" si="94"/>
        <v>0.12980551786521935</v>
      </c>
      <c r="AT282" s="93">
        <f t="shared" si="95"/>
        <v>0.77973767526006332</v>
      </c>
      <c r="AU282" s="93">
        <f t="shared" si="96"/>
        <v>9.0456806874717327E-2</v>
      </c>
      <c r="AV282" s="26">
        <f t="shared" si="97"/>
        <v>7.0113935144609993E-2</v>
      </c>
      <c r="AW282" s="26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57">
        <v>90</v>
      </c>
      <c r="K283" s="57">
        <v>90</v>
      </c>
      <c r="L283" s="57">
        <v>90</v>
      </c>
      <c r="M283" s="57">
        <v>25</v>
      </c>
      <c r="N283" s="63">
        <v>6.5</v>
      </c>
      <c r="O283" s="36">
        <v>4.29</v>
      </c>
      <c r="P283" s="57">
        <v>13</v>
      </c>
      <c r="Q283" s="63">
        <v>6.9</v>
      </c>
      <c r="R283" s="36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93">
        <f t="shared" si="94"/>
        <v>0.16885553470919323</v>
      </c>
      <c r="AT283" s="93">
        <f t="shared" si="95"/>
        <v>0.7021575984990619</v>
      </c>
      <c r="AU283" s="93">
        <f t="shared" si="96"/>
        <v>0.12898686679174484</v>
      </c>
      <c r="AV283" s="26">
        <f t="shared" si="97"/>
        <v>7.7134986225895319E-2</v>
      </c>
      <c r="AW283" s="26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57">
        <v>90</v>
      </c>
      <c r="K284" s="57">
        <v>90</v>
      </c>
      <c r="L284" s="57">
        <v>90</v>
      </c>
      <c r="M284" s="57">
        <v>25</v>
      </c>
      <c r="N284" s="63">
        <v>6.6</v>
      </c>
      <c r="O284" s="36">
        <v>1.36</v>
      </c>
      <c r="P284" s="57">
        <v>11</v>
      </c>
      <c r="Q284" s="63">
        <v>6.1</v>
      </c>
      <c r="R284" s="36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93">
        <f t="shared" si="94"/>
        <v>0.16681943171402383</v>
      </c>
      <c r="AT284" s="93">
        <f t="shared" si="95"/>
        <v>0.70669110907424382</v>
      </c>
      <c r="AU284" s="93">
        <f t="shared" si="96"/>
        <v>0.12648945921173235</v>
      </c>
      <c r="AV284" s="26">
        <f t="shared" si="97"/>
        <v>7.6817558299039787E-2</v>
      </c>
      <c r="AW284" s="26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58">
        <v>90</v>
      </c>
      <c r="K285" s="58">
        <v>90</v>
      </c>
      <c r="L285" s="58">
        <v>90</v>
      </c>
      <c r="M285" s="58">
        <v>24.9</v>
      </c>
      <c r="N285" s="64">
        <v>6.4</v>
      </c>
      <c r="O285" s="37">
        <v>1.3</v>
      </c>
      <c r="P285" s="58">
        <v>10</v>
      </c>
      <c r="Q285" s="64">
        <v>6.4</v>
      </c>
      <c r="R285" s="37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93">
        <f t="shared" si="94"/>
        <v>0.16199095022624435</v>
      </c>
      <c r="AT285" s="93">
        <f t="shared" si="95"/>
        <v>0.71266968325791857</v>
      </c>
      <c r="AU285" s="93">
        <f t="shared" si="96"/>
        <v>0.1253393665158371</v>
      </c>
      <c r="AV285" s="26">
        <f t="shared" si="97"/>
        <v>7.6782449725776969E-2</v>
      </c>
      <c r="AW285" s="26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59">
        <v>90</v>
      </c>
      <c r="K286" s="59">
        <v>90</v>
      </c>
      <c r="L286" s="59">
        <v>90</v>
      </c>
      <c r="M286" s="59">
        <v>24.3</v>
      </c>
      <c r="N286" s="65">
        <v>6.6</v>
      </c>
      <c r="O286" s="38">
        <v>1.53</v>
      </c>
      <c r="P286" s="59">
        <v>14</v>
      </c>
      <c r="Q286" s="65">
        <v>7.1</v>
      </c>
      <c r="R286" s="36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93">
        <f t="shared" si="94"/>
        <v>0.16021847974510697</v>
      </c>
      <c r="AT286" s="93">
        <f t="shared" si="95"/>
        <v>0.71461083295402827</v>
      </c>
      <c r="AU286" s="93">
        <f t="shared" si="96"/>
        <v>0.12517068730086481</v>
      </c>
      <c r="AV286" s="26">
        <f t="shared" si="97"/>
        <v>7.6351911561492389E-2</v>
      </c>
      <c r="AW286" s="26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57">
        <v>90</v>
      </c>
      <c r="K287" s="57">
        <v>90</v>
      </c>
      <c r="L287" s="57">
        <v>90</v>
      </c>
      <c r="M287" s="57">
        <v>26.2</v>
      </c>
      <c r="N287" s="63">
        <v>6.6</v>
      </c>
      <c r="O287" s="36">
        <v>1.29</v>
      </c>
      <c r="P287" s="57">
        <v>12</v>
      </c>
      <c r="Q287" s="63">
        <v>6.8</v>
      </c>
      <c r="R287" s="36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93">
        <f t="shared" si="94"/>
        <v>0.16712328767123288</v>
      </c>
      <c r="AT287" s="93">
        <f t="shared" si="95"/>
        <v>0.70684931506849313</v>
      </c>
      <c r="AU287" s="93">
        <f t="shared" si="96"/>
        <v>0.12602739726027398</v>
      </c>
      <c r="AV287" s="26">
        <f t="shared" si="97"/>
        <v>7.5281306715063515E-2</v>
      </c>
      <c r="AW287" s="26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57">
        <v>90</v>
      </c>
      <c r="K288" s="57">
        <v>90</v>
      </c>
      <c r="L288" s="57">
        <v>90</v>
      </c>
      <c r="M288" s="57">
        <v>26.9</v>
      </c>
      <c r="N288" s="63">
        <v>5.8</v>
      </c>
      <c r="O288" s="36">
        <v>1.23</v>
      </c>
      <c r="P288" s="57">
        <v>10</v>
      </c>
      <c r="Q288" s="63">
        <v>6.9</v>
      </c>
      <c r="R288" s="36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93">
        <f t="shared" si="94"/>
        <v>0.16552354823959761</v>
      </c>
      <c r="AT288" s="93">
        <f t="shared" si="95"/>
        <v>0.70873342478280754</v>
      </c>
      <c r="AU288" s="93">
        <f t="shared" si="96"/>
        <v>0.12574302697759487</v>
      </c>
      <c r="AV288" s="26">
        <f t="shared" si="97"/>
        <v>7.5067996373526749E-2</v>
      </c>
      <c r="AW288" s="26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57">
        <v>90</v>
      </c>
      <c r="K289" s="57">
        <v>90</v>
      </c>
      <c r="L289" s="57">
        <v>90</v>
      </c>
      <c r="M289" s="57">
        <v>26.5</v>
      </c>
      <c r="N289" s="63">
        <v>6.5</v>
      </c>
      <c r="O289" s="36">
        <v>1.24</v>
      </c>
      <c r="P289" s="57">
        <v>11</v>
      </c>
      <c r="Q289" s="63">
        <v>6.3</v>
      </c>
      <c r="R289" s="36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93">
        <f t="shared" si="94"/>
        <v>0.17695274831243973</v>
      </c>
      <c r="AT289" s="93">
        <f t="shared" si="95"/>
        <v>0.72806171648987461</v>
      </c>
      <c r="AU289" s="93">
        <f t="shared" si="96"/>
        <v>9.4985535197685628E-2</v>
      </c>
      <c r="AV289" s="26">
        <f t="shared" si="97"/>
        <v>7.4336283185840707E-2</v>
      </c>
      <c r="AW289" s="26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57">
        <v>90</v>
      </c>
      <c r="K290" s="57">
        <v>90</v>
      </c>
      <c r="L290" s="57">
        <v>90</v>
      </c>
      <c r="M290" s="57">
        <v>25.9</v>
      </c>
      <c r="N290" s="63">
        <v>6.4</v>
      </c>
      <c r="O290" s="36">
        <v>1.29</v>
      </c>
      <c r="P290" s="57">
        <v>12</v>
      </c>
      <c r="Q290" s="63">
        <v>6.6</v>
      </c>
      <c r="R290" s="36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93">
        <f t="shared" si="94"/>
        <v>0.16413093591516828</v>
      </c>
      <c r="AT290" s="93">
        <f t="shared" si="95"/>
        <v>0.70954356846473032</v>
      </c>
      <c r="AU290" s="93">
        <f t="shared" si="96"/>
        <v>0.12632549562010142</v>
      </c>
      <c r="AV290" s="26">
        <f t="shared" si="97"/>
        <v>7.3976221928665792E-2</v>
      </c>
      <c r="AW290" s="26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57">
        <v>90</v>
      </c>
      <c r="K291" s="57">
        <v>90</v>
      </c>
      <c r="L291" s="57">
        <v>90</v>
      </c>
      <c r="M291" s="57">
        <v>25.8</v>
      </c>
      <c r="N291" s="63">
        <v>6.5</v>
      </c>
      <c r="O291" s="36">
        <v>1.25</v>
      </c>
      <c r="P291" s="57">
        <v>8</v>
      </c>
      <c r="Q291" s="63">
        <v>6.4</v>
      </c>
      <c r="R291" s="36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93">
        <f t="shared" si="94"/>
        <v>0.1678097850937357</v>
      </c>
      <c r="AT291" s="93">
        <f t="shared" si="95"/>
        <v>0.70553269318701417</v>
      </c>
      <c r="AU291" s="93">
        <f t="shared" si="96"/>
        <v>0.12665752171925013</v>
      </c>
      <c r="AV291" s="26">
        <f t="shared" si="97"/>
        <v>7.483296213808463E-2</v>
      </c>
      <c r="AW291" s="26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57">
        <v>90</v>
      </c>
      <c r="K292" s="57">
        <v>90</v>
      </c>
      <c r="L292" s="57">
        <v>90</v>
      </c>
      <c r="M292" s="57">
        <v>25.5</v>
      </c>
      <c r="N292" s="63">
        <v>6.4</v>
      </c>
      <c r="O292" s="36">
        <v>1.21</v>
      </c>
      <c r="P292" s="57">
        <v>10</v>
      </c>
      <c r="Q292" s="63">
        <v>6.5</v>
      </c>
      <c r="R292" s="36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93">
        <f t="shared" si="94"/>
        <v>0.16757246376811594</v>
      </c>
      <c r="AT292" s="93">
        <f t="shared" si="95"/>
        <v>0.70697463768115942</v>
      </c>
      <c r="AU292" s="93">
        <f t="shared" si="96"/>
        <v>0.12545289855072464</v>
      </c>
      <c r="AV292" s="26">
        <f t="shared" si="97"/>
        <v>7.2538860103626937E-2</v>
      </c>
      <c r="AW292" s="26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58">
        <v>90</v>
      </c>
      <c r="K293" s="58">
        <v>90</v>
      </c>
      <c r="L293" s="58">
        <v>90</v>
      </c>
      <c r="M293" s="58">
        <v>25.1</v>
      </c>
      <c r="N293" s="64">
        <v>6.4</v>
      </c>
      <c r="O293" s="37">
        <v>1.27</v>
      </c>
      <c r="P293" s="58">
        <v>11</v>
      </c>
      <c r="Q293" s="64">
        <v>6.9</v>
      </c>
      <c r="R293" s="37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93">
        <f t="shared" si="94"/>
        <v>0.17157313707451702</v>
      </c>
      <c r="AT293" s="93">
        <f t="shared" si="95"/>
        <v>0.70147194112235511</v>
      </c>
      <c r="AU293" s="93">
        <f t="shared" si="96"/>
        <v>0.12695492180312787</v>
      </c>
      <c r="AV293" s="26">
        <f t="shared" si="97"/>
        <v>7.483296213808463E-2</v>
      </c>
      <c r="AW293" s="26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59">
        <v>90</v>
      </c>
      <c r="K294" s="59">
        <v>90</v>
      </c>
      <c r="L294" s="59">
        <v>90</v>
      </c>
      <c r="M294" s="59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38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93">
        <f t="shared" si="94"/>
        <v>0.14007252946509519</v>
      </c>
      <c r="AT294" s="93">
        <f t="shared" si="95"/>
        <v>0.73481414324569361</v>
      </c>
      <c r="AU294" s="93">
        <f t="shared" si="96"/>
        <v>0.12511332728921123</v>
      </c>
      <c r="AV294" s="26">
        <f t="shared" si="97"/>
        <v>7.7064220183486243E-2</v>
      </c>
      <c r="AW294" s="26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57">
        <v>90</v>
      </c>
      <c r="K295" s="57">
        <v>90</v>
      </c>
      <c r="L295" s="57">
        <v>90</v>
      </c>
      <c r="M295" s="57">
        <v>25.5</v>
      </c>
      <c r="N295" s="63">
        <v>6.5</v>
      </c>
      <c r="O295" s="36">
        <v>1.2</v>
      </c>
      <c r="P295" s="57">
        <v>11</v>
      </c>
      <c r="Q295" s="63">
        <v>7.6</v>
      </c>
      <c r="R295" s="36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93">
        <f t="shared" si="94"/>
        <v>0.11024345429490125</v>
      </c>
      <c r="AT295" s="93">
        <f t="shared" si="95"/>
        <v>0.76251722553973356</v>
      </c>
      <c r="AU295" s="93">
        <f t="shared" si="96"/>
        <v>0.12723932016536518</v>
      </c>
      <c r="AV295" s="26">
        <f t="shared" si="97"/>
        <v>7.7276908923643056E-2</v>
      </c>
      <c r="AW295" s="26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57">
        <v>90</v>
      </c>
      <c r="K296" s="57">
        <v>90</v>
      </c>
      <c r="L296" s="57">
        <v>90</v>
      </c>
      <c r="M296" s="57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36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93">
        <f t="shared" si="94"/>
        <v>0.11095571095571095</v>
      </c>
      <c r="AT296" s="93">
        <f t="shared" si="95"/>
        <v>0.75990675990675993</v>
      </c>
      <c r="AU296" s="93">
        <f t="shared" si="96"/>
        <v>0.12913752913752913</v>
      </c>
      <c r="AV296" s="26">
        <f t="shared" si="97"/>
        <v>7.0298769771529004E-2</v>
      </c>
      <c r="AW296" s="26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57">
        <v>90</v>
      </c>
      <c r="K297" s="57">
        <v>90</v>
      </c>
      <c r="L297" s="57">
        <v>90</v>
      </c>
      <c r="M297" s="57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36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93">
        <f t="shared" si="94"/>
        <v>0.11181530104119511</v>
      </c>
      <c r="AT297" s="93">
        <f t="shared" si="95"/>
        <v>0.76324128564961524</v>
      </c>
      <c r="AU297" s="93">
        <f t="shared" si="96"/>
        <v>0.12494341330918968</v>
      </c>
      <c r="AV297" s="26">
        <f t="shared" si="97"/>
        <v>7.6782449725776969E-2</v>
      </c>
      <c r="AW297" s="26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57">
        <v>90</v>
      </c>
      <c r="K298" s="57">
        <v>90</v>
      </c>
      <c r="L298" s="57">
        <v>90</v>
      </c>
      <c r="M298" s="57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36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93">
        <f t="shared" si="94"/>
        <v>0.14154411764705882</v>
      </c>
      <c r="AT298" s="93">
        <f t="shared" si="95"/>
        <v>0.73161764705882348</v>
      </c>
      <c r="AU298" s="93">
        <f t="shared" si="96"/>
        <v>0.12683823529411764</v>
      </c>
      <c r="AV298" s="26">
        <f t="shared" si="97"/>
        <v>7.2992700729927001E-2</v>
      </c>
      <c r="AW298" s="26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57">
        <v>90</v>
      </c>
      <c r="K299" s="57">
        <v>90</v>
      </c>
      <c r="L299" s="57">
        <v>90</v>
      </c>
      <c r="M299" s="57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36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93">
        <f t="shared" si="94"/>
        <v>0.13995381062355658</v>
      </c>
      <c r="AT299" s="93">
        <f t="shared" si="95"/>
        <v>0.73302540415704387</v>
      </c>
      <c r="AU299" s="93">
        <f t="shared" si="96"/>
        <v>0.12702078521939955</v>
      </c>
      <c r="AV299" s="26">
        <f t="shared" si="97"/>
        <v>7.7241379310344832E-2</v>
      </c>
      <c r="AW299" s="26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57">
        <v>90</v>
      </c>
      <c r="K300" s="57">
        <v>90</v>
      </c>
      <c r="L300" s="57">
        <v>90</v>
      </c>
      <c r="M300" s="57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36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93">
        <f t="shared" si="94"/>
        <v>0.137978772496539</v>
      </c>
      <c r="AT300" s="93">
        <f t="shared" si="95"/>
        <v>0.73465620673742504</v>
      </c>
      <c r="AU300" s="93">
        <f t="shared" si="96"/>
        <v>0.12736502076603601</v>
      </c>
      <c r="AV300" s="26">
        <f t="shared" si="97"/>
        <v>7.7526534379326259E-2</v>
      </c>
      <c r="AW300" s="26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57">
        <v>90</v>
      </c>
      <c r="K301" s="57">
        <v>90</v>
      </c>
      <c r="L301" s="57">
        <v>90</v>
      </c>
      <c r="M301" s="57">
        <v>25.8</v>
      </c>
      <c r="N301" s="63">
        <v>6.3</v>
      </c>
      <c r="O301" s="36">
        <v>1.28</v>
      </c>
      <c r="P301" s="57">
        <v>11</v>
      </c>
      <c r="Q301" s="63">
        <v>8.4</v>
      </c>
      <c r="R301" s="36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93">
        <f t="shared" si="94"/>
        <v>0.14220393232738912</v>
      </c>
      <c r="AT301" s="93">
        <f t="shared" si="95"/>
        <v>0.73159579332418834</v>
      </c>
      <c r="AU301" s="93">
        <f t="shared" si="96"/>
        <v>0.12620027434842249</v>
      </c>
      <c r="AV301" s="26">
        <f t="shared" si="97"/>
        <v>7.7064220183486243E-2</v>
      </c>
      <c r="AW301" s="26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57">
        <v>90</v>
      </c>
      <c r="K302" s="57">
        <v>90</v>
      </c>
      <c r="L302" s="57">
        <v>90</v>
      </c>
      <c r="M302" s="57">
        <v>25.5</v>
      </c>
      <c r="N302" s="63">
        <v>6.3</v>
      </c>
      <c r="O302" s="36">
        <v>1.26</v>
      </c>
      <c r="P302" s="57">
        <v>10</v>
      </c>
      <c r="Q302" s="63">
        <v>7.3</v>
      </c>
      <c r="R302" s="36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93">
        <f t="shared" si="94"/>
        <v>0.20214030915576695</v>
      </c>
      <c r="AT302" s="93">
        <f t="shared" si="95"/>
        <v>0.61890606420927463</v>
      </c>
      <c r="AU302" s="93">
        <f t="shared" si="96"/>
        <v>0.1789536266349584</v>
      </c>
      <c r="AV302" s="26">
        <f t="shared" si="97"/>
        <v>9.8360655737704916E-2</v>
      </c>
      <c r="AW302" s="26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58">
        <v>90</v>
      </c>
      <c r="K303" s="58">
        <v>90</v>
      </c>
      <c r="L303" s="58">
        <v>90</v>
      </c>
      <c r="M303" s="58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37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93">
        <f t="shared" si="94"/>
        <v>0.19039039039039038</v>
      </c>
      <c r="AT303" s="93">
        <f t="shared" si="95"/>
        <v>0.62882882882882885</v>
      </c>
      <c r="AU303" s="93">
        <f t="shared" si="96"/>
        <v>0.18078078078078078</v>
      </c>
      <c r="AV303" s="26">
        <f t="shared" si="97"/>
        <v>9.8939929328621903E-2</v>
      </c>
      <c r="AW303" s="26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59">
        <v>90</v>
      </c>
      <c r="K304" s="59">
        <v>90</v>
      </c>
      <c r="L304" s="59">
        <v>90</v>
      </c>
      <c r="M304" s="59">
        <v>25.5</v>
      </c>
      <c r="N304" s="65">
        <v>6.5</v>
      </c>
      <c r="O304" s="38">
        <v>1.28</v>
      </c>
      <c r="P304" s="59">
        <v>10</v>
      </c>
      <c r="Q304" s="65">
        <v>7.3</v>
      </c>
      <c r="R304" s="38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93">
        <f t="shared" si="94"/>
        <v>0.24786324786324787</v>
      </c>
      <c r="AT304" s="93">
        <f t="shared" si="95"/>
        <v>0.3247863247863248</v>
      </c>
      <c r="AU304" s="93">
        <f t="shared" si="96"/>
        <v>0.42735042735042733</v>
      </c>
      <c r="AV304" s="26">
        <f t="shared" si="97"/>
        <v>7.1999999999999995E-2</v>
      </c>
      <c r="AW304" s="26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57">
        <v>90</v>
      </c>
      <c r="K305" s="57">
        <v>90</v>
      </c>
      <c r="L305" s="57">
        <v>90</v>
      </c>
      <c r="M305" s="57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36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93">
        <f t="shared" si="94"/>
        <v>0.29435483870967744</v>
      </c>
      <c r="AT305" s="93">
        <f t="shared" si="95"/>
        <v>0.40322580645161288</v>
      </c>
      <c r="AU305" s="93">
        <f t="shared" si="96"/>
        <v>0.30241935483870969</v>
      </c>
      <c r="AV305" s="26">
        <f t="shared" si="97"/>
        <v>7.3469387755102047E-2</v>
      </c>
      <c r="AW305" s="26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57">
        <v>90</v>
      </c>
      <c r="K306" s="57">
        <v>90</v>
      </c>
      <c r="L306" s="57">
        <v>90</v>
      </c>
      <c r="M306" s="57">
        <v>26.8</v>
      </c>
      <c r="N306" s="63">
        <v>6.5</v>
      </c>
      <c r="O306" s="36">
        <v>1.25</v>
      </c>
      <c r="P306" s="57">
        <v>10</v>
      </c>
      <c r="Q306" s="63">
        <v>9.5</v>
      </c>
      <c r="R306" s="36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93">
        <f t="shared" si="94"/>
        <v>0.37634408602150538</v>
      </c>
      <c r="AT306" s="93">
        <f t="shared" si="95"/>
        <v>0.30107526881720431</v>
      </c>
      <c r="AU306" s="93">
        <f t="shared" si="96"/>
        <v>0.32258064516129031</v>
      </c>
      <c r="AV306" s="26">
        <f t="shared" si="97"/>
        <v>7.5789473684210532E-2</v>
      </c>
      <c r="AW306" s="26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57">
        <v>90</v>
      </c>
      <c r="K307" s="57">
        <v>90</v>
      </c>
      <c r="L307" s="57">
        <v>90</v>
      </c>
      <c r="M307" s="57">
        <v>28.3</v>
      </c>
      <c r="N307" s="63">
        <v>6.4</v>
      </c>
      <c r="O307" s="36">
        <v>1.24</v>
      </c>
      <c r="P307" s="57">
        <v>9</v>
      </c>
      <c r="Q307" s="63">
        <v>7.2</v>
      </c>
      <c r="R307" s="36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93">
        <f t="shared" si="94"/>
        <v>0.18232044198895028</v>
      </c>
      <c r="AT307" s="93">
        <f t="shared" si="95"/>
        <v>0.65193370165745856</v>
      </c>
      <c r="AU307" s="93">
        <f t="shared" si="96"/>
        <v>0.16574585635359115</v>
      </c>
      <c r="AV307" s="26">
        <f t="shared" si="97"/>
        <v>9.4382022471910118E-2</v>
      </c>
      <c r="AW307" s="26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57">
        <v>90</v>
      </c>
      <c r="K308" s="57">
        <v>90</v>
      </c>
      <c r="L308" s="57">
        <v>90</v>
      </c>
      <c r="M308" s="57">
        <v>27.7</v>
      </c>
      <c r="N308" s="63">
        <v>6.4</v>
      </c>
      <c r="O308" s="36">
        <v>1.48</v>
      </c>
      <c r="P308" s="57">
        <v>10</v>
      </c>
      <c r="Q308" s="63">
        <v>6.8</v>
      </c>
      <c r="R308" s="36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93">
        <f t="shared" si="94"/>
        <v>0.1766029246344207</v>
      </c>
      <c r="AT308" s="93">
        <f t="shared" si="95"/>
        <v>0.65916760404949382</v>
      </c>
      <c r="AU308" s="93">
        <f t="shared" si="96"/>
        <v>0.16422947131608548</v>
      </c>
      <c r="AV308" s="26">
        <f t="shared" si="97"/>
        <v>9.4915254237288138E-2</v>
      </c>
      <c r="AW308" s="26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57">
        <v>90</v>
      </c>
      <c r="K309" s="57">
        <v>90</v>
      </c>
      <c r="L309" s="57">
        <v>90</v>
      </c>
      <c r="M309" s="57">
        <v>27</v>
      </c>
      <c r="N309" s="63">
        <v>6.4</v>
      </c>
      <c r="O309" s="36">
        <v>1.17</v>
      </c>
      <c r="P309" s="57">
        <v>10</v>
      </c>
      <c r="Q309" s="63">
        <v>7.2</v>
      </c>
      <c r="R309" s="36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93">
        <f t="shared" si="94"/>
        <v>0.17666483214089157</v>
      </c>
      <c r="AT309" s="93">
        <f t="shared" si="95"/>
        <v>0.66373142542652719</v>
      </c>
      <c r="AU309" s="93">
        <f t="shared" si="96"/>
        <v>0.15960374243258119</v>
      </c>
      <c r="AV309" s="26">
        <f t="shared" si="97"/>
        <v>9.3333333333333338E-2</v>
      </c>
      <c r="AW309" s="26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57">
        <v>90</v>
      </c>
      <c r="K310" s="57">
        <v>90</v>
      </c>
      <c r="L310" s="57">
        <v>90</v>
      </c>
      <c r="M310" s="57">
        <v>26.8</v>
      </c>
      <c r="N310" s="63">
        <v>6.4</v>
      </c>
      <c r="O310" s="36">
        <v>1.21</v>
      </c>
      <c r="P310" s="57">
        <v>10</v>
      </c>
      <c r="Q310" s="63">
        <v>6.9</v>
      </c>
      <c r="R310" s="36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93">
        <f t="shared" si="94"/>
        <v>0.17088948787061994</v>
      </c>
      <c r="AT310" s="93">
        <f t="shared" si="95"/>
        <v>0.67169811320754713</v>
      </c>
      <c r="AU310" s="93">
        <f t="shared" si="96"/>
        <v>0.1574123989218329</v>
      </c>
      <c r="AV310" s="26">
        <f t="shared" si="97"/>
        <v>9.2817679558011054E-2</v>
      </c>
      <c r="AW310" s="26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57">
        <v>90</v>
      </c>
      <c r="K311" s="57">
        <v>90</v>
      </c>
      <c r="L311" s="57">
        <v>90</v>
      </c>
      <c r="M311" s="57">
        <v>26.6</v>
      </c>
      <c r="N311" s="63">
        <v>6.4</v>
      </c>
      <c r="O311" s="36">
        <v>1.19</v>
      </c>
      <c r="P311" s="57">
        <v>10</v>
      </c>
      <c r="Q311" s="63">
        <v>7</v>
      </c>
      <c r="R311" s="36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93">
        <f t="shared" si="94"/>
        <v>8.9118198874296436E-2</v>
      </c>
      <c r="AT311" s="93">
        <f t="shared" si="95"/>
        <v>0.79362101313320821</v>
      </c>
      <c r="AU311" s="93">
        <f t="shared" si="96"/>
        <v>0.11726078799249531</v>
      </c>
      <c r="AV311" s="26">
        <f t="shared" si="97"/>
        <v>6.9709543568464732E-2</v>
      </c>
      <c r="AW311" s="26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57">
        <v>90</v>
      </c>
      <c r="K312" s="57">
        <v>90</v>
      </c>
      <c r="L312" s="57">
        <v>90</v>
      </c>
      <c r="M312" s="57">
        <v>26.7</v>
      </c>
      <c r="N312" s="63">
        <v>6.3</v>
      </c>
      <c r="O312" s="36">
        <v>1.22</v>
      </c>
      <c r="P312" s="57">
        <v>10</v>
      </c>
      <c r="Q312" s="63">
        <v>6.9</v>
      </c>
      <c r="R312" s="36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93">
        <f t="shared" si="94"/>
        <v>9.3176470588235291E-2</v>
      </c>
      <c r="AT312" s="93">
        <f t="shared" si="95"/>
        <v>0.78917647058823526</v>
      </c>
      <c r="AU312" s="93">
        <f t="shared" si="96"/>
        <v>0.11764705882352941</v>
      </c>
      <c r="AV312" s="26">
        <f t="shared" si="97"/>
        <v>7.8248719142990225E-2</v>
      </c>
      <c r="AW312" s="26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58">
        <v>90</v>
      </c>
      <c r="K313" s="58">
        <v>90</v>
      </c>
      <c r="L313" s="58">
        <v>90</v>
      </c>
      <c r="M313" s="58">
        <v>25.9</v>
      </c>
      <c r="N313" s="64">
        <v>6.5</v>
      </c>
      <c r="O313" s="37">
        <v>2.12</v>
      </c>
      <c r="P313" s="58">
        <v>8</v>
      </c>
      <c r="Q313" s="64">
        <v>7.1</v>
      </c>
      <c r="R313" s="37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93">
        <f t="shared" si="94"/>
        <v>0.11306413301662707</v>
      </c>
      <c r="AT313" s="93">
        <f t="shared" si="95"/>
        <v>0.76817102137767224</v>
      </c>
      <c r="AU313" s="93">
        <f t="shared" si="96"/>
        <v>0.11876484560570071</v>
      </c>
      <c r="AV313" s="26">
        <f t="shared" si="97"/>
        <v>7.7513914656771807E-2</v>
      </c>
      <c r="AW313" s="26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57">
        <v>90</v>
      </c>
      <c r="K314" s="57">
        <v>90</v>
      </c>
      <c r="L314" s="57">
        <v>90</v>
      </c>
      <c r="M314" s="57">
        <v>25.2</v>
      </c>
      <c r="N314" s="63">
        <v>6.6</v>
      </c>
      <c r="O314" s="36">
        <v>1.21</v>
      </c>
      <c r="P314" s="57">
        <v>9</v>
      </c>
      <c r="Q314" s="63">
        <v>7.3</v>
      </c>
      <c r="R314" s="36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93">
        <f t="shared" si="94"/>
        <v>0.10850574712643678</v>
      </c>
      <c r="AT314" s="93">
        <f t="shared" si="95"/>
        <v>0.77609195402298847</v>
      </c>
      <c r="AU314" s="93">
        <f t="shared" si="96"/>
        <v>0.11540229885057471</v>
      </c>
      <c r="AV314" s="26">
        <f t="shared" si="97"/>
        <v>7.720588235294118E-2</v>
      </c>
      <c r="AW314" s="26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57">
        <v>90</v>
      </c>
      <c r="K315" s="57">
        <v>90</v>
      </c>
      <c r="L315" s="57">
        <v>90</v>
      </c>
      <c r="M315" s="57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36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93">
        <f t="shared" si="94"/>
        <v>0.11758941695247428</v>
      </c>
      <c r="AT315" s="93">
        <f t="shared" si="95"/>
        <v>0.76041156295933365</v>
      </c>
      <c r="AU315" s="93">
        <f t="shared" si="96"/>
        <v>0.12199902008819206</v>
      </c>
      <c r="AV315" s="26">
        <f t="shared" si="97"/>
        <v>7.9320113314447591E-2</v>
      </c>
      <c r="AW315" s="26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57">
        <v>90</v>
      </c>
      <c r="K316" s="57">
        <v>90</v>
      </c>
      <c r="L316" s="57">
        <v>90</v>
      </c>
      <c r="M316" s="57">
        <v>25.8</v>
      </c>
      <c r="N316" s="63">
        <v>6.5</v>
      </c>
      <c r="O316" s="36">
        <v>1.85</v>
      </c>
      <c r="P316" s="57">
        <v>14</v>
      </c>
      <c r="Q316" s="63">
        <v>7.7</v>
      </c>
      <c r="R316" s="36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93">
        <f t="shared" si="94"/>
        <v>0.13725490196078433</v>
      </c>
      <c r="AT316" s="93">
        <f t="shared" si="95"/>
        <v>0.74366331898613103</v>
      </c>
      <c r="AU316" s="93">
        <f t="shared" si="96"/>
        <v>0.11908177905308465</v>
      </c>
      <c r="AV316" s="26">
        <f t="shared" si="97"/>
        <v>8.069164265129683E-2</v>
      </c>
      <c r="AW316" s="26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57">
        <v>90</v>
      </c>
      <c r="K317" s="57">
        <v>90</v>
      </c>
      <c r="L317" s="57">
        <v>90</v>
      </c>
      <c r="M317" s="57">
        <v>26.2</v>
      </c>
      <c r="N317" s="63">
        <v>6.5</v>
      </c>
      <c r="O317" s="36">
        <v>1</v>
      </c>
      <c r="P317" s="57">
        <v>14</v>
      </c>
      <c r="Q317" s="63">
        <v>9.1</v>
      </c>
      <c r="R317" s="36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93">
        <f t="shared" si="94"/>
        <v>0.1271266540642722</v>
      </c>
      <c r="AT317" s="93">
        <f t="shared" si="95"/>
        <v>0.75472589792060496</v>
      </c>
      <c r="AU317" s="93">
        <f t="shared" si="96"/>
        <v>0.11814744801512288</v>
      </c>
      <c r="AV317" s="26">
        <f t="shared" si="97"/>
        <v>8.0808080808080815E-2</v>
      </c>
      <c r="AW317" s="26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57">
        <v>90</v>
      </c>
      <c r="K318" s="57">
        <v>90</v>
      </c>
      <c r="L318" s="57">
        <v>90</v>
      </c>
      <c r="M318" s="57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36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93">
        <f t="shared" si="94"/>
        <v>0.13248058474189128</v>
      </c>
      <c r="AT318" s="93">
        <f t="shared" si="95"/>
        <v>0.75331201461854724</v>
      </c>
      <c r="AU318" s="93">
        <f t="shared" si="96"/>
        <v>0.11420740063956145</v>
      </c>
      <c r="AV318" s="26">
        <f t="shared" si="97"/>
        <v>7.6121431807883999E-2</v>
      </c>
      <c r="AW318" s="26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57">
        <v>90</v>
      </c>
      <c r="K319" s="57">
        <v>90</v>
      </c>
      <c r="L319" s="57">
        <v>90</v>
      </c>
      <c r="M319" s="57">
        <v>25.9</v>
      </c>
      <c r="N319" s="63">
        <v>6.4</v>
      </c>
      <c r="O319" s="36">
        <v>1.47</v>
      </c>
      <c r="P319" s="57">
        <v>12</v>
      </c>
      <c r="Q319" s="63">
        <v>7.4</v>
      </c>
      <c r="R319" s="36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93">
        <f t="shared" si="94"/>
        <v>0.12655971479500891</v>
      </c>
      <c r="AT319" s="93">
        <f t="shared" si="95"/>
        <v>0.76203208556149737</v>
      </c>
      <c r="AU319" s="93">
        <f t="shared" si="96"/>
        <v>0.11140819964349376</v>
      </c>
      <c r="AV319" s="26">
        <f t="shared" si="97"/>
        <v>7.5403949730700179E-2</v>
      </c>
      <c r="AW319" s="26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57">
        <v>90</v>
      </c>
      <c r="K320" s="57">
        <v>90</v>
      </c>
      <c r="L320" s="57">
        <v>90</v>
      </c>
      <c r="M320" s="57">
        <v>25.8</v>
      </c>
      <c r="N320" s="63">
        <v>6.5</v>
      </c>
      <c r="O320" s="36">
        <v>4.5</v>
      </c>
      <c r="P320" s="57">
        <v>12</v>
      </c>
      <c r="Q320" s="63">
        <v>7.5</v>
      </c>
      <c r="R320" s="36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93">
        <f t="shared" si="94"/>
        <v>0.12714932126696832</v>
      </c>
      <c r="AT320" s="93">
        <f t="shared" si="95"/>
        <v>0.76063348416289589</v>
      </c>
      <c r="AU320" s="93">
        <f t="shared" si="96"/>
        <v>0.11221719457013575</v>
      </c>
      <c r="AV320" s="26">
        <f t="shared" si="97"/>
        <v>7.584650112866817E-2</v>
      </c>
      <c r="AW320" s="26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57">
        <v>70</v>
      </c>
      <c r="K321" s="57">
        <v>70</v>
      </c>
      <c r="L321" s="57">
        <v>90</v>
      </c>
      <c r="M321" s="57">
        <v>25.3</v>
      </c>
      <c r="N321" s="63">
        <v>6.4</v>
      </c>
      <c r="O321" s="36">
        <v>1.55</v>
      </c>
      <c r="P321" s="57">
        <v>13</v>
      </c>
      <c r="Q321" s="63">
        <v>7.6</v>
      </c>
      <c r="R321" s="36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93">
        <f t="shared" si="94"/>
        <v>0.12907608695652173</v>
      </c>
      <c r="AT321" s="93">
        <f t="shared" si="95"/>
        <v>0.75769927536231885</v>
      </c>
      <c r="AU321" s="93">
        <f t="shared" si="96"/>
        <v>0.11322463768115942</v>
      </c>
      <c r="AV321" s="26">
        <f t="shared" si="97"/>
        <v>7.7241379310344832E-2</v>
      </c>
      <c r="AW321" s="26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58">
        <v>90</v>
      </c>
      <c r="K322" s="58">
        <v>90</v>
      </c>
      <c r="L322" s="58">
        <v>90</v>
      </c>
      <c r="M322" s="58">
        <v>24.3</v>
      </c>
      <c r="N322" s="64">
        <v>6.4</v>
      </c>
      <c r="O322" s="37">
        <v>1.48</v>
      </c>
      <c r="P322" s="58">
        <v>13</v>
      </c>
      <c r="Q322" s="64">
        <v>6.8</v>
      </c>
      <c r="R322" s="37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93">
        <f t="shared" ref="AS322:AS385" si="117">C322/AR322</f>
        <v>0.13668061366806136</v>
      </c>
      <c r="AT322" s="93">
        <f t="shared" ref="AT322:AT385" si="118">D322/AR322</f>
        <v>0.74709437470943751</v>
      </c>
      <c r="AU322" s="93">
        <f t="shared" ref="AU322:AU385" si="119">E322/AR322</f>
        <v>0.11622501162250116</v>
      </c>
      <c r="AV322" s="26">
        <f t="shared" ref="AV322:AV385" si="120">IF(AND(F322&lt;&gt;"",Z322&lt;&gt;""),AB322/(F322/2/Z322),"")</f>
        <v>7.7419354838709681E-2</v>
      </c>
      <c r="AW322" s="26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59">
        <v>90</v>
      </c>
      <c r="K323" s="59">
        <v>90</v>
      </c>
      <c r="L323" s="59">
        <v>90</v>
      </c>
      <c r="M323" s="59">
        <v>25</v>
      </c>
      <c r="N323" s="65">
        <v>6.5</v>
      </c>
      <c r="O323" s="38">
        <v>1.44</v>
      </c>
      <c r="P323" s="59">
        <v>10</v>
      </c>
      <c r="Q323" s="65">
        <v>9.4</v>
      </c>
      <c r="R323" s="38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93">
        <f t="shared" si="117"/>
        <v>0.1467849223946785</v>
      </c>
      <c r="AT323" s="93">
        <f t="shared" si="118"/>
        <v>0.742350332594235</v>
      </c>
      <c r="AU323" s="93">
        <f t="shared" si="119"/>
        <v>0.11086474501108648</v>
      </c>
      <c r="AV323" s="26">
        <f t="shared" si="120"/>
        <v>7.2727272727272724E-2</v>
      </c>
      <c r="AW323" s="26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57">
        <v>90</v>
      </c>
      <c r="K324" s="57">
        <v>90</v>
      </c>
      <c r="L324" s="57">
        <v>90</v>
      </c>
      <c r="M324" s="57">
        <v>25.2</v>
      </c>
      <c r="N324" s="63">
        <v>6.5</v>
      </c>
      <c r="O324" s="36">
        <v>1.49</v>
      </c>
      <c r="P324" s="57">
        <v>10</v>
      </c>
      <c r="Q324" s="63">
        <v>9.5</v>
      </c>
      <c r="R324" s="36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93">
        <f t="shared" si="117"/>
        <v>0.15299539170506912</v>
      </c>
      <c r="AT324" s="93">
        <f t="shared" si="118"/>
        <v>0.73225806451612907</v>
      </c>
      <c r="AU324" s="93">
        <f t="shared" si="119"/>
        <v>0.11474654377880185</v>
      </c>
      <c r="AV324" s="26">
        <f t="shared" si="120"/>
        <v>7.2072072072072071E-2</v>
      </c>
      <c r="AW324" s="26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57">
        <v>90</v>
      </c>
      <c r="K325" s="57">
        <v>90</v>
      </c>
      <c r="L325" s="57">
        <v>90</v>
      </c>
      <c r="M325" s="57">
        <v>25.8</v>
      </c>
      <c r="N325" s="63">
        <v>6.5</v>
      </c>
      <c r="O325" s="36">
        <v>1.48</v>
      </c>
      <c r="P325" s="57">
        <v>10</v>
      </c>
      <c r="Q325" s="63">
        <v>7.6</v>
      </c>
      <c r="R325" s="36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93">
        <f t="shared" si="117"/>
        <v>0.15430402930402931</v>
      </c>
      <c r="AT325" s="93">
        <f t="shared" si="118"/>
        <v>0.73122710622710618</v>
      </c>
      <c r="AU325" s="93">
        <f t="shared" si="119"/>
        <v>0.11446886446886446</v>
      </c>
      <c r="AV325" s="26">
        <f t="shared" si="120"/>
        <v>7.6712328767123292E-2</v>
      </c>
      <c r="AW325" s="26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57">
        <v>90</v>
      </c>
      <c r="K326" s="57">
        <v>90</v>
      </c>
      <c r="L326" s="57">
        <v>90</v>
      </c>
      <c r="M326" s="57">
        <v>26.5</v>
      </c>
      <c r="N326" s="63">
        <v>6.4</v>
      </c>
      <c r="O326" s="36">
        <v>1.5</v>
      </c>
      <c r="P326" s="57">
        <v>10</v>
      </c>
      <c r="Q326" s="63">
        <v>7.6</v>
      </c>
      <c r="R326" s="36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93">
        <f t="shared" si="117"/>
        <v>0.15612009237875288</v>
      </c>
      <c r="AT326" s="93">
        <f t="shared" si="118"/>
        <v>0.72886836027713631</v>
      </c>
      <c r="AU326" s="93">
        <f t="shared" si="119"/>
        <v>0.11501154734411086</v>
      </c>
      <c r="AV326" s="26">
        <f t="shared" si="120"/>
        <v>7.3126142595978064E-2</v>
      </c>
      <c r="AW326" s="26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57">
        <v>90</v>
      </c>
      <c r="K327" s="57">
        <v>90</v>
      </c>
      <c r="L327" s="57">
        <v>90</v>
      </c>
      <c r="M327" s="57">
        <v>26.6</v>
      </c>
      <c r="N327" s="63">
        <v>6.4</v>
      </c>
      <c r="O327" s="36">
        <v>1.43</v>
      </c>
      <c r="P327" s="57">
        <v>10</v>
      </c>
      <c r="Q327" s="63">
        <v>7.5</v>
      </c>
      <c r="R327" s="36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93">
        <f t="shared" si="117"/>
        <v>0.14965095986038393</v>
      </c>
      <c r="AT327" s="93">
        <f t="shared" si="118"/>
        <v>0.7417102966841187</v>
      </c>
      <c r="AU327" s="93">
        <f t="shared" si="119"/>
        <v>0.10863874345549739</v>
      </c>
      <c r="AV327" s="26">
        <f t="shared" si="120"/>
        <v>7.2727272727272724E-2</v>
      </c>
      <c r="AW327" s="26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57">
        <v>90</v>
      </c>
      <c r="K328" s="57">
        <v>90</v>
      </c>
      <c r="L328" s="57">
        <v>90</v>
      </c>
      <c r="M328" s="57">
        <v>25.5</v>
      </c>
      <c r="N328" s="63">
        <v>6.4</v>
      </c>
      <c r="O328" s="36">
        <v>1.71</v>
      </c>
      <c r="P328" s="57">
        <v>13</v>
      </c>
      <c r="Q328" s="63">
        <v>6.8</v>
      </c>
      <c r="R328" s="36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93">
        <f t="shared" si="117"/>
        <v>0.15233522479266695</v>
      </c>
      <c r="AT328" s="93">
        <f t="shared" si="118"/>
        <v>0.73854212134439112</v>
      </c>
      <c r="AU328" s="93">
        <f t="shared" si="119"/>
        <v>0.10912265386294194</v>
      </c>
      <c r="AV328" s="26">
        <f t="shared" si="120"/>
        <v>6.9838498472282851E-2</v>
      </c>
      <c r="AW328" s="26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57">
        <v>90</v>
      </c>
      <c r="K329" s="57">
        <v>90</v>
      </c>
      <c r="L329" s="57">
        <v>90</v>
      </c>
      <c r="M329" s="57">
        <v>23.6</v>
      </c>
      <c r="N329" s="63">
        <v>6.4</v>
      </c>
      <c r="O329" s="36">
        <v>1.46</v>
      </c>
      <c r="P329" s="57">
        <v>11</v>
      </c>
      <c r="Q329" s="63">
        <v>6.9</v>
      </c>
      <c r="R329" s="36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93">
        <f t="shared" si="117"/>
        <v>0.13724604966139956</v>
      </c>
      <c r="AT329" s="93">
        <f t="shared" si="118"/>
        <v>0.6654627539503386</v>
      </c>
      <c r="AU329" s="93">
        <f t="shared" si="119"/>
        <v>0.19729119638826184</v>
      </c>
      <c r="AV329" s="26">
        <f t="shared" si="120"/>
        <v>6.9767441860465115E-2</v>
      </c>
      <c r="AW329" s="26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57">
        <v>90</v>
      </c>
      <c r="K330" s="57">
        <v>90</v>
      </c>
      <c r="L330" s="57">
        <v>90</v>
      </c>
      <c r="M330" s="57">
        <v>25.4</v>
      </c>
      <c r="N330" s="63">
        <v>6.4</v>
      </c>
      <c r="O330" s="36">
        <v>1.54</v>
      </c>
      <c r="P330" s="57">
        <v>11</v>
      </c>
      <c r="Q330" s="63">
        <v>6.5</v>
      </c>
      <c r="R330" s="36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93">
        <f t="shared" si="117"/>
        <v>0.13514699429574376</v>
      </c>
      <c r="AT330" s="93">
        <f t="shared" si="118"/>
        <v>0.67529618253620005</v>
      </c>
      <c r="AU330" s="93">
        <f t="shared" si="119"/>
        <v>0.18955682316805617</v>
      </c>
      <c r="AV330" s="26">
        <f t="shared" si="120"/>
        <v>6.9709543568464732E-2</v>
      </c>
      <c r="AW330" s="26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57">
        <v>90</v>
      </c>
      <c r="K331" s="57">
        <v>90</v>
      </c>
      <c r="L331" s="57">
        <v>90</v>
      </c>
      <c r="M331" s="57">
        <v>25.5</v>
      </c>
      <c r="N331" s="63">
        <v>6.4</v>
      </c>
      <c r="O331" s="36">
        <v>1.5</v>
      </c>
      <c r="P331" s="57">
        <v>14</v>
      </c>
      <c r="Q331" s="63">
        <v>6.9</v>
      </c>
      <c r="R331" s="36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93">
        <f t="shared" si="117"/>
        <v>0.14323258869908015</v>
      </c>
      <c r="AT331" s="93">
        <f t="shared" si="118"/>
        <v>0.68068331143232585</v>
      </c>
      <c r="AU331" s="93">
        <f t="shared" si="119"/>
        <v>0.17608409986859397</v>
      </c>
      <c r="AV331" s="26">
        <f t="shared" si="120"/>
        <v>6.7687348912167614E-2</v>
      </c>
      <c r="AW331" s="26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58">
        <v>90</v>
      </c>
      <c r="K332" s="58">
        <v>90</v>
      </c>
      <c r="L332" s="58">
        <v>90</v>
      </c>
      <c r="M332" s="58">
        <v>24.4</v>
      </c>
      <c r="N332" s="64">
        <v>6.4</v>
      </c>
      <c r="O332" s="37">
        <v>1.57</v>
      </c>
      <c r="P332" s="58">
        <v>13</v>
      </c>
      <c r="Q332" s="64">
        <v>6.9</v>
      </c>
      <c r="R332" s="37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93">
        <f t="shared" si="117"/>
        <v>0.14240506329113925</v>
      </c>
      <c r="AT332" s="93">
        <f t="shared" si="118"/>
        <v>0.67631103074141052</v>
      </c>
      <c r="AU332" s="93">
        <f t="shared" si="119"/>
        <v>0.18128390596745028</v>
      </c>
      <c r="AV332" s="26">
        <f t="shared" si="120"/>
        <v>7.0351758793969849E-2</v>
      </c>
      <c r="AW332" s="26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59">
        <v>90</v>
      </c>
      <c r="K333" s="59">
        <v>90</v>
      </c>
      <c r="L333" s="59">
        <v>90</v>
      </c>
      <c r="M333" s="59">
        <v>25.1</v>
      </c>
      <c r="N333" s="65">
        <v>6.4</v>
      </c>
      <c r="O333" s="38">
        <v>1.4</v>
      </c>
      <c r="P333" s="59">
        <v>10</v>
      </c>
      <c r="Q333" s="65">
        <v>7.2</v>
      </c>
      <c r="R333" s="38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93">
        <f t="shared" si="117"/>
        <v>0.17010545621274645</v>
      </c>
      <c r="AT333" s="93">
        <f t="shared" si="118"/>
        <v>0.60018340210912424</v>
      </c>
      <c r="AU333" s="93">
        <f t="shared" si="119"/>
        <v>0.22971114167812931</v>
      </c>
      <c r="AV333" s="26">
        <f t="shared" si="120"/>
        <v>7.2347826086956529E-2</v>
      </c>
      <c r="AW333" s="26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57">
        <v>90</v>
      </c>
      <c r="K334" s="57">
        <v>90</v>
      </c>
      <c r="L334" s="57">
        <v>90</v>
      </c>
      <c r="M334" s="57">
        <v>26</v>
      </c>
      <c r="N334" s="63">
        <v>6.5</v>
      </c>
      <c r="O334" s="36">
        <v>1.48</v>
      </c>
      <c r="P334" s="57">
        <v>10</v>
      </c>
      <c r="Q334" s="63">
        <v>7</v>
      </c>
      <c r="R334" s="36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93">
        <f t="shared" si="117"/>
        <v>0.16773897058823528</v>
      </c>
      <c r="AT334" s="93">
        <f t="shared" si="118"/>
        <v>0.64797794117647056</v>
      </c>
      <c r="AU334" s="93">
        <f t="shared" si="119"/>
        <v>0.18428308823529413</v>
      </c>
      <c r="AV334" s="26">
        <f t="shared" si="120"/>
        <v>7.9579148732663793E-2</v>
      </c>
      <c r="AW334" s="26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57">
        <v>90</v>
      </c>
      <c r="K335" s="57">
        <v>90</v>
      </c>
      <c r="L335" s="57">
        <v>90</v>
      </c>
      <c r="M335" s="57">
        <v>26.6</v>
      </c>
      <c r="N335" s="63">
        <v>6.4</v>
      </c>
      <c r="O335" s="36">
        <v>1.47</v>
      </c>
      <c r="P335" s="57">
        <v>9</v>
      </c>
      <c r="Q335" s="63">
        <v>7.1</v>
      </c>
      <c r="R335" s="36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93">
        <f t="shared" si="117"/>
        <v>0.11894273127753303</v>
      </c>
      <c r="AT335" s="93">
        <f t="shared" si="118"/>
        <v>0.70484581497797361</v>
      </c>
      <c r="AU335" s="93">
        <f t="shared" si="119"/>
        <v>0.1762114537444934</v>
      </c>
      <c r="AV335" s="26">
        <f t="shared" si="120"/>
        <v>7.3046532045654089E-2</v>
      </c>
      <c r="AW335" s="26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57">
        <v>90</v>
      </c>
      <c r="K336" s="57">
        <v>90</v>
      </c>
      <c r="L336" s="57">
        <v>90</v>
      </c>
      <c r="M336" s="57">
        <v>26.4</v>
      </c>
      <c r="N336" s="63">
        <v>6.5</v>
      </c>
      <c r="O336" s="36">
        <v>1.32</v>
      </c>
      <c r="P336" s="57">
        <v>10</v>
      </c>
      <c r="Q336" s="63">
        <v>9.5</v>
      </c>
      <c r="R336" s="36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93">
        <f t="shared" si="117"/>
        <v>0.11198257080610022</v>
      </c>
      <c r="AT336" s="93">
        <f t="shared" si="118"/>
        <v>0.71372549019607845</v>
      </c>
      <c r="AU336" s="93">
        <f t="shared" si="119"/>
        <v>0.17429193899782136</v>
      </c>
      <c r="AV336" s="26">
        <f t="shared" si="120"/>
        <v>7.3107049608355096E-2</v>
      </c>
      <c r="AW336" s="26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57">
        <v>30</v>
      </c>
      <c r="K337" s="57">
        <v>30</v>
      </c>
      <c r="L337" s="57">
        <v>90</v>
      </c>
      <c r="M337" s="57">
        <v>25.2</v>
      </c>
      <c r="N337" s="63">
        <v>6.6</v>
      </c>
      <c r="O337" s="36">
        <v>1.34</v>
      </c>
      <c r="P337" s="57">
        <v>10</v>
      </c>
      <c r="Q337" s="63">
        <v>7</v>
      </c>
      <c r="R337" s="36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93">
        <f t="shared" si="117"/>
        <v>0.11684782608695653</v>
      </c>
      <c r="AT337" s="93">
        <f t="shared" si="118"/>
        <v>0.70244565217391308</v>
      </c>
      <c r="AU337" s="93">
        <f t="shared" si="119"/>
        <v>0.18070652173913043</v>
      </c>
      <c r="AV337" s="26">
        <f t="shared" si="120"/>
        <v>7.4866310160427801E-2</v>
      </c>
      <c r="AW337" s="26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57">
        <v>30</v>
      </c>
      <c r="K338" s="57">
        <v>30</v>
      </c>
      <c r="L338" s="57">
        <v>30</v>
      </c>
      <c r="M338" s="57">
        <v>25.1</v>
      </c>
      <c r="N338" s="63">
        <v>6.6</v>
      </c>
      <c r="O338" s="36">
        <v>1.29</v>
      </c>
      <c r="P338" s="57">
        <v>9</v>
      </c>
      <c r="Q338" s="63">
        <v>7.2</v>
      </c>
      <c r="R338" s="36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93">
        <f t="shared" si="117"/>
        <v>0.11570611526616806</v>
      </c>
      <c r="AT338" s="93">
        <f t="shared" si="118"/>
        <v>0.70831500219973598</v>
      </c>
      <c r="AU338" s="93">
        <f t="shared" si="119"/>
        <v>0.17597888253409591</v>
      </c>
      <c r="AV338" s="26">
        <f t="shared" si="120"/>
        <v>7.2727272727272724E-2</v>
      </c>
      <c r="AW338" s="26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57">
        <v>90</v>
      </c>
      <c r="K339" s="57">
        <v>90</v>
      </c>
      <c r="L339" s="57">
        <v>90</v>
      </c>
      <c r="M339" s="57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36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93">
        <f t="shared" si="117"/>
        <v>0.11597374179431072</v>
      </c>
      <c r="AT339" s="93">
        <f t="shared" si="118"/>
        <v>0.70897155361050324</v>
      </c>
      <c r="AU339" s="93">
        <f t="shared" si="119"/>
        <v>0.17505470459518599</v>
      </c>
      <c r="AV339" s="26">
        <f t="shared" si="120"/>
        <v>7.5960293482952093E-2</v>
      </c>
      <c r="AW339" s="26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58">
        <v>90</v>
      </c>
      <c r="K340" s="58">
        <v>90</v>
      </c>
      <c r="L340" s="58">
        <v>90</v>
      </c>
      <c r="M340" s="58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37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93">
        <f t="shared" si="117"/>
        <v>0.1159484673478454</v>
      </c>
      <c r="AT340" s="93">
        <f t="shared" si="118"/>
        <v>0.70635273211905825</v>
      </c>
      <c r="AU340" s="93">
        <f t="shared" si="119"/>
        <v>0.17769880053309639</v>
      </c>
      <c r="AV340" s="26">
        <f t="shared" si="120"/>
        <v>7.7841662980981871E-2</v>
      </c>
      <c r="AW340" s="26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57">
        <v>90</v>
      </c>
      <c r="K341" s="57">
        <v>90</v>
      </c>
      <c r="L341" s="57">
        <v>90</v>
      </c>
      <c r="M341" s="57">
        <v>25.8</v>
      </c>
      <c r="N341" s="63">
        <v>6.4</v>
      </c>
      <c r="O341" s="36">
        <v>1.5</v>
      </c>
      <c r="P341" s="57">
        <v>12</v>
      </c>
      <c r="Q341" s="63">
        <v>7</v>
      </c>
      <c r="R341" s="36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93">
        <f t="shared" si="117"/>
        <v>0.19649280575539568</v>
      </c>
      <c r="AT341" s="93">
        <f t="shared" si="118"/>
        <v>0.69109712230215825</v>
      </c>
      <c r="AU341" s="93">
        <f t="shared" si="119"/>
        <v>0.11241007194244604</v>
      </c>
      <c r="AV341" s="26">
        <f t="shared" si="120"/>
        <v>7.2916666666666671E-2</v>
      </c>
      <c r="AW341" s="26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57">
        <v>90</v>
      </c>
      <c r="K342" s="57">
        <v>90</v>
      </c>
      <c r="L342" s="57">
        <v>90</v>
      </c>
      <c r="M342" s="57">
        <v>26</v>
      </c>
      <c r="N342" s="63">
        <v>6.6</v>
      </c>
      <c r="O342" s="36">
        <v>1.41</v>
      </c>
      <c r="P342" s="57">
        <v>10</v>
      </c>
      <c r="Q342" s="63">
        <v>6.3</v>
      </c>
      <c r="R342" s="36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93">
        <f t="shared" si="117"/>
        <v>0.19907407407407407</v>
      </c>
      <c r="AT342" s="93">
        <f t="shared" si="118"/>
        <v>0.70833333333333337</v>
      </c>
      <c r="AU342" s="93">
        <f t="shared" si="119"/>
        <v>9.2592592592592587E-2</v>
      </c>
      <c r="AV342" s="26">
        <f t="shared" si="120"/>
        <v>7.4336283185840707E-2</v>
      </c>
      <c r="AW342" s="26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57">
        <v>90</v>
      </c>
      <c r="K343" s="57">
        <v>90</v>
      </c>
      <c r="L343" s="57">
        <v>90</v>
      </c>
      <c r="M343" s="57">
        <v>26.1</v>
      </c>
      <c r="N343" s="63">
        <v>6.5</v>
      </c>
      <c r="O343" s="36">
        <v>2.4</v>
      </c>
      <c r="P343" s="57">
        <v>10</v>
      </c>
      <c r="Q343" s="63">
        <v>6.5</v>
      </c>
      <c r="R343" s="36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93">
        <f t="shared" si="117"/>
        <v>0.15610651974288339</v>
      </c>
      <c r="AT343" s="93">
        <f t="shared" si="118"/>
        <v>0.75206611570247939</v>
      </c>
      <c r="AU343" s="93">
        <f t="shared" si="119"/>
        <v>9.1827364554637275E-2</v>
      </c>
      <c r="AV343" s="26">
        <f t="shared" si="120"/>
        <v>7.503349709691827E-2</v>
      </c>
      <c r="AW343" s="26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57">
        <v>90</v>
      </c>
      <c r="K344" s="57">
        <v>90</v>
      </c>
      <c r="L344" s="57">
        <v>90</v>
      </c>
      <c r="M344" s="57">
        <v>26</v>
      </c>
      <c r="N344" s="63">
        <v>6.5</v>
      </c>
      <c r="O344" s="36">
        <v>1.37</v>
      </c>
      <c r="P344" s="57">
        <v>11</v>
      </c>
      <c r="Q344" s="63">
        <v>6.6</v>
      </c>
      <c r="R344" s="36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93">
        <f t="shared" si="117"/>
        <v>0.15494912118408879</v>
      </c>
      <c r="AT344" s="93">
        <f t="shared" si="118"/>
        <v>0.75254394079555964</v>
      </c>
      <c r="AU344" s="93">
        <f t="shared" si="119"/>
        <v>9.2506938020351523E-2</v>
      </c>
      <c r="AV344" s="26">
        <f t="shared" si="120"/>
        <v>7.636363636363637E-2</v>
      </c>
      <c r="AW344" s="26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57">
        <v>90</v>
      </c>
      <c r="K345" s="57">
        <v>90</v>
      </c>
      <c r="L345" s="57">
        <v>90</v>
      </c>
      <c r="M345" s="57">
        <v>25.6</v>
      </c>
      <c r="N345" s="63">
        <v>6.4</v>
      </c>
      <c r="O345" s="36">
        <v>1.38</v>
      </c>
      <c r="P345" s="57">
        <v>12</v>
      </c>
      <c r="Q345" s="63">
        <v>7.5</v>
      </c>
      <c r="R345" s="36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93">
        <f t="shared" si="117"/>
        <v>0.15596330275229359</v>
      </c>
      <c r="AT345" s="93">
        <f t="shared" si="118"/>
        <v>0.75229357798165142</v>
      </c>
      <c r="AU345" s="93">
        <f t="shared" si="119"/>
        <v>9.1743119266055051E-2</v>
      </c>
      <c r="AV345" s="26">
        <f t="shared" si="120"/>
        <v>7.3813708260105443E-2</v>
      </c>
      <c r="AW345" s="26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57">
        <v>90</v>
      </c>
      <c r="K346" s="57">
        <v>90</v>
      </c>
      <c r="L346" s="57">
        <v>90</v>
      </c>
      <c r="M346" s="57">
        <v>25</v>
      </c>
      <c r="N346" s="63">
        <v>6.5</v>
      </c>
      <c r="O346" s="36">
        <v>1.23</v>
      </c>
      <c r="P346" s="57">
        <v>14</v>
      </c>
      <c r="Q346" s="63">
        <v>6.9</v>
      </c>
      <c r="R346" s="36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93">
        <f t="shared" si="117"/>
        <v>0.15581499775482713</v>
      </c>
      <c r="AT346" s="93">
        <f t="shared" si="118"/>
        <v>0.75437808711270771</v>
      </c>
      <c r="AU346" s="93">
        <f t="shared" si="119"/>
        <v>8.9806915132465207E-2</v>
      </c>
      <c r="AV346" s="26">
        <f t="shared" si="120"/>
        <v>7.3911130664320285E-2</v>
      </c>
      <c r="AW346" s="26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57">
        <v>90</v>
      </c>
      <c r="K347" s="57">
        <v>90</v>
      </c>
      <c r="L347" s="57">
        <v>90</v>
      </c>
      <c r="M347" s="57">
        <v>25.3</v>
      </c>
      <c r="N347" s="63">
        <v>6.4</v>
      </c>
      <c r="O347" s="36">
        <v>1.43</v>
      </c>
      <c r="P347" s="57">
        <v>11</v>
      </c>
      <c r="Q347" s="63">
        <v>7</v>
      </c>
      <c r="R347" s="36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93">
        <f t="shared" si="117"/>
        <v>0.15753109166282819</v>
      </c>
      <c r="AT347" s="93">
        <f t="shared" si="118"/>
        <v>0.75034546292031323</v>
      </c>
      <c r="AU347" s="93">
        <f t="shared" si="119"/>
        <v>9.2123445416858588E-2</v>
      </c>
      <c r="AV347" s="26">
        <f t="shared" si="120"/>
        <v>7.5539568345323743E-2</v>
      </c>
      <c r="AW347" s="26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57">
        <v>30</v>
      </c>
      <c r="K348" s="57">
        <v>90</v>
      </c>
      <c r="L348" s="57">
        <v>90</v>
      </c>
      <c r="M348" s="57">
        <v>25.5</v>
      </c>
      <c r="N348" s="63">
        <v>6.5</v>
      </c>
      <c r="O348" s="36">
        <v>1.18</v>
      </c>
      <c r="P348" s="57">
        <v>3</v>
      </c>
      <c r="Q348" s="63">
        <v>6.6</v>
      </c>
      <c r="R348" s="36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93">
        <f t="shared" si="117"/>
        <v>0.16111111111111112</v>
      </c>
      <c r="AT348" s="93">
        <f t="shared" si="118"/>
        <v>0.74629629629629635</v>
      </c>
      <c r="AU348" s="93">
        <f t="shared" si="119"/>
        <v>9.2592592592592587E-2</v>
      </c>
      <c r="AV348" s="26">
        <f t="shared" si="120"/>
        <v>7.584650112866817E-2</v>
      </c>
      <c r="AW348" s="26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58">
        <v>90</v>
      </c>
      <c r="K349" s="58">
        <v>90</v>
      </c>
      <c r="L349" s="58">
        <v>30</v>
      </c>
      <c r="M349" s="58">
        <v>25.2</v>
      </c>
      <c r="N349" s="64">
        <v>6.4</v>
      </c>
      <c r="O349" s="37">
        <v>1.21</v>
      </c>
      <c r="P349" s="58">
        <v>4</v>
      </c>
      <c r="Q349" s="64">
        <v>7.1</v>
      </c>
      <c r="R349" s="37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93">
        <f t="shared" si="117"/>
        <v>0.16201372997711672</v>
      </c>
      <c r="AT349" s="93">
        <f t="shared" si="118"/>
        <v>0.74645308924485121</v>
      </c>
      <c r="AU349" s="93">
        <f t="shared" si="119"/>
        <v>9.1533180778032033E-2</v>
      </c>
      <c r="AV349" s="26">
        <f t="shared" si="120"/>
        <v>7.0021881838074396E-2</v>
      </c>
      <c r="AW349" s="26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59">
        <v>90</v>
      </c>
      <c r="K350" s="59">
        <v>90</v>
      </c>
      <c r="L350" s="59">
        <v>90</v>
      </c>
      <c r="M350" s="59">
        <v>24.9</v>
      </c>
      <c r="N350" s="65">
        <v>6.5</v>
      </c>
      <c r="O350" s="38">
        <v>1.3</v>
      </c>
      <c r="P350" s="59">
        <v>6</v>
      </c>
      <c r="Q350" s="65">
        <v>6.8</v>
      </c>
      <c r="R350" s="38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93">
        <f t="shared" si="117"/>
        <v>0.15732855221873598</v>
      </c>
      <c r="AT350" s="93">
        <f t="shared" si="118"/>
        <v>0.75302554908112951</v>
      </c>
      <c r="AU350" s="93">
        <f t="shared" si="119"/>
        <v>8.9645898700134466E-2</v>
      </c>
      <c r="AV350" s="26">
        <f t="shared" si="120"/>
        <v>7.3911130664320285E-2</v>
      </c>
      <c r="AW350" s="26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57">
        <v>90</v>
      </c>
      <c r="K351" s="57">
        <v>90</v>
      </c>
      <c r="L351" s="57">
        <v>90</v>
      </c>
      <c r="M351" s="57">
        <v>25</v>
      </c>
      <c r="N351" s="63">
        <v>6.4</v>
      </c>
      <c r="O351" s="36">
        <v>1.34</v>
      </c>
      <c r="P351" s="57">
        <v>11</v>
      </c>
      <c r="Q351" s="63">
        <v>5.9</v>
      </c>
      <c r="R351" s="36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93">
        <f t="shared" si="117"/>
        <v>0.12827004219409283</v>
      </c>
      <c r="AT351" s="93">
        <f t="shared" si="118"/>
        <v>0.72405063291139238</v>
      </c>
      <c r="AU351" s="93">
        <f t="shared" si="119"/>
        <v>0.14767932489451477</v>
      </c>
      <c r="AV351" s="26">
        <f t="shared" si="120"/>
        <v>6.9747166521360066E-2</v>
      </c>
      <c r="AW351" s="26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57">
        <v>90</v>
      </c>
      <c r="K352" s="57">
        <v>90</v>
      </c>
      <c r="L352" s="57">
        <v>90</v>
      </c>
      <c r="M352" s="57">
        <v>26.7</v>
      </c>
      <c r="N352" s="63">
        <v>6.5</v>
      </c>
      <c r="O352" s="36">
        <v>1.24</v>
      </c>
      <c r="P352" s="57">
        <v>10</v>
      </c>
      <c r="Q352" s="63">
        <v>6.2</v>
      </c>
      <c r="R352" s="36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93">
        <f t="shared" si="117"/>
        <v>0.12314410480349346</v>
      </c>
      <c r="AT352" s="93">
        <f t="shared" si="118"/>
        <v>0.72445414847161571</v>
      </c>
      <c r="AU352" s="93">
        <f t="shared" si="119"/>
        <v>0.15240174672489082</v>
      </c>
      <c r="AV352" s="26">
        <f t="shared" si="120"/>
        <v>6.7170445004198151E-2</v>
      </c>
      <c r="AW352" s="26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57">
        <v>90</v>
      </c>
      <c r="K353" s="57">
        <v>90</v>
      </c>
      <c r="L353" s="57">
        <v>90</v>
      </c>
      <c r="M353" s="57">
        <v>26.5</v>
      </c>
      <c r="N353" s="63">
        <v>6.5</v>
      </c>
      <c r="O353" s="36">
        <v>1.31</v>
      </c>
      <c r="P353" s="57">
        <v>9</v>
      </c>
      <c r="Q353" s="63">
        <v>6</v>
      </c>
      <c r="R353" s="36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93">
        <f t="shared" si="117"/>
        <v>0.12172774869109948</v>
      </c>
      <c r="AT353" s="93">
        <f t="shared" si="118"/>
        <v>0.72600349040139611</v>
      </c>
      <c r="AU353" s="93">
        <f t="shared" si="119"/>
        <v>0.15226876090750435</v>
      </c>
      <c r="AV353" s="26">
        <f t="shared" si="120"/>
        <v>6.9204152249134954E-2</v>
      </c>
      <c r="AW353" s="26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57">
        <v>90</v>
      </c>
      <c r="K354" s="57">
        <v>90</v>
      </c>
      <c r="L354" s="57">
        <v>90</v>
      </c>
      <c r="M354" s="57">
        <v>26.2</v>
      </c>
      <c r="N354" s="63">
        <v>6.4</v>
      </c>
      <c r="O354" s="36">
        <v>1.21</v>
      </c>
      <c r="P354" s="57">
        <v>10</v>
      </c>
      <c r="Q354" s="63">
        <v>6.7</v>
      </c>
      <c r="R354" s="36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93">
        <f t="shared" si="117"/>
        <v>0.13157894736842105</v>
      </c>
      <c r="AT354" s="93">
        <f t="shared" si="118"/>
        <v>0.71491228070175439</v>
      </c>
      <c r="AU354" s="93">
        <f t="shared" si="119"/>
        <v>0.15350877192982457</v>
      </c>
      <c r="AV354" s="26">
        <f t="shared" si="120"/>
        <v>6.8876452862677573E-2</v>
      </c>
      <c r="AW354" s="26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57">
        <v>90</v>
      </c>
      <c r="K355" s="57">
        <v>90</v>
      </c>
      <c r="L355" s="57">
        <v>90</v>
      </c>
      <c r="M355" s="57">
        <v>25.6</v>
      </c>
      <c r="N355" s="63">
        <v>6.4</v>
      </c>
      <c r="O355" s="36">
        <v>1.18</v>
      </c>
      <c r="P355" s="57">
        <v>11</v>
      </c>
      <c r="Q355" s="63">
        <v>7</v>
      </c>
      <c r="R355" s="36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93">
        <f t="shared" si="117"/>
        <v>0.11682037768994291</v>
      </c>
      <c r="AT355" s="93">
        <f t="shared" si="118"/>
        <v>0.7299077733860343</v>
      </c>
      <c r="AU355" s="93">
        <f t="shared" si="119"/>
        <v>0.15327184892402285</v>
      </c>
      <c r="AV355" s="26">
        <f t="shared" si="120"/>
        <v>6.76246830092984E-2</v>
      </c>
      <c r="AW355" s="26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57">
        <v>90</v>
      </c>
      <c r="K356" s="57">
        <v>90</v>
      </c>
      <c r="L356" s="57">
        <v>90</v>
      </c>
      <c r="M356" s="57">
        <v>25.1</v>
      </c>
      <c r="N356" s="63">
        <v>6.4</v>
      </c>
      <c r="O356" s="36">
        <v>1.24</v>
      </c>
      <c r="P356" s="57">
        <v>9</v>
      </c>
      <c r="Q356" s="63">
        <v>6.6</v>
      </c>
      <c r="R356" s="36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93">
        <f t="shared" si="117"/>
        <v>0.11946902654867257</v>
      </c>
      <c r="AT356" s="93">
        <f t="shared" si="118"/>
        <v>0.72566371681415931</v>
      </c>
      <c r="AU356" s="93">
        <f t="shared" si="119"/>
        <v>0.15486725663716813</v>
      </c>
      <c r="AV356" s="26">
        <f t="shared" si="120"/>
        <v>6.7226890756302518E-2</v>
      </c>
      <c r="AW356" s="26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57">
        <v>90</v>
      </c>
      <c r="K357" s="57">
        <v>90</v>
      </c>
      <c r="L357" s="57">
        <v>90</v>
      </c>
      <c r="M357" s="57">
        <v>24.9</v>
      </c>
      <c r="N357" s="63">
        <v>6.4</v>
      </c>
      <c r="O357" s="36">
        <v>1.21</v>
      </c>
      <c r="P357" s="57">
        <v>10</v>
      </c>
      <c r="Q357" s="63">
        <v>6.8</v>
      </c>
      <c r="R357" s="36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93">
        <f t="shared" si="117"/>
        <v>0.11797752808988764</v>
      </c>
      <c r="AT357" s="93">
        <f t="shared" si="118"/>
        <v>0.73076923076923073</v>
      </c>
      <c r="AU357" s="93">
        <f t="shared" si="119"/>
        <v>0.15125324114088159</v>
      </c>
      <c r="AV357" s="26">
        <f t="shared" si="120"/>
        <v>6.0905976398934143E-2</v>
      </c>
      <c r="AW357" s="26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58">
        <v>90</v>
      </c>
      <c r="K358" s="58">
        <v>90</v>
      </c>
      <c r="L358" s="58">
        <v>90</v>
      </c>
      <c r="M358" s="58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37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93">
        <f t="shared" si="117"/>
        <v>0.11754611754611755</v>
      </c>
      <c r="AT358" s="93">
        <f t="shared" si="118"/>
        <v>0.73273273273273276</v>
      </c>
      <c r="AU358" s="93">
        <f t="shared" si="119"/>
        <v>0.14972114972114972</v>
      </c>
      <c r="AV358" s="26">
        <f t="shared" si="120"/>
        <v>6.8640068640068636E-2</v>
      </c>
      <c r="AW358" s="26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59">
        <v>90</v>
      </c>
      <c r="K359" s="59">
        <v>90</v>
      </c>
      <c r="L359" s="59">
        <v>90</v>
      </c>
      <c r="M359" s="59">
        <v>24.4</v>
      </c>
      <c r="N359" s="65">
        <v>6.4</v>
      </c>
      <c r="O359" s="38">
        <v>1.22</v>
      </c>
      <c r="P359" s="59">
        <v>10</v>
      </c>
      <c r="Q359" s="65">
        <v>7.6</v>
      </c>
      <c r="R359" s="38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93">
        <f t="shared" si="117"/>
        <v>0.12227447627191107</v>
      </c>
      <c r="AT359" s="93">
        <f t="shared" si="118"/>
        <v>0.72894399315946989</v>
      </c>
      <c r="AU359" s="93">
        <f t="shared" si="119"/>
        <v>0.14878153056861906</v>
      </c>
      <c r="AV359" s="26">
        <f t="shared" si="120"/>
        <v>7.2289156626506021E-2</v>
      </c>
      <c r="AW359" s="26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57">
        <v>90</v>
      </c>
      <c r="K360" s="57">
        <v>90</v>
      </c>
      <c r="L360" s="57">
        <v>90</v>
      </c>
      <c r="M360" s="57">
        <v>24.3</v>
      </c>
      <c r="N360" s="63">
        <v>6.4</v>
      </c>
      <c r="O360" s="36">
        <v>1.23</v>
      </c>
      <c r="P360" s="57">
        <v>10</v>
      </c>
      <c r="Q360" s="63">
        <v>6.4</v>
      </c>
      <c r="R360" s="36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93">
        <f t="shared" si="117"/>
        <v>0.12256388046773495</v>
      </c>
      <c r="AT360" s="93">
        <f t="shared" si="118"/>
        <v>0.72628843655262021</v>
      </c>
      <c r="AU360" s="93">
        <f t="shared" si="119"/>
        <v>0.15114768297964487</v>
      </c>
      <c r="AV360" s="26">
        <f t="shared" si="120"/>
        <v>7.2507552870090641E-2</v>
      </c>
      <c r="AW360" s="26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57">
        <v>90</v>
      </c>
      <c r="K361" s="57">
        <v>90</v>
      </c>
      <c r="L361" s="57">
        <v>90</v>
      </c>
      <c r="M361" s="57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36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93">
        <f t="shared" si="117"/>
        <v>0.12247585601404741</v>
      </c>
      <c r="AT361" s="93">
        <f t="shared" si="118"/>
        <v>0.72344161545215102</v>
      </c>
      <c r="AU361" s="93">
        <f t="shared" si="119"/>
        <v>0.15408252853380158</v>
      </c>
      <c r="AV361" s="26">
        <f t="shared" si="120"/>
        <v>7.1096064325010574E-2</v>
      </c>
      <c r="AW361" s="26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57">
        <v>90</v>
      </c>
      <c r="K362" s="57">
        <v>90</v>
      </c>
      <c r="L362" s="57">
        <v>90</v>
      </c>
      <c r="M362" s="57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36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93">
        <f t="shared" si="117"/>
        <v>0.11915077989601386</v>
      </c>
      <c r="AT362" s="93">
        <f t="shared" si="118"/>
        <v>0.72920277296360481</v>
      </c>
      <c r="AU362" s="93">
        <f t="shared" si="119"/>
        <v>0.15164644714038128</v>
      </c>
      <c r="AV362" s="26">
        <f t="shared" si="120"/>
        <v>7.0351758793969849E-2</v>
      </c>
      <c r="AW362" s="26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57">
        <v>90</v>
      </c>
      <c r="K363" s="57">
        <v>90</v>
      </c>
      <c r="L363" s="57">
        <v>90</v>
      </c>
      <c r="M363" s="57">
        <v>24.7</v>
      </c>
      <c r="N363" s="63">
        <v>6.5</v>
      </c>
      <c r="O363" s="36">
        <v>1.08</v>
      </c>
      <c r="P363" s="57">
        <v>14</v>
      </c>
      <c r="Q363" s="63">
        <v>7.1</v>
      </c>
      <c r="R363" s="36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93">
        <f t="shared" si="117"/>
        <v>0.25248301097752224</v>
      </c>
      <c r="AT363" s="93">
        <f t="shared" si="118"/>
        <v>0.538421327757449</v>
      </c>
      <c r="AU363" s="93">
        <f t="shared" si="119"/>
        <v>0.20909566126502874</v>
      </c>
      <c r="AV363" s="26">
        <f t="shared" si="120"/>
        <v>8.5409252669039148E-2</v>
      </c>
      <c r="AW363" s="26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57">
        <v>90</v>
      </c>
      <c r="K364" s="57">
        <v>90</v>
      </c>
      <c r="L364" s="57">
        <v>90</v>
      </c>
      <c r="M364" s="57">
        <v>24.4</v>
      </c>
      <c r="N364" s="63">
        <v>6.6</v>
      </c>
      <c r="O364" s="36">
        <v>1.19</v>
      </c>
      <c r="P364" s="57">
        <v>14</v>
      </c>
      <c r="Q364" s="63">
        <v>7.9</v>
      </c>
      <c r="R364" s="36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93">
        <f t="shared" si="117"/>
        <v>0.24351508734780308</v>
      </c>
      <c r="AT364" s="93">
        <f t="shared" si="118"/>
        <v>0.54049761778718897</v>
      </c>
      <c r="AU364" s="93">
        <f t="shared" si="119"/>
        <v>0.21598729486500795</v>
      </c>
      <c r="AV364" s="26">
        <f t="shared" si="120"/>
        <v>8.5149518499746585E-2</v>
      </c>
      <c r="AW364" s="26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57">
        <v>90</v>
      </c>
      <c r="K365" s="57">
        <v>90</v>
      </c>
      <c r="L365" s="57">
        <v>90</v>
      </c>
      <c r="M365" s="57">
        <v>24.5</v>
      </c>
      <c r="N365" s="63">
        <v>6.5</v>
      </c>
      <c r="O365" s="36">
        <v>1.31</v>
      </c>
      <c r="P365" s="57">
        <v>8</v>
      </c>
      <c r="Q365" s="63">
        <v>6.7</v>
      </c>
      <c r="R365" s="36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93">
        <f t="shared" si="117"/>
        <v>0</v>
      </c>
      <c r="AT365" s="93">
        <f t="shared" si="118"/>
        <v>0.79731861198738174</v>
      </c>
      <c r="AU365" s="93">
        <f t="shared" si="119"/>
        <v>0.20268138801261829</v>
      </c>
      <c r="AV365" s="26">
        <f t="shared" si="120"/>
        <v>6.6719618745035736E-2</v>
      </c>
      <c r="AW365" s="26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57">
        <v>90</v>
      </c>
      <c r="K366" s="57">
        <v>90</v>
      </c>
      <c r="L366" s="57">
        <v>90</v>
      </c>
      <c r="M366" s="57">
        <v>24.3</v>
      </c>
      <c r="N366" s="63">
        <v>6.5</v>
      </c>
      <c r="O366" s="36">
        <v>1.28</v>
      </c>
      <c r="P366" s="57">
        <v>8</v>
      </c>
      <c r="Q366" s="63">
        <v>6.6</v>
      </c>
      <c r="R366" s="36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93">
        <f t="shared" si="117"/>
        <v>0</v>
      </c>
      <c r="AT366" s="93">
        <f t="shared" si="118"/>
        <v>0.79552715654952078</v>
      </c>
      <c r="AU366" s="93">
        <f t="shared" si="119"/>
        <v>0.20447284345047922</v>
      </c>
      <c r="AV366" s="26">
        <f t="shared" si="120"/>
        <v>6.4516129032258063E-2</v>
      </c>
      <c r="AW366" s="26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58">
        <v>90</v>
      </c>
      <c r="K367" s="58">
        <v>90</v>
      </c>
      <c r="L367" s="58">
        <v>90</v>
      </c>
      <c r="M367" s="58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37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93">
        <f t="shared" si="117"/>
        <v>0</v>
      </c>
      <c r="AT367" s="93">
        <f t="shared" si="118"/>
        <v>0.79552715654952078</v>
      </c>
      <c r="AU367" s="93">
        <f t="shared" si="119"/>
        <v>0.20447284345047922</v>
      </c>
      <c r="AV367" s="26">
        <f t="shared" si="120"/>
        <v>6.4615384615384616E-2</v>
      </c>
      <c r="AW367" s="26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59">
        <v>90</v>
      </c>
      <c r="K368" s="59">
        <v>90</v>
      </c>
      <c r="L368" s="59">
        <v>90</v>
      </c>
      <c r="M368" s="59">
        <v>24.6</v>
      </c>
      <c r="N368" s="65">
        <v>6.5</v>
      </c>
      <c r="O368" s="38">
        <v>1.04</v>
      </c>
      <c r="P368" s="59">
        <v>6</v>
      </c>
      <c r="Q368" s="65">
        <v>6.4</v>
      </c>
      <c r="R368" s="38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93">
        <f t="shared" si="117"/>
        <v>0</v>
      </c>
      <c r="AT368" s="93">
        <f t="shared" si="118"/>
        <v>0.79523809523809519</v>
      </c>
      <c r="AU368" s="93">
        <f t="shared" si="119"/>
        <v>0.20476190476190476</v>
      </c>
      <c r="AV368" s="26">
        <f t="shared" si="120"/>
        <v>6.4864864864864868E-2</v>
      </c>
      <c r="AW368" s="26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57">
        <v>90</v>
      </c>
      <c r="K369" s="57">
        <v>90</v>
      </c>
      <c r="L369" s="57">
        <v>90</v>
      </c>
      <c r="M369" s="57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36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93">
        <f t="shared" si="117"/>
        <v>0.33204419889502762</v>
      </c>
      <c r="AT369" s="93">
        <f t="shared" si="118"/>
        <v>0.52983425414364638</v>
      </c>
      <c r="AU369" s="93">
        <f t="shared" si="119"/>
        <v>0.13812154696132597</v>
      </c>
      <c r="AV369" s="26">
        <f t="shared" si="120"/>
        <v>9.2920353982300891E-2</v>
      </c>
      <c r="AW369" s="26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57">
        <v>90</v>
      </c>
      <c r="K370" s="57">
        <v>90</v>
      </c>
      <c r="L370" s="57">
        <v>90</v>
      </c>
      <c r="M370" s="57">
        <v>25.6</v>
      </c>
      <c r="N370" s="63">
        <v>6.5</v>
      </c>
      <c r="O370" s="36">
        <v>2.14</v>
      </c>
      <c r="P370" s="57">
        <v>13</v>
      </c>
      <c r="Q370" s="63">
        <v>8.9</v>
      </c>
      <c r="R370" s="36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93">
        <f t="shared" si="117"/>
        <v>0.33094318808604523</v>
      </c>
      <c r="AT370" s="93">
        <f t="shared" si="118"/>
        <v>0.53116381687810255</v>
      </c>
      <c r="AU370" s="93">
        <f t="shared" si="119"/>
        <v>0.13789299503585217</v>
      </c>
      <c r="AV370" s="26">
        <f t="shared" si="120"/>
        <v>9.6774193548387094E-2</v>
      </c>
      <c r="AW370" s="26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57">
        <v>90</v>
      </c>
      <c r="K371" s="57">
        <v>90</v>
      </c>
      <c r="L371" s="57">
        <v>90</v>
      </c>
      <c r="M371" s="57">
        <v>25.6</v>
      </c>
      <c r="N371" s="63">
        <v>6.4</v>
      </c>
      <c r="O371" s="36">
        <v>1.7</v>
      </c>
      <c r="P371" s="57">
        <v>14</v>
      </c>
      <c r="Q371" s="63">
        <v>8.1</v>
      </c>
      <c r="R371" s="36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93">
        <f t="shared" si="117"/>
        <v>0.33130866924351188</v>
      </c>
      <c r="AT371" s="93">
        <f t="shared" si="118"/>
        <v>0.5306460519050249</v>
      </c>
      <c r="AU371" s="93">
        <f t="shared" si="119"/>
        <v>0.13804527885146328</v>
      </c>
      <c r="AV371" s="26">
        <f t="shared" si="120"/>
        <v>9.380234505862646E-2</v>
      </c>
      <c r="AW371" s="26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57">
        <v>90</v>
      </c>
      <c r="K372" s="57">
        <v>90</v>
      </c>
      <c r="L372" s="57">
        <v>90</v>
      </c>
      <c r="M372" s="57">
        <v>25.8</v>
      </c>
      <c r="N372" s="63">
        <v>6.5</v>
      </c>
      <c r="O372" s="36">
        <v>1.64</v>
      </c>
      <c r="P372" s="57">
        <v>14</v>
      </c>
      <c r="Q372" s="63">
        <v>7.6</v>
      </c>
      <c r="R372" s="36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93">
        <f t="shared" si="117"/>
        <v>0.33575825405707893</v>
      </c>
      <c r="AT372" s="93">
        <f t="shared" si="118"/>
        <v>0.5523223279238948</v>
      </c>
      <c r="AU372" s="93">
        <f t="shared" si="119"/>
        <v>0.1119194180190263</v>
      </c>
      <c r="AV372" s="26">
        <f t="shared" si="120"/>
        <v>9.2971776425013836E-2</v>
      </c>
      <c r="AW372" s="26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57">
        <v>90</v>
      </c>
      <c r="K373" s="57">
        <v>90</v>
      </c>
      <c r="L373" s="57">
        <v>90</v>
      </c>
      <c r="M373" s="57">
        <v>24.4</v>
      </c>
      <c r="N373" s="63">
        <v>6.6</v>
      </c>
      <c r="O373" s="36">
        <v>1.86</v>
      </c>
      <c r="P373" s="57">
        <v>13</v>
      </c>
      <c r="Q373" s="63">
        <v>6.1</v>
      </c>
      <c r="R373" s="36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93">
        <f t="shared" si="117"/>
        <v>0.3401360544217687</v>
      </c>
      <c r="AT373" s="93">
        <f t="shared" si="118"/>
        <v>0.51814058956916098</v>
      </c>
      <c r="AU373" s="93">
        <f t="shared" si="119"/>
        <v>0.14172335600907029</v>
      </c>
      <c r="AV373" s="26">
        <f t="shared" si="120"/>
        <v>6.4044943820224715E-2</v>
      </c>
      <c r="AW373" s="26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57">
        <v>90</v>
      </c>
      <c r="K374" s="57">
        <v>90</v>
      </c>
      <c r="L374" s="57">
        <v>90</v>
      </c>
      <c r="M374" s="57">
        <v>25.1</v>
      </c>
      <c r="N374" s="63">
        <v>6.4</v>
      </c>
      <c r="O374" s="36">
        <v>1.76</v>
      </c>
      <c r="P374" s="57">
        <v>12</v>
      </c>
      <c r="Q374" s="63">
        <v>6.3</v>
      </c>
      <c r="R374" s="36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93">
        <f t="shared" si="117"/>
        <v>0.34107648725212464</v>
      </c>
      <c r="AT374" s="93">
        <f t="shared" si="118"/>
        <v>0.51784702549575068</v>
      </c>
      <c r="AU374" s="93">
        <f t="shared" si="119"/>
        <v>0.14107648725212465</v>
      </c>
      <c r="AV374" s="26">
        <f t="shared" si="120"/>
        <v>6.4225352112676062E-2</v>
      </c>
      <c r="AW374" s="26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57">
        <v>90</v>
      </c>
      <c r="K375" s="57">
        <v>90</v>
      </c>
      <c r="L375" s="57">
        <v>90</v>
      </c>
      <c r="M375" s="57">
        <v>24.8</v>
      </c>
      <c r="N375" s="63">
        <v>6.5</v>
      </c>
      <c r="O375" s="36">
        <v>1.87</v>
      </c>
      <c r="P375" s="57">
        <v>10</v>
      </c>
      <c r="Q375" s="63">
        <v>7</v>
      </c>
      <c r="R375" s="36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93">
        <f t="shared" si="117"/>
        <v>0.34235758601240834</v>
      </c>
      <c r="AT375" s="93">
        <f t="shared" si="118"/>
        <v>0.51663846587704454</v>
      </c>
      <c r="AU375" s="93">
        <f t="shared" si="119"/>
        <v>0.14100394811054709</v>
      </c>
      <c r="AV375" s="26">
        <f t="shared" si="120"/>
        <v>5.9016393442622953E-2</v>
      </c>
      <c r="AW375" s="26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57">
        <v>90</v>
      </c>
      <c r="K376" s="57">
        <v>90</v>
      </c>
      <c r="L376" s="57">
        <v>90</v>
      </c>
      <c r="M376" s="57">
        <v>24.7</v>
      </c>
      <c r="N376" s="63">
        <v>6.5</v>
      </c>
      <c r="O376" s="36">
        <v>2.02</v>
      </c>
      <c r="P376" s="57">
        <v>13</v>
      </c>
      <c r="Q376" s="63">
        <v>6.6</v>
      </c>
      <c r="R376" s="36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93">
        <f t="shared" si="117"/>
        <v>0.6194387405886379</v>
      </c>
      <c r="AT376" s="93">
        <f t="shared" si="118"/>
        <v>0.20944558521560575</v>
      </c>
      <c r="AU376" s="93">
        <f t="shared" si="119"/>
        <v>0.17111567419575632</v>
      </c>
      <c r="AV376" s="26">
        <f t="shared" si="120"/>
        <v>6.8658614113159558E-2</v>
      </c>
      <c r="AW376" s="26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58">
        <v>90</v>
      </c>
      <c r="K377" s="58">
        <v>90</v>
      </c>
      <c r="L377" s="58">
        <v>90</v>
      </c>
      <c r="M377" s="58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37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93">
        <f t="shared" si="117"/>
        <v>0.60240963855421692</v>
      </c>
      <c r="AT377" s="93">
        <f t="shared" si="118"/>
        <v>0.23025435073627845</v>
      </c>
      <c r="AU377" s="93">
        <f t="shared" si="119"/>
        <v>0.16733601070950468</v>
      </c>
      <c r="AV377" s="26">
        <f t="shared" si="120"/>
        <v>7.1808510638297879E-2</v>
      </c>
      <c r="AW377" s="26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57">
        <v>90</v>
      </c>
      <c r="K378" s="57">
        <v>90</v>
      </c>
      <c r="L378" s="57">
        <v>90</v>
      </c>
      <c r="M378" s="57">
        <v>24.4</v>
      </c>
      <c r="N378" s="63">
        <v>6.7</v>
      </c>
      <c r="O378" s="36">
        <v>0.98</v>
      </c>
      <c r="P378" s="57">
        <v>7</v>
      </c>
      <c r="Q378" s="63">
        <v>7.7</v>
      </c>
      <c r="R378" s="36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93">
        <f t="shared" si="117"/>
        <v>0</v>
      </c>
      <c r="AT378" s="93">
        <f t="shared" si="118"/>
        <v>1</v>
      </c>
      <c r="AU378" s="93">
        <f t="shared" si="119"/>
        <v>0</v>
      </c>
      <c r="AV378" s="26">
        <f t="shared" si="120"/>
        <v>5.1397655545536519E-2</v>
      </c>
      <c r="AW378" s="26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57">
        <v>90</v>
      </c>
      <c r="K379" s="57">
        <v>90</v>
      </c>
      <c r="L379" s="57">
        <v>90</v>
      </c>
      <c r="M379" s="57">
        <v>24.4</v>
      </c>
      <c r="N379" s="63">
        <v>6.7</v>
      </c>
      <c r="O379" s="36">
        <v>0.94</v>
      </c>
      <c r="P379" s="57">
        <v>7</v>
      </c>
      <c r="Q379" s="63">
        <v>7.3</v>
      </c>
      <c r="R379" s="36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93">
        <f t="shared" si="117"/>
        <v>0</v>
      </c>
      <c r="AT379" s="93">
        <f t="shared" si="118"/>
        <v>1</v>
      </c>
      <c r="AU379" s="93">
        <f t="shared" si="119"/>
        <v>0</v>
      </c>
      <c r="AV379" s="26">
        <f t="shared" si="120"/>
        <v>5.1075268817204304E-2</v>
      </c>
      <c r="AW379" s="26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57">
        <v>90</v>
      </c>
      <c r="K380" s="57">
        <v>90</v>
      </c>
      <c r="L380" s="57">
        <v>90</v>
      </c>
      <c r="M380" s="57">
        <v>24.5</v>
      </c>
      <c r="N380" s="63">
        <v>6.5</v>
      </c>
      <c r="O380" s="36">
        <v>0.96</v>
      </c>
      <c r="P380" s="57">
        <v>9</v>
      </c>
      <c r="Q380" s="63">
        <v>6.9</v>
      </c>
      <c r="R380" s="36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93">
        <f t="shared" si="117"/>
        <v>0</v>
      </c>
      <c r="AT380" s="93">
        <f t="shared" si="118"/>
        <v>1</v>
      </c>
      <c r="AU380" s="93">
        <f t="shared" si="119"/>
        <v>0</v>
      </c>
      <c r="AV380" s="26">
        <f t="shared" si="120"/>
        <v>7.2267389340560068E-2</v>
      </c>
      <c r="AW380" s="26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57">
        <v>90</v>
      </c>
      <c r="K381" s="57">
        <v>90</v>
      </c>
      <c r="L381" s="57">
        <v>90</v>
      </c>
      <c r="M381" s="57">
        <v>24.3</v>
      </c>
      <c r="N381" s="63">
        <v>6.6</v>
      </c>
      <c r="O381" s="36">
        <v>1.05</v>
      </c>
      <c r="P381" s="57">
        <v>10</v>
      </c>
      <c r="Q381" s="63">
        <v>7</v>
      </c>
      <c r="R381" s="36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93">
        <f t="shared" si="117"/>
        <v>0</v>
      </c>
      <c r="AT381" s="93">
        <f t="shared" si="118"/>
        <v>1</v>
      </c>
      <c r="AU381" s="93">
        <f t="shared" si="119"/>
        <v>0</v>
      </c>
      <c r="AV381" s="26">
        <f t="shared" si="120"/>
        <v>7.6009501187648459E-2</v>
      </c>
      <c r="AW381" s="26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57">
        <v>90</v>
      </c>
      <c r="K382" s="57">
        <v>90</v>
      </c>
      <c r="L382" s="57">
        <v>90</v>
      </c>
      <c r="M382" s="57">
        <v>24.1</v>
      </c>
      <c r="N382" s="63">
        <v>6.7</v>
      </c>
      <c r="O382" s="36">
        <v>1.33</v>
      </c>
      <c r="P382" s="57">
        <v>10</v>
      </c>
      <c r="Q382" s="63">
        <v>7.5</v>
      </c>
      <c r="R382" s="36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93">
        <f t="shared" si="117"/>
        <v>0</v>
      </c>
      <c r="AT382" s="93">
        <f t="shared" si="118"/>
        <v>1</v>
      </c>
      <c r="AU382" s="93">
        <f t="shared" si="119"/>
        <v>0</v>
      </c>
      <c r="AV382" s="26">
        <f t="shared" si="120"/>
        <v>7.6190476190476197E-2</v>
      </c>
      <c r="AW382" s="26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57">
        <v>90</v>
      </c>
      <c r="K383" s="57">
        <v>90</v>
      </c>
      <c r="L383" s="57">
        <v>90</v>
      </c>
      <c r="M383" s="57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36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93">
        <f t="shared" si="117"/>
        <v>0</v>
      </c>
      <c r="AT383" s="93">
        <f t="shared" si="118"/>
        <v>1</v>
      </c>
      <c r="AU383" s="93">
        <f t="shared" si="119"/>
        <v>0</v>
      </c>
      <c r="AV383" s="26">
        <f t="shared" si="120"/>
        <v>7.3698756333486867E-2</v>
      </c>
      <c r="AW383" s="26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58">
        <v>90</v>
      </c>
      <c r="K384" s="58">
        <v>90</v>
      </c>
      <c r="L384" s="58">
        <v>90</v>
      </c>
      <c r="M384" s="58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37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93">
        <f t="shared" si="117"/>
        <v>0</v>
      </c>
      <c r="AT384" s="93">
        <f t="shared" si="118"/>
        <v>1</v>
      </c>
      <c r="AU384" s="93">
        <f t="shared" si="119"/>
        <v>0</v>
      </c>
      <c r="AV384" s="26">
        <f t="shared" si="120"/>
        <v>7.6009501187648459E-2</v>
      </c>
      <c r="AW384" s="26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59">
        <v>90</v>
      </c>
      <c r="K385" s="59">
        <v>90</v>
      </c>
      <c r="L385" s="59">
        <v>90</v>
      </c>
      <c r="M385" s="59">
        <v>24.6</v>
      </c>
      <c r="N385" s="65">
        <v>6.5</v>
      </c>
      <c r="O385" s="38">
        <v>1.28</v>
      </c>
      <c r="P385" s="59">
        <v>9</v>
      </c>
      <c r="Q385" s="65">
        <v>8.1</v>
      </c>
      <c r="R385" s="38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93">
        <f t="shared" si="117"/>
        <v>0</v>
      </c>
      <c r="AT385" s="93">
        <f t="shared" si="118"/>
        <v>1</v>
      </c>
      <c r="AU385" s="93">
        <f t="shared" si="119"/>
        <v>0</v>
      </c>
      <c r="AV385" s="26">
        <f t="shared" si="120"/>
        <v>0.10115501519756839</v>
      </c>
      <c r="AW385" s="26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57">
        <v>90</v>
      </c>
      <c r="K386" s="57">
        <v>90</v>
      </c>
      <c r="L386" s="57">
        <v>90</v>
      </c>
      <c r="M386" s="57">
        <v>24.7</v>
      </c>
      <c r="N386" s="63">
        <v>6.7</v>
      </c>
      <c r="O386" s="36">
        <v>1.22</v>
      </c>
      <c r="P386" s="57">
        <v>9</v>
      </c>
      <c r="Q386" s="63">
        <v>8.5</v>
      </c>
      <c r="R386" s="36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93">
        <f t="shared" ref="AS386:AS449" si="142">C386/AR386</f>
        <v>0</v>
      </c>
      <c r="AT386" s="93">
        <f t="shared" ref="AT386:AT449" si="143">D386/AR386</f>
        <v>0.74977252047315746</v>
      </c>
      <c r="AU386" s="93">
        <f t="shared" ref="AU386:AU449" si="144">E386/AR386</f>
        <v>0.2502274795268426</v>
      </c>
      <c r="AV386" s="26">
        <f t="shared" ref="AV386:AV449" si="145">IF(AND(F386&lt;&gt;"",Z386&lt;&gt;""),AB386/(F386/2/Z386),"")</f>
        <v>5.9454545454545454E-2</v>
      </c>
      <c r="AW386" s="26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57">
        <v>90</v>
      </c>
      <c r="K387" s="57">
        <v>90</v>
      </c>
      <c r="L387" s="57">
        <v>90</v>
      </c>
      <c r="M387" s="57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36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93">
        <f t="shared" si="142"/>
        <v>0</v>
      </c>
      <c r="AT387" s="93">
        <f t="shared" si="143"/>
        <v>0.87068965517241381</v>
      </c>
      <c r="AU387" s="93">
        <f t="shared" si="144"/>
        <v>0.12931034482758622</v>
      </c>
      <c r="AV387" s="26">
        <f t="shared" si="145"/>
        <v>5.4749999999999993E-2</v>
      </c>
      <c r="AW387" s="26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57">
        <v>90</v>
      </c>
      <c r="K388" s="57">
        <v>90</v>
      </c>
      <c r="L388" s="57">
        <v>90</v>
      </c>
      <c r="M388" s="57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36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93">
        <f t="shared" si="142"/>
        <v>0</v>
      </c>
      <c r="AT388" s="93">
        <f t="shared" si="143"/>
        <v>0.88281591604722343</v>
      </c>
      <c r="AU388" s="93">
        <f t="shared" si="144"/>
        <v>0.11718408395277656</v>
      </c>
      <c r="AV388" s="26">
        <f t="shared" si="145"/>
        <v>5.2417716375457127E-2</v>
      </c>
      <c r="AW388" s="26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57">
        <v>90</v>
      </c>
      <c r="K389" s="57">
        <v>90</v>
      </c>
      <c r="L389" s="57">
        <v>90</v>
      </c>
      <c r="M389" s="57">
        <v>25.1</v>
      </c>
      <c r="N389" s="63">
        <v>6.4</v>
      </c>
      <c r="O389" s="36">
        <v>2.58</v>
      </c>
      <c r="P389" s="57">
        <v>16</v>
      </c>
      <c r="Q389" s="63">
        <v>7.9</v>
      </c>
      <c r="R389" s="36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93">
        <f t="shared" si="142"/>
        <v>0</v>
      </c>
      <c r="AT389" s="93">
        <f t="shared" si="143"/>
        <v>0.87992831541218641</v>
      </c>
      <c r="AU389" s="93">
        <f t="shared" si="144"/>
        <v>0.12007168458781362</v>
      </c>
      <c r="AV389" s="26">
        <f t="shared" si="145"/>
        <v>5.2029956641702804E-2</v>
      </c>
      <c r="AW389" s="26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57">
        <v>90</v>
      </c>
      <c r="K390" s="57">
        <v>90</v>
      </c>
      <c r="L390" s="57">
        <v>90</v>
      </c>
      <c r="M390" s="57">
        <v>24.4</v>
      </c>
      <c r="N390" s="63">
        <v>6.5</v>
      </c>
      <c r="O390" s="36">
        <v>2.31</v>
      </c>
      <c r="P390" s="57">
        <v>11</v>
      </c>
      <c r="Q390" s="63">
        <v>8</v>
      </c>
      <c r="R390" s="36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93">
        <f t="shared" si="142"/>
        <v>0</v>
      </c>
      <c r="AT390" s="93">
        <f t="shared" si="143"/>
        <v>0.88360017308524452</v>
      </c>
      <c r="AU390" s="93">
        <f t="shared" si="144"/>
        <v>0.11639982691475552</v>
      </c>
      <c r="AV390" s="26">
        <f t="shared" si="145"/>
        <v>3.4173430158052118E-2</v>
      </c>
      <c r="AW390" s="26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57">
        <v>90</v>
      </c>
      <c r="K391" s="57">
        <v>90</v>
      </c>
      <c r="L391" s="57">
        <v>90</v>
      </c>
      <c r="M391" s="57">
        <v>24.1</v>
      </c>
      <c r="N391" s="63">
        <v>6.4</v>
      </c>
      <c r="O391" s="36">
        <v>1.7</v>
      </c>
      <c r="P391" s="57">
        <v>8</v>
      </c>
      <c r="Q391" s="63">
        <v>8.4</v>
      </c>
      <c r="R391" s="36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93">
        <f t="shared" si="142"/>
        <v>0</v>
      </c>
      <c r="AT391" s="93">
        <f t="shared" si="143"/>
        <v>0.88281591604722343</v>
      </c>
      <c r="AU391" s="93">
        <f t="shared" si="144"/>
        <v>0.11718408395277656</v>
      </c>
      <c r="AV391" s="26">
        <f t="shared" si="145"/>
        <v>5.0950262838657501E-2</v>
      </c>
      <c r="AW391" s="26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58">
        <v>90</v>
      </c>
      <c r="K392" s="58">
        <v>90</v>
      </c>
      <c r="L392" s="58">
        <v>90</v>
      </c>
      <c r="M392" s="58">
        <v>24</v>
      </c>
      <c r="N392" s="64">
        <v>6.4</v>
      </c>
      <c r="O392" s="37">
        <v>1.67</v>
      </c>
      <c r="P392" s="58">
        <v>9</v>
      </c>
      <c r="Q392" s="64">
        <v>7.7</v>
      </c>
      <c r="R392" s="37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93">
        <f t="shared" si="142"/>
        <v>0</v>
      </c>
      <c r="AT392" s="93">
        <f t="shared" si="143"/>
        <v>0.81151170145477547</v>
      </c>
      <c r="AU392" s="93">
        <f t="shared" si="144"/>
        <v>0.18848829854522453</v>
      </c>
      <c r="AV392" s="26">
        <f t="shared" si="145"/>
        <v>4.5977011494252873E-2</v>
      </c>
      <c r="AW392" s="26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59">
        <v>90</v>
      </c>
      <c r="K393" s="59">
        <v>90</v>
      </c>
      <c r="L393" s="59">
        <v>90</v>
      </c>
      <c r="M393" s="59">
        <v>24</v>
      </c>
      <c r="N393" s="65">
        <v>6.5</v>
      </c>
      <c r="O393" s="38">
        <v>1.59</v>
      </c>
      <c r="P393" s="59">
        <v>10</v>
      </c>
      <c r="Q393" s="65">
        <v>7.4</v>
      </c>
      <c r="R393" s="38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93">
        <f t="shared" si="142"/>
        <v>0</v>
      </c>
      <c r="AT393" s="93">
        <f t="shared" si="143"/>
        <v>0.875</v>
      </c>
      <c r="AU393" s="93">
        <f t="shared" si="144"/>
        <v>0.125</v>
      </c>
      <c r="AV393" s="26">
        <f t="shared" si="145"/>
        <v>7.0754716981132074E-2</v>
      </c>
      <c r="AW393" s="26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57">
        <v>90</v>
      </c>
      <c r="K394" s="57">
        <v>90</v>
      </c>
      <c r="L394" s="57">
        <v>90</v>
      </c>
      <c r="M394" s="57">
        <v>25.5</v>
      </c>
      <c r="N394" s="63">
        <v>6.4</v>
      </c>
      <c r="O394" s="36">
        <v>1.72</v>
      </c>
      <c r="P394" s="57">
        <v>12</v>
      </c>
      <c r="Q394" s="63">
        <v>6.8</v>
      </c>
      <c r="R394" s="36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93">
        <f t="shared" si="142"/>
        <v>0</v>
      </c>
      <c r="AT394" s="93">
        <f t="shared" si="143"/>
        <v>0.91397849462365588</v>
      </c>
      <c r="AU394" s="93">
        <f t="shared" si="144"/>
        <v>8.6021505376344093E-2</v>
      </c>
      <c r="AV394" s="26">
        <f t="shared" si="145"/>
        <v>6.9767441860465115E-2</v>
      </c>
      <c r="AW394" s="26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57">
        <v>90</v>
      </c>
      <c r="K395" s="57">
        <v>90</v>
      </c>
      <c r="L395" s="57">
        <v>90</v>
      </c>
      <c r="M395" s="57">
        <v>26.8</v>
      </c>
      <c r="N395" s="63">
        <v>6.5</v>
      </c>
      <c r="O395" s="36">
        <v>1.66</v>
      </c>
      <c r="P395" s="57">
        <v>12</v>
      </c>
      <c r="Q395" s="63">
        <v>6.8</v>
      </c>
      <c r="R395" s="36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93">
        <f t="shared" si="142"/>
        <v>0</v>
      </c>
      <c r="AT395" s="93">
        <f t="shared" si="143"/>
        <v>0.89020893076607943</v>
      </c>
      <c r="AU395" s="93">
        <f t="shared" si="144"/>
        <v>0.10979106923392053</v>
      </c>
      <c r="AV395" s="26">
        <f t="shared" si="145"/>
        <v>6.9726902963393386E-2</v>
      </c>
      <c r="AW395" s="26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57">
        <v>90</v>
      </c>
      <c r="K396" s="57">
        <v>90</v>
      </c>
      <c r="L396" s="57">
        <v>90</v>
      </c>
      <c r="M396" s="57">
        <v>27.4</v>
      </c>
      <c r="N396" s="63">
        <v>6.5</v>
      </c>
      <c r="O396" s="36">
        <v>1.38</v>
      </c>
      <c r="P396" s="57">
        <v>9</v>
      </c>
      <c r="Q396" s="63">
        <v>6.6</v>
      </c>
      <c r="R396" s="36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93">
        <f t="shared" si="142"/>
        <v>0</v>
      </c>
      <c r="AT396" s="93">
        <f t="shared" si="143"/>
        <v>0.881491344873502</v>
      </c>
      <c r="AU396" s="93">
        <f t="shared" si="144"/>
        <v>0.118508655126498</v>
      </c>
      <c r="AV396" s="26">
        <f t="shared" si="145"/>
        <v>6.9230769230769235E-2</v>
      </c>
      <c r="AW396" s="26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57">
        <v>90</v>
      </c>
      <c r="K397" s="57">
        <v>90</v>
      </c>
      <c r="L397" s="57">
        <v>90</v>
      </c>
      <c r="M397" s="57">
        <v>26.6</v>
      </c>
      <c r="N397" s="63">
        <v>6.5</v>
      </c>
      <c r="O397" s="36">
        <v>1.47</v>
      </c>
      <c r="P397" s="57">
        <v>10</v>
      </c>
      <c r="Q397" s="63">
        <v>6.2</v>
      </c>
      <c r="R397" s="36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93">
        <f t="shared" si="142"/>
        <v>0</v>
      </c>
      <c r="AT397" s="93">
        <f t="shared" si="143"/>
        <v>0.88062360801781736</v>
      </c>
      <c r="AU397" s="93">
        <f t="shared" si="144"/>
        <v>0.11937639198218263</v>
      </c>
      <c r="AV397" s="26">
        <f t="shared" si="145"/>
        <v>6.6878980891719744E-2</v>
      </c>
      <c r="AW397" s="26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57">
        <v>90</v>
      </c>
      <c r="K398" s="57">
        <v>90</v>
      </c>
      <c r="L398" s="57">
        <v>90</v>
      </c>
      <c r="M398" s="57">
        <v>25.8</v>
      </c>
      <c r="N398" s="63">
        <v>6.4</v>
      </c>
      <c r="O398" s="36">
        <v>1.4</v>
      </c>
      <c r="P398" s="57">
        <v>9</v>
      </c>
      <c r="Q398" s="63">
        <v>7</v>
      </c>
      <c r="R398" s="36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93">
        <f t="shared" si="142"/>
        <v>0</v>
      </c>
      <c r="AT398" s="93">
        <f t="shared" si="143"/>
        <v>0.88117489986648867</v>
      </c>
      <c r="AU398" s="93">
        <f t="shared" si="144"/>
        <v>0.11882510013351134</v>
      </c>
      <c r="AV398" s="26">
        <f t="shared" si="145"/>
        <v>5.7272727272727267E-2</v>
      </c>
      <c r="AW398" s="26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57">
        <v>90</v>
      </c>
      <c r="K399" s="57">
        <v>90</v>
      </c>
      <c r="L399" s="57">
        <v>90</v>
      </c>
      <c r="M399" s="57">
        <v>25</v>
      </c>
      <c r="N399" s="63">
        <v>6.4</v>
      </c>
      <c r="O399" s="36">
        <v>1.27</v>
      </c>
      <c r="P399" s="57">
        <v>9</v>
      </c>
      <c r="Q399" s="63">
        <v>7</v>
      </c>
      <c r="R399" s="36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93">
        <f t="shared" si="142"/>
        <v>0</v>
      </c>
      <c r="AT399" s="93">
        <f t="shared" si="143"/>
        <v>0.88078291814946619</v>
      </c>
      <c r="AU399" s="93">
        <f t="shared" si="144"/>
        <v>0.11921708185053381</v>
      </c>
      <c r="AV399" s="26">
        <f t="shared" si="145"/>
        <v>5.7272727272727267E-2</v>
      </c>
      <c r="AW399" s="26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58">
        <v>90</v>
      </c>
      <c r="K400" s="58">
        <v>90</v>
      </c>
      <c r="L400" s="58">
        <v>90</v>
      </c>
      <c r="M400" s="58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37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93">
        <f t="shared" si="142"/>
        <v>0</v>
      </c>
      <c r="AT400" s="93">
        <f t="shared" si="143"/>
        <v>0.84238838084991929</v>
      </c>
      <c r="AU400" s="93">
        <f t="shared" si="144"/>
        <v>0.15761161915008068</v>
      </c>
      <c r="AV400" s="26">
        <f t="shared" si="145"/>
        <v>6.363636363636363E-2</v>
      </c>
      <c r="AW400" s="26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57">
        <v>90</v>
      </c>
      <c r="K401" s="57">
        <v>90</v>
      </c>
      <c r="L401" s="57">
        <v>90</v>
      </c>
      <c r="M401" s="57">
        <v>26.1</v>
      </c>
      <c r="N401" s="63">
        <v>6.6</v>
      </c>
      <c r="O401" s="36">
        <v>0.97</v>
      </c>
      <c r="P401" s="57">
        <v>10</v>
      </c>
      <c r="Q401" s="63">
        <v>5.9</v>
      </c>
      <c r="R401" s="36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93">
        <f t="shared" si="142"/>
        <v>0</v>
      </c>
      <c r="AT401" s="93">
        <f t="shared" si="143"/>
        <v>0.88522367826479886</v>
      </c>
      <c r="AU401" s="93">
        <f t="shared" si="144"/>
        <v>0.11477632173520108</v>
      </c>
      <c r="AV401" s="26">
        <f t="shared" si="145"/>
        <v>5.6095551894563424E-2</v>
      </c>
      <c r="AW401" s="26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57">
        <v>90</v>
      </c>
      <c r="K402" s="57">
        <v>90</v>
      </c>
      <c r="L402" s="57">
        <v>90</v>
      </c>
      <c r="M402" s="57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36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93">
        <f t="shared" si="142"/>
        <v>0</v>
      </c>
      <c r="AT402" s="93">
        <f t="shared" si="143"/>
        <v>0.90954319312528265</v>
      </c>
      <c r="AU402" s="93">
        <f t="shared" si="144"/>
        <v>9.0456806874717327E-2</v>
      </c>
      <c r="AV402" s="26">
        <f t="shared" si="145"/>
        <v>0.08</v>
      </c>
      <c r="AW402" s="26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57">
        <v>90</v>
      </c>
      <c r="K403" s="57">
        <v>90</v>
      </c>
      <c r="L403" s="57">
        <v>90</v>
      </c>
      <c r="M403" s="57">
        <v>24.9</v>
      </c>
      <c r="N403" s="63">
        <v>6.4</v>
      </c>
      <c r="O403" s="36">
        <v>1.03</v>
      </c>
      <c r="P403" s="57">
        <v>7</v>
      </c>
      <c r="Q403" s="63">
        <v>6.1</v>
      </c>
      <c r="R403" s="36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93">
        <f t="shared" si="142"/>
        <v>0</v>
      </c>
      <c r="AT403" s="93">
        <f t="shared" si="143"/>
        <v>0.88713318284424381</v>
      </c>
      <c r="AU403" s="93">
        <f t="shared" si="144"/>
        <v>0.11286681715575621</v>
      </c>
      <c r="AV403" s="26">
        <f t="shared" si="145"/>
        <v>7.4734607218683649E-2</v>
      </c>
      <c r="AW403" s="26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57">
        <v>90</v>
      </c>
      <c r="K404" s="57">
        <v>90</v>
      </c>
      <c r="L404" s="57">
        <v>90</v>
      </c>
      <c r="M404" s="57">
        <v>25.6</v>
      </c>
      <c r="N404" s="63">
        <v>6.4</v>
      </c>
      <c r="O404" s="36">
        <v>1.07</v>
      </c>
      <c r="P404" s="57">
        <v>8</v>
      </c>
      <c r="Q404" s="63">
        <v>7.1</v>
      </c>
      <c r="R404" s="36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93">
        <f t="shared" si="142"/>
        <v>0</v>
      </c>
      <c r="AT404" s="93">
        <f t="shared" si="143"/>
        <v>0.88731771984091912</v>
      </c>
      <c r="AU404" s="93">
        <f t="shared" si="144"/>
        <v>0.11268228015908087</v>
      </c>
      <c r="AV404" s="26">
        <f t="shared" si="145"/>
        <v>6.907378335949764E-2</v>
      </c>
      <c r="AW404" s="26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58">
        <v>90</v>
      </c>
      <c r="K405" s="58">
        <v>90</v>
      </c>
      <c r="L405" s="58">
        <v>90</v>
      </c>
      <c r="M405" s="58">
        <v>24.9</v>
      </c>
      <c r="N405" s="64">
        <v>6.4</v>
      </c>
      <c r="O405" s="37">
        <v>1.08</v>
      </c>
      <c r="P405" s="58">
        <v>8</v>
      </c>
      <c r="Q405" s="64">
        <v>6.2</v>
      </c>
      <c r="R405" s="37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93">
        <f t="shared" si="142"/>
        <v>0</v>
      </c>
      <c r="AT405" s="93">
        <f t="shared" si="143"/>
        <v>0.88539325842696626</v>
      </c>
      <c r="AU405" s="93">
        <f t="shared" si="144"/>
        <v>0.1146067415730337</v>
      </c>
      <c r="AV405" s="26">
        <f t="shared" si="145"/>
        <v>8.0174291938997819E-2</v>
      </c>
      <c r="AW405" s="26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57">
        <v>90</v>
      </c>
      <c r="K406" s="57">
        <v>90</v>
      </c>
      <c r="L406" s="57">
        <v>90</v>
      </c>
      <c r="M406" s="57">
        <v>26</v>
      </c>
      <c r="N406" s="63">
        <v>6.6</v>
      </c>
      <c r="O406" s="36">
        <v>1.06</v>
      </c>
      <c r="P406" s="57">
        <v>10</v>
      </c>
      <c r="Q406" s="63">
        <v>5.8</v>
      </c>
      <c r="R406" s="36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93">
        <f t="shared" si="142"/>
        <v>0</v>
      </c>
      <c r="AT406" s="93">
        <f t="shared" si="143"/>
        <v>0.91063449508489724</v>
      </c>
      <c r="AU406" s="93">
        <f t="shared" si="144"/>
        <v>8.936550491510277E-2</v>
      </c>
      <c r="AV406" s="26">
        <f t="shared" si="145"/>
        <v>7.9785330948121652E-2</v>
      </c>
      <c r="AW406" s="26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57">
        <v>90</v>
      </c>
      <c r="K407" s="57">
        <v>90</v>
      </c>
      <c r="L407" s="57">
        <v>90</v>
      </c>
      <c r="M407" s="57">
        <v>26.1</v>
      </c>
      <c r="N407" s="63">
        <v>6.5</v>
      </c>
      <c r="O407" s="36">
        <v>0.96</v>
      </c>
      <c r="P407" s="57">
        <v>9</v>
      </c>
      <c r="Q407" s="63">
        <v>5.4</v>
      </c>
      <c r="R407" s="36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93">
        <f t="shared" si="142"/>
        <v>0</v>
      </c>
      <c r="AT407" s="93">
        <f t="shared" si="143"/>
        <v>0.90909090909090906</v>
      </c>
      <c r="AU407" s="93">
        <f t="shared" si="144"/>
        <v>9.0909090909090912E-2</v>
      </c>
      <c r="AV407" s="26">
        <f t="shared" si="145"/>
        <v>7.9928315412186382E-2</v>
      </c>
      <c r="AW407" s="26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57">
        <v>90</v>
      </c>
      <c r="K408" s="57">
        <v>90</v>
      </c>
      <c r="L408" s="57">
        <v>90</v>
      </c>
      <c r="M408" s="57">
        <v>27</v>
      </c>
      <c r="N408" s="63">
        <v>6.6</v>
      </c>
      <c r="O408" s="36">
        <v>0.96</v>
      </c>
      <c r="P408" s="57">
        <v>8</v>
      </c>
      <c r="Q408" s="63">
        <v>6.2</v>
      </c>
      <c r="R408" s="36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93">
        <f t="shared" si="142"/>
        <v>0</v>
      </c>
      <c r="AT408" s="93">
        <f t="shared" si="143"/>
        <v>0.90829894543787248</v>
      </c>
      <c r="AU408" s="93">
        <f t="shared" si="144"/>
        <v>9.170105456212746E-2</v>
      </c>
      <c r="AV408" s="26">
        <f t="shared" si="145"/>
        <v>7.6929711082363086E-2</v>
      </c>
      <c r="AW408" s="26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57">
        <v>90</v>
      </c>
      <c r="K409" s="57">
        <v>90</v>
      </c>
      <c r="L409" s="57">
        <v>90</v>
      </c>
      <c r="M409" s="57">
        <v>27</v>
      </c>
      <c r="N409" s="63">
        <v>6.4</v>
      </c>
      <c r="O409" s="36">
        <v>1.04</v>
      </c>
      <c r="P409" s="57">
        <v>9</v>
      </c>
      <c r="Q409" s="63">
        <v>6.3</v>
      </c>
      <c r="R409" s="36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93">
        <f t="shared" si="142"/>
        <v>0</v>
      </c>
      <c r="AT409" s="93">
        <f t="shared" si="143"/>
        <v>0.9119718309859155</v>
      </c>
      <c r="AU409" s="93">
        <f t="shared" si="144"/>
        <v>8.8028169014084501E-2</v>
      </c>
      <c r="AV409" s="26">
        <f t="shared" si="145"/>
        <v>8.1057268722466963E-2</v>
      </c>
      <c r="AW409" s="26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57">
        <v>90</v>
      </c>
      <c r="K410" s="57">
        <v>90</v>
      </c>
      <c r="L410" s="57">
        <v>30</v>
      </c>
      <c r="M410" s="57">
        <v>26.4</v>
      </c>
      <c r="N410" s="63">
        <v>6.1</v>
      </c>
      <c r="O410" s="36">
        <v>1.03</v>
      </c>
      <c r="P410" s="57">
        <v>6</v>
      </c>
      <c r="Q410" s="63">
        <v>5.7</v>
      </c>
      <c r="R410" s="36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93">
        <f t="shared" si="142"/>
        <v>0</v>
      </c>
      <c r="AT410" s="93">
        <f t="shared" si="143"/>
        <v>0.9095022624434389</v>
      </c>
      <c r="AU410" s="93">
        <f t="shared" si="144"/>
        <v>9.0497737556561084E-2</v>
      </c>
      <c r="AV410" s="26">
        <f t="shared" si="145"/>
        <v>7.993049522154648E-2</v>
      </c>
      <c r="AW410" s="26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57">
        <v>90</v>
      </c>
      <c r="K411" s="57">
        <v>90</v>
      </c>
      <c r="L411" s="57">
        <v>90</v>
      </c>
      <c r="M411" s="57">
        <v>26.3</v>
      </c>
      <c r="N411" s="63">
        <v>6.5</v>
      </c>
      <c r="O411" s="36">
        <v>1.06</v>
      </c>
      <c r="P411" s="57">
        <v>9</v>
      </c>
      <c r="Q411" s="63">
        <v>6.1</v>
      </c>
      <c r="R411" s="36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93">
        <f t="shared" si="142"/>
        <v>0</v>
      </c>
      <c r="AT411" s="93">
        <f t="shared" si="143"/>
        <v>0.90909090909090906</v>
      </c>
      <c r="AU411" s="93">
        <f t="shared" si="144"/>
        <v>9.0909090909090912E-2</v>
      </c>
      <c r="AV411" s="26">
        <f t="shared" si="145"/>
        <v>7.9481641468682501E-2</v>
      </c>
      <c r="AW411" s="26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57">
        <v>90</v>
      </c>
      <c r="K412" s="57">
        <v>90</v>
      </c>
      <c r="L412" s="57">
        <v>90</v>
      </c>
      <c r="M412" s="57">
        <v>25.8</v>
      </c>
      <c r="N412" s="63">
        <v>6.6</v>
      </c>
      <c r="O412" s="36">
        <v>1.08</v>
      </c>
      <c r="P412" s="57">
        <v>11</v>
      </c>
      <c r="Q412" s="63">
        <v>5.9</v>
      </c>
      <c r="R412" s="36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93">
        <f t="shared" si="142"/>
        <v>0</v>
      </c>
      <c r="AT412" s="93">
        <f t="shared" si="143"/>
        <v>0.90929705215419498</v>
      </c>
      <c r="AU412" s="93">
        <f t="shared" si="144"/>
        <v>9.0702947845804988E-2</v>
      </c>
      <c r="AV412" s="26">
        <f t="shared" si="145"/>
        <v>0.08</v>
      </c>
      <c r="AW412" s="26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58">
        <v>90</v>
      </c>
      <c r="K413" s="58">
        <v>90</v>
      </c>
      <c r="L413" s="58">
        <v>90</v>
      </c>
      <c r="M413" s="58">
        <v>25.5</v>
      </c>
      <c r="N413" s="64">
        <v>6.6</v>
      </c>
      <c r="O413" s="37">
        <v>1.05</v>
      </c>
      <c r="P413" s="58">
        <v>8</v>
      </c>
      <c r="Q413" s="64">
        <v>6</v>
      </c>
      <c r="R413" s="37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93">
        <f t="shared" si="142"/>
        <v>0</v>
      </c>
      <c r="AT413" s="93">
        <f t="shared" si="143"/>
        <v>0.87782805429864252</v>
      </c>
      <c r="AU413" s="93">
        <f t="shared" si="144"/>
        <v>0.12217194570135746</v>
      </c>
      <c r="AV413" s="26">
        <f t="shared" si="145"/>
        <v>7.5204359673024523E-2</v>
      </c>
      <c r="AW413" s="26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57">
        <v>90</v>
      </c>
      <c r="K414" s="57">
        <v>90</v>
      </c>
      <c r="L414" s="57">
        <v>90</v>
      </c>
      <c r="M414" s="57">
        <v>26.1</v>
      </c>
      <c r="N414" s="63">
        <v>6.5</v>
      </c>
      <c r="O414" s="36">
        <v>1.35</v>
      </c>
      <c r="P414" s="57">
        <v>13</v>
      </c>
      <c r="Q414" s="63">
        <v>7.5</v>
      </c>
      <c r="R414" s="36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93">
        <f t="shared" si="142"/>
        <v>0</v>
      </c>
      <c r="AT414" s="93">
        <f t="shared" si="143"/>
        <v>0.8901581722319859</v>
      </c>
      <c r="AU414" s="93">
        <f t="shared" si="144"/>
        <v>0.10984182776801406</v>
      </c>
      <c r="AV414" s="26">
        <f t="shared" si="145"/>
        <v>7.9350766456266902E-2</v>
      </c>
      <c r="AW414" s="26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57">
        <v>90</v>
      </c>
      <c r="K415" s="57">
        <v>90</v>
      </c>
      <c r="L415" s="57">
        <v>90</v>
      </c>
      <c r="M415" s="57">
        <v>27.4</v>
      </c>
      <c r="N415" s="63">
        <v>6.5</v>
      </c>
      <c r="O415" s="36">
        <v>1.31</v>
      </c>
      <c r="P415" s="57">
        <v>11</v>
      </c>
      <c r="Q415" s="63">
        <v>7.7</v>
      </c>
      <c r="R415" s="36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93">
        <f t="shared" si="142"/>
        <v>0</v>
      </c>
      <c r="AT415" s="93">
        <f t="shared" si="143"/>
        <v>0.88779174147217232</v>
      </c>
      <c r="AU415" s="93">
        <f t="shared" si="144"/>
        <v>0.11220825852782765</v>
      </c>
      <c r="AV415" s="26">
        <f t="shared" si="145"/>
        <v>7.899461400359066E-2</v>
      </c>
      <c r="AW415" s="26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57">
        <v>90</v>
      </c>
      <c r="K416" s="57">
        <v>90</v>
      </c>
      <c r="L416" s="57">
        <v>90</v>
      </c>
      <c r="M416" s="57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36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93">
        <f t="shared" si="142"/>
        <v>0</v>
      </c>
      <c r="AT416" s="93">
        <f t="shared" si="143"/>
        <v>0.88982300884955756</v>
      </c>
      <c r="AU416" s="93">
        <f t="shared" si="144"/>
        <v>0.11017699115044248</v>
      </c>
      <c r="AV416" s="26">
        <f t="shared" si="145"/>
        <v>7.5437808711270773E-2</v>
      </c>
      <c r="AW416" s="26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57">
        <v>90</v>
      </c>
      <c r="K417" s="57">
        <v>90</v>
      </c>
      <c r="L417" s="57">
        <v>90</v>
      </c>
      <c r="M417" s="57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36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93">
        <f t="shared" si="142"/>
        <v>0</v>
      </c>
      <c r="AT417" s="93">
        <f t="shared" si="143"/>
        <v>0.88803956834532372</v>
      </c>
      <c r="AU417" s="93">
        <f t="shared" si="144"/>
        <v>0.11196043165467626</v>
      </c>
      <c r="AV417" s="26">
        <f t="shared" si="145"/>
        <v>7.8923766816143492E-2</v>
      </c>
      <c r="AW417" s="26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57">
        <v>90</v>
      </c>
      <c r="K418" s="57">
        <v>90</v>
      </c>
      <c r="L418" s="57">
        <v>90</v>
      </c>
      <c r="M418" s="57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36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93">
        <f t="shared" si="142"/>
        <v>0</v>
      </c>
      <c r="AT418" s="93">
        <f t="shared" si="143"/>
        <v>0.88667271078875798</v>
      </c>
      <c r="AU418" s="93">
        <f t="shared" si="144"/>
        <v>0.11332728921124206</v>
      </c>
      <c r="AV418" s="26">
        <f t="shared" si="145"/>
        <v>7.8923766816143492E-2</v>
      </c>
      <c r="AW418" s="26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57">
        <v>90</v>
      </c>
      <c r="K419" s="57">
        <v>90</v>
      </c>
      <c r="L419" s="57">
        <v>90</v>
      </c>
      <c r="M419" s="57">
        <v>26.8</v>
      </c>
      <c r="N419" s="63">
        <v>6.5</v>
      </c>
      <c r="O419" s="36">
        <v>1.08</v>
      </c>
      <c r="P419" s="57">
        <v>9</v>
      </c>
      <c r="Q419" s="63">
        <v>7.1</v>
      </c>
      <c r="R419" s="36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93">
        <f t="shared" si="142"/>
        <v>0</v>
      </c>
      <c r="AT419" s="93">
        <f t="shared" si="143"/>
        <v>0.85875706214689262</v>
      </c>
      <c r="AU419" s="93">
        <f t="shared" si="144"/>
        <v>0.14124293785310735</v>
      </c>
      <c r="AV419" s="26">
        <f t="shared" si="145"/>
        <v>9.3617021276595741E-2</v>
      </c>
      <c r="AW419" s="26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57">
        <v>90</v>
      </c>
      <c r="K420" s="57">
        <v>90</v>
      </c>
      <c r="L420" s="57">
        <v>90</v>
      </c>
      <c r="M420" s="57">
        <v>26.3</v>
      </c>
      <c r="N420" s="63">
        <v>6.4</v>
      </c>
      <c r="O420" s="36">
        <v>1.07</v>
      </c>
      <c r="P420" s="57">
        <v>9</v>
      </c>
      <c r="Q420" s="63">
        <v>7.2</v>
      </c>
      <c r="R420" s="36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93">
        <f t="shared" si="142"/>
        <v>0</v>
      </c>
      <c r="AT420" s="93">
        <f t="shared" si="143"/>
        <v>0.86111111111111116</v>
      </c>
      <c r="AU420" s="93">
        <f t="shared" si="144"/>
        <v>0.1388888888888889</v>
      </c>
      <c r="AV420" s="26">
        <f t="shared" si="145"/>
        <v>9.258285113098369E-2</v>
      </c>
      <c r="AW420" s="26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57">
        <v>90</v>
      </c>
      <c r="K421" s="57">
        <v>90</v>
      </c>
      <c r="L421" s="57">
        <v>90</v>
      </c>
      <c r="M421" s="57">
        <v>26.3</v>
      </c>
      <c r="N421" s="63">
        <v>6.4</v>
      </c>
      <c r="O421" s="36">
        <v>1.05</v>
      </c>
      <c r="P421" s="57">
        <v>9</v>
      </c>
      <c r="Q421" s="63">
        <v>7.6</v>
      </c>
      <c r="R421" s="36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93">
        <f t="shared" si="142"/>
        <v>0</v>
      </c>
      <c r="AT421" s="93">
        <f t="shared" si="143"/>
        <v>0.86164914222468181</v>
      </c>
      <c r="AU421" s="93">
        <f t="shared" si="144"/>
        <v>0.13835085777531822</v>
      </c>
      <c r="AV421" s="26">
        <f t="shared" si="145"/>
        <v>9.2194866422210586E-2</v>
      </c>
      <c r="AW421" s="26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57">
        <v>90</v>
      </c>
      <c r="K422" s="57">
        <v>90</v>
      </c>
      <c r="L422" s="57">
        <v>90</v>
      </c>
      <c r="M422" s="57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36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93">
        <f t="shared" si="142"/>
        <v>0</v>
      </c>
      <c r="AT422" s="93">
        <f t="shared" si="143"/>
        <v>0.86111111111111116</v>
      </c>
      <c r="AU422" s="93">
        <f t="shared" si="144"/>
        <v>0.1388888888888889</v>
      </c>
      <c r="AV422" s="26">
        <f t="shared" si="145"/>
        <v>9.2631578947368426E-2</v>
      </c>
      <c r="AW422" s="26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58">
        <v>90</v>
      </c>
      <c r="K423" s="58">
        <v>90</v>
      </c>
      <c r="L423" s="58">
        <v>90</v>
      </c>
      <c r="M423" s="58">
        <v>25.8</v>
      </c>
      <c r="N423" s="64">
        <v>6.4</v>
      </c>
      <c r="O423" s="37">
        <v>1.06</v>
      </c>
      <c r="P423" s="58">
        <v>9</v>
      </c>
      <c r="Q423" s="64">
        <v>7.2</v>
      </c>
      <c r="R423" s="37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93">
        <f t="shared" si="142"/>
        <v>0</v>
      </c>
      <c r="AT423" s="93">
        <f t="shared" si="143"/>
        <v>0.86141906873614194</v>
      </c>
      <c r="AU423" s="93">
        <f t="shared" si="144"/>
        <v>0.13858093126385809</v>
      </c>
      <c r="AV423" s="26">
        <f t="shared" si="145"/>
        <v>7.0212765957446813E-2</v>
      </c>
      <c r="AW423" s="26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59">
        <v>90</v>
      </c>
      <c r="K424" s="59">
        <v>90</v>
      </c>
      <c r="L424" s="59">
        <v>90</v>
      </c>
      <c r="M424" s="59">
        <v>25.8</v>
      </c>
      <c r="N424" s="65">
        <v>6.5</v>
      </c>
      <c r="O424" s="38">
        <v>1.36</v>
      </c>
      <c r="P424" s="59">
        <v>9</v>
      </c>
      <c r="Q424" s="65">
        <v>8.5</v>
      </c>
      <c r="R424" s="38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93">
        <f t="shared" si="142"/>
        <v>0</v>
      </c>
      <c r="AT424" s="93">
        <f t="shared" si="143"/>
        <v>0.76923076923076927</v>
      </c>
      <c r="AU424" s="93">
        <f t="shared" si="144"/>
        <v>0.23076923076923078</v>
      </c>
      <c r="AV424" s="26">
        <f t="shared" si="145"/>
        <v>7.0796460176991149E-2</v>
      </c>
      <c r="AW424" s="26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57">
        <v>90</v>
      </c>
      <c r="K425" s="57">
        <v>90</v>
      </c>
      <c r="L425" s="57">
        <v>90</v>
      </c>
      <c r="M425" s="57">
        <v>26</v>
      </c>
      <c r="N425" s="63">
        <v>6.6</v>
      </c>
      <c r="O425" s="36">
        <v>1.39</v>
      </c>
      <c r="P425" s="57">
        <v>9</v>
      </c>
      <c r="Q425" s="63">
        <v>8.9</v>
      </c>
      <c r="R425" s="36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93">
        <f t="shared" si="142"/>
        <v>0</v>
      </c>
      <c r="AT425" s="93">
        <f t="shared" si="143"/>
        <v>0.77186311787072248</v>
      </c>
      <c r="AU425" s="93">
        <f t="shared" si="144"/>
        <v>0.22813688212927757</v>
      </c>
      <c r="AV425" s="26">
        <f t="shared" si="145"/>
        <v>7.4999999999999997E-2</v>
      </c>
      <c r="AW425" s="26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57">
        <v>90</v>
      </c>
      <c r="K426" s="57">
        <v>90</v>
      </c>
      <c r="L426" s="57">
        <v>90</v>
      </c>
      <c r="M426" s="57">
        <v>27.5</v>
      </c>
      <c r="N426" s="63">
        <v>6.5</v>
      </c>
      <c r="O426" s="36">
        <v>1.25</v>
      </c>
      <c r="P426" s="57">
        <v>8</v>
      </c>
      <c r="Q426" s="63">
        <v>8.4</v>
      </c>
      <c r="R426" s="36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93">
        <f t="shared" si="142"/>
        <v>0</v>
      </c>
      <c r="AT426" s="93">
        <f t="shared" si="143"/>
        <v>0.79643765903307884</v>
      </c>
      <c r="AU426" s="93">
        <f t="shared" si="144"/>
        <v>0.20356234096692111</v>
      </c>
      <c r="AV426" s="26">
        <f t="shared" si="145"/>
        <v>7.4037512339585387E-2</v>
      </c>
      <c r="AW426" s="26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57">
        <v>90</v>
      </c>
      <c r="K427" s="57">
        <v>90</v>
      </c>
      <c r="L427" s="57">
        <v>90</v>
      </c>
      <c r="M427" s="57">
        <v>27.7</v>
      </c>
      <c r="N427" s="63">
        <v>6.4</v>
      </c>
      <c r="O427" s="36">
        <v>1.29</v>
      </c>
      <c r="P427" s="57">
        <v>10</v>
      </c>
      <c r="Q427" s="63">
        <v>7.6</v>
      </c>
      <c r="R427" s="36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93">
        <f t="shared" si="142"/>
        <v>0</v>
      </c>
      <c r="AT427" s="93">
        <f t="shared" si="143"/>
        <v>0.88630061009428729</v>
      </c>
      <c r="AU427" s="93">
        <f t="shared" si="144"/>
        <v>0.1136993899057127</v>
      </c>
      <c r="AV427" s="26">
        <f t="shared" si="145"/>
        <v>7.9338842975206617E-2</v>
      </c>
      <c r="AW427" s="26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57">
        <v>90</v>
      </c>
      <c r="K428" s="57">
        <v>90</v>
      </c>
      <c r="L428" s="57">
        <v>90</v>
      </c>
      <c r="M428" s="57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36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93">
        <f t="shared" si="142"/>
        <v>0</v>
      </c>
      <c r="AT428" s="93">
        <f t="shared" si="143"/>
        <v>0.88692774407060126</v>
      </c>
      <c r="AU428" s="93">
        <f t="shared" si="144"/>
        <v>0.11307225592939879</v>
      </c>
      <c r="AV428" s="26">
        <f t="shared" si="145"/>
        <v>7.8860898138006577E-2</v>
      </c>
      <c r="AW428" s="26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57">
        <v>90</v>
      </c>
      <c r="K429" s="57">
        <v>90</v>
      </c>
      <c r="L429" s="57">
        <v>90</v>
      </c>
      <c r="M429" s="57">
        <v>27.4</v>
      </c>
      <c r="N429" s="63">
        <v>6.5</v>
      </c>
      <c r="O429" s="36">
        <v>0.99</v>
      </c>
      <c r="P429" s="57">
        <v>9</v>
      </c>
      <c r="Q429" s="63">
        <v>6.5</v>
      </c>
      <c r="R429" s="36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93">
        <f t="shared" si="142"/>
        <v>0</v>
      </c>
      <c r="AT429" s="93">
        <f t="shared" si="143"/>
        <v>0.88642659279778391</v>
      </c>
      <c r="AU429" s="93">
        <f t="shared" si="144"/>
        <v>0.11357340720221606</v>
      </c>
      <c r="AV429" s="26">
        <f t="shared" si="145"/>
        <v>0.10578512396694215</v>
      </c>
      <c r="AW429" s="26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57">
        <v>90</v>
      </c>
      <c r="K430" s="57">
        <v>90</v>
      </c>
      <c r="L430" s="57">
        <v>90</v>
      </c>
      <c r="M430" s="57">
        <v>25.3</v>
      </c>
      <c r="N430" s="63">
        <v>6.2</v>
      </c>
      <c r="O430" s="36">
        <v>0.97</v>
      </c>
      <c r="P430" s="57">
        <v>5</v>
      </c>
      <c r="Q430" s="63">
        <v>8.4</v>
      </c>
      <c r="R430" s="36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93">
        <f t="shared" si="142"/>
        <v>0</v>
      </c>
      <c r="AT430" s="93">
        <f t="shared" si="143"/>
        <v>0.88534675615212532</v>
      </c>
      <c r="AU430" s="93">
        <f t="shared" si="144"/>
        <v>0.11465324384787472</v>
      </c>
      <c r="AV430" s="26">
        <f t="shared" si="145"/>
        <v>9.6438356164383565E-2</v>
      </c>
      <c r="AW430" s="26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57">
        <v>90</v>
      </c>
      <c r="K431" s="57">
        <v>90</v>
      </c>
      <c r="L431" s="57">
        <v>90</v>
      </c>
      <c r="M431" s="57">
        <v>26.2</v>
      </c>
      <c r="N431" s="63">
        <v>6.4</v>
      </c>
      <c r="O431" s="36">
        <v>1</v>
      </c>
      <c r="P431" s="57">
        <v>8</v>
      </c>
      <c r="Q431" s="63">
        <v>6.6</v>
      </c>
      <c r="R431" s="36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93">
        <f t="shared" si="142"/>
        <v>0</v>
      </c>
      <c r="AT431" s="93">
        <f t="shared" si="143"/>
        <v>0.88642659279778391</v>
      </c>
      <c r="AU431" s="93">
        <f t="shared" si="144"/>
        <v>0.11357340720221606</v>
      </c>
      <c r="AV431" s="26">
        <f t="shared" si="145"/>
        <v>9.6280087527352301E-2</v>
      </c>
      <c r="AW431" s="26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57">
        <v>90</v>
      </c>
      <c r="K432" s="57">
        <v>90</v>
      </c>
      <c r="L432" s="57">
        <v>90</v>
      </c>
      <c r="M432" s="57">
        <v>25.9</v>
      </c>
      <c r="N432" s="63">
        <v>6.4</v>
      </c>
      <c r="O432" s="36">
        <v>1.04</v>
      </c>
      <c r="P432" s="57">
        <v>5</v>
      </c>
      <c r="Q432" s="63">
        <v>6.7</v>
      </c>
      <c r="R432" s="36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93">
        <f t="shared" si="142"/>
        <v>0</v>
      </c>
      <c r="AT432" s="93">
        <f t="shared" si="143"/>
        <v>0.88566648075850529</v>
      </c>
      <c r="AU432" s="93">
        <f t="shared" si="144"/>
        <v>0.11433351924149471</v>
      </c>
      <c r="AV432" s="26">
        <f t="shared" si="145"/>
        <v>0.10126582278481013</v>
      </c>
      <c r="AW432" s="26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58">
        <v>90</v>
      </c>
      <c r="K433" s="58">
        <v>90</v>
      </c>
      <c r="L433" s="58">
        <v>90</v>
      </c>
      <c r="M433" s="58">
        <v>25.5</v>
      </c>
      <c r="N433" s="64">
        <v>6.5</v>
      </c>
      <c r="O433" s="37">
        <v>0.95</v>
      </c>
      <c r="P433" s="58">
        <v>4</v>
      </c>
      <c r="Q433" s="64">
        <v>7.7</v>
      </c>
      <c r="R433" s="37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93">
        <f t="shared" si="142"/>
        <v>0</v>
      </c>
      <c r="AT433" s="93">
        <f t="shared" si="143"/>
        <v>0.80611423974255836</v>
      </c>
      <c r="AU433" s="93">
        <f t="shared" si="144"/>
        <v>0.19388576025744167</v>
      </c>
      <c r="AV433" s="26">
        <f t="shared" si="145"/>
        <v>7.2900158478605384E-2</v>
      </c>
      <c r="AW433" s="26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59">
        <v>90</v>
      </c>
      <c r="K434" s="59">
        <v>90</v>
      </c>
      <c r="L434" s="59">
        <v>90</v>
      </c>
      <c r="M434" s="59">
        <v>25.3</v>
      </c>
      <c r="N434" s="65">
        <v>6.4</v>
      </c>
      <c r="O434" s="38">
        <v>0.96</v>
      </c>
      <c r="P434" s="59">
        <v>5</v>
      </c>
      <c r="Q434" s="65">
        <v>7.9</v>
      </c>
      <c r="R434" s="38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93">
        <f t="shared" si="142"/>
        <v>0</v>
      </c>
      <c r="AT434" s="93">
        <f t="shared" si="143"/>
        <v>0.80493630573248409</v>
      </c>
      <c r="AU434" s="93">
        <f t="shared" si="144"/>
        <v>0.19506369426751594</v>
      </c>
      <c r="AV434" s="26">
        <f t="shared" si="145"/>
        <v>0.10232558139534884</v>
      </c>
      <c r="AW434" s="26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57">
        <v>90</v>
      </c>
      <c r="K435" s="57">
        <v>90</v>
      </c>
      <c r="L435" s="57">
        <v>90</v>
      </c>
      <c r="M435" s="57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36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93">
        <f t="shared" si="142"/>
        <v>0</v>
      </c>
      <c r="AT435" s="93">
        <f t="shared" si="143"/>
        <v>0.80824088748019018</v>
      </c>
      <c r="AU435" s="93">
        <f t="shared" si="144"/>
        <v>0.19175911251980982</v>
      </c>
      <c r="AV435" s="26">
        <f t="shared" si="145"/>
        <v>0.1038552321007081</v>
      </c>
      <c r="AW435" s="26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57">
        <v>90</v>
      </c>
      <c r="K436" s="57">
        <v>90</v>
      </c>
      <c r="L436" s="57">
        <v>90</v>
      </c>
      <c r="M436" s="57">
        <v>26.4</v>
      </c>
      <c r="N436" s="63">
        <v>6.5</v>
      </c>
      <c r="O436" s="36">
        <v>1.03</v>
      </c>
      <c r="P436" s="57">
        <v>6</v>
      </c>
      <c r="Q436" s="63">
        <v>7.1</v>
      </c>
      <c r="R436" s="36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93">
        <f t="shared" si="142"/>
        <v>0</v>
      </c>
      <c r="AT436" s="93">
        <f t="shared" si="143"/>
        <v>0.88659793814432986</v>
      </c>
      <c r="AU436" s="93">
        <f t="shared" si="144"/>
        <v>0.1134020618556701</v>
      </c>
      <c r="AV436" s="26">
        <f t="shared" si="145"/>
        <v>0.10074413279908415</v>
      </c>
      <c r="AW436" s="26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57">
        <v>90</v>
      </c>
      <c r="K437" s="57">
        <v>90</v>
      </c>
      <c r="L437" s="57">
        <v>90</v>
      </c>
      <c r="M437" s="57">
        <v>26.6</v>
      </c>
      <c r="N437" s="63">
        <v>6.4</v>
      </c>
      <c r="O437" s="36">
        <v>1.07</v>
      </c>
      <c r="P437" s="57">
        <v>7</v>
      </c>
      <c r="Q437" s="63">
        <v>6.9</v>
      </c>
      <c r="R437" s="36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93">
        <f t="shared" si="142"/>
        <v>0</v>
      </c>
      <c r="AT437" s="93">
        <f t="shared" si="143"/>
        <v>0.88586956521739135</v>
      </c>
      <c r="AU437" s="93">
        <f t="shared" si="144"/>
        <v>0.11413043478260869</v>
      </c>
      <c r="AV437" s="26">
        <f t="shared" si="145"/>
        <v>9.9378881987577633E-2</v>
      </c>
      <c r="AW437" s="26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57">
        <v>90</v>
      </c>
      <c r="K438" s="57">
        <v>90</v>
      </c>
      <c r="L438" s="57">
        <v>90</v>
      </c>
      <c r="M438" s="57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36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93">
        <f t="shared" si="142"/>
        <v>0</v>
      </c>
      <c r="AT438" s="93">
        <f t="shared" si="143"/>
        <v>0.88660907127429811</v>
      </c>
      <c r="AU438" s="93">
        <f t="shared" si="144"/>
        <v>0.11339092872570194</v>
      </c>
      <c r="AV438" s="26">
        <f t="shared" si="145"/>
        <v>0.1</v>
      </c>
      <c r="AW438" s="26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57">
        <v>90</v>
      </c>
      <c r="K439" s="57">
        <v>90</v>
      </c>
      <c r="L439" s="57">
        <v>90</v>
      </c>
      <c r="M439" s="57">
        <v>26</v>
      </c>
      <c r="N439" s="63">
        <v>6.6</v>
      </c>
      <c r="O439" s="36">
        <v>1</v>
      </c>
      <c r="P439" s="57">
        <v>8</v>
      </c>
      <c r="Q439" s="63">
        <v>7.4</v>
      </c>
      <c r="R439" s="36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93">
        <f t="shared" si="142"/>
        <v>0</v>
      </c>
      <c r="AT439" s="93">
        <f t="shared" si="143"/>
        <v>0.88251826869027539</v>
      </c>
      <c r="AU439" s="93">
        <f t="shared" si="144"/>
        <v>0.11748173130972456</v>
      </c>
      <c r="AV439" s="26">
        <f t="shared" si="145"/>
        <v>0.10214689265536724</v>
      </c>
      <c r="AW439" s="26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57">
        <v>90</v>
      </c>
      <c r="K440" s="57">
        <v>90</v>
      </c>
      <c r="L440" s="57">
        <v>90</v>
      </c>
      <c r="M440" s="57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36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93">
        <f t="shared" si="142"/>
        <v>0</v>
      </c>
      <c r="AT440" s="93">
        <f t="shared" si="143"/>
        <v>0.88278182837913632</v>
      </c>
      <c r="AU440" s="93">
        <f t="shared" si="144"/>
        <v>0.11721817162086372</v>
      </c>
      <c r="AV440" s="26">
        <f t="shared" si="145"/>
        <v>0.10442783208740655</v>
      </c>
      <c r="AW440" s="26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57">
        <v>90</v>
      </c>
      <c r="K441" s="57">
        <v>90</v>
      </c>
      <c r="L441" s="57">
        <v>90</v>
      </c>
      <c r="M441" s="57">
        <v>25.8</v>
      </c>
      <c r="N441" s="63">
        <v>6.6</v>
      </c>
      <c r="O441" s="36">
        <v>1.01</v>
      </c>
      <c r="P441" s="57">
        <v>8</v>
      </c>
      <c r="Q441" s="63">
        <v>7.1</v>
      </c>
      <c r="R441" s="36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93">
        <f t="shared" si="142"/>
        <v>0</v>
      </c>
      <c r="AT441" s="93">
        <f t="shared" si="143"/>
        <v>0.8835005574136009</v>
      </c>
      <c r="AU441" s="93">
        <f t="shared" si="144"/>
        <v>0.1164994425863991</v>
      </c>
      <c r="AV441" s="26">
        <f t="shared" si="145"/>
        <v>9.7729729729729736E-2</v>
      </c>
      <c r="AW441" s="26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57">
        <v>90</v>
      </c>
      <c r="K442" s="57">
        <v>90</v>
      </c>
      <c r="L442" s="57">
        <v>90</v>
      </c>
      <c r="M442" s="57">
        <v>25.6</v>
      </c>
      <c r="N442" s="63">
        <v>6.5</v>
      </c>
      <c r="O442" s="36">
        <v>0.97</v>
      </c>
      <c r="P442" s="57">
        <v>8</v>
      </c>
      <c r="Q442" s="63">
        <v>6.9</v>
      </c>
      <c r="R442" s="36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93">
        <f t="shared" si="142"/>
        <v>0</v>
      </c>
      <c r="AT442" s="93">
        <f t="shared" si="143"/>
        <v>0.88022922636103151</v>
      </c>
      <c r="AU442" s="93">
        <f t="shared" si="144"/>
        <v>0.11977077363896849</v>
      </c>
      <c r="AV442" s="26">
        <f t="shared" si="145"/>
        <v>0.1011185682326622</v>
      </c>
      <c r="AW442" s="26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58">
        <v>90</v>
      </c>
      <c r="K443" s="58">
        <v>90</v>
      </c>
      <c r="L443" s="58">
        <v>90</v>
      </c>
      <c r="M443" s="58">
        <v>25.4</v>
      </c>
      <c r="N443" s="64">
        <v>6.4</v>
      </c>
      <c r="O443" s="37">
        <v>0.93</v>
      </c>
      <c r="P443" s="58">
        <v>8</v>
      </c>
      <c r="Q443" s="64">
        <v>7.2</v>
      </c>
      <c r="R443" s="37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93">
        <f t="shared" si="142"/>
        <v>0</v>
      </c>
      <c r="AT443" s="93">
        <f t="shared" si="143"/>
        <v>0.83842309827873407</v>
      </c>
      <c r="AU443" s="93">
        <f t="shared" si="144"/>
        <v>0.16157690172126596</v>
      </c>
      <c r="AV443" s="26">
        <f t="shared" si="145"/>
        <v>9.4511238891792998E-2</v>
      </c>
      <c r="AW443" s="26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59">
        <v>90</v>
      </c>
      <c r="K444" s="59">
        <v>90</v>
      </c>
      <c r="L444" s="59">
        <v>90</v>
      </c>
      <c r="M444" s="59">
        <v>25.3</v>
      </c>
      <c r="N444" s="65">
        <v>6.3</v>
      </c>
      <c r="O444" s="38">
        <v>1.06</v>
      </c>
      <c r="P444" s="59">
        <v>8</v>
      </c>
      <c r="Q444" s="65">
        <v>6.9</v>
      </c>
      <c r="R444" s="38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93">
        <f t="shared" si="142"/>
        <v>0</v>
      </c>
      <c r="AT444" s="93">
        <f t="shared" si="143"/>
        <v>0.88655649843680218</v>
      </c>
      <c r="AU444" s="93">
        <f t="shared" si="144"/>
        <v>0.11344350156319785</v>
      </c>
      <c r="AV444" s="26">
        <f t="shared" si="145"/>
        <v>8.099467140319716E-2</v>
      </c>
      <c r="AW444" s="26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57">
        <v>90</v>
      </c>
      <c r="K445" s="57">
        <v>90</v>
      </c>
      <c r="L445" s="57">
        <v>90</v>
      </c>
      <c r="M445" s="57">
        <v>26.3</v>
      </c>
      <c r="N445" s="63">
        <v>6.5</v>
      </c>
      <c r="O445" s="36">
        <v>1.05</v>
      </c>
      <c r="P445" s="57">
        <v>11</v>
      </c>
      <c r="Q445" s="63">
        <v>7</v>
      </c>
      <c r="R445" s="36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93">
        <f t="shared" si="142"/>
        <v>0</v>
      </c>
      <c r="AT445" s="93">
        <f t="shared" si="143"/>
        <v>0.88716126166148379</v>
      </c>
      <c r="AU445" s="93">
        <f t="shared" si="144"/>
        <v>0.11283873833851621</v>
      </c>
      <c r="AV445" s="26">
        <f t="shared" si="145"/>
        <v>7.9964460239893384E-2</v>
      </c>
      <c r="AW445" s="26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57">
        <v>90</v>
      </c>
      <c r="K446" s="57">
        <v>90</v>
      </c>
      <c r="L446" s="57">
        <v>90</v>
      </c>
      <c r="M446" s="57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36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93">
        <f t="shared" si="142"/>
        <v>0.15351257588898526</v>
      </c>
      <c r="AT446" s="93">
        <f t="shared" si="143"/>
        <v>0.73720728534258462</v>
      </c>
      <c r="AU446" s="93">
        <f t="shared" si="144"/>
        <v>0.10928013876843018</v>
      </c>
      <c r="AV446" s="26">
        <f t="shared" si="145"/>
        <v>7.753001715265867E-2</v>
      </c>
      <c r="AW446" s="26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57">
        <v>90</v>
      </c>
      <c r="K447" s="57">
        <v>90</v>
      </c>
      <c r="L447" s="57">
        <v>90</v>
      </c>
      <c r="M447" s="57">
        <v>26.7</v>
      </c>
      <c r="N447" s="63">
        <v>6.2</v>
      </c>
      <c r="O447" s="36">
        <v>1.79</v>
      </c>
      <c r="P447" s="57">
        <v>14</v>
      </c>
      <c r="Q447" s="63">
        <v>6.5</v>
      </c>
      <c r="R447" s="36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93">
        <f t="shared" si="142"/>
        <v>0.16179775280898875</v>
      </c>
      <c r="AT447" s="93">
        <f t="shared" si="143"/>
        <v>0.72494382022471915</v>
      </c>
      <c r="AU447" s="93">
        <f t="shared" si="144"/>
        <v>0.11325842696629214</v>
      </c>
      <c r="AV447" s="26">
        <f t="shared" si="145"/>
        <v>7.6851460008463809E-2</v>
      </c>
      <c r="AW447" s="26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57">
        <v>90</v>
      </c>
      <c r="K448" s="57">
        <v>90</v>
      </c>
      <c r="L448" s="57">
        <v>90</v>
      </c>
      <c r="M448" s="57">
        <v>26.2</v>
      </c>
      <c r="N448" s="63">
        <v>6.3</v>
      </c>
      <c r="O448" s="36">
        <v>1.7</v>
      </c>
      <c r="P448" s="57">
        <v>13</v>
      </c>
      <c r="Q448" s="63">
        <v>6.9</v>
      </c>
      <c r="R448" s="36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93">
        <f t="shared" si="142"/>
        <v>9.1659028414298807E-2</v>
      </c>
      <c r="AT448" s="93">
        <f t="shared" si="143"/>
        <v>0.81668194317140241</v>
      </c>
      <c r="AU448" s="93">
        <f t="shared" si="144"/>
        <v>9.1659028414298807E-2</v>
      </c>
      <c r="AV448" s="26">
        <f t="shared" si="145"/>
        <v>8.1066666666666676E-2</v>
      </c>
      <c r="AW448" s="26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57">
        <v>90</v>
      </c>
      <c r="K449" s="57">
        <v>90</v>
      </c>
      <c r="L449" s="57">
        <v>90</v>
      </c>
      <c r="M449" s="57">
        <v>26</v>
      </c>
      <c r="N449" s="63">
        <v>6.3</v>
      </c>
      <c r="O449" s="36">
        <v>1.58</v>
      </c>
      <c r="P449" s="57">
        <v>12</v>
      </c>
      <c r="Q449" s="63">
        <v>6.8</v>
      </c>
      <c r="R449" s="36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93">
        <f t="shared" si="142"/>
        <v>0.1228794131132508</v>
      </c>
      <c r="AT449" s="93">
        <f t="shared" si="143"/>
        <v>0.78541953232462169</v>
      </c>
      <c r="AU449" s="93">
        <f t="shared" si="144"/>
        <v>9.170105456212746E-2</v>
      </c>
      <c r="AV449" s="26">
        <f t="shared" si="145"/>
        <v>8.0711111111111108E-2</v>
      </c>
      <c r="AW449" s="26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57">
        <v>90</v>
      </c>
      <c r="K450" s="57">
        <v>90</v>
      </c>
      <c r="L450" s="57">
        <v>90</v>
      </c>
      <c r="M450" s="57">
        <v>26</v>
      </c>
      <c r="N450" s="63">
        <v>6.3</v>
      </c>
      <c r="O450" s="36">
        <v>1.7</v>
      </c>
      <c r="P450" s="57">
        <v>12</v>
      </c>
      <c r="Q450" s="63">
        <v>6.7</v>
      </c>
      <c r="R450" s="36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93">
        <f t="shared" ref="AS450:AS513" si="167">C450/AR450</f>
        <v>0.11954022988505747</v>
      </c>
      <c r="AT450" s="93">
        <f t="shared" ref="AT450:AT513" si="168">D450/AR450</f>
        <v>0.78850574712643673</v>
      </c>
      <c r="AU450" s="93">
        <f t="shared" ref="AU450:AU513" si="169">E450/AR450</f>
        <v>9.1954022988505746E-2</v>
      </c>
      <c r="AV450" s="26">
        <f t="shared" ref="AV450:AV511" si="170">IF(AND(F450&lt;&gt;"",Z450&lt;&gt;""),AB450/(F450/2/Z450),"")</f>
        <v>8.0886917960088692E-2</v>
      </c>
      <c r="AW450" s="26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58">
        <v>90</v>
      </c>
      <c r="K451" s="58">
        <v>90</v>
      </c>
      <c r="L451" s="58">
        <v>90</v>
      </c>
      <c r="M451" s="58">
        <v>25.4</v>
      </c>
      <c r="N451" s="64">
        <v>6.2</v>
      </c>
      <c r="O451" s="37">
        <v>1.68</v>
      </c>
      <c r="P451" s="58">
        <v>8</v>
      </c>
      <c r="Q451" s="64">
        <v>5.6</v>
      </c>
      <c r="R451" s="37">
        <v>0.15</v>
      </c>
      <c r="S451" s="36">
        <v>22.36</v>
      </c>
      <c r="T451" s="36">
        <v>0.88</v>
      </c>
      <c r="U451" s="36">
        <v>0.7</v>
      </c>
      <c r="V451" s="42">
        <f t="shared" ref="V451:V514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93">
        <f t="shared" si="167"/>
        <v>0.16342412451361868</v>
      </c>
      <c r="AT451" s="93">
        <f t="shared" si="168"/>
        <v>0.67537520844913845</v>
      </c>
      <c r="AU451" s="93">
        <f t="shared" si="169"/>
        <v>0.16120066703724292</v>
      </c>
      <c r="AV451" s="26">
        <f t="shared" si="170"/>
        <v>6.3124671225670698E-2</v>
      </c>
      <c r="AW451" s="26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59">
        <v>90</v>
      </c>
      <c r="K452" s="59">
        <v>90</v>
      </c>
      <c r="L452" s="59">
        <v>90</v>
      </c>
      <c r="M452" s="59">
        <v>24.5</v>
      </c>
      <c r="N452" s="65">
        <v>6.5</v>
      </c>
      <c r="O452" s="38">
        <v>1.71</v>
      </c>
      <c r="P452" s="59">
        <v>8</v>
      </c>
      <c r="Q452" s="65">
        <v>6.1</v>
      </c>
      <c r="R452" s="38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93">
        <f t="shared" si="167"/>
        <v>0</v>
      </c>
      <c r="AT452" s="93">
        <f t="shared" si="168"/>
        <v>0.76569678407350694</v>
      </c>
      <c r="AU452" s="93">
        <f t="shared" si="169"/>
        <v>0.23430321592649311</v>
      </c>
      <c r="AV452" s="26">
        <f t="shared" si="170"/>
        <v>0.14507462686567166</v>
      </c>
      <c r="AW452" s="26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57">
        <v>90</v>
      </c>
      <c r="K453" s="57">
        <v>90</v>
      </c>
      <c r="L453" s="57">
        <v>90</v>
      </c>
      <c r="M453" s="57">
        <v>26.6</v>
      </c>
      <c r="N453" s="63">
        <v>6.3</v>
      </c>
      <c r="O453" s="36">
        <v>1.24</v>
      </c>
      <c r="P453" s="57">
        <v>8</v>
      </c>
      <c r="Q453" s="63">
        <v>7.1</v>
      </c>
      <c r="R453" s="36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93">
        <f t="shared" si="167"/>
        <v>0.15674955595026643</v>
      </c>
      <c r="AT453" s="93">
        <f t="shared" si="168"/>
        <v>0.71003552397868563</v>
      </c>
      <c r="AU453" s="93">
        <f t="shared" si="169"/>
        <v>0.13321492007104796</v>
      </c>
      <c r="AV453" s="26">
        <f t="shared" si="170"/>
        <v>6.3391304347826097E-2</v>
      </c>
      <c r="AW453" s="26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57">
        <v>90</v>
      </c>
      <c r="K454" s="57">
        <v>90</v>
      </c>
      <c r="L454" s="57">
        <v>90</v>
      </c>
      <c r="M454" s="57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36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93">
        <f t="shared" si="167"/>
        <v>0.12471655328798185</v>
      </c>
      <c r="AT454" s="93">
        <f t="shared" si="168"/>
        <v>0.75283446712018143</v>
      </c>
      <c r="AU454" s="93">
        <f t="shared" si="169"/>
        <v>0.12244897959183673</v>
      </c>
      <c r="AV454" s="26">
        <f t="shared" si="170"/>
        <v>7.3303167420814483E-2</v>
      </c>
      <c r="AW454" s="26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57">
        <v>90</v>
      </c>
      <c r="K455" s="57">
        <v>90</v>
      </c>
      <c r="L455" s="57">
        <v>90</v>
      </c>
      <c r="M455" s="57">
        <v>27</v>
      </c>
      <c r="N455" s="63">
        <v>6.4</v>
      </c>
      <c r="O455" s="36">
        <v>1.3</v>
      </c>
      <c r="P455" s="57">
        <v>5</v>
      </c>
      <c r="Q455" s="63">
        <v>6.2</v>
      </c>
      <c r="R455" s="36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93">
        <f t="shared" si="167"/>
        <v>0.12219679633867277</v>
      </c>
      <c r="AT455" s="93">
        <f t="shared" si="168"/>
        <v>0.75102974828375291</v>
      </c>
      <c r="AU455" s="93">
        <f t="shared" si="169"/>
        <v>0.12677345537757437</v>
      </c>
      <c r="AV455" s="26">
        <f t="shared" si="170"/>
        <v>6.2095400340715506E-2</v>
      </c>
      <c r="AW455" s="26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57">
        <v>90</v>
      </c>
      <c r="K456" s="57">
        <v>90</v>
      </c>
      <c r="L456" s="57">
        <v>90</v>
      </c>
      <c r="M456" s="57">
        <v>26.7</v>
      </c>
      <c r="N456" s="63">
        <v>6.4</v>
      </c>
      <c r="O456" s="36">
        <v>1.2</v>
      </c>
      <c r="P456" s="57">
        <v>9</v>
      </c>
      <c r="Q456" s="63">
        <v>6.7</v>
      </c>
      <c r="R456" s="36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93">
        <f t="shared" si="167"/>
        <v>0.12581547064305684</v>
      </c>
      <c r="AT456" s="93">
        <f t="shared" si="168"/>
        <v>0.74557315936626278</v>
      </c>
      <c r="AU456" s="93">
        <f t="shared" si="169"/>
        <v>0.12861136999068035</v>
      </c>
      <c r="AV456" s="26">
        <f t="shared" si="170"/>
        <v>6.1459667093469908E-2</v>
      </c>
      <c r="AW456" s="26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57">
        <v>90</v>
      </c>
      <c r="K457" s="57">
        <v>90</v>
      </c>
      <c r="L457" s="57">
        <v>90</v>
      </c>
      <c r="M457" s="57">
        <v>26</v>
      </c>
      <c r="N457" s="63">
        <v>6.3</v>
      </c>
      <c r="O457" s="36">
        <v>1.31</v>
      </c>
      <c r="P457" s="57">
        <v>13</v>
      </c>
      <c r="Q457" s="63">
        <v>6.9</v>
      </c>
      <c r="R457" s="36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93">
        <f t="shared" si="167"/>
        <v>0.12646370023419204</v>
      </c>
      <c r="AT457" s="93">
        <f t="shared" si="168"/>
        <v>0.74379391100702574</v>
      </c>
      <c r="AU457" s="93">
        <f t="shared" si="169"/>
        <v>0.12974238875878219</v>
      </c>
      <c r="AV457" s="26">
        <f t="shared" si="170"/>
        <v>6.1433447098976107E-2</v>
      </c>
      <c r="AW457" s="26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57">
        <v>90</v>
      </c>
      <c r="K458" s="57">
        <v>90</v>
      </c>
      <c r="L458" s="57">
        <v>90</v>
      </c>
      <c r="M458" s="57">
        <v>24.9</v>
      </c>
      <c r="N458" s="63">
        <v>6.5</v>
      </c>
      <c r="O458" s="36">
        <v>1.35</v>
      </c>
      <c r="P458" s="57">
        <v>10</v>
      </c>
      <c r="Q458" s="63">
        <v>7</v>
      </c>
      <c r="R458" s="36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93">
        <f t="shared" si="167"/>
        <v>0</v>
      </c>
      <c r="AT458" s="93">
        <f t="shared" si="168"/>
        <v>0.87588652482269502</v>
      </c>
      <c r="AU458" s="93">
        <f t="shared" si="169"/>
        <v>0.12411347517730496</v>
      </c>
      <c r="AV458" s="26">
        <f t="shared" si="170"/>
        <v>7.3732718894009217E-2</v>
      </c>
      <c r="AW458" s="26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57">
        <v>90</v>
      </c>
      <c r="K459" s="57">
        <v>90</v>
      </c>
      <c r="L459" s="57">
        <v>90</v>
      </c>
      <c r="M459" s="57">
        <v>24.8</v>
      </c>
      <c r="N459" s="63">
        <v>6.4</v>
      </c>
      <c r="O459" s="36">
        <v>1.39</v>
      </c>
      <c r="P459" s="57">
        <v>10</v>
      </c>
      <c r="Q459" s="63">
        <v>7.5</v>
      </c>
      <c r="R459" s="36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93">
        <f t="shared" si="167"/>
        <v>0</v>
      </c>
      <c r="AT459" s="93">
        <f t="shared" si="168"/>
        <v>0.87730870712401055</v>
      </c>
      <c r="AU459" s="93">
        <f t="shared" si="169"/>
        <v>0.12269129287598944</v>
      </c>
      <c r="AV459" s="26">
        <f t="shared" si="170"/>
        <v>7.3732718894009217E-2</v>
      </c>
      <c r="AW459" s="26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57">
        <v>90</v>
      </c>
      <c r="K460" s="57">
        <v>90</v>
      </c>
      <c r="L460" s="57">
        <v>90</v>
      </c>
      <c r="M460" s="57">
        <v>24.7</v>
      </c>
      <c r="N460" s="63">
        <v>6.4</v>
      </c>
      <c r="O460" s="36">
        <v>1.44</v>
      </c>
      <c r="P460" s="57">
        <v>11</v>
      </c>
      <c r="Q460" s="63">
        <v>7.9</v>
      </c>
      <c r="R460" s="36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93">
        <f t="shared" si="167"/>
        <v>0</v>
      </c>
      <c r="AT460" s="93">
        <f t="shared" si="168"/>
        <v>0.87671232876712324</v>
      </c>
      <c r="AU460" s="93">
        <f t="shared" si="169"/>
        <v>0.12328767123287671</v>
      </c>
      <c r="AV460" s="26">
        <f t="shared" si="170"/>
        <v>7.3431922488526272E-2</v>
      </c>
      <c r="AW460" s="26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57">
        <v>90</v>
      </c>
      <c r="K461" s="57">
        <v>90</v>
      </c>
      <c r="L461" s="57">
        <v>90</v>
      </c>
      <c r="M461" s="57">
        <v>24.7</v>
      </c>
      <c r="N461" s="63">
        <v>6.1</v>
      </c>
      <c r="O461" s="36">
        <v>1.41</v>
      </c>
      <c r="P461" s="57">
        <v>11</v>
      </c>
      <c r="Q461" s="63">
        <v>6.7</v>
      </c>
      <c r="R461" s="36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93">
        <f t="shared" si="167"/>
        <v>0</v>
      </c>
      <c r="AT461" s="93">
        <f t="shared" si="168"/>
        <v>0.87527939204291461</v>
      </c>
      <c r="AU461" s="93">
        <f t="shared" si="169"/>
        <v>0.12472060795708538</v>
      </c>
      <c r="AV461" s="26">
        <f t="shared" si="170"/>
        <v>7.4611398963730563E-2</v>
      </c>
      <c r="AW461" s="26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57">
        <v>90</v>
      </c>
      <c r="K462" s="57">
        <v>90</v>
      </c>
      <c r="L462" s="57">
        <v>90</v>
      </c>
      <c r="M462" s="57">
        <v>24.6</v>
      </c>
      <c r="N462" s="63">
        <v>6.4</v>
      </c>
      <c r="O462" s="36">
        <v>1.39</v>
      </c>
      <c r="P462" s="57">
        <v>11</v>
      </c>
      <c r="Q462" s="63">
        <v>7.2</v>
      </c>
      <c r="R462" s="36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93">
        <f t="shared" si="167"/>
        <v>0</v>
      </c>
      <c r="AT462" s="93">
        <f t="shared" si="168"/>
        <v>0.87142857142857144</v>
      </c>
      <c r="AU462" s="93">
        <f t="shared" si="169"/>
        <v>0.12857142857142856</v>
      </c>
      <c r="AV462" s="26">
        <f t="shared" si="170"/>
        <v>7.5590551181102361E-2</v>
      </c>
      <c r="AW462" s="26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58">
        <v>90</v>
      </c>
      <c r="K463" s="58">
        <v>90</v>
      </c>
      <c r="L463" s="58">
        <v>90</v>
      </c>
      <c r="M463" s="58">
        <v>24.5</v>
      </c>
      <c r="N463" s="64">
        <v>6.4</v>
      </c>
      <c r="O463" s="37">
        <v>1.36</v>
      </c>
      <c r="P463" s="58">
        <v>10</v>
      </c>
      <c r="Q463" s="64">
        <v>7.3</v>
      </c>
      <c r="R463" s="37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93">
        <f t="shared" si="167"/>
        <v>0</v>
      </c>
      <c r="AT463" s="93">
        <f t="shared" si="168"/>
        <v>0.87066974595842961</v>
      </c>
      <c r="AU463" s="93">
        <f t="shared" si="169"/>
        <v>0.12933025404157045</v>
      </c>
      <c r="AV463" s="26">
        <f t="shared" si="170"/>
        <v>7.2478991596638662E-2</v>
      </c>
      <c r="AW463" s="26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59">
        <v>90</v>
      </c>
      <c r="K464" s="59">
        <v>90</v>
      </c>
      <c r="L464" s="59">
        <v>90</v>
      </c>
      <c r="M464" s="59">
        <v>25</v>
      </c>
      <c r="N464" s="65">
        <v>6.4</v>
      </c>
      <c r="O464" s="38">
        <v>1.58</v>
      </c>
      <c r="P464" s="59">
        <v>8</v>
      </c>
      <c r="Q464" s="65">
        <v>6.9</v>
      </c>
      <c r="R464" s="38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93">
        <f t="shared" si="167"/>
        <v>0</v>
      </c>
      <c r="AT464" s="93">
        <f t="shared" si="168"/>
        <v>0.86976744186046506</v>
      </c>
      <c r="AU464" s="93">
        <f t="shared" si="169"/>
        <v>0.13023255813953488</v>
      </c>
      <c r="AV464" s="26">
        <f t="shared" si="170"/>
        <v>6.2727272727272729E-2</v>
      </c>
      <c r="AW464" s="26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57">
        <v>90</v>
      </c>
      <c r="K465" s="57">
        <v>90</v>
      </c>
      <c r="L465" s="57">
        <v>90</v>
      </c>
      <c r="M465" s="57">
        <v>26.1</v>
      </c>
      <c r="N465" s="63">
        <v>6.4</v>
      </c>
      <c r="O465" s="36">
        <v>1.55</v>
      </c>
      <c r="P465" s="57">
        <v>8</v>
      </c>
      <c r="Q465" s="63">
        <v>6.9</v>
      </c>
      <c r="R465" s="36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93">
        <f t="shared" si="167"/>
        <v>0</v>
      </c>
      <c r="AT465" s="93">
        <f t="shared" si="168"/>
        <v>0.88306828811973803</v>
      </c>
      <c r="AU465" s="93">
        <f t="shared" si="169"/>
        <v>0.11693171188026193</v>
      </c>
      <c r="AV465" s="26">
        <f t="shared" si="170"/>
        <v>6.2727272727272729E-2</v>
      </c>
      <c r="AW465" s="26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57">
        <v>90</v>
      </c>
      <c r="K466" s="57">
        <v>90</v>
      </c>
      <c r="L466" s="57">
        <v>90</v>
      </c>
      <c r="M466" s="57">
        <v>25.9</v>
      </c>
      <c r="N466" s="63">
        <v>6.4</v>
      </c>
      <c r="O466" s="36">
        <v>1.48</v>
      </c>
      <c r="P466" s="57">
        <v>8</v>
      </c>
      <c r="Q466" s="63">
        <v>7.9</v>
      </c>
      <c r="R466" s="36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93">
        <f t="shared" si="167"/>
        <v>0</v>
      </c>
      <c r="AT466" s="93">
        <f t="shared" si="168"/>
        <v>0.78858350951374212</v>
      </c>
      <c r="AU466" s="93">
        <f t="shared" si="169"/>
        <v>0.21141649048625794</v>
      </c>
      <c r="AV466" s="26">
        <f t="shared" si="170"/>
        <v>7.9338842975206617E-2</v>
      </c>
      <c r="AW466" s="26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57">
        <v>90</v>
      </c>
      <c r="K467" s="57">
        <v>90</v>
      </c>
      <c r="L467" s="57">
        <v>90</v>
      </c>
      <c r="M467" s="57">
        <v>25.5</v>
      </c>
      <c r="N467" s="63">
        <v>6.4</v>
      </c>
      <c r="O467" s="36">
        <v>1.51</v>
      </c>
      <c r="P467" s="57">
        <v>9</v>
      </c>
      <c r="Q467" s="63">
        <v>8.1</v>
      </c>
      <c r="R467" s="36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93">
        <f t="shared" si="167"/>
        <v>0</v>
      </c>
      <c r="AT467" s="93">
        <f t="shared" si="168"/>
        <v>0.78936260025327143</v>
      </c>
      <c r="AU467" s="93">
        <f t="shared" si="169"/>
        <v>0.21063739974672857</v>
      </c>
      <c r="AV467" s="26">
        <f t="shared" si="170"/>
        <v>7.9338842975206617E-2</v>
      </c>
      <c r="AW467" s="26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57">
        <v>90</v>
      </c>
      <c r="K468" s="57">
        <v>90</v>
      </c>
      <c r="L468" s="57">
        <v>90</v>
      </c>
      <c r="M468" s="57">
        <v>25.1</v>
      </c>
      <c r="N468" s="63">
        <v>6.5</v>
      </c>
      <c r="O468" s="36">
        <v>1.38</v>
      </c>
      <c r="P468" s="57">
        <v>11</v>
      </c>
      <c r="Q468" s="63">
        <v>9.5</v>
      </c>
      <c r="R468" s="36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93">
        <f t="shared" si="167"/>
        <v>0</v>
      </c>
      <c r="AT468" s="93">
        <f t="shared" si="168"/>
        <v>0.73147153598281422</v>
      </c>
      <c r="AU468" s="93">
        <f t="shared" si="169"/>
        <v>0.26852846401718583</v>
      </c>
      <c r="AV468" s="26">
        <f t="shared" si="170"/>
        <v>0.10311493018259936</v>
      </c>
      <c r="AW468" s="26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57">
        <v>20</v>
      </c>
      <c r="K469" s="57">
        <v>90</v>
      </c>
      <c r="L469" s="57">
        <v>90</v>
      </c>
      <c r="M469" s="57">
        <v>24.6</v>
      </c>
      <c r="N469" s="63">
        <v>6.5</v>
      </c>
      <c r="O469" s="36">
        <v>1.46</v>
      </c>
      <c r="P469" s="57">
        <v>8</v>
      </c>
      <c r="Q469" s="63">
        <v>9.9</v>
      </c>
      <c r="R469" s="36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93">
        <f t="shared" si="167"/>
        <v>0</v>
      </c>
      <c r="AT469" s="93">
        <f t="shared" si="168"/>
        <v>0.73379383634431461</v>
      </c>
      <c r="AU469" s="93">
        <f t="shared" si="169"/>
        <v>0.26620616365568545</v>
      </c>
      <c r="AV469" s="26">
        <f t="shared" si="170"/>
        <v>9.8395721925133683E-2</v>
      </c>
      <c r="AW469" s="26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57">
        <v>90</v>
      </c>
      <c r="K470" s="57">
        <v>90</v>
      </c>
      <c r="L470" s="57">
        <v>90</v>
      </c>
      <c r="M470" s="57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36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93">
        <f t="shared" si="167"/>
        <v>0</v>
      </c>
      <c r="AT470" s="93">
        <f t="shared" si="168"/>
        <v>0.73944762897342364</v>
      </c>
      <c r="AU470" s="93">
        <f t="shared" si="169"/>
        <v>0.26055237102657636</v>
      </c>
      <c r="AV470" s="26">
        <f t="shared" si="170"/>
        <v>9.5683827353094122E-2</v>
      </c>
      <c r="AW470" s="26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57">
        <v>90</v>
      </c>
      <c r="K471" s="57">
        <v>90</v>
      </c>
      <c r="L471" s="57">
        <v>90</v>
      </c>
      <c r="M471" s="57">
        <v>24.2</v>
      </c>
      <c r="N471" s="63">
        <v>6.5</v>
      </c>
      <c r="O471" s="36">
        <v>1.28</v>
      </c>
      <c r="P471" s="57">
        <v>6</v>
      </c>
      <c r="Q471" s="63">
        <v>9.6</v>
      </c>
      <c r="R471" s="36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93">
        <f t="shared" si="167"/>
        <v>0</v>
      </c>
      <c r="AT471" s="93">
        <f t="shared" si="168"/>
        <v>0.73418394471026049</v>
      </c>
      <c r="AU471" s="93">
        <f t="shared" si="169"/>
        <v>0.26581605528973951</v>
      </c>
      <c r="AV471" s="26">
        <f t="shared" si="170"/>
        <v>9.9173553719008267E-2</v>
      </c>
      <c r="AW471" s="26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58">
        <v>90</v>
      </c>
      <c r="K472" s="58">
        <v>90</v>
      </c>
      <c r="L472" s="58">
        <v>90</v>
      </c>
      <c r="M472" s="58">
        <v>24.1</v>
      </c>
      <c r="N472" s="64">
        <v>6.6</v>
      </c>
      <c r="O472" s="37">
        <v>1.26</v>
      </c>
      <c r="P472" s="58">
        <v>7</v>
      </c>
      <c r="Q472" s="64">
        <v>8.4</v>
      </c>
      <c r="R472" s="37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93">
        <f t="shared" si="167"/>
        <v>0</v>
      </c>
      <c r="AT472" s="93">
        <f t="shared" si="168"/>
        <v>0.73118279569892475</v>
      </c>
      <c r="AU472" s="93">
        <f t="shared" si="169"/>
        <v>0.26881720430107525</v>
      </c>
      <c r="AV472" s="26">
        <f t="shared" si="170"/>
        <v>0.10278372591006424</v>
      </c>
      <c r="AW472" s="26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59">
        <v>90</v>
      </c>
      <c r="K473" s="59">
        <v>90</v>
      </c>
      <c r="L473" s="59">
        <v>90</v>
      </c>
      <c r="M473" s="59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38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93">
        <f t="shared" si="167"/>
        <v>0</v>
      </c>
      <c r="AT473" s="93">
        <f t="shared" si="168"/>
        <v>0.73404255319148937</v>
      </c>
      <c r="AU473" s="93">
        <f t="shared" si="169"/>
        <v>0.26595744680851063</v>
      </c>
      <c r="AV473" s="26">
        <f t="shared" si="170"/>
        <v>9.7046413502109699E-2</v>
      </c>
      <c r="AW473" s="26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57">
        <v>90</v>
      </c>
      <c r="K474" s="57">
        <v>90</v>
      </c>
      <c r="L474" s="57">
        <v>90</v>
      </c>
      <c r="M474" s="57">
        <v>25.4</v>
      </c>
      <c r="N474" s="63">
        <v>6.6</v>
      </c>
      <c r="O474" s="36">
        <v>1.27</v>
      </c>
      <c r="P474" s="57">
        <v>7</v>
      </c>
      <c r="Q474" s="63">
        <v>9.4</v>
      </c>
      <c r="R474" s="36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93">
        <f t="shared" si="167"/>
        <v>0</v>
      </c>
      <c r="AT474" s="93">
        <f t="shared" si="168"/>
        <v>0.73012439156300701</v>
      </c>
      <c r="AU474" s="93">
        <f t="shared" si="169"/>
        <v>0.26987560843699299</v>
      </c>
      <c r="AV474" s="26">
        <f t="shared" si="170"/>
        <v>9.6842105263157896E-2</v>
      </c>
      <c r="AW474" s="26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57">
        <v>90</v>
      </c>
      <c r="K475" s="57">
        <v>90</v>
      </c>
      <c r="L475" s="57">
        <v>90</v>
      </c>
      <c r="M475" s="57">
        <v>26.1</v>
      </c>
      <c r="N475" s="63">
        <v>6.5</v>
      </c>
      <c r="O475" s="36">
        <v>1.25</v>
      </c>
      <c r="P475" s="57">
        <v>7</v>
      </c>
      <c r="Q475" s="63">
        <v>10.1</v>
      </c>
      <c r="R475" s="36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93">
        <f t="shared" si="167"/>
        <v>0</v>
      </c>
      <c r="AT475" s="93">
        <f t="shared" si="168"/>
        <v>0.72692517749863461</v>
      </c>
      <c r="AU475" s="93">
        <f t="shared" si="169"/>
        <v>0.27307482250136539</v>
      </c>
      <c r="AV475" s="26">
        <f t="shared" si="170"/>
        <v>0.10142630744849446</v>
      </c>
      <c r="AW475" s="26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57">
        <v>90</v>
      </c>
      <c r="K476" s="57">
        <v>90</v>
      </c>
      <c r="L476" s="57">
        <v>90</v>
      </c>
      <c r="M476" s="57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36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93">
        <f t="shared" si="167"/>
        <v>0</v>
      </c>
      <c r="AT476" s="93">
        <f t="shared" si="168"/>
        <v>0.73262032085561501</v>
      </c>
      <c r="AU476" s="93">
        <f t="shared" si="169"/>
        <v>0.26737967914438504</v>
      </c>
      <c r="AV476" s="26">
        <f t="shared" si="170"/>
        <v>0.10153358011634056</v>
      </c>
      <c r="AW476" s="26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57">
        <v>90</v>
      </c>
      <c r="K477" s="57">
        <v>90</v>
      </c>
      <c r="L477" s="57">
        <v>90</v>
      </c>
      <c r="M477" s="57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36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93">
        <f t="shared" si="167"/>
        <v>0</v>
      </c>
      <c r="AT477" s="93">
        <f t="shared" si="168"/>
        <v>0.7752808988764045</v>
      </c>
      <c r="AU477" s="93">
        <f t="shared" si="169"/>
        <v>0.2247191011235955</v>
      </c>
      <c r="AV477" s="26">
        <f t="shared" si="170"/>
        <v>0.10607734806629834</v>
      </c>
      <c r="AW477" s="26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57">
        <v>90</v>
      </c>
      <c r="K478" s="57">
        <v>90</v>
      </c>
      <c r="L478" s="57">
        <v>90</v>
      </c>
      <c r="M478" s="57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36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93">
        <f t="shared" si="167"/>
        <v>0</v>
      </c>
      <c r="AT478" s="93">
        <f t="shared" si="168"/>
        <v>0.76408839779005522</v>
      </c>
      <c r="AU478" s="93">
        <f t="shared" si="169"/>
        <v>0.23591160220994475</v>
      </c>
      <c r="AV478" s="26">
        <f t="shared" si="170"/>
        <v>0.10474631751227496</v>
      </c>
      <c r="AW478" s="26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57">
        <v>90</v>
      </c>
      <c r="K479" s="57">
        <v>90</v>
      </c>
      <c r="L479" s="57">
        <v>90</v>
      </c>
      <c r="M479" s="57">
        <v>25.2</v>
      </c>
      <c r="N479" s="63">
        <v>6.5</v>
      </c>
      <c r="O479" s="36">
        <v>1.44</v>
      </c>
      <c r="P479" s="57">
        <v>8</v>
      </c>
      <c r="Q479" s="63">
        <v>8.5</v>
      </c>
      <c r="R479" s="36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93">
        <f t="shared" si="167"/>
        <v>0</v>
      </c>
      <c r="AT479" s="93">
        <f t="shared" si="168"/>
        <v>0.76153418565869924</v>
      </c>
      <c r="AU479" s="93">
        <f t="shared" si="169"/>
        <v>0.23846581434130074</v>
      </c>
      <c r="AV479" s="26">
        <f t="shared" si="170"/>
        <v>0.1032258064516129</v>
      </c>
      <c r="AW479" s="26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57">
        <v>90</v>
      </c>
      <c r="K480" s="57">
        <v>90</v>
      </c>
      <c r="L480" s="57">
        <v>90</v>
      </c>
      <c r="M480" s="57">
        <v>24.9</v>
      </c>
      <c r="N480" s="63">
        <v>6.5</v>
      </c>
      <c r="O480" s="36">
        <v>1.19</v>
      </c>
      <c r="P480" s="57">
        <v>7</v>
      </c>
      <c r="Q480" s="63">
        <v>7.5</v>
      </c>
      <c r="R480" s="36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93">
        <f t="shared" si="167"/>
        <v>0</v>
      </c>
      <c r="AT480" s="93">
        <f t="shared" si="168"/>
        <v>0.75848416289592757</v>
      </c>
      <c r="AU480" s="93">
        <f t="shared" si="169"/>
        <v>0.2415158371040724</v>
      </c>
      <c r="AV480" s="26">
        <f t="shared" si="170"/>
        <v>0.10666666666666667</v>
      </c>
      <c r="AW480" s="26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57">
        <v>90</v>
      </c>
      <c r="K481" s="57">
        <v>90</v>
      </c>
      <c r="L481" s="57">
        <v>90</v>
      </c>
      <c r="M481" s="57">
        <v>24.9</v>
      </c>
      <c r="N481" s="63">
        <v>6.5</v>
      </c>
      <c r="O481" s="36">
        <v>1.28</v>
      </c>
      <c r="P481" s="57">
        <v>8</v>
      </c>
      <c r="Q481" s="63">
        <v>7.9</v>
      </c>
      <c r="R481" s="36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93">
        <f t="shared" si="167"/>
        <v>0</v>
      </c>
      <c r="AT481" s="93">
        <f t="shared" si="168"/>
        <v>0.7644468904788112</v>
      </c>
      <c r="AU481" s="93">
        <f t="shared" si="169"/>
        <v>0.23555310952118877</v>
      </c>
      <c r="AV481" s="26">
        <f t="shared" si="170"/>
        <v>0.10543657331136738</v>
      </c>
      <c r="AW481" s="26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58">
        <v>90</v>
      </c>
      <c r="K482" s="58">
        <v>90</v>
      </c>
      <c r="L482" s="58">
        <v>90</v>
      </c>
      <c r="M482" s="58">
        <v>24.7</v>
      </c>
      <c r="N482" s="64">
        <v>6.4</v>
      </c>
      <c r="O482" s="37">
        <v>1.3</v>
      </c>
      <c r="P482" s="58">
        <v>8</v>
      </c>
      <c r="Q482" s="64">
        <v>7.5</v>
      </c>
      <c r="R482" s="37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93">
        <f t="shared" si="167"/>
        <v>0</v>
      </c>
      <c r="AT482" s="93">
        <f t="shared" si="168"/>
        <v>0.60317460317460314</v>
      </c>
      <c r="AU482" s="93">
        <f t="shared" si="169"/>
        <v>0.3968253968253968</v>
      </c>
      <c r="AV482" s="26">
        <f t="shared" si="170"/>
        <v>7.7759999999999996E-2</v>
      </c>
      <c r="AW482" s="26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59">
        <v>90</v>
      </c>
      <c r="K483" s="59">
        <v>90</v>
      </c>
      <c r="L483" s="59">
        <v>90</v>
      </c>
      <c r="M483" s="59">
        <v>24.2</v>
      </c>
      <c r="N483" s="65">
        <v>6.5</v>
      </c>
      <c r="O483" s="38">
        <v>1.26</v>
      </c>
      <c r="P483" s="59">
        <v>8</v>
      </c>
      <c r="Q483" s="65">
        <v>12</v>
      </c>
      <c r="R483" s="38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93">
        <f t="shared" si="167"/>
        <v>0</v>
      </c>
      <c r="AT483" s="93">
        <f t="shared" si="168"/>
        <v>0.59903769045709698</v>
      </c>
      <c r="AU483" s="93">
        <f t="shared" si="169"/>
        <v>0.40096230954290296</v>
      </c>
      <c r="AV483" s="26">
        <f t="shared" si="170"/>
        <v>7.6190476190476197E-2</v>
      </c>
      <c r="AW483" s="26">
        <f t="shared" si="171"/>
        <v>0.11904761904761904</v>
      </c>
      <c r="AX483" s="26">
        <f t="shared" ref="AX483:AX546" si="188">IF(AND(AQ483&lt;&gt;"",1-(AQ483/O483)&gt;0),1-(AQ483/O483),"")</f>
        <v>0.89682539682539686</v>
      </c>
      <c r="AY483" s="24">
        <f t="shared" ref="AY483:AY546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57">
        <v>90</v>
      </c>
      <c r="K484" s="57">
        <v>90</v>
      </c>
      <c r="L484" s="57">
        <v>90</v>
      </c>
      <c r="M484" s="57">
        <v>25</v>
      </c>
      <c r="N484" s="63">
        <v>6.5</v>
      </c>
      <c r="O484" s="36">
        <v>1.24</v>
      </c>
      <c r="P484" s="57">
        <v>9</v>
      </c>
      <c r="Q484" s="63">
        <v>14.3</v>
      </c>
      <c r="R484" s="36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93">
        <f t="shared" si="167"/>
        <v>0</v>
      </c>
      <c r="AT484" s="93">
        <f t="shared" si="168"/>
        <v>0.60598896769109534</v>
      </c>
      <c r="AU484" s="93">
        <f t="shared" si="169"/>
        <v>0.39401103230890466</v>
      </c>
      <c r="AV484" s="26">
        <f t="shared" si="170"/>
        <v>7.8688524590163941E-2</v>
      </c>
      <c r="AW484" s="26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57">
        <v>90</v>
      </c>
      <c r="K485" s="57">
        <v>90</v>
      </c>
      <c r="L485" s="57">
        <v>90</v>
      </c>
      <c r="M485" s="57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36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93">
        <f t="shared" si="167"/>
        <v>0.33819556996218259</v>
      </c>
      <c r="AT485" s="93">
        <f t="shared" si="168"/>
        <v>0.39168017287952456</v>
      </c>
      <c r="AU485" s="93">
        <f t="shared" si="169"/>
        <v>0.2701242571582928</v>
      </c>
      <c r="AV485" s="26">
        <f t="shared" si="170"/>
        <v>8.2417582417582416E-2</v>
      </c>
      <c r="AW485" s="26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57">
        <v>90</v>
      </c>
      <c r="K486" s="57">
        <v>90</v>
      </c>
      <c r="L486" s="57">
        <v>90</v>
      </c>
      <c r="M486" s="57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36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93">
        <f t="shared" si="167"/>
        <v>0.39609332609875203</v>
      </c>
      <c r="AT486" s="93">
        <f t="shared" si="168"/>
        <v>0.33260987520347257</v>
      </c>
      <c r="AU486" s="93">
        <f t="shared" si="169"/>
        <v>0.27129679869777534</v>
      </c>
      <c r="AV486" s="26">
        <f t="shared" si="170"/>
        <v>7.9034028540065859E-2</v>
      </c>
      <c r="AW486" s="26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57">
        <v>90</v>
      </c>
      <c r="K487" s="57">
        <v>90</v>
      </c>
      <c r="L487" s="57">
        <v>90</v>
      </c>
      <c r="M487" s="57">
        <v>25.5</v>
      </c>
      <c r="N487" s="63">
        <v>6.5</v>
      </c>
      <c r="O487" s="36">
        <v>1.88</v>
      </c>
      <c r="P487" s="57">
        <v>13</v>
      </c>
      <c r="Q487" s="63">
        <v>9.5</v>
      </c>
      <c r="R487" s="36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93">
        <f t="shared" si="167"/>
        <v>0.44952978056426335</v>
      </c>
      <c r="AT487" s="93">
        <f t="shared" si="168"/>
        <v>0.40438871473354232</v>
      </c>
      <c r="AU487" s="93">
        <f t="shared" si="169"/>
        <v>0.14608150470219436</v>
      </c>
      <c r="AV487" s="26">
        <f t="shared" si="170"/>
        <v>8.7325651910248644E-2</v>
      </c>
      <c r="AW487" s="26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57">
        <v>90</v>
      </c>
      <c r="K488" s="57">
        <v>90</v>
      </c>
      <c r="L488" s="57">
        <v>90</v>
      </c>
      <c r="M488" s="57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36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93">
        <f t="shared" si="167"/>
        <v>0.41165294490183663</v>
      </c>
      <c r="AT488" s="93">
        <f t="shared" si="168"/>
        <v>0.44268524382520585</v>
      </c>
      <c r="AU488" s="93">
        <f t="shared" si="169"/>
        <v>0.14566181127295758</v>
      </c>
      <c r="AV488" s="26">
        <f t="shared" si="170"/>
        <v>8.8888888888888892E-2</v>
      </c>
      <c r="AW488" s="26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57">
        <v>90</v>
      </c>
      <c r="K489" s="57">
        <v>90</v>
      </c>
      <c r="L489" s="57">
        <v>90</v>
      </c>
      <c r="M489" s="57">
        <v>24.3</v>
      </c>
      <c r="N489" s="63">
        <v>6.5</v>
      </c>
      <c r="O489" s="36">
        <v>1.44</v>
      </c>
      <c r="P489" s="57">
        <v>8</v>
      </c>
      <c r="Q489" s="63">
        <v>9.6</v>
      </c>
      <c r="R489" s="36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93">
        <f t="shared" si="167"/>
        <v>0.42219541616405309</v>
      </c>
      <c r="AT489" s="93">
        <f t="shared" si="168"/>
        <v>0.43486127864897467</v>
      </c>
      <c r="AU489" s="93">
        <f t="shared" si="169"/>
        <v>0.14294330518697226</v>
      </c>
      <c r="AV489" s="26">
        <f t="shared" si="170"/>
        <v>8.727272727272728E-2</v>
      </c>
      <c r="AW489" s="26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57">
        <v>90</v>
      </c>
      <c r="K490" s="57">
        <v>90</v>
      </c>
      <c r="L490" s="57">
        <v>90</v>
      </c>
      <c r="M490" s="57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36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93">
        <f t="shared" si="167"/>
        <v>0.38715953307392997</v>
      </c>
      <c r="AT490" s="93">
        <f t="shared" si="168"/>
        <v>0.46108949416342415</v>
      </c>
      <c r="AU490" s="93">
        <f t="shared" si="169"/>
        <v>0.1517509727626459</v>
      </c>
      <c r="AV490" s="26">
        <f t="shared" si="170"/>
        <v>8.7858450274557645E-2</v>
      </c>
      <c r="AW490" s="26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57">
        <v>90</v>
      </c>
      <c r="K491" s="57">
        <v>90</v>
      </c>
      <c r="L491" s="57">
        <v>90</v>
      </c>
      <c r="M491" s="57">
        <v>24.2</v>
      </c>
      <c r="N491" s="63">
        <v>6.4</v>
      </c>
      <c r="O491" s="36">
        <v>1.68</v>
      </c>
      <c r="P491" s="57">
        <v>13</v>
      </c>
      <c r="Q491" s="63">
        <v>7.8</v>
      </c>
      <c r="R491" s="36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93">
        <f t="shared" si="167"/>
        <v>0.39308176100628933</v>
      </c>
      <c r="AT491" s="93">
        <f t="shared" si="168"/>
        <v>0.46037735849056605</v>
      </c>
      <c r="AU491" s="93">
        <f t="shared" si="169"/>
        <v>0.14654088050314465</v>
      </c>
      <c r="AV491" s="26">
        <f t="shared" si="170"/>
        <v>8.894379246448425E-2</v>
      </c>
      <c r="AW491" s="26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58">
        <v>90</v>
      </c>
      <c r="K492" s="58">
        <v>90</v>
      </c>
      <c r="L492" s="58">
        <v>90</v>
      </c>
      <c r="M492" s="58">
        <v>24</v>
      </c>
      <c r="N492" s="64">
        <v>6.4</v>
      </c>
      <c r="O492" s="37">
        <v>2.54</v>
      </c>
      <c r="P492" s="58">
        <v>17</v>
      </c>
      <c r="Q492" s="64">
        <v>7</v>
      </c>
      <c r="R492" s="37">
        <v>0.13</v>
      </c>
      <c r="S492" s="36">
        <v>22.36</v>
      </c>
      <c r="T492" s="36">
        <v>0.88</v>
      </c>
      <c r="U492" s="36">
        <v>0.7</v>
      </c>
      <c r="V492" s="42">
        <f t="shared" si="181"/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93">
        <f t="shared" si="167"/>
        <v>0.47640117994100295</v>
      </c>
      <c r="AT492" s="93">
        <f t="shared" si="168"/>
        <v>0.52359882005899705</v>
      </c>
      <c r="AU492" s="93">
        <f t="shared" si="169"/>
        <v>0</v>
      </c>
      <c r="AV492" s="26">
        <f t="shared" si="170"/>
        <v>0.10084033613445378</v>
      </c>
      <c r="AW492" s="26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59">
        <v>90</v>
      </c>
      <c r="K493" s="59">
        <v>90</v>
      </c>
      <c r="L493" s="59">
        <v>90</v>
      </c>
      <c r="M493" s="59">
        <v>24.3</v>
      </c>
      <c r="N493" s="65">
        <v>6</v>
      </c>
      <c r="O493" s="38">
        <v>1.76</v>
      </c>
      <c r="P493" s="59">
        <v>12</v>
      </c>
      <c r="Q493" s="65">
        <v>6.3</v>
      </c>
      <c r="R493" s="38">
        <v>0.25</v>
      </c>
      <c r="S493" s="36">
        <v>22.36</v>
      </c>
      <c r="T493" s="36">
        <v>0.88</v>
      </c>
      <c r="U493" s="36">
        <v>0.7</v>
      </c>
      <c r="V493" s="42">
        <f t="shared" si="181"/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93">
        <f t="shared" si="167"/>
        <v>0.45593590677348872</v>
      </c>
      <c r="AT493" s="93">
        <f t="shared" si="168"/>
        <v>0.54406409322651128</v>
      </c>
      <c r="AU493" s="93">
        <f t="shared" si="169"/>
        <v>0</v>
      </c>
      <c r="AV493" s="26">
        <f t="shared" si="170"/>
        <v>0.10007037297677691</v>
      </c>
      <c r="AW493" s="26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57">
        <v>90</v>
      </c>
      <c r="K494" s="57">
        <v>90</v>
      </c>
      <c r="L494" s="57">
        <v>90</v>
      </c>
      <c r="M494" s="57">
        <v>25.1</v>
      </c>
      <c r="N494" s="63">
        <v>6.5</v>
      </c>
      <c r="O494" s="36">
        <v>1.83</v>
      </c>
      <c r="P494" s="57">
        <v>12</v>
      </c>
      <c r="Q494" s="63">
        <v>7.1</v>
      </c>
      <c r="R494" s="36">
        <v>0.08</v>
      </c>
      <c r="S494" s="36">
        <v>22.36</v>
      </c>
      <c r="T494" s="36">
        <v>0.88</v>
      </c>
      <c r="U494" s="36">
        <v>0.7</v>
      </c>
      <c r="V494" s="42">
        <f t="shared" si="181"/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93">
        <f t="shared" si="167"/>
        <v>0.48034188034188036</v>
      </c>
      <c r="AT494" s="93">
        <f t="shared" si="168"/>
        <v>0.5196581196581197</v>
      </c>
      <c r="AU494" s="93">
        <f t="shared" si="169"/>
        <v>0</v>
      </c>
      <c r="AV494" s="26">
        <f t="shared" si="170"/>
        <v>9.1428571428571428E-2</v>
      </c>
      <c r="AW494" s="26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57">
        <v>90</v>
      </c>
      <c r="K495" s="57">
        <v>90</v>
      </c>
      <c r="L495" s="57">
        <v>90</v>
      </c>
      <c r="M495" s="57">
        <v>25.3</v>
      </c>
      <c r="N495" s="63">
        <v>6.5</v>
      </c>
      <c r="O495" s="36">
        <v>1.79</v>
      </c>
      <c r="P495" s="57">
        <v>11</v>
      </c>
      <c r="Q495" s="63">
        <v>6.9</v>
      </c>
      <c r="R495" s="36">
        <v>0.1</v>
      </c>
      <c r="S495" s="36">
        <v>22.36</v>
      </c>
      <c r="T495" s="36">
        <v>0.88</v>
      </c>
      <c r="U495" s="36">
        <v>0.7</v>
      </c>
      <c r="V495" s="42">
        <f t="shared" si="181"/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93">
        <f t="shared" si="167"/>
        <v>0.22681653954235248</v>
      </c>
      <c r="AT495" s="93">
        <f t="shared" si="168"/>
        <v>0.77318346045764752</v>
      </c>
      <c r="AU495" s="93">
        <f t="shared" si="169"/>
        <v>0</v>
      </c>
      <c r="AV495" s="26">
        <f t="shared" si="170"/>
        <v>9.3430656934306563E-2</v>
      </c>
      <c r="AW495" s="26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57">
        <v>90</v>
      </c>
      <c r="K496" s="57">
        <v>90</v>
      </c>
      <c r="L496" s="57">
        <v>90</v>
      </c>
      <c r="M496" s="57">
        <v>25.9</v>
      </c>
      <c r="N496" s="63">
        <v>6.7</v>
      </c>
      <c r="O496" s="36">
        <v>1.5</v>
      </c>
      <c r="P496" s="57">
        <v>10</v>
      </c>
      <c r="Q496" s="63">
        <v>8.1</v>
      </c>
      <c r="R496" s="36">
        <v>0.25</v>
      </c>
      <c r="S496" s="36">
        <v>22.36</v>
      </c>
      <c r="T496" s="36">
        <v>0.88</v>
      </c>
      <c r="U496" s="36">
        <v>0.7</v>
      </c>
      <c r="V496" s="42">
        <f t="shared" si="181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93">
        <f t="shared" si="167"/>
        <v>0.24716743600503566</v>
      </c>
      <c r="AT496" s="93">
        <f t="shared" si="168"/>
        <v>0.75283256399496434</v>
      </c>
      <c r="AU496" s="93">
        <f t="shared" si="169"/>
        <v>0</v>
      </c>
      <c r="AV496" s="26">
        <f t="shared" si="170"/>
        <v>8.3080917351795763E-2</v>
      </c>
      <c r="AW496" s="26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57">
        <v>90</v>
      </c>
      <c r="K497" s="57">
        <v>90</v>
      </c>
      <c r="L497" s="57">
        <v>90</v>
      </c>
      <c r="M497" s="57">
        <v>26.4</v>
      </c>
      <c r="N497" s="63">
        <v>6.7</v>
      </c>
      <c r="O497" s="36">
        <v>1.54</v>
      </c>
      <c r="P497" s="57">
        <v>10</v>
      </c>
      <c r="Q497" s="63">
        <v>7.9</v>
      </c>
      <c r="R497" s="36">
        <v>0.12</v>
      </c>
      <c r="S497" s="36">
        <v>22.36</v>
      </c>
      <c r="T497" s="36">
        <v>0.88</v>
      </c>
      <c r="U497" s="36">
        <v>0.7</v>
      </c>
      <c r="V497" s="42">
        <f t="shared" si="181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93">
        <f t="shared" si="167"/>
        <v>0.23484848484848486</v>
      </c>
      <c r="AT497" s="93">
        <f t="shared" si="168"/>
        <v>0.76515151515151514</v>
      </c>
      <c r="AU497" s="93">
        <f t="shared" si="169"/>
        <v>0</v>
      </c>
      <c r="AV497" s="26">
        <f t="shared" si="170"/>
        <v>8.9136490250696379E-2</v>
      </c>
      <c r="AW497" s="26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57">
        <v>90</v>
      </c>
      <c r="K498" s="57">
        <v>90</v>
      </c>
      <c r="L498" s="57">
        <v>90</v>
      </c>
      <c r="M498" s="57">
        <v>26.4</v>
      </c>
      <c r="N498" s="63">
        <v>6.6</v>
      </c>
      <c r="O498" s="36">
        <v>1.54</v>
      </c>
      <c r="P498" s="57">
        <v>12</v>
      </c>
      <c r="Q498" s="63">
        <v>7.1</v>
      </c>
      <c r="R498" s="36">
        <v>0.19</v>
      </c>
      <c r="S498" s="36">
        <v>22.36</v>
      </c>
      <c r="T498" s="36">
        <v>0.88</v>
      </c>
      <c r="U498" s="36">
        <v>0.7</v>
      </c>
      <c r="V498" s="42">
        <f t="shared" si="181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93">
        <f t="shared" si="167"/>
        <v>0.2711864406779661</v>
      </c>
      <c r="AT498" s="93">
        <f t="shared" si="168"/>
        <v>0.72881355932203384</v>
      </c>
      <c r="AU498" s="93">
        <f t="shared" si="169"/>
        <v>0</v>
      </c>
      <c r="AV498" s="26">
        <f t="shared" si="170"/>
        <v>9.0909090909090912E-2</v>
      </c>
      <c r="AW498" s="26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57">
        <v>90</v>
      </c>
      <c r="K499" s="57">
        <v>90</v>
      </c>
      <c r="L499" s="57">
        <v>90</v>
      </c>
      <c r="M499" s="57">
        <v>25.7</v>
      </c>
      <c r="N499" s="63">
        <v>6.7</v>
      </c>
      <c r="O499" s="36">
        <v>1.56</v>
      </c>
      <c r="P499" s="57">
        <v>10</v>
      </c>
      <c r="Q499" s="63">
        <v>7.4</v>
      </c>
      <c r="R499" s="36">
        <v>0.1</v>
      </c>
      <c r="S499" s="36">
        <v>22.36</v>
      </c>
      <c r="T499" s="36">
        <v>0.88</v>
      </c>
      <c r="U499" s="36">
        <v>0.7</v>
      </c>
      <c r="V499" s="42">
        <f t="shared" si="181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93">
        <f t="shared" si="167"/>
        <v>0.27801418439716313</v>
      </c>
      <c r="AT499" s="93">
        <f t="shared" si="168"/>
        <v>0.72198581560283692</v>
      </c>
      <c r="AU499" s="93">
        <f t="shared" si="169"/>
        <v>0</v>
      </c>
      <c r="AV499" s="26">
        <f t="shared" si="170"/>
        <v>9.1211401425178154E-2</v>
      </c>
      <c r="AW499" s="26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57">
        <v>90</v>
      </c>
      <c r="K500" s="57">
        <v>90</v>
      </c>
      <c r="L500" s="57">
        <v>90</v>
      </c>
      <c r="M500" s="57">
        <v>25.4</v>
      </c>
      <c r="N500" s="63">
        <v>6.7</v>
      </c>
      <c r="O500" s="36">
        <v>2.36</v>
      </c>
      <c r="P500" s="57">
        <v>13</v>
      </c>
      <c r="Q500" s="63">
        <v>5.8</v>
      </c>
      <c r="R500" s="36">
        <v>0.23</v>
      </c>
      <c r="S500" s="36">
        <v>22.36</v>
      </c>
      <c r="T500" s="36">
        <v>0.88</v>
      </c>
      <c r="U500" s="36">
        <v>0.7</v>
      </c>
      <c r="V500" s="42">
        <f t="shared" si="181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93">
        <f t="shared" si="167"/>
        <v>0.41007194244604317</v>
      </c>
      <c r="AT500" s="93">
        <f t="shared" si="168"/>
        <v>0.58992805755395683</v>
      </c>
      <c r="AU500" s="93">
        <f t="shared" si="169"/>
        <v>0</v>
      </c>
      <c r="AV500" s="26">
        <f t="shared" si="170"/>
        <v>6.0068259385665526E-2</v>
      </c>
      <c r="AW500" s="26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57">
        <v>90</v>
      </c>
      <c r="K501" s="57">
        <v>90</v>
      </c>
      <c r="L501" s="57">
        <v>90</v>
      </c>
      <c r="M501" s="57">
        <v>24.1</v>
      </c>
      <c r="N501" s="63">
        <v>6.6</v>
      </c>
      <c r="O501" s="36">
        <v>2</v>
      </c>
      <c r="P501" s="57">
        <v>9</v>
      </c>
      <c r="Q501" s="63">
        <v>6.4</v>
      </c>
      <c r="R501" s="36">
        <v>0.15</v>
      </c>
      <c r="S501" s="36">
        <v>22.36</v>
      </c>
      <c r="T501" s="36">
        <v>0.88</v>
      </c>
      <c r="U501" s="36">
        <v>0.7</v>
      </c>
      <c r="V501" s="42">
        <f t="shared" si="181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93">
        <f t="shared" si="167"/>
        <v>0.41313868613138688</v>
      </c>
      <c r="AT501" s="93">
        <f t="shared" si="168"/>
        <v>0.58686131386861318</v>
      </c>
      <c r="AU501" s="93">
        <f t="shared" si="169"/>
        <v>0</v>
      </c>
      <c r="AV501" s="26">
        <f t="shared" si="170"/>
        <v>7.4387151310228231E-2</v>
      </c>
      <c r="AW501" s="26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58">
        <v>90</v>
      </c>
      <c r="K502" s="58">
        <v>90</v>
      </c>
      <c r="L502" s="58">
        <v>90</v>
      </c>
      <c r="M502" s="58">
        <v>23.9</v>
      </c>
      <c r="N502" s="64">
        <v>6.5</v>
      </c>
      <c r="O502" s="37">
        <v>1.88</v>
      </c>
      <c r="P502" s="58">
        <v>19</v>
      </c>
      <c r="Q502" s="64">
        <v>5.9</v>
      </c>
      <c r="R502" s="37">
        <v>7.0000000000000007E-2</v>
      </c>
      <c r="S502" s="36">
        <v>22.36</v>
      </c>
      <c r="T502" s="36">
        <v>0.88</v>
      </c>
      <c r="U502" s="36">
        <v>0.7</v>
      </c>
      <c r="V502" s="42">
        <f t="shared" si="181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93">
        <f t="shared" si="167"/>
        <v>0.42264988897113248</v>
      </c>
      <c r="AT502" s="93">
        <f t="shared" si="168"/>
        <v>0.57735011102886746</v>
      </c>
      <c r="AU502" s="93">
        <f t="shared" si="169"/>
        <v>0</v>
      </c>
      <c r="AV502" s="26">
        <f t="shared" si="170"/>
        <v>6.3492063492063489E-2</v>
      </c>
      <c r="AW502" s="26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59">
        <v>90</v>
      </c>
      <c r="K503" s="59">
        <v>90</v>
      </c>
      <c r="L503" s="59">
        <v>90</v>
      </c>
      <c r="M503" s="59">
        <v>24.8</v>
      </c>
      <c r="N503" s="65">
        <v>6.5</v>
      </c>
      <c r="O503" s="38">
        <v>1.94</v>
      </c>
      <c r="P503" s="59">
        <v>10</v>
      </c>
      <c r="Q503" s="65">
        <v>6.9</v>
      </c>
      <c r="R503" s="38">
        <v>0.08</v>
      </c>
      <c r="S503" s="36">
        <v>22.36</v>
      </c>
      <c r="T503" s="36">
        <v>0.88</v>
      </c>
      <c r="U503" s="36">
        <v>0.7</v>
      </c>
      <c r="V503" s="42">
        <f t="shared" si="181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93">
        <f t="shared" si="167"/>
        <v>0.40366300366300367</v>
      </c>
      <c r="AT503" s="93">
        <f t="shared" si="168"/>
        <v>0.59633699633699633</v>
      </c>
      <c r="AU503" s="93">
        <f t="shared" si="169"/>
        <v>0</v>
      </c>
      <c r="AV503" s="26">
        <f t="shared" si="170"/>
        <v>6.7400275103163682E-2</v>
      </c>
      <c r="AW503" s="26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57">
        <v>90</v>
      </c>
      <c r="K504" s="57">
        <v>90</v>
      </c>
      <c r="L504" s="57">
        <v>90</v>
      </c>
      <c r="M504" s="57">
        <v>25.4</v>
      </c>
      <c r="N504" s="63">
        <v>6.4</v>
      </c>
      <c r="O504" s="36">
        <v>1.86</v>
      </c>
      <c r="P504" s="57">
        <v>10</v>
      </c>
      <c r="Q504" s="63">
        <v>5.5</v>
      </c>
      <c r="R504" s="36">
        <v>7.0000000000000007E-2</v>
      </c>
      <c r="S504" s="36">
        <v>22.36</v>
      </c>
      <c r="T504" s="36">
        <v>0.88</v>
      </c>
      <c r="U504" s="36">
        <v>0.7</v>
      </c>
      <c r="V504" s="42">
        <f t="shared" si="181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93">
        <f t="shared" si="167"/>
        <v>0.41219158200290273</v>
      </c>
      <c r="AT504" s="93">
        <f t="shared" si="168"/>
        <v>0.58780841799709727</v>
      </c>
      <c r="AU504" s="93">
        <f t="shared" si="169"/>
        <v>0</v>
      </c>
      <c r="AV504" s="26">
        <f t="shared" si="170"/>
        <v>6.8786127167630065E-2</v>
      </c>
      <c r="AW504" s="26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57">
        <v>90</v>
      </c>
      <c r="K505" s="57">
        <v>90</v>
      </c>
      <c r="L505" s="57">
        <v>90</v>
      </c>
      <c r="M505" s="57">
        <v>26.2</v>
      </c>
      <c r="N505" s="63">
        <v>6.5</v>
      </c>
      <c r="O505" s="36">
        <v>1.81</v>
      </c>
      <c r="P505" s="57">
        <v>10</v>
      </c>
      <c r="Q505" s="63">
        <v>6</v>
      </c>
      <c r="R505" s="36">
        <v>7.0000000000000007E-2</v>
      </c>
      <c r="S505" s="36">
        <v>22.36</v>
      </c>
      <c r="T505" s="36">
        <v>0.88</v>
      </c>
      <c r="U505" s="36">
        <v>0.7</v>
      </c>
      <c r="V505" s="42">
        <f t="shared" si="181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93">
        <f t="shared" si="167"/>
        <v>0.41516245487364623</v>
      </c>
      <c r="AT505" s="93">
        <f t="shared" si="168"/>
        <v>0.58483754512635377</v>
      </c>
      <c r="AU505" s="93">
        <f t="shared" si="169"/>
        <v>0</v>
      </c>
      <c r="AV505" s="26">
        <f t="shared" si="170"/>
        <v>6.7368421052631577E-2</v>
      </c>
      <c r="AW505" s="26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57">
        <v>90</v>
      </c>
      <c r="K506" s="57">
        <v>90</v>
      </c>
      <c r="L506" s="57">
        <v>90</v>
      </c>
      <c r="M506" s="57">
        <v>26.9</v>
      </c>
      <c r="N506" s="63">
        <v>6.5</v>
      </c>
      <c r="O506" s="36">
        <v>1.68</v>
      </c>
      <c r="P506" s="57">
        <v>9</v>
      </c>
      <c r="Q506" s="63">
        <v>5.9</v>
      </c>
      <c r="R506" s="36">
        <v>0.09</v>
      </c>
      <c r="S506" s="36">
        <v>22.36</v>
      </c>
      <c r="T506" s="36">
        <v>0.88</v>
      </c>
      <c r="U506" s="36">
        <v>0.7</v>
      </c>
      <c r="V506" s="42">
        <f t="shared" si="181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93">
        <f t="shared" si="167"/>
        <v>0.31034482758620691</v>
      </c>
      <c r="AT506" s="93">
        <f t="shared" si="168"/>
        <v>0.68965517241379315</v>
      </c>
      <c r="AU506" s="93">
        <f t="shared" si="169"/>
        <v>0</v>
      </c>
      <c r="AV506" s="26">
        <f t="shared" si="170"/>
        <v>6.8424803991446903E-2</v>
      </c>
      <c r="AW506" s="26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57">
        <v>90</v>
      </c>
      <c r="K507" s="57">
        <v>90</v>
      </c>
      <c r="L507" s="57">
        <v>90</v>
      </c>
      <c r="M507" s="57">
        <v>26.7</v>
      </c>
      <c r="N507" s="63">
        <v>6.4</v>
      </c>
      <c r="O507" s="36">
        <v>1.78</v>
      </c>
      <c r="P507" s="57">
        <v>14</v>
      </c>
      <c r="Q507" s="63">
        <v>6</v>
      </c>
      <c r="R507" s="36">
        <v>0.08</v>
      </c>
      <c r="S507" s="36">
        <v>22.36</v>
      </c>
      <c r="T507" s="36">
        <v>0.88</v>
      </c>
      <c r="U507" s="36">
        <v>0.7</v>
      </c>
      <c r="V507" s="42">
        <f t="shared" si="181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93">
        <f t="shared" si="167"/>
        <v>0.23228634039444851</v>
      </c>
      <c r="AT507" s="93">
        <f t="shared" si="168"/>
        <v>0.76771365960555149</v>
      </c>
      <c r="AU507" s="93">
        <f t="shared" si="169"/>
        <v>0</v>
      </c>
      <c r="AV507" s="26">
        <f t="shared" si="170"/>
        <v>6.8096885813148794E-2</v>
      </c>
      <c r="AW507" s="26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57">
        <v>90</v>
      </c>
      <c r="K508" s="57">
        <v>90</v>
      </c>
      <c r="L508" s="57">
        <v>90</v>
      </c>
      <c r="M508" s="57">
        <v>26</v>
      </c>
      <c r="N508" s="63">
        <v>6.4</v>
      </c>
      <c r="O508" s="36">
        <v>1.54</v>
      </c>
      <c r="P508" s="57">
        <v>13</v>
      </c>
      <c r="Q508" s="63">
        <v>6.2</v>
      </c>
      <c r="R508" s="36">
        <v>0.08</v>
      </c>
      <c r="S508" s="36">
        <v>22.36</v>
      </c>
      <c r="T508" s="36">
        <v>0.88</v>
      </c>
      <c r="U508" s="36">
        <v>0.7</v>
      </c>
      <c r="V508" s="42">
        <f t="shared" si="181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93">
        <f t="shared" si="167"/>
        <v>0.23564504101416853</v>
      </c>
      <c r="AT508" s="93">
        <f t="shared" si="168"/>
        <v>0.7643549589858315</v>
      </c>
      <c r="AU508" s="93">
        <f t="shared" si="169"/>
        <v>0</v>
      </c>
      <c r="AV508" s="26">
        <f t="shared" si="170"/>
        <v>6.6252587991718431E-2</v>
      </c>
      <c r="AW508" s="26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57">
        <v>90</v>
      </c>
      <c r="K509" s="57">
        <v>90</v>
      </c>
      <c r="L509" s="57">
        <v>90</v>
      </c>
      <c r="M509" s="57">
        <v>26</v>
      </c>
      <c r="N509" s="63">
        <v>6.5</v>
      </c>
      <c r="O509" s="36">
        <v>1.68</v>
      </c>
      <c r="P509" s="57">
        <v>15</v>
      </c>
      <c r="Q509" s="63">
        <v>6.8</v>
      </c>
      <c r="R509" s="36">
        <v>0.12</v>
      </c>
      <c r="S509" s="36">
        <v>22.36</v>
      </c>
      <c r="T509" s="36">
        <v>0.88</v>
      </c>
      <c r="U509" s="36">
        <v>0.7</v>
      </c>
      <c r="V509" s="42">
        <f t="shared" si="181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93">
        <f t="shared" si="167"/>
        <v>0.23624358033749082</v>
      </c>
      <c r="AT509" s="93">
        <f t="shared" si="168"/>
        <v>0.76375641966250918</v>
      </c>
      <c r="AU509" s="93">
        <f t="shared" si="169"/>
        <v>0</v>
      </c>
      <c r="AV509" s="26">
        <f t="shared" si="170"/>
        <v>7.0865051903114193E-2</v>
      </c>
      <c r="AW509" s="26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72" si="190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72" si="191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57">
        <v>90</v>
      </c>
      <c r="K510" s="57">
        <v>90</v>
      </c>
      <c r="L510" s="57">
        <v>90</v>
      </c>
      <c r="M510" s="57">
        <v>25.5</v>
      </c>
      <c r="N510" s="63">
        <v>6.4</v>
      </c>
      <c r="O510" s="36">
        <v>1.79</v>
      </c>
      <c r="P510" s="57">
        <v>13</v>
      </c>
      <c r="Q510" s="63">
        <v>6.5</v>
      </c>
      <c r="R510" s="36">
        <v>0.11</v>
      </c>
      <c r="S510" s="36">
        <v>22.36</v>
      </c>
      <c r="T510" s="36">
        <v>0.88</v>
      </c>
      <c r="U510" s="36">
        <v>0.7</v>
      </c>
      <c r="V510" s="42">
        <f t="shared" si="181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93">
        <f t="shared" si="167"/>
        <v>0.18255687973997833</v>
      </c>
      <c r="AT510" s="93">
        <f t="shared" si="168"/>
        <v>0.68309859154929575</v>
      </c>
      <c r="AU510" s="93">
        <f t="shared" si="169"/>
        <v>0.13434452871072589</v>
      </c>
      <c r="AV510" s="26">
        <f t="shared" si="170"/>
        <v>7.3277967757694185E-2</v>
      </c>
      <c r="AW510" s="26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0"/>
        <v>Tipo 1 (≤0,25) uT</v>
      </c>
      <c r="BF510" s="78" t="str">
        <f t="shared" si="178"/>
        <v>Tipo 2 (0,25-0,50) uT</v>
      </c>
      <c r="BG510" s="78" t="str">
        <f t="shared" si="191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58">
        <v>90</v>
      </c>
      <c r="K511" s="58">
        <v>90</v>
      </c>
      <c r="L511" s="58">
        <v>90</v>
      </c>
      <c r="M511" s="58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37">
        <v>0.11</v>
      </c>
      <c r="S511" s="36">
        <v>22.36</v>
      </c>
      <c r="T511" s="36">
        <v>0.88</v>
      </c>
      <c r="U511" s="36">
        <v>0.7</v>
      </c>
      <c r="V511" s="42">
        <f t="shared" si="181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93">
        <f t="shared" si="167"/>
        <v>0.12504390586582367</v>
      </c>
      <c r="AT511" s="93">
        <f t="shared" si="168"/>
        <v>0.75201966982788904</v>
      </c>
      <c r="AU511" s="93">
        <f t="shared" si="169"/>
        <v>0.12293642430628732</v>
      </c>
      <c r="AV511" s="26">
        <f t="shared" si="170"/>
        <v>5.2668539325842693E-2</v>
      </c>
      <c r="AW511" s="26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0"/>
        <v>Tipo 1 (≤0,25) uT</v>
      </c>
      <c r="BF511" s="78" t="str">
        <f t="shared" si="178"/>
        <v>Tipo 1 (≤0,25) uT</v>
      </c>
      <c r="BG511" s="78" t="str">
        <f t="shared" si="191"/>
        <v>Tipo 1 (≤0,25) uT</v>
      </c>
      <c r="BH511" s="78" t="str">
        <f t="shared" si="180"/>
        <v>Tipo 1 (≤0,25) uT</v>
      </c>
    </row>
    <row r="512" spans="1:60" x14ac:dyDescent="0.2">
      <c r="A512" s="30">
        <v>46316</v>
      </c>
      <c r="B512" s="82">
        <v>0.3125</v>
      </c>
      <c r="C512" s="59">
        <v>357</v>
      </c>
      <c r="D512" s="59">
        <v>1974</v>
      </c>
      <c r="E512" s="59">
        <v>268</v>
      </c>
      <c r="F512" s="59">
        <v>2800</v>
      </c>
      <c r="G512" s="87">
        <v>25</v>
      </c>
      <c r="H512" s="65">
        <v>8.6</v>
      </c>
      <c r="I512" s="59">
        <v>-53</v>
      </c>
      <c r="J512" s="59">
        <v>90</v>
      </c>
      <c r="K512" s="59">
        <v>90</v>
      </c>
      <c r="L512" s="59">
        <v>90</v>
      </c>
      <c r="M512" s="59">
        <v>25.6</v>
      </c>
      <c r="N512" s="65">
        <v>6.5</v>
      </c>
      <c r="O512" s="38">
        <v>1.85</v>
      </c>
      <c r="P512" s="59">
        <v>12</v>
      </c>
      <c r="Q512" s="65">
        <v>7.8</v>
      </c>
      <c r="R512" s="38">
        <v>0.14000000000000001</v>
      </c>
      <c r="S512" s="36">
        <v>22.36</v>
      </c>
      <c r="T512" s="36">
        <v>0.88</v>
      </c>
      <c r="U512" s="36">
        <v>0.7</v>
      </c>
      <c r="V512" s="42">
        <f t="shared" si="181"/>
        <v>3000.6666666666665</v>
      </c>
      <c r="W512" s="42">
        <f t="shared" si="182"/>
        <v>1838.8686372159993</v>
      </c>
      <c r="X512" s="42">
        <f t="shared" si="183"/>
        <v>0.61282003017640507</v>
      </c>
      <c r="Y512" s="60">
        <v>3</v>
      </c>
      <c r="Z512" s="88">
        <v>3</v>
      </c>
      <c r="AA512" s="89">
        <v>5.96</v>
      </c>
      <c r="AB512" s="88">
        <v>25.4</v>
      </c>
      <c r="AC512" s="65">
        <v>6.2</v>
      </c>
      <c r="AD512" s="65">
        <v>6.4</v>
      </c>
      <c r="AE512" s="38">
        <v>0.24</v>
      </c>
      <c r="AF512" s="36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57">
        <v>3</v>
      </c>
      <c r="AK512" s="57">
        <v>4</v>
      </c>
      <c r="AL512" s="92">
        <v>6.4</v>
      </c>
      <c r="AM512" s="59">
        <v>24.8</v>
      </c>
      <c r="AN512" s="65">
        <v>6.3</v>
      </c>
      <c r="AO512" s="65">
        <v>6.5</v>
      </c>
      <c r="AP512" s="42">
        <v>0.17</v>
      </c>
      <c r="AQ512" s="38">
        <v>0.15</v>
      </c>
      <c r="AR512" s="73">
        <f t="shared" si="166"/>
        <v>2599</v>
      </c>
      <c r="AS512" s="93">
        <f t="shared" si="167"/>
        <v>0.1373605232781839</v>
      </c>
      <c r="AT512" s="93">
        <f t="shared" si="168"/>
        <v>0.75952289342054635</v>
      </c>
      <c r="AU512" s="93">
        <f t="shared" si="169"/>
        <v>0.10311658330126972</v>
      </c>
      <c r="AV512" s="26">
        <f t="shared" ref="AV512:AV572" si="192">IF(AND(F512&lt;&gt;"",X512&lt;&gt;""),Z512/(F512/2/X512),"")</f>
        <v>1.3131857789494396E-3</v>
      </c>
      <c r="AW512" s="26">
        <f t="shared" ref="AW512:AW519" si="193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77" t="str">
        <f t="shared" si="172"/>
        <v>7,5 ≤ Alc. Bruta &lt; 10,0 mg/L</v>
      </c>
      <c r="BA512" s="77" t="str">
        <f t="shared" si="173"/>
        <v>10 ≤ Cor &lt;15 uC</v>
      </c>
      <c r="BB512" s="78" t="str">
        <f t="shared" si="174"/>
        <v>Turbidez &lt; 2,5 uT</v>
      </c>
      <c r="BC512" s="79" t="str">
        <f t="shared" si="175"/>
        <v>SM &gt; TOR &gt; BNN</v>
      </c>
      <c r="BD512" s="78" t="str">
        <f t="shared" si="176"/>
        <v>Tipo 1 (≤0,25) uT</v>
      </c>
      <c r="BE512" s="78" t="str">
        <f t="shared" si="190"/>
        <v>Tipo 1 (≤0,25) uT</v>
      </c>
      <c r="BF512" s="78" t="str">
        <f t="shared" si="178"/>
        <v>Tipo 1 (≤0,25) uT</v>
      </c>
      <c r="BG512" s="78" t="str">
        <f t="shared" si="191"/>
        <v>Tipo 1 (≤0,25) uT</v>
      </c>
      <c r="BH512" s="78" t="str">
        <f t="shared" si="180"/>
        <v>Tipo 1 (≤0,25) uT</v>
      </c>
    </row>
    <row r="513" spans="1:60" x14ac:dyDescent="0.2">
      <c r="A513" s="31">
        <v>46316</v>
      </c>
      <c r="B513" s="80">
        <v>0.39583333333333331</v>
      </c>
      <c r="C513" s="57">
        <v>344</v>
      </c>
      <c r="D513" s="57">
        <v>2019</v>
      </c>
      <c r="E513" s="57">
        <v>267</v>
      </c>
      <c r="F513" s="57">
        <v>2810</v>
      </c>
      <c r="G513" s="85">
        <v>25</v>
      </c>
      <c r="H513" s="63">
        <v>8.6</v>
      </c>
      <c r="I513" s="57">
        <v>-88</v>
      </c>
      <c r="J513" s="57">
        <v>90</v>
      </c>
      <c r="K513" s="57">
        <v>90</v>
      </c>
      <c r="L513" s="57">
        <v>90</v>
      </c>
      <c r="M513" s="57">
        <v>25.8</v>
      </c>
      <c r="N513" s="63">
        <v>6.5</v>
      </c>
      <c r="O513" s="36">
        <v>1.82</v>
      </c>
      <c r="P513" s="57">
        <v>12</v>
      </c>
      <c r="Q513" s="63">
        <v>7.7</v>
      </c>
      <c r="R513" s="36">
        <v>0.13</v>
      </c>
      <c r="S513" s="36">
        <v>22.36</v>
      </c>
      <c r="T513" s="36">
        <v>0.88</v>
      </c>
      <c r="U513" s="36">
        <v>0.7</v>
      </c>
      <c r="V513" s="42">
        <f t="shared" si="181"/>
        <v>2997.333333333333</v>
      </c>
      <c r="W513" s="42">
        <f t="shared" si="182"/>
        <v>1834.9447121199998</v>
      </c>
      <c r="X513" s="42">
        <f t="shared" si="183"/>
        <v>0.61219240840302491</v>
      </c>
      <c r="Y513" s="57">
        <v>3</v>
      </c>
      <c r="Z513" s="57">
        <v>3</v>
      </c>
      <c r="AA513" s="63">
        <v>5.95</v>
      </c>
      <c r="AB513" s="57">
        <v>25.4</v>
      </c>
      <c r="AC513" s="63">
        <v>6.2</v>
      </c>
      <c r="AD513" s="63">
        <v>6.5</v>
      </c>
      <c r="AE513" s="36">
        <v>0.2</v>
      </c>
      <c r="AF513" s="36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57">
        <v>3</v>
      </c>
      <c r="AK513" s="57">
        <v>4</v>
      </c>
      <c r="AL513" s="63">
        <v>6.42</v>
      </c>
      <c r="AM513" s="57">
        <v>24.8</v>
      </c>
      <c r="AN513" s="63">
        <v>6.3</v>
      </c>
      <c r="AO513" s="63">
        <v>6.6</v>
      </c>
      <c r="AP513" s="42">
        <v>0.18</v>
      </c>
      <c r="AQ513" s="36">
        <v>0.14000000000000001</v>
      </c>
      <c r="AR513" s="73">
        <f t="shared" si="166"/>
        <v>2630</v>
      </c>
      <c r="AS513" s="93">
        <f t="shared" si="167"/>
        <v>0.13079847908745248</v>
      </c>
      <c r="AT513" s="93">
        <f t="shared" si="168"/>
        <v>0.76768060836501906</v>
      </c>
      <c r="AU513" s="93">
        <f t="shared" si="169"/>
        <v>0.10152091254752851</v>
      </c>
      <c r="AV513" s="26">
        <f t="shared" si="192"/>
        <v>1.3071724022840389E-3</v>
      </c>
      <c r="AW513" s="26">
        <f t="shared" si="193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77" t="str">
        <f t="shared" si="172"/>
        <v>7,5 ≤ Alc. Bruta &lt; 10,0 mg/L</v>
      </c>
      <c r="BA513" s="77" t="str">
        <f t="shared" si="173"/>
        <v>10 ≤ Cor &lt;15 uC</v>
      </c>
      <c r="BB513" s="78" t="str">
        <f t="shared" si="174"/>
        <v>Turbidez &lt; 2,5 uT</v>
      </c>
      <c r="BC513" s="79" t="str">
        <f t="shared" si="175"/>
        <v>SM &gt; TOR &gt; BNN</v>
      </c>
      <c r="BD513" s="78" t="str">
        <f t="shared" si="176"/>
        <v>Tipo 1 (≤0,25) uT</v>
      </c>
      <c r="BE513" s="78" t="str">
        <f t="shared" si="190"/>
        <v>Tipo 1 (≤0,25) uT</v>
      </c>
      <c r="BF513" s="78" t="str">
        <f t="shared" si="178"/>
        <v>Tipo 1 (≤0,25) uT</v>
      </c>
      <c r="BG513" s="78" t="str">
        <f t="shared" si="191"/>
        <v>Tipo 1 (≤0,25) uT</v>
      </c>
      <c r="BH513" s="78" t="str">
        <f t="shared" si="180"/>
        <v>Tipo 1 (≤0,25) uT</v>
      </c>
    </row>
    <row r="514" spans="1:60" x14ac:dyDescent="0.2">
      <c r="A514" s="31">
        <v>46316</v>
      </c>
      <c r="B514" s="80">
        <v>0.72916666666666663</v>
      </c>
      <c r="C514" s="57">
        <v>0</v>
      </c>
      <c r="D514" s="57">
        <v>2082</v>
      </c>
      <c r="E514" s="57">
        <v>500</v>
      </c>
      <c r="F514" s="57">
        <v>2790</v>
      </c>
      <c r="G514" s="85">
        <v>25</v>
      </c>
      <c r="H514" s="63">
        <v>8.6</v>
      </c>
      <c r="I514" s="57">
        <v>-55</v>
      </c>
      <c r="J514" s="57">
        <v>90</v>
      </c>
      <c r="K514" s="57">
        <v>90</v>
      </c>
      <c r="L514" s="57">
        <v>90</v>
      </c>
      <c r="M514" s="57">
        <v>26.1</v>
      </c>
      <c r="N514" s="63">
        <v>6.3</v>
      </c>
      <c r="O514" s="36">
        <v>1.44</v>
      </c>
      <c r="P514" s="57">
        <v>10</v>
      </c>
      <c r="Q514" s="63">
        <v>9.5</v>
      </c>
      <c r="R514" s="36">
        <v>0.12</v>
      </c>
      <c r="S514" s="36">
        <v>22.36</v>
      </c>
      <c r="T514" s="36">
        <v>0.88</v>
      </c>
      <c r="U514" s="36">
        <v>0.7</v>
      </c>
      <c r="V514" s="42">
        <f t="shared" si="181"/>
        <v>2099.4749999999999</v>
      </c>
      <c r="W514" s="42">
        <f t="shared" si="182"/>
        <v>1627.6697639955999</v>
      </c>
      <c r="X514" s="42">
        <f t="shared" si="183"/>
        <v>0.77527465866257039</v>
      </c>
      <c r="Y514" s="57">
        <v>3</v>
      </c>
      <c r="Z514" s="57">
        <v>4</v>
      </c>
      <c r="AA514" s="63">
        <v>5.59</v>
      </c>
      <c r="AB514" s="57">
        <v>24.41</v>
      </c>
      <c r="AC514" s="63">
        <v>6.3</v>
      </c>
      <c r="AD514" s="63">
        <v>7.8</v>
      </c>
      <c r="AE514" s="36">
        <v>0.15</v>
      </c>
      <c r="AF514" s="36">
        <v>0.26</v>
      </c>
      <c r="AG514" s="42">
        <f t="shared" ref="AG514:AG572" si="194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57">
        <v>3</v>
      </c>
      <c r="AK514" s="57">
        <v>4</v>
      </c>
      <c r="AL514" s="63">
        <v>6.41</v>
      </c>
      <c r="AM514" s="57">
        <v>24.78</v>
      </c>
      <c r="AN514" s="63">
        <v>6.3</v>
      </c>
      <c r="AO514" s="63">
        <v>7.9</v>
      </c>
      <c r="AP514" s="42">
        <v>0.15</v>
      </c>
      <c r="AQ514" s="36">
        <v>0.18</v>
      </c>
      <c r="AR514" s="73">
        <f t="shared" ref="AR514:AR572" si="195">SUM(C514:E514)</f>
        <v>2582</v>
      </c>
      <c r="AS514" s="93">
        <f t="shared" ref="AS514:AS572" si="196">C514/AR514</f>
        <v>0</v>
      </c>
      <c r="AT514" s="93">
        <f t="shared" ref="AT514:AT572" si="197">D514/AR514</f>
        <v>0.80635166537567782</v>
      </c>
      <c r="AU514" s="93">
        <f t="shared" ref="AU514:AU572" si="198">E514/AR514</f>
        <v>0.19364833462432224</v>
      </c>
      <c r="AV514" s="26">
        <f t="shared" si="192"/>
        <v>2.223009773942854E-3</v>
      </c>
      <c r="AW514" s="26">
        <f t="shared" si="193"/>
        <v>2.6854289724746604E-3</v>
      </c>
      <c r="AX514" s="26">
        <f t="shared" si="188"/>
        <v>0.875</v>
      </c>
      <c r="AY514" s="24">
        <f t="shared" si="189"/>
        <v>0.81944444444444442</v>
      </c>
      <c r="AZ514" s="77" t="str">
        <f t="shared" ref="AZ514:AZ572" si="199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77" t="str">
        <f t="shared" ref="BA514:BA572" si="200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78" t="str">
        <f t="shared" ref="BB514:BB572" si="201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79" t="str">
        <f t="shared" ref="BC514:BC572" si="202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78" t="str">
        <f t="shared" ref="BD514:BD572" si="203">IF(OR(AE514="",AQ514="-"),"",IF(AE514&lt;=0.25,"Tipo 1 (≤0,25) uT",IF(AE514&lt;=0.5,"Tipo 2 (0,25-0,50) uT",IF(AE514&lt;=0.75,"Tipo 3 (0,50-0,75) uT","Tipo 4 (&gt;0,75) uT"))))</f>
        <v>Tipo 1 (≤0,25) uT</v>
      </c>
      <c r="BE514" s="78" t="str">
        <f t="shared" si="190"/>
        <v>Tipo 1 (≤0,25) uT</v>
      </c>
      <c r="BF514" s="78" t="str">
        <f t="shared" ref="BF514:BF572" si="204">IF(OR(AF514="",AQ514="-"),"",IF(AF514&lt;=0.25,"Tipo 1 (≤0,25) uT",IF(AF514&lt;=0.5,"Tipo 2 (0,25-0,50) uT",IF(AF514&lt;=0.75,"Tipo 3 (0,50-0,75) uT","Tipo 4 (&gt;0,75) uT"))))</f>
        <v>Tipo 2 (0,25-0,50) uT</v>
      </c>
      <c r="BG514" s="78" t="str">
        <f t="shared" si="191"/>
        <v>Tipo 1 (≤0,25) uT</v>
      </c>
      <c r="BH514" s="78" t="str">
        <f t="shared" ref="BH514:BH572" si="205">IF(OR(R514="",R514="-"),"",IF(R514&lt;=0.25,"Tipo 1 (≤0,25) uT",IF(R514&lt;=0.5,"Tipo 2 (0,25-0,50) uT",IF(R514&lt;=0.75,"Tipo 3 (0,50-0,75) uT","Tipo 4 (&gt;0,75) uT"))))</f>
        <v>Tipo 1 (≤0,25) uT</v>
      </c>
    </row>
    <row r="515" spans="1:60" x14ac:dyDescent="0.2">
      <c r="A515" s="31">
        <v>46316</v>
      </c>
      <c r="B515" s="80">
        <v>0.8125</v>
      </c>
      <c r="C515" s="57">
        <v>0</v>
      </c>
      <c r="D515" s="57">
        <v>2243</v>
      </c>
      <c r="E515" s="57">
        <v>491</v>
      </c>
      <c r="F515" s="57">
        <v>2730</v>
      </c>
      <c r="G515" s="85">
        <v>25</v>
      </c>
      <c r="H515" s="63">
        <v>8.6</v>
      </c>
      <c r="I515" s="57">
        <v>-36</v>
      </c>
      <c r="J515" s="57">
        <v>90</v>
      </c>
      <c r="K515" s="57">
        <v>90</v>
      </c>
      <c r="L515" s="57">
        <v>90</v>
      </c>
      <c r="M515" s="57">
        <v>26.4</v>
      </c>
      <c r="N515" s="63">
        <v>6.4</v>
      </c>
      <c r="O515" s="36">
        <v>1.43</v>
      </c>
      <c r="P515" s="57">
        <v>11</v>
      </c>
      <c r="Q515" s="63">
        <v>9.3000000000000007</v>
      </c>
      <c r="R515" s="36">
        <v>0.12</v>
      </c>
      <c r="S515" s="36">
        <v>22.36</v>
      </c>
      <c r="T515" s="36">
        <v>0.88</v>
      </c>
      <c r="U515" s="36">
        <v>0.7</v>
      </c>
      <c r="V515" s="42">
        <f t="shared" ref="V515:V572" si="206">(O515+0.3*H515+2)*(F515/2/Z515)</f>
        <v>2050.9124999999999</v>
      </c>
      <c r="W515" s="42">
        <f t="shared" ref="W515:W572" si="207">S515*(U515*AA515*0.987-T515)*AB515</f>
        <v>1637.4502737320001</v>
      </c>
      <c r="X515" s="42">
        <f t="shared" ref="X515:X572" si="208">W515/V515</f>
        <v>0.79840084534664457</v>
      </c>
      <c r="Y515" s="57">
        <v>3</v>
      </c>
      <c r="Z515" s="57">
        <v>4</v>
      </c>
      <c r="AA515" s="63">
        <v>5.65</v>
      </c>
      <c r="AB515" s="57">
        <v>24.22</v>
      </c>
      <c r="AC515" s="63">
        <v>6.4</v>
      </c>
      <c r="AD515" s="63">
        <v>8.3000000000000007</v>
      </c>
      <c r="AE515" s="36">
        <v>0.14000000000000001</v>
      </c>
      <c r="AF515" s="36">
        <v>0.22</v>
      </c>
      <c r="AG515" s="42">
        <f t="shared" si="194"/>
        <v>2050.9124999999999</v>
      </c>
      <c r="AH515" s="42">
        <f t="shared" ref="AH515:AH572" si="209">S515*(U515*AL515*0.987-T515)*AM515</f>
        <v>1980.4128568327999</v>
      </c>
      <c r="AI515" s="42">
        <f t="shared" ref="AI515:AI572" si="210">AH515/AG515</f>
        <v>0.96562523112653509</v>
      </c>
      <c r="AJ515" s="57">
        <v>3</v>
      </c>
      <c r="AK515" s="57">
        <v>4</v>
      </c>
      <c r="AL515" s="63">
        <v>6.42</v>
      </c>
      <c r="AM515" s="57">
        <v>24.91</v>
      </c>
      <c r="AN515" s="63">
        <v>6.4</v>
      </c>
      <c r="AO515" s="63">
        <v>8.6</v>
      </c>
      <c r="AP515" s="42">
        <v>0.27</v>
      </c>
      <c r="AQ515" s="36">
        <v>0.25</v>
      </c>
      <c r="AR515" s="73">
        <f t="shared" si="195"/>
        <v>2734</v>
      </c>
      <c r="AS515" s="93">
        <f t="shared" si="196"/>
        <v>0</v>
      </c>
      <c r="AT515" s="93">
        <f t="shared" si="197"/>
        <v>0.82040965618141914</v>
      </c>
      <c r="AU515" s="93">
        <f t="shared" si="198"/>
        <v>0.17959034381858083</v>
      </c>
      <c r="AV515" s="26">
        <f t="shared" si="192"/>
        <v>2.339636176839984E-3</v>
      </c>
      <c r="AW515" s="26">
        <f t="shared" si="193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77" t="str">
        <f t="shared" si="199"/>
        <v>7,5 ≤ Alc. Bruta &lt; 10,0 mg/L</v>
      </c>
      <c r="BA515" s="77" t="str">
        <f t="shared" si="200"/>
        <v>10 ≤ Cor &lt;15 uC</v>
      </c>
      <c r="BB515" s="78" t="str">
        <f t="shared" si="201"/>
        <v>Turbidez &lt; 2,5 uT</v>
      </c>
      <c r="BC515" s="79" t="str">
        <f t="shared" si="202"/>
        <v>SM &gt; BNN &gt; TOR</v>
      </c>
      <c r="BD515" s="78" t="str">
        <f t="shared" si="203"/>
        <v>Tipo 1 (≤0,25) uT</v>
      </c>
      <c r="BE515" s="78" t="str">
        <f t="shared" si="190"/>
        <v>Tipo 2 (0,25-0,50) uT</v>
      </c>
      <c r="BF515" s="78" t="str">
        <f t="shared" si="204"/>
        <v>Tipo 1 (≤0,25) uT</v>
      </c>
      <c r="BG515" s="78" t="str">
        <f t="shared" si="191"/>
        <v>Tipo 1 (≤0,25) uT</v>
      </c>
      <c r="BH515" s="78" t="str">
        <f t="shared" si="205"/>
        <v>Tipo 1 (≤0,25) uT</v>
      </c>
    </row>
    <row r="516" spans="1:60" x14ac:dyDescent="0.2">
      <c r="A516" s="31">
        <v>46316</v>
      </c>
      <c r="B516" s="80">
        <v>0.89583333333333337</v>
      </c>
      <c r="C516" s="57">
        <v>0</v>
      </c>
      <c r="D516" s="57">
        <v>2031</v>
      </c>
      <c r="E516" s="57">
        <v>498</v>
      </c>
      <c r="F516" s="57">
        <v>2737</v>
      </c>
      <c r="G516" s="85">
        <v>25</v>
      </c>
      <c r="H516" s="63">
        <v>8.6</v>
      </c>
      <c r="I516" s="57">
        <v>-43</v>
      </c>
      <c r="J516" s="57">
        <v>90</v>
      </c>
      <c r="K516" s="57">
        <v>90</v>
      </c>
      <c r="L516" s="57">
        <v>90</v>
      </c>
      <c r="M516" s="57">
        <v>26.2</v>
      </c>
      <c r="N516" s="63">
        <v>6.5</v>
      </c>
      <c r="O516" s="36">
        <v>1.45</v>
      </c>
      <c r="P516" s="57">
        <v>10</v>
      </c>
      <c r="Q516" s="63">
        <v>9.6999999999999993</v>
      </c>
      <c r="R516" s="36">
        <v>0.12</v>
      </c>
      <c r="S516" s="36">
        <v>22.36</v>
      </c>
      <c r="T516" s="36">
        <v>0.88</v>
      </c>
      <c r="U516" s="36">
        <v>0.7</v>
      </c>
      <c r="V516" s="42">
        <f t="shared" si="206"/>
        <v>2063.0137499999996</v>
      </c>
      <c r="W516" s="42">
        <f t="shared" si="207"/>
        <v>1566.9619679999996</v>
      </c>
      <c r="X516" s="42">
        <f t="shared" si="208"/>
        <v>0.75954993901519074</v>
      </c>
      <c r="Y516" s="57">
        <v>3</v>
      </c>
      <c r="Z516" s="57">
        <v>4</v>
      </c>
      <c r="AA516" s="63">
        <v>5.5</v>
      </c>
      <c r="AB516" s="57">
        <v>24</v>
      </c>
      <c r="AC516" s="63">
        <v>6.4</v>
      </c>
      <c r="AD516" s="63">
        <v>9.1999999999999993</v>
      </c>
      <c r="AE516" s="36">
        <v>0.19</v>
      </c>
      <c r="AF516" s="36">
        <v>0.21</v>
      </c>
      <c r="AG516" s="42">
        <f t="shared" si="194"/>
        <v>2063.0137499999996</v>
      </c>
      <c r="AH516" s="42">
        <f t="shared" si="209"/>
        <v>2018.46515</v>
      </c>
      <c r="AI516" s="42">
        <f t="shared" si="210"/>
        <v>0.97840605764261157</v>
      </c>
      <c r="AJ516" s="57">
        <v>3</v>
      </c>
      <c r="AK516" s="57">
        <v>4</v>
      </c>
      <c r="AL516" s="63">
        <v>6.5</v>
      </c>
      <c r="AM516" s="57">
        <v>25</v>
      </c>
      <c r="AN516" s="63">
        <v>6.4</v>
      </c>
      <c r="AO516" s="63">
        <v>8.3000000000000007</v>
      </c>
      <c r="AP516" s="42">
        <v>0.16</v>
      </c>
      <c r="AQ516" s="36">
        <v>0.16</v>
      </c>
      <c r="AR516" s="73">
        <f t="shared" si="195"/>
        <v>2529</v>
      </c>
      <c r="AS516" s="93">
        <f t="shared" si="196"/>
        <v>0</v>
      </c>
      <c r="AT516" s="93">
        <f t="shared" si="197"/>
        <v>0.8030842230130486</v>
      </c>
      <c r="AU516" s="93">
        <f t="shared" si="198"/>
        <v>0.19691577698695137</v>
      </c>
      <c r="AV516" s="26">
        <f t="shared" si="192"/>
        <v>2.2200948162665424E-3</v>
      </c>
      <c r="AW516" s="26">
        <f t="shared" si="193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77" t="str">
        <f t="shared" si="199"/>
        <v>7,5 ≤ Alc. Bruta &lt; 10,0 mg/L</v>
      </c>
      <c r="BA516" s="77" t="str">
        <f t="shared" si="200"/>
        <v>10 ≤ Cor &lt;15 uC</v>
      </c>
      <c r="BB516" s="78" t="str">
        <f t="shared" si="201"/>
        <v>Turbidez &lt; 2,5 uT</v>
      </c>
      <c r="BC516" s="79" t="str">
        <f t="shared" si="202"/>
        <v>SM &gt; BNN &gt; TOR</v>
      </c>
      <c r="BD516" s="78" t="str">
        <f t="shared" si="203"/>
        <v>Tipo 1 (≤0,25) uT</v>
      </c>
      <c r="BE516" s="78" t="str">
        <f t="shared" si="190"/>
        <v>Tipo 1 (≤0,25) uT</v>
      </c>
      <c r="BF516" s="78" t="str">
        <f t="shared" si="204"/>
        <v>Tipo 1 (≤0,25) uT</v>
      </c>
      <c r="BG516" s="78" t="str">
        <f t="shared" si="191"/>
        <v>Tipo 1 (≤0,25) uT</v>
      </c>
      <c r="BH516" s="78" t="str">
        <f t="shared" si="205"/>
        <v>Tipo 1 (≤0,25) uT</v>
      </c>
    </row>
    <row r="517" spans="1:60" x14ac:dyDescent="0.2">
      <c r="A517" s="31">
        <v>46317</v>
      </c>
      <c r="B517" s="80">
        <v>6.25E-2</v>
      </c>
      <c r="C517" s="57">
        <v>0</v>
      </c>
      <c r="D517" s="57">
        <v>2228</v>
      </c>
      <c r="E517" s="57">
        <v>499</v>
      </c>
      <c r="F517" s="57">
        <v>2734</v>
      </c>
      <c r="G517" s="85">
        <v>25</v>
      </c>
      <c r="H517" s="63">
        <v>9</v>
      </c>
      <c r="I517" s="57">
        <v>-82</v>
      </c>
      <c r="J517" s="57">
        <v>90</v>
      </c>
      <c r="K517" s="57">
        <v>90</v>
      </c>
      <c r="L517" s="57">
        <v>90</v>
      </c>
      <c r="M517" s="57">
        <v>26.1</v>
      </c>
      <c r="N517" s="63">
        <v>6.6</v>
      </c>
      <c r="O517" s="36">
        <v>1.31</v>
      </c>
      <c r="P517" s="57">
        <v>12</v>
      </c>
      <c r="Q517" s="63">
        <v>9.4</v>
      </c>
      <c r="R517" s="36">
        <v>0.17</v>
      </c>
      <c r="S517" s="36">
        <v>22.36</v>
      </c>
      <c r="T517" s="36">
        <v>0.88</v>
      </c>
      <c r="U517" s="36">
        <v>0.7</v>
      </c>
      <c r="V517" s="42">
        <f t="shared" si="206"/>
        <v>2053.9175</v>
      </c>
      <c r="W517" s="42">
        <f t="shared" si="207"/>
        <v>1529.8855103999999</v>
      </c>
      <c r="X517" s="42">
        <f t="shared" si="208"/>
        <v>0.74486220132989756</v>
      </c>
      <c r="Y517" s="57">
        <v>3</v>
      </c>
      <c r="Z517" s="57">
        <v>4</v>
      </c>
      <c r="AA517" s="63">
        <v>5.4</v>
      </c>
      <c r="AB517" s="57">
        <v>24</v>
      </c>
      <c r="AC517" s="63">
        <v>6.4</v>
      </c>
      <c r="AD517" s="63">
        <v>8.6999999999999993</v>
      </c>
      <c r="AE517" s="36">
        <v>0.16</v>
      </c>
      <c r="AF517" s="36">
        <v>0.2</v>
      </c>
      <c r="AG517" s="42">
        <f t="shared" si="194"/>
        <v>2053.9175</v>
      </c>
      <c r="AH517" s="42">
        <f t="shared" si="209"/>
        <v>1979.8438399999998</v>
      </c>
      <c r="AI517" s="42">
        <f t="shared" si="210"/>
        <v>0.96393542583867164</v>
      </c>
      <c r="AJ517" s="57">
        <v>3</v>
      </c>
      <c r="AK517" s="57">
        <v>4</v>
      </c>
      <c r="AL517" s="63">
        <v>6.4</v>
      </c>
      <c r="AM517" s="57">
        <v>25</v>
      </c>
      <c r="AN517" s="63">
        <v>6.5</v>
      </c>
      <c r="AO517" s="63">
        <v>8.4</v>
      </c>
      <c r="AP517" s="42">
        <v>0.18</v>
      </c>
      <c r="AQ517" s="36">
        <v>0.21</v>
      </c>
      <c r="AR517" s="73">
        <f t="shared" si="195"/>
        <v>2727</v>
      </c>
      <c r="AS517" s="93">
        <f t="shared" si="196"/>
        <v>0</v>
      </c>
      <c r="AT517" s="93">
        <f t="shared" si="197"/>
        <v>0.81701503483681703</v>
      </c>
      <c r="AU517" s="93">
        <f t="shared" si="198"/>
        <v>0.18298496516318299</v>
      </c>
      <c r="AV517" s="26">
        <f t="shared" si="192"/>
        <v>2.1795528934305708E-3</v>
      </c>
      <c r="AW517" s="26">
        <f t="shared" si="193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77" t="str">
        <f t="shared" si="199"/>
        <v>7,5 ≤ Alc. Bruta &lt; 10,0 mg/L</v>
      </c>
      <c r="BA517" s="77" t="str">
        <f t="shared" si="200"/>
        <v>10 ≤ Cor &lt;15 uC</v>
      </c>
      <c r="BB517" s="78" t="str">
        <f t="shared" si="201"/>
        <v>Turbidez &lt; 2,5 uT</v>
      </c>
      <c r="BC517" s="79" t="str">
        <f t="shared" si="202"/>
        <v>SM &gt; BNN &gt; TOR</v>
      </c>
      <c r="BD517" s="78" t="str">
        <f t="shared" si="203"/>
        <v>Tipo 1 (≤0,25) uT</v>
      </c>
      <c r="BE517" s="78" t="str">
        <f t="shared" si="190"/>
        <v>Tipo 1 (≤0,25) uT</v>
      </c>
      <c r="BF517" s="78" t="str">
        <f t="shared" si="204"/>
        <v>Tipo 1 (≤0,25) uT</v>
      </c>
      <c r="BG517" s="78" t="str">
        <f t="shared" si="191"/>
        <v>Tipo 1 (≤0,25) uT</v>
      </c>
      <c r="BH517" s="78" t="str">
        <f t="shared" si="205"/>
        <v>Tipo 1 (≤0,25) uT</v>
      </c>
    </row>
    <row r="518" spans="1:60" x14ac:dyDescent="0.2">
      <c r="A518" s="31">
        <v>46317</v>
      </c>
      <c r="B518" s="80">
        <v>0.14583333333333334</v>
      </c>
      <c r="C518" s="57">
        <v>0</v>
      </c>
      <c r="D518" s="57">
        <v>2221</v>
      </c>
      <c r="E518" s="57">
        <v>500</v>
      </c>
      <c r="F518" s="57">
        <v>2738</v>
      </c>
      <c r="G518" s="85">
        <v>25</v>
      </c>
      <c r="H518" s="63">
        <v>9</v>
      </c>
      <c r="I518" s="57">
        <v>-106</v>
      </c>
      <c r="J518" s="57">
        <v>90</v>
      </c>
      <c r="K518" s="57">
        <v>90</v>
      </c>
      <c r="L518" s="57">
        <v>90</v>
      </c>
      <c r="M518" s="57">
        <v>25.8</v>
      </c>
      <c r="N518" s="63">
        <v>6.5</v>
      </c>
      <c r="O518" s="36">
        <v>2.46</v>
      </c>
      <c r="P518" s="57">
        <v>10</v>
      </c>
      <c r="Q518" s="63">
        <v>9.3000000000000007</v>
      </c>
      <c r="R518" s="36">
        <v>0.25</v>
      </c>
      <c r="S518" s="36">
        <v>22.36</v>
      </c>
      <c r="T518" s="36">
        <v>0.88</v>
      </c>
      <c r="U518" s="36">
        <v>0.7</v>
      </c>
      <c r="V518" s="42">
        <f t="shared" si="206"/>
        <v>2450.5100000000002</v>
      </c>
      <c r="W518" s="42">
        <f t="shared" si="207"/>
        <v>1566.9619679999996</v>
      </c>
      <c r="X518" s="42">
        <f t="shared" si="208"/>
        <v>0.63944320488388107</v>
      </c>
      <c r="Y518" s="57">
        <v>3</v>
      </c>
      <c r="Z518" s="57">
        <v>4</v>
      </c>
      <c r="AA518" s="63">
        <v>5.5</v>
      </c>
      <c r="AB518" s="57">
        <v>24</v>
      </c>
      <c r="AC518" s="63">
        <v>6.4</v>
      </c>
      <c r="AD518" s="63">
        <v>8.1999999999999993</v>
      </c>
      <c r="AE518" s="36">
        <v>0.16</v>
      </c>
      <c r="AF518" s="36">
        <v>0.2</v>
      </c>
      <c r="AG518" s="42">
        <f t="shared" si="194"/>
        <v>2450.5100000000002</v>
      </c>
      <c r="AH518" s="42">
        <f t="shared" si="209"/>
        <v>1979.8438399999998</v>
      </c>
      <c r="AI518" s="42">
        <f t="shared" si="210"/>
        <v>0.80793134490371377</v>
      </c>
      <c r="AJ518" s="57">
        <v>3</v>
      </c>
      <c r="AK518" s="57">
        <v>4</v>
      </c>
      <c r="AL518" s="63">
        <v>6.4</v>
      </c>
      <c r="AM518" s="57">
        <v>25</v>
      </c>
      <c r="AN518" s="63">
        <v>6.4</v>
      </c>
      <c r="AO518" s="63">
        <v>8.5</v>
      </c>
      <c r="AP518" s="42">
        <v>0.17</v>
      </c>
      <c r="AQ518" s="36">
        <v>0.25</v>
      </c>
      <c r="AR518" s="73">
        <f t="shared" si="195"/>
        <v>2721</v>
      </c>
      <c r="AS518" s="93">
        <f t="shared" si="196"/>
        <v>0</v>
      </c>
      <c r="AT518" s="93">
        <f t="shared" si="197"/>
        <v>0.81624402793090778</v>
      </c>
      <c r="AU518" s="93">
        <f t="shared" si="198"/>
        <v>0.18375597206909225</v>
      </c>
      <c r="AV518" s="26">
        <f t="shared" si="192"/>
        <v>1.8683512195292362E-3</v>
      </c>
      <c r="AW518" s="26">
        <f t="shared" si="193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77" t="str">
        <f t="shared" si="199"/>
        <v>7,5 ≤ Alc. Bruta &lt; 10,0 mg/L</v>
      </c>
      <c r="BA518" s="77" t="str">
        <f t="shared" si="200"/>
        <v>10 ≤ Cor &lt;15 uC</v>
      </c>
      <c r="BB518" s="78" t="str">
        <f t="shared" si="201"/>
        <v>Turbidez &lt; 2,5 uT</v>
      </c>
      <c r="BC518" s="79" t="str">
        <f t="shared" si="202"/>
        <v>SM &gt; BNN &gt; TOR</v>
      </c>
      <c r="BD518" s="78" t="str">
        <f t="shared" si="203"/>
        <v>Tipo 1 (≤0,25) uT</v>
      </c>
      <c r="BE518" s="78" t="str">
        <f t="shared" si="190"/>
        <v>Tipo 1 (≤0,25) uT</v>
      </c>
      <c r="BF518" s="78" t="str">
        <f t="shared" si="204"/>
        <v>Tipo 1 (≤0,25) uT</v>
      </c>
      <c r="BG518" s="78" t="str">
        <f t="shared" si="191"/>
        <v>Tipo 1 (≤0,25) uT</v>
      </c>
      <c r="BH518" s="78" t="str">
        <f t="shared" si="205"/>
        <v>Tipo 1 (≤0,25) uT</v>
      </c>
    </row>
    <row r="519" spans="1:60" ht="15.75" thickBot="1" x14ac:dyDescent="0.25">
      <c r="A519" s="32">
        <v>46317</v>
      </c>
      <c r="B519" s="81">
        <v>0.22916666666666666</v>
      </c>
      <c r="C519" s="57">
        <v>0</v>
      </c>
      <c r="D519" s="58">
        <v>2208</v>
      </c>
      <c r="E519" s="58">
        <v>499</v>
      </c>
      <c r="F519" s="58">
        <v>2728</v>
      </c>
      <c r="G519" s="86">
        <v>25</v>
      </c>
      <c r="H519" s="64">
        <v>9</v>
      </c>
      <c r="I519" s="58">
        <v>-108</v>
      </c>
      <c r="J519" s="58">
        <v>90</v>
      </c>
      <c r="K519" s="58">
        <v>90</v>
      </c>
      <c r="L519" s="58">
        <v>90</v>
      </c>
      <c r="M519" s="58">
        <v>25.3</v>
      </c>
      <c r="N519" s="64">
        <v>6.7</v>
      </c>
      <c r="O519" s="37">
        <v>2.33</v>
      </c>
      <c r="P519" s="58">
        <v>13</v>
      </c>
      <c r="Q519" s="64">
        <v>9.6</v>
      </c>
      <c r="R519" s="37">
        <v>0.06</v>
      </c>
      <c r="S519" s="36">
        <v>22.36</v>
      </c>
      <c r="T519" s="36">
        <v>0.88</v>
      </c>
      <c r="U519" s="36">
        <v>0.7</v>
      </c>
      <c r="V519" s="42">
        <f t="shared" si="206"/>
        <v>2397.2299999999996</v>
      </c>
      <c r="W519" s="42">
        <f t="shared" si="207"/>
        <v>1529.8855103999999</v>
      </c>
      <c r="X519" s="42">
        <f t="shared" si="208"/>
        <v>0.63818887232347343</v>
      </c>
      <c r="Y519" s="58">
        <v>3</v>
      </c>
      <c r="Z519" s="58">
        <v>4</v>
      </c>
      <c r="AA519" s="64">
        <v>5.4</v>
      </c>
      <c r="AB519" s="58">
        <v>24</v>
      </c>
      <c r="AC519" s="64">
        <v>6.6</v>
      </c>
      <c r="AD519" s="64">
        <v>8.4</v>
      </c>
      <c r="AE519" s="37">
        <v>0.18</v>
      </c>
      <c r="AF519" s="37">
        <v>0.21</v>
      </c>
      <c r="AG519" s="42">
        <f t="shared" si="194"/>
        <v>2397.2299999999996</v>
      </c>
      <c r="AH519" s="42">
        <f t="shared" si="209"/>
        <v>1979.8438399999998</v>
      </c>
      <c r="AI519" s="42">
        <f t="shared" si="210"/>
        <v>0.82588814590172832</v>
      </c>
      <c r="AJ519" s="58">
        <v>3</v>
      </c>
      <c r="AK519" s="58">
        <v>4</v>
      </c>
      <c r="AL519" s="64">
        <v>6.4</v>
      </c>
      <c r="AM519" s="58">
        <v>25</v>
      </c>
      <c r="AN519" s="64">
        <v>6.5</v>
      </c>
      <c r="AO519" s="64">
        <v>8</v>
      </c>
      <c r="AP519" s="42">
        <v>0.18</v>
      </c>
      <c r="AQ519" s="37">
        <v>0.28999999999999998</v>
      </c>
      <c r="AR519" s="73">
        <f t="shared" si="195"/>
        <v>2707</v>
      </c>
      <c r="AS519" s="93">
        <f t="shared" si="196"/>
        <v>0</v>
      </c>
      <c r="AT519" s="93">
        <f t="shared" si="197"/>
        <v>0.81566309567787221</v>
      </c>
      <c r="AU519" s="93">
        <f t="shared" si="198"/>
        <v>0.18433690432212782</v>
      </c>
      <c r="AV519" s="26">
        <f t="shared" si="192"/>
        <v>1.8715216197169309E-3</v>
      </c>
      <c r="AW519" s="26">
        <f t="shared" si="193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77" t="str">
        <f t="shared" si="199"/>
        <v>7,5 ≤ Alc. Bruta &lt; 10,0 mg/L</v>
      </c>
      <c r="BA519" s="77" t="str">
        <f t="shared" si="200"/>
        <v>10 ≤ Cor &lt;15 uC</v>
      </c>
      <c r="BB519" s="78" t="str">
        <f t="shared" si="201"/>
        <v>Turbidez &lt; 2,5 uT</v>
      </c>
      <c r="BC519" s="79" t="str">
        <f t="shared" si="202"/>
        <v>SM &gt; BNN &gt; TOR</v>
      </c>
      <c r="BD519" s="78" t="str">
        <f t="shared" si="203"/>
        <v>Tipo 1 (≤0,25) uT</v>
      </c>
      <c r="BE519" s="78" t="str">
        <f t="shared" si="190"/>
        <v>Tipo 1 (≤0,25) uT</v>
      </c>
      <c r="BF519" s="78" t="str">
        <f t="shared" si="204"/>
        <v>Tipo 1 (≤0,25) uT</v>
      </c>
      <c r="BG519" s="78" t="str">
        <f t="shared" si="191"/>
        <v>Tipo 2 (0,25-0,50) uT</v>
      </c>
      <c r="BH519" s="78" t="str">
        <f t="shared" si="205"/>
        <v>Tipo 1 (≤0,25) uT</v>
      </c>
    </row>
    <row r="520" spans="1:60" x14ac:dyDescent="0.2">
      <c r="A520" s="30">
        <v>46317</v>
      </c>
      <c r="B520" s="82">
        <v>0.3125</v>
      </c>
      <c r="C520" s="59">
        <v>591</v>
      </c>
      <c r="D520" s="59">
        <v>1823</v>
      </c>
      <c r="E520" s="59">
        <v>0</v>
      </c>
      <c r="F520" s="59">
        <v>2435</v>
      </c>
      <c r="G520" s="87" t="s">
        <v>34</v>
      </c>
      <c r="H520" s="65">
        <v>9.1999999999999993</v>
      </c>
      <c r="I520" s="59">
        <v>-95</v>
      </c>
      <c r="J520" s="59">
        <v>90</v>
      </c>
      <c r="K520" s="59">
        <v>90</v>
      </c>
      <c r="L520" s="59">
        <v>90</v>
      </c>
      <c r="M520" s="59">
        <v>26.1</v>
      </c>
      <c r="N520" s="65">
        <v>6.6</v>
      </c>
      <c r="O520" s="38">
        <v>2.46</v>
      </c>
      <c r="P520" s="59">
        <v>12</v>
      </c>
      <c r="Q520" s="65">
        <v>9.4</v>
      </c>
      <c r="R520" s="38">
        <v>0.31</v>
      </c>
      <c r="S520" s="36">
        <v>22.36</v>
      </c>
      <c r="T520" s="36">
        <v>0.88</v>
      </c>
      <c r="U520" s="36">
        <v>0.7</v>
      </c>
      <c r="V520" s="42">
        <f t="shared" si="206"/>
        <v>2197.5875000000001</v>
      </c>
      <c r="W520" s="42">
        <f t="shared" si="207"/>
        <v>1678.1913407999996</v>
      </c>
      <c r="X520" s="42">
        <f t="shared" si="208"/>
        <v>0.76365165928546619</v>
      </c>
      <c r="Y520" s="57">
        <v>3</v>
      </c>
      <c r="Z520" s="57">
        <v>4</v>
      </c>
      <c r="AA520" s="63">
        <v>5.8</v>
      </c>
      <c r="AB520" s="91">
        <v>24</v>
      </c>
      <c r="AC520" s="65">
        <v>6.6</v>
      </c>
      <c r="AD520" s="65">
        <v>8.1999999999999993</v>
      </c>
      <c r="AE520" s="38">
        <v>0.13</v>
      </c>
      <c r="AF520" s="38">
        <v>0.23</v>
      </c>
      <c r="AG520" s="42">
        <f t="shared" si="194"/>
        <v>2197.5875000000001</v>
      </c>
      <c r="AH520" s="42">
        <f t="shared" si="209"/>
        <v>1979.8438399999998</v>
      </c>
      <c r="AI520" s="42">
        <f t="shared" si="210"/>
        <v>0.90091695552509277</v>
      </c>
      <c r="AJ520" s="59">
        <v>3</v>
      </c>
      <c r="AK520" s="59">
        <v>4</v>
      </c>
      <c r="AL520" s="63">
        <v>6.4</v>
      </c>
      <c r="AM520" s="57">
        <v>25</v>
      </c>
      <c r="AN520" s="65">
        <v>6.5</v>
      </c>
      <c r="AO520" s="65">
        <v>8.1</v>
      </c>
      <c r="AP520" s="42">
        <v>0.18</v>
      </c>
      <c r="AQ520" s="38">
        <v>0.32</v>
      </c>
      <c r="AR520" s="73">
        <f t="shared" si="195"/>
        <v>2414</v>
      </c>
      <c r="AS520" s="93">
        <f t="shared" si="196"/>
        <v>0.2448218724109362</v>
      </c>
      <c r="AT520" s="93">
        <f t="shared" si="197"/>
        <v>0.75517812758906377</v>
      </c>
      <c r="AU520" s="93">
        <f t="shared" si="198"/>
        <v>0</v>
      </c>
      <c r="AV520" s="26">
        <f t="shared" si="192"/>
        <v>2.5089171557633387E-3</v>
      </c>
      <c r="AW520" s="26">
        <f t="shared" ref="AW520:AW572" si="211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77" t="str">
        <f t="shared" si="199"/>
        <v>7,5 ≤ Alc. Bruta &lt; 10,0 mg/L</v>
      </c>
      <c r="BA520" s="77" t="str">
        <f t="shared" si="200"/>
        <v>10 ≤ Cor &lt;15 uC</v>
      </c>
      <c r="BB520" s="78" t="str">
        <f t="shared" si="201"/>
        <v>Turbidez &lt; 2,5 uT</v>
      </c>
      <c r="BC520" s="79" t="str">
        <f t="shared" si="202"/>
        <v>SM &gt; TOR &gt; BNN</v>
      </c>
      <c r="BD520" s="78" t="str">
        <f t="shared" si="203"/>
        <v>Tipo 1 (≤0,25) uT</v>
      </c>
      <c r="BE520" s="78" t="str">
        <f t="shared" si="190"/>
        <v>Tipo 1 (≤0,25) uT</v>
      </c>
      <c r="BF520" s="78" t="str">
        <f t="shared" si="204"/>
        <v>Tipo 1 (≤0,25) uT</v>
      </c>
      <c r="BG520" s="78" t="str">
        <f t="shared" si="191"/>
        <v>Tipo 2 (0,25-0,50) uT</v>
      </c>
      <c r="BH520" s="78" t="str">
        <f t="shared" si="205"/>
        <v>Tipo 2 (0,25-0,50) uT</v>
      </c>
    </row>
    <row r="521" spans="1:60" x14ac:dyDescent="0.2">
      <c r="A521" s="31">
        <v>46317</v>
      </c>
      <c r="B521" s="80">
        <v>0.64583333333333337</v>
      </c>
      <c r="C521" s="57">
        <v>603</v>
      </c>
      <c r="D521" s="57">
        <v>1810</v>
      </c>
      <c r="E521" s="57">
        <v>0</v>
      </c>
      <c r="F521" s="57">
        <v>2390</v>
      </c>
      <c r="G521" s="85" t="s">
        <v>34</v>
      </c>
      <c r="H521" s="63">
        <v>9.1999999999999993</v>
      </c>
      <c r="I521" s="57">
        <v>34</v>
      </c>
      <c r="J521" s="57">
        <v>90</v>
      </c>
      <c r="K521" s="57">
        <v>90</v>
      </c>
      <c r="L521" s="57">
        <v>90</v>
      </c>
      <c r="M521" s="57">
        <v>27</v>
      </c>
      <c r="N521" s="63">
        <v>6.2</v>
      </c>
      <c r="O521" s="36">
        <v>1.67</v>
      </c>
      <c r="P521" s="57">
        <v>11</v>
      </c>
      <c r="Q521" s="63">
        <v>8</v>
      </c>
      <c r="R521" s="36">
        <v>0.11</v>
      </c>
      <c r="S521" s="36">
        <v>22.36</v>
      </c>
      <c r="T521" s="36">
        <v>0.88</v>
      </c>
      <c r="U521" s="36">
        <v>0.7</v>
      </c>
      <c r="V521" s="42">
        <f t="shared" si="206"/>
        <v>1920.9624999999999</v>
      </c>
      <c r="W521" s="42">
        <f t="shared" si="207"/>
        <v>1641.1148831999999</v>
      </c>
      <c r="X521" s="42">
        <f t="shared" si="208"/>
        <v>0.85431906307384975</v>
      </c>
      <c r="Y521" s="57">
        <v>3</v>
      </c>
      <c r="Z521" s="57">
        <v>4</v>
      </c>
      <c r="AA521" s="63">
        <v>5.7</v>
      </c>
      <c r="AB521" s="57">
        <v>24</v>
      </c>
      <c r="AC521" s="63">
        <v>5.9</v>
      </c>
      <c r="AD521" s="63">
        <v>4</v>
      </c>
      <c r="AE521" s="36">
        <v>0.16</v>
      </c>
      <c r="AF521" s="36">
        <v>0.21</v>
      </c>
      <c r="AG521" s="42">
        <f t="shared" si="194"/>
        <v>1920.9624999999999</v>
      </c>
      <c r="AH521" s="42">
        <f t="shared" si="209"/>
        <v>1900.6500864</v>
      </c>
      <c r="AI521" s="42">
        <f t="shared" si="210"/>
        <v>0.9894259187256389</v>
      </c>
      <c r="AJ521" s="57">
        <v>3</v>
      </c>
      <c r="AK521" s="57">
        <v>4</v>
      </c>
      <c r="AL521" s="63">
        <v>6.4</v>
      </c>
      <c r="AM521" s="57">
        <v>24</v>
      </c>
      <c r="AN521" s="63">
        <v>6</v>
      </c>
      <c r="AO521" s="63">
        <v>3.7</v>
      </c>
      <c r="AP521" s="36">
        <v>0.15</v>
      </c>
      <c r="AQ521" s="36">
        <v>0.1</v>
      </c>
      <c r="AR521" s="73">
        <f t="shared" si="195"/>
        <v>2413</v>
      </c>
      <c r="AS521" s="93">
        <f t="shared" si="196"/>
        <v>0.24989639452963117</v>
      </c>
      <c r="AT521" s="93">
        <f t="shared" si="197"/>
        <v>0.75010360547036881</v>
      </c>
      <c r="AU521" s="93">
        <f t="shared" si="198"/>
        <v>0</v>
      </c>
      <c r="AV521" s="26">
        <f t="shared" si="192"/>
        <v>2.8596453994103755E-3</v>
      </c>
      <c r="AW521" s="26">
        <f t="shared" si="211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77" t="str">
        <f t="shared" si="199"/>
        <v>7,5 ≤ Alc. Bruta &lt; 10,0 mg/L</v>
      </c>
      <c r="BA521" s="77" t="str">
        <f t="shared" si="200"/>
        <v>10 ≤ Cor &lt;15 uC</v>
      </c>
      <c r="BB521" s="78" t="str">
        <f t="shared" si="201"/>
        <v>Turbidez &lt; 2,5 uT</v>
      </c>
      <c r="BC521" s="79" t="str">
        <f t="shared" si="202"/>
        <v>SM &gt; TOR &gt; BNN</v>
      </c>
      <c r="BD521" s="78" t="str">
        <f t="shared" si="203"/>
        <v>Tipo 1 (≤0,25) uT</v>
      </c>
      <c r="BE521" s="78" t="str">
        <f t="shared" si="190"/>
        <v>Tipo 1 (≤0,25) uT</v>
      </c>
      <c r="BF521" s="78" t="str">
        <f t="shared" si="204"/>
        <v>Tipo 1 (≤0,25) uT</v>
      </c>
      <c r="BG521" s="78" t="str">
        <f t="shared" si="191"/>
        <v>Tipo 1 (≤0,25) uT</v>
      </c>
      <c r="BH521" s="78" t="str">
        <f t="shared" si="205"/>
        <v>Tipo 1 (≤0,25) uT</v>
      </c>
    </row>
    <row r="522" spans="1:60" x14ac:dyDescent="0.2">
      <c r="A522" s="31">
        <v>46317</v>
      </c>
      <c r="B522" s="80">
        <v>0.72916666666666663</v>
      </c>
      <c r="C522" s="57">
        <v>588</v>
      </c>
      <c r="D522" s="57">
        <v>1833</v>
      </c>
      <c r="E522" s="57">
        <v>0</v>
      </c>
      <c r="F522" s="57">
        <v>2440</v>
      </c>
      <c r="G522" s="85" t="s">
        <v>34</v>
      </c>
      <c r="H522" s="63">
        <v>9.1999999999999993</v>
      </c>
      <c r="I522" s="57">
        <v>117</v>
      </c>
      <c r="J522" s="57">
        <v>90</v>
      </c>
      <c r="K522" s="57">
        <v>90</v>
      </c>
      <c r="L522" s="57">
        <v>90</v>
      </c>
      <c r="M522" s="57">
        <v>26.1</v>
      </c>
      <c r="N522" s="63">
        <v>6.1</v>
      </c>
      <c r="O522" s="36">
        <v>1.75</v>
      </c>
      <c r="P522" s="57">
        <v>11</v>
      </c>
      <c r="Q522" s="63">
        <v>6.3</v>
      </c>
      <c r="R522" s="36">
        <v>0.09</v>
      </c>
      <c r="S522" s="36">
        <v>22.36</v>
      </c>
      <c r="T522" s="36">
        <v>0.88</v>
      </c>
      <c r="U522" s="36">
        <v>0.7</v>
      </c>
      <c r="V522" s="42">
        <f t="shared" si="206"/>
        <v>1985.55</v>
      </c>
      <c r="W522" s="42">
        <f t="shared" si="207"/>
        <v>1604.0384255999998</v>
      </c>
      <c r="X522" s="42">
        <f t="shared" si="208"/>
        <v>0.80785597219913863</v>
      </c>
      <c r="Y522" s="57">
        <v>3</v>
      </c>
      <c r="Z522" s="57">
        <v>4</v>
      </c>
      <c r="AA522" s="63">
        <v>5.6</v>
      </c>
      <c r="AB522" s="57">
        <v>24</v>
      </c>
      <c r="AC522" s="63">
        <v>6</v>
      </c>
      <c r="AD522" s="63">
        <v>3.7</v>
      </c>
      <c r="AE522" s="36">
        <v>0.1</v>
      </c>
      <c r="AF522" s="36">
        <v>0.16</v>
      </c>
      <c r="AG522" s="42">
        <f t="shared" si="194"/>
        <v>1985.55</v>
      </c>
      <c r="AH522" s="42">
        <f t="shared" si="209"/>
        <v>1900.6500864</v>
      </c>
      <c r="AI522" s="42">
        <f t="shared" si="210"/>
        <v>0.95724111022134928</v>
      </c>
      <c r="AJ522" s="57">
        <v>3</v>
      </c>
      <c r="AK522" s="57">
        <v>4</v>
      </c>
      <c r="AL522" s="63">
        <v>6.4</v>
      </c>
      <c r="AM522" s="57">
        <v>24</v>
      </c>
      <c r="AN522" s="63">
        <v>5.9</v>
      </c>
      <c r="AO522" s="63">
        <v>3.2</v>
      </c>
      <c r="AP522" s="36">
        <v>0.18</v>
      </c>
      <c r="AQ522" s="36">
        <v>0.11</v>
      </c>
      <c r="AR522" s="73">
        <f t="shared" si="195"/>
        <v>2421</v>
      </c>
      <c r="AS522" s="93">
        <f t="shared" si="196"/>
        <v>0.24287484510532836</v>
      </c>
      <c r="AT522" s="93">
        <f t="shared" si="197"/>
        <v>0.75712515489467158</v>
      </c>
      <c r="AU522" s="93">
        <f t="shared" si="198"/>
        <v>0</v>
      </c>
      <c r="AV522" s="26">
        <f t="shared" si="192"/>
        <v>2.6487081055709461E-3</v>
      </c>
      <c r="AW522" s="26">
        <f t="shared" si="211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77" t="str">
        <f t="shared" si="199"/>
        <v>5,0 ≤ Alc. Bruta &lt; 7,5 mg/L</v>
      </c>
      <c r="BA522" s="77" t="str">
        <f t="shared" si="200"/>
        <v>10 ≤ Cor &lt;15 uC</v>
      </c>
      <c r="BB522" s="78" t="str">
        <f t="shared" si="201"/>
        <v>Turbidez &lt; 2,5 uT</v>
      </c>
      <c r="BC522" s="79" t="str">
        <f t="shared" si="202"/>
        <v>SM &gt; TOR &gt; BNN</v>
      </c>
      <c r="BD522" s="78" t="str">
        <f t="shared" si="203"/>
        <v>Tipo 1 (≤0,25) uT</v>
      </c>
      <c r="BE522" s="78" t="str">
        <f t="shared" si="190"/>
        <v>Tipo 1 (≤0,25) uT</v>
      </c>
      <c r="BF522" s="78" t="str">
        <f t="shared" si="204"/>
        <v>Tipo 1 (≤0,25) uT</v>
      </c>
      <c r="BG522" s="78" t="str">
        <f t="shared" si="191"/>
        <v>Tipo 1 (≤0,25) uT</v>
      </c>
      <c r="BH522" s="78" t="str">
        <f t="shared" si="205"/>
        <v>Tipo 1 (≤0,25) uT</v>
      </c>
    </row>
    <row r="523" spans="1:60" x14ac:dyDescent="0.2">
      <c r="A523" s="31">
        <v>46317</v>
      </c>
      <c r="B523" s="80">
        <v>0.8125</v>
      </c>
      <c r="C523" s="57">
        <v>600</v>
      </c>
      <c r="D523" s="57">
        <v>1811</v>
      </c>
      <c r="E523" s="57">
        <v>294</v>
      </c>
      <c r="F523" s="57">
        <v>2367</v>
      </c>
      <c r="G523" s="85" t="s">
        <v>34</v>
      </c>
      <c r="H523" s="63">
        <v>9.1999999999999993</v>
      </c>
      <c r="I523" s="57">
        <v>81</v>
      </c>
      <c r="J523" s="57">
        <v>90</v>
      </c>
      <c r="K523" s="57">
        <v>90</v>
      </c>
      <c r="L523" s="57">
        <v>90</v>
      </c>
      <c r="M523" s="57">
        <v>26.4</v>
      </c>
      <c r="N523" s="63">
        <v>6.2</v>
      </c>
      <c r="O523" s="36">
        <v>1.66</v>
      </c>
      <c r="P523" s="57">
        <v>10</v>
      </c>
      <c r="Q523" s="63">
        <v>8.1</v>
      </c>
      <c r="R523" s="36">
        <v>0.09</v>
      </c>
      <c r="S523" s="36">
        <v>22.36</v>
      </c>
      <c r="T523" s="36">
        <v>0.88</v>
      </c>
      <c r="U523" s="36">
        <v>0.7</v>
      </c>
      <c r="V523" s="42">
        <f t="shared" si="206"/>
        <v>1899.5174999999999</v>
      </c>
      <c r="W523" s="42">
        <f t="shared" si="207"/>
        <v>1604.0384255999998</v>
      </c>
      <c r="X523" s="42">
        <f t="shared" si="208"/>
        <v>0.84444519495082293</v>
      </c>
      <c r="Y523" s="57">
        <v>3</v>
      </c>
      <c r="Z523" s="57">
        <v>4</v>
      </c>
      <c r="AA523" s="63">
        <v>5.6</v>
      </c>
      <c r="AB523" s="57">
        <v>24</v>
      </c>
      <c r="AC523" s="63">
        <v>6.1</v>
      </c>
      <c r="AD523" s="63">
        <v>7.5</v>
      </c>
      <c r="AE523" s="36">
        <v>0.09</v>
      </c>
      <c r="AF523" s="36">
        <v>0.12</v>
      </c>
      <c r="AG523" s="42">
        <f t="shared" si="194"/>
        <v>1899.5174999999999</v>
      </c>
      <c r="AH523" s="42">
        <f t="shared" si="209"/>
        <v>1900.6500864</v>
      </c>
      <c r="AI523" s="42">
        <f t="shared" si="210"/>
        <v>1.0005962495212599</v>
      </c>
      <c r="AJ523" s="57">
        <v>3</v>
      </c>
      <c r="AK523" s="57">
        <v>4</v>
      </c>
      <c r="AL523" s="63">
        <v>6.4</v>
      </c>
      <c r="AM523" s="57">
        <v>24</v>
      </c>
      <c r="AN523" s="63">
        <v>6.1</v>
      </c>
      <c r="AO523" s="63">
        <v>7.8</v>
      </c>
      <c r="AP523" s="36">
        <v>0.09</v>
      </c>
      <c r="AQ523" s="36">
        <v>0.16</v>
      </c>
      <c r="AR523" s="73">
        <f t="shared" si="195"/>
        <v>2705</v>
      </c>
      <c r="AS523" s="93">
        <f t="shared" si="196"/>
        <v>0.22181146025878004</v>
      </c>
      <c r="AT523" s="93">
        <f t="shared" si="197"/>
        <v>0.66950092421441776</v>
      </c>
      <c r="AU523" s="93">
        <f t="shared" si="198"/>
        <v>0.10868761552680221</v>
      </c>
      <c r="AV523" s="26">
        <f t="shared" si="192"/>
        <v>2.8540606504463811E-3</v>
      </c>
      <c r="AW523" s="26">
        <f t="shared" si="211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77" t="str">
        <f t="shared" si="199"/>
        <v>7,5 ≤ Alc. Bruta &lt; 10,0 mg/L</v>
      </c>
      <c r="BA523" s="77" t="str">
        <f t="shared" si="200"/>
        <v>10 ≤ Cor &lt;15 uC</v>
      </c>
      <c r="BB523" s="78" t="str">
        <f t="shared" si="201"/>
        <v>Turbidez &lt; 2,5 uT</v>
      </c>
      <c r="BC523" s="79" t="str">
        <f t="shared" si="202"/>
        <v>SM &gt; TOR &gt; BNN</v>
      </c>
      <c r="BD523" s="78" t="str">
        <f t="shared" si="203"/>
        <v>Tipo 1 (≤0,25) uT</v>
      </c>
      <c r="BE523" s="78" t="str">
        <f t="shared" si="190"/>
        <v>Tipo 1 (≤0,25) uT</v>
      </c>
      <c r="BF523" s="78" t="str">
        <f t="shared" si="204"/>
        <v>Tipo 1 (≤0,25) uT</v>
      </c>
      <c r="BG523" s="78" t="str">
        <f t="shared" si="191"/>
        <v>Tipo 1 (≤0,25) uT</v>
      </c>
      <c r="BH523" s="78" t="str">
        <f t="shared" si="205"/>
        <v>Tipo 1 (≤0,25) uT</v>
      </c>
    </row>
    <row r="524" spans="1:60" x14ac:dyDescent="0.2">
      <c r="A524" s="31">
        <v>46317</v>
      </c>
      <c r="B524" s="80">
        <v>0.89583333333333337</v>
      </c>
      <c r="C524" s="57">
        <v>610</v>
      </c>
      <c r="D524" s="57">
        <v>1274</v>
      </c>
      <c r="E524" s="57">
        <v>293</v>
      </c>
      <c r="F524" s="57">
        <v>2290</v>
      </c>
      <c r="G524" s="85" t="s">
        <v>34</v>
      </c>
      <c r="H524" s="63">
        <v>9.1999999999999993</v>
      </c>
      <c r="I524" s="57">
        <v>77</v>
      </c>
      <c r="J524" s="57">
        <v>90</v>
      </c>
      <c r="K524" s="57">
        <v>90</v>
      </c>
      <c r="L524" s="57">
        <v>90</v>
      </c>
      <c r="M524" s="57">
        <v>25.1</v>
      </c>
      <c r="N524" s="63">
        <v>6.4</v>
      </c>
      <c r="O524" s="36">
        <v>1.83</v>
      </c>
      <c r="P524" s="57">
        <v>12</v>
      </c>
      <c r="Q524" s="63">
        <v>7.9</v>
      </c>
      <c r="R524" s="36">
        <v>0.08</v>
      </c>
      <c r="S524" s="36">
        <v>22.36</v>
      </c>
      <c r="T524" s="36">
        <v>0.88</v>
      </c>
      <c r="U524" s="36">
        <v>0.7</v>
      </c>
      <c r="V524" s="42">
        <f t="shared" si="206"/>
        <v>1886.3875</v>
      </c>
      <c r="W524" s="42">
        <f t="shared" si="207"/>
        <v>1604.0384255999998</v>
      </c>
      <c r="X524" s="42">
        <f t="shared" si="208"/>
        <v>0.85032286611313934</v>
      </c>
      <c r="Y524" s="57">
        <v>3</v>
      </c>
      <c r="Z524" s="57">
        <v>4</v>
      </c>
      <c r="AA524" s="63">
        <v>5.6</v>
      </c>
      <c r="AB524" s="57">
        <v>24</v>
      </c>
      <c r="AC524" s="63">
        <v>6.2</v>
      </c>
      <c r="AD524" s="63">
        <v>7.3</v>
      </c>
      <c r="AE524" s="36">
        <v>0.11</v>
      </c>
      <c r="AF524" s="36">
        <v>0.18</v>
      </c>
      <c r="AG524" s="42">
        <f t="shared" si="194"/>
        <v>1886.3875</v>
      </c>
      <c r="AH524" s="42">
        <f t="shared" si="209"/>
        <v>1900.6500864</v>
      </c>
      <c r="AI524" s="42">
        <f t="shared" si="210"/>
        <v>1.0075607935273108</v>
      </c>
      <c r="AJ524" s="57">
        <v>3</v>
      </c>
      <c r="AK524" s="57">
        <v>4</v>
      </c>
      <c r="AL524" s="63">
        <v>6.4</v>
      </c>
      <c r="AM524" s="57">
        <v>24</v>
      </c>
      <c r="AN524" s="63">
        <v>6.2</v>
      </c>
      <c r="AO524" s="63">
        <v>7.6</v>
      </c>
      <c r="AP524" s="36">
        <v>0.21</v>
      </c>
      <c r="AQ524" s="36">
        <v>0.14000000000000001</v>
      </c>
      <c r="AR524" s="73">
        <f t="shared" si="195"/>
        <v>2177</v>
      </c>
      <c r="AS524" s="93">
        <f t="shared" si="196"/>
        <v>0.28020211299954068</v>
      </c>
      <c r="AT524" s="93">
        <f t="shared" si="197"/>
        <v>0.58520900321543412</v>
      </c>
      <c r="AU524" s="93">
        <f t="shared" si="198"/>
        <v>0.13458888378502526</v>
      </c>
      <c r="AV524" s="26">
        <f t="shared" si="192"/>
        <v>2.9705602309629325E-3</v>
      </c>
      <c r="AW524" s="26">
        <f t="shared" si="211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77" t="str">
        <f t="shared" si="199"/>
        <v>7,5 ≤ Alc. Bruta &lt; 10,0 mg/L</v>
      </c>
      <c r="BA524" s="77" t="str">
        <f t="shared" si="200"/>
        <v>10 ≤ Cor &lt;15 uC</v>
      </c>
      <c r="BB524" s="78" t="str">
        <f t="shared" si="201"/>
        <v>Turbidez &lt; 2,5 uT</v>
      </c>
      <c r="BC524" s="79" t="str">
        <f t="shared" si="202"/>
        <v>SM &gt; TOR &gt; BNN</v>
      </c>
      <c r="BD524" s="78" t="str">
        <f t="shared" si="203"/>
        <v>Tipo 1 (≤0,25) uT</v>
      </c>
      <c r="BE524" s="78" t="str">
        <f t="shared" si="190"/>
        <v>Tipo 1 (≤0,25) uT</v>
      </c>
      <c r="BF524" s="78" t="str">
        <f t="shared" si="204"/>
        <v>Tipo 1 (≤0,25) uT</v>
      </c>
      <c r="BG524" s="78" t="str">
        <f t="shared" si="191"/>
        <v>Tipo 1 (≤0,25) uT</v>
      </c>
      <c r="BH524" s="78" t="str">
        <f t="shared" si="205"/>
        <v>Tipo 1 (≤0,25) uT</v>
      </c>
    </row>
    <row r="525" spans="1:60" x14ac:dyDescent="0.2">
      <c r="A525" s="31">
        <v>46318</v>
      </c>
      <c r="B525" s="80">
        <v>6.25E-2</v>
      </c>
      <c r="C525" s="57">
        <v>601</v>
      </c>
      <c r="D525" s="57">
        <v>1283</v>
      </c>
      <c r="E525" s="57">
        <v>294</v>
      </c>
      <c r="F525" s="57">
        <v>2283</v>
      </c>
      <c r="G525" s="85" t="s">
        <v>34</v>
      </c>
      <c r="H525" s="63">
        <v>9.1999999999999993</v>
      </c>
      <c r="I525" s="57">
        <v>46</v>
      </c>
      <c r="J525" s="57">
        <v>90</v>
      </c>
      <c r="K525" s="57">
        <v>90</v>
      </c>
      <c r="L525" s="57">
        <v>90</v>
      </c>
      <c r="M525" s="57">
        <v>25.4</v>
      </c>
      <c r="N525" s="63">
        <v>6.4</v>
      </c>
      <c r="O525" s="36">
        <v>1.63</v>
      </c>
      <c r="P525" s="57">
        <v>15</v>
      </c>
      <c r="Q525" s="63">
        <v>7.4</v>
      </c>
      <c r="R525" s="36">
        <v>7.0000000000000007E-2</v>
      </c>
      <c r="S525" s="36">
        <v>22.36</v>
      </c>
      <c r="T525" s="36">
        <v>0.88</v>
      </c>
      <c r="U525" s="36">
        <v>0.7</v>
      </c>
      <c r="V525" s="42">
        <f t="shared" si="206"/>
        <v>1823.5462499999999</v>
      </c>
      <c r="W525" s="42">
        <f t="shared" si="207"/>
        <v>1566.9619679999996</v>
      </c>
      <c r="X525" s="42">
        <f t="shared" si="208"/>
        <v>0.85929378977911841</v>
      </c>
      <c r="Y525" s="57">
        <v>3</v>
      </c>
      <c r="Z525" s="57">
        <v>4</v>
      </c>
      <c r="AA525" s="63">
        <v>5.5</v>
      </c>
      <c r="AB525" s="57">
        <v>24</v>
      </c>
      <c r="AC525" s="63">
        <v>6.2</v>
      </c>
      <c r="AD525" s="63">
        <v>8.1999999999999993</v>
      </c>
      <c r="AE525" s="36">
        <v>0.16</v>
      </c>
      <c r="AF525" s="36">
        <v>0.2</v>
      </c>
      <c r="AG525" s="42">
        <f t="shared" si="194"/>
        <v>1823.5462499999999</v>
      </c>
      <c r="AH525" s="42">
        <f t="shared" si="209"/>
        <v>1979.8438399999998</v>
      </c>
      <c r="AI525" s="42">
        <f t="shared" si="210"/>
        <v>1.0857107901705263</v>
      </c>
      <c r="AJ525" s="57">
        <v>3</v>
      </c>
      <c r="AK525" s="57">
        <v>4</v>
      </c>
      <c r="AL525" s="63">
        <v>6.4</v>
      </c>
      <c r="AM525" s="57">
        <v>25</v>
      </c>
      <c r="AN525" s="63">
        <v>6.2</v>
      </c>
      <c r="AO525" s="63">
        <v>8.4</v>
      </c>
      <c r="AP525" s="36">
        <v>0.12</v>
      </c>
      <c r="AQ525" s="36">
        <v>0.13</v>
      </c>
      <c r="AR525" s="73">
        <f t="shared" si="195"/>
        <v>2178</v>
      </c>
      <c r="AS525" s="93">
        <f t="shared" si="196"/>
        <v>0.27594123048668501</v>
      </c>
      <c r="AT525" s="93">
        <f t="shared" si="197"/>
        <v>0.58907254361799821</v>
      </c>
      <c r="AU525" s="93">
        <f t="shared" si="198"/>
        <v>0.13498622589531681</v>
      </c>
      <c r="AV525" s="26">
        <f t="shared" si="192"/>
        <v>3.011103950167739E-3</v>
      </c>
      <c r="AW525" s="26">
        <f t="shared" si="211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77" t="str">
        <f t="shared" si="199"/>
        <v>5,0 ≤ Alc. Bruta &lt; 7,5 mg/L</v>
      </c>
      <c r="BA525" s="77" t="str">
        <f t="shared" si="200"/>
        <v>15 ≤ Cor &lt; 30 uC</v>
      </c>
      <c r="BB525" s="78" t="str">
        <f t="shared" si="201"/>
        <v>Turbidez &lt; 2,5 uT</v>
      </c>
      <c r="BC525" s="79" t="str">
        <f t="shared" si="202"/>
        <v>SM &gt; TOR &gt; BNN</v>
      </c>
      <c r="BD525" s="78" t="str">
        <f t="shared" si="203"/>
        <v>Tipo 1 (≤0,25) uT</v>
      </c>
      <c r="BE525" s="78" t="str">
        <f t="shared" si="190"/>
        <v>Tipo 1 (≤0,25) uT</v>
      </c>
      <c r="BF525" s="78" t="str">
        <f t="shared" si="204"/>
        <v>Tipo 1 (≤0,25) uT</v>
      </c>
      <c r="BG525" s="78" t="str">
        <f t="shared" si="191"/>
        <v>Tipo 1 (≤0,25) uT</v>
      </c>
      <c r="BH525" s="78" t="str">
        <f t="shared" si="205"/>
        <v>Tipo 1 (≤0,25) uT</v>
      </c>
    </row>
    <row r="526" spans="1:60" x14ac:dyDescent="0.2">
      <c r="A526" s="31">
        <v>46318</v>
      </c>
      <c r="B526" s="80">
        <v>0.14583333333333334</v>
      </c>
      <c r="C526" s="57">
        <v>605</v>
      </c>
      <c r="D526" s="57">
        <v>1227</v>
      </c>
      <c r="E526" s="57">
        <v>294</v>
      </c>
      <c r="F526" s="57">
        <v>2291</v>
      </c>
      <c r="G526" s="85" t="s">
        <v>34</v>
      </c>
      <c r="H526" s="63">
        <v>9.1999999999999993</v>
      </c>
      <c r="I526" s="57">
        <v>26.1</v>
      </c>
      <c r="J526" s="57">
        <v>90</v>
      </c>
      <c r="K526" s="57">
        <v>90</v>
      </c>
      <c r="L526" s="57">
        <v>90</v>
      </c>
      <c r="M526" s="57">
        <v>25.3</v>
      </c>
      <c r="N526" s="63">
        <v>6.4</v>
      </c>
      <c r="O526" s="36">
        <v>1.71</v>
      </c>
      <c r="P526" s="57">
        <v>12</v>
      </c>
      <c r="Q526" s="63">
        <v>8.3000000000000007</v>
      </c>
      <c r="R526" s="36">
        <v>7.0000000000000007E-2</v>
      </c>
      <c r="S526" s="36">
        <v>22.36</v>
      </c>
      <c r="T526" s="36">
        <v>0.88</v>
      </c>
      <c r="U526" s="36">
        <v>0.7</v>
      </c>
      <c r="V526" s="42">
        <f t="shared" si="206"/>
        <v>1852.8462499999998</v>
      </c>
      <c r="W526" s="42">
        <f t="shared" si="207"/>
        <v>1566.9619679999996</v>
      </c>
      <c r="X526" s="42">
        <f t="shared" si="208"/>
        <v>0.84570534009500231</v>
      </c>
      <c r="Y526" s="57">
        <v>3</v>
      </c>
      <c r="Z526" s="57">
        <v>4</v>
      </c>
      <c r="AA526" s="63">
        <v>5.5</v>
      </c>
      <c r="AB526" s="57">
        <v>24</v>
      </c>
      <c r="AC526" s="63">
        <v>6.2</v>
      </c>
      <c r="AD526" s="63">
        <v>8</v>
      </c>
      <c r="AE526" s="36">
        <v>0.14000000000000001</v>
      </c>
      <c r="AF526" s="36">
        <v>0.19</v>
      </c>
      <c r="AG526" s="42">
        <f t="shared" si="194"/>
        <v>1852.8462499999998</v>
      </c>
      <c r="AH526" s="42">
        <f t="shared" si="209"/>
        <v>1979.8438399999998</v>
      </c>
      <c r="AI526" s="42">
        <f t="shared" si="210"/>
        <v>1.0685418933168362</v>
      </c>
      <c r="AJ526" s="57">
        <v>3</v>
      </c>
      <c r="AK526" s="57">
        <v>4</v>
      </c>
      <c r="AL526" s="63">
        <v>6.4</v>
      </c>
      <c r="AM526" s="57">
        <v>25</v>
      </c>
      <c r="AN526" s="63">
        <v>6.2</v>
      </c>
      <c r="AO526" s="63">
        <v>7.9</v>
      </c>
      <c r="AP526" s="36">
        <v>0.11</v>
      </c>
      <c r="AQ526" s="36">
        <v>0.43</v>
      </c>
      <c r="AR526" s="73">
        <f t="shared" si="195"/>
        <v>2126</v>
      </c>
      <c r="AS526" s="93">
        <f t="shared" si="196"/>
        <v>0.28457196613358421</v>
      </c>
      <c r="AT526" s="93">
        <f t="shared" si="197"/>
        <v>0.57714016933207901</v>
      </c>
      <c r="AU526" s="93">
        <f t="shared" si="198"/>
        <v>0.13828786453433678</v>
      </c>
      <c r="AV526" s="26">
        <f t="shared" si="192"/>
        <v>2.9531395551113133E-3</v>
      </c>
      <c r="AW526" s="26">
        <f t="shared" si="211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77" t="str">
        <f t="shared" si="199"/>
        <v>7,5 ≤ Alc. Bruta &lt; 10,0 mg/L</v>
      </c>
      <c r="BA526" s="77" t="str">
        <f t="shared" si="200"/>
        <v>10 ≤ Cor &lt;15 uC</v>
      </c>
      <c r="BB526" s="78" t="str">
        <f t="shared" si="201"/>
        <v>Turbidez &lt; 2,5 uT</v>
      </c>
      <c r="BC526" s="79" t="str">
        <f t="shared" si="202"/>
        <v>SM &gt; TOR &gt; BNN</v>
      </c>
      <c r="BD526" s="78" t="str">
        <f t="shared" si="203"/>
        <v>Tipo 1 (≤0,25) uT</v>
      </c>
      <c r="BE526" s="78" t="str">
        <f t="shared" si="190"/>
        <v>Tipo 1 (≤0,25) uT</v>
      </c>
      <c r="BF526" s="78" t="str">
        <f t="shared" si="204"/>
        <v>Tipo 1 (≤0,25) uT</v>
      </c>
      <c r="BG526" s="78" t="str">
        <f t="shared" si="191"/>
        <v>Tipo 2 (0,25-0,50) uT</v>
      </c>
      <c r="BH526" s="78" t="str">
        <f t="shared" si="205"/>
        <v>Tipo 1 (≤0,25) uT</v>
      </c>
    </row>
    <row r="527" spans="1:60" ht="15.75" thickBot="1" x14ac:dyDescent="0.25">
      <c r="A527" s="32">
        <v>46318</v>
      </c>
      <c r="B527" s="81">
        <v>0.22916666666666666</v>
      </c>
      <c r="C527" s="58">
        <v>600</v>
      </c>
      <c r="D527" s="58">
        <v>1271</v>
      </c>
      <c r="E527" s="58">
        <v>297</v>
      </c>
      <c r="F527" s="58">
        <v>2077</v>
      </c>
      <c r="G527" s="86" t="s">
        <v>34</v>
      </c>
      <c r="H527" s="64">
        <v>9.1999999999999993</v>
      </c>
      <c r="I527" s="58">
        <v>7.06</v>
      </c>
      <c r="J527" s="58">
        <v>90</v>
      </c>
      <c r="K527" s="58">
        <v>90</v>
      </c>
      <c r="L527" s="58">
        <v>90</v>
      </c>
      <c r="M527" s="58">
        <v>25</v>
      </c>
      <c r="N527" s="64">
        <v>6.4</v>
      </c>
      <c r="O527" s="37">
        <v>1.79</v>
      </c>
      <c r="P527" s="58">
        <v>12</v>
      </c>
      <c r="Q527" s="64">
        <v>7.9</v>
      </c>
      <c r="R527" s="37">
        <v>7.0000000000000007E-2</v>
      </c>
      <c r="S527" s="36">
        <v>22.36</v>
      </c>
      <c r="T527" s="36">
        <v>0.88</v>
      </c>
      <c r="U527" s="36">
        <v>0.7</v>
      </c>
      <c r="V527" s="42">
        <f t="shared" si="206"/>
        <v>1700.54375</v>
      </c>
      <c r="W527" s="42">
        <f t="shared" si="207"/>
        <v>1566.9619679999996</v>
      </c>
      <c r="X527" s="42">
        <f t="shared" si="208"/>
        <v>0.92144760639060275</v>
      </c>
      <c r="Y527" s="58">
        <v>3</v>
      </c>
      <c r="Z527" s="58">
        <v>4</v>
      </c>
      <c r="AA527" s="64">
        <v>5.5</v>
      </c>
      <c r="AB527" s="58">
        <v>24</v>
      </c>
      <c r="AC527" s="64">
        <v>6.2</v>
      </c>
      <c r="AD527" s="64">
        <v>7.9</v>
      </c>
      <c r="AE527" s="37">
        <v>0.13</v>
      </c>
      <c r="AF527" s="37">
        <v>0.18</v>
      </c>
      <c r="AG527" s="42">
        <f t="shared" si="194"/>
        <v>1700.54375</v>
      </c>
      <c r="AH527" s="42">
        <f t="shared" si="209"/>
        <v>1979.8438399999998</v>
      </c>
      <c r="AI527" s="42">
        <f t="shared" si="210"/>
        <v>1.1642416374174436</v>
      </c>
      <c r="AJ527" s="58">
        <v>3</v>
      </c>
      <c r="AK527" s="58">
        <v>4</v>
      </c>
      <c r="AL527" s="64">
        <v>6.4</v>
      </c>
      <c r="AM527" s="58">
        <v>25</v>
      </c>
      <c r="AN527" s="64">
        <v>6.1</v>
      </c>
      <c r="AO527" s="64">
        <v>7.6</v>
      </c>
      <c r="AP527" s="37">
        <v>0.13</v>
      </c>
      <c r="AQ527" s="37">
        <v>0.13</v>
      </c>
      <c r="AR527" s="73">
        <f t="shared" si="195"/>
        <v>2168</v>
      </c>
      <c r="AS527" s="93">
        <f t="shared" si="196"/>
        <v>0.2767527675276753</v>
      </c>
      <c r="AT527" s="93">
        <f t="shared" si="197"/>
        <v>0.58625461254612543</v>
      </c>
      <c r="AU527" s="93">
        <f t="shared" si="198"/>
        <v>0.13699261992619927</v>
      </c>
      <c r="AV527" s="26">
        <f t="shared" si="192"/>
        <v>3.5491482191260574E-3</v>
      </c>
      <c r="AW527" s="26">
        <f t="shared" si="211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77" t="str">
        <f t="shared" si="199"/>
        <v>7,5 ≤ Alc. Bruta &lt; 10,0 mg/L</v>
      </c>
      <c r="BA527" s="77" t="str">
        <f t="shared" si="200"/>
        <v>10 ≤ Cor &lt;15 uC</v>
      </c>
      <c r="BB527" s="78" t="str">
        <f t="shared" si="201"/>
        <v>Turbidez &lt; 2,5 uT</v>
      </c>
      <c r="BC527" s="79" t="str">
        <f t="shared" si="202"/>
        <v>SM &gt; TOR &gt; BNN</v>
      </c>
      <c r="BD527" s="78" t="str">
        <f t="shared" si="203"/>
        <v>Tipo 1 (≤0,25) uT</v>
      </c>
      <c r="BE527" s="78" t="str">
        <f t="shared" si="190"/>
        <v>Tipo 1 (≤0,25) uT</v>
      </c>
      <c r="BF527" s="78" t="str">
        <f t="shared" si="204"/>
        <v>Tipo 1 (≤0,25) uT</v>
      </c>
      <c r="BG527" s="78" t="str">
        <f t="shared" si="191"/>
        <v>Tipo 1 (≤0,25) uT</v>
      </c>
      <c r="BH527" s="78" t="str">
        <f t="shared" si="205"/>
        <v>Tipo 1 (≤0,25) uT</v>
      </c>
    </row>
    <row r="528" spans="1:60" x14ac:dyDescent="0.2">
      <c r="A528" s="30">
        <v>46317</v>
      </c>
      <c r="B528" s="82">
        <v>0.3125</v>
      </c>
      <c r="C528" s="59">
        <v>591</v>
      </c>
      <c r="D528" s="59">
        <v>1823</v>
      </c>
      <c r="E528" s="59">
        <v>0</v>
      </c>
      <c r="F528" s="59">
        <v>2435</v>
      </c>
      <c r="G528" s="87" t="s">
        <v>34</v>
      </c>
      <c r="H528" s="65">
        <v>9.1999999999999993</v>
      </c>
      <c r="I528" s="59">
        <v>-95</v>
      </c>
      <c r="J528" s="59">
        <v>90</v>
      </c>
      <c r="K528" s="59">
        <v>90</v>
      </c>
      <c r="L528" s="59">
        <v>90</v>
      </c>
      <c r="M528" s="59">
        <v>26.1</v>
      </c>
      <c r="N528" s="65">
        <v>6.6</v>
      </c>
      <c r="O528" s="38">
        <v>2.46</v>
      </c>
      <c r="P528" s="59">
        <v>12</v>
      </c>
      <c r="Q528" s="65">
        <v>9.4</v>
      </c>
      <c r="R528" s="38">
        <v>0.31</v>
      </c>
      <c r="S528" s="36">
        <v>22.36</v>
      </c>
      <c r="T528" s="36">
        <v>0.88</v>
      </c>
      <c r="U528" s="36">
        <v>0.7</v>
      </c>
      <c r="V528" s="42">
        <f t="shared" si="206"/>
        <v>2197.5875000000001</v>
      </c>
      <c r="W528" s="42">
        <f t="shared" si="207"/>
        <v>1678.1913407999996</v>
      </c>
      <c r="X528" s="42">
        <f t="shared" si="208"/>
        <v>0.76365165928546619</v>
      </c>
      <c r="Y528" s="57">
        <v>3</v>
      </c>
      <c r="Z528" s="57">
        <v>4</v>
      </c>
      <c r="AA528" s="63">
        <v>5.8</v>
      </c>
      <c r="AB528" s="91">
        <v>24</v>
      </c>
      <c r="AC528" s="65">
        <v>6.6</v>
      </c>
      <c r="AD528" s="65">
        <v>8.1999999999999993</v>
      </c>
      <c r="AE528" s="38">
        <v>0.13</v>
      </c>
      <c r="AF528" s="38">
        <v>0.23</v>
      </c>
      <c r="AG528" s="42">
        <f t="shared" si="194"/>
        <v>2197.5875000000001</v>
      </c>
      <c r="AH528" s="42">
        <f t="shared" si="209"/>
        <v>1979.8438399999998</v>
      </c>
      <c r="AI528" s="42">
        <f t="shared" si="210"/>
        <v>0.90091695552509277</v>
      </c>
      <c r="AJ528" s="57">
        <v>6.4</v>
      </c>
      <c r="AK528" s="59">
        <v>4</v>
      </c>
      <c r="AL528" s="63">
        <v>6.4</v>
      </c>
      <c r="AM528" s="57">
        <v>25</v>
      </c>
      <c r="AN528" s="65">
        <v>6.5</v>
      </c>
      <c r="AO528" s="65">
        <v>8.1</v>
      </c>
      <c r="AP528" s="42">
        <v>0.18</v>
      </c>
      <c r="AQ528" s="38">
        <v>0.32</v>
      </c>
      <c r="AR528" s="73">
        <f t="shared" si="195"/>
        <v>2414</v>
      </c>
      <c r="AS528" s="93">
        <f t="shared" si="196"/>
        <v>0.2448218724109362</v>
      </c>
      <c r="AT528" s="93">
        <f t="shared" si="197"/>
        <v>0.75517812758906377</v>
      </c>
      <c r="AU528" s="93">
        <f t="shared" si="198"/>
        <v>0</v>
      </c>
      <c r="AV528" s="26">
        <f t="shared" si="192"/>
        <v>2.5089171557633387E-3</v>
      </c>
      <c r="AW528" s="26">
        <f t="shared" si="211"/>
        <v>4.8098235818588115E-3</v>
      </c>
      <c r="AX528" s="26">
        <f t="shared" si="188"/>
        <v>0.86991869918699183</v>
      </c>
      <c r="AY528" s="24">
        <f t="shared" si="189"/>
        <v>0.9065040650406504</v>
      </c>
      <c r="AZ528" s="77" t="str">
        <f t="shared" si="199"/>
        <v>7,5 ≤ Alc. Bruta &lt; 10,0 mg/L</v>
      </c>
      <c r="BA528" s="77" t="str">
        <f t="shared" si="200"/>
        <v>10 ≤ Cor &lt;15 uC</v>
      </c>
      <c r="BB528" s="78" t="str">
        <f t="shared" si="201"/>
        <v>Turbidez &lt; 2,5 uT</v>
      </c>
      <c r="BC528" s="79" t="str">
        <f t="shared" si="202"/>
        <v>SM &gt; TOR &gt; BNN</v>
      </c>
      <c r="BD528" s="78" t="str">
        <f t="shared" si="203"/>
        <v>Tipo 1 (≤0,25) uT</v>
      </c>
      <c r="BE528" s="78" t="str">
        <f t="shared" si="190"/>
        <v>Tipo 1 (≤0,25) uT</v>
      </c>
      <c r="BF528" s="78" t="str">
        <f t="shared" si="204"/>
        <v>Tipo 1 (≤0,25) uT</v>
      </c>
      <c r="BG528" s="78" t="str">
        <f t="shared" si="191"/>
        <v>Tipo 2 (0,25-0,50) uT</v>
      </c>
      <c r="BH528" s="78" t="str">
        <f t="shared" si="205"/>
        <v>Tipo 2 (0,25-0,50) uT</v>
      </c>
    </row>
    <row r="529" spans="1:60" x14ac:dyDescent="0.2">
      <c r="A529" s="31">
        <v>46317</v>
      </c>
      <c r="B529" s="80">
        <v>0.64583333333333337</v>
      </c>
      <c r="C529" s="57">
        <v>603</v>
      </c>
      <c r="D529" s="57">
        <v>1810</v>
      </c>
      <c r="E529" s="57">
        <v>0</v>
      </c>
      <c r="F529" s="57">
        <v>2390</v>
      </c>
      <c r="G529" s="85" t="s">
        <v>34</v>
      </c>
      <c r="H529" s="63">
        <v>9.1999999999999993</v>
      </c>
      <c r="I529" s="57">
        <v>34</v>
      </c>
      <c r="J529" s="57">
        <v>90</v>
      </c>
      <c r="K529" s="57">
        <v>90</v>
      </c>
      <c r="L529" s="57">
        <v>90</v>
      </c>
      <c r="M529" s="57">
        <v>27</v>
      </c>
      <c r="N529" s="63">
        <v>6.2</v>
      </c>
      <c r="O529" s="36">
        <v>1.67</v>
      </c>
      <c r="P529" s="57">
        <v>11</v>
      </c>
      <c r="Q529" s="63">
        <v>8</v>
      </c>
      <c r="R529" s="36">
        <v>0.11</v>
      </c>
      <c r="S529" s="36">
        <v>22.36</v>
      </c>
      <c r="T529" s="36">
        <v>0.88</v>
      </c>
      <c r="U529" s="36">
        <v>0.7</v>
      </c>
      <c r="V529" s="42">
        <f t="shared" si="206"/>
        <v>1920.9624999999999</v>
      </c>
      <c r="W529" s="42">
        <f t="shared" si="207"/>
        <v>1641.1148831999999</v>
      </c>
      <c r="X529" s="42">
        <f t="shared" si="208"/>
        <v>0.85431906307384975</v>
      </c>
      <c r="Y529" s="57">
        <v>3</v>
      </c>
      <c r="Z529" s="57">
        <v>4</v>
      </c>
      <c r="AA529" s="63">
        <v>5.7</v>
      </c>
      <c r="AB529" s="57">
        <v>24</v>
      </c>
      <c r="AC529" s="63">
        <v>5.9</v>
      </c>
      <c r="AD529" s="63">
        <v>4</v>
      </c>
      <c r="AE529" s="36">
        <v>0.16</v>
      </c>
      <c r="AF529" s="36">
        <v>0.21</v>
      </c>
      <c r="AG529" s="42">
        <f t="shared" si="194"/>
        <v>1920.9624999999999</v>
      </c>
      <c r="AH529" s="42">
        <f t="shared" si="209"/>
        <v>1900.6500864</v>
      </c>
      <c r="AI529" s="42">
        <f t="shared" si="210"/>
        <v>0.9894259187256389</v>
      </c>
      <c r="AJ529" s="57">
        <v>6.4</v>
      </c>
      <c r="AK529" s="57">
        <v>4</v>
      </c>
      <c r="AL529" s="63">
        <v>6.4</v>
      </c>
      <c r="AM529" s="57">
        <v>24</v>
      </c>
      <c r="AN529" s="63">
        <v>6</v>
      </c>
      <c r="AO529" s="63">
        <v>3.7</v>
      </c>
      <c r="AP529" s="36">
        <v>0.15</v>
      </c>
      <c r="AQ529" s="36">
        <v>0.1</v>
      </c>
      <c r="AR529" s="73">
        <f t="shared" si="195"/>
        <v>2413</v>
      </c>
      <c r="AS529" s="93">
        <f t="shared" si="196"/>
        <v>0.24989639452963117</v>
      </c>
      <c r="AT529" s="93">
        <f t="shared" si="197"/>
        <v>0.75010360547036881</v>
      </c>
      <c r="AU529" s="93">
        <f t="shared" si="198"/>
        <v>0</v>
      </c>
      <c r="AV529" s="26">
        <f t="shared" si="192"/>
        <v>2.8596453994103755E-3</v>
      </c>
      <c r="AW529" s="26">
        <f t="shared" si="211"/>
        <v>4.9678288806308223E-3</v>
      </c>
      <c r="AX529" s="26">
        <f t="shared" si="188"/>
        <v>0.94011976047904189</v>
      </c>
      <c r="AY529" s="24">
        <f t="shared" si="189"/>
        <v>0.87425149700598803</v>
      </c>
      <c r="AZ529" s="77" t="str">
        <f t="shared" si="199"/>
        <v>7,5 ≤ Alc. Bruta &lt; 10,0 mg/L</v>
      </c>
      <c r="BA529" s="77" t="str">
        <f t="shared" si="200"/>
        <v>10 ≤ Cor &lt;15 uC</v>
      </c>
      <c r="BB529" s="78" t="str">
        <f t="shared" si="201"/>
        <v>Turbidez &lt; 2,5 uT</v>
      </c>
      <c r="BC529" s="79" t="str">
        <f t="shared" si="202"/>
        <v>SM &gt; TOR &gt; BNN</v>
      </c>
      <c r="BD529" s="78" t="str">
        <f t="shared" si="203"/>
        <v>Tipo 1 (≤0,25) uT</v>
      </c>
      <c r="BE529" s="78" t="str">
        <f t="shared" si="190"/>
        <v>Tipo 1 (≤0,25) uT</v>
      </c>
      <c r="BF529" s="78" t="str">
        <f t="shared" si="204"/>
        <v>Tipo 1 (≤0,25) uT</v>
      </c>
      <c r="BG529" s="78" t="str">
        <f t="shared" si="191"/>
        <v>Tipo 1 (≤0,25) uT</v>
      </c>
      <c r="BH529" s="78" t="str">
        <f t="shared" si="205"/>
        <v>Tipo 1 (≤0,25) uT</v>
      </c>
    </row>
    <row r="530" spans="1:60" x14ac:dyDescent="0.2">
      <c r="A530" s="31">
        <v>46317</v>
      </c>
      <c r="B530" s="80">
        <v>0.72916666666666663</v>
      </c>
      <c r="C530" s="57">
        <v>588</v>
      </c>
      <c r="D530" s="57">
        <v>1833</v>
      </c>
      <c r="E530" s="57">
        <v>0</v>
      </c>
      <c r="F530" s="57">
        <v>2440</v>
      </c>
      <c r="G530" s="85" t="s">
        <v>34</v>
      </c>
      <c r="H530" s="63">
        <v>9.1999999999999993</v>
      </c>
      <c r="I530" s="57">
        <v>117</v>
      </c>
      <c r="J530" s="57">
        <v>90</v>
      </c>
      <c r="K530" s="57">
        <v>90</v>
      </c>
      <c r="L530" s="57">
        <v>90</v>
      </c>
      <c r="M530" s="57">
        <v>26.1</v>
      </c>
      <c r="N530" s="63">
        <v>6.1</v>
      </c>
      <c r="O530" s="36">
        <v>1.75</v>
      </c>
      <c r="P530" s="57">
        <v>11</v>
      </c>
      <c r="Q530" s="63">
        <v>6.3</v>
      </c>
      <c r="R530" s="36">
        <v>0.09</v>
      </c>
      <c r="S530" s="36">
        <v>22.36</v>
      </c>
      <c r="T530" s="36">
        <v>0.88</v>
      </c>
      <c r="U530" s="36">
        <v>0.7</v>
      </c>
      <c r="V530" s="42">
        <f t="shared" si="206"/>
        <v>1985.55</v>
      </c>
      <c r="W530" s="42">
        <f t="shared" si="207"/>
        <v>1604.0384255999998</v>
      </c>
      <c r="X530" s="42">
        <f t="shared" si="208"/>
        <v>0.80785597219913863</v>
      </c>
      <c r="Y530" s="57">
        <v>3</v>
      </c>
      <c r="Z530" s="57">
        <v>4</v>
      </c>
      <c r="AA530" s="63">
        <v>5.6</v>
      </c>
      <c r="AB530" s="57">
        <v>24</v>
      </c>
      <c r="AC530" s="63">
        <v>6</v>
      </c>
      <c r="AD530" s="63">
        <v>3.7</v>
      </c>
      <c r="AE530" s="36">
        <v>0.1</v>
      </c>
      <c r="AF530" s="36">
        <v>0.16</v>
      </c>
      <c r="AG530" s="42">
        <f t="shared" si="194"/>
        <v>1985.55</v>
      </c>
      <c r="AH530" s="42">
        <f t="shared" si="209"/>
        <v>1900.6500864</v>
      </c>
      <c r="AI530" s="42">
        <f t="shared" si="210"/>
        <v>0.95724111022134928</v>
      </c>
      <c r="AJ530" s="57">
        <v>6.4</v>
      </c>
      <c r="AK530" s="57">
        <v>4</v>
      </c>
      <c r="AL530" s="63">
        <v>6.4</v>
      </c>
      <c r="AM530" s="57">
        <v>24</v>
      </c>
      <c r="AN530" s="63">
        <v>5.9</v>
      </c>
      <c r="AO530" s="63">
        <v>3.2</v>
      </c>
      <c r="AP530" s="36">
        <v>0.18</v>
      </c>
      <c r="AQ530" s="36">
        <v>0.11</v>
      </c>
      <c r="AR530" s="73">
        <f t="shared" si="195"/>
        <v>2421</v>
      </c>
      <c r="AS530" s="93">
        <f t="shared" si="196"/>
        <v>0.24287484510532836</v>
      </c>
      <c r="AT530" s="93">
        <f t="shared" si="197"/>
        <v>0.75712515489467158</v>
      </c>
      <c r="AU530" s="93">
        <f t="shared" si="198"/>
        <v>0</v>
      </c>
      <c r="AV530" s="26">
        <f t="shared" si="192"/>
        <v>2.6487081055709461E-3</v>
      </c>
      <c r="AW530" s="26">
        <f t="shared" si="211"/>
        <v>4.6292807789393127E-3</v>
      </c>
      <c r="AX530" s="26">
        <f t="shared" si="188"/>
        <v>0.93714285714285717</v>
      </c>
      <c r="AY530" s="24">
        <f t="shared" si="189"/>
        <v>0.90857142857142859</v>
      </c>
      <c r="AZ530" s="77" t="str">
        <f t="shared" si="199"/>
        <v>5,0 ≤ Alc. Bruta &lt; 7,5 mg/L</v>
      </c>
      <c r="BA530" s="77" t="str">
        <f t="shared" si="200"/>
        <v>10 ≤ Cor &lt;15 uC</v>
      </c>
      <c r="BB530" s="78" t="str">
        <f t="shared" si="201"/>
        <v>Turbidez &lt; 2,5 uT</v>
      </c>
      <c r="BC530" s="79" t="str">
        <f t="shared" si="202"/>
        <v>SM &gt; TOR &gt; BNN</v>
      </c>
      <c r="BD530" s="78" t="str">
        <f t="shared" si="203"/>
        <v>Tipo 1 (≤0,25) uT</v>
      </c>
      <c r="BE530" s="78" t="str">
        <f t="shared" si="190"/>
        <v>Tipo 1 (≤0,25) uT</v>
      </c>
      <c r="BF530" s="78" t="str">
        <f t="shared" si="204"/>
        <v>Tipo 1 (≤0,25) uT</v>
      </c>
      <c r="BG530" s="78" t="str">
        <f t="shared" si="191"/>
        <v>Tipo 1 (≤0,25) uT</v>
      </c>
      <c r="BH530" s="78" t="str">
        <f t="shared" si="205"/>
        <v>Tipo 1 (≤0,25) uT</v>
      </c>
    </row>
    <row r="531" spans="1:60" x14ac:dyDescent="0.2">
      <c r="A531" s="31">
        <v>46317</v>
      </c>
      <c r="B531" s="80">
        <v>0.8125</v>
      </c>
      <c r="C531" s="57">
        <v>600</v>
      </c>
      <c r="D531" s="57">
        <v>1811</v>
      </c>
      <c r="E531" s="57">
        <v>294</v>
      </c>
      <c r="F531" s="57">
        <v>2367</v>
      </c>
      <c r="G531" s="85" t="s">
        <v>34</v>
      </c>
      <c r="H531" s="63">
        <v>9.1999999999999993</v>
      </c>
      <c r="I531" s="57">
        <v>81</v>
      </c>
      <c r="J531" s="57">
        <v>90</v>
      </c>
      <c r="K531" s="57">
        <v>90</v>
      </c>
      <c r="L531" s="57">
        <v>90</v>
      </c>
      <c r="M531" s="57">
        <v>26.4</v>
      </c>
      <c r="N531" s="63">
        <v>6.2</v>
      </c>
      <c r="O531" s="36">
        <v>1.66</v>
      </c>
      <c r="P531" s="57">
        <v>10</v>
      </c>
      <c r="Q531" s="63">
        <v>8.1</v>
      </c>
      <c r="R531" s="36">
        <v>0.09</v>
      </c>
      <c r="S531" s="36">
        <v>22.36</v>
      </c>
      <c r="T531" s="36">
        <v>0.88</v>
      </c>
      <c r="U531" s="36">
        <v>0.7</v>
      </c>
      <c r="V531" s="42">
        <f t="shared" si="206"/>
        <v>1899.5174999999999</v>
      </c>
      <c r="W531" s="42">
        <f t="shared" si="207"/>
        <v>1604.0384255999998</v>
      </c>
      <c r="X531" s="42">
        <f t="shared" si="208"/>
        <v>0.84444519495082293</v>
      </c>
      <c r="Y531" s="57">
        <v>3</v>
      </c>
      <c r="Z531" s="57">
        <v>4</v>
      </c>
      <c r="AA531" s="63">
        <v>5.6</v>
      </c>
      <c r="AB531" s="57">
        <v>24</v>
      </c>
      <c r="AC531" s="63">
        <v>6.1</v>
      </c>
      <c r="AD531" s="63">
        <v>7.5</v>
      </c>
      <c r="AE531" s="36">
        <v>0.09</v>
      </c>
      <c r="AF531" s="36">
        <v>0.12</v>
      </c>
      <c r="AG531" s="42">
        <f t="shared" si="194"/>
        <v>1899.5174999999999</v>
      </c>
      <c r="AH531" s="42">
        <f t="shared" si="209"/>
        <v>1900.6500864</v>
      </c>
      <c r="AI531" s="42">
        <f t="shared" si="210"/>
        <v>1.0005962495212599</v>
      </c>
      <c r="AJ531" s="57">
        <v>6.4</v>
      </c>
      <c r="AK531" s="57">
        <v>4</v>
      </c>
      <c r="AL531" s="63">
        <v>6.4</v>
      </c>
      <c r="AM531" s="57">
        <v>24</v>
      </c>
      <c r="AN531" s="63">
        <v>6.1</v>
      </c>
      <c r="AO531" s="63">
        <v>7.8</v>
      </c>
      <c r="AP531" s="36">
        <v>0.09</v>
      </c>
      <c r="AQ531" s="36">
        <v>0.16</v>
      </c>
      <c r="AR531" s="73">
        <f t="shared" si="195"/>
        <v>2705</v>
      </c>
      <c r="AS531" s="93">
        <f t="shared" si="196"/>
        <v>0.22181146025878004</v>
      </c>
      <c r="AT531" s="93">
        <f t="shared" si="197"/>
        <v>0.66950092421441776</v>
      </c>
      <c r="AU531" s="93">
        <f t="shared" si="198"/>
        <v>0.10868761552680221</v>
      </c>
      <c r="AV531" s="26">
        <f t="shared" si="192"/>
        <v>2.8540606504463811E-3</v>
      </c>
      <c r="AW531" s="26">
        <f t="shared" si="211"/>
        <v>5.1572768247399115E-3</v>
      </c>
      <c r="AX531" s="26">
        <f t="shared" si="188"/>
        <v>0.90361445783132532</v>
      </c>
      <c r="AY531" s="24">
        <f t="shared" si="189"/>
        <v>0.92771084337349397</v>
      </c>
      <c r="AZ531" s="77" t="str">
        <f t="shared" si="199"/>
        <v>7,5 ≤ Alc. Bruta &lt; 10,0 mg/L</v>
      </c>
      <c r="BA531" s="77" t="str">
        <f t="shared" si="200"/>
        <v>10 ≤ Cor &lt;15 uC</v>
      </c>
      <c r="BB531" s="78" t="str">
        <f t="shared" si="201"/>
        <v>Turbidez &lt; 2,5 uT</v>
      </c>
      <c r="BC531" s="79" t="str">
        <f t="shared" si="202"/>
        <v>SM &gt; TOR &gt; BNN</v>
      </c>
      <c r="BD531" s="78" t="str">
        <f t="shared" si="203"/>
        <v>Tipo 1 (≤0,25) uT</v>
      </c>
      <c r="BE531" s="78" t="str">
        <f t="shared" si="190"/>
        <v>Tipo 1 (≤0,25) uT</v>
      </c>
      <c r="BF531" s="78" t="str">
        <f t="shared" si="204"/>
        <v>Tipo 1 (≤0,25) uT</v>
      </c>
      <c r="BG531" s="78" t="str">
        <f t="shared" si="191"/>
        <v>Tipo 1 (≤0,25) uT</v>
      </c>
      <c r="BH531" s="78" t="str">
        <f t="shared" si="205"/>
        <v>Tipo 1 (≤0,25) uT</v>
      </c>
    </row>
    <row r="532" spans="1:60" x14ac:dyDescent="0.2">
      <c r="A532" s="31">
        <v>46317</v>
      </c>
      <c r="B532" s="80">
        <v>0.89583333333333337</v>
      </c>
      <c r="C532" s="57">
        <v>610</v>
      </c>
      <c r="D532" s="57">
        <v>1274</v>
      </c>
      <c r="E532" s="57">
        <v>293</v>
      </c>
      <c r="F532" s="57">
        <v>2290</v>
      </c>
      <c r="G532" s="85" t="s">
        <v>34</v>
      </c>
      <c r="H532" s="63">
        <v>9.1999999999999993</v>
      </c>
      <c r="I532" s="57">
        <v>77</v>
      </c>
      <c r="J532" s="57">
        <v>90</v>
      </c>
      <c r="K532" s="57">
        <v>90</v>
      </c>
      <c r="L532" s="57">
        <v>90</v>
      </c>
      <c r="M532" s="57">
        <v>25.1</v>
      </c>
      <c r="N532" s="63">
        <v>6.4</v>
      </c>
      <c r="O532" s="36">
        <v>1.83</v>
      </c>
      <c r="P532" s="57">
        <v>12</v>
      </c>
      <c r="Q532" s="63">
        <v>7.9</v>
      </c>
      <c r="R532" s="36">
        <v>0.08</v>
      </c>
      <c r="S532" s="36">
        <v>22.36</v>
      </c>
      <c r="T532" s="36">
        <v>0.88</v>
      </c>
      <c r="U532" s="36">
        <v>0.7</v>
      </c>
      <c r="V532" s="42">
        <f t="shared" si="206"/>
        <v>1886.3875</v>
      </c>
      <c r="W532" s="42">
        <f t="shared" si="207"/>
        <v>1604.0384255999998</v>
      </c>
      <c r="X532" s="42">
        <f t="shared" si="208"/>
        <v>0.85032286611313934</v>
      </c>
      <c r="Y532" s="57">
        <v>3</v>
      </c>
      <c r="Z532" s="57">
        <v>4</v>
      </c>
      <c r="AA532" s="63">
        <v>5.6</v>
      </c>
      <c r="AB532" s="57">
        <v>24</v>
      </c>
      <c r="AC532" s="63">
        <v>6.2</v>
      </c>
      <c r="AD532" s="63">
        <v>7.3</v>
      </c>
      <c r="AE532" s="36">
        <v>0.11</v>
      </c>
      <c r="AF532" s="36">
        <v>0.18</v>
      </c>
      <c r="AG532" s="42">
        <f t="shared" si="194"/>
        <v>1886.3875</v>
      </c>
      <c r="AH532" s="42">
        <f t="shared" si="209"/>
        <v>1900.6500864</v>
      </c>
      <c r="AI532" s="42">
        <f t="shared" si="210"/>
        <v>1.0075607935273108</v>
      </c>
      <c r="AJ532" s="57">
        <v>6.4</v>
      </c>
      <c r="AK532" s="57">
        <v>4</v>
      </c>
      <c r="AL532" s="63">
        <v>6.4</v>
      </c>
      <c r="AM532" s="57">
        <v>24</v>
      </c>
      <c r="AN532" s="63">
        <v>6.2</v>
      </c>
      <c r="AO532" s="63">
        <v>7.6</v>
      </c>
      <c r="AP532" s="36">
        <v>0.21</v>
      </c>
      <c r="AQ532" s="36">
        <v>0.14000000000000001</v>
      </c>
      <c r="AR532" s="73">
        <f t="shared" si="195"/>
        <v>2177</v>
      </c>
      <c r="AS532" s="93">
        <f t="shared" si="196"/>
        <v>0.28020211299954068</v>
      </c>
      <c r="AT532" s="93">
        <f t="shared" si="197"/>
        <v>0.58520900321543412</v>
      </c>
      <c r="AU532" s="93">
        <f t="shared" si="198"/>
        <v>0.13458888378502526</v>
      </c>
      <c r="AV532" s="26">
        <f t="shared" si="192"/>
        <v>2.9705602309629325E-3</v>
      </c>
      <c r="AW532" s="26">
        <f t="shared" si="211"/>
        <v>5.4557877029426435E-3</v>
      </c>
      <c r="AX532" s="26">
        <f t="shared" si="188"/>
        <v>0.92349726775956287</v>
      </c>
      <c r="AY532" s="24">
        <f t="shared" si="189"/>
        <v>0.90163934426229508</v>
      </c>
      <c r="AZ532" s="77" t="str">
        <f t="shared" si="199"/>
        <v>7,5 ≤ Alc. Bruta &lt; 10,0 mg/L</v>
      </c>
      <c r="BA532" s="77" t="str">
        <f t="shared" si="200"/>
        <v>10 ≤ Cor &lt;15 uC</v>
      </c>
      <c r="BB532" s="78" t="str">
        <f t="shared" si="201"/>
        <v>Turbidez &lt; 2,5 uT</v>
      </c>
      <c r="BC532" s="79" t="str">
        <f t="shared" si="202"/>
        <v>SM &gt; TOR &gt; BNN</v>
      </c>
      <c r="BD532" s="78" t="str">
        <f t="shared" si="203"/>
        <v>Tipo 1 (≤0,25) uT</v>
      </c>
      <c r="BE532" s="78" t="str">
        <f t="shared" si="190"/>
        <v>Tipo 1 (≤0,25) uT</v>
      </c>
      <c r="BF532" s="78" t="str">
        <f t="shared" si="204"/>
        <v>Tipo 1 (≤0,25) uT</v>
      </c>
      <c r="BG532" s="78" t="str">
        <f t="shared" si="191"/>
        <v>Tipo 1 (≤0,25) uT</v>
      </c>
      <c r="BH532" s="78" t="str">
        <f t="shared" si="205"/>
        <v>Tipo 1 (≤0,25) uT</v>
      </c>
    </row>
    <row r="533" spans="1:60" x14ac:dyDescent="0.2">
      <c r="A533" s="31">
        <v>46318</v>
      </c>
      <c r="B533" s="80">
        <v>6.25E-2</v>
      </c>
      <c r="C533" s="57">
        <v>601</v>
      </c>
      <c r="D533" s="57">
        <v>1283</v>
      </c>
      <c r="E533" s="57">
        <v>294</v>
      </c>
      <c r="F533" s="57">
        <v>2283</v>
      </c>
      <c r="G533" s="85" t="s">
        <v>34</v>
      </c>
      <c r="H533" s="63">
        <v>9.1999999999999993</v>
      </c>
      <c r="I533" s="57">
        <v>46</v>
      </c>
      <c r="J533" s="57">
        <v>90</v>
      </c>
      <c r="K533" s="57">
        <v>90</v>
      </c>
      <c r="L533" s="57">
        <v>90</v>
      </c>
      <c r="M533" s="57">
        <v>25.4</v>
      </c>
      <c r="N533" s="63">
        <v>6.4</v>
      </c>
      <c r="O533" s="36">
        <v>1.63</v>
      </c>
      <c r="P533" s="57">
        <v>15</v>
      </c>
      <c r="Q533" s="63">
        <v>7.4</v>
      </c>
      <c r="R533" s="36">
        <v>7.0000000000000007E-2</v>
      </c>
      <c r="S533" s="36">
        <v>22.36</v>
      </c>
      <c r="T533" s="36">
        <v>0.88</v>
      </c>
      <c r="U533" s="36">
        <v>0.7</v>
      </c>
      <c r="V533" s="42">
        <f t="shared" si="206"/>
        <v>1823.5462499999999</v>
      </c>
      <c r="W533" s="42">
        <f t="shared" si="207"/>
        <v>1566.9619679999996</v>
      </c>
      <c r="X533" s="42">
        <f t="shared" si="208"/>
        <v>0.85929378977911841</v>
      </c>
      <c r="Y533" s="57">
        <v>3</v>
      </c>
      <c r="Z533" s="57">
        <v>4</v>
      </c>
      <c r="AA533" s="63">
        <v>5.5</v>
      </c>
      <c r="AB533" s="57">
        <v>24</v>
      </c>
      <c r="AC533" s="63">
        <v>6.2</v>
      </c>
      <c r="AD533" s="63">
        <v>8.1999999999999993</v>
      </c>
      <c r="AE533" s="36">
        <v>0.16</v>
      </c>
      <c r="AF533" s="36">
        <v>0.2</v>
      </c>
      <c r="AG533" s="42">
        <f t="shared" si="194"/>
        <v>1823.5462499999999</v>
      </c>
      <c r="AH533" s="42">
        <f t="shared" si="209"/>
        <v>1979.8438399999998</v>
      </c>
      <c r="AI533" s="42">
        <f t="shared" si="210"/>
        <v>1.0857107901705263</v>
      </c>
      <c r="AJ533" s="57">
        <v>6.4</v>
      </c>
      <c r="AK533" s="57">
        <v>4</v>
      </c>
      <c r="AL533" s="63">
        <v>6.4</v>
      </c>
      <c r="AM533" s="57">
        <v>25</v>
      </c>
      <c r="AN533" s="63">
        <v>6.2</v>
      </c>
      <c r="AO533" s="63">
        <v>8.4</v>
      </c>
      <c r="AP533" s="36">
        <v>0.12</v>
      </c>
      <c r="AQ533" s="36">
        <v>0.13</v>
      </c>
      <c r="AR533" s="73">
        <f t="shared" si="195"/>
        <v>2178</v>
      </c>
      <c r="AS533" s="93">
        <f t="shared" si="196"/>
        <v>0.27594123048668501</v>
      </c>
      <c r="AT533" s="93">
        <f t="shared" si="197"/>
        <v>0.58907254361799821</v>
      </c>
      <c r="AU533" s="93">
        <f t="shared" si="198"/>
        <v>0.13498622589531681</v>
      </c>
      <c r="AV533" s="26">
        <f t="shared" si="192"/>
        <v>3.011103950167739E-3</v>
      </c>
      <c r="AW533" s="26">
        <f t="shared" si="211"/>
        <v>5.8969837048245839E-3</v>
      </c>
      <c r="AX533" s="26">
        <f t="shared" si="188"/>
        <v>0.92024539877300615</v>
      </c>
      <c r="AY533" s="24">
        <f t="shared" si="189"/>
        <v>0.87730061349693256</v>
      </c>
      <c r="AZ533" s="77" t="str">
        <f t="shared" si="199"/>
        <v>5,0 ≤ Alc. Bruta &lt; 7,5 mg/L</v>
      </c>
      <c r="BA533" s="77" t="str">
        <f t="shared" si="200"/>
        <v>15 ≤ Cor &lt; 30 uC</v>
      </c>
      <c r="BB533" s="78" t="str">
        <f t="shared" si="201"/>
        <v>Turbidez &lt; 2,5 uT</v>
      </c>
      <c r="BC533" s="79" t="str">
        <f t="shared" si="202"/>
        <v>SM &gt; TOR &gt; BNN</v>
      </c>
      <c r="BD533" s="78" t="str">
        <f t="shared" si="203"/>
        <v>Tipo 1 (≤0,25) uT</v>
      </c>
      <c r="BE533" s="78" t="str">
        <f t="shared" si="190"/>
        <v>Tipo 1 (≤0,25) uT</v>
      </c>
      <c r="BF533" s="78" t="str">
        <f t="shared" si="204"/>
        <v>Tipo 1 (≤0,25) uT</v>
      </c>
      <c r="BG533" s="78" t="str">
        <f t="shared" si="191"/>
        <v>Tipo 1 (≤0,25) uT</v>
      </c>
      <c r="BH533" s="78" t="str">
        <f t="shared" si="205"/>
        <v>Tipo 1 (≤0,25) uT</v>
      </c>
    </row>
    <row r="534" spans="1:60" x14ac:dyDescent="0.2">
      <c r="A534" s="31">
        <v>46318</v>
      </c>
      <c r="B534" s="80">
        <v>0.14583333333333334</v>
      </c>
      <c r="C534" s="57">
        <v>605</v>
      </c>
      <c r="D534" s="57">
        <v>1227</v>
      </c>
      <c r="E534" s="57">
        <v>294</v>
      </c>
      <c r="F534" s="57">
        <v>2291</v>
      </c>
      <c r="G534" s="85" t="s">
        <v>34</v>
      </c>
      <c r="H534" s="63">
        <v>9.1999999999999993</v>
      </c>
      <c r="I534" s="57">
        <v>26.1</v>
      </c>
      <c r="J534" s="57">
        <v>90</v>
      </c>
      <c r="K534" s="57">
        <v>90</v>
      </c>
      <c r="L534" s="57">
        <v>90</v>
      </c>
      <c r="M534" s="57">
        <v>25.3</v>
      </c>
      <c r="N534" s="63">
        <v>6.4</v>
      </c>
      <c r="O534" s="36">
        <v>1.71</v>
      </c>
      <c r="P534" s="57">
        <v>12</v>
      </c>
      <c r="Q534" s="63">
        <v>8.3000000000000007</v>
      </c>
      <c r="R534" s="36">
        <v>7.0000000000000007E-2</v>
      </c>
      <c r="S534" s="36">
        <v>22.36</v>
      </c>
      <c r="T534" s="36">
        <v>0.88</v>
      </c>
      <c r="U534" s="36">
        <v>0.7</v>
      </c>
      <c r="V534" s="42">
        <f t="shared" si="206"/>
        <v>1852.8462499999998</v>
      </c>
      <c r="W534" s="42">
        <f t="shared" si="207"/>
        <v>1566.9619679999996</v>
      </c>
      <c r="X534" s="42">
        <f t="shared" si="208"/>
        <v>0.84570534009500231</v>
      </c>
      <c r="Y534" s="57">
        <v>3</v>
      </c>
      <c r="Z534" s="57">
        <v>4</v>
      </c>
      <c r="AA534" s="63">
        <v>5.5</v>
      </c>
      <c r="AB534" s="57">
        <v>24</v>
      </c>
      <c r="AC534" s="63">
        <v>6.2</v>
      </c>
      <c r="AD534" s="63">
        <v>8</v>
      </c>
      <c r="AE534" s="36">
        <v>0.14000000000000001</v>
      </c>
      <c r="AF534" s="36">
        <v>0.19</v>
      </c>
      <c r="AG534" s="42">
        <f t="shared" si="194"/>
        <v>1852.8462499999998</v>
      </c>
      <c r="AH534" s="42">
        <f t="shared" si="209"/>
        <v>1979.8438399999998</v>
      </c>
      <c r="AI534" s="42">
        <f t="shared" si="210"/>
        <v>1.0685418933168362</v>
      </c>
      <c r="AJ534" s="57">
        <v>6.4</v>
      </c>
      <c r="AK534" s="57">
        <v>4</v>
      </c>
      <c r="AL534" s="63">
        <v>6.4</v>
      </c>
      <c r="AM534" s="57">
        <v>25</v>
      </c>
      <c r="AN534" s="63">
        <v>6.2</v>
      </c>
      <c r="AO534" s="63">
        <v>7.9</v>
      </c>
      <c r="AP534" s="36">
        <v>0.11</v>
      </c>
      <c r="AQ534" s="36">
        <v>0.43</v>
      </c>
      <c r="AR534" s="73">
        <f t="shared" si="195"/>
        <v>2126</v>
      </c>
      <c r="AS534" s="93">
        <f t="shared" si="196"/>
        <v>0.28457196613358421</v>
      </c>
      <c r="AT534" s="93">
        <f t="shared" si="197"/>
        <v>0.57714016933207901</v>
      </c>
      <c r="AU534" s="93">
        <f t="shared" si="198"/>
        <v>0.13828786453433678</v>
      </c>
      <c r="AV534" s="26">
        <f t="shared" si="192"/>
        <v>2.9531395551113133E-3</v>
      </c>
      <c r="AW534" s="26">
        <f t="shared" si="211"/>
        <v>5.783465507258302E-3</v>
      </c>
      <c r="AX534" s="26">
        <f t="shared" si="188"/>
        <v>0.74853801169590639</v>
      </c>
      <c r="AY534" s="24">
        <f t="shared" si="189"/>
        <v>0.88888888888888884</v>
      </c>
      <c r="AZ534" s="77" t="str">
        <f t="shared" si="199"/>
        <v>7,5 ≤ Alc. Bruta &lt; 10,0 mg/L</v>
      </c>
      <c r="BA534" s="77" t="str">
        <f t="shared" si="200"/>
        <v>10 ≤ Cor &lt;15 uC</v>
      </c>
      <c r="BB534" s="78" t="str">
        <f t="shared" si="201"/>
        <v>Turbidez &lt; 2,5 uT</v>
      </c>
      <c r="BC534" s="79" t="str">
        <f t="shared" si="202"/>
        <v>SM &gt; TOR &gt; BNN</v>
      </c>
      <c r="BD534" s="78" t="str">
        <f t="shared" si="203"/>
        <v>Tipo 1 (≤0,25) uT</v>
      </c>
      <c r="BE534" s="78" t="str">
        <f t="shared" si="190"/>
        <v>Tipo 1 (≤0,25) uT</v>
      </c>
      <c r="BF534" s="78" t="str">
        <f t="shared" si="204"/>
        <v>Tipo 1 (≤0,25) uT</v>
      </c>
      <c r="BG534" s="78" t="str">
        <f t="shared" si="191"/>
        <v>Tipo 2 (0,25-0,50) uT</v>
      </c>
      <c r="BH534" s="78" t="str">
        <f t="shared" si="205"/>
        <v>Tipo 1 (≤0,25) uT</v>
      </c>
    </row>
    <row r="535" spans="1:60" ht="15.75" thickBot="1" x14ac:dyDescent="0.25">
      <c r="A535" s="32">
        <v>46318</v>
      </c>
      <c r="B535" s="81">
        <v>0.22916666666666666</v>
      </c>
      <c r="C535" s="58">
        <v>600</v>
      </c>
      <c r="D535" s="58">
        <v>1271</v>
      </c>
      <c r="E535" s="58">
        <v>297</v>
      </c>
      <c r="F535" s="58">
        <v>2077</v>
      </c>
      <c r="G535" s="86" t="s">
        <v>34</v>
      </c>
      <c r="H535" s="64">
        <v>9.1999999999999993</v>
      </c>
      <c r="I535" s="58">
        <v>7.06</v>
      </c>
      <c r="J535" s="58">
        <v>90</v>
      </c>
      <c r="K535" s="58">
        <v>90</v>
      </c>
      <c r="L535" s="58">
        <v>90</v>
      </c>
      <c r="M535" s="58">
        <v>25</v>
      </c>
      <c r="N535" s="64">
        <v>6.4</v>
      </c>
      <c r="O535" s="37">
        <v>1.79</v>
      </c>
      <c r="P535" s="58">
        <v>12</v>
      </c>
      <c r="Q535" s="64">
        <v>7.9</v>
      </c>
      <c r="R535" s="37">
        <v>7.0000000000000007E-2</v>
      </c>
      <c r="S535" s="36">
        <v>22.36</v>
      </c>
      <c r="T535" s="36">
        <v>0.88</v>
      </c>
      <c r="U535" s="36">
        <v>0.7</v>
      </c>
      <c r="V535" s="42">
        <f t="shared" si="206"/>
        <v>1700.54375</v>
      </c>
      <c r="W535" s="42">
        <f t="shared" si="207"/>
        <v>1566.9619679999996</v>
      </c>
      <c r="X535" s="42">
        <f t="shared" si="208"/>
        <v>0.92144760639060275</v>
      </c>
      <c r="Y535" s="58">
        <v>3</v>
      </c>
      <c r="Z535" s="58">
        <v>4</v>
      </c>
      <c r="AA535" s="64">
        <v>5.5</v>
      </c>
      <c r="AB535" s="58">
        <v>24</v>
      </c>
      <c r="AC535" s="64">
        <v>6.2</v>
      </c>
      <c r="AD535" s="64">
        <v>7.9</v>
      </c>
      <c r="AE535" s="37">
        <v>0.13</v>
      </c>
      <c r="AF535" s="37">
        <v>0.18</v>
      </c>
      <c r="AG535" s="42">
        <f t="shared" si="194"/>
        <v>1700.54375</v>
      </c>
      <c r="AH535" s="42">
        <f t="shared" si="209"/>
        <v>1979.8438399999998</v>
      </c>
      <c r="AI535" s="42">
        <f t="shared" si="210"/>
        <v>1.1642416374174436</v>
      </c>
      <c r="AJ535" s="58">
        <v>6.4</v>
      </c>
      <c r="AK535" s="58">
        <v>4</v>
      </c>
      <c r="AL535" s="64">
        <v>6.4</v>
      </c>
      <c r="AM535" s="58">
        <v>25</v>
      </c>
      <c r="AN535" s="64">
        <v>6.1</v>
      </c>
      <c r="AO535" s="64">
        <v>7.6</v>
      </c>
      <c r="AP535" s="37">
        <v>0.13</v>
      </c>
      <c r="AQ535" s="37">
        <v>0.13</v>
      </c>
      <c r="AR535" s="73">
        <f t="shared" si="195"/>
        <v>2168</v>
      </c>
      <c r="AS535" s="93">
        <f t="shared" si="196"/>
        <v>0.2767527675276753</v>
      </c>
      <c r="AT535" s="93">
        <f t="shared" si="197"/>
        <v>0.58625461254612543</v>
      </c>
      <c r="AU535" s="93">
        <f t="shared" si="198"/>
        <v>0.13699261992619927</v>
      </c>
      <c r="AV535" s="26">
        <f t="shared" si="192"/>
        <v>3.5491482191260574E-3</v>
      </c>
      <c r="AW535" s="26">
        <f t="shared" si="211"/>
        <v>6.8385883372618248E-3</v>
      </c>
      <c r="AX535" s="26">
        <f t="shared" si="188"/>
        <v>0.92737430167597767</v>
      </c>
      <c r="AY535" s="24">
        <f t="shared" si="189"/>
        <v>0.8994413407821229</v>
      </c>
      <c r="AZ535" s="77" t="str">
        <f t="shared" si="199"/>
        <v>7,5 ≤ Alc. Bruta &lt; 10,0 mg/L</v>
      </c>
      <c r="BA535" s="77" t="str">
        <f t="shared" si="200"/>
        <v>10 ≤ Cor &lt;15 uC</v>
      </c>
      <c r="BB535" s="78" t="str">
        <f t="shared" si="201"/>
        <v>Turbidez &lt; 2,5 uT</v>
      </c>
      <c r="BC535" s="79" t="str">
        <f t="shared" si="202"/>
        <v>SM &gt; TOR &gt; BNN</v>
      </c>
      <c r="BD535" s="78" t="str">
        <f t="shared" si="203"/>
        <v>Tipo 1 (≤0,25) uT</v>
      </c>
      <c r="BE535" s="78" t="str">
        <f t="shared" si="190"/>
        <v>Tipo 1 (≤0,25) uT</v>
      </c>
      <c r="BF535" s="78" t="str">
        <f t="shared" si="204"/>
        <v>Tipo 1 (≤0,25) uT</v>
      </c>
      <c r="BG535" s="78" t="str">
        <f t="shared" si="191"/>
        <v>Tipo 1 (≤0,25) uT</v>
      </c>
      <c r="BH535" s="78" t="str">
        <f t="shared" si="205"/>
        <v>Tipo 1 (≤0,25) uT</v>
      </c>
    </row>
    <row r="536" spans="1:60" x14ac:dyDescent="0.2">
      <c r="A536" s="30">
        <v>46318</v>
      </c>
      <c r="B536" s="82">
        <v>0.3125</v>
      </c>
      <c r="C536" s="59">
        <v>603</v>
      </c>
      <c r="D536" s="59">
        <v>1246</v>
      </c>
      <c r="E536" s="59">
        <v>293</v>
      </c>
      <c r="F536" s="59">
        <v>2362</v>
      </c>
      <c r="G536" s="87" t="s">
        <v>34</v>
      </c>
      <c r="H536" s="65">
        <v>9.1999999999999993</v>
      </c>
      <c r="I536" s="59">
        <v>-11</v>
      </c>
      <c r="J536" s="59">
        <v>90</v>
      </c>
      <c r="K536" s="59">
        <v>90</v>
      </c>
      <c r="L536" s="59">
        <v>90</v>
      </c>
      <c r="M536" s="59">
        <v>25.4</v>
      </c>
      <c r="N536" s="65">
        <v>6.5</v>
      </c>
      <c r="O536" s="38">
        <v>1.56</v>
      </c>
      <c r="P536" s="59">
        <v>10</v>
      </c>
      <c r="Q536" s="65">
        <v>8</v>
      </c>
      <c r="R536" s="38">
        <v>7.0000000000000007E-2</v>
      </c>
      <c r="S536" s="36">
        <v>22.36</v>
      </c>
      <c r="T536" s="36">
        <v>0.88</v>
      </c>
      <c r="U536" s="36">
        <v>0.7</v>
      </c>
      <c r="V536" s="42">
        <f t="shared" si="206"/>
        <v>1865.98</v>
      </c>
      <c r="W536" s="42">
        <f t="shared" si="207"/>
        <v>1529.8855103999999</v>
      </c>
      <c r="X536" s="42">
        <f t="shared" si="208"/>
        <v>0.81988312329178226</v>
      </c>
      <c r="Y536" s="60">
        <v>3</v>
      </c>
      <c r="Z536" s="88">
        <v>4</v>
      </c>
      <c r="AA536" s="89">
        <v>5.4</v>
      </c>
      <c r="AB536" s="88">
        <v>24</v>
      </c>
      <c r="AC536" s="65">
        <v>6.3</v>
      </c>
      <c r="AD536" s="65">
        <v>5.6</v>
      </c>
      <c r="AE536" s="38">
        <v>0.2</v>
      </c>
      <c r="AF536" s="38">
        <v>0.17</v>
      </c>
      <c r="AG536" s="42">
        <f t="shared" si="194"/>
        <v>1865.98</v>
      </c>
      <c r="AH536" s="42">
        <f t="shared" si="209"/>
        <v>1979.8438399999998</v>
      </c>
      <c r="AI536" s="42">
        <f t="shared" si="210"/>
        <v>1.0610209327002431</v>
      </c>
      <c r="AJ536" s="59">
        <v>6.4</v>
      </c>
      <c r="AK536" s="57">
        <v>4</v>
      </c>
      <c r="AL536" s="65">
        <v>6.4</v>
      </c>
      <c r="AM536" s="59">
        <v>25</v>
      </c>
      <c r="AN536" s="65">
        <v>6.3</v>
      </c>
      <c r="AO536" s="65">
        <v>6.1</v>
      </c>
      <c r="AP536" s="38">
        <v>0.19</v>
      </c>
      <c r="AQ536" s="38">
        <v>0.12</v>
      </c>
      <c r="AR536" s="73">
        <f t="shared" si="195"/>
        <v>2142</v>
      </c>
      <c r="AS536" s="93">
        <f t="shared" si="196"/>
        <v>0.28151260504201681</v>
      </c>
      <c r="AT536" s="93">
        <f t="shared" si="197"/>
        <v>0.5816993464052288</v>
      </c>
      <c r="AU536" s="93">
        <f t="shared" si="198"/>
        <v>0.13678804855275445</v>
      </c>
      <c r="AV536" s="26">
        <f t="shared" si="192"/>
        <v>2.7769115098790252E-3</v>
      </c>
      <c r="AW536" s="26">
        <f t="shared" si="211"/>
        <v>5.6599761862925748E-3</v>
      </c>
      <c r="AX536" s="26">
        <f t="shared" si="188"/>
        <v>0.92307692307692313</v>
      </c>
      <c r="AY536" s="24">
        <f t="shared" si="189"/>
        <v>0.89102564102564097</v>
      </c>
      <c r="AZ536" s="77" t="str">
        <f t="shared" si="199"/>
        <v>7,5 ≤ Alc. Bruta &lt; 10,0 mg/L</v>
      </c>
      <c r="BA536" s="77" t="str">
        <f t="shared" si="200"/>
        <v>10 ≤ Cor &lt;15 uC</v>
      </c>
      <c r="BB536" s="78" t="str">
        <f t="shared" si="201"/>
        <v>Turbidez &lt; 2,5 uT</v>
      </c>
      <c r="BC536" s="79" t="str">
        <f t="shared" si="202"/>
        <v>SM &gt; TOR &gt; BNN</v>
      </c>
      <c r="BD536" s="78" t="str">
        <f t="shared" si="203"/>
        <v>Tipo 1 (≤0,25) uT</v>
      </c>
      <c r="BE536" s="78" t="str">
        <f t="shared" si="190"/>
        <v>Tipo 1 (≤0,25) uT</v>
      </c>
      <c r="BF536" s="78" t="str">
        <f t="shared" si="204"/>
        <v>Tipo 1 (≤0,25) uT</v>
      </c>
      <c r="BG536" s="78" t="str">
        <f t="shared" si="191"/>
        <v>Tipo 1 (≤0,25) uT</v>
      </c>
      <c r="BH536" s="78" t="str">
        <f t="shared" si="205"/>
        <v>Tipo 1 (≤0,25) uT</v>
      </c>
    </row>
    <row r="537" spans="1:60" x14ac:dyDescent="0.2">
      <c r="A537" s="31">
        <v>46318</v>
      </c>
      <c r="B537" s="80">
        <v>0.39583333333333331</v>
      </c>
      <c r="C537" s="57">
        <v>617</v>
      </c>
      <c r="D537" s="57">
        <v>1307</v>
      </c>
      <c r="E537" s="57">
        <v>293</v>
      </c>
      <c r="F537" s="57">
        <v>2358</v>
      </c>
      <c r="G537" s="85" t="s">
        <v>34</v>
      </c>
      <c r="H537" s="63">
        <v>8.5</v>
      </c>
      <c r="I537" s="57">
        <v>-499</v>
      </c>
      <c r="J537" s="57">
        <v>90</v>
      </c>
      <c r="K537" s="57">
        <v>90</v>
      </c>
      <c r="L537" s="57">
        <v>90</v>
      </c>
      <c r="M537" s="57">
        <v>25.6</v>
      </c>
      <c r="N537" s="63">
        <v>6.5</v>
      </c>
      <c r="O537" s="36">
        <v>1.67</v>
      </c>
      <c r="P537" s="57">
        <v>11</v>
      </c>
      <c r="Q537" s="63">
        <v>7.6</v>
      </c>
      <c r="R537" s="36">
        <v>7.0000000000000007E-2</v>
      </c>
      <c r="S537" s="36">
        <v>22.36</v>
      </c>
      <c r="T537" s="36">
        <v>0.88</v>
      </c>
      <c r="U537" s="36">
        <v>0.7</v>
      </c>
      <c r="V537" s="42">
        <f t="shared" si="206"/>
        <v>2444.46</v>
      </c>
      <c r="W537" s="42">
        <f t="shared" si="207"/>
        <v>1566.9619679999996</v>
      </c>
      <c r="X537" s="42">
        <f t="shared" si="208"/>
        <v>0.64102581674480241</v>
      </c>
      <c r="Y537" s="57">
        <v>3</v>
      </c>
      <c r="Z537" s="57">
        <v>3</v>
      </c>
      <c r="AA537" s="63">
        <v>5.5</v>
      </c>
      <c r="AB537" s="57">
        <v>24</v>
      </c>
      <c r="AC537" s="63">
        <v>6.3</v>
      </c>
      <c r="AD537" s="63">
        <v>6.2</v>
      </c>
      <c r="AE537" s="36">
        <v>0.21</v>
      </c>
      <c r="AF537" s="36">
        <v>0.17</v>
      </c>
      <c r="AG537" s="42">
        <f t="shared" si="194"/>
        <v>1833.345</v>
      </c>
      <c r="AH537" s="42">
        <f t="shared" si="209"/>
        <v>1979.8438399999998</v>
      </c>
      <c r="AI537" s="42">
        <f t="shared" si="210"/>
        <v>1.0799079496766837</v>
      </c>
      <c r="AJ537" s="57">
        <v>6.4</v>
      </c>
      <c r="AK537" s="57">
        <v>4</v>
      </c>
      <c r="AL537" s="63">
        <v>6.4</v>
      </c>
      <c r="AM537" s="57">
        <v>25</v>
      </c>
      <c r="AN537" s="63">
        <v>6.2</v>
      </c>
      <c r="AO537" s="63">
        <v>6.3</v>
      </c>
      <c r="AP537" s="36">
        <v>0.21</v>
      </c>
      <c r="AQ537" s="36">
        <v>0.14000000000000001</v>
      </c>
      <c r="AR537" s="73">
        <f t="shared" si="195"/>
        <v>2217</v>
      </c>
      <c r="AS537" s="93">
        <f t="shared" si="196"/>
        <v>0.27830401443391972</v>
      </c>
      <c r="AT537" s="93">
        <f t="shared" si="197"/>
        <v>0.58953540820929184</v>
      </c>
      <c r="AU537" s="93">
        <f t="shared" si="198"/>
        <v>0.13216057735678846</v>
      </c>
      <c r="AV537" s="26">
        <f t="shared" si="192"/>
        <v>1.6311089484600571E-3</v>
      </c>
      <c r="AW537" s="26">
        <f t="shared" si="211"/>
        <v>5.6789052485118219E-3</v>
      </c>
      <c r="AX537" s="26">
        <f t="shared" si="188"/>
        <v>0.91616766467065869</v>
      </c>
      <c r="AY537" s="24">
        <f t="shared" si="189"/>
        <v>0.89820359281437123</v>
      </c>
      <c r="AZ537" s="77" t="str">
        <f t="shared" si="199"/>
        <v>7,5 ≤ Alc. Bruta &lt; 10,0 mg/L</v>
      </c>
      <c r="BA537" s="77" t="str">
        <f t="shared" si="200"/>
        <v>10 ≤ Cor &lt;15 uC</v>
      </c>
      <c r="BB537" s="78" t="str">
        <f t="shared" si="201"/>
        <v>Turbidez &lt; 2,5 uT</v>
      </c>
      <c r="BC537" s="79" t="str">
        <f t="shared" si="202"/>
        <v>SM &gt; TOR &gt; BNN</v>
      </c>
      <c r="BD537" s="78" t="str">
        <f t="shared" si="203"/>
        <v>Tipo 1 (≤0,25) uT</v>
      </c>
      <c r="BE537" s="78" t="str">
        <f t="shared" si="190"/>
        <v>Tipo 1 (≤0,25) uT</v>
      </c>
      <c r="BF537" s="78" t="str">
        <f t="shared" si="204"/>
        <v>Tipo 1 (≤0,25) uT</v>
      </c>
      <c r="BG537" s="78" t="str">
        <f t="shared" si="191"/>
        <v>Tipo 1 (≤0,25) uT</v>
      </c>
      <c r="BH537" s="78" t="str">
        <f t="shared" si="205"/>
        <v>Tipo 1 (≤0,25) uT</v>
      </c>
    </row>
    <row r="538" spans="1:60" x14ac:dyDescent="0.2">
      <c r="A538" s="31">
        <v>46318</v>
      </c>
      <c r="B538" s="80">
        <v>0.64583333333333337</v>
      </c>
      <c r="C538" s="57">
        <v>618</v>
      </c>
      <c r="D538" s="57">
        <v>1264</v>
      </c>
      <c r="E538" s="57">
        <v>293</v>
      </c>
      <c r="F538" s="57">
        <v>2359</v>
      </c>
      <c r="G538" s="85" t="s">
        <v>34</v>
      </c>
      <c r="H538" s="63">
        <v>8</v>
      </c>
      <c r="I538" s="57">
        <v>-6.9</v>
      </c>
      <c r="J538" s="57">
        <v>90</v>
      </c>
      <c r="K538" s="57">
        <v>90</v>
      </c>
      <c r="L538" s="57">
        <v>90</v>
      </c>
      <c r="M538" s="57">
        <v>26.5</v>
      </c>
      <c r="N538" s="63">
        <v>6.5</v>
      </c>
      <c r="O538" s="36">
        <v>1.55</v>
      </c>
      <c r="P538" s="57">
        <v>12</v>
      </c>
      <c r="Q538" s="63">
        <v>8.4</v>
      </c>
      <c r="R538" s="36">
        <v>0.09</v>
      </c>
      <c r="S538" s="36">
        <v>22.36</v>
      </c>
      <c r="T538" s="36">
        <v>0.88</v>
      </c>
      <c r="U538" s="36">
        <v>0.7</v>
      </c>
      <c r="V538" s="42">
        <f t="shared" si="206"/>
        <v>2339.3416666666667</v>
      </c>
      <c r="W538" s="42">
        <f t="shared" si="207"/>
        <v>1748.1159799999996</v>
      </c>
      <c r="X538" s="42">
        <f t="shared" si="208"/>
        <v>0.74726834686396792</v>
      </c>
      <c r="Y538" s="57">
        <v>3</v>
      </c>
      <c r="Z538" s="57">
        <v>3</v>
      </c>
      <c r="AA538" s="63">
        <v>5.8</v>
      </c>
      <c r="AB538" s="57">
        <v>25</v>
      </c>
      <c r="AC538" s="63">
        <v>6.3</v>
      </c>
      <c r="AD538" s="63">
        <v>7.1</v>
      </c>
      <c r="AE538" s="36">
        <v>0.13</v>
      </c>
      <c r="AF538" s="36">
        <v>0.17</v>
      </c>
      <c r="AG538" s="42">
        <f t="shared" si="194"/>
        <v>1754.5062500000001</v>
      </c>
      <c r="AH538" s="42">
        <f t="shared" si="209"/>
        <v>1979.8438399999998</v>
      </c>
      <c r="AI538" s="42">
        <f t="shared" si="210"/>
        <v>1.1284336205698895</v>
      </c>
      <c r="AJ538" s="57">
        <v>6.4</v>
      </c>
      <c r="AK538" s="57">
        <v>4</v>
      </c>
      <c r="AL538" s="63">
        <v>6.4</v>
      </c>
      <c r="AM538" s="57">
        <v>25</v>
      </c>
      <c r="AN538" s="63">
        <v>6.4</v>
      </c>
      <c r="AO538" s="63">
        <v>7.5</v>
      </c>
      <c r="AP538" s="36">
        <v>0.18</v>
      </c>
      <c r="AQ538" s="36">
        <v>0.12</v>
      </c>
      <c r="AR538" s="73">
        <f t="shared" si="195"/>
        <v>2175</v>
      </c>
      <c r="AS538" s="93">
        <f t="shared" si="196"/>
        <v>0.28413793103448276</v>
      </c>
      <c r="AT538" s="93">
        <f t="shared" si="197"/>
        <v>0.58114942528735636</v>
      </c>
      <c r="AU538" s="93">
        <f t="shared" si="198"/>
        <v>0.13471264367816091</v>
      </c>
      <c r="AV538" s="26">
        <f t="shared" si="192"/>
        <v>1.9006401361525253E-3</v>
      </c>
      <c r="AW538" s="26">
        <f t="shared" si="211"/>
        <v>6.1229123964792647E-3</v>
      </c>
      <c r="AX538" s="26">
        <f t="shared" si="188"/>
        <v>0.92258064516129035</v>
      </c>
      <c r="AY538" s="24">
        <f t="shared" si="189"/>
        <v>0.89032258064516134</v>
      </c>
      <c r="AZ538" s="77" t="str">
        <f t="shared" si="199"/>
        <v>7,5 ≤ Alc. Bruta &lt; 10,0 mg/L</v>
      </c>
      <c r="BA538" s="77" t="str">
        <f t="shared" si="200"/>
        <v>10 ≤ Cor &lt;15 uC</v>
      </c>
      <c r="BB538" s="78" t="str">
        <f t="shared" si="201"/>
        <v>Turbidez &lt; 2,5 uT</v>
      </c>
      <c r="BC538" s="79" t="str">
        <f t="shared" si="202"/>
        <v>SM &gt; TOR &gt; BNN</v>
      </c>
      <c r="BD538" s="78" t="str">
        <f t="shared" si="203"/>
        <v>Tipo 1 (≤0,25) uT</v>
      </c>
      <c r="BE538" s="78" t="str">
        <f t="shared" si="190"/>
        <v>Tipo 1 (≤0,25) uT</v>
      </c>
      <c r="BF538" s="78" t="str">
        <f t="shared" si="204"/>
        <v>Tipo 1 (≤0,25) uT</v>
      </c>
      <c r="BG538" s="78" t="str">
        <f t="shared" si="191"/>
        <v>Tipo 1 (≤0,25) uT</v>
      </c>
      <c r="BH538" s="78" t="str">
        <f t="shared" si="205"/>
        <v>Tipo 1 (≤0,25) uT</v>
      </c>
    </row>
    <row r="539" spans="1:60" x14ac:dyDescent="0.2">
      <c r="A539" s="31">
        <v>46318</v>
      </c>
      <c r="B539" s="80">
        <v>0.72916666666666663</v>
      </c>
      <c r="C539" s="57">
        <v>619</v>
      </c>
      <c r="D539" s="57">
        <v>1289</v>
      </c>
      <c r="E539" s="57">
        <v>293</v>
      </c>
      <c r="F539" s="57">
        <v>2362</v>
      </c>
      <c r="G539" s="85" t="s">
        <v>34</v>
      </c>
      <c r="H539" s="63">
        <v>8</v>
      </c>
      <c r="I539" s="57">
        <v>-9.8000000000000007</v>
      </c>
      <c r="J539" s="57">
        <v>90</v>
      </c>
      <c r="K539" s="57">
        <v>90</v>
      </c>
      <c r="L539" s="57">
        <v>90</v>
      </c>
      <c r="M539" s="57">
        <v>26.2</v>
      </c>
      <c r="N539" s="63">
        <v>6.5</v>
      </c>
      <c r="O539" s="36">
        <v>2.0699999999999998</v>
      </c>
      <c r="P539" s="57">
        <v>12</v>
      </c>
      <c r="Q539" s="63">
        <v>7.5</v>
      </c>
      <c r="R539" s="36">
        <v>0.12</v>
      </c>
      <c r="S539" s="36">
        <v>22.36</v>
      </c>
      <c r="T539" s="36">
        <v>0.88</v>
      </c>
      <c r="U539" s="36">
        <v>0.7</v>
      </c>
      <c r="V539" s="42">
        <f t="shared" si="206"/>
        <v>2547.0233333333335</v>
      </c>
      <c r="W539" s="42">
        <f t="shared" si="207"/>
        <v>1748.1159799999996</v>
      </c>
      <c r="X539" s="42">
        <f t="shared" si="208"/>
        <v>0.68633685334645522</v>
      </c>
      <c r="Y539" s="57">
        <v>3</v>
      </c>
      <c r="Z539" s="57">
        <v>3</v>
      </c>
      <c r="AA539" s="63">
        <v>5.8</v>
      </c>
      <c r="AB539" s="57">
        <v>25</v>
      </c>
      <c r="AC539" s="63">
        <v>6.4</v>
      </c>
      <c r="AD539" s="63">
        <v>5.8</v>
      </c>
      <c r="AE539" s="36">
        <v>0.08</v>
      </c>
      <c r="AF539" s="36">
        <v>0.17</v>
      </c>
      <c r="AG539" s="42">
        <f t="shared" si="194"/>
        <v>1910.2674999999999</v>
      </c>
      <c r="AH539" s="42">
        <f t="shared" si="209"/>
        <v>1979.8438399999998</v>
      </c>
      <c r="AI539" s="42">
        <f t="shared" si="210"/>
        <v>1.0364223021121386</v>
      </c>
      <c r="AJ539" s="57">
        <v>6.4</v>
      </c>
      <c r="AK539" s="57">
        <v>4</v>
      </c>
      <c r="AL539" s="63">
        <v>6.4</v>
      </c>
      <c r="AM539" s="57">
        <v>25</v>
      </c>
      <c r="AN539" s="63">
        <v>6.4</v>
      </c>
      <c r="AO539" s="63">
        <v>6.5</v>
      </c>
      <c r="AP539" s="36">
        <v>0.15</v>
      </c>
      <c r="AQ539" s="36">
        <v>0.13</v>
      </c>
      <c r="AR539" s="73">
        <f t="shared" si="195"/>
        <v>2201</v>
      </c>
      <c r="AS539" s="93">
        <f t="shared" si="196"/>
        <v>0.28123580190822356</v>
      </c>
      <c r="AT539" s="93">
        <f t="shared" si="197"/>
        <v>0.58564288959563837</v>
      </c>
      <c r="AU539" s="93">
        <f t="shared" si="198"/>
        <v>0.13312130849613812</v>
      </c>
      <c r="AV539" s="26">
        <f t="shared" si="192"/>
        <v>1.7434467062145348E-3</v>
      </c>
      <c r="AW539" s="26">
        <f t="shared" si="211"/>
        <v>5.6165137455695914E-3</v>
      </c>
      <c r="AX539" s="26">
        <f t="shared" si="188"/>
        <v>0.93719806763285018</v>
      </c>
      <c r="AY539" s="24">
        <f t="shared" si="189"/>
        <v>0.91787439613526567</v>
      </c>
      <c r="AZ539" s="77" t="str">
        <f t="shared" si="199"/>
        <v>7,5 ≤ Alc. Bruta &lt; 10,0 mg/L</v>
      </c>
      <c r="BA539" s="77" t="str">
        <f t="shared" si="200"/>
        <v>10 ≤ Cor &lt;15 uC</v>
      </c>
      <c r="BB539" s="78" t="str">
        <f t="shared" si="201"/>
        <v>Turbidez &lt; 2,5 uT</v>
      </c>
      <c r="BC539" s="79" t="str">
        <f t="shared" si="202"/>
        <v>SM &gt; TOR &gt; BNN</v>
      </c>
      <c r="BD539" s="78" t="str">
        <f t="shared" si="203"/>
        <v>Tipo 1 (≤0,25) uT</v>
      </c>
      <c r="BE539" s="78" t="str">
        <f t="shared" si="190"/>
        <v>Tipo 1 (≤0,25) uT</v>
      </c>
      <c r="BF539" s="78" t="str">
        <f t="shared" si="204"/>
        <v>Tipo 1 (≤0,25) uT</v>
      </c>
      <c r="BG539" s="78" t="str">
        <f t="shared" si="191"/>
        <v>Tipo 1 (≤0,25) uT</v>
      </c>
      <c r="BH539" s="78" t="str">
        <f t="shared" si="205"/>
        <v>Tipo 1 (≤0,25) uT</v>
      </c>
    </row>
    <row r="540" spans="1:60" x14ac:dyDescent="0.2">
      <c r="A540" s="31">
        <v>46318</v>
      </c>
      <c r="B540" s="80">
        <v>0.8125</v>
      </c>
      <c r="C540" s="57">
        <v>526</v>
      </c>
      <c r="D540" s="57">
        <v>1287</v>
      </c>
      <c r="E540" s="57">
        <v>293</v>
      </c>
      <c r="F540" s="57">
        <v>2318</v>
      </c>
      <c r="G540" s="85" t="s">
        <v>34</v>
      </c>
      <c r="H540" s="63">
        <v>8</v>
      </c>
      <c r="I540" s="57">
        <v>-3.8</v>
      </c>
      <c r="J540" s="57">
        <v>90</v>
      </c>
      <c r="K540" s="57">
        <v>90</v>
      </c>
      <c r="L540" s="57">
        <v>90</v>
      </c>
      <c r="M540" s="57">
        <v>26</v>
      </c>
      <c r="N540" s="63">
        <v>6.5</v>
      </c>
      <c r="O540" s="36">
        <v>1.88</v>
      </c>
      <c r="P540" s="57">
        <v>11</v>
      </c>
      <c r="Q540" s="63">
        <v>7.2</v>
      </c>
      <c r="R540" s="36">
        <v>7.0000000000000007E-2</v>
      </c>
      <c r="S540" s="36">
        <v>22.36</v>
      </c>
      <c r="T540" s="36">
        <v>0.88</v>
      </c>
      <c r="U540" s="36">
        <v>0.7</v>
      </c>
      <c r="V540" s="42">
        <f t="shared" si="206"/>
        <v>2426.1733333333332</v>
      </c>
      <c r="W540" s="42">
        <f t="shared" si="207"/>
        <v>1748.1159799999996</v>
      </c>
      <c r="X540" s="42">
        <f t="shared" si="208"/>
        <v>0.72052394442826273</v>
      </c>
      <c r="Y540" s="57">
        <v>3</v>
      </c>
      <c r="Z540" s="57">
        <v>3</v>
      </c>
      <c r="AA540" s="63">
        <v>5.8</v>
      </c>
      <c r="AB540" s="57">
        <v>25</v>
      </c>
      <c r="AC540" s="63">
        <v>6.3</v>
      </c>
      <c r="AD540" s="63">
        <v>6.2</v>
      </c>
      <c r="AE540" s="36">
        <v>0.16</v>
      </c>
      <c r="AF540" s="36">
        <v>0.17</v>
      </c>
      <c r="AG540" s="42">
        <f t="shared" si="194"/>
        <v>1819.6299999999999</v>
      </c>
      <c r="AH540" s="42">
        <f t="shared" si="209"/>
        <v>1979.8438399999998</v>
      </c>
      <c r="AI540" s="42">
        <f t="shared" si="210"/>
        <v>1.0880474821804431</v>
      </c>
      <c r="AJ540" s="57">
        <v>6.4</v>
      </c>
      <c r="AK540" s="57">
        <v>4</v>
      </c>
      <c r="AL540" s="63">
        <v>6.4</v>
      </c>
      <c r="AM540" s="57">
        <v>25</v>
      </c>
      <c r="AN540" s="63">
        <v>6.4</v>
      </c>
      <c r="AO540" s="63">
        <v>7.2</v>
      </c>
      <c r="AP540" s="36">
        <v>0.14000000000000001</v>
      </c>
      <c r="AQ540" s="36">
        <v>0.12</v>
      </c>
      <c r="AR540" s="73">
        <f t="shared" si="195"/>
        <v>2106</v>
      </c>
      <c r="AS540" s="93">
        <f t="shared" si="196"/>
        <v>0.24976258309591642</v>
      </c>
      <c r="AT540" s="93">
        <f t="shared" si="197"/>
        <v>0.61111111111111116</v>
      </c>
      <c r="AU540" s="93">
        <f t="shared" si="198"/>
        <v>0.13912630579297247</v>
      </c>
      <c r="AV540" s="26">
        <f t="shared" si="192"/>
        <v>1.8650317802284629E-3</v>
      </c>
      <c r="AW540" s="26">
        <f t="shared" si="211"/>
        <v>6.0082000741629301E-3</v>
      </c>
      <c r="AX540" s="26">
        <f t="shared" si="188"/>
        <v>0.93617021276595747</v>
      </c>
      <c r="AY540" s="24">
        <f t="shared" si="189"/>
        <v>0.90957446808510634</v>
      </c>
      <c r="AZ540" s="77" t="str">
        <f t="shared" si="199"/>
        <v>5,0 ≤ Alc. Bruta &lt; 7,5 mg/L</v>
      </c>
      <c r="BA540" s="77" t="str">
        <f t="shared" si="200"/>
        <v>10 ≤ Cor &lt;15 uC</v>
      </c>
      <c r="BB540" s="78" t="str">
        <f t="shared" si="201"/>
        <v>Turbidez &lt; 2,5 uT</v>
      </c>
      <c r="BC540" s="79" t="str">
        <f t="shared" si="202"/>
        <v>SM &gt; TOR &gt; BNN</v>
      </c>
      <c r="BD540" s="78" t="str">
        <f t="shared" si="203"/>
        <v>Tipo 1 (≤0,25) uT</v>
      </c>
      <c r="BE540" s="78" t="str">
        <f t="shared" si="190"/>
        <v>Tipo 1 (≤0,25) uT</v>
      </c>
      <c r="BF540" s="78" t="str">
        <f t="shared" si="204"/>
        <v>Tipo 1 (≤0,25) uT</v>
      </c>
      <c r="BG540" s="78" t="str">
        <f t="shared" si="191"/>
        <v>Tipo 1 (≤0,25) uT</v>
      </c>
      <c r="BH540" s="78" t="str">
        <f t="shared" si="205"/>
        <v>Tipo 1 (≤0,25) uT</v>
      </c>
    </row>
    <row r="541" spans="1:60" x14ac:dyDescent="0.2">
      <c r="A541" s="31">
        <v>46318</v>
      </c>
      <c r="B541" s="80">
        <v>0.89583333333333337</v>
      </c>
      <c r="C541" s="57">
        <v>393</v>
      </c>
      <c r="D541" s="57">
        <v>1530</v>
      </c>
      <c r="E541" s="57">
        <v>250</v>
      </c>
      <c r="F541" s="57">
        <v>2220</v>
      </c>
      <c r="G541" s="85" t="s">
        <v>34</v>
      </c>
      <c r="H541" s="63">
        <v>8</v>
      </c>
      <c r="I541" s="57">
        <v>-25</v>
      </c>
      <c r="J541" s="57">
        <v>90</v>
      </c>
      <c r="K541" s="57">
        <v>90</v>
      </c>
      <c r="L541" s="57">
        <v>90</v>
      </c>
      <c r="M541" s="57">
        <v>24.4</v>
      </c>
      <c r="N541" s="63">
        <v>6.4</v>
      </c>
      <c r="O541" s="36">
        <v>1.67</v>
      </c>
      <c r="P541" s="57">
        <v>10</v>
      </c>
      <c r="Q541" s="63">
        <v>6.6</v>
      </c>
      <c r="R541" s="36">
        <v>0.09</v>
      </c>
      <c r="S541" s="36">
        <v>22.36</v>
      </c>
      <c r="T541" s="36">
        <v>0.88</v>
      </c>
      <c r="U541" s="36">
        <v>0.7</v>
      </c>
      <c r="V541" s="42">
        <f t="shared" si="206"/>
        <v>2245.9</v>
      </c>
      <c r="W541" s="42">
        <f t="shared" si="207"/>
        <v>1678.1913407999996</v>
      </c>
      <c r="X541" s="42">
        <f t="shared" si="208"/>
        <v>0.74722442708936265</v>
      </c>
      <c r="Y541" s="57">
        <v>3</v>
      </c>
      <c r="Z541" s="57">
        <v>3</v>
      </c>
      <c r="AA541" s="63">
        <v>5.8</v>
      </c>
      <c r="AB541" s="57">
        <v>24</v>
      </c>
      <c r="AC541" s="63">
        <v>6.4</v>
      </c>
      <c r="AD541" s="63">
        <v>5.5</v>
      </c>
      <c r="AE541" s="36">
        <v>0.15</v>
      </c>
      <c r="AF541" s="36">
        <v>0.15</v>
      </c>
      <c r="AG541" s="42">
        <f t="shared" si="194"/>
        <v>1684.4250000000002</v>
      </c>
      <c r="AH541" s="42">
        <f t="shared" si="209"/>
        <v>1941.2225299999996</v>
      </c>
      <c r="AI541" s="42">
        <f t="shared" si="210"/>
        <v>1.1524541193582376</v>
      </c>
      <c r="AJ541" s="57">
        <v>6.3</v>
      </c>
      <c r="AK541" s="57">
        <v>4</v>
      </c>
      <c r="AL541" s="63">
        <v>6.3</v>
      </c>
      <c r="AM541" s="57">
        <v>25</v>
      </c>
      <c r="AN541" s="63">
        <v>6.3</v>
      </c>
      <c r="AO541" s="63">
        <v>6.4</v>
      </c>
      <c r="AP541" s="36">
        <v>0.21</v>
      </c>
      <c r="AQ541" s="36">
        <v>0.11</v>
      </c>
      <c r="AR541" s="73">
        <f t="shared" si="195"/>
        <v>2173</v>
      </c>
      <c r="AS541" s="93">
        <f t="shared" si="196"/>
        <v>0.18085595950299124</v>
      </c>
      <c r="AT541" s="93">
        <f t="shared" si="197"/>
        <v>0.70409572020248501</v>
      </c>
      <c r="AU541" s="93">
        <f t="shared" si="198"/>
        <v>0.11504832029452371</v>
      </c>
      <c r="AV541" s="26">
        <f t="shared" si="192"/>
        <v>2.0195254786198988E-3</v>
      </c>
      <c r="AW541" s="26">
        <f t="shared" si="211"/>
        <v>6.540955812573781E-3</v>
      </c>
      <c r="AX541" s="26">
        <f t="shared" si="188"/>
        <v>0.93413173652694614</v>
      </c>
      <c r="AY541" s="24">
        <f t="shared" si="189"/>
        <v>0.91017964071856283</v>
      </c>
      <c r="AZ541" s="77" t="str">
        <f t="shared" si="199"/>
        <v>5,0 ≤ Alc. Bruta &lt; 7,5 mg/L</v>
      </c>
      <c r="BA541" s="77" t="str">
        <f t="shared" si="200"/>
        <v>10 ≤ Cor &lt;15 uC</v>
      </c>
      <c r="BB541" s="78" t="str">
        <f t="shared" si="201"/>
        <v>Turbidez &lt; 2,5 uT</v>
      </c>
      <c r="BC541" s="79" t="str">
        <f t="shared" si="202"/>
        <v>SM &gt; TOR &gt; BNN</v>
      </c>
      <c r="BD541" s="78" t="str">
        <f t="shared" si="203"/>
        <v>Tipo 1 (≤0,25) uT</v>
      </c>
      <c r="BE541" s="78" t="str">
        <f t="shared" si="190"/>
        <v>Tipo 1 (≤0,25) uT</v>
      </c>
      <c r="BF541" s="78" t="str">
        <f t="shared" si="204"/>
        <v>Tipo 1 (≤0,25) uT</v>
      </c>
      <c r="BG541" s="78" t="str">
        <f t="shared" si="191"/>
        <v>Tipo 1 (≤0,25) uT</v>
      </c>
      <c r="BH541" s="78" t="str">
        <f t="shared" si="205"/>
        <v>Tipo 1 (≤0,25) uT</v>
      </c>
    </row>
    <row r="542" spans="1:60" x14ac:dyDescent="0.2">
      <c r="A542" s="31">
        <v>46318</v>
      </c>
      <c r="B542" s="80">
        <v>0.97916666666666663</v>
      </c>
      <c r="C542" s="57">
        <v>390</v>
      </c>
      <c r="D542" s="57">
        <v>1534</v>
      </c>
      <c r="E542" s="57">
        <v>250</v>
      </c>
      <c r="F542" s="57">
        <v>2185</v>
      </c>
      <c r="G542" s="85" t="s">
        <v>34</v>
      </c>
      <c r="H542" s="63">
        <v>8</v>
      </c>
      <c r="I542" s="57">
        <v>-44</v>
      </c>
      <c r="J542" s="57">
        <v>90</v>
      </c>
      <c r="K542" s="57">
        <v>90</v>
      </c>
      <c r="L542" s="57">
        <v>90</v>
      </c>
      <c r="M542" s="57">
        <v>24.8</v>
      </c>
      <c r="N542" s="63">
        <v>6.5</v>
      </c>
      <c r="O542" s="36">
        <v>1.72</v>
      </c>
      <c r="P542" s="57">
        <v>11</v>
      </c>
      <c r="Q542" s="63">
        <v>6.8</v>
      </c>
      <c r="R542" s="36">
        <v>0.09</v>
      </c>
      <c r="S542" s="36">
        <v>22.36</v>
      </c>
      <c r="T542" s="36">
        <v>0.88</v>
      </c>
      <c r="U542" s="36">
        <v>0.7</v>
      </c>
      <c r="V542" s="42">
        <f t="shared" si="206"/>
        <v>2228.7000000000003</v>
      </c>
      <c r="W542" s="42">
        <f t="shared" si="207"/>
        <v>1748.1159799999996</v>
      </c>
      <c r="X542" s="42">
        <f t="shared" si="208"/>
        <v>0.78436576479562048</v>
      </c>
      <c r="Y542" s="57">
        <v>3</v>
      </c>
      <c r="Z542" s="57">
        <v>3</v>
      </c>
      <c r="AA542" s="63">
        <v>5.8</v>
      </c>
      <c r="AB542" s="57">
        <v>25</v>
      </c>
      <c r="AC542" s="63">
        <v>6.4</v>
      </c>
      <c r="AD542" s="63">
        <v>5.7</v>
      </c>
      <c r="AE542" s="36">
        <v>0.19</v>
      </c>
      <c r="AF542" s="36">
        <v>0.16</v>
      </c>
      <c r="AG542" s="42">
        <f t="shared" si="194"/>
        <v>1671.5250000000001</v>
      </c>
      <c r="AH542" s="42">
        <f t="shared" si="209"/>
        <v>1979.8438399999998</v>
      </c>
      <c r="AI542" s="42">
        <f t="shared" si="210"/>
        <v>1.1844536216927655</v>
      </c>
      <c r="AJ542" s="57">
        <v>6.4</v>
      </c>
      <c r="AK542" s="57">
        <v>4</v>
      </c>
      <c r="AL542" s="63">
        <v>6.4</v>
      </c>
      <c r="AM542" s="57">
        <v>25</v>
      </c>
      <c r="AN542" s="63">
        <v>6.3</v>
      </c>
      <c r="AO542" s="63">
        <v>6.6</v>
      </c>
      <c r="AP542" s="36">
        <v>0.17</v>
      </c>
      <c r="AQ542" s="36">
        <v>0.11</v>
      </c>
      <c r="AR542" s="73">
        <f t="shared" si="195"/>
        <v>2174</v>
      </c>
      <c r="AS542" s="93">
        <f t="shared" si="196"/>
        <v>0.17939282428702852</v>
      </c>
      <c r="AT542" s="93">
        <f t="shared" si="197"/>
        <v>0.7056117755289788</v>
      </c>
      <c r="AU542" s="93">
        <f t="shared" si="198"/>
        <v>0.11499540018399264</v>
      </c>
      <c r="AV542" s="26">
        <f t="shared" si="192"/>
        <v>2.1538648003541069E-3</v>
      </c>
      <c r="AW542" s="26">
        <f t="shared" si="211"/>
        <v>6.8302588710887156E-3</v>
      </c>
      <c r="AX542" s="26">
        <f t="shared" si="188"/>
        <v>0.93604651162790697</v>
      </c>
      <c r="AY542" s="24">
        <f t="shared" si="189"/>
        <v>0.90697674418604657</v>
      </c>
      <c r="AZ542" s="77" t="str">
        <f t="shared" si="199"/>
        <v>5,0 ≤ Alc. Bruta &lt; 7,5 mg/L</v>
      </c>
      <c r="BA542" s="77" t="str">
        <f t="shared" si="200"/>
        <v>10 ≤ Cor &lt;15 uC</v>
      </c>
      <c r="BB542" s="78" t="str">
        <f t="shared" si="201"/>
        <v>Turbidez &lt; 2,5 uT</v>
      </c>
      <c r="BC542" s="79" t="str">
        <f t="shared" si="202"/>
        <v>SM &gt; TOR &gt; BNN</v>
      </c>
      <c r="BD542" s="78" t="str">
        <f t="shared" si="203"/>
        <v>Tipo 1 (≤0,25) uT</v>
      </c>
      <c r="BE542" s="78" t="str">
        <f t="shared" si="190"/>
        <v>Tipo 1 (≤0,25) uT</v>
      </c>
      <c r="BF542" s="78" t="str">
        <f t="shared" si="204"/>
        <v>Tipo 1 (≤0,25) uT</v>
      </c>
      <c r="BG542" s="78" t="str">
        <f t="shared" si="191"/>
        <v>Tipo 1 (≤0,25) uT</v>
      </c>
      <c r="BH542" s="78" t="str">
        <f t="shared" si="205"/>
        <v>Tipo 1 (≤0,25) uT</v>
      </c>
    </row>
    <row r="543" spans="1:60" x14ac:dyDescent="0.2">
      <c r="A543" s="31">
        <v>46319</v>
      </c>
      <c r="B543" s="80">
        <v>0.14583333333333334</v>
      </c>
      <c r="C543" s="57">
        <v>385</v>
      </c>
      <c r="D543" s="57">
        <v>1548</v>
      </c>
      <c r="E543" s="57">
        <v>245</v>
      </c>
      <c r="F543" s="57">
        <v>2239</v>
      </c>
      <c r="G543" s="85" t="s">
        <v>34</v>
      </c>
      <c r="H543" s="63">
        <v>8</v>
      </c>
      <c r="I543" s="57">
        <v>-60</v>
      </c>
      <c r="J543" s="57">
        <v>90</v>
      </c>
      <c r="K543" s="57">
        <v>90</v>
      </c>
      <c r="L543" s="57">
        <v>90</v>
      </c>
      <c r="M543" s="57">
        <v>24.5</v>
      </c>
      <c r="N543" s="63">
        <v>6.5</v>
      </c>
      <c r="O543" s="36">
        <v>1.7</v>
      </c>
      <c r="P543" s="57">
        <v>12</v>
      </c>
      <c r="Q543" s="63">
        <v>6.6</v>
      </c>
      <c r="R543" s="36">
        <v>0.13</v>
      </c>
      <c r="S543" s="36">
        <v>22.36</v>
      </c>
      <c r="T543" s="36">
        <v>0.88</v>
      </c>
      <c r="U543" s="36">
        <v>0.7</v>
      </c>
      <c r="V543" s="42">
        <f t="shared" si="206"/>
        <v>2276.3166666666666</v>
      </c>
      <c r="W543" s="42">
        <f t="shared" si="207"/>
        <v>1678.1913407999996</v>
      </c>
      <c r="X543" s="42">
        <f t="shared" si="208"/>
        <v>0.73723984249408747</v>
      </c>
      <c r="Y543" s="57">
        <v>3</v>
      </c>
      <c r="Z543" s="57">
        <v>3</v>
      </c>
      <c r="AA543" s="63">
        <v>5.8</v>
      </c>
      <c r="AB543" s="57">
        <v>24</v>
      </c>
      <c r="AC543" s="63">
        <v>6.2</v>
      </c>
      <c r="AD543" s="63">
        <v>5.6</v>
      </c>
      <c r="AE543" s="36">
        <v>0.16</v>
      </c>
      <c r="AF543" s="36">
        <v>0.15</v>
      </c>
      <c r="AG543" s="42">
        <f t="shared" si="194"/>
        <v>1707.2375</v>
      </c>
      <c r="AH543" s="42">
        <f t="shared" si="209"/>
        <v>1979.8438399999998</v>
      </c>
      <c r="AI543" s="42">
        <f t="shared" si="210"/>
        <v>1.1596768697969673</v>
      </c>
      <c r="AJ543" s="57">
        <v>6.4</v>
      </c>
      <c r="AK543" s="57">
        <v>4</v>
      </c>
      <c r="AL543" s="63">
        <v>6.4</v>
      </c>
      <c r="AM543" s="57">
        <v>25</v>
      </c>
      <c r="AN543" s="63">
        <v>6.4</v>
      </c>
      <c r="AO543" s="63">
        <v>6.8</v>
      </c>
      <c r="AP543" s="36">
        <v>0.18</v>
      </c>
      <c r="AQ543" s="36">
        <v>0.17</v>
      </c>
      <c r="AR543" s="73">
        <f t="shared" si="195"/>
        <v>2178</v>
      </c>
      <c r="AS543" s="93">
        <f t="shared" si="196"/>
        <v>0.17676767676767677</v>
      </c>
      <c r="AT543" s="93">
        <f t="shared" si="197"/>
        <v>0.71074380165289253</v>
      </c>
      <c r="AU543" s="93">
        <f t="shared" si="198"/>
        <v>0.11248852157943066</v>
      </c>
      <c r="AV543" s="26">
        <f t="shared" si="192"/>
        <v>1.9756315564825929E-3</v>
      </c>
      <c r="AW543" s="26">
        <f t="shared" si="211"/>
        <v>6.6296846509161156E-3</v>
      </c>
      <c r="AX543" s="26">
        <f t="shared" si="188"/>
        <v>0.9</v>
      </c>
      <c r="AY543" s="24">
        <f t="shared" si="189"/>
        <v>0.91176470588235292</v>
      </c>
      <c r="AZ543" s="77" t="str">
        <f t="shared" si="199"/>
        <v>5,0 ≤ Alc. Bruta &lt; 7,5 mg/L</v>
      </c>
      <c r="BA543" s="77" t="str">
        <f t="shared" si="200"/>
        <v>10 ≤ Cor &lt;15 uC</v>
      </c>
      <c r="BB543" s="78" t="str">
        <f t="shared" si="201"/>
        <v>Turbidez &lt; 2,5 uT</v>
      </c>
      <c r="BC543" s="79" t="str">
        <f t="shared" si="202"/>
        <v>SM &gt; TOR &gt; BNN</v>
      </c>
      <c r="BD543" s="78" t="str">
        <f t="shared" si="203"/>
        <v>Tipo 1 (≤0,25) uT</v>
      </c>
      <c r="BE543" s="78" t="str">
        <f t="shared" si="190"/>
        <v>Tipo 1 (≤0,25) uT</v>
      </c>
      <c r="BF543" s="78" t="str">
        <f t="shared" si="204"/>
        <v>Tipo 1 (≤0,25) uT</v>
      </c>
      <c r="BG543" s="78" t="str">
        <f t="shared" si="191"/>
        <v>Tipo 1 (≤0,25) uT</v>
      </c>
      <c r="BH543" s="78" t="str">
        <f t="shared" si="205"/>
        <v>Tipo 1 (≤0,25) uT</v>
      </c>
    </row>
    <row r="544" spans="1:60" ht="15.75" thickBot="1" x14ac:dyDescent="0.25">
      <c r="A544" s="32">
        <v>46319</v>
      </c>
      <c r="B544" s="81">
        <v>0.22916666666666666</v>
      </c>
      <c r="C544" s="58">
        <v>389</v>
      </c>
      <c r="D544" s="58">
        <v>1515</v>
      </c>
      <c r="E544" s="58">
        <v>249</v>
      </c>
      <c r="F544" s="58">
        <v>2262</v>
      </c>
      <c r="G544" s="86" t="s">
        <v>34</v>
      </c>
      <c r="H544" s="64">
        <v>8</v>
      </c>
      <c r="I544" s="58">
        <v>-76</v>
      </c>
      <c r="J544" s="58">
        <v>90</v>
      </c>
      <c r="K544" s="58">
        <v>90</v>
      </c>
      <c r="L544" s="58">
        <v>90</v>
      </c>
      <c r="M544" s="58">
        <v>24.3</v>
      </c>
      <c r="N544" s="64">
        <v>6.4</v>
      </c>
      <c r="O544" s="37">
        <v>1.65</v>
      </c>
      <c r="P544" s="58">
        <v>12</v>
      </c>
      <c r="Q544" s="64">
        <v>6.5</v>
      </c>
      <c r="R544" s="37">
        <v>0.14000000000000001</v>
      </c>
      <c r="S544" s="36">
        <v>22.36</v>
      </c>
      <c r="T544" s="36">
        <v>0.88</v>
      </c>
      <c r="U544" s="36">
        <v>0.7</v>
      </c>
      <c r="V544" s="42">
        <f t="shared" si="206"/>
        <v>2280.85</v>
      </c>
      <c r="W544" s="42">
        <f t="shared" si="207"/>
        <v>1678.1913407999996</v>
      </c>
      <c r="X544" s="42">
        <f t="shared" si="208"/>
        <v>0.73577453177543439</v>
      </c>
      <c r="Y544" s="58">
        <v>3</v>
      </c>
      <c r="Z544" s="58">
        <v>3</v>
      </c>
      <c r="AA544" s="64">
        <v>5.8</v>
      </c>
      <c r="AB544" s="58">
        <v>24</v>
      </c>
      <c r="AC544" s="64">
        <v>6.3</v>
      </c>
      <c r="AD544" s="64">
        <v>6.4</v>
      </c>
      <c r="AE544" s="37">
        <v>0.15</v>
      </c>
      <c r="AF544" s="37">
        <v>0.15</v>
      </c>
      <c r="AG544" s="42">
        <f t="shared" si="194"/>
        <v>1710.6375</v>
      </c>
      <c r="AH544" s="42">
        <f t="shared" si="209"/>
        <v>1979.8438399999998</v>
      </c>
      <c r="AI544" s="42">
        <f t="shared" si="210"/>
        <v>1.1573719388239763</v>
      </c>
      <c r="AJ544" s="58">
        <v>6.4</v>
      </c>
      <c r="AK544" s="58">
        <v>4</v>
      </c>
      <c r="AL544" s="64">
        <v>6.4</v>
      </c>
      <c r="AM544" s="58">
        <v>25</v>
      </c>
      <c r="AN544" s="64">
        <v>6.2</v>
      </c>
      <c r="AO544" s="64">
        <v>5.7</v>
      </c>
      <c r="AP544" s="37">
        <v>0.19</v>
      </c>
      <c r="AQ544" s="37">
        <v>0.18</v>
      </c>
      <c r="AR544" s="73">
        <f t="shared" si="195"/>
        <v>2153</v>
      </c>
      <c r="AS544" s="93">
        <f t="shared" si="196"/>
        <v>0.18067812354853693</v>
      </c>
      <c r="AT544" s="93">
        <f t="shared" si="197"/>
        <v>0.70366929865304229</v>
      </c>
      <c r="AU544" s="93">
        <f t="shared" si="198"/>
        <v>0.11565257779842081</v>
      </c>
      <c r="AV544" s="26">
        <f t="shared" si="192"/>
        <v>1.9516565829587121E-3</v>
      </c>
      <c r="AW544" s="26">
        <f t="shared" si="211"/>
        <v>6.3445676575673319E-3</v>
      </c>
      <c r="AX544" s="26">
        <f t="shared" si="188"/>
        <v>0.89090909090909087</v>
      </c>
      <c r="AY544" s="24">
        <f t="shared" si="189"/>
        <v>0.90909090909090906</v>
      </c>
      <c r="AZ544" s="77" t="str">
        <f t="shared" si="199"/>
        <v>5,0 ≤ Alc. Bruta &lt; 7,5 mg/L</v>
      </c>
      <c r="BA544" s="77" t="str">
        <f t="shared" si="200"/>
        <v>10 ≤ Cor &lt;15 uC</v>
      </c>
      <c r="BB544" s="78" t="str">
        <f t="shared" si="201"/>
        <v>Turbidez &lt; 2,5 uT</v>
      </c>
      <c r="BC544" s="79" t="str">
        <f t="shared" si="202"/>
        <v>SM &gt; TOR &gt; BNN</v>
      </c>
      <c r="BD544" s="78" t="str">
        <f t="shared" si="203"/>
        <v>Tipo 1 (≤0,25) uT</v>
      </c>
      <c r="BE544" s="78" t="str">
        <f t="shared" si="190"/>
        <v>Tipo 1 (≤0,25) uT</v>
      </c>
      <c r="BF544" s="78" t="str">
        <f t="shared" si="204"/>
        <v>Tipo 1 (≤0,25) uT</v>
      </c>
      <c r="BG544" s="78" t="str">
        <f t="shared" si="191"/>
        <v>Tipo 1 (≤0,25) uT</v>
      </c>
      <c r="BH544" s="78" t="str">
        <f t="shared" si="205"/>
        <v>Tipo 1 (≤0,25) uT</v>
      </c>
    </row>
    <row r="545" spans="1:60" x14ac:dyDescent="0.2">
      <c r="A545" s="30">
        <v>46319</v>
      </c>
      <c r="B545" s="82">
        <v>0.3125</v>
      </c>
      <c r="C545" s="59">
        <v>385</v>
      </c>
      <c r="D545" s="59">
        <v>1481</v>
      </c>
      <c r="E545" s="59">
        <v>250</v>
      </c>
      <c r="F545" s="59">
        <v>2310</v>
      </c>
      <c r="G545" s="87" t="s">
        <v>34</v>
      </c>
      <c r="H545" s="65">
        <v>8</v>
      </c>
      <c r="I545" s="59">
        <v>-35</v>
      </c>
      <c r="J545" s="59">
        <v>90</v>
      </c>
      <c r="K545" s="59">
        <v>90</v>
      </c>
      <c r="L545" s="59">
        <v>90</v>
      </c>
      <c r="M545" s="59">
        <v>23.7</v>
      </c>
      <c r="N545" s="65">
        <v>6.7</v>
      </c>
      <c r="O545" s="38">
        <v>1.78</v>
      </c>
      <c r="P545" s="59">
        <v>11</v>
      </c>
      <c r="Q545" s="65">
        <v>6.8</v>
      </c>
      <c r="R545" s="38">
        <v>0.15</v>
      </c>
      <c r="S545" s="36">
        <v>22.36</v>
      </c>
      <c r="T545" s="36">
        <v>0.88</v>
      </c>
      <c r="U545" s="36">
        <v>0.7</v>
      </c>
      <c r="V545" s="42">
        <f t="shared" si="206"/>
        <v>2379.2999999999997</v>
      </c>
      <c r="W545" s="42">
        <f t="shared" si="207"/>
        <v>1555.0094299999996</v>
      </c>
      <c r="X545" s="42">
        <f t="shared" si="208"/>
        <v>0.65355752952549062</v>
      </c>
      <c r="Y545" s="60">
        <v>3</v>
      </c>
      <c r="Z545" s="88">
        <v>3</v>
      </c>
      <c r="AA545" s="89">
        <v>5.3</v>
      </c>
      <c r="AB545" s="88">
        <v>25</v>
      </c>
      <c r="AC545" s="65">
        <v>6.5</v>
      </c>
      <c r="AD545" s="65">
        <v>6</v>
      </c>
      <c r="AE545" s="38">
        <v>0.16</v>
      </c>
      <c r="AF545" s="38">
        <v>0.18</v>
      </c>
      <c r="AG545" s="42">
        <f t="shared" si="194"/>
        <v>1784.4749999999999</v>
      </c>
      <c r="AH545" s="42">
        <f t="shared" si="209"/>
        <v>1979.8438399999998</v>
      </c>
      <c r="AI545" s="42">
        <f t="shared" si="210"/>
        <v>1.109482531276706</v>
      </c>
      <c r="AJ545" s="59">
        <v>6.4</v>
      </c>
      <c r="AK545" s="57">
        <v>4</v>
      </c>
      <c r="AL545" s="65">
        <v>6.4</v>
      </c>
      <c r="AM545" s="59">
        <v>25</v>
      </c>
      <c r="AN545" s="65">
        <v>6.4</v>
      </c>
      <c r="AO545" s="65">
        <v>5.8</v>
      </c>
      <c r="AP545" s="42">
        <v>0.14000000000000001</v>
      </c>
      <c r="AQ545" s="38">
        <v>0.15</v>
      </c>
      <c r="AR545" s="73">
        <f t="shared" si="195"/>
        <v>2116</v>
      </c>
      <c r="AS545" s="93">
        <f t="shared" si="196"/>
        <v>0.18194706994328921</v>
      </c>
      <c r="AT545" s="93">
        <f t="shared" si="197"/>
        <v>0.69990548204158787</v>
      </c>
      <c r="AU545" s="93">
        <f t="shared" si="198"/>
        <v>0.11814744801512288</v>
      </c>
      <c r="AV545" s="26">
        <f t="shared" si="192"/>
        <v>1.6975520247415341E-3</v>
      </c>
      <c r="AW545" s="26">
        <f t="shared" si="211"/>
        <v>6.1477819914899732E-3</v>
      </c>
      <c r="AX545" s="26">
        <f t="shared" si="188"/>
        <v>0.9157303370786517</v>
      </c>
      <c r="AY545" s="24">
        <f t="shared" si="189"/>
        <v>0.898876404494382</v>
      </c>
      <c r="AZ545" s="77" t="str">
        <f t="shared" si="199"/>
        <v>5,0 ≤ Alc. Bruta &lt; 7,5 mg/L</v>
      </c>
      <c r="BA545" s="77" t="str">
        <f t="shared" si="200"/>
        <v>10 ≤ Cor &lt;15 uC</v>
      </c>
      <c r="BB545" s="78" t="str">
        <f t="shared" si="201"/>
        <v>Turbidez &lt; 2,5 uT</v>
      </c>
      <c r="BC545" s="79" t="str">
        <f t="shared" si="202"/>
        <v>SM &gt; TOR &gt; BNN</v>
      </c>
      <c r="BD545" s="78" t="str">
        <f t="shared" si="203"/>
        <v>Tipo 1 (≤0,25) uT</v>
      </c>
      <c r="BE545" s="78" t="str">
        <f t="shared" si="190"/>
        <v>Tipo 1 (≤0,25) uT</v>
      </c>
      <c r="BF545" s="78" t="str">
        <f t="shared" si="204"/>
        <v>Tipo 1 (≤0,25) uT</v>
      </c>
      <c r="BG545" s="78" t="str">
        <f t="shared" si="191"/>
        <v>Tipo 1 (≤0,25) uT</v>
      </c>
      <c r="BH545" s="78" t="str">
        <f t="shared" si="205"/>
        <v>Tipo 1 (≤0,25) uT</v>
      </c>
    </row>
    <row r="546" spans="1:60" x14ac:dyDescent="0.2">
      <c r="A546" s="31">
        <v>46319</v>
      </c>
      <c r="B546" s="80">
        <v>0.39583333333333331</v>
      </c>
      <c r="C546" s="57">
        <v>391</v>
      </c>
      <c r="D546" s="57">
        <v>1492</v>
      </c>
      <c r="E546" s="57">
        <v>250</v>
      </c>
      <c r="F546" s="57">
        <v>2231</v>
      </c>
      <c r="G546" s="85" t="s">
        <v>78</v>
      </c>
      <c r="H546" s="63">
        <v>8</v>
      </c>
      <c r="I546" s="57">
        <v>-22</v>
      </c>
      <c r="J546" s="57">
        <v>90</v>
      </c>
      <c r="K546" s="57">
        <v>90</v>
      </c>
      <c r="L546" s="57">
        <v>90</v>
      </c>
      <c r="M546" s="57">
        <v>24</v>
      </c>
      <c r="N546" s="63">
        <v>6.4</v>
      </c>
      <c r="O546" s="36">
        <v>1.81</v>
      </c>
      <c r="P546" s="57">
        <v>12</v>
      </c>
      <c r="Q546" s="63">
        <v>6.6</v>
      </c>
      <c r="R546" s="36">
        <v>0.13</v>
      </c>
      <c r="S546" s="36">
        <v>22.36</v>
      </c>
      <c r="T546" s="36">
        <v>0.88</v>
      </c>
      <c r="U546" s="36">
        <v>0.7</v>
      </c>
      <c r="V546" s="42">
        <f t="shared" si="206"/>
        <v>2309.085</v>
      </c>
      <c r="W546" s="42">
        <f t="shared" si="207"/>
        <v>1555.0094299999996</v>
      </c>
      <c r="X546" s="42">
        <f t="shared" si="208"/>
        <v>0.67343100405571887</v>
      </c>
      <c r="Y546" s="57">
        <v>3</v>
      </c>
      <c r="Z546" s="57">
        <v>3</v>
      </c>
      <c r="AA546" s="63">
        <v>5.3</v>
      </c>
      <c r="AB546" s="57">
        <v>25</v>
      </c>
      <c r="AC546" s="63">
        <v>6.3</v>
      </c>
      <c r="AD546" s="63">
        <v>5.82</v>
      </c>
      <c r="AE546" s="36">
        <v>0.19</v>
      </c>
      <c r="AF546" s="36">
        <v>0.18</v>
      </c>
      <c r="AG546" s="42">
        <f t="shared" si="194"/>
        <v>1731.81375</v>
      </c>
      <c r="AH546" s="42">
        <f t="shared" si="209"/>
        <v>1979.8438399999998</v>
      </c>
      <c r="AI546" s="42">
        <f t="shared" si="210"/>
        <v>1.1432198410481496</v>
      </c>
      <c r="AJ546" s="57">
        <v>6.4</v>
      </c>
      <c r="AK546" s="57">
        <v>4</v>
      </c>
      <c r="AL546" s="63">
        <v>6.4</v>
      </c>
      <c r="AM546" s="57">
        <v>25</v>
      </c>
      <c r="AN546" s="63">
        <v>6.3</v>
      </c>
      <c r="AO546" s="63">
        <v>5.7</v>
      </c>
      <c r="AP546" s="36">
        <v>0.2</v>
      </c>
      <c r="AQ546" s="36">
        <v>0.14000000000000001</v>
      </c>
      <c r="AR546" s="73">
        <f t="shared" si="195"/>
        <v>2133</v>
      </c>
      <c r="AS546" s="93">
        <f t="shared" si="196"/>
        <v>0.18330989217065166</v>
      </c>
      <c r="AT546" s="93">
        <f t="shared" si="197"/>
        <v>0.69948429442100324</v>
      </c>
      <c r="AU546" s="93">
        <f t="shared" si="198"/>
        <v>0.11720581340834506</v>
      </c>
      <c r="AV546" s="26">
        <f t="shared" si="192"/>
        <v>1.8111098271332644E-3</v>
      </c>
      <c r="AW546" s="26">
        <f t="shared" si="211"/>
        <v>6.4565531139429335E-3</v>
      </c>
      <c r="AX546" s="26">
        <f t="shared" si="188"/>
        <v>0.92265193370165743</v>
      </c>
      <c r="AY546" s="24">
        <f t="shared" si="189"/>
        <v>0.90055248618784534</v>
      </c>
      <c r="AZ546" s="77" t="str">
        <f t="shared" si="199"/>
        <v>5,0 ≤ Alc. Bruta &lt; 7,5 mg/L</v>
      </c>
      <c r="BA546" s="77" t="str">
        <f t="shared" si="200"/>
        <v>10 ≤ Cor &lt;15 uC</v>
      </c>
      <c r="BB546" s="78" t="str">
        <f t="shared" si="201"/>
        <v>Turbidez &lt; 2,5 uT</v>
      </c>
      <c r="BC546" s="79" t="str">
        <f t="shared" si="202"/>
        <v>SM &gt; TOR &gt; BNN</v>
      </c>
      <c r="BD546" s="78" t="str">
        <f t="shared" si="203"/>
        <v>Tipo 1 (≤0,25) uT</v>
      </c>
      <c r="BE546" s="78" t="str">
        <f t="shared" si="190"/>
        <v>Tipo 1 (≤0,25) uT</v>
      </c>
      <c r="BF546" s="78" t="str">
        <f t="shared" si="204"/>
        <v>Tipo 1 (≤0,25) uT</v>
      </c>
      <c r="BG546" s="78" t="str">
        <f t="shared" si="191"/>
        <v>Tipo 1 (≤0,25) uT</v>
      </c>
      <c r="BH546" s="78" t="str">
        <f t="shared" si="205"/>
        <v>Tipo 1 (≤0,25) uT</v>
      </c>
    </row>
    <row r="547" spans="1:60" x14ac:dyDescent="0.2">
      <c r="A547" s="31">
        <v>46319</v>
      </c>
      <c r="B547" s="80">
        <v>0.5625</v>
      </c>
      <c r="C547" s="57">
        <v>376</v>
      </c>
      <c r="D547" s="57">
        <v>1545</v>
      </c>
      <c r="E547" s="57">
        <v>250</v>
      </c>
      <c r="F547" s="57">
        <v>2151</v>
      </c>
      <c r="G547" s="85" t="s">
        <v>78</v>
      </c>
      <c r="H547" s="63">
        <v>8</v>
      </c>
      <c r="I547" s="57">
        <v>-29</v>
      </c>
      <c r="J547" s="57">
        <v>90</v>
      </c>
      <c r="K547" s="57">
        <v>90</v>
      </c>
      <c r="L547" s="57">
        <v>90</v>
      </c>
      <c r="M547" s="57">
        <v>25.4</v>
      </c>
      <c r="N547" s="63">
        <v>6.5</v>
      </c>
      <c r="O547" s="36">
        <v>1.55</v>
      </c>
      <c r="P547" s="57">
        <v>11</v>
      </c>
      <c r="Q547" s="63">
        <v>6.3</v>
      </c>
      <c r="R547" s="36">
        <v>0.1</v>
      </c>
      <c r="S547" s="36">
        <v>22.36</v>
      </c>
      <c r="T547" s="36">
        <v>0.88</v>
      </c>
      <c r="U547" s="36">
        <v>0.7</v>
      </c>
      <c r="V547" s="42">
        <f t="shared" si="206"/>
        <v>2133.0750000000003</v>
      </c>
      <c r="W547" s="42">
        <f t="shared" si="207"/>
        <v>1555.0094299999996</v>
      </c>
      <c r="X547" s="42">
        <f t="shared" si="208"/>
        <v>0.72899894752880201</v>
      </c>
      <c r="Y547" s="57">
        <v>3</v>
      </c>
      <c r="Z547" s="57">
        <v>3</v>
      </c>
      <c r="AA547" s="63">
        <v>5.3</v>
      </c>
      <c r="AB547" s="57">
        <v>25</v>
      </c>
      <c r="AC547" s="63">
        <v>6.2</v>
      </c>
      <c r="AD547" s="63">
        <v>4.5999999999999996</v>
      </c>
      <c r="AE547" s="36">
        <v>0.15</v>
      </c>
      <c r="AF547" s="36">
        <v>0.18</v>
      </c>
      <c r="AG547" s="42">
        <f t="shared" si="194"/>
        <v>1599.8062500000001</v>
      </c>
      <c r="AH547" s="42">
        <f t="shared" si="209"/>
        <v>1979.8438399999998</v>
      </c>
      <c r="AI547" s="42">
        <f t="shared" si="210"/>
        <v>1.2375522598439652</v>
      </c>
      <c r="AJ547" s="57">
        <v>6.4</v>
      </c>
      <c r="AK547" s="57">
        <v>4</v>
      </c>
      <c r="AL547" s="63">
        <v>6.4</v>
      </c>
      <c r="AM547" s="57">
        <v>25</v>
      </c>
      <c r="AN547" s="63">
        <v>6.2</v>
      </c>
      <c r="AO547" s="63">
        <v>4.9000000000000004</v>
      </c>
      <c r="AP547" s="36">
        <v>0.13</v>
      </c>
      <c r="AQ547" s="36">
        <v>0.11</v>
      </c>
      <c r="AR547" s="73">
        <f t="shared" si="195"/>
        <v>2171</v>
      </c>
      <c r="AS547" s="93">
        <f t="shared" si="196"/>
        <v>0.17319207738369416</v>
      </c>
      <c r="AT547" s="93">
        <f t="shared" si="197"/>
        <v>0.71165361584523257</v>
      </c>
      <c r="AU547" s="93">
        <f t="shared" si="198"/>
        <v>0.11515430677107324</v>
      </c>
      <c r="AV547" s="26">
        <f t="shared" si="192"/>
        <v>2.0334698675838273E-3</v>
      </c>
      <c r="AW547" s="26">
        <f t="shared" si="211"/>
        <v>7.134192478877345E-3</v>
      </c>
      <c r="AX547" s="26">
        <f t="shared" ref="AX547:AX572" si="212">IF(AND(AQ547&lt;&gt;"",1-(AQ547/O547)&gt;0),1-(AQ547/O547),"")</f>
        <v>0.92903225806451617</v>
      </c>
      <c r="AY547" s="24">
        <f t="shared" ref="AY547:AY572" si="213">IF(AND(AF547&lt;&gt;"",1-(AF547/O547)&gt;0),1-(AF547/O547),"")</f>
        <v>0.88387096774193552</v>
      </c>
      <c r="AZ547" s="77" t="str">
        <f t="shared" si="199"/>
        <v>5,0 ≤ Alc. Bruta &lt; 7,5 mg/L</v>
      </c>
      <c r="BA547" s="77" t="str">
        <f t="shared" si="200"/>
        <v>10 ≤ Cor &lt;15 uC</v>
      </c>
      <c r="BB547" s="78" t="str">
        <f t="shared" si="201"/>
        <v>Turbidez &lt; 2,5 uT</v>
      </c>
      <c r="BC547" s="79" t="str">
        <f t="shared" si="202"/>
        <v>SM &gt; TOR &gt; BNN</v>
      </c>
      <c r="BD547" s="78" t="str">
        <f t="shared" si="203"/>
        <v>Tipo 1 (≤0,25) uT</v>
      </c>
      <c r="BE547" s="78" t="str">
        <f t="shared" si="190"/>
        <v>Tipo 1 (≤0,25) uT</v>
      </c>
      <c r="BF547" s="78" t="str">
        <f t="shared" si="204"/>
        <v>Tipo 1 (≤0,25) uT</v>
      </c>
      <c r="BG547" s="78" t="str">
        <f t="shared" si="191"/>
        <v>Tipo 1 (≤0,25) uT</v>
      </c>
      <c r="BH547" s="78" t="str">
        <f t="shared" si="205"/>
        <v>Tipo 1 (≤0,25) uT</v>
      </c>
    </row>
    <row r="548" spans="1:60" x14ac:dyDescent="0.2">
      <c r="A548" s="31">
        <v>46319</v>
      </c>
      <c r="B548" s="80">
        <v>0.64583333333333337</v>
      </c>
      <c r="C548" s="57">
        <v>365</v>
      </c>
      <c r="D548" s="57">
        <v>1485</v>
      </c>
      <c r="E548" s="57">
        <v>230</v>
      </c>
      <c r="F548" s="57">
        <v>2161</v>
      </c>
      <c r="G548" s="85" t="s">
        <v>78</v>
      </c>
      <c r="H548" s="63">
        <v>8</v>
      </c>
      <c r="I548" s="57">
        <v>-22</v>
      </c>
      <c r="J548" s="57">
        <v>90</v>
      </c>
      <c r="K548" s="57">
        <v>90</v>
      </c>
      <c r="L548" s="57">
        <v>90</v>
      </c>
      <c r="M548" s="57">
        <v>25.7</v>
      </c>
      <c r="N548" s="63">
        <v>6.4</v>
      </c>
      <c r="O548" s="36">
        <v>1.7</v>
      </c>
      <c r="P548" s="57">
        <v>11</v>
      </c>
      <c r="Q548" s="63">
        <v>6.5</v>
      </c>
      <c r="R548" s="36">
        <v>0.1</v>
      </c>
      <c r="S548" s="36">
        <v>22.36</v>
      </c>
      <c r="T548" s="36">
        <v>0.88</v>
      </c>
      <c r="U548" s="36">
        <v>0.7</v>
      </c>
      <c r="V548" s="42">
        <f t="shared" si="206"/>
        <v>2197.0166666666669</v>
      </c>
      <c r="W548" s="42">
        <f t="shared" si="207"/>
        <v>1555.0094299999996</v>
      </c>
      <c r="X548" s="42">
        <f t="shared" si="208"/>
        <v>0.70778226382746279</v>
      </c>
      <c r="Y548" s="57">
        <v>3</v>
      </c>
      <c r="Z548" s="57">
        <v>3</v>
      </c>
      <c r="AA548" s="63">
        <v>5.3</v>
      </c>
      <c r="AB548" s="57">
        <v>25</v>
      </c>
      <c r="AC548" s="63">
        <v>6.2</v>
      </c>
      <c r="AD548" s="63">
        <v>4.5</v>
      </c>
      <c r="AE548" s="36">
        <v>0.11</v>
      </c>
      <c r="AF548" s="36"/>
      <c r="AG548" s="42">
        <f t="shared" si="194"/>
        <v>1647.7624999999998</v>
      </c>
      <c r="AH548" s="42">
        <f t="shared" si="209"/>
        <v>1979.8438399999998</v>
      </c>
      <c r="AI548" s="42">
        <f t="shared" si="210"/>
        <v>1.2015347114647894</v>
      </c>
      <c r="AJ548" s="57">
        <v>6.4</v>
      </c>
      <c r="AK548" s="57">
        <v>4</v>
      </c>
      <c r="AL548" s="63">
        <v>6.4</v>
      </c>
      <c r="AM548" s="57">
        <v>25</v>
      </c>
      <c r="AN548" s="63">
        <v>6.2</v>
      </c>
      <c r="AO548" s="63">
        <v>5</v>
      </c>
      <c r="AP548" s="36">
        <v>0.12</v>
      </c>
      <c r="AQ548" s="36">
        <v>0.12</v>
      </c>
      <c r="AR548" s="73">
        <f t="shared" si="195"/>
        <v>2080</v>
      </c>
      <c r="AS548" s="93">
        <f t="shared" si="196"/>
        <v>0.17548076923076922</v>
      </c>
      <c r="AT548" s="93">
        <f t="shared" si="197"/>
        <v>0.71394230769230771</v>
      </c>
      <c r="AU548" s="93">
        <f t="shared" si="198"/>
        <v>0.11057692307692307</v>
      </c>
      <c r="AV548" s="26">
        <f t="shared" si="192"/>
        <v>1.9651520513488093E-3</v>
      </c>
      <c r="AW548" s="26">
        <f t="shared" si="211"/>
        <v>6.8945073679608461E-3</v>
      </c>
      <c r="AX548" s="26">
        <f t="shared" si="212"/>
        <v>0.92941176470588238</v>
      </c>
      <c r="AY548" s="24" t="str">
        <f t="shared" si="213"/>
        <v/>
      </c>
      <c r="AZ548" s="77" t="str">
        <f t="shared" si="199"/>
        <v>5,0 ≤ Alc. Bruta &lt; 7,5 mg/L</v>
      </c>
      <c r="BA548" s="77" t="str">
        <f t="shared" si="200"/>
        <v>10 ≤ Cor &lt;15 uC</v>
      </c>
      <c r="BB548" s="78" t="str">
        <f t="shared" si="201"/>
        <v>Turbidez &lt; 2,5 uT</v>
      </c>
      <c r="BC548" s="79" t="str">
        <f t="shared" si="202"/>
        <v>SM &gt; TOR &gt; BNN</v>
      </c>
      <c r="BD548" s="78" t="str">
        <f t="shared" si="203"/>
        <v>Tipo 1 (≤0,25) uT</v>
      </c>
      <c r="BE548" s="78" t="str">
        <f t="shared" si="190"/>
        <v>Tipo 1 (≤0,25) uT</v>
      </c>
      <c r="BF548" s="78" t="str">
        <f t="shared" si="204"/>
        <v/>
      </c>
      <c r="BG548" s="78" t="str">
        <f t="shared" si="191"/>
        <v>Tipo 1 (≤0,25) uT</v>
      </c>
      <c r="BH548" s="78" t="str">
        <f t="shared" si="205"/>
        <v>Tipo 1 (≤0,25) uT</v>
      </c>
    </row>
    <row r="549" spans="1:60" x14ac:dyDescent="0.2">
      <c r="A549" s="31">
        <v>46319</v>
      </c>
      <c r="B549" s="80">
        <v>0.72916666666666663</v>
      </c>
      <c r="C549" s="57">
        <v>381</v>
      </c>
      <c r="D549" s="57">
        <v>1501</v>
      </c>
      <c r="E549" s="57">
        <v>250</v>
      </c>
      <c r="F549" s="57">
        <v>2210</v>
      </c>
      <c r="G549" s="85" t="s">
        <v>78</v>
      </c>
      <c r="H549" s="63">
        <v>8</v>
      </c>
      <c r="I549" s="57">
        <v>-17</v>
      </c>
      <c r="J549" s="57">
        <v>90</v>
      </c>
      <c r="K549" s="57">
        <v>90</v>
      </c>
      <c r="L549" s="57">
        <v>90</v>
      </c>
      <c r="M549" s="57">
        <v>25.6</v>
      </c>
      <c r="N549" s="63">
        <v>6.4</v>
      </c>
      <c r="O549" s="36">
        <v>1.75</v>
      </c>
      <c r="P549" s="57">
        <v>11</v>
      </c>
      <c r="Q549" s="63">
        <v>6.7</v>
      </c>
      <c r="R549" s="36">
        <v>0.1</v>
      </c>
      <c r="S549" s="36">
        <v>22.36</v>
      </c>
      <c r="T549" s="36">
        <v>0.88</v>
      </c>
      <c r="U549" s="36">
        <v>0.7</v>
      </c>
      <c r="V549" s="42">
        <f t="shared" si="206"/>
        <v>2265.25</v>
      </c>
      <c r="W549" s="42">
        <f t="shared" si="207"/>
        <v>1555.0094299999996</v>
      </c>
      <c r="X549" s="42">
        <f t="shared" si="208"/>
        <v>0.68646261119081764</v>
      </c>
      <c r="Y549" s="57">
        <v>3</v>
      </c>
      <c r="Z549" s="57">
        <v>3</v>
      </c>
      <c r="AA549" s="63">
        <v>5.3</v>
      </c>
      <c r="AB549" s="57">
        <v>25</v>
      </c>
      <c r="AC549" s="63">
        <v>6.1</v>
      </c>
      <c r="AD549" s="63">
        <v>4.3</v>
      </c>
      <c r="AE549" s="36">
        <v>0.09</v>
      </c>
      <c r="AF549" s="36"/>
      <c r="AG549" s="42">
        <f t="shared" si="194"/>
        <v>1698.9375</v>
      </c>
      <c r="AH549" s="42">
        <f t="shared" si="209"/>
        <v>1979.8438399999998</v>
      </c>
      <c r="AI549" s="42">
        <f t="shared" si="210"/>
        <v>1.1653423625059778</v>
      </c>
      <c r="AJ549" s="57">
        <v>6.4</v>
      </c>
      <c r="AK549" s="57">
        <v>4</v>
      </c>
      <c r="AL549" s="63">
        <v>6.4</v>
      </c>
      <c r="AM549" s="57">
        <v>25</v>
      </c>
      <c r="AN549" s="63">
        <v>6.2</v>
      </c>
      <c r="AO549" s="63">
        <v>5.0999999999999996</v>
      </c>
      <c r="AP549" s="36">
        <v>0.12</v>
      </c>
      <c r="AQ549" s="36">
        <v>0.11</v>
      </c>
      <c r="AR549" s="73">
        <f t="shared" si="195"/>
        <v>2132</v>
      </c>
      <c r="AS549" s="93">
        <f t="shared" si="196"/>
        <v>0.17870544090056284</v>
      </c>
      <c r="AT549" s="93">
        <f t="shared" si="197"/>
        <v>0.70403377110694187</v>
      </c>
      <c r="AU549" s="93">
        <f t="shared" si="198"/>
        <v>0.11726078799249531</v>
      </c>
      <c r="AV549" s="26">
        <f t="shared" si="192"/>
        <v>1.8636993968981475E-3</v>
      </c>
      <c r="AW549" s="26">
        <f t="shared" si="211"/>
        <v>6.5385725317077485E-3</v>
      </c>
      <c r="AX549" s="26">
        <f t="shared" si="212"/>
        <v>0.93714285714285717</v>
      </c>
      <c r="AY549" s="24" t="str">
        <f t="shared" si="213"/>
        <v/>
      </c>
      <c r="AZ549" s="77" t="str">
        <f t="shared" si="199"/>
        <v>5,0 ≤ Alc. Bruta &lt; 7,5 mg/L</v>
      </c>
      <c r="BA549" s="77" t="str">
        <f t="shared" si="200"/>
        <v>10 ≤ Cor &lt;15 uC</v>
      </c>
      <c r="BB549" s="78" t="str">
        <f t="shared" si="201"/>
        <v>Turbidez &lt; 2,5 uT</v>
      </c>
      <c r="BC549" s="79" t="str">
        <f t="shared" si="202"/>
        <v>SM &gt; TOR &gt; BNN</v>
      </c>
      <c r="BD549" s="78" t="str">
        <f t="shared" si="203"/>
        <v>Tipo 1 (≤0,25) uT</v>
      </c>
      <c r="BE549" s="78" t="str">
        <f t="shared" si="190"/>
        <v>Tipo 1 (≤0,25) uT</v>
      </c>
      <c r="BF549" s="78" t="str">
        <f t="shared" si="204"/>
        <v/>
      </c>
      <c r="BG549" s="78" t="str">
        <f t="shared" si="191"/>
        <v>Tipo 1 (≤0,25) uT</v>
      </c>
      <c r="BH549" s="78" t="str">
        <f t="shared" si="205"/>
        <v>Tipo 1 (≤0,25) uT</v>
      </c>
    </row>
    <row r="550" spans="1:60" x14ac:dyDescent="0.2">
      <c r="A550" s="31">
        <v>46319</v>
      </c>
      <c r="B550" s="80">
        <v>0.89583333333333337</v>
      </c>
      <c r="C550" s="57">
        <v>301</v>
      </c>
      <c r="D550" s="57">
        <v>1023</v>
      </c>
      <c r="E550" s="57">
        <v>250</v>
      </c>
      <c r="F550" s="57">
        <v>1746</v>
      </c>
      <c r="G550" s="85" t="s">
        <v>78</v>
      </c>
      <c r="H550" s="63">
        <v>8</v>
      </c>
      <c r="I550" s="57">
        <v>7</v>
      </c>
      <c r="J550" s="57">
        <v>90</v>
      </c>
      <c r="K550" s="57">
        <v>90</v>
      </c>
      <c r="L550" s="57">
        <v>90</v>
      </c>
      <c r="M550" s="57">
        <v>25.6</v>
      </c>
      <c r="N550" s="63">
        <v>6.3</v>
      </c>
      <c r="O550" s="36">
        <v>1.92</v>
      </c>
      <c r="P550" s="57">
        <v>10</v>
      </c>
      <c r="Q550" s="63">
        <v>8.1999999999999993</v>
      </c>
      <c r="R550" s="36">
        <v>0.09</v>
      </c>
      <c r="S550" s="36">
        <v>22.36</v>
      </c>
      <c r="T550" s="36">
        <v>0.88</v>
      </c>
      <c r="U550" s="36">
        <v>0.7</v>
      </c>
      <c r="V550" s="42">
        <f t="shared" si="206"/>
        <v>2758.6800000000003</v>
      </c>
      <c r="W550" s="42">
        <f t="shared" si="207"/>
        <v>1670.8733599999998</v>
      </c>
      <c r="X550" s="42">
        <f t="shared" si="208"/>
        <v>0.6056785709107253</v>
      </c>
      <c r="Y550" s="57">
        <v>2</v>
      </c>
      <c r="Z550" s="57">
        <v>2</v>
      </c>
      <c r="AA550" s="63">
        <v>5.6</v>
      </c>
      <c r="AB550" s="57">
        <v>25</v>
      </c>
      <c r="AC550" s="63">
        <v>6.1</v>
      </c>
      <c r="AD550" s="63">
        <v>4.2</v>
      </c>
      <c r="AE550" s="36">
        <v>0.21</v>
      </c>
      <c r="AF550" s="36">
        <v>0.31</v>
      </c>
      <c r="AG550" s="42">
        <f t="shared" si="194"/>
        <v>1379.3400000000001</v>
      </c>
      <c r="AH550" s="42">
        <f t="shared" si="209"/>
        <v>1941.2225299999996</v>
      </c>
      <c r="AI550" s="42">
        <f t="shared" si="210"/>
        <v>1.4073560760943635</v>
      </c>
      <c r="AJ550" s="57">
        <v>6.3</v>
      </c>
      <c r="AK550" s="57">
        <v>4</v>
      </c>
      <c r="AL550" s="63">
        <v>6.3</v>
      </c>
      <c r="AM550" s="57">
        <v>25</v>
      </c>
      <c r="AN550" s="63">
        <v>6.2</v>
      </c>
      <c r="AO550" s="63">
        <v>5.2</v>
      </c>
      <c r="AP550" s="36">
        <v>0.14000000000000001</v>
      </c>
      <c r="AQ550" s="36">
        <v>0.11</v>
      </c>
      <c r="AR550" s="73">
        <f t="shared" si="195"/>
        <v>1574</v>
      </c>
      <c r="AS550" s="93">
        <f t="shared" si="196"/>
        <v>0.19123252858958067</v>
      </c>
      <c r="AT550" s="93">
        <f t="shared" si="197"/>
        <v>0.64993646759847523</v>
      </c>
      <c r="AU550" s="93">
        <f t="shared" si="198"/>
        <v>0.15883100381194409</v>
      </c>
      <c r="AV550" s="26">
        <f t="shared" si="192"/>
        <v>1.3875797729913522E-3</v>
      </c>
      <c r="AW550" s="26">
        <f t="shared" si="211"/>
        <v>9.9949686962028123E-3</v>
      </c>
      <c r="AX550" s="26">
        <f t="shared" si="212"/>
        <v>0.94270833333333337</v>
      </c>
      <c r="AY550" s="24">
        <f t="shared" si="213"/>
        <v>0.83854166666666663</v>
      </c>
      <c r="AZ550" s="77" t="str">
        <f t="shared" si="199"/>
        <v>7,5 ≤ Alc. Bruta &lt; 10,0 mg/L</v>
      </c>
      <c r="BA550" s="77" t="str">
        <f t="shared" si="200"/>
        <v>10 ≤ Cor &lt;15 uC</v>
      </c>
      <c r="BB550" s="78" t="str">
        <f t="shared" si="201"/>
        <v>Turbidez &lt; 2,5 uT</v>
      </c>
      <c r="BC550" s="79" t="str">
        <f t="shared" si="202"/>
        <v>SM &gt; TOR &gt; BNN</v>
      </c>
      <c r="BD550" s="78" t="str">
        <f t="shared" si="203"/>
        <v>Tipo 1 (≤0,25) uT</v>
      </c>
      <c r="BE550" s="78" t="str">
        <f t="shared" si="190"/>
        <v>Tipo 1 (≤0,25) uT</v>
      </c>
      <c r="BF550" s="78" t="str">
        <f t="shared" si="204"/>
        <v>Tipo 2 (0,25-0,50) uT</v>
      </c>
      <c r="BG550" s="78" t="str">
        <f t="shared" si="191"/>
        <v>Tipo 1 (≤0,25) uT</v>
      </c>
      <c r="BH550" s="78" t="str">
        <f t="shared" si="205"/>
        <v>Tipo 1 (≤0,25) uT</v>
      </c>
    </row>
    <row r="551" spans="1:60" x14ac:dyDescent="0.2">
      <c r="A551" s="31">
        <v>46320</v>
      </c>
      <c r="B551" s="80">
        <v>6.25E-2</v>
      </c>
      <c r="C551" s="57">
        <v>300</v>
      </c>
      <c r="D551" s="57">
        <v>1015</v>
      </c>
      <c r="E551" s="57">
        <v>250</v>
      </c>
      <c r="F551" s="57">
        <v>1697</v>
      </c>
      <c r="G551" s="85" t="s">
        <v>78</v>
      </c>
      <c r="H551" s="63">
        <v>8</v>
      </c>
      <c r="I551" s="57">
        <v>29</v>
      </c>
      <c r="J551" s="57">
        <v>90</v>
      </c>
      <c r="K551" s="57">
        <v>90</v>
      </c>
      <c r="L551" s="57">
        <v>90</v>
      </c>
      <c r="M551" s="57">
        <v>25.4</v>
      </c>
      <c r="N551" s="63">
        <v>6.3</v>
      </c>
      <c r="O551" s="36">
        <v>1.79</v>
      </c>
      <c r="P551" s="57">
        <v>12</v>
      </c>
      <c r="Q551" s="63">
        <v>8.1999999999999993</v>
      </c>
      <c r="R551" s="36">
        <v>0.08</v>
      </c>
      <c r="S551" s="36">
        <v>22.36</v>
      </c>
      <c r="T551" s="36">
        <v>0.88</v>
      </c>
      <c r="U551" s="36">
        <v>0.7</v>
      </c>
      <c r="V551" s="42">
        <f t="shared" si="206"/>
        <v>2626.1074999999996</v>
      </c>
      <c r="W551" s="42">
        <f t="shared" si="207"/>
        <v>1670.8733599999998</v>
      </c>
      <c r="X551" s="42">
        <f t="shared" si="208"/>
        <v>0.63625474585484409</v>
      </c>
      <c r="Y551" s="57">
        <v>2</v>
      </c>
      <c r="Z551" s="57">
        <v>2</v>
      </c>
      <c r="AA551" s="63">
        <v>5.6</v>
      </c>
      <c r="AB551" s="57">
        <v>25</v>
      </c>
      <c r="AC551" s="63">
        <v>6.3</v>
      </c>
      <c r="AD551" s="63">
        <v>7.9</v>
      </c>
      <c r="AE551" s="36">
        <v>0.12</v>
      </c>
      <c r="AF551" s="36">
        <v>0.36</v>
      </c>
      <c r="AG551" s="42">
        <f t="shared" si="194"/>
        <v>1313.0537499999998</v>
      </c>
      <c r="AH551" s="42">
        <f t="shared" si="209"/>
        <v>1941.2225299999996</v>
      </c>
      <c r="AI551" s="42">
        <f t="shared" si="210"/>
        <v>1.4784029442816029</v>
      </c>
      <c r="AJ551" s="57">
        <v>6.3</v>
      </c>
      <c r="AK551" s="57">
        <v>4</v>
      </c>
      <c r="AL551" s="63">
        <v>6.3</v>
      </c>
      <c r="AM551" s="57">
        <v>25</v>
      </c>
      <c r="AN551" s="63">
        <v>6.2</v>
      </c>
      <c r="AO551" s="63">
        <v>6.7</v>
      </c>
      <c r="AP551" s="36">
        <v>0.11</v>
      </c>
      <c r="AQ551" s="36">
        <v>0.1</v>
      </c>
      <c r="AR551" s="73">
        <f t="shared" si="195"/>
        <v>1565</v>
      </c>
      <c r="AS551" s="93">
        <f t="shared" si="196"/>
        <v>0.19169329073482427</v>
      </c>
      <c r="AT551" s="93">
        <f t="shared" si="197"/>
        <v>0.6485623003194888</v>
      </c>
      <c r="AU551" s="93">
        <f t="shared" si="198"/>
        <v>0.15974440894568689</v>
      </c>
      <c r="AV551" s="26">
        <f t="shared" si="192"/>
        <v>1.4997165488623313E-3</v>
      </c>
      <c r="AW551" s="26">
        <f t="shared" si="211"/>
        <v>1.0802708608775413E-2</v>
      </c>
      <c r="AX551" s="26">
        <f t="shared" si="212"/>
        <v>0.94413407821229045</v>
      </c>
      <c r="AY551" s="24">
        <f t="shared" si="213"/>
        <v>0.7988826815642458</v>
      </c>
      <c r="AZ551" s="77" t="str">
        <f t="shared" si="199"/>
        <v>7,5 ≤ Alc. Bruta &lt; 10,0 mg/L</v>
      </c>
      <c r="BA551" s="77" t="str">
        <f t="shared" si="200"/>
        <v>10 ≤ Cor &lt;15 uC</v>
      </c>
      <c r="BB551" s="78" t="str">
        <f t="shared" si="201"/>
        <v>Turbidez &lt; 2,5 uT</v>
      </c>
      <c r="BC551" s="79" t="str">
        <f t="shared" si="202"/>
        <v>SM &gt; TOR &gt; BNN</v>
      </c>
      <c r="BD551" s="78" t="str">
        <f t="shared" si="203"/>
        <v>Tipo 1 (≤0,25) uT</v>
      </c>
      <c r="BE551" s="78" t="str">
        <f t="shared" si="190"/>
        <v>Tipo 1 (≤0,25) uT</v>
      </c>
      <c r="BF551" s="78" t="str">
        <f t="shared" si="204"/>
        <v>Tipo 2 (0,25-0,50) uT</v>
      </c>
      <c r="BG551" s="78" t="str">
        <f t="shared" si="191"/>
        <v>Tipo 1 (≤0,25) uT</v>
      </c>
      <c r="BH551" s="78" t="str">
        <f t="shared" si="205"/>
        <v>Tipo 1 (≤0,25) uT</v>
      </c>
    </row>
    <row r="552" spans="1:60" x14ac:dyDescent="0.2">
      <c r="A552" s="31">
        <v>46320</v>
      </c>
      <c r="B552" s="80">
        <v>0.14583333333333334</v>
      </c>
      <c r="C552" s="57">
        <v>304</v>
      </c>
      <c r="D552" s="57">
        <v>1029</v>
      </c>
      <c r="E552" s="57">
        <v>250</v>
      </c>
      <c r="F552" s="57">
        <v>1692</v>
      </c>
      <c r="G552" s="85" t="s">
        <v>78</v>
      </c>
      <c r="H552" s="63">
        <v>8</v>
      </c>
      <c r="I552" s="57">
        <v>35</v>
      </c>
      <c r="J552" s="57">
        <v>90</v>
      </c>
      <c r="K552" s="57">
        <v>90</v>
      </c>
      <c r="L552" s="57">
        <v>90</v>
      </c>
      <c r="M552" s="57">
        <v>25.2</v>
      </c>
      <c r="N552" s="63">
        <v>6.4</v>
      </c>
      <c r="O552" s="36">
        <v>1.82</v>
      </c>
      <c r="P552" s="57">
        <v>13</v>
      </c>
      <c r="Q552" s="63">
        <v>7.6</v>
      </c>
      <c r="R552" s="36">
        <v>0.08</v>
      </c>
      <c r="S552" s="36">
        <v>22.36</v>
      </c>
      <c r="T552" s="36">
        <v>0.88</v>
      </c>
      <c r="U552" s="36">
        <v>0.7</v>
      </c>
      <c r="V552" s="42">
        <f t="shared" si="206"/>
        <v>2631.06</v>
      </c>
      <c r="W552" s="42">
        <f t="shared" si="207"/>
        <v>1632.2520499999996</v>
      </c>
      <c r="X552" s="42">
        <f t="shared" si="208"/>
        <v>0.62037811756478367</v>
      </c>
      <c r="Y552" s="57">
        <v>2</v>
      </c>
      <c r="Z552" s="57">
        <v>2</v>
      </c>
      <c r="AA552" s="63">
        <v>5.5</v>
      </c>
      <c r="AB552" s="57">
        <v>25</v>
      </c>
      <c r="AC552" s="63">
        <v>6.1</v>
      </c>
      <c r="AD552" s="63">
        <v>5.4</v>
      </c>
      <c r="AE552" s="36">
        <v>0.12</v>
      </c>
      <c r="AF552" s="36">
        <v>0.26</v>
      </c>
      <c r="AG552" s="42">
        <f t="shared" si="194"/>
        <v>1315.53</v>
      </c>
      <c r="AH552" s="42">
        <f t="shared" si="209"/>
        <v>1979.8438399999998</v>
      </c>
      <c r="AI552" s="42">
        <f t="shared" si="210"/>
        <v>1.5049781000813358</v>
      </c>
      <c r="AJ552" s="57">
        <v>6.4</v>
      </c>
      <c r="AK552" s="57">
        <v>4</v>
      </c>
      <c r="AL552" s="63">
        <v>6.4</v>
      </c>
      <c r="AM552" s="57">
        <v>25</v>
      </c>
      <c r="AN552" s="63">
        <v>6.1</v>
      </c>
      <c r="AO552" s="63">
        <v>6</v>
      </c>
      <c r="AP552" s="36">
        <v>0.15</v>
      </c>
      <c r="AQ552" s="36">
        <v>0.09</v>
      </c>
      <c r="AR552" s="73">
        <f t="shared" si="195"/>
        <v>1583</v>
      </c>
      <c r="AS552" s="93">
        <f t="shared" si="196"/>
        <v>0.19204042956411876</v>
      </c>
      <c r="AT552" s="93">
        <f t="shared" si="197"/>
        <v>0.65003158559696783</v>
      </c>
      <c r="AU552" s="93">
        <f t="shared" si="198"/>
        <v>0.15792798483891346</v>
      </c>
      <c r="AV552" s="26">
        <f t="shared" si="192"/>
        <v>1.4666149351413326E-3</v>
      </c>
      <c r="AW552" s="26">
        <f t="shared" si="211"/>
        <v>1.0851496939120743E-2</v>
      </c>
      <c r="AX552" s="26">
        <f t="shared" si="212"/>
        <v>0.9505494505494505</v>
      </c>
      <c r="AY552" s="24">
        <f t="shared" si="213"/>
        <v>0.85714285714285721</v>
      </c>
      <c r="AZ552" s="77" t="str">
        <f t="shared" si="199"/>
        <v>7,5 ≤ Alc. Bruta &lt; 10,0 mg/L</v>
      </c>
      <c r="BA552" s="77" t="str">
        <f t="shared" si="200"/>
        <v>10 ≤ Cor &lt;15 uC</v>
      </c>
      <c r="BB552" s="78" t="str">
        <f t="shared" si="201"/>
        <v>Turbidez &lt; 2,5 uT</v>
      </c>
      <c r="BC552" s="79" t="str">
        <f t="shared" si="202"/>
        <v>SM &gt; TOR &gt; BNN</v>
      </c>
      <c r="BD552" s="78" t="str">
        <f t="shared" si="203"/>
        <v>Tipo 1 (≤0,25) uT</v>
      </c>
      <c r="BE552" s="78" t="str">
        <f t="shared" si="190"/>
        <v>Tipo 1 (≤0,25) uT</v>
      </c>
      <c r="BF552" s="78" t="str">
        <f t="shared" si="204"/>
        <v>Tipo 2 (0,25-0,50) uT</v>
      </c>
      <c r="BG552" s="78" t="str">
        <f t="shared" si="191"/>
        <v>Tipo 1 (≤0,25) uT</v>
      </c>
      <c r="BH552" s="78" t="str">
        <f t="shared" si="205"/>
        <v>Tipo 1 (≤0,25) uT</v>
      </c>
    </row>
    <row r="553" spans="1:60" ht="15.75" thickBot="1" x14ac:dyDescent="0.25">
      <c r="A553" s="32">
        <v>46320</v>
      </c>
      <c r="B553" s="81">
        <v>0.22916666666666666</v>
      </c>
      <c r="C553" s="58">
        <v>306</v>
      </c>
      <c r="D553" s="58">
        <v>1021</v>
      </c>
      <c r="E553" s="58">
        <v>249</v>
      </c>
      <c r="F553" s="58">
        <v>1694</v>
      </c>
      <c r="G553" s="86" t="s">
        <v>78</v>
      </c>
      <c r="H553" s="64">
        <v>8</v>
      </c>
      <c r="I553" s="58">
        <v>54</v>
      </c>
      <c r="J553" s="58">
        <v>90</v>
      </c>
      <c r="K553" s="58">
        <v>90</v>
      </c>
      <c r="L553" s="58">
        <v>90</v>
      </c>
      <c r="M553" s="58">
        <v>24.9</v>
      </c>
      <c r="N553" s="64">
        <v>6.4</v>
      </c>
      <c r="O553" s="37">
        <v>1.66</v>
      </c>
      <c r="P553" s="58">
        <v>12</v>
      </c>
      <c r="Q553" s="64">
        <v>7.5</v>
      </c>
      <c r="R553" s="37">
        <v>7.0000000000000007E-2</v>
      </c>
      <c r="S553" s="36">
        <v>22.36</v>
      </c>
      <c r="T553" s="36">
        <v>0.88</v>
      </c>
      <c r="U553" s="36">
        <v>0.7</v>
      </c>
      <c r="V553" s="42">
        <f t="shared" si="206"/>
        <v>2566.41</v>
      </c>
      <c r="W553" s="42">
        <f t="shared" si="207"/>
        <v>1632.2520499999996</v>
      </c>
      <c r="X553" s="42">
        <f t="shared" si="208"/>
        <v>0.63600595773863089</v>
      </c>
      <c r="Y553" s="58">
        <v>2</v>
      </c>
      <c r="Z553" s="58">
        <v>2</v>
      </c>
      <c r="AA553" s="64">
        <v>5.5</v>
      </c>
      <c r="AB553" s="58">
        <v>25</v>
      </c>
      <c r="AC553" s="64">
        <v>6.1</v>
      </c>
      <c r="AD553" s="64">
        <v>5.3</v>
      </c>
      <c r="AE553" s="37">
        <v>0.13</v>
      </c>
      <c r="AF553" s="37">
        <v>0.36</v>
      </c>
      <c r="AG553" s="42">
        <f t="shared" si="194"/>
        <v>1283.2049999999999</v>
      </c>
      <c r="AH553" s="42">
        <f t="shared" si="209"/>
        <v>1979.8438399999998</v>
      </c>
      <c r="AI553" s="42">
        <f t="shared" si="210"/>
        <v>1.5428897487151312</v>
      </c>
      <c r="AJ553" s="58">
        <v>6.4</v>
      </c>
      <c r="AK553" s="58">
        <v>4</v>
      </c>
      <c r="AL553" s="64">
        <v>6.4</v>
      </c>
      <c r="AM553" s="58">
        <v>25</v>
      </c>
      <c r="AN553" s="64">
        <v>6.2</v>
      </c>
      <c r="AO553" s="64">
        <v>5.5</v>
      </c>
      <c r="AP553" s="37">
        <v>0.11</v>
      </c>
      <c r="AQ553" s="37">
        <v>0.1</v>
      </c>
      <c r="AR553" s="73">
        <f t="shared" si="195"/>
        <v>1576</v>
      </c>
      <c r="AS553" s="93">
        <f t="shared" si="196"/>
        <v>0.19416243654822335</v>
      </c>
      <c r="AT553" s="93">
        <f t="shared" si="197"/>
        <v>0.64784263959390864</v>
      </c>
      <c r="AU553" s="93">
        <f t="shared" si="198"/>
        <v>0.15799492385786801</v>
      </c>
      <c r="AV553" s="26">
        <f t="shared" si="192"/>
        <v>1.5017850241762242E-3</v>
      </c>
      <c r="AW553" s="26">
        <f t="shared" si="211"/>
        <v>1.1293880096852199E-2</v>
      </c>
      <c r="AX553" s="26">
        <f t="shared" si="212"/>
        <v>0.93975903614457834</v>
      </c>
      <c r="AY553" s="24">
        <f t="shared" si="213"/>
        <v>0.7831325301204819</v>
      </c>
      <c r="AZ553" s="77" t="str">
        <f t="shared" si="199"/>
        <v>7,5 ≤ Alc. Bruta &lt; 10,0 mg/L</v>
      </c>
      <c r="BA553" s="77" t="str">
        <f t="shared" si="200"/>
        <v>10 ≤ Cor &lt;15 uC</v>
      </c>
      <c r="BB553" s="78" t="str">
        <f t="shared" si="201"/>
        <v>Turbidez &lt; 2,5 uT</v>
      </c>
      <c r="BC553" s="79" t="str">
        <f t="shared" si="202"/>
        <v>SM &gt; TOR &gt; BNN</v>
      </c>
      <c r="BD553" s="78" t="str">
        <f t="shared" si="203"/>
        <v>Tipo 1 (≤0,25) uT</v>
      </c>
      <c r="BE553" s="78" t="str">
        <f t="shared" si="190"/>
        <v>Tipo 1 (≤0,25) uT</v>
      </c>
      <c r="BF553" s="78" t="str">
        <f t="shared" si="204"/>
        <v>Tipo 2 (0,25-0,50) uT</v>
      </c>
      <c r="BG553" s="78" t="str">
        <f t="shared" si="191"/>
        <v>Tipo 1 (≤0,25) uT</v>
      </c>
      <c r="BH553" s="78" t="str">
        <f t="shared" si="205"/>
        <v>Tipo 1 (≤0,25) uT</v>
      </c>
    </row>
    <row r="554" spans="1:60" x14ac:dyDescent="0.2">
      <c r="A554" s="30">
        <v>46320</v>
      </c>
      <c r="B554" s="82">
        <v>0.3125</v>
      </c>
      <c r="C554" s="59">
        <v>300</v>
      </c>
      <c r="D554" s="59">
        <v>1059</v>
      </c>
      <c r="E554" s="59">
        <v>249</v>
      </c>
      <c r="F554" s="59">
        <v>1746</v>
      </c>
      <c r="G554" s="87" t="s">
        <v>78</v>
      </c>
      <c r="H554" s="65">
        <v>8</v>
      </c>
      <c r="I554" s="59">
        <v>31</v>
      </c>
      <c r="J554" s="59">
        <v>90</v>
      </c>
      <c r="K554" s="59">
        <v>90</v>
      </c>
      <c r="L554" s="59">
        <v>90</v>
      </c>
      <c r="M554" s="59">
        <v>25.2</v>
      </c>
      <c r="N554" s="65">
        <v>6.4</v>
      </c>
      <c r="O554" s="38">
        <v>1.73</v>
      </c>
      <c r="P554" s="59">
        <v>12</v>
      </c>
      <c r="Q554" s="65">
        <v>7.3</v>
      </c>
      <c r="R554" s="38">
        <v>0.08</v>
      </c>
      <c r="S554" s="36">
        <v>22.36</v>
      </c>
      <c r="T554" s="36">
        <v>0.88</v>
      </c>
      <c r="U554" s="36">
        <v>0.7</v>
      </c>
      <c r="V554" s="42">
        <f t="shared" si="206"/>
        <v>2675.7449999999999</v>
      </c>
      <c r="W554" s="42">
        <f t="shared" si="207"/>
        <v>1632.2520499999996</v>
      </c>
      <c r="X554" s="42">
        <f t="shared" si="208"/>
        <v>0.6100177894380816</v>
      </c>
      <c r="Y554" s="60">
        <v>2</v>
      </c>
      <c r="Z554" s="88">
        <v>2</v>
      </c>
      <c r="AA554" s="89">
        <v>5.5</v>
      </c>
      <c r="AB554" s="88">
        <v>25</v>
      </c>
      <c r="AC554" s="65">
        <v>6.3</v>
      </c>
      <c r="AD554" s="65">
        <v>5.3</v>
      </c>
      <c r="AE554" s="38">
        <v>0.23</v>
      </c>
      <c r="AF554" s="38">
        <v>0.16</v>
      </c>
      <c r="AG554" s="42">
        <f t="shared" si="194"/>
        <v>1337.8724999999999</v>
      </c>
      <c r="AH554" s="42">
        <f t="shared" si="209"/>
        <v>1979.8438399999998</v>
      </c>
      <c r="AI554" s="42">
        <f t="shared" si="210"/>
        <v>1.4798449329065362</v>
      </c>
      <c r="AJ554" s="59">
        <v>6.4</v>
      </c>
      <c r="AK554" s="59">
        <v>4</v>
      </c>
      <c r="AL554" s="65">
        <v>6.4</v>
      </c>
      <c r="AM554" s="59">
        <v>25</v>
      </c>
      <c r="AN554" s="65">
        <v>6.2</v>
      </c>
      <c r="AO554" s="65">
        <v>6</v>
      </c>
      <c r="AP554" s="38">
        <v>0.18</v>
      </c>
      <c r="AQ554" s="38">
        <v>0.09</v>
      </c>
      <c r="AR554" s="73">
        <f t="shared" si="195"/>
        <v>1608</v>
      </c>
      <c r="AS554" s="93">
        <f t="shared" si="196"/>
        <v>0.18656716417910449</v>
      </c>
      <c r="AT554" s="93">
        <f t="shared" si="197"/>
        <v>0.65858208955223885</v>
      </c>
      <c r="AU554" s="93">
        <f t="shared" si="198"/>
        <v>0.15485074626865672</v>
      </c>
      <c r="AV554" s="26">
        <f t="shared" si="192"/>
        <v>1.3975207089074035E-3</v>
      </c>
      <c r="AW554" s="26">
        <f t="shared" si="211"/>
        <v>1.050978073770965E-2</v>
      </c>
      <c r="AX554" s="26">
        <f t="shared" si="212"/>
        <v>0.94797687861271673</v>
      </c>
      <c r="AY554" s="24">
        <f t="shared" si="213"/>
        <v>0.90751445086705207</v>
      </c>
      <c r="AZ554" s="77" t="str">
        <f t="shared" si="199"/>
        <v>5,0 ≤ Alc. Bruta &lt; 7,5 mg/L</v>
      </c>
      <c r="BA554" s="77" t="str">
        <f t="shared" si="200"/>
        <v>10 ≤ Cor &lt;15 uC</v>
      </c>
      <c r="BB554" s="78" t="str">
        <f t="shared" si="201"/>
        <v>Turbidez &lt; 2,5 uT</v>
      </c>
      <c r="BC554" s="79" t="str">
        <f t="shared" si="202"/>
        <v>SM &gt; TOR &gt; BNN</v>
      </c>
      <c r="BD554" s="78" t="str">
        <f t="shared" si="203"/>
        <v>Tipo 1 (≤0,25) uT</v>
      </c>
      <c r="BE554" s="78" t="str">
        <f t="shared" si="190"/>
        <v>Tipo 1 (≤0,25) uT</v>
      </c>
      <c r="BF554" s="78" t="str">
        <f t="shared" si="204"/>
        <v>Tipo 1 (≤0,25) uT</v>
      </c>
      <c r="BG554" s="78" t="str">
        <f t="shared" si="191"/>
        <v>Tipo 1 (≤0,25) uT</v>
      </c>
      <c r="BH554" s="78" t="str">
        <f t="shared" si="205"/>
        <v>Tipo 1 (≤0,25) uT</v>
      </c>
    </row>
    <row r="555" spans="1:60" x14ac:dyDescent="0.2">
      <c r="A555" s="31">
        <v>46320</v>
      </c>
      <c r="B555" s="80">
        <v>0.39583333333333331</v>
      </c>
      <c r="C555" s="57">
        <v>297</v>
      </c>
      <c r="D555" s="57">
        <v>1030</v>
      </c>
      <c r="E555" s="57">
        <v>304</v>
      </c>
      <c r="F555" s="57">
        <v>1699</v>
      </c>
      <c r="G555" s="85" t="s">
        <v>78</v>
      </c>
      <c r="H555" s="63">
        <v>8</v>
      </c>
      <c r="I555" s="57">
        <v>48</v>
      </c>
      <c r="J555" s="57">
        <v>90</v>
      </c>
      <c r="K555" s="57">
        <v>90</v>
      </c>
      <c r="L555" s="57">
        <v>90</v>
      </c>
      <c r="M555" s="57">
        <v>25.4</v>
      </c>
      <c r="N555" s="63">
        <v>6.5</v>
      </c>
      <c r="O555" s="36">
        <v>1.73</v>
      </c>
      <c r="P555" s="57">
        <v>13</v>
      </c>
      <c r="Q555" s="63">
        <v>7</v>
      </c>
      <c r="R555" s="36">
        <v>7.0000000000000007E-2</v>
      </c>
      <c r="S555" s="36">
        <v>22.36</v>
      </c>
      <c r="T555" s="36">
        <v>0.88</v>
      </c>
      <c r="U555" s="36">
        <v>0.7</v>
      </c>
      <c r="V555" s="42">
        <f t="shared" si="206"/>
        <v>2603.7174999999997</v>
      </c>
      <c r="W555" s="42">
        <f t="shared" si="207"/>
        <v>1732.6674560000001</v>
      </c>
      <c r="X555" s="42">
        <f t="shared" si="208"/>
        <v>0.66545908148637489</v>
      </c>
      <c r="Y555" s="57">
        <v>2</v>
      </c>
      <c r="Z555" s="57">
        <v>2</v>
      </c>
      <c r="AA555" s="63">
        <v>5.76</v>
      </c>
      <c r="AB555" s="57">
        <v>25</v>
      </c>
      <c r="AC555" s="63">
        <v>6.2</v>
      </c>
      <c r="AD555" s="63">
        <v>5.4</v>
      </c>
      <c r="AE555" s="36">
        <v>0.2</v>
      </c>
      <c r="AF555" s="36">
        <v>0.16</v>
      </c>
      <c r="AG555" s="42">
        <f t="shared" si="194"/>
        <v>1301.8587499999999</v>
      </c>
      <c r="AH555" s="42">
        <f t="shared" si="209"/>
        <v>1979.8438399999998</v>
      </c>
      <c r="AI555" s="42">
        <f t="shared" si="210"/>
        <v>1.5207823736638095</v>
      </c>
      <c r="AJ555" s="57">
        <v>6.4</v>
      </c>
      <c r="AK555" s="57">
        <v>4</v>
      </c>
      <c r="AL555" s="63">
        <v>6.4</v>
      </c>
      <c r="AM555" s="57">
        <v>25</v>
      </c>
      <c r="AN555" s="63">
        <v>6.2</v>
      </c>
      <c r="AO555" s="63">
        <v>5.8</v>
      </c>
      <c r="AP555" s="36">
        <v>0.15</v>
      </c>
      <c r="AQ555" s="36">
        <v>0.08</v>
      </c>
      <c r="AR555" s="73">
        <f t="shared" si="195"/>
        <v>1631</v>
      </c>
      <c r="AS555" s="93">
        <f t="shared" si="196"/>
        <v>0.18209687308399755</v>
      </c>
      <c r="AT555" s="93">
        <f t="shared" si="197"/>
        <v>0.63151440833844263</v>
      </c>
      <c r="AU555" s="93">
        <f t="shared" si="198"/>
        <v>0.18638871857755979</v>
      </c>
      <c r="AV555" s="26">
        <f t="shared" si="192"/>
        <v>1.5667076668307825E-3</v>
      </c>
      <c r="AW555" s="26">
        <f t="shared" si="211"/>
        <v>1.1099294545868886E-2</v>
      </c>
      <c r="AX555" s="26">
        <f t="shared" si="212"/>
        <v>0.95375722543352603</v>
      </c>
      <c r="AY555" s="24">
        <f t="shared" si="213"/>
        <v>0.90751445086705207</v>
      </c>
      <c r="AZ555" s="77" t="str">
        <f t="shared" si="199"/>
        <v>5,0 ≤ Alc. Bruta &lt; 7,5 mg/L</v>
      </c>
      <c r="BA555" s="77" t="str">
        <f t="shared" si="200"/>
        <v>10 ≤ Cor &lt;15 uC</v>
      </c>
      <c r="BB555" s="78" t="str">
        <f t="shared" si="201"/>
        <v>Turbidez &lt; 2,5 uT</v>
      </c>
      <c r="BC555" s="79" t="str">
        <f t="shared" si="202"/>
        <v>SM &gt; BNN &gt; TOR</v>
      </c>
      <c r="BD555" s="78" t="str">
        <f t="shared" si="203"/>
        <v>Tipo 1 (≤0,25) uT</v>
      </c>
      <c r="BE555" s="78" t="str">
        <f t="shared" si="190"/>
        <v>Tipo 1 (≤0,25) uT</v>
      </c>
      <c r="BF555" s="78" t="str">
        <f t="shared" si="204"/>
        <v>Tipo 1 (≤0,25) uT</v>
      </c>
      <c r="BG555" s="78" t="str">
        <f t="shared" si="191"/>
        <v>Tipo 1 (≤0,25) uT</v>
      </c>
      <c r="BH555" s="78" t="str">
        <f t="shared" si="205"/>
        <v>Tipo 1 (≤0,25) uT</v>
      </c>
    </row>
    <row r="556" spans="1:60" x14ac:dyDescent="0.2">
      <c r="A556" s="31">
        <v>46320</v>
      </c>
      <c r="B556" s="80">
        <v>0.47916666666666669</v>
      </c>
      <c r="C556" s="57">
        <v>285</v>
      </c>
      <c r="D556" s="57">
        <v>1590</v>
      </c>
      <c r="E556" s="57">
        <v>215</v>
      </c>
      <c r="F556" s="57">
        <v>2275</v>
      </c>
      <c r="G556" s="85" t="s">
        <v>78</v>
      </c>
      <c r="H556" s="63">
        <v>8</v>
      </c>
      <c r="I556" s="57">
        <v>15</v>
      </c>
      <c r="J556" s="57">
        <v>90</v>
      </c>
      <c r="K556" s="57">
        <v>90</v>
      </c>
      <c r="L556" s="57">
        <v>90</v>
      </c>
      <c r="M556" s="57">
        <v>26.1</v>
      </c>
      <c r="N556" s="63">
        <v>6.6</v>
      </c>
      <c r="O556" s="36">
        <v>1.88</v>
      </c>
      <c r="P556" s="57">
        <v>12</v>
      </c>
      <c r="Q556" s="63">
        <v>6.9</v>
      </c>
      <c r="R556" s="36">
        <v>0.08</v>
      </c>
      <c r="S556" s="36">
        <v>22.36</v>
      </c>
      <c r="T556" s="36">
        <v>0.88</v>
      </c>
      <c r="U556" s="36">
        <v>0.7</v>
      </c>
      <c r="V556" s="42">
        <f t="shared" si="206"/>
        <v>1785.8749999999998</v>
      </c>
      <c r="W556" s="42">
        <f t="shared" si="207"/>
        <v>1559.5466764799999</v>
      </c>
      <c r="X556" s="42">
        <f t="shared" si="208"/>
        <v>0.87326754474977253</v>
      </c>
      <c r="Y556" s="57">
        <v>3</v>
      </c>
      <c r="Z556" s="57">
        <v>4</v>
      </c>
      <c r="AA556" s="63">
        <v>5.48</v>
      </c>
      <c r="AB556" s="57">
        <v>24</v>
      </c>
      <c r="AC556" s="63">
        <v>6.2</v>
      </c>
      <c r="AD556" s="63">
        <v>5.2</v>
      </c>
      <c r="AE556" s="36">
        <v>0.2</v>
      </c>
      <c r="AF556" s="36">
        <v>0.16</v>
      </c>
      <c r="AG556" s="42">
        <f t="shared" si="194"/>
        <v>1785.8749999999998</v>
      </c>
      <c r="AH556" s="42">
        <f t="shared" si="209"/>
        <v>1979.8438399999998</v>
      </c>
      <c r="AI556" s="42">
        <f t="shared" si="210"/>
        <v>1.1086127752502275</v>
      </c>
      <c r="AJ556" s="57">
        <v>6.4</v>
      </c>
      <c r="AK556" s="57">
        <v>4</v>
      </c>
      <c r="AL556" s="63">
        <v>6.4</v>
      </c>
      <c r="AM556" s="57">
        <v>25</v>
      </c>
      <c r="AN556" s="63">
        <v>6.2</v>
      </c>
      <c r="AO556" s="63">
        <v>5.8</v>
      </c>
      <c r="AP556" s="36">
        <v>0.15</v>
      </c>
      <c r="AQ556" s="36">
        <v>0.08</v>
      </c>
      <c r="AR556" s="73">
        <f t="shared" si="195"/>
        <v>2090</v>
      </c>
      <c r="AS556" s="93">
        <f t="shared" si="196"/>
        <v>0.13636363636363635</v>
      </c>
      <c r="AT556" s="93">
        <f t="shared" si="197"/>
        <v>0.76076555023923442</v>
      </c>
      <c r="AU556" s="93">
        <f t="shared" si="198"/>
        <v>0.10287081339712918</v>
      </c>
      <c r="AV556" s="26">
        <f t="shared" si="192"/>
        <v>3.0708309265926065E-3</v>
      </c>
      <c r="AW556" s="26">
        <f t="shared" si="211"/>
        <v>6.042548753012229E-3</v>
      </c>
      <c r="AX556" s="26">
        <f t="shared" si="212"/>
        <v>0.95744680851063824</v>
      </c>
      <c r="AY556" s="24">
        <f t="shared" si="213"/>
        <v>0.91489361702127658</v>
      </c>
      <c r="AZ556" s="77" t="str">
        <f t="shared" si="199"/>
        <v>5,0 ≤ Alc. Bruta &lt; 7,5 mg/L</v>
      </c>
      <c r="BA556" s="77" t="str">
        <f t="shared" si="200"/>
        <v>10 ≤ Cor &lt;15 uC</v>
      </c>
      <c r="BB556" s="78" t="str">
        <f t="shared" si="201"/>
        <v>Turbidez &lt; 2,5 uT</v>
      </c>
      <c r="BC556" s="79" t="str">
        <f t="shared" si="202"/>
        <v>SM &gt; TOR &gt; BNN</v>
      </c>
      <c r="BD556" s="78" t="str">
        <f t="shared" si="203"/>
        <v>Tipo 1 (≤0,25) uT</v>
      </c>
      <c r="BE556" s="78" t="str">
        <f t="shared" si="190"/>
        <v>Tipo 1 (≤0,25) uT</v>
      </c>
      <c r="BF556" s="78" t="str">
        <f t="shared" si="204"/>
        <v>Tipo 1 (≤0,25) uT</v>
      </c>
      <c r="BG556" s="78" t="str">
        <f t="shared" si="191"/>
        <v>Tipo 1 (≤0,25) uT</v>
      </c>
      <c r="BH556" s="78" t="str">
        <f t="shared" si="205"/>
        <v>Tipo 1 (≤0,25) uT</v>
      </c>
    </row>
    <row r="557" spans="1:60" x14ac:dyDescent="0.2">
      <c r="A557" s="31">
        <v>46320</v>
      </c>
      <c r="B557" s="80">
        <v>0.64583333333333337</v>
      </c>
      <c r="C557" s="57">
        <v>276</v>
      </c>
      <c r="D557" s="57">
        <v>1786</v>
      </c>
      <c r="E557" s="57">
        <v>215</v>
      </c>
      <c r="F557" s="57">
        <v>2280</v>
      </c>
      <c r="G557" s="85" t="s">
        <v>78</v>
      </c>
      <c r="H557" s="63">
        <v>8</v>
      </c>
      <c r="I557" s="57">
        <v>-88</v>
      </c>
      <c r="J557" s="57">
        <v>90</v>
      </c>
      <c r="K557" s="57">
        <v>90</v>
      </c>
      <c r="L557" s="57">
        <v>90</v>
      </c>
      <c r="M557" s="57">
        <v>26.9</v>
      </c>
      <c r="N557" s="63">
        <v>6.5</v>
      </c>
      <c r="O557" s="36">
        <v>1.6</v>
      </c>
      <c r="P557" s="57">
        <v>11</v>
      </c>
      <c r="Q557" s="63">
        <v>7.2</v>
      </c>
      <c r="R557" s="36">
        <v>0.1</v>
      </c>
      <c r="S557" s="36">
        <v>22.36</v>
      </c>
      <c r="T557" s="36">
        <v>0.88</v>
      </c>
      <c r="U557" s="36">
        <v>0.7</v>
      </c>
      <c r="V557" s="42">
        <f t="shared" si="206"/>
        <v>1710</v>
      </c>
      <c r="W557" s="42">
        <f t="shared" si="207"/>
        <v>1639.976312</v>
      </c>
      <c r="X557" s="42">
        <f t="shared" si="208"/>
        <v>0.95905047485380113</v>
      </c>
      <c r="Y557" s="57">
        <v>3</v>
      </c>
      <c r="Z557" s="57">
        <v>4</v>
      </c>
      <c r="AA557" s="63">
        <v>5.52</v>
      </c>
      <c r="AB557" s="57">
        <v>25</v>
      </c>
      <c r="AC557" s="63">
        <v>6.2</v>
      </c>
      <c r="AD557" s="63">
        <v>5.5</v>
      </c>
      <c r="AE557" s="36">
        <v>0.8</v>
      </c>
      <c r="AF557" s="36">
        <v>0.53</v>
      </c>
      <c r="AG557" s="42">
        <f t="shared" si="194"/>
        <v>1710</v>
      </c>
      <c r="AH557" s="42">
        <f t="shared" si="209"/>
        <v>1979.8438399999998</v>
      </c>
      <c r="AI557" s="42">
        <f t="shared" si="210"/>
        <v>1.1578034152046783</v>
      </c>
      <c r="AJ557" s="57">
        <v>6.4</v>
      </c>
      <c r="AK557" s="57">
        <v>4</v>
      </c>
      <c r="AL557" s="63">
        <v>6.4</v>
      </c>
      <c r="AM557" s="57">
        <v>25</v>
      </c>
      <c r="AN557" s="63">
        <v>6.1</v>
      </c>
      <c r="AO557" s="63">
        <v>6.2</v>
      </c>
      <c r="AP557" s="36">
        <v>0.13</v>
      </c>
      <c r="AQ557" s="36">
        <v>0.08</v>
      </c>
      <c r="AR557" s="73">
        <f t="shared" si="195"/>
        <v>2277</v>
      </c>
      <c r="AS557" s="93">
        <f t="shared" si="196"/>
        <v>0.12121212121212122</v>
      </c>
      <c r="AT557" s="93">
        <f t="shared" si="197"/>
        <v>0.78436539306104525</v>
      </c>
      <c r="AU557" s="93">
        <f t="shared" si="198"/>
        <v>9.4422485726833552E-2</v>
      </c>
      <c r="AV557" s="26">
        <f t="shared" si="192"/>
        <v>3.3650893854519333E-3</v>
      </c>
      <c r="AW557" s="26">
        <f t="shared" si="211"/>
        <v>6.1952638883759096E-3</v>
      </c>
      <c r="AX557" s="26">
        <f t="shared" si="212"/>
        <v>0.95</v>
      </c>
      <c r="AY557" s="24">
        <f t="shared" si="213"/>
        <v>0.66874999999999996</v>
      </c>
      <c r="AZ557" s="77" t="str">
        <f t="shared" si="199"/>
        <v>5,0 ≤ Alc. Bruta &lt; 7,5 mg/L</v>
      </c>
      <c r="BA557" s="77" t="str">
        <f t="shared" si="200"/>
        <v>10 ≤ Cor &lt;15 uC</v>
      </c>
      <c r="BB557" s="78" t="str">
        <f t="shared" si="201"/>
        <v>Turbidez &lt; 2,5 uT</v>
      </c>
      <c r="BC557" s="79" t="str">
        <f t="shared" si="202"/>
        <v>SM &gt; TOR &gt; BNN</v>
      </c>
      <c r="BD557" s="78" t="str">
        <f t="shared" si="203"/>
        <v>Tipo 4 (&gt;0,75) uT</v>
      </c>
      <c r="BE557" s="78" t="str">
        <f t="shared" si="190"/>
        <v>Tipo 1 (≤0,25) uT</v>
      </c>
      <c r="BF557" s="78" t="str">
        <f t="shared" si="204"/>
        <v>Tipo 3 (0,50-0,75) uT</v>
      </c>
      <c r="BG557" s="78" t="str">
        <f t="shared" si="191"/>
        <v>Tipo 1 (≤0,25) uT</v>
      </c>
      <c r="BH557" s="78" t="str">
        <f t="shared" si="205"/>
        <v>Tipo 1 (≤0,25) uT</v>
      </c>
    </row>
    <row r="558" spans="1:60" x14ac:dyDescent="0.2">
      <c r="A558" s="31">
        <v>46320</v>
      </c>
      <c r="B558" s="80">
        <v>0.72916666666666663</v>
      </c>
      <c r="C558" s="57">
        <v>299</v>
      </c>
      <c r="D558" s="57">
        <v>1039</v>
      </c>
      <c r="E558" s="57">
        <v>245</v>
      </c>
      <c r="F558" s="57">
        <v>1723</v>
      </c>
      <c r="G558" s="85" t="s">
        <v>78</v>
      </c>
      <c r="H558" s="63">
        <v>8</v>
      </c>
      <c r="I558" s="57">
        <v>-70</v>
      </c>
      <c r="J558" s="57">
        <v>90</v>
      </c>
      <c r="K558" s="57">
        <v>90</v>
      </c>
      <c r="L558" s="57">
        <v>90</v>
      </c>
      <c r="M558" s="57">
        <v>26.4</v>
      </c>
      <c r="N558" s="63">
        <v>6.7</v>
      </c>
      <c r="O558" s="36">
        <v>1.6</v>
      </c>
      <c r="P558" s="57">
        <v>11</v>
      </c>
      <c r="Q558" s="63">
        <v>8.1</v>
      </c>
      <c r="R558" s="36">
        <v>0.16</v>
      </c>
      <c r="S558" s="36">
        <v>22.36</v>
      </c>
      <c r="T558" s="36">
        <v>0.88</v>
      </c>
      <c r="U558" s="36">
        <v>0.7</v>
      </c>
      <c r="V558" s="42">
        <f t="shared" si="206"/>
        <v>1292.25</v>
      </c>
      <c r="W558" s="42">
        <f t="shared" si="207"/>
        <v>1761.8079918399999</v>
      </c>
      <c r="X558" s="42">
        <f t="shared" si="208"/>
        <v>1.3633646677036175</v>
      </c>
      <c r="Y558" s="57">
        <v>3</v>
      </c>
      <c r="Z558" s="57">
        <v>4</v>
      </c>
      <c r="AA558" s="63">
        <v>5.66</v>
      </c>
      <c r="AB558" s="57">
        <v>26</v>
      </c>
      <c r="AC558" s="63">
        <v>6.3</v>
      </c>
      <c r="AD558" s="63">
        <v>4.5</v>
      </c>
      <c r="AE558" s="36">
        <v>0.18</v>
      </c>
      <c r="AF558" s="36">
        <v>0.17</v>
      </c>
      <c r="AG558" s="42">
        <f t="shared" si="194"/>
        <v>1292.25</v>
      </c>
      <c r="AH558" s="42">
        <f t="shared" si="209"/>
        <v>1979.8438399999998</v>
      </c>
      <c r="AI558" s="42">
        <f t="shared" si="210"/>
        <v>1.5320904159411877</v>
      </c>
      <c r="AJ558" s="57">
        <v>6.4</v>
      </c>
      <c r="AK558" s="57">
        <v>4</v>
      </c>
      <c r="AL558" s="63">
        <v>6.4</v>
      </c>
      <c r="AM558" s="57">
        <v>25</v>
      </c>
      <c r="AN558" s="63">
        <v>6.3</v>
      </c>
      <c r="AO558" s="63">
        <v>4.9000000000000004</v>
      </c>
      <c r="AP558" s="36">
        <v>0.2</v>
      </c>
      <c r="AQ558" s="36">
        <v>0.12</v>
      </c>
      <c r="AR558" s="73">
        <f t="shared" si="195"/>
        <v>1583</v>
      </c>
      <c r="AS558" s="93">
        <f t="shared" si="196"/>
        <v>0.18888186986734049</v>
      </c>
      <c r="AT558" s="93">
        <f t="shared" si="197"/>
        <v>0.65634870499052433</v>
      </c>
      <c r="AU558" s="93">
        <f t="shared" si="198"/>
        <v>0.15476942514213518</v>
      </c>
      <c r="AV558" s="26">
        <f t="shared" si="192"/>
        <v>6.3301899835339183E-3</v>
      </c>
      <c r="AW558" s="26">
        <f t="shared" si="211"/>
        <v>1.1203911341183381E-2</v>
      </c>
      <c r="AX558" s="26">
        <f t="shared" si="212"/>
        <v>0.92500000000000004</v>
      </c>
      <c r="AY558" s="24">
        <f t="shared" si="213"/>
        <v>0.89375000000000004</v>
      </c>
      <c r="AZ558" s="77" t="str">
        <f t="shared" si="199"/>
        <v>7,5 ≤ Alc. Bruta &lt; 10,0 mg/L</v>
      </c>
      <c r="BA558" s="77" t="str">
        <f t="shared" si="200"/>
        <v>10 ≤ Cor &lt;15 uC</v>
      </c>
      <c r="BB558" s="78" t="str">
        <f t="shared" si="201"/>
        <v>Turbidez &lt; 2,5 uT</v>
      </c>
      <c r="BC558" s="79" t="str">
        <f t="shared" si="202"/>
        <v>SM &gt; TOR &gt; BNN</v>
      </c>
      <c r="BD558" s="78" t="str">
        <f t="shared" si="203"/>
        <v>Tipo 1 (≤0,25) uT</v>
      </c>
      <c r="BE558" s="78" t="str">
        <f t="shared" si="190"/>
        <v>Tipo 1 (≤0,25) uT</v>
      </c>
      <c r="BF558" s="78" t="str">
        <f t="shared" si="204"/>
        <v>Tipo 1 (≤0,25) uT</v>
      </c>
      <c r="BG558" s="78" t="str">
        <f t="shared" si="191"/>
        <v>Tipo 1 (≤0,25) uT</v>
      </c>
      <c r="BH558" s="78" t="str">
        <f t="shared" si="205"/>
        <v>Tipo 1 (≤0,25) uT</v>
      </c>
    </row>
    <row r="559" spans="1:60" x14ac:dyDescent="0.2">
      <c r="A559" s="31">
        <v>46320</v>
      </c>
      <c r="B559" s="80">
        <v>0.8125</v>
      </c>
      <c r="C559" s="57">
        <v>302</v>
      </c>
      <c r="D559" s="57">
        <v>1057</v>
      </c>
      <c r="E559" s="57">
        <v>303</v>
      </c>
      <c r="F559" s="57">
        <v>1685</v>
      </c>
      <c r="G559" s="85" t="s">
        <v>78</v>
      </c>
      <c r="H559" s="63">
        <v>8</v>
      </c>
      <c r="I559" s="57">
        <v>-87</v>
      </c>
      <c r="J559" s="57">
        <v>90</v>
      </c>
      <c r="K559" s="57">
        <v>90</v>
      </c>
      <c r="L559" s="57">
        <v>90</v>
      </c>
      <c r="M559" s="57">
        <v>26.3</v>
      </c>
      <c r="N559" s="63">
        <v>6.7</v>
      </c>
      <c r="O559" s="36">
        <v>1.75</v>
      </c>
      <c r="P559" s="57">
        <v>12</v>
      </c>
      <c r="Q559" s="63">
        <v>8.4</v>
      </c>
      <c r="R559" s="36">
        <v>0.23</v>
      </c>
      <c r="S559" s="36">
        <v>22.36</v>
      </c>
      <c r="T559" s="36">
        <v>0.88</v>
      </c>
      <c r="U559" s="36">
        <v>0.7</v>
      </c>
      <c r="V559" s="42">
        <f t="shared" si="206"/>
        <v>2590.6875</v>
      </c>
      <c r="W559" s="42">
        <f t="shared" si="207"/>
        <v>1670.8733599999998</v>
      </c>
      <c r="X559" s="42">
        <f t="shared" si="208"/>
        <v>0.64495365033412944</v>
      </c>
      <c r="Y559" s="57">
        <v>2</v>
      </c>
      <c r="Z559" s="57">
        <v>2</v>
      </c>
      <c r="AA559" s="63">
        <v>5.6</v>
      </c>
      <c r="AB559" s="57">
        <v>25</v>
      </c>
      <c r="AC559" s="63">
        <v>6.3</v>
      </c>
      <c r="AD559" s="63">
        <v>6.1</v>
      </c>
      <c r="AE559" s="36">
        <v>0.15</v>
      </c>
      <c r="AF559" s="36">
        <v>0.16</v>
      </c>
      <c r="AG559" s="42">
        <f t="shared" si="194"/>
        <v>1295.34375</v>
      </c>
      <c r="AH559" s="42">
        <f t="shared" si="209"/>
        <v>1979.8438399999998</v>
      </c>
      <c r="AI559" s="42">
        <f t="shared" si="210"/>
        <v>1.5284312291621431</v>
      </c>
      <c r="AJ559" s="57">
        <v>6.4</v>
      </c>
      <c r="AK559" s="57">
        <v>4</v>
      </c>
      <c r="AL559" s="63">
        <v>6.4</v>
      </c>
      <c r="AM559" s="57">
        <v>25</v>
      </c>
      <c r="AN559" s="63">
        <v>6.3</v>
      </c>
      <c r="AO559" s="63">
        <v>6.2</v>
      </c>
      <c r="AP559" s="36">
        <v>0.15</v>
      </c>
      <c r="AQ559" s="36">
        <v>0.24</v>
      </c>
      <c r="AR559" s="73">
        <f t="shared" si="195"/>
        <v>1662</v>
      </c>
      <c r="AS559" s="93">
        <f t="shared" si="196"/>
        <v>0.18170878459687123</v>
      </c>
      <c r="AT559" s="93">
        <f t="shared" si="197"/>
        <v>0.63598074608904931</v>
      </c>
      <c r="AU559" s="93">
        <f t="shared" si="198"/>
        <v>0.18231046931407943</v>
      </c>
      <c r="AV559" s="26">
        <f t="shared" si="192"/>
        <v>1.5310472411492685E-3</v>
      </c>
      <c r="AW559" s="26">
        <f t="shared" si="211"/>
        <v>1.1429218686909794E-2</v>
      </c>
      <c r="AX559" s="26">
        <f t="shared" si="212"/>
        <v>0.86285714285714288</v>
      </c>
      <c r="AY559" s="24">
        <f t="shared" si="213"/>
        <v>0.90857142857142859</v>
      </c>
      <c r="AZ559" s="77" t="str">
        <f t="shared" si="199"/>
        <v>7,5 ≤ Alc. Bruta &lt; 10,0 mg/L</v>
      </c>
      <c r="BA559" s="77" t="str">
        <f t="shared" si="200"/>
        <v>10 ≤ Cor &lt;15 uC</v>
      </c>
      <c r="BB559" s="78" t="str">
        <f t="shared" si="201"/>
        <v>Turbidez &lt; 2,5 uT</v>
      </c>
      <c r="BC559" s="79" t="str">
        <f t="shared" si="202"/>
        <v>SM &gt; BNN &gt; TOR</v>
      </c>
      <c r="BD559" s="78" t="str">
        <f t="shared" si="203"/>
        <v>Tipo 1 (≤0,25) uT</v>
      </c>
      <c r="BE559" s="78" t="str">
        <f t="shared" si="190"/>
        <v>Tipo 1 (≤0,25) uT</v>
      </c>
      <c r="BF559" s="78" t="str">
        <f t="shared" si="204"/>
        <v>Tipo 1 (≤0,25) uT</v>
      </c>
      <c r="BG559" s="78" t="str">
        <f t="shared" si="191"/>
        <v>Tipo 1 (≤0,25) uT</v>
      </c>
      <c r="BH559" s="78" t="str">
        <f t="shared" si="205"/>
        <v>Tipo 1 (≤0,25) uT</v>
      </c>
    </row>
    <row r="560" spans="1:60" x14ac:dyDescent="0.2">
      <c r="A560" s="31">
        <v>46320</v>
      </c>
      <c r="B560" s="80">
        <v>0.89583333333333337</v>
      </c>
      <c r="C560" s="57">
        <v>284</v>
      </c>
      <c r="D560" s="57">
        <v>1051</v>
      </c>
      <c r="E560" s="57">
        <v>302</v>
      </c>
      <c r="F560" s="57">
        <v>1745</v>
      </c>
      <c r="G560" s="85" t="s">
        <v>78</v>
      </c>
      <c r="H560" s="63">
        <v>8.5</v>
      </c>
      <c r="I560" s="57">
        <v>-60</v>
      </c>
      <c r="J560" s="57">
        <v>90</v>
      </c>
      <c r="K560" s="57">
        <v>90</v>
      </c>
      <c r="L560" s="57">
        <v>90</v>
      </c>
      <c r="M560" s="57">
        <v>26.2</v>
      </c>
      <c r="N560" s="63">
        <v>6.7</v>
      </c>
      <c r="O560" s="36">
        <v>1.79</v>
      </c>
      <c r="P560" s="57">
        <v>12</v>
      </c>
      <c r="Q560" s="63">
        <v>8.8000000000000007</v>
      </c>
      <c r="R560" s="36">
        <v>0.12</v>
      </c>
      <c r="S560" s="36">
        <v>22.36</v>
      </c>
      <c r="T560" s="36">
        <v>0.88</v>
      </c>
      <c r="U560" s="36">
        <v>0.7</v>
      </c>
      <c r="V560" s="42">
        <f t="shared" si="206"/>
        <v>2765.8249999999998</v>
      </c>
      <c r="W560" s="42">
        <f t="shared" si="207"/>
        <v>1769.8412243199998</v>
      </c>
      <c r="X560" s="42">
        <f t="shared" si="208"/>
        <v>0.63989631459691043</v>
      </c>
      <c r="Y560" s="57">
        <v>2</v>
      </c>
      <c r="Z560" s="57">
        <v>2</v>
      </c>
      <c r="AA560" s="63">
        <v>5.68</v>
      </c>
      <c r="AB560" s="57">
        <v>26</v>
      </c>
      <c r="AC560" s="63">
        <v>6.4</v>
      </c>
      <c r="AD560" s="63">
        <v>7.3</v>
      </c>
      <c r="AE560" s="36">
        <v>0.15</v>
      </c>
      <c r="AF560" s="36">
        <v>0.15</v>
      </c>
      <c r="AG560" s="42">
        <f t="shared" si="194"/>
        <v>1382.9124999999999</v>
      </c>
      <c r="AH560" s="42">
        <f t="shared" si="209"/>
        <v>1979.8438399999998</v>
      </c>
      <c r="AI560" s="42">
        <f t="shared" si="210"/>
        <v>1.4316479459112561</v>
      </c>
      <c r="AJ560" s="57">
        <v>6.4</v>
      </c>
      <c r="AK560" s="57">
        <v>4</v>
      </c>
      <c r="AL560" s="63">
        <v>6.4</v>
      </c>
      <c r="AM560" s="57">
        <v>25</v>
      </c>
      <c r="AN560" s="63">
        <v>6.3</v>
      </c>
      <c r="AO560" s="63">
        <v>6.5</v>
      </c>
      <c r="AP560" s="36">
        <v>0.13</v>
      </c>
      <c r="AQ560" s="36">
        <v>0.13</v>
      </c>
      <c r="AR560" s="73">
        <f t="shared" si="195"/>
        <v>1637</v>
      </c>
      <c r="AS560" s="93">
        <f t="shared" si="196"/>
        <v>0.17348808796579107</v>
      </c>
      <c r="AT560" s="93">
        <f t="shared" si="197"/>
        <v>0.64202810018326206</v>
      </c>
      <c r="AU560" s="93">
        <f t="shared" si="198"/>
        <v>0.18448381185094687</v>
      </c>
      <c r="AV560" s="26">
        <f t="shared" si="192"/>
        <v>1.4668110363252962E-3</v>
      </c>
      <c r="AW560" s="26">
        <f t="shared" si="211"/>
        <v>1.0337400640963796E-2</v>
      </c>
      <c r="AX560" s="26">
        <f t="shared" si="212"/>
        <v>0.92737430167597767</v>
      </c>
      <c r="AY560" s="24">
        <f t="shared" si="213"/>
        <v>0.91620111731843579</v>
      </c>
      <c r="AZ560" s="77" t="str">
        <f t="shared" si="199"/>
        <v>7,5 ≤ Alc. Bruta &lt; 10,0 mg/L</v>
      </c>
      <c r="BA560" s="77" t="str">
        <f t="shared" si="200"/>
        <v>10 ≤ Cor &lt;15 uC</v>
      </c>
      <c r="BB560" s="78" t="str">
        <f t="shared" si="201"/>
        <v>Turbidez &lt; 2,5 uT</v>
      </c>
      <c r="BC560" s="79" t="str">
        <f t="shared" si="202"/>
        <v>SM &gt; BNN &gt; TOR</v>
      </c>
      <c r="BD560" s="78" t="str">
        <f t="shared" si="203"/>
        <v>Tipo 1 (≤0,25) uT</v>
      </c>
      <c r="BE560" s="78" t="str">
        <f t="shared" si="190"/>
        <v>Tipo 1 (≤0,25) uT</v>
      </c>
      <c r="BF560" s="78" t="str">
        <f t="shared" si="204"/>
        <v>Tipo 1 (≤0,25) uT</v>
      </c>
      <c r="BG560" s="78" t="str">
        <f t="shared" si="191"/>
        <v>Tipo 1 (≤0,25) uT</v>
      </c>
      <c r="BH560" s="78" t="str">
        <f t="shared" si="205"/>
        <v>Tipo 1 (≤0,25) uT</v>
      </c>
    </row>
    <row r="561" spans="1:60" x14ac:dyDescent="0.2">
      <c r="A561" s="31">
        <v>46321</v>
      </c>
      <c r="B561" s="80">
        <v>6.25E-2</v>
      </c>
      <c r="C561" s="57">
        <v>297</v>
      </c>
      <c r="D561" s="57">
        <v>1056</v>
      </c>
      <c r="E561" s="57">
        <v>303</v>
      </c>
      <c r="F561" s="57">
        <v>1733</v>
      </c>
      <c r="G561" s="85" t="s">
        <v>78</v>
      </c>
      <c r="H561" s="63">
        <v>8.5</v>
      </c>
      <c r="I561" s="57">
        <v>123</v>
      </c>
      <c r="J561" s="57">
        <v>90</v>
      </c>
      <c r="K561" s="57">
        <v>90</v>
      </c>
      <c r="L561" s="57">
        <v>90</v>
      </c>
      <c r="M561" s="57">
        <v>25.3</v>
      </c>
      <c r="N561" s="63">
        <v>6.4</v>
      </c>
      <c r="O561" s="36">
        <v>1.91</v>
      </c>
      <c r="P561" s="57">
        <v>12</v>
      </c>
      <c r="Q561" s="63">
        <v>9.1</v>
      </c>
      <c r="R561" s="36">
        <v>0.08</v>
      </c>
      <c r="S561" s="36">
        <v>22.36</v>
      </c>
      <c r="T561" s="36">
        <v>0.88</v>
      </c>
      <c r="U561" s="36">
        <v>0.7</v>
      </c>
      <c r="V561" s="42">
        <f t="shared" si="206"/>
        <v>2798.7950000000001</v>
      </c>
      <c r="W561" s="42">
        <f t="shared" si="207"/>
        <v>1777.8744567999997</v>
      </c>
      <c r="X561" s="42">
        <f t="shared" si="208"/>
        <v>0.63522853828165327</v>
      </c>
      <c r="Y561" s="57">
        <v>2</v>
      </c>
      <c r="Z561" s="57">
        <v>2</v>
      </c>
      <c r="AA561" s="63">
        <v>5.7</v>
      </c>
      <c r="AB561" s="57">
        <v>26</v>
      </c>
      <c r="AC561" s="63">
        <v>6.2</v>
      </c>
      <c r="AD561" s="63">
        <v>5.3</v>
      </c>
      <c r="AE561" s="36">
        <v>0.09</v>
      </c>
      <c r="AF561" s="36">
        <v>0.14000000000000001</v>
      </c>
      <c r="AG561" s="42">
        <f t="shared" si="194"/>
        <v>1399.3975</v>
      </c>
      <c r="AH561" s="42">
        <f t="shared" si="209"/>
        <v>1979.8438399999998</v>
      </c>
      <c r="AI561" s="42">
        <f t="shared" si="210"/>
        <v>1.4147830334125935</v>
      </c>
      <c r="AJ561" s="57">
        <v>6.4</v>
      </c>
      <c r="AK561" s="57">
        <v>4</v>
      </c>
      <c r="AL561" s="63">
        <v>6.4</v>
      </c>
      <c r="AM561" s="57">
        <v>25</v>
      </c>
      <c r="AN561" s="63">
        <v>6.2</v>
      </c>
      <c r="AO561" s="63">
        <v>6.3</v>
      </c>
      <c r="AP561" s="36">
        <v>0.13</v>
      </c>
      <c r="AQ561" s="36">
        <v>0.09</v>
      </c>
      <c r="AR561" s="73">
        <f t="shared" si="195"/>
        <v>1656</v>
      </c>
      <c r="AS561" s="93">
        <f t="shared" si="196"/>
        <v>0.17934782608695651</v>
      </c>
      <c r="AT561" s="93">
        <f t="shared" si="197"/>
        <v>0.6376811594202898</v>
      </c>
      <c r="AU561" s="93">
        <f t="shared" si="198"/>
        <v>0.18297101449275363</v>
      </c>
      <c r="AV561" s="26">
        <f t="shared" si="192"/>
        <v>1.4661939717983919E-3</v>
      </c>
      <c r="AW561" s="26">
        <f t="shared" si="211"/>
        <v>1.0123086909588089E-2</v>
      </c>
      <c r="AX561" s="26">
        <f t="shared" si="212"/>
        <v>0.95287958115183247</v>
      </c>
      <c r="AY561" s="24">
        <f t="shared" si="213"/>
        <v>0.92670157068062831</v>
      </c>
      <c r="AZ561" s="77" t="str">
        <f t="shared" si="199"/>
        <v>7,5 ≤ Alc. Bruta &lt; 10,0 mg/L</v>
      </c>
      <c r="BA561" s="77" t="str">
        <f t="shared" si="200"/>
        <v>10 ≤ Cor &lt;15 uC</v>
      </c>
      <c r="BB561" s="78" t="str">
        <f t="shared" si="201"/>
        <v>Turbidez &lt; 2,5 uT</v>
      </c>
      <c r="BC561" s="79" t="str">
        <f t="shared" si="202"/>
        <v>SM &gt; BNN &gt; TOR</v>
      </c>
      <c r="BD561" s="78" t="str">
        <f t="shared" si="203"/>
        <v>Tipo 1 (≤0,25) uT</v>
      </c>
      <c r="BE561" s="78" t="str">
        <f t="shared" si="190"/>
        <v>Tipo 1 (≤0,25) uT</v>
      </c>
      <c r="BF561" s="78" t="str">
        <f t="shared" si="204"/>
        <v>Tipo 1 (≤0,25) uT</v>
      </c>
      <c r="BG561" s="78" t="str">
        <f t="shared" si="191"/>
        <v>Tipo 1 (≤0,25) uT</v>
      </c>
      <c r="BH561" s="78" t="str">
        <f t="shared" si="205"/>
        <v>Tipo 1 (≤0,25) uT</v>
      </c>
    </row>
    <row r="562" spans="1:60" x14ac:dyDescent="0.2">
      <c r="A562" s="31">
        <v>46321</v>
      </c>
      <c r="B562" s="80">
        <v>0.14583333333333334</v>
      </c>
      <c r="C562" s="57">
        <v>302</v>
      </c>
      <c r="D562" s="57">
        <v>1067</v>
      </c>
      <c r="E562" s="57">
        <v>303</v>
      </c>
      <c r="F562" s="57">
        <v>1728</v>
      </c>
      <c r="G562" s="85" t="s">
        <v>78</v>
      </c>
      <c r="H562" s="63">
        <v>8.5</v>
      </c>
      <c r="I562" s="57">
        <v>121</v>
      </c>
      <c r="J562" s="57">
        <v>90</v>
      </c>
      <c r="K562" s="57">
        <v>40</v>
      </c>
      <c r="L562" s="57">
        <v>40</v>
      </c>
      <c r="M562" s="57">
        <v>25.2</v>
      </c>
      <c r="N562" s="63">
        <v>6.4</v>
      </c>
      <c r="O562" s="36">
        <v>1.8</v>
      </c>
      <c r="P562" s="57">
        <v>11</v>
      </c>
      <c r="Q562" s="63">
        <v>8.9</v>
      </c>
      <c r="R562" s="36">
        <v>7.0000000000000007E-2</v>
      </c>
      <c r="S562" s="36">
        <v>22.36</v>
      </c>
      <c r="T562" s="36">
        <v>0.88</v>
      </c>
      <c r="U562" s="36">
        <v>0.7</v>
      </c>
      <c r="V562" s="42">
        <f t="shared" si="206"/>
        <v>2743.2</v>
      </c>
      <c r="W562" s="42">
        <f t="shared" si="207"/>
        <v>1709.4946699999998</v>
      </c>
      <c r="X562" s="42">
        <f t="shared" si="208"/>
        <v>0.62317536818314379</v>
      </c>
      <c r="Y562" s="57">
        <v>2</v>
      </c>
      <c r="Z562" s="57">
        <v>2</v>
      </c>
      <c r="AA562" s="63">
        <v>5.7</v>
      </c>
      <c r="AB562" s="57">
        <v>25</v>
      </c>
      <c r="AC562" s="63">
        <v>6.2</v>
      </c>
      <c r="AD562" s="63">
        <v>5.9</v>
      </c>
      <c r="AE562" s="36">
        <v>0.1</v>
      </c>
      <c r="AF562" s="36">
        <v>0.18</v>
      </c>
      <c r="AG562" s="42">
        <f t="shared" si="194"/>
        <v>1371.6</v>
      </c>
      <c r="AH562" s="42">
        <f t="shared" si="209"/>
        <v>1900.6500864</v>
      </c>
      <c r="AI562" s="42">
        <f t="shared" si="210"/>
        <v>1.3857174733158355</v>
      </c>
      <c r="AJ562" s="57">
        <v>6.4</v>
      </c>
      <c r="AK562" s="57">
        <v>4</v>
      </c>
      <c r="AL562" s="63">
        <v>6.4</v>
      </c>
      <c r="AM562" s="57">
        <v>24</v>
      </c>
      <c r="AN562" s="63">
        <v>6.2</v>
      </c>
      <c r="AO562" s="63">
        <v>6</v>
      </c>
      <c r="AP562" s="36">
        <v>0.1</v>
      </c>
      <c r="AQ562" s="36">
        <v>0.08</v>
      </c>
      <c r="AR562" s="73">
        <f t="shared" si="195"/>
        <v>1672</v>
      </c>
      <c r="AS562" s="93">
        <f t="shared" si="196"/>
        <v>0.18062200956937799</v>
      </c>
      <c r="AT562" s="93">
        <f t="shared" si="197"/>
        <v>0.63815789473684215</v>
      </c>
      <c r="AU562" s="93">
        <f t="shared" si="198"/>
        <v>0.18122009569377989</v>
      </c>
      <c r="AV562" s="26">
        <f t="shared" si="192"/>
        <v>1.4425355744980179E-3</v>
      </c>
      <c r="AW562" s="26">
        <f t="shared" si="211"/>
        <v>9.9438059427756718E-3</v>
      </c>
      <c r="AX562" s="26">
        <f t="shared" si="212"/>
        <v>0.9555555555555556</v>
      </c>
      <c r="AY562" s="24">
        <f t="shared" si="213"/>
        <v>0.9</v>
      </c>
      <c r="AZ562" s="77" t="str">
        <f t="shared" si="199"/>
        <v>7,5 ≤ Alc. Bruta &lt; 10,0 mg/L</v>
      </c>
      <c r="BA562" s="77" t="str">
        <f t="shared" si="200"/>
        <v>10 ≤ Cor &lt;15 uC</v>
      </c>
      <c r="BB562" s="78" t="str">
        <f t="shared" si="201"/>
        <v>Turbidez &lt; 2,5 uT</v>
      </c>
      <c r="BC562" s="79" t="str">
        <f t="shared" si="202"/>
        <v>SM &gt; BNN &gt; TOR</v>
      </c>
      <c r="BD562" s="78" t="str">
        <f t="shared" si="203"/>
        <v>Tipo 1 (≤0,25) uT</v>
      </c>
      <c r="BE562" s="78" t="str">
        <f t="shared" si="190"/>
        <v>Tipo 1 (≤0,25) uT</v>
      </c>
      <c r="BF562" s="78" t="str">
        <f t="shared" si="204"/>
        <v>Tipo 1 (≤0,25) uT</v>
      </c>
      <c r="BG562" s="78" t="str">
        <f t="shared" si="191"/>
        <v>Tipo 1 (≤0,25) uT</v>
      </c>
      <c r="BH562" s="78" t="str">
        <f t="shared" si="205"/>
        <v>Tipo 1 (≤0,25) uT</v>
      </c>
    </row>
    <row r="563" spans="1:60" ht="15.75" thickBot="1" x14ac:dyDescent="0.25">
      <c r="A563" s="32">
        <v>46321</v>
      </c>
      <c r="B563" s="81">
        <v>0.22916666666666666</v>
      </c>
      <c r="C563" s="58">
        <v>303</v>
      </c>
      <c r="D563" s="58">
        <v>1068</v>
      </c>
      <c r="E563" s="58">
        <v>304</v>
      </c>
      <c r="F563" s="58">
        <v>1731</v>
      </c>
      <c r="G563" s="86" t="s">
        <v>78</v>
      </c>
      <c r="H563" s="64">
        <v>8.5</v>
      </c>
      <c r="I563" s="58">
        <v>123</v>
      </c>
      <c r="J563" s="58">
        <v>90</v>
      </c>
      <c r="K563" s="58">
        <v>90</v>
      </c>
      <c r="L563" s="58">
        <v>90</v>
      </c>
      <c r="M563" s="58">
        <v>25.2</v>
      </c>
      <c r="N563" s="64">
        <v>6.4</v>
      </c>
      <c r="O563" s="37">
        <v>1.67</v>
      </c>
      <c r="P563" s="58">
        <v>10</v>
      </c>
      <c r="Q563" s="64">
        <v>8.5</v>
      </c>
      <c r="R563" s="37">
        <v>7.0000000000000007E-2</v>
      </c>
      <c r="S563" s="36">
        <v>22.36</v>
      </c>
      <c r="T563" s="36">
        <v>0.88</v>
      </c>
      <c r="U563" s="36">
        <v>0.7</v>
      </c>
      <c r="V563" s="42">
        <f t="shared" si="206"/>
        <v>2691.7049999999999</v>
      </c>
      <c r="W563" s="42">
        <f t="shared" si="207"/>
        <v>1709.4946699999998</v>
      </c>
      <c r="X563" s="42">
        <f t="shared" si="208"/>
        <v>0.63509733421753123</v>
      </c>
      <c r="Y563" s="58">
        <v>2</v>
      </c>
      <c r="Z563" s="58">
        <v>2</v>
      </c>
      <c r="AA563" s="64">
        <v>5.7</v>
      </c>
      <c r="AB563" s="58">
        <v>25</v>
      </c>
      <c r="AC563" s="64">
        <v>6.2</v>
      </c>
      <c r="AD563" s="64">
        <v>6</v>
      </c>
      <c r="AE563" s="37">
        <v>0.11</v>
      </c>
      <c r="AF563" s="37">
        <v>0.18</v>
      </c>
      <c r="AG563" s="42">
        <f t="shared" si="194"/>
        <v>1345.8525</v>
      </c>
      <c r="AH563" s="42">
        <f t="shared" si="209"/>
        <v>1979.8438399999998</v>
      </c>
      <c r="AI563" s="42">
        <f t="shared" si="210"/>
        <v>1.4710704479131256</v>
      </c>
      <c r="AJ563" s="58">
        <v>6.4</v>
      </c>
      <c r="AK563" s="58">
        <v>4</v>
      </c>
      <c r="AL563" s="64">
        <v>6.4</v>
      </c>
      <c r="AM563" s="58">
        <v>25</v>
      </c>
      <c r="AN563" s="64">
        <v>6.1</v>
      </c>
      <c r="AO563" s="64">
        <v>6.1</v>
      </c>
      <c r="AP563" s="37">
        <v>0.1</v>
      </c>
      <c r="AQ563" s="37">
        <v>0.08</v>
      </c>
      <c r="AR563" s="73">
        <f t="shared" si="195"/>
        <v>1675</v>
      </c>
      <c r="AS563" s="93">
        <f t="shared" si="196"/>
        <v>0.1808955223880597</v>
      </c>
      <c r="AT563" s="93">
        <f t="shared" si="197"/>
        <v>0.63761194029850743</v>
      </c>
      <c r="AU563" s="93">
        <f t="shared" si="198"/>
        <v>0.18149253731343284</v>
      </c>
      <c r="AV563" s="26">
        <f t="shared" si="192"/>
        <v>1.4675848277701472E-3</v>
      </c>
      <c r="AW563" s="26">
        <f t="shared" si="211"/>
        <v>1.0368029731103484E-2</v>
      </c>
      <c r="AX563" s="26">
        <f t="shared" si="212"/>
        <v>0.95209580838323349</v>
      </c>
      <c r="AY563" s="24">
        <f t="shared" si="213"/>
        <v>0.89221556886227549</v>
      </c>
      <c r="AZ563" s="77" t="str">
        <f t="shared" si="199"/>
        <v>7,5 ≤ Alc. Bruta &lt; 10,0 mg/L</v>
      </c>
      <c r="BA563" s="77" t="str">
        <f t="shared" si="200"/>
        <v>10 ≤ Cor &lt;15 uC</v>
      </c>
      <c r="BB563" s="78" t="str">
        <f t="shared" si="201"/>
        <v>Turbidez &lt; 2,5 uT</v>
      </c>
      <c r="BC563" s="79" t="str">
        <f t="shared" si="202"/>
        <v>SM &gt; BNN &gt; TOR</v>
      </c>
      <c r="BD563" s="78" t="str">
        <f t="shared" si="203"/>
        <v>Tipo 1 (≤0,25) uT</v>
      </c>
      <c r="BE563" s="78" t="str">
        <f t="shared" si="190"/>
        <v>Tipo 1 (≤0,25) uT</v>
      </c>
      <c r="BF563" s="78" t="str">
        <f t="shared" si="204"/>
        <v>Tipo 1 (≤0,25) uT</v>
      </c>
      <c r="BG563" s="78" t="str">
        <f t="shared" si="191"/>
        <v>Tipo 1 (≤0,25) uT</v>
      </c>
      <c r="BH563" s="78" t="str">
        <f t="shared" si="205"/>
        <v>Tipo 1 (≤0,25) uT</v>
      </c>
    </row>
    <row r="564" spans="1:60" x14ac:dyDescent="0.2">
      <c r="A564" s="30">
        <v>46321</v>
      </c>
      <c r="B564" s="82">
        <v>0.3125</v>
      </c>
      <c r="C564" s="59">
        <v>280</v>
      </c>
      <c r="D564" s="59">
        <v>1603</v>
      </c>
      <c r="E564" s="59">
        <v>293</v>
      </c>
      <c r="F564" s="59">
        <v>2202</v>
      </c>
      <c r="G564" s="87" t="s">
        <v>33</v>
      </c>
      <c r="H564" s="65">
        <v>8.5</v>
      </c>
      <c r="I564" s="59">
        <v>31</v>
      </c>
      <c r="J564" s="59">
        <v>90</v>
      </c>
      <c r="K564" s="59">
        <v>90</v>
      </c>
      <c r="L564" s="59">
        <v>90</v>
      </c>
      <c r="M564" s="59">
        <v>25.4</v>
      </c>
      <c r="N564" s="65">
        <v>6.3</v>
      </c>
      <c r="O564" s="38">
        <v>1.6</v>
      </c>
      <c r="P564" s="59">
        <v>10</v>
      </c>
      <c r="Q564" s="65">
        <v>7.5</v>
      </c>
      <c r="R564" s="38">
        <v>0.12</v>
      </c>
      <c r="S564" s="36">
        <v>22.36</v>
      </c>
      <c r="T564" s="36">
        <v>0.88</v>
      </c>
      <c r="U564" s="36">
        <v>0.7</v>
      </c>
      <c r="V564" s="42">
        <f t="shared" si="206"/>
        <v>1692.7875000000001</v>
      </c>
      <c r="W564" s="42">
        <f t="shared" si="207"/>
        <v>1559.5466764799999</v>
      </c>
      <c r="X564" s="42">
        <f t="shared" si="208"/>
        <v>0.92128910243016315</v>
      </c>
      <c r="Y564" s="60">
        <v>3</v>
      </c>
      <c r="Z564" s="88">
        <v>4</v>
      </c>
      <c r="AA564" s="89">
        <v>5.48</v>
      </c>
      <c r="AB564" s="88">
        <v>24</v>
      </c>
      <c r="AC564" s="65">
        <v>6.2</v>
      </c>
      <c r="AD564" s="65">
        <v>5.6</v>
      </c>
      <c r="AE564" s="38">
        <v>0.1</v>
      </c>
      <c r="AF564" s="38">
        <v>0.27</v>
      </c>
      <c r="AG564" s="42">
        <f t="shared" si="194"/>
        <v>1692.7875000000001</v>
      </c>
      <c r="AH564" s="42">
        <f t="shared" si="209"/>
        <v>1916.259967986</v>
      </c>
      <c r="AI564" s="42">
        <f t="shared" si="210"/>
        <v>1.1320144837943331</v>
      </c>
      <c r="AJ564" s="59">
        <v>6.41</v>
      </c>
      <c r="AK564" s="59">
        <v>4</v>
      </c>
      <c r="AL564" s="65">
        <v>6.41</v>
      </c>
      <c r="AM564" s="59">
        <v>24.15</v>
      </c>
      <c r="AN564" s="65">
        <v>6.2</v>
      </c>
      <c r="AO564" s="65">
        <v>6.3</v>
      </c>
      <c r="AP564" s="38">
        <v>0.13</v>
      </c>
      <c r="AQ564" s="38">
        <v>0.16</v>
      </c>
      <c r="AR564" s="73">
        <f t="shared" si="195"/>
        <v>2176</v>
      </c>
      <c r="AS564" s="93">
        <f t="shared" si="196"/>
        <v>0.12867647058823528</v>
      </c>
      <c r="AT564" s="93">
        <f t="shared" si="197"/>
        <v>0.73667279411764708</v>
      </c>
      <c r="AU564" s="93">
        <f t="shared" si="198"/>
        <v>0.13465073529411764</v>
      </c>
      <c r="AV564" s="26">
        <f t="shared" si="192"/>
        <v>3.3470993730432817E-3</v>
      </c>
      <c r="AW564" s="26">
        <f t="shared" si="211"/>
        <v>6.3746501358082335E-3</v>
      </c>
      <c r="AX564" s="26">
        <f t="shared" si="212"/>
        <v>0.9</v>
      </c>
      <c r="AY564" s="24">
        <f t="shared" si="213"/>
        <v>0.83125000000000004</v>
      </c>
      <c r="AZ564" s="77" t="str">
        <f t="shared" si="199"/>
        <v>7,5 ≤ Alc. Bruta &lt; 10,0 mg/L</v>
      </c>
      <c r="BA564" s="77" t="str">
        <f t="shared" si="200"/>
        <v>10 ≤ Cor &lt;15 uC</v>
      </c>
      <c r="BB564" s="78" t="str">
        <f t="shared" si="201"/>
        <v>Turbidez &lt; 2,5 uT</v>
      </c>
      <c r="BC564" s="79" t="str">
        <f t="shared" si="202"/>
        <v>SM &gt; BNN &gt; TOR</v>
      </c>
      <c r="BD564" s="78" t="str">
        <f t="shared" si="203"/>
        <v>Tipo 1 (≤0,25) uT</v>
      </c>
      <c r="BE564" s="78" t="str">
        <f t="shared" si="190"/>
        <v>Tipo 1 (≤0,25) uT</v>
      </c>
      <c r="BF564" s="78" t="str">
        <f t="shared" si="204"/>
        <v>Tipo 2 (0,25-0,50) uT</v>
      </c>
      <c r="BG564" s="78" t="str">
        <f t="shared" si="191"/>
        <v>Tipo 1 (≤0,25) uT</v>
      </c>
      <c r="BH564" s="78" t="str">
        <f t="shared" si="205"/>
        <v>Tipo 1 (≤0,25) uT</v>
      </c>
    </row>
    <row r="565" spans="1:60" x14ac:dyDescent="0.2">
      <c r="A565" s="31">
        <v>46321</v>
      </c>
      <c r="B565" s="80">
        <v>0.47916666666666669</v>
      </c>
      <c r="C565" s="57">
        <v>272</v>
      </c>
      <c r="D565" s="57">
        <v>1630</v>
      </c>
      <c r="E565" s="57">
        <v>296</v>
      </c>
      <c r="F565" s="57">
        <v>2200</v>
      </c>
      <c r="G565" s="85" t="s">
        <v>33</v>
      </c>
      <c r="H565" s="63">
        <v>8.5</v>
      </c>
      <c r="I565" s="57">
        <v>-23</v>
      </c>
      <c r="J565" s="57">
        <v>90</v>
      </c>
      <c r="K565" s="57">
        <v>90</v>
      </c>
      <c r="L565" s="57">
        <v>90</v>
      </c>
      <c r="M565" s="57">
        <v>25.8</v>
      </c>
      <c r="N565" s="63">
        <v>6.2</v>
      </c>
      <c r="O565" s="36">
        <v>1.58</v>
      </c>
      <c r="P565" s="57">
        <v>10</v>
      </c>
      <c r="Q565" s="63">
        <v>7.6</v>
      </c>
      <c r="R565" s="36">
        <v>0.13</v>
      </c>
      <c r="S565" s="36">
        <v>22.36</v>
      </c>
      <c r="T565" s="36">
        <v>0.88</v>
      </c>
      <c r="U565" s="36">
        <v>0.7</v>
      </c>
      <c r="V565" s="42">
        <f t="shared" si="206"/>
        <v>1685.75</v>
      </c>
      <c r="W565" s="42">
        <f t="shared" si="207"/>
        <v>1566.044787632</v>
      </c>
      <c r="X565" s="42">
        <f t="shared" si="208"/>
        <v>0.92898993779148742</v>
      </c>
      <c r="Y565" s="57">
        <v>3</v>
      </c>
      <c r="Z565" s="57">
        <v>4</v>
      </c>
      <c r="AA565" s="63">
        <v>5.48</v>
      </c>
      <c r="AB565" s="57">
        <v>24.1</v>
      </c>
      <c r="AC565" s="63">
        <v>6.2</v>
      </c>
      <c r="AD565" s="63">
        <v>5.8</v>
      </c>
      <c r="AE565" s="36">
        <v>0.11</v>
      </c>
      <c r="AF565" s="36">
        <v>0.26</v>
      </c>
      <c r="AG565" s="42">
        <f t="shared" si="194"/>
        <v>1685.75</v>
      </c>
      <c r="AH565" s="42">
        <f t="shared" si="209"/>
        <v>1911.7372119039999</v>
      </c>
      <c r="AI565" s="42">
        <f t="shared" si="210"/>
        <v>1.134057370253003</v>
      </c>
      <c r="AJ565" s="57">
        <v>6.4</v>
      </c>
      <c r="AK565" s="57">
        <v>4</v>
      </c>
      <c r="AL565" s="63">
        <v>6.4</v>
      </c>
      <c r="AM565" s="57">
        <v>24.14</v>
      </c>
      <c r="AN565" s="63">
        <v>6.2</v>
      </c>
      <c r="AO565" s="63">
        <v>6.2</v>
      </c>
      <c r="AP565" s="36">
        <v>0.14000000000000001</v>
      </c>
      <c r="AQ565" s="36">
        <v>0.15</v>
      </c>
      <c r="AR565" s="73">
        <f t="shared" si="195"/>
        <v>2198</v>
      </c>
      <c r="AS565" s="93">
        <f t="shared" si="196"/>
        <v>0.12374886260236578</v>
      </c>
      <c r="AT565" s="93">
        <f t="shared" si="197"/>
        <v>0.74158325750682441</v>
      </c>
      <c r="AU565" s="93">
        <f t="shared" si="198"/>
        <v>0.13466787989080983</v>
      </c>
      <c r="AV565" s="26">
        <f t="shared" si="192"/>
        <v>3.3781452283326813E-3</v>
      </c>
      <c r="AW565" s="26">
        <f t="shared" si="211"/>
        <v>6.3919597232441989E-3</v>
      </c>
      <c r="AX565" s="26">
        <f t="shared" si="212"/>
        <v>0.90506329113924056</v>
      </c>
      <c r="AY565" s="24">
        <f t="shared" si="213"/>
        <v>0.83544303797468356</v>
      </c>
      <c r="AZ565" s="77" t="str">
        <f t="shared" si="199"/>
        <v>7,5 ≤ Alc. Bruta &lt; 10,0 mg/L</v>
      </c>
      <c r="BA565" s="77" t="str">
        <f t="shared" si="200"/>
        <v>10 ≤ Cor &lt;15 uC</v>
      </c>
      <c r="BB565" s="78" t="str">
        <f t="shared" si="201"/>
        <v>Turbidez &lt; 2,5 uT</v>
      </c>
      <c r="BC565" s="79" t="str">
        <f t="shared" si="202"/>
        <v>SM &gt; BNN &gt; TOR</v>
      </c>
      <c r="BD565" s="78" t="str">
        <f t="shared" si="203"/>
        <v>Tipo 1 (≤0,25) uT</v>
      </c>
      <c r="BE565" s="78" t="str">
        <f t="shared" si="190"/>
        <v>Tipo 1 (≤0,25) uT</v>
      </c>
      <c r="BF565" s="78" t="str">
        <f t="shared" si="204"/>
        <v>Tipo 2 (0,25-0,50) uT</v>
      </c>
      <c r="BG565" s="78" t="str">
        <f t="shared" si="191"/>
        <v>Tipo 1 (≤0,25) uT</v>
      </c>
      <c r="BH565" s="78" t="str">
        <f t="shared" si="205"/>
        <v>Tipo 1 (≤0,25) uT</v>
      </c>
    </row>
    <row r="566" spans="1:60" x14ac:dyDescent="0.2">
      <c r="A566" s="31">
        <v>46321</v>
      </c>
      <c r="B566" s="80">
        <v>0.64583333333333337</v>
      </c>
      <c r="C566" s="57">
        <v>271</v>
      </c>
      <c r="D566" s="57">
        <v>1615</v>
      </c>
      <c r="E566" s="57">
        <v>291</v>
      </c>
      <c r="F566" s="57">
        <v>2215</v>
      </c>
      <c r="G566" s="85" t="s">
        <v>33</v>
      </c>
      <c r="H566" s="63">
        <v>8.5</v>
      </c>
      <c r="I566" s="57">
        <v>23</v>
      </c>
      <c r="J566" s="57">
        <v>90</v>
      </c>
      <c r="K566" s="57">
        <v>90</v>
      </c>
      <c r="L566" s="57">
        <v>90</v>
      </c>
      <c r="M566" s="57">
        <v>25.9</v>
      </c>
      <c r="N566" s="63">
        <v>6.5</v>
      </c>
      <c r="O566" s="36">
        <v>1.52</v>
      </c>
      <c r="P566" s="57">
        <v>10</v>
      </c>
      <c r="Q566" s="63">
        <v>8.5</v>
      </c>
      <c r="R566" s="36">
        <v>0.14000000000000001</v>
      </c>
      <c r="S566" s="36">
        <v>22.36</v>
      </c>
      <c r="T566" s="36">
        <v>0.88</v>
      </c>
      <c r="U566" s="36">
        <v>0.7</v>
      </c>
      <c r="V566" s="42">
        <f t="shared" si="206"/>
        <v>1680.6312500000001</v>
      </c>
      <c r="W566" s="42">
        <f t="shared" si="207"/>
        <v>1559.5466764799999</v>
      </c>
      <c r="X566" s="42">
        <f t="shared" si="208"/>
        <v>0.92795292035656229</v>
      </c>
      <c r="Y566" s="57">
        <v>3</v>
      </c>
      <c r="Z566" s="57">
        <v>4</v>
      </c>
      <c r="AA566" s="63">
        <v>5.48</v>
      </c>
      <c r="AB566" s="57">
        <v>24</v>
      </c>
      <c r="AC566" s="63">
        <v>6.2</v>
      </c>
      <c r="AD566" s="63">
        <v>6.3</v>
      </c>
      <c r="AE566" s="36">
        <v>0.12</v>
      </c>
      <c r="AF566" s="36">
        <v>0.13</v>
      </c>
      <c r="AG566" s="42">
        <f t="shared" si="194"/>
        <v>1680.6312500000001</v>
      </c>
      <c r="AH566" s="42">
        <f t="shared" si="209"/>
        <v>1908.56946176</v>
      </c>
      <c r="AI566" s="42">
        <f t="shared" si="210"/>
        <v>1.1356265461325914</v>
      </c>
      <c r="AJ566" s="57">
        <v>6.4</v>
      </c>
      <c r="AK566" s="57">
        <v>4</v>
      </c>
      <c r="AL566" s="63">
        <v>6.4</v>
      </c>
      <c r="AM566" s="57">
        <v>24.1</v>
      </c>
      <c r="AN566" s="63">
        <v>6.2</v>
      </c>
      <c r="AO566" s="63">
        <v>6.5</v>
      </c>
      <c r="AP566" s="36">
        <v>0.15</v>
      </c>
      <c r="AQ566" s="36">
        <v>0.2</v>
      </c>
      <c r="AR566" s="73">
        <f t="shared" si="195"/>
        <v>2177</v>
      </c>
      <c r="AS566" s="93">
        <f t="shared" si="196"/>
        <v>0.12448323380799264</v>
      </c>
      <c r="AT566" s="93">
        <f t="shared" si="197"/>
        <v>0.74184657785943964</v>
      </c>
      <c r="AU566" s="93">
        <f t="shared" si="198"/>
        <v>0.13367018833256775</v>
      </c>
      <c r="AV566" s="26">
        <f t="shared" si="192"/>
        <v>3.3515229629130917E-3</v>
      </c>
      <c r="AW566" s="26">
        <f t="shared" si="211"/>
        <v>6.3574578654826781E-3</v>
      </c>
      <c r="AX566" s="26">
        <f t="shared" si="212"/>
        <v>0.86842105263157898</v>
      </c>
      <c r="AY566" s="24">
        <f t="shared" si="213"/>
        <v>0.91447368421052633</v>
      </c>
      <c r="AZ566" s="77" t="str">
        <f t="shared" si="199"/>
        <v>7,5 ≤ Alc. Bruta &lt; 10,0 mg/L</v>
      </c>
      <c r="BA566" s="77" t="str">
        <f t="shared" si="200"/>
        <v>10 ≤ Cor &lt;15 uC</v>
      </c>
      <c r="BB566" s="78" t="str">
        <f t="shared" si="201"/>
        <v>Turbidez &lt; 2,5 uT</v>
      </c>
      <c r="BC566" s="79" t="str">
        <f t="shared" si="202"/>
        <v>SM &gt; BNN &gt; TOR</v>
      </c>
      <c r="BD566" s="78" t="str">
        <f t="shared" si="203"/>
        <v>Tipo 1 (≤0,25) uT</v>
      </c>
      <c r="BE566" s="78" t="str">
        <f t="shared" si="190"/>
        <v>Tipo 1 (≤0,25) uT</v>
      </c>
      <c r="BF566" s="78" t="str">
        <f t="shared" si="204"/>
        <v>Tipo 1 (≤0,25) uT</v>
      </c>
      <c r="BG566" s="78" t="str">
        <f t="shared" si="191"/>
        <v>Tipo 1 (≤0,25) uT</v>
      </c>
      <c r="BH566" s="78" t="str">
        <f t="shared" si="205"/>
        <v>Tipo 1 (≤0,25) uT</v>
      </c>
    </row>
    <row r="567" spans="1:60" x14ac:dyDescent="0.2">
      <c r="A567" s="31">
        <v>46321</v>
      </c>
      <c r="B567" s="80">
        <v>0.72916666666666663</v>
      </c>
      <c r="C567" s="57">
        <v>270</v>
      </c>
      <c r="D567" s="57">
        <v>1620</v>
      </c>
      <c r="E567" s="57">
        <v>270</v>
      </c>
      <c r="F567" s="57">
        <v>2215</v>
      </c>
      <c r="G567" s="85" t="s">
        <v>33</v>
      </c>
      <c r="H567" s="63">
        <v>8.5</v>
      </c>
      <c r="I567" s="57">
        <v>13.12</v>
      </c>
      <c r="J567" s="57">
        <v>90</v>
      </c>
      <c r="K567" s="57">
        <v>90</v>
      </c>
      <c r="L567" s="57">
        <v>90</v>
      </c>
      <c r="M567" s="57">
        <v>25.8</v>
      </c>
      <c r="N567" s="63">
        <v>6.5</v>
      </c>
      <c r="O567" s="36">
        <v>1.56</v>
      </c>
      <c r="P567" s="57">
        <v>10</v>
      </c>
      <c r="Q567" s="63">
        <v>8.5</v>
      </c>
      <c r="R567" s="36">
        <v>0.13</v>
      </c>
      <c r="S567" s="36">
        <v>22.36</v>
      </c>
      <c r="T567" s="36">
        <v>0.88</v>
      </c>
      <c r="U567" s="36">
        <v>0.7</v>
      </c>
      <c r="V567" s="42">
        <f t="shared" si="206"/>
        <v>1691.70625</v>
      </c>
      <c r="W567" s="42">
        <f t="shared" si="207"/>
        <v>1559.5466764799999</v>
      </c>
      <c r="X567" s="42">
        <f t="shared" si="208"/>
        <v>0.92187794215455543</v>
      </c>
      <c r="Y567" s="57">
        <v>3</v>
      </c>
      <c r="Z567" s="57">
        <v>4</v>
      </c>
      <c r="AA567" s="63">
        <v>5.48</v>
      </c>
      <c r="AB567" s="57">
        <v>24</v>
      </c>
      <c r="AC567" s="63">
        <v>6.3</v>
      </c>
      <c r="AD567" s="63">
        <v>6.4</v>
      </c>
      <c r="AE567" s="36">
        <v>0.12</v>
      </c>
      <c r="AF567" s="36">
        <v>0.14000000000000001</v>
      </c>
      <c r="AG567" s="42">
        <f t="shared" si="194"/>
        <v>1691.70625</v>
      </c>
      <c r="AH567" s="42">
        <f t="shared" si="209"/>
        <v>1908.56946176</v>
      </c>
      <c r="AI567" s="42">
        <f t="shared" si="210"/>
        <v>1.1281920024590557</v>
      </c>
      <c r="AJ567" s="57">
        <v>6.4</v>
      </c>
      <c r="AK567" s="57">
        <v>4</v>
      </c>
      <c r="AL567" s="63">
        <v>6.4</v>
      </c>
      <c r="AM567" s="57">
        <v>24.1</v>
      </c>
      <c r="AN567" s="63">
        <v>6.2</v>
      </c>
      <c r="AO567" s="63">
        <v>6.5</v>
      </c>
      <c r="AP567" s="36">
        <v>0.15</v>
      </c>
      <c r="AQ567" s="36">
        <v>0.2</v>
      </c>
      <c r="AR567" s="73">
        <f t="shared" si="195"/>
        <v>2160</v>
      </c>
      <c r="AS567" s="93">
        <f t="shared" si="196"/>
        <v>0.125</v>
      </c>
      <c r="AT567" s="93">
        <f t="shared" si="197"/>
        <v>0.75</v>
      </c>
      <c r="AU567" s="93">
        <f t="shared" si="198"/>
        <v>0.125</v>
      </c>
      <c r="AV567" s="26">
        <f t="shared" si="192"/>
        <v>3.3295817323866564E-3</v>
      </c>
      <c r="AW567" s="26">
        <f t="shared" si="211"/>
        <v>6.3158378467233827E-3</v>
      </c>
      <c r="AX567" s="26">
        <f t="shared" si="212"/>
        <v>0.87179487179487181</v>
      </c>
      <c r="AY567" s="24">
        <f t="shared" si="213"/>
        <v>0.91025641025641024</v>
      </c>
      <c r="AZ567" s="77" t="str">
        <f t="shared" si="199"/>
        <v>7,5 ≤ Alc. Bruta &lt; 10,0 mg/L</v>
      </c>
      <c r="BA567" s="77" t="str">
        <f t="shared" si="200"/>
        <v>10 ≤ Cor &lt;15 uC</v>
      </c>
      <c r="BB567" s="78" t="str">
        <f t="shared" si="201"/>
        <v>Turbidez &lt; 2,5 uT</v>
      </c>
      <c r="BC567" s="79" t="str">
        <f t="shared" si="202"/>
        <v>Comb. diferentes</v>
      </c>
      <c r="BD567" s="78" t="str">
        <f t="shared" si="203"/>
        <v>Tipo 1 (≤0,25) uT</v>
      </c>
      <c r="BE567" s="78" t="str">
        <f t="shared" si="190"/>
        <v>Tipo 1 (≤0,25) uT</v>
      </c>
      <c r="BF567" s="78" t="str">
        <f t="shared" si="204"/>
        <v>Tipo 1 (≤0,25) uT</v>
      </c>
      <c r="BG567" s="78" t="str">
        <f t="shared" si="191"/>
        <v>Tipo 1 (≤0,25) uT</v>
      </c>
      <c r="BH567" s="78" t="str">
        <f t="shared" si="205"/>
        <v>Tipo 1 (≤0,25) uT</v>
      </c>
    </row>
    <row r="568" spans="1:60" x14ac:dyDescent="0.2">
      <c r="A568" s="31">
        <v>46321</v>
      </c>
      <c r="B568" s="80">
        <v>0.8125</v>
      </c>
      <c r="C568" s="57" t="s">
        <v>33</v>
      </c>
      <c r="D568" s="57">
        <v>1355</v>
      </c>
      <c r="E568" s="57">
        <v>301</v>
      </c>
      <c r="F568" s="57">
        <v>1765</v>
      </c>
      <c r="G568" s="85" t="s">
        <v>33</v>
      </c>
      <c r="H568" s="63">
        <v>8.5</v>
      </c>
      <c r="I568" s="57">
        <v>7.8</v>
      </c>
      <c r="J568" s="57">
        <v>90</v>
      </c>
      <c r="K568" s="57">
        <v>90</v>
      </c>
      <c r="L568" s="57">
        <v>90</v>
      </c>
      <c r="M568" s="57">
        <v>25.7</v>
      </c>
      <c r="N568" s="63">
        <v>6.4</v>
      </c>
      <c r="O568" s="36">
        <v>1.37</v>
      </c>
      <c r="P568" s="57">
        <v>11</v>
      </c>
      <c r="Q568" s="63">
        <v>8.1999999999999993</v>
      </c>
      <c r="R568" s="36">
        <v>0.08</v>
      </c>
      <c r="S568" s="36">
        <v>22.36</v>
      </c>
      <c r="T568" s="36">
        <v>0.88</v>
      </c>
      <c r="U568" s="36">
        <v>0.7</v>
      </c>
      <c r="V568" s="42">
        <f t="shared" si="206"/>
        <v>1741.4666666666667</v>
      </c>
      <c r="W568" s="42">
        <f t="shared" si="207"/>
        <v>1751.9781109999997</v>
      </c>
      <c r="X568" s="42">
        <f t="shared" si="208"/>
        <v>1.0060359721690526</v>
      </c>
      <c r="Y568" s="57">
        <v>2</v>
      </c>
      <c r="Z568" s="57">
        <v>3</v>
      </c>
      <c r="AA568" s="63">
        <v>5.81</v>
      </c>
      <c r="AB568" s="57">
        <v>25</v>
      </c>
      <c r="AC568" s="63">
        <v>6.1</v>
      </c>
      <c r="AD568" s="63">
        <v>5.9</v>
      </c>
      <c r="AE568" s="36">
        <v>0.12</v>
      </c>
      <c r="AF568" s="36">
        <v>0.12</v>
      </c>
      <c r="AG568" s="42">
        <f t="shared" si="194"/>
        <v>1492.6857142857143</v>
      </c>
      <c r="AH568" s="42">
        <f t="shared" si="209"/>
        <v>1956.0857139199998</v>
      </c>
      <c r="AI568" s="42">
        <f t="shared" si="210"/>
        <v>1.3104471324400886</v>
      </c>
      <c r="AJ568" s="57">
        <v>6.4</v>
      </c>
      <c r="AK568" s="57">
        <v>3.5</v>
      </c>
      <c r="AL568" s="63">
        <v>6.4</v>
      </c>
      <c r="AM568" s="57">
        <v>24.7</v>
      </c>
      <c r="AN568" s="63">
        <v>6.3</v>
      </c>
      <c r="AO568" s="63">
        <v>5.5</v>
      </c>
      <c r="AP568" s="36">
        <v>0.11</v>
      </c>
      <c r="AQ568" s="36">
        <v>0.2</v>
      </c>
      <c r="AR568" s="73">
        <f t="shared" si="195"/>
        <v>1656</v>
      </c>
      <c r="AS568" s="93" t="e">
        <f t="shared" si="196"/>
        <v>#VALUE!</v>
      </c>
      <c r="AT568" s="93">
        <f t="shared" si="197"/>
        <v>0.81823671497584538</v>
      </c>
      <c r="AU568" s="93">
        <f t="shared" si="198"/>
        <v>0.18176328502415459</v>
      </c>
      <c r="AV568" s="26">
        <f t="shared" si="192"/>
        <v>3.4199523133225584E-3</v>
      </c>
      <c r="AW568" s="26">
        <f t="shared" si="211"/>
        <v>9.3550333533966665E-3</v>
      </c>
      <c r="AX568" s="26">
        <f t="shared" si="212"/>
        <v>0.85401459854014594</v>
      </c>
      <c r="AY568" s="24">
        <f t="shared" si="213"/>
        <v>0.91240875912408759</v>
      </c>
      <c r="AZ568" s="77" t="str">
        <f t="shared" si="199"/>
        <v>7,5 ≤ Alc. Bruta &lt; 10,0 mg/L</v>
      </c>
      <c r="BA568" s="77" t="str">
        <f t="shared" si="200"/>
        <v>10 ≤ Cor &lt;15 uC</v>
      </c>
      <c r="BB568" s="78" t="str">
        <f t="shared" si="201"/>
        <v>Turbidez &lt; 2,5 uT</v>
      </c>
      <c r="BC568" s="79" t="str">
        <f t="shared" si="202"/>
        <v>TOR &gt; SM &gt; BNN</v>
      </c>
      <c r="BD568" s="78" t="str">
        <f t="shared" si="203"/>
        <v>Tipo 1 (≤0,25) uT</v>
      </c>
      <c r="BE568" s="78" t="str">
        <f t="shared" si="190"/>
        <v>Tipo 1 (≤0,25) uT</v>
      </c>
      <c r="BF568" s="78" t="str">
        <f t="shared" si="204"/>
        <v>Tipo 1 (≤0,25) uT</v>
      </c>
      <c r="BG568" s="78" t="str">
        <f t="shared" si="191"/>
        <v>Tipo 1 (≤0,25) uT</v>
      </c>
      <c r="BH568" s="78" t="str">
        <f t="shared" si="205"/>
        <v>Tipo 1 (≤0,25) uT</v>
      </c>
    </row>
    <row r="569" spans="1:60" x14ac:dyDescent="0.2">
      <c r="A569" s="31">
        <v>46321</v>
      </c>
      <c r="B569" s="80">
        <v>0.89583333333333337</v>
      </c>
      <c r="C569" s="57" t="s">
        <v>33</v>
      </c>
      <c r="D569" s="57">
        <v>1325</v>
      </c>
      <c r="E569" s="57">
        <v>302</v>
      </c>
      <c r="F569" s="57">
        <v>1779</v>
      </c>
      <c r="G569" s="85" t="s">
        <v>33</v>
      </c>
      <c r="H569" s="63">
        <v>8.5</v>
      </c>
      <c r="I569" s="57">
        <v>-47</v>
      </c>
      <c r="J569" s="57">
        <v>90</v>
      </c>
      <c r="K569" s="57">
        <v>90</v>
      </c>
      <c r="L569" s="57">
        <v>90</v>
      </c>
      <c r="M569" s="57">
        <v>23.6</v>
      </c>
      <c r="N569" s="63">
        <v>6.6</v>
      </c>
      <c r="O569" s="36">
        <v>1.54</v>
      </c>
      <c r="P569" s="57">
        <v>12</v>
      </c>
      <c r="Q569" s="63">
        <v>7.8</v>
      </c>
      <c r="R569" s="36">
        <v>0.1</v>
      </c>
      <c r="S569" s="36">
        <v>22.36</v>
      </c>
      <c r="T569" s="36">
        <v>0.88</v>
      </c>
      <c r="U569" s="36">
        <v>0.7</v>
      </c>
      <c r="V569" s="42">
        <f t="shared" si="206"/>
        <v>1805.6849999999999</v>
      </c>
      <c r="W569" s="42">
        <f t="shared" si="207"/>
        <v>1544.218881946</v>
      </c>
      <c r="X569" s="42">
        <f t="shared" si="208"/>
        <v>0.85519837731719539</v>
      </c>
      <c r="Y569" s="57">
        <v>2</v>
      </c>
      <c r="Z569" s="57">
        <v>3</v>
      </c>
      <c r="AA569" s="63">
        <v>5.43</v>
      </c>
      <c r="AB569" s="57">
        <v>24.05</v>
      </c>
      <c r="AC569" s="63">
        <v>6.4</v>
      </c>
      <c r="AD569" s="63">
        <v>6.8</v>
      </c>
      <c r="AE569" s="36">
        <v>0.09</v>
      </c>
      <c r="AF569" s="36">
        <v>0.15</v>
      </c>
      <c r="AG569" s="42">
        <f t="shared" si="194"/>
        <v>1354.2637500000001</v>
      </c>
      <c r="AH569" s="42">
        <f t="shared" si="209"/>
        <v>1962.421214208</v>
      </c>
      <c r="AI569" s="42">
        <f t="shared" si="210"/>
        <v>1.449068701874358</v>
      </c>
      <c r="AJ569" s="57">
        <v>6.4</v>
      </c>
      <c r="AK569" s="57">
        <v>4</v>
      </c>
      <c r="AL569" s="63">
        <v>6.4</v>
      </c>
      <c r="AM569" s="57">
        <v>24.78</v>
      </c>
      <c r="AN569" s="63">
        <v>6.4</v>
      </c>
      <c r="AO569" s="63">
        <v>6.7</v>
      </c>
      <c r="AP569" s="36">
        <v>0.12</v>
      </c>
      <c r="AQ569" s="36">
        <v>0.2</v>
      </c>
      <c r="AR569" s="73">
        <f t="shared" si="195"/>
        <v>1627</v>
      </c>
      <c r="AS569" s="93" t="e">
        <f t="shared" si="196"/>
        <v>#VALUE!</v>
      </c>
      <c r="AT569" s="93">
        <f t="shared" si="197"/>
        <v>0.81438229870928092</v>
      </c>
      <c r="AU569" s="93">
        <f t="shared" si="198"/>
        <v>0.18561770129071911</v>
      </c>
      <c r="AV569" s="26">
        <f t="shared" si="192"/>
        <v>2.8843115592485512E-3</v>
      </c>
      <c r="AW569" s="26">
        <f t="shared" si="211"/>
        <v>1.0426126691395044E-2</v>
      </c>
      <c r="AX569" s="26">
        <f t="shared" si="212"/>
        <v>0.87012987012987009</v>
      </c>
      <c r="AY569" s="24">
        <f t="shared" si="213"/>
        <v>0.90259740259740262</v>
      </c>
      <c r="AZ569" s="77" t="str">
        <f t="shared" si="199"/>
        <v>7,5 ≤ Alc. Bruta &lt; 10,0 mg/L</v>
      </c>
      <c r="BA569" s="77" t="str">
        <f t="shared" si="200"/>
        <v>10 ≤ Cor &lt;15 uC</v>
      </c>
      <c r="BB569" s="78" t="str">
        <f t="shared" si="201"/>
        <v>Turbidez &lt; 2,5 uT</v>
      </c>
      <c r="BC569" s="79" t="str">
        <f t="shared" si="202"/>
        <v>TOR &gt; SM &gt; BNN</v>
      </c>
      <c r="BD569" s="78" t="str">
        <f t="shared" si="203"/>
        <v>Tipo 1 (≤0,25) uT</v>
      </c>
      <c r="BE569" s="78" t="str">
        <f t="shared" si="190"/>
        <v>Tipo 1 (≤0,25) uT</v>
      </c>
      <c r="BF569" s="78" t="str">
        <f t="shared" si="204"/>
        <v>Tipo 1 (≤0,25) uT</v>
      </c>
      <c r="BG569" s="78" t="str">
        <f t="shared" si="191"/>
        <v>Tipo 1 (≤0,25) uT</v>
      </c>
      <c r="BH569" s="78" t="str">
        <f t="shared" si="205"/>
        <v>Tipo 1 (≤0,25) uT</v>
      </c>
    </row>
    <row r="570" spans="1:60" x14ac:dyDescent="0.2">
      <c r="A570" s="31">
        <v>46322</v>
      </c>
      <c r="B570" s="80">
        <v>6.25E-2</v>
      </c>
      <c r="C570" s="57">
        <v>603</v>
      </c>
      <c r="D570" s="57">
        <v>1263</v>
      </c>
      <c r="E570" s="57">
        <v>249</v>
      </c>
      <c r="F570" s="57">
        <v>2302</v>
      </c>
      <c r="G570" s="85" t="s">
        <v>33</v>
      </c>
      <c r="H570" s="63">
        <v>8.5</v>
      </c>
      <c r="I570" s="57">
        <v>13</v>
      </c>
      <c r="J570" s="57">
        <v>90</v>
      </c>
      <c r="K570" s="57">
        <v>90</v>
      </c>
      <c r="L570" s="57">
        <v>90</v>
      </c>
      <c r="M570" s="57">
        <v>24.6</v>
      </c>
      <c r="N570" s="63">
        <v>6.7</v>
      </c>
      <c r="O570" s="36">
        <v>1.76</v>
      </c>
      <c r="P570" s="57">
        <v>12</v>
      </c>
      <c r="Q570" s="63">
        <v>8.3000000000000007</v>
      </c>
      <c r="R570" s="36">
        <v>0.09</v>
      </c>
      <c r="S570" s="36">
        <v>22.36</v>
      </c>
      <c r="T570" s="36">
        <v>0.88</v>
      </c>
      <c r="U570" s="36">
        <v>0.7</v>
      </c>
      <c r="V570" s="42">
        <f t="shared" si="206"/>
        <v>1815.7024999999999</v>
      </c>
      <c r="W570" s="42">
        <f t="shared" si="207"/>
        <v>1555.0142007295997</v>
      </c>
      <c r="X570" s="42">
        <f t="shared" si="208"/>
        <v>0.85642565383348856</v>
      </c>
      <c r="Y570" s="57">
        <v>3</v>
      </c>
      <c r="Z570" s="57">
        <v>4</v>
      </c>
      <c r="AA570" s="63">
        <v>5.44</v>
      </c>
      <c r="AB570" s="57">
        <v>24.16</v>
      </c>
      <c r="AC570" s="63">
        <v>6.3</v>
      </c>
      <c r="AD570" s="63">
        <v>6.2</v>
      </c>
      <c r="AE570" s="36">
        <v>0.1</v>
      </c>
      <c r="AF570" s="36">
        <v>0.12</v>
      </c>
      <c r="AG570" s="42">
        <f t="shared" si="194"/>
        <v>1815.7024999999999</v>
      </c>
      <c r="AH570" s="42">
        <f t="shared" si="209"/>
        <v>1956.0857139199998</v>
      </c>
      <c r="AI570" s="42">
        <f t="shared" si="210"/>
        <v>1.0773161979564383</v>
      </c>
      <c r="AJ570" s="57">
        <v>6.4</v>
      </c>
      <c r="AK570" s="57">
        <v>4</v>
      </c>
      <c r="AL570" s="63">
        <v>6.4</v>
      </c>
      <c r="AM570" s="57">
        <v>24.7</v>
      </c>
      <c r="AN570" s="63">
        <v>6.3</v>
      </c>
      <c r="AO570" s="63">
        <v>6</v>
      </c>
      <c r="AP570" s="36">
        <v>0.12</v>
      </c>
      <c r="AQ570" s="36">
        <v>0.16</v>
      </c>
      <c r="AR570" s="73">
        <f t="shared" si="195"/>
        <v>2115</v>
      </c>
      <c r="AS570" s="93">
        <f t="shared" si="196"/>
        <v>0.28510638297872343</v>
      </c>
      <c r="AT570" s="93">
        <f t="shared" si="197"/>
        <v>0.59716312056737586</v>
      </c>
      <c r="AU570" s="93">
        <f t="shared" si="198"/>
        <v>0.11773049645390071</v>
      </c>
      <c r="AV570" s="26">
        <f t="shared" si="192"/>
        <v>2.976283766580325E-3</v>
      </c>
      <c r="AW570" s="26">
        <f t="shared" si="211"/>
        <v>5.896691613488758E-3</v>
      </c>
      <c r="AX570" s="26">
        <f t="shared" si="212"/>
        <v>0.90909090909090906</v>
      </c>
      <c r="AY570" s="24">
        <f t="shared" si="213"/>
        <v>0.93181818181818188</v>
      </c>
      <c r="AZ570" s="77" t="str">
        <f t="shared" si="199"/>
        <v>7,5 ≤ Alc. Bruta &lt; 10,0 mg/L</v>
      </c>
      <c r="BA570" s="77" t="str">
        <f t="shared" si="200"/>
        <v>10 ≤ Cor &lt;15 uC</v>
      </c>
      <c r="BB570" s="78" t="str">
        <f t="shared" si="201"/>
        <v>Turbidez &lt; 2,5 uT</v>
      </c>
      <c r="BC570" s="79" t="str">
        <f t="shared" si="202"/>
        <v>SM &gt; TOR &gt; BNN</v>
      </c>
      <c r="BD570" s="78" t="str">
        <f t="shared" si="203"/>
        <v>Tipo 1 (≤0,25) uT</v>
      </c>
      <c r="BE570" s="78" t="str">
        <f t="shared" si="190"/>
        <v>Tipo 1 (≤0,25) uT</v>
      </c>
      <c r="BF570" s="78" t="str">
        <f t="shared" si="204"/>
        <v>Tipo 1 (≤0,25) uT</v>
      </c>
      <c r="BG570" s="78" t="str">
        <f t="shared" si="191"/>
        <v>Tipo 1 (≤0,25) uT</v>
      </c>
      <c r="BH570" s="78" t="str">
        <f t="shared" si="205"/>
        <v>Tipo 1 (≤0,25) uT</v>
      </c>
    </row>
    <row r="571" spans="1:60" x14ac:dyDescent="0.2">
      <c r="A571" s="31">
        <v>46322</v>
      </c>
      <c r="B571" s="80">
        <v>0.14583333333333334</v>
      </c>
      <c r="C571" s="57">
        <v>609</v>
      </c>
      <c r="D571" s="57">
        <v>1311</v>
      </c>
      <c r="E571" s="57">
        <v>250</v>
      </c>
      <c r="F571" s="57">
        <v>2300</v>
      </c>
      <c r="G571" s="85" t="s">
        <v>33</v>
      </c>
      <c r="H571" s="63">
        <v>8.5</v>
      </c>
      <c r="I571" s="57">
        <v>75</v>
      </c>
      <c r="J571" s="57">
        <v>90</v>
      </c>
      <c r="K571" s="57">
        <v>90</v>
      </c>
      <c r="L571" s="57">
        <v>90</v>
      </c>
      <c r="M571" s="57">
        <v>24.2</v>
      </c>
      <c r="N571" s="63">
        <v>6.4</v>
      </c>
      <c r="O571" s="36">
        <v>1.68</v>
      </c>
      <c r="P571" s="57">
        <v>12</v>
      </c>
      <c r="Q571" s="63">
        <v>7.5</v>
      </c>
      <c r="R571" s="36">
        <v>7.0000000000000007E-2</v>
      </c>
      <c r="S571" s="36">
        <v>22.36</v>
      </c>
      <c r="T571" s="36">
        <v>0.88</v>
      </c>
      <c r="U571" s="36">
        <v>0.7</v>
      </c>
      <c r="V571" s="42">
        <f t="shared" si="206"/>
        <v>1791.1249999999998</v>
      </c>
      <c r="W571" s="42">
        <f t="shared" si="207"/>
        <v>1552.7630706119999</v>
      </c>
      <c r="X571" s="42">
        <f t="shared" si="208"/>
        <v>0.86692055027538562</v>
      </c>
      <c r="Y571" s="57">
        <v>3</v>
      </c>
      <c r="Z571" s="57">
        <v>4</v>
      </c>
      <c r="AA571" s="63">
        <v>5.41</v>
      </c>
      <c r="AB571" s="57">
        <v>24.3</v>
      </c>
      <c r="AC571" s="63">
        <v>6.2</v>
      </c>
      <c r="AD571" s="63">
        <v>6.5</v>
      </c>
      <c r="AE571" s="36">
        <v>0.1</v>
      </c>
      <c r="AF571" s="36">
        <v>0.12</v>
      </c>
      <c r="AG571" s="42">
        <f t="shared" si="194"/>
        <v>1791.1249999999998</v>
      </c>
      <c r="AH571" s="42">
        <f t="shared" si="209"/>
        <v>1964.00508928</v>
      </c>
      <c r="AI571" s="42">
        <f t="shared" si="210"/>
        <v>1.0965203932053877</v>
      </c>
      <c r="AJ571" s="57">
        <v>6.4</v>
      </c>
      <c r="AK571" s="57">
        <v>4</v>
      </c>
      <c r="AL571" s="63">
        <v>6.4</v>
      </c>
      <c r="AM571" s="57">
        <v>24.8</v>
      </c>
      <c r="AN571" s="63">
        <v>6.2</v>
      </c>
      <c r="AO571" s="63">
        <v>6.6</v>
      </c>
      <c r="AP571" s="36">
        <v>0.12</v>
      </c>
      <c r="AQ571" s="36">
        <v>0.17</v>
      </c>
      <c r="AR571" s="73">
        <f t="shared" si="195"/>
        <v>2170</v>
      </c>
      <c r="AS571" s="93">
        <f t="shared" si="196"/>
        <v>0.28064516129032258</v>
      </c>
      <c r="AT571" s="93">
        <f t="shared" si="197"/>
        <v>0.60414746543778797</v>
      </c>
      <c r="AU571" s="93">
        <f t="shared" si="198"/>
        <v>0.1152073732718894</v>
      </c>
      <c r="AV571" s="26">
        <f t="shared" si="192"/>
        <v>3.0153758270448192E-3</v>
      </c>
      <c r="AW571" s="26">
        <f t="shared" si="211"/>
        <v>5.9116751633681774E-3</v>
      </c>
      <c r="AX571" s="26">
        <f t="shared" si="212"/>
        <v>0.89880952380952384</v>
      </c>
      <c r="AY571" s="24">
        <f t="shared" si="213"/>
        <v>0.9285714285714286</v>
      </c>
      <c r="AZ571" s="77" t="str">
        <f t="shared" si="199"/>
        <v>7,5 ≤ Alc. Bruta &lt; 10,0 mg/L</v>
      </c>
      <c r="BA571" s="77" t="str">
        <f t="shared" si="200"/>
        <v>10 ≤ Cor &lt;15 uC</v>
      </c>
      <c r="BB571" s="78" t="str">
        <f t="shared" si="201"/>
        <v>Turbidez &lt; 2,5 uT</v>
      </c>
      <c r="BC571" s="79" t="str">
        <f t="shared" si="202"/>
        <v>SM &gt; TOR &gt; BNN</v>
      </c>
      <c r="BD571" s="78" t="str">
        <f t="shared" si="203"/>
        <v>Tipo 1 (≤0,25) uT</v>
      </c>
      <c r="BE571" s="78" t="str">
        <f t="shared" si="190"/>
        <v>Tipo 1 (≤0,25) uT</v>
      </c>
      <c r="BF571" s="78" t="str">
        <f t="shared" si="204"/>
        <v>Tipo 1 (≤0,25) uT</v>
      </c>
      <c r="BG571" s="78" t="str">
        <f t="shared" si="191"/>
        <v>Tipo 1 (≤0,25) uT</v>
      </c>
      <c r="BH571" s="78" t="str">
        <f t="shared" si="205"/>
        <v>Tipo 1 (≤0,25) uT</v>
      </c>
    </row>
    <row r="572" spans="1:60" ht="15.75" thickBot="1" x14ac:dyDescent="0.25">
      <c r="A572" s="32">
        <v>46322</v>
      </c>
      <c r="B572" s="81">
        <v>0.22916666666666666</v>
      </c>
      <c r="C572" s="58">
        <v>607</v>
      </c>
      <c r="D572" s="58">
        <v>1267</v>
      </c>
      <c r="E572" s="58">
        <v>249</v>
      </c>
      <c r="F572" s="58">
        <v>2298</v>
      </c>
      <c r="G572" s="86" t="s">
        <v>33</v>
      </c>
      <c r="H572" s="64">
        <v>8.5</v>
      </c>
      <c r="I572" s="58">
        <v>96</v>
      </c>
      <c r="J572" s="58">
        <v>90</v>
      </c>
      <c r="K572" s="58">
        <v>90</v>
      </c>
      <c r="L572" s="58">
        <v>90</v>
      </c>
      <c r="M572" s="58">
        <v>24.4</v>
      </c>
      <c r="N572" s="64">
        <v>6.2</v>
      </c>
      <c r="O572" s="37">
        <v>1.7</v>
      </c>
      <c r="P572" s="58">
        <v>15</v>
      </c>
      <c r="Q572" s="64">
        <v>6.2</v>
      </c>
      <c r="R572" s="37">
        <v>7.0000000000000007E-2</v>
      </c>
      <c r="S572" s="36">
        <v>22.36</v>
      </c>
      <c r="T572" s="36">
        <v>0.88</v>
      </c>
      <c r="U572" s="36">
        <v>0.7</v>
      </c>
      <c r="V572" s="42">
        <f t="shared" si="206"/>
        <v>1795.3125</v>
      </c>
      <c r="W572" s="42">
        <f t="shared" si="207"/>
        <v>1446.9057705439998</v>
      </c>
      <c r="X572" s="42">
        <f t="shared" si="208"/>
        <v>0.80593532911067001</v>
      </c>
      <c r="Y572" s="58">
        <v>3</v>
      </c>
      <c r="Z572" s="58">
        <v>4</v>
      </c>
      <c r="AA572" s="64">
        <v>5.16</v>
      </c>
      <c r="AB572" s="58">
        <v>24.1</v>
      </c>
      <c r="AC572" s="64">
        <v>6.1</v>
      </c>
      <c r="AD572" s="64">
        <v>6.7</v>
      </c>
      <c r="AE572" s="37">
        <v>0.13</v>
      </c>
      <c r="AF572" s="37">
        <v>0.13</v>
      </c>
      <c r="AG572" s="42">
        <f t="shared" si="194"/>
        <v>1795.3125</v>
      </c>
      <c r="AH572" s="42">
        <f t="shared" si="209"/>
        <v>1956.0857139199998</v>
      </c>
      <c r="AI572" s="42">
        <f t="shared" si="210"/>
        <v>1.089551659624717</v>
      </c>
      <c r="AJ572" s="58">
        <v>6.4</v>
      </c>
      <c r="AK572" s="58">
        <v>4</v>
      </c>
      <c r="AL572" s="64">
        <v>6.4</v>
      </c>
      <c r="AM572" s="58">
        <v>24.7</v>
      </c>
      <c r="AN572" s="64">
        <v>6.2</v>
      </c>
      <c r="AO572" s="64">
        <v>5.9</v>
      </c>
      <c r="AP572" s="37">
        <v>0.14000000000000001</v>
      </c>
      <c r="AQ572" s="37">
        <v>0.18</v>
      </c>
      <c r="AR572" s="73">
        <f t="shared" si="195"/>
        <v>2123</v>
      </c>
      <c r="AS572" s="93">
        <f t="shared" si="196"/>
        <v>0.28591615638247764</v>
      </c>
      <c r="AT572" s="93">
        <f t="shared" si="197"/>
        <v>0.59679698539802162</v>
      </c>
      <c r="AU572" s="93">
        <f t="shared" si="198"/>
        <v>0.1172868582195007</v>
      </c>
      <c r="AV572" s="26">
        <f t="shared" si="192"/>
        <v>2.8056930517342733E-3</v>
      </c>
      <c r="AW572" s="26">
        <f t="shared" si="211"/>
        <v>5.8792169622917719E-3</v>
      </c>
      <c r="AX572" s="26">
        <f t="shared" si="212"/>
        <v>0.89411764705882357</v>
      </c>
      <c r="AY572" s="24">
        <f t="shared" si="213"/>
        <v>0.92352941176470593</v>
      </c>
      <c r="AZ572" s="77" t="str">
        <f t="shared" si="199"/>
        <v>5,0 ≤ Alc. Bruta &lt; 7,5 mg/L</v>
      </c>
      <c r="BA572" s="77" t="str">
        <f t="shared" si="200"/>
        <v>15 ≤ Cor &lt; 30 uC</v>
      </c>
      <c r="BB572" s="78" t="str">
        <f t="shared" si="201"/>
        <v>Turbidez &lt; 2,5 uT</v>
      </c>
      <c r="BC572" s="79" t="str">
        <f t="shared" si="202"/>
        <v>SM &gt; TOR &gt; BNN</v>
      </c>
      <c r="BD572" s="78" t="str">
        <f t="shared" si="203"/>
        <v>Tipo 1 (≤0,25) uT</v>
      </c>
      <c r="BE572" s="78" t="str">
        <f t="shared" si="190"/>
        <v>Tipo 1 (≤0,25) uT</v>
      </c>
      <c r="BF572" s="78" t="str">
        <f t="shared" si="204"/>
        <v>Tipo 1 (≤0,25) uT</v>
      </c>
      <c r="BG572" s="78" t="str">
        <f t="shared" si="191"/>
        <v>Tipo 1 (≤0,25) uT</v>
      </c>
      <c r="BH572" s="78" t="str">
        <f t="shared" si="205"/>
        <v>Tipo 1 (≤0,25) uT</v>
      </c>
    </row>
  </sheetData>
  <autoFilter ref="A1:BH572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2026-10-27T15:43:08Z</dcterms:modified>
</cp:coreProperties>
</file>