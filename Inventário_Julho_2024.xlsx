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sej\Patrimônio\"/>
    </mc:Choice>
  </mc:AlternateContent>
  <xr:revisionPtr revIDLastSave="0" documentId="13_ncr:1000001_{DB39525E-6F0E-3E4B-9F8C-FDF0BFC80AF6}" xr6:coauthVersionLast="47" xr6:coauthVersionMax="47" xr10:uidLastSave="{00000000-0000-0000-0000-000000000000}"/>
  <bookViews>
    <workbookView xWindow="-108" yWindow="-108" windowWidth="23256" windowHeight="12456" tabRatio="690" firstSheet="1" activeTab="1" xr2:uid="{00000000-000D-0000-FFFF-FFFF00000000}"/>
  </bookViews>
  <sheets>
    <sheet name="CARGA" sheetId="15" state="hidden" r:id="rId1"/>
    <sheet name="INVENTÁRIOS" sheetId="16" r:id="rId2"/>
    <sheet name="BUSCA" sheetId="17" r:id="rId3"/>
    <sheet name="MOVIMENTAÇÃO" sheetId="12" state="hidden" r:id="rId4"/>
    <sheet name="DADOS" sheetId="6" state="hidden" r:id="rId5"/>
    <sheet name="Lixo" sheetId="14" state="hidden" r:id="rId6"/>
  </sheets>
  <definedNames>
    <definedName name="_xlnm._FilterDatabase" localSheetId="0" hidden="1">'CARGA'!$A$1:$I$438</definedName>
    <definedName name="_xlnm._FilterDatabase" localSheetId="4" hidden="1">DADOS!#REF!</definedName>
    <definedName name="_xlnm._FilterDatabase" localSheetId="1" hidden="1">INVENTÁRIOS!$A$4:$L$572</definedName>
    <definedName name="_xlnm._FilterDatabase" localSheetId="5" hidden="1">Lixo!$A$7:$G$447</definedName>
    <definedName name="_xlnm.Print_Area" localSheetId="3">MOVIMENTAÇÃO!$D$10:$P$42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7" l="1" a="1"/>
  <c r="B3" i="17"/>
  <c r="G21" i="12"/>
  <c r="B572" i="16" a="1"/>
  <c r="B572" i="16"/>
  <c r="C572" i="16"/>
  <c r="H575" i="15" a="1"/>
  <c r="H575" i="15"/>
  <c r="Q2" i="6" a="1"/>
  <c r="Q2" i="6"/>
  <c r="O2" i="6" a="1"/>
  <c r="O2" i="6"/>
  <c r="B571" i="16" a="1"/>
  <c r="B571" i="16"/>
  <c r="C571" i="16"/>
  <c r="H574" i="15" a="1"/>
  <c r="H574" i="15"/>
  <c r="B5" i="16" a="1"/>
  <c r="B5" i="16"/>
  <c r="B570" i="16" a="1"/>
  <c r="B570" i="16"/>
  <c r="C570" i="16"/>
  <c r="I574" i="15" a="1"/>
  <c r="I574" i="15"/>
  <c r="B564" i="16" a="1"/>
  <c r="B564" i="16"/>
  <c r="C564" i="16"/>
  <c r="B565" i="16" a="1"/>
  <c r="B565" i="16"/>
  <c r="C565" i="16"/>
  <c r="I91" i="15" a="1"/>
  <c r="I91" i="15"/>
  <c r="B566" i="16" a="1"/>
  <c r="B566" i="16"/>
  <c r="C566" i="16"/>
  <c r="B567" i="16" a="1"/>
  <c r="B567" i="16"/>
  <c r="C567" i="16"/>
  <c r="B568" i="16" a="1"/>
  <c r="B568" i="16"/>
  <c r="C568" i="16"/>
  <c r="B569" i="16" a="1"/>
  <c r="B569" i="16"/>
  <c r="C569" i="16"/>
  <c r="I95" i="15" a="1"/>
  <c r="I95" i="15"/>
  <c r="B563" i="16" a="1"/>
  <c r="B563" i="16"/>
  <c r="C563" i="16"/>
  <c r="I9" i="15" a="1"/>
  <c r="I9" i="15"/>
  <c r="H566" i="15" a="1"/>
  <c r="H566" i="15"/>
  <c r="H567" i="15" a="1"/>
  <c r="H567" i="15"/>
  <c r="H568" i="15" a="1"/>
  <c r="H568" i="15"/>
  <c r="H569" i="15" a="1"/>
  <c r="H569" i="15"/>
  <c r="H570" i="15" a="1"/>
  <c r="H570" i="15"/>
  <c r="H571" i="15" a="1"/>
  <c r="H571" i="15"/>
  <c r="H572" i="15" a="1"/>
  <c r="H572" i="15"/>
  <c r="H573" i="15" a="1"/>
  <c r="H573" i="15"/>
  <c r="B8" i="17" a="1"/>
  <c r="B8" i="17"/>
  <c r="B9" i="17" a="1"/>
  <c r="B9" i="17"/>
  <c r="B10" i="17" a="1"/>
  <c r="B10" i="17"/>
  <c r="B11" i="17" a="1"/>
  <c r="B11" i="17"/>
  <c r="B12" i="17" a="1"/>
  <c r="B12" i="17"/>
  <c r="B13" i="17" a="1"/>
  <c r="B13" i="17"/>
  <c r="B14" i="17" a="1"/>
  <c r="B14" i="17"/>
  <c r="B15" i="17" a="1"/>
  <c r="B15" i="17"/>
  <c r="B16" i="17" a="1"/>
  <c r="B16" i="17"/>
  <c r="B17" i="17" a="1"/>
  <c r="B17" i="17"/>
  <c r="B18" i="17" a="1"/>
  <c r="B18" i="17"/>
  <c r="B19" i="17" a="1"/>
  <c r="B19" i="17"/>
  <c r="B20" i="17" a="1"/>
  <c r="B20" i="17"/>
  <c r="B21" i="17" a="1"/>
  <c r="B21" i="17"/>
  <c r="B22" i="17" a="1"/>
  <c r="B22" i="17"/>
  <c r="B23" i="17" a="1"/>
  <c r="B23" i="17"/>
  <c r="B24" i="17" a="1"/>
  <c r="B24" i="17"/>
  <c r="B25" i="17" a="1"/>
  <c r="B25" i="17"/>
  <c r="B26" i="17" a="1"/>
  <c r="B26" i="17"/>
  <c r="B27" i="17" a="1"/>
  <c r="B27" i="17"/>
  <c r="B28" i="17" a="1"/>
  <c r="B28" i="17"/>
  <c r="B29" i="17" a="1"/>
  <c r="B29" i="17"/>
  <c r="B30" i="17" a="1"/>
  <c r="B30" i="17"/>
  <c r="B31" i="17" a="1"/>
  <c r="B31" i="17"/>
  <c r="B32" i="17" a="1"/>
  <c r="B32" i="17"/>
  <c r="B33" i="17" a="1"/>
  <c r="B33" i="17"/>
  <c r="B34" i="17" a="1"/>
  <c r="B34" i="17"/>
  <c r="B35" i="17" a="1"/>
  <c r="B35" i="17"/>
  <c r="B36" i="17" a="1"/>
  <c r="B36" i="17"/>
  <c r="B37" i="17" a="1"/>
  <c r="B37" i="17"/>
  <c r="H487" i="15" a="1"/>
  <c r="H487" i="15"/>
  <c r="C8" i="17" a="1"/>
  <c r="C8" i="17"/>
  <c r="H169" i="15" a="1"/>
  <c r="H169" i="15"/>
  <c r="C9" i="17" a="1"/>
  <c r="C9" i="17"/>
  <c r="H202" i="15" a="1"/>
  <c r="H202" i="15"/>
  <c r="C10" i="17" a="1"/>
  <c r="C10" i="17"/>
  <c r="H462" i="15" a="1"/>
  <c r="H462" i="15"/>
  <c r="C11" i="17" a="1"/>
  <c r="C11" i="17"/>
  <c r="H565" i="15" a="1"/>
  <c r="H565" i="15"/>
  <c r="C12" i="17" a="1"/>
  <c r="C12" i="17"/>
  <c r="H460" i="15" a="1"/>
  <c r="H460" i="15"/>
  <c r="C13" i="17" a="1"/>
  <c r="C13" i="17"/>
  <c r="H48" i="15" a="1"/>
  <c r="H48" i="15"/>
  <c r="C14" i="17" a="1"/>
  <c r="C14" i="17"/>
  <c r="H54" i="15" a="1"/>
  <c r="H54" i="15"/>
  <c r="C15" i="17" a="1"/>
  <c r="C15" i="17"/>
  <c r="H47" i="15" a="1"/>
  <c r="H47" i="15"/>
  <c r="C16" i="17" a="1"/>
  <c r="C16" i="17"/>
  <c r="C17" i="17" a="1"/>
  <c r="C17" i="17"/>
  <c r="H434" i="15" a="1"/>
  <c r="H434" i="15"/>
  <c r="C18" i="17" a="1"/>
  <c r="C18" i="17"/>
  <c r="C19" i="17" a="1"/>
  <c r="C19" i="17"/>
  <c r="C20" i="17" a="1"/>
  <c r="C20" i="17"/>
  <c r="C21" i="17" a="1"/>
  <c r="C21" i="17"/>
  <c r="C22" i="17" a="1"/>
  <c r="C22" i="17"/>
  <c r="C23" i="17" a="1"/>
  <c r="C23" i="17"/>
  <c r="C24" i="17" a="1"/>
  <c r="C24" i="17"/>
  <c r="C25" i="17" a="1"/>
  <c r="C25" i="17"/>
  <c r="C26" i="17" a="1"/>
  <c r="C26" i="17"/>
  <c r="C27" i="17" a="1"/>
  <c r="C27" i="17"/>
  <c r="C28" i="17" a="1"/>
  <c r="C28" i="17"/>
  <c r="C29" i="17" a="1"/>
  <c r="C29" i="17"/>
  <c r="C30" i="17" a="1"/>
  <c r="C30" i="17"/>
  <c r="C31" i="17" a="1"/>
  <c r="C31" i="17"/>
  <c r="C32" i="17" a="1"/>
  <c r="C32" i="17"/>
  <c r="C33" i="17" a="1"/>
  <c r="C33" i="17"/>
  <c r="C34" i="17" a="1"/>
  <c r="C34" i="17"/>
  <c r="C35" i="17" a="1"/>
  <c r="C35" i="17"/>
  <c r="C36" i="17" a="1"/>
  <c r="C36" i="17"/>
  <c r="C37" i="17" a="1"/>
  <c r="C37" i="17"/>
  <c r="H176" i="15" a="1"/>
  <c r="H176" i="15"/>
  <c r="H301" i="15" a="1"/>
  <c r="H301" i="15"/>
  <c r="H433" i="15" a="1"/>
  <c r="H433" i="15"/>
  <c r="C5" i="17" a="1"/>
  <c r="C5" i="17"/>
  <c r="H437" i="15" a="1"/>
  <c r="H437" i="15"/>
  <c r="C6" i="17" a="1"/>
  <c r="C6" i="17"/>
  <c r="H180" i="15" a="1"/>
  <c r="H180" i="15"/>
  <c r="C7" i="17" a="1"/>
  <c r="C7" i="17"/>
  <c r="B4" i="17" a="1"/>
  <c r="B4" i="17"/>
  <c r="B5" i="17" a="1"/>
  <c r="B5" i="17"/>
  <c r="B6" i="17" a="1"/>
  <c r="B6" i="17"/>
  <c r="B7" i="17" a="1"/>
  <c r="B7" i="17"/>
  <c r="H8" i="15" a="1"/>
  <c r="H8" i="15"/>
  <c r="H9" i="15" a="1"/>
  <c r="H9" i="15"/>
  <c r="H10" i="15" a="1"/>
  <c r="H10" i="15"/>
  <c r="H11" i="15" a="1"/>
  <c r="H11" i="15"/>
  <c r="H12" i="15" a="1"/>
  <c r="H12" i="15"/>
  <c r="H13" i="15" a="1"/>
  <c r="H13" i="15"/>
  <c r="H14" i="15" a="1"/>
  <c r="H14" i="15"/>
  <c r="H15" i="15" a="1"/>
  <c r="H15" i="15"/>
  <c r="H16" i="15" a="1"/>
  <c r="H16" i="15"/>
  <c r="H17" i="15" a="1"/>
  <c r="H17" i="15"/>
  <c r="H18" i="15" a="1"/>
  <c r="H18" i="15"/>
  <c r="H19" i="15" a="1"/>
  <c r="H19" i="15"/>
  <c r="H20" i="15" a="1"/>
  <c r="H20" i="15"/>
  <c r="H21" i="15" a="1"/>
  <c r="H21" i="15"/>
  <c r="H22" i="15" a="1"/>
  <c r="H22" i="15"/>
  <c r="H23" i="15" a="1"/>
  <c r="H23" i="15"/>
  <c r="H24" i="15" a="1"/>
  <c r="H24" i="15"/>
  <c r="H25" i="15" a="1"/>
  <c r="H25" i="15"/>
  <c r="H26" i="15" a="1"/>
  <c r="H26" i="15"/>
  <c r="H27" i="15" a="1"/>
  <c r="H27" i="15"/>
  <c r="H28" i="15" a="1"/>
  <c r="H28" i="15"/>
  <c r="H29" i="15" a="1"/>
  <c r="H29" i="15"/>
  <c r="H30" i="15" a="1"/>
  <c r="H30" i="15"/>
  <c r="H31" i="15" a="1"/>
  <c r="H31" i="15"/>
  <c r="H32" i="15" a="1"/>
  <c r="H32" i="15"/>
  <c r="H33" i="15" a="1"/>
  <c r="H33" i="15"/>
  <c r="H34" i="15" a="1"/>
  <c r="H34" i="15"/>
  <c r="H35" i="15" a="1"/>
  <c r="H35" i="15"/>
  <c r="H36" i="15" a="1"/>
  <c r="H36" i="15"/>
  <c r="H37" i="15" a="1"/>
  <c r="H37" i="15"/>
  <c r="H38" i="15" a="1"/>
  <c r="H38" i="15"/>
  <c r="H39" i="15" a="1"/>
  <c r="H39" i="15"/>
  <c r="H40" i="15" a="1"/>
  <c r="H40" i="15"/>
  <c r="H41" i="15" a="1"/>
  <c r="H41" i="15"/>
  <c r="H42" i="15" a="1"/>
  <c r="H42" i="15"/>
  <c r="H43" i="15" a="1"/>
  <c r="H43" i="15"/>
  <c r="H44" i="15" a="1"/>
  <c r="H44" i="15"/>
  <c r="H45" i="15" a="1"/>
  <c r="H45" i="15"/>
  <c r="H46" i="15" a="1"/>
  <c r="H46" i="15"/>
  <c r="H49" i="15" a="1"/>
  <c r="H49" i="15"/>
  <c r="H50" i="15" a="1"/>
  <c r="H50" i="15"/>
  <c r="H51" i="15" a="1"/>
  <c r="H51" i="15"/>
  <c r="H52" i="15" a="1"/>
  <c r="H52" i="15"/>
  <c r="H53" i="15" a="1"/>
  <c r="H53" i="15"/>
  <c r="H55" i="15" a="1"/>
  <c r="H55" i="15"/>
  <c r="H56" i="15" a="1"/>
  <c r="H56" i="15"/>
  <c r="H57" i="15" a="1"/>
  <c r="H57" i="15"/>
  <c r="H58" i="15" a="1"/>
  <c r="H58" i="15"/>
  <c r="H59" i="15" a="1"/>
  <c r="H59" i="15"/>
  <c r="H60" i="15" a="1"/>
  <c r="H60" i="15"/>
  <c r="H61" i="15" a="1"/>
  <c r="H61" i="15"/>
  <c r="H62" i="15" a="1"/>
  <c r="H62" i="15"/>
  <c r="H63" i="15" a="1"/>
  <c r="H63" i="15"/>
  <c r="H64" i="15" a="1"/>
  <c r="H64" i="15"/>
  <c r="H65" i="15" a="1"/>
  <c r="H65" i="15"/>
  <c r="H66" i="15" a="1"/>
  <c r="H66" i="15"/>
  <c r="H67" i="15" a="1"/>
  <c r="H67" i="15"/>
  <c r="H68" i="15" a="1"/>
  <c r="H68" i="15"/>
  <c r="H69" i="15" a="1"/>
  <c r="H69" i="15"/>
  <c r="H70" i="15" a="1"/>
  <c r="H70" i="15"/>
  <c r="H71" i="15" a="1"/>
  <c r="H71" i="15"/>
  <c r="H72" i="15" a="1"/>
  <c r="H72" i="15"/>
  <c r="H73" i="15" a="1"/>
  <c r="H73" i="15"/>
  <c r="H74" i="15" a="1"/>
  <c r="H74" i="15"/>
  <c r="H75" i="15" a="1"/>
  <c r="H75" i="15"/>
  <c r="H76" i="15" a="1"/>
  <c r="H76" i="15"/>
  <c r="H77" i="15" a="1"/>
  <c r="H77" i="15"/>
  <c r="H78" i="15" a="1"/>
  <c r="H78" i="15"/>
  <c r="H79" i="15" a="1"/>
  <c r="H79" i="15"/>
  <c r="H80" i="15" a="1"/>
  <c r="H80" i="15"/>
  <c r="H81" i="15" a="1"/>
  <c r="H81" i="15"/>
  <c r="H82" i="15" a="1"/>
  <c r="H82" i="15"/>
  <c r="H83" i="15" a="1"/>
  <c r="H83" i="15"/>
  <c r="H84" i="15" a="1"/>
  <c r="H84" i="15"/>
  <c r="H85" i="15" a="1"/>
  <c r="H85" i="15"/>
  <c r="H86" i="15" a="1"/>
  <c r="H86" i="15"/>
  <c r="H87" i="15" a="1"/>
  <c r="H87" i="15"/>
  <c r="H88" i="15" a="1"/>
  <c r="H88" i="15"/>
  <c r="H89" i="15" a="1"/>
  <c r="H89" i="15"/>
  <c r="H90" i="15" a="1"/>
  <c r="H90" i="15"/>
  <c r="H91" i="15" a="1"/>
  <c r="H91" i="15"/>
  <c r="H92" i="15" a="1"/>
  <c r="H92" i="15"/>
  <c r="H93" i="15" a="1"/>
  <c r="H93" i="15"/>
  <c r="H94" i="15" a="1"/>
  <c r="H94" i="15"/>
  <c r="H95" i="15" a="1"/>
  <c r="H95" i="15"/>
  <c r="H96" i="15" a="1"/>
  <c r="H96" i="15"/>
  <c r="H97" i="15" a="1"/>
  <c r="H97" i="15"/>
  <c r="H98" i="15" a="1"/>
  <c r="H98" i="15"/>
  <c r="H99" i="15" a="1"/>
  <c r="H99" i="15"/>
  <c r="H100" i="15" a="1"/>
  <c r="H100" i="15"/>
  <c r="H101" i="15" a="1"/>
  <c r="H101" i="15"/>
  <c r="H102" i="15" a="1"/>
  <c r="H102" i="15"/>
  <c r="H103" i="15" a="1"/>
  <c r="H103" i="15"/>
  <c r="H104" i="15" a="1"/>
  <c r="H104" i="15"/>
  <c r="H105" i="15" a="1"/>
  <c r="H105" i="15"/>
  <c r="H106" i="15" a="1"/>
  <c r="H106" i="15"/>
  <c r="H107" i="15" a="1"/>
  <c r="H107" i="15"/>
  <c r="H108" i="15" a="1"/>
  <c r="H108" i="15"/>
  <c r="H109" i="15" a="1"/>
  <c r="H109" i="15"/>
  <c r="H110" i="15" a="1"/>
  <c r="H110" i="15"/>
  <c r="H111" i="15" a="1"/>
  <c r="H111" i="15"/>
  <c r="H112" i="15" a="1"/>
  <c r="H112" i="15"/>
  <c r="H113" i="15" a="1"/>
  <c r="H113" i="15"/>
  <c r="H114" i="15" a="1"/>
  <c r="H114" i="15"/>
  <c r="H115" i="15" a="1"/>
  <c r="H115" i="15"/>
  <c r="H116" i="15" a="1"/>
  <c r="H116" i="15"/>
  <c r="H117" i="15" a="1"/>
  <c r="H117" i="15"/>
  <c r="H118" i="15" a="1"/>
  <c r="H118" i="15"/>
  <c r="H119" i="15" a="1"/>
  <c r="H119" i="15"/>
  <c r="H120" i="15" a="1"/>
  <c r="H120" i="15"/>
  <c r="H121" i="15" a="1"/>
  <c r="H121" i="15"/>
  <c r="H122" i="15" a="1"/>
  <c r="H122" i="15"/>
  <c r="H123" i="15" a="1"/>
  <c r="H123" i="15"/>
  <c r="H124" i="15" a="1"/>
  <c r="H124" i="15"/>
  <c r="H125" i="15" a="1"/>
  <c r="H125" i="15"/>
  <c r="H126" i="15" a="1"/>
  <c r="H126" i="15"/>
  <c r="H127" i="15" a="1"/>
  <c r="H127" i="15"/>
  <c r="H128" i="15" a="1"/>
  <c r="H128" i="15"/>
  <c r="H129" i="15" a="1"/>
  <c r="H129" i="15"/>
  <c r="H130" i="15" a="1"/>
  <c r="H130" i="15"/>
  <c r="H131" i="15" a="1"/>
  <c r="H131" i="15"/>
  <c r="H132" i="15" a="1"/>
  <c r="H132" i="15"/>
  <c r="H133" i="15" a="1"/>
  <c r="H133" i="15"/>
  <c r="H134" i="15" a="1"/>
  <c r="H134" i="15"/>
  <c r="H135" i="15" a="1"/>
  <c r="H135" i="15"/>
  <c r="H136" i="15" a="1"/>
  <c r="H136" i="15"/>
  <c r="H137" i="15" a="1"/>
  <c r="H137" i="15"/>
  <c r="H138" i="15" a="1"/>
  <c r="H138" i="15"/>
  <c r="H139" i="15" a="1"/>
  <c r="H139" i="15"/>
  <c r="H140" i="15" a="1"/>
  <c r="H140" i="15"/>
  <c r="H141" i="15" a="1"/>
  <c r="H141" i="15"/>
  <c r="H142" i="15" a="1"/>
  <c r="H142" i="15"/>
  <c r="H143" i="15" a="1"/>
  <c r="H143" i="15"/>
  <c r="H144" i="15" a="1"/>
  <c r="H144" i="15"/>
  <c r="H145" i="15" a="1"/>
  <c r="H145" i="15"/>
  <c r="H146" i="15" a="1"/>
  <c r="H146" i="15"/>
  <c r="H147" i="15" a="1"/>
  <c r="H147" i="15"/>
  <c r="H148" i="15" a="1"/>
  <c r="H148" i="15"/>
  <c r="H149" i="15" a="1"/>
  <c r="H149" i="15"/>
  <c r="H150" i="15" a="1"/>
  <c r="H150" i="15"/>
  <c r="H151" i="15" a="1"/>
  <c r="H151" i="15"/>
  <c r="H152" i="15" a="1"/>
  <c r="H152" i="15"/>
  <c r="H153" i="15" a="1"/>
  <c r="H153" i="15"/>
  <c r="H154" i="15" a="1"/>
  <c r="H154" i="15"/>
  <c r="H155" i="15" a="1"/>
  <c r="H155" i="15"/>
  <c r="H156" i="15" a="1"/>
  <c r="H156" i="15"/>
  <c r="H157" i="15" a="1"/>
  <c r="H157" i="15"/>
  <c r="H158" i="15" a="1"/>
  <c r="H158" i="15"/>
  <c r="H159" i="15" a="1"/>
  <c r="H159" i="15"/>
  <c r="H160" i="15" a="1"/>
  <c r="H160" i="15"/>
  <c r="H161" i="15" a="1"/>
  <c r="H161" i="15"/>
  <c r="H162" i="15" a="1"/>
  <c r="H162" i="15"/>
  <c r="H163" i="15" a="1"/>
  <c r="H163" i="15"/>
  <c r="H164" i="15" a="1"/>
  <c r="H164" i="15"/>
  <c r="H165" i="15" a="1"/>
  <c r="H165" i="15"/>
  <c r="H166" i="15" a="1"/>
  <c r="H166" i="15"/>
  <c r="H167" i="15" a="1"/>
  <c r="H167" i="15"/>
  <c r="H168" i="15" a="1"/>
  <c r="H168" i="15"/>
  <c r="H170" i="15" a="1"/>
  <c r="H170" i="15"/>
  <c r="H171" i="15" a="1"/>
  <c r="H171" i="15"/>
  <c r="H172" i="15" a="1"/>
  <c r="H172" i="15"/>
  <c r="H173" i="15" a="1"/>
  <c r="H173" i="15"/>
  <c r="H174" i="15" a="1"/>
  <c r="H174" i="15"/>
  <c r="H175" i="15" a="1"/>
  <c r="H175" i="15"/>
  <c r="H177" i="15" a="1"/>
  <c r="H177" i="15"/>
  <c r="H178" i="15" a="1"/>
  <c r="H178" i="15"/>
  <c r="H179" i="15" a="1"/>
  <c r="H179" i="15"/>
  <c r="H181" i="15" a="1"/>
  <c r="H181" i="15"/>
  <c r="H182" i="15" a="1"/>
  <c r="H182" i="15"/>
  <c r="H183" i="15" a="1"/>
  <c r="H183" i="15"/>
  <c r="H184" i="15" a="1"/>
  <c r="H184" i="15"/>
  <c r="H185" i="15" a="1"/>
  <c r="H185" i="15"/>
  <c r="H186" i="15" a="1"/>
  <c r="H186" i="15"/>
  <c r="H187" i="15" a="1"/>
  <c r="H187" i="15"/>
  <c r="H188" i="15" a="1"/>
  <c r="H188" i="15"/>
  <c r="H189" i="15" a="1"/>
  <c r="H189" i="15"/>
  <c r="H190" i="15" a="1"/>
  <c r="H190" i="15"/>
  <c r="H191" i="15" a="1"/>
  <c r="H191" i="15"/>
  <c r="H192" i="15" a="1"/>
  <c r="H192" i="15"/>
  <c r="H193" i="15" a="1"/>
  <c r="H193" i="15"/>
  <c r="H194" i="15" a="1"/>
  <c r="H194" i="15"/>
  <c r="H195" i="15" a="1"/>
  <c r="H195" i="15"/>
  <c r="H196" i="15" a="1"/>
  <c r="H196" i="15"/>
  <c r="H197" i="15" a="1"/>
  <c r="H197" i="15"/>
  <c r="H198" i="15" a="1"/>
  <c r="H198" i="15"/>
  <c r="H199" i="15" a="1"/>
  <c r="H199" i="15"/>
  <c r="H200" i="15" a="1"/>
  <c r="H200" i="15"/>
  <c r="H201" i="15" a="1"/>
  <c r="H201" i="15"/>
  <c r="H203" i="15" a="1"/>
  <c r="H203" i="15"/>
  <c r="H204" i="15" a="1"/>
  <c r="H204" i="15"/>
  <c r="H205" i="15" a="1"/>
  <c r="H205" i="15"/>
  <c r="H206" i="15" a="1"/>
  <c r="H206" i="15"/>
  <c r="H207" i="15" a="1"/>
  <c r="H207" i="15"/>
  <c r="H208" i="15" a="1"/>
  <c r="H208" i="15"/>
  <c r="H209" i="15" a="1"/>
  <c r="H209" i="15"/>
  <c r="H210" i="15" a="1"/>
  <c r="H210" i="15"/>
  <c r="H211" i="15" a="1"/>
  <c r="H211" i="15"/>
  <c r="H212" i="15" a="1"/>
  <c r="H212" i="15"/>
  <c r="H213" i="15" a="1"/>
  <c r="H213" i="15"/>
  <c r="H214" i="15" a="1"/>
  <c r="H214" i="15"/>
  <c r="H215" i="15" a="1"/>
  <c r="H215" i="15"/>
  <c r="H216" i="15" a="1"/>
  <c r="H216" i="15"/>
  <c r="H217" i="15" a="1"/>
  <c r="H217" i="15"/>
  <c r="H218" i="15" a="1"/>
  <c r="H218" i="15"/>
  <c r="H219" i="15" a="1"/>
  <c r="H219" i="15"/>
  <c r="H220" i="15" a="1"/>
  <c r="H220" i="15"/>
  <c r="H221" i="15" a="1"/>
  <c r="H221" i="15"/>
  <c r="H222" i="15" a="1"/>
  <c r="H222" i="15"/>
  <c r="H223" i="15" a="1"/>
  <c r="H223" i="15"/>
  <c r="H224" i="15" a="1"/>
  <c r="H224" i="15"/>
  <c r="H225" i="15" a="1"/>
  <c r="H225" i="15"/>
  <c r="H226" i="15" a="1"/>
  <c r="H226" i="15"/>
  <c r="H227" i="15" a="1"/>
  <c r="H227" i="15"/>
  <c r="H228" i="15" a="1"/>
  <c r="H228" i="15"/>
  <c r="H229" i="15" a="1"/>
  <c r="H229" i="15"/>
  <c r="H230" i="15" a="1"/>
  <c r="H230" i="15"/>
  <c r="H231" i="15" a="1"/>
  <c r="H231" i="15"/>
  <c r="H232" i="15" a="1"/>
  <c r="H232" i="15"/>
  <c r="H233" i="15" a="1"/>
  <c r="H233" i="15"/>
  <c r="H234" i="15" a="1"/>
  <c r="H234" i="15"/>
  <c r="H235" i="15" a="1"/>
  <c r="H235" i="15"/>
  <c r="H236" i="15" a="1"/>
  <c r="H236" i="15"/>
  <c r="H237" i="15" a="1"/>
  <c r="H237" i="15"/>
  <c r="H238" i="15" a="1"/>
  <c r="H238" i="15"/>
  <c r="H239" i="15" a="1"/>
  <c r="H239" i="15"/>
  <c r="H240" i="15" a="1"/>
  <c r="H240" i="15"/>
  <c r="H241" i="15" a="1"/>
  <c r="H241" i="15"/>
  <c r="H242" i="15" a="1"/>
  <c r="H242" i="15"/>
  <c r="H243" i="15" a="1"/>
  <c r="H243" i="15"/>
  <c r="H244" i="15" a="1"/>
  <c r="H244" i="15"/>
  <c r="H245" i="15" a="1"/>
  <c r="H245" i="15"/>
  <c r="H246" i="15" a="1"/>
  <c r="H246" i="15"/>
  <c r="H247" i="15" a="1"/>
  <c r="H247" i="15"/>
  <c r="H248" i="15" a="1"/>
  <c r="H248" i="15"/>
  <c r="H249" i="15" a="1"/>
  <c r="H249" i="15"/>
  <c r="H250" i="15" a="1"/>
  <c r="H250" i="15"/>
  <c r="H251" i="15" a="1"/>
  <c r="H251" i="15"/>
  <c r="H252" i="15" a="1"/>
  <c r="H252" i="15"/>
  <c r="H253" i="15" a="1"/>
  <c r="H253" i="15"/>
  <c r="H254" i="15" a="1"/>
  <c r="H254" i="15"/>
  <c r="H255" i="15" a="1"/>
  <c r="H255" i="15"/>
  <c r="H256" i="15" a="1"/>
  <c r="H256" i="15"/>
  <c r="H257" i="15" a="1"/>
  <c r="H257" i="15"/>
  <c r="H258" i="15" a="1"/>
  <c r="H258" i="15"/>
  <c r="H259" i="15" a="1"/>
  <c r="H259" i="15"/>
  <c r="H260" i="15" a="1"/>
  <c r="H260" i="15"/>
  <c r="H261" i="15" a="1"/>
  <c r="H261" i="15"/>
  <c r="H262" i="15" a="1"/>
  <c r="H262" i="15"/>
  <c r="H263" i="15" a="1"/>
  <c r="H263" i="15"/>
  <c r="H264" i="15" a="1"/>
  <c r="H264" i="15"/>
  <c r="H265" i="15" a="1"/>
  <c r="H265" i="15"/>
  <c r="H266" i="15" a="1"/>
  <c r="H266" i="15"/>
  <c r="H267" i="15" a="1"/>
  <c r="H267" i="15"/>
  <c r="H268" i="15" a="1"/>
  <c r="H268" i="15"/>
  <c r="H269" i="15" a="1"/>
  <c r="H269" i="15"/>
  <c r="H270" i="15" a="1"/>
  <c r="H270" i="15"/>
  <c r="H271" i="15" a="1"/>
  <c r="H271" i="15"/>
  <c r="H272" i="15" a="1"/>
  <c r="H272" i="15"/>
  <c r="H273" i="15" a="1"/>
  <c r="H273" i="15"/>
  <c r="H274" i="15" a="1"/>
  <c r="H274" i="15"/>
  <c r="H275" i="15" a="1"/>
  <c r="H275" i="15"/>
  <c r="H276" i="15" a="1"/>
  <c r="H276" i="15"/>
  <c r="H277" i="15" a="1"/>
  <c r="H277" i="15"/>
  <c r="H278" i="15" a="1"/>
  <c r="H278" i="15"/>
  <c r="H279" i="15" a="1"/>
  <c r="H279" i="15"/>
  <c r="H280" i="15" a="1"/>
  <c r="H280" i="15"/>
  <c r="H281" i="15" a="1"/>
  <c r="H281" i="15"/>
  <c r="H282" i="15" a="1"/>
  <c r="H282" i="15"/>
  <c r="H283" i="15" a="1"/>
  <c r="H283" i="15"/>
  <c r="H284" i="15" a="1"/>
  <c r="H284" i="15"/>
  <c r="H285" i="15" a="1"/>
  <c r="H285" i="15"/>
  <c r="H286" i="15" a="1"/>
  <c r="H286" i="15"/>
  <c r="H287" i="15" a="1"/>
  <c r="H287" i="15"/>
  <c r="H288" i="15" a="1"/>
  <c r="H288" i="15"/>
  <c r="H289" i="15" a="1"/>
  <c r="H289" i="15"/>
  <c r="H290" i="15" a="1"/>
  <c r="H290" i="15"/>
  <c r="H291" i="15" a="1"/>
  <c r="H291" i="15"/>
  <c r="H292" i="15" a="1"/>
  <c r="H292" i="15"/>
  <c r="H293" i="15" a="1"/>
  <c r="H293" i="15"/>
  <c r="H294" i="15" a="1"/>
  <c r="H294" i="15"/>
  <c r="H295" i="15" a="1"/>
  <c r="H295" i="15"/>
  <c r="H296" i="15" a="1"/>
  <c r="H296" i="15"/>
  <c r="H297" i="15" a="1"/>
  <c r="H297" i="15"/>
  <c r="H298" i="15" a="1"/>
  <c r="H298" i="15"/>
  <c r="H299" i="15" a="1"/>
  <c r="H299" i="15"/>
  <c r="H300" i="15" a="1"/>
  <c r="H300" i="15"/>
  <c r="H302" i="15" a="1"/>
  <c r="H302" i="15"/>
  <c r="H303" i="15" a="1"/>
  <c r="H303" i="15"/>
  <c r="H304" i="15" a="1"/>
  <c r="H304" i="15"/>
  <c r="H305" i="15" a="1"/>
  <c r="H305" i="15"/>
  <c r="H306" i="15" a="1"/>
  <c r="H306" i="15"/>
  <c r="H307" i="15" a="1"/>
  <c r="H307" i="15"/>
  <c r="H308" i="15" a="1"/>
  <c r="H308" i="15"/>
  <c r="H309" i="15" a="1"/>
  <c r="H309" i="15"/>
  <c r="H310" i="15" a="1"/>
  <c r="H310" i="15"/>
  <c r="H311" i="15" a="1"/>
  <c r="H311" i="15"/>
  <c r="H312" i="15" a="1"/>
  <c r="H312" i="15"/>
  <c r="H313" i="15" a="1"/>
  <c r="H313" i="15"/>
  <c r="H314" i="15" a="1"/>
  <c r="H314" i="15"/>
  <c r="H315" i="15" a="1"/>
  <c r="H315" i="15"/>
  <c r="H316" i="15" a="1"/>
  <c r="H316" i="15"/>
  <c r="H317" i="15" a="1"/>
  <c r="H317" i="15"/>
  <c r="H318" i="15" a="1"/>
  <c r="H318" i="15"/>
  <c r="H319" i="15" a="1"/>
  <c r="H319" i="15"/>
  <c r="H320" i="15" a="1"/>
  <c r="H320" i="15"/>
  <c r="H321" i="15" a="1"/>
  <c r="H321" i="15"/>
  <c r="H322" i="15" a="1"/>
  <c r="H322" i="15"/>
  <c r="H323" i="15" a="1"/>
  <c r="H323" i="15"/>
  <c r="H324" i="15" a="1"/>
  <c r="H324" i="15"/>
  <c r="H325" i="15" a="1"/>
  <c r="H325" i="15"/>
  <c r="H326" i="15" a="1"/>
  <c r="H326" i="15"/>
  <c r="H327" i="15" a="1"/>
  <c r="H327" i="15"/>
  <c r="H328" i="15" a="1"/>
  <c r="H328" i="15"/>
  <c r="H329" i="15" a="1"/>
  <c r="H329" i="15"/>
  <c r="H330" i="15" a="1"/>
  <c r="H330" i="15"/>
  <c r="H331" i="15" a="1"/>
  <c r="H331" i="15"/>
  <c r="H332" i="15" a="1"/>
  <c r="H332" i="15"/>
  <c r="H333" i="15" a="1"/>
  <c r="H333" i="15"/>
  <c r="H334" i="15" a="1"/>
  <c r="H334" i="15"/>
  <c r="H335" i="15" a="1"/>
  <c r="H335" i="15"/>
  <c r="H336" i="15" a="1"/>
  <c r="H336" i="15"/>
  <c r="H337" i="15" a="1"/>
  <c r="H337" i="15"/>
  <c r="H338" i="15" a="1"/>
  <c r="H338" i="15"/>
  <c r="H339" i="15" a="1"/>
  <c r="H339" i="15"/>
  <c r="H340" i="15" a="1"/>
  <c r="H340" i="15"/>
  <c r="H341" i="15" a="1"/>
  <c r="H341" i="15"/>
  <c r="H342" i="15" a="1"/>
  <c r="H342" i="15"/>
  <c r="H343" i="15" a="1"/>
  <c r="H343" i="15"/>
  <c r="H344" i="15" a="1"/>
  <c r="H344" i="15"/>
  <c r="H345" i="15" a="1"/>
  <c r="H345" i="15"/>
  <c r="H346" i="15" a="1"/>
  <c r="H346" i="15"/>
  <c r="H347" i="15" a="1"/>
  <c r="H347" i="15"/>
  <c r="H348" i="15" a="1"/>
  <c r="H348" i="15"/>
  <c r="H349" i="15" a="1"/>
  <c r="H349" i="15"/>
  <c r="H350" i="15" a="1"/>
  <c r="H350" i="15"/>
  <c r="H351" i="15" a="1"/>
  <c r="H351" i="15"/>
  <c r="H352" i="15" a="1"/>
  <c r="H352" i="15"/>
  <c r="H353" i="15" a="1"/>
  <c r="H353" i="15"/>
  <c r="H354" i="15" a="1"/>
  <c r="H354" i="15"/>
  <c r="H355" i="15" a="1"/>
  <c r="H355" i="15"/>
  <c r="H356" i="15" a="1"/>
  <c r="H356" i="15"/>
  <c r="H357" i="15" a="1"/>
  <c r="H357" i="15"/>
  <c r="H358" i="15" a="1"/>
  <c r="H358" i="15"/>
  <c r="H359" i="15" a="1"/>
  <c r="H359" i="15"/>
  <c r="H360" i="15" a="1"/>
  <c r="H360" i="15"/>
  <c r="H361" i="15" a="1"/>
  <c r="H361" i="15"/>
  <c r="H362" i="15" a="1"/>
  <c r="H362" i="15"/>
  <c r="H363" i="15" a="1"/>
  <c r="H363" i="15"/>
  <c r="H364" i="15" a="1"/>
  <c r="H364" i="15"/>
  <c r="H365" i="15" a="1"/>
  <c r="H365" i="15"/>
  <c r="H366" i="15" a="1"/>
  <c r="H366" i="15"/>
  <c r="H367" i="15" a="1"/>
  <c r="H367" i="15"/>
  <c r="H368" i="15" a="1"/>
  <c r="H368" i="15"/>
  <c r="H369" i="15" a="1"/>
  <c r="H369" i="15"/>
  <c r="H370" i="15" a="1"/>
  <c r="H370" i="15"/>
  <c r="H371" i="15" a="1"/>
  <c r="H371" i="15"/>
  <c r="H372" i="15" a="1"/>
  <c r="H372" i="15"/>
  <c r="H373" i="15" a="1"/>
  <c r="H373" i="15"/>
  <c r="H374" i="15" a="1"/>
  <c r="H374" i="15"/>
  <c r="H375" i="15" a="1"/>
  <c r="H375" i="15"/>
  <c r="H376" i="15" a="1"/>
  <c r="H376" i="15"/>
  <c r="H377" i="15" a="1"/>
  <c r="H377" i="15"/>
  <c r="H378" i="15" a="1"/>
  <c r="H378" i="15"/>
  <c r="H379" i="15" a="1"/>
  <c r="H379" i="15"/>
  <c r="H380" i="15" a="1"/>
  <c r="H380" i="15"/>
  <c r="H381" i="15" a="1"/>
  <c r="H381" i="15"/>
  <c r="H382" i="15" a="1"/>
  <c r="H382" i="15"/>
  <c r="H383" i="15" a="1"/>
  <c r="H383" i="15"/>
  <c r="H384" i="15" a="1"/>
  <c r="H384" i="15"/>
  <c r="H385" i="15" a="1"/>
  <c r="H385" i="15"/>
  <c r="H386" i="15" a="1"/>
  <c r="H386" i="15"/>
  <c r="H387" i="15" a="1"/>
  <c r="H387" i="15"/>
  <c r="H388" i="15" a="1"/>
  <c r="H388" i="15"/>
  <c r="H389" i="15" a="1"/>
  <c r="H389" i="15"/>
  <c r="H390" i="15" a="1"/>
  <c r="H390" i="15"/>
  <c r="H391" i="15" a="1"/>
  <c r="H391" i="15"/>
  <c r="H392" i="15" a="1"/>
  <c r="H392" i="15"/>
  <c r="H393" i="15" a="1"/>
  <c r="H393" i="15"/>
  <c r="H394" i="15" a="1"/>
  <c r="H394" i="15"/>
  <c r="H395" i="15" a="1"/>
  <c r="H395" i="15"/>
  <c r="H396" i="15" a="1"/>
  <c r="H396" i="15"/>
  <c r="H397" i="15" a="1"/>
  <c r="H397" i="15"/>
  <c r="H398" i="15" a="1"/>
  <c r="H398" i="15"/>
  <c r="H399" i="15" a="1"/>
  <c r="H399" i="15"/>
  <c r="H400" i="15" a="1"/>
  <c r="H400" i="15"/>
  <c r="H401" i="15" a="1"/>
  <c r="H401" i="15"/>
  <c r="H402" i="15" a="1"/>
  <c r="H402" i="15"/>
  <c r="H403" i="15" a="1"/>
  <c r="H403" i="15"/>
  <c r="H404" i="15" a="1"/>
  <c r="H404" i="15"/>
  <c r="H405" i="15" a="1"/>
  <c r="H405" i="15"/>
  <c r="H406" i="15" a="1"/>
  <c r="H406" i="15"/>
  <c r="H407" i="15" a="1"/>
  <c r="H407" i="15"/>
  <c r="H408" i="15" a="1"/>
  <c r="H408" i="15"/>
  <c r="H409" i="15" a="1"/>
  <c r="H409" i="15"/>
  <c r="H410" i="15" a="1"/>
  <c r="H410" i="15"/>
  <c r="H411" i="15" a="1"/>
  <c r="H411" i="15"/>
  <c r="H412" i="15" a="1"/>
  <c r="H412" i="15"/>
  <c r="H413" i="15" a="1"/>
  <c r="H413" i="15"/>
  <c r="H414" i="15" a="1"/>
  <c r="H414" i="15"/>
  <c r="H415" i="15" a="1"/>
  <c r="H415" i="15"/>
  <c r="H416" i="15" a="1"/>
  <c r="H416" i="15"/>
  <c r="H417" i="15" a="1"/>
  <c r="H417" i="15"/>
  <c r="H418" i="15" a="1"/>
  <c r="H418" i="15"/>
  <c r="H419" i="15" a="1"/>
  <c r="H419" i="15"/>
  <c r="H420" i="15" a="1"/>
  <c r="H420" i="15"/>
  <c r="H421" i="15" a="1"/>
  <c r="H421" i="15"/>
  <c r="H422" i="15" a="1"/>
  <c r="H422" i="15"/>
  <c r="H423" i="15" a="1"/>
  <c r="H423" i="15"/>
  <c r="H424" i="15" a="1"/>
  <c r="H424" i="15"/>
  <c r="H425" i="15" a="1"/>
  <c r="H425" i="15"/>
  <c r="H426" i="15" a="1"/>
  <c r="H426" i="15"/>
  <c r="H427" i="15" a="1"/>
  <c r="H427" i="15"/>
  <c r="H428" i="15" a="1"/>
  <c r="H428" i="15"/>
  <c r="H429" i="15" a="1"/>
  <c r="H429" i="15"/>
  <c r="H430" i="15" a="1"/>
  <c r="H430" i="15"/>
  <c r="H431" i="15" a="1"/>
  <c r="H431" i="15"/>
  <c r="H432" i="15" a="1"/>
  <c r="H432" i="15"/>
  <c r="H435" i="15" a="1"/>
  <c r="H435" i="15"/>
  <c r="H436" i="15" a="1"/>
  <c r="H436" i="15"/>
  <c r="H438" i="15" a="1"/>
  <c r="H438" i="15"/>
  <c r="H439" i="15" a="1"/>
  <c r="H439" i="15"/>
  <c r="H440" i="15" a="1"/>
  <c r="H440" i="15"/>
  <c r="H441" i="15" a="1"/>
  <c r="H441" i="15"/>
  <c r="H442" i="15" a="1"/>
  <c r="H442" i="15"/>
  <c r="H443" i="15" a="1"/>
  <c r="H443" i="15"/>
  <c r="H444" i="15" a="1"/>
  <c r="H444" i="15"/>
  <c r="H445" i="15" a="1"/>
  <c r="H445" i="15"/>
  <c r="H446" i="15" a="1"/>
  <c r="H446" i="15"/>
  <c r="H447" i="15" a="1"/>
  <c r="H447" i="15"/>
  <c r="H448" i="15" a="1"/>
  <c r="H448" i="15"/>
  <c r="H449" i="15" a="1"/>
  <c r="H449" i="15"/>
  <c r="H450" i="15" a="1"/>
  <c r="H450" i="15"/>
  <c r="H451" i="15" a="1"/>
  <c r="H451" i="15"/>
  <c r="H452" i="15" a="1"/>
  <c r="H452" i="15"/>
  <c r="H453" i="15" a="1"/>
  <c r="H453" i="15"/>
  <c r="H454" i="15" a="1"/>
  <c r="H454" i="15"/>
  <c r="H455" i="15" a="1"/>
  <c r="H455" i="15"/>
  <c r="H456" i="15" a="1"/>
  <c r="H456" i="15"/>
  <c r="H457" i="15" a="1"/>
  <c r="H457" i="15"/>
  <c r="H458" i="15" a="1"/>
  <c r="H458" i="15"/>
  <c r="H459" i="15" a="1"/>
  <c r="H459" i="15"/>
  <c r="H461" i="15" a="1"/>
  <c r="H461" i="15"/>
  <c r="H463" i="15" a="1"/>
  <c r="H463" i="15"/>
  <c r="H464" i="15" a="1"/>
  <c r="H464" i="15"/>
  <c r="H465" i="15" a="1"/>
  <c r="H465" i="15"/>
  <c r="H466" i="15" a="1"/>
  <c r="H466" i="15"/>
  <c r="H467" i="15" a="1"/>
  <c r="H467" i="15"/>
  <c r="H468" i="15" a="1"/>
  <c r="H468" i="15"/>
  <c r="H469" i="15" a="1"/>
  <c r="H469" i="15"/>
  <c r="H470" i="15" a="1"/>
  <c r="H470" i="15"/>
  <c r="H471" i="15" a="1"/>
  <c r="H471" i="15"/>
  <c r="H472" i="15" a="1"/>
  <c r="H472" i="15"/>
  <c r="H473" i="15" a="1"/>
  <c r="H473" i="15"/>
  <c r="H474" i="15" a="1"/>
  <c r="H474" i="15"/>
  <c r="H475" i="15" a="1"/>
  <c r="H475" i="15"/>
  <c r="H476" i="15" a="1"/>
  <c r="H476" i="15"/>
  <c r="H477" i="15" a="1"/>
  <c r="H477" i="15"/>
  <c r="H478" i="15" a="1"/>
  <c r="H478" i="15"/>
  <c r="H479" i="15" a="1"/>
  <c r="H479" i="15"/>
  <c r="H480" i="15" a="1"/>
  <c r="H480" i="15"/>
  <c r="H481" i="15" a="1"/>
  <c r="H481" i="15"/>
  <c r="H482" i="15" a="1"/>
  <c r="H482" i="15"/>
  <c r="H483" i="15" a="1"/>
  <c r="H483" i="15"/>
  <c r="H484" i="15" a="1"/>
  <c r="H484" i="15"/>
  <c r="H485" i="15" a="1"/>
  <c r="H485" i="15"/>
  <c r="H486" i="15" a="1"/>
  <c r="H486" i="15"/>
  <c r="H488" i="15" a="1"/>
  <c r="H488" i="15"/>
  <c r="H489" i="15" a="1"/>
  <c r="H489" i="15"/>
  <c r="H490" i="15" a="1"/>
  <c r="H490" i="15"/>
  <c r="H491" i="15" a="1"/>
  <c r="H491" i="15"/>
  <c r="H492" i="15" a="1"/>
  <c r="H492" i="15"/>
  <c r="H493" i="15" a="1"/>
  <c r="H493" i="15"/>
  <c r="H494" i="15" a="1"/>
  <c r="H494" i="15"/>
  <c r="H495" i="15" a="1"/>
  <c r="H495" i="15"/>
  <c r="H496" i="15" a="1"/>
  <c r="H496" i="15"/>
  <c r="H497" i="15" a="1"/>
  <c r="H497" i="15"/>
  <c r="H498" i="15" a="1"/>
  <c r="H498" i="15"/>
  <c r="H499" i="15" a="1"/>
  <c r="H499" i="15"/>
  <c r="H500" i="15" a="1"/>
  <c r="H500" i="15"/>
  <c r="H501" i="15" a="1"/>
  <c r="H501" i="15"/>
  <c r="H502" i="15" a="1"/>
  <c r="H502" i="15"/>
  <c r="H503" i="15" a="1"/>
  <c r="H503" i="15"/>
  <c r="H504" i="15" a="1"/>
  <c r="H504" i="15"/>
  <c r="H505" i="15" a="1"/>
  <c r="H505" i="15"/>
  <c r="H506" i="15" a="1"/>
  <c r="H506" i="15"/>
  <c r="H507" i="15" a="1"/>
  <c r="H507" i="15"/>
  <c r="H508" i="15" a="1"/>
  <c r="H508" i="15"/>
  <c r="H509" i="15" a="1"/>
  <c r="H509" i="15"/>
  <c r="H510" i="15" a="1"/>
  <c r="H510" i="15"/>
  <c r="H511" i="15" a="1"/>
  <c r="H511" i="15"/>
  <c r="H512" i="15" a="1"/>
  <c r="H512" i="15"/>
  <c r="H513" i="15" a="1"/>
  <c r="H513" i="15"/>
  <c r="H514" i="15" a="1"/>
  <c r="H514" i="15"/>
  <c r="H515" i="15" a="1"/>
  <c r="H515" i="15"/>
  <c r="H516" i="15" a="1"/>
  <c r="H516" i="15"/>
  <c r="H517" i="15" a="1"/>
  <c r="H517" i="15"/>
  <c r="H518" i="15" a="1"/>
  <c r="H518" i="15"/>
  <c r="H519" i="15" a="1"/>
  <c r="H519" i="15"/>
  <c r="H520" i="15" a="1"/>
  <c r="H520" i="15"/>
  <c r="H521" i="15" a="1"/>
  <c r="H521" i="15"/>
  <c r="H522" i="15" a="1"/>
  <c r="H522" i="15"/>
  <c r="H523" i="15" a="1"/>
  <c r="H523" i="15"/>
  <c r="H524" i="15" a="1"/>
  <c r="H524" i="15"/>
  <c r="H525" i="15" a="1"/>
  <c r="H525" i="15"/>
  <c r="H526" i="15" a="1"/>
  <c r="H526" i="15"/>
  <c r="H527" i="15" a="1"/>
  <c r="H527" i="15"/>
  <c r="H528" i="15" a="1"/>
  <c r="H528" i="15"/>
  <c r="H529" i="15" a="1"/>
  <c r="H529" i="15"/>
  <c r="H530" i="15" a="1"/>
  <c r="H530" i="15"/>
  <c r="H531" i="15" a="1"/>
  <c r="H531" i="15"/>
  <c r="H532" i="15" a="1"/>
  <c r="H532" i="15"/>
  <c r="H533" i="15" a="1"/>
  <c r="H533" i="15"/>
  <c r="H534" i="15" a="1"/>
  <c r="H534" i="15"/>
  <c r="H535" i="15" a="1"/>
  <c r="H535" i="15"/>
  <c r="H536" i="15" a="1"/>
  <c r="H536" i="15"/>
  <c r="H537" i="15" a="1"/>
  <c r="H537" i="15"/>
  <c r="H538" i="15" a="1"/>
  <c r="H538" i="15"/>
  <c r="H539" i="15" a="1"/>
  <c r="H539" i="15"/>
  <c r="H540" i="15" a="1"/>
  <c r="H540" i="15"/>
  <c r="H541" i="15" a="1"/>
  <c r="H541" i="15"/>
  <c r="H542" i="15" a="1"/>
  <c r="H542" i="15"/>
  <c r="H543" i="15" a="1"/>
  <c r="H543" i="15"/>
  <c r="H544" i="15" a="1"/>
  <c r="H544" i="15"/>
  <c r="H545" i="15" a="1"/>
  <c r="H545" i="15"/>
  <c r="H546" i="15" a="1"/>
  <c r="H546" i="15"/>
  <c r="H547" i="15" a="1"/>
  <c r="H547" i="15"/>
  <c r="H548" i="15" a="1"/>
  <c r="H548" i="15"/>
  <c r="H549" i="15" a="1"/>
  <c r="H549" i="15"/>
  <c r="H550" i="15" a="1"/>
  <c r="H550" i="15"/>
  <c r="H551" i="15" a="1"/>
  <c r="H551" i="15"/>
  <c r="H552" i="15" a="1"/>
  <c r="H552" i="15"/>
  <c r="H553" i="15" a="1"/>
  <c r="H553" i="15"/>
  <c r="H554" i="15" a="1"/>
  <c r="H554" i="15"/>
  <c r="H555" i="15" a="1"/>
  <c r="H555" i="15"/>
  <c r="H556" i="15" a="1"/>
  <c r="H556" i="15"/>
  <c r="H557" i="15" a="1"/>
  <c r="H557" i="15"/>
  <c r="H558" i="15" a="1"/>
  <c r="H558" i="15"/>
  <c r="H559" i="15" a="1"/>
  <c r="H559" i="15"/>
  <c r="H560" i="15" a="1"/>
  <c r="H560" i="15"/>
  <c r="H561" i="15" a="1"/>
  <c r="H561" i="15"/>
  <c r="H562" i="15" a="1"/>
  <c r="H562" i="15"/>
  <c r="H563" i="15" a="1"/>
  <c r="H563" i="15"/>
  <c r="H564" i="15" a="1"/>
  <c r="H564" i="15"/>
  <c r="B562" i="16" a="1"/>
  <c r="B562" i="16"/>
  <c r="C562" i="16"/>
  <c r="I8" i="15" a="1"/>
  <c r="I8" i="15"/>
  <c r="B536" i="16" a="1"/>
  <c r="B536" i="16"/>
  <c r="C536" i="16"/>
  <c r="B537" i="16" a="1"/>
  <c r="B537" i="16"/>
  <c r="C537" i="16"/>
  <c r="B538" i="16" a="1"/>
  <c r="B538" i="16"/>
  <c r="C538" i="16"/>
  <c r="B539" i="16" a="1"/>
  <c r="B539" i="16"/>
  <c r="C539" i="16"/>
  <c r="I461" i="15" a="1"/>
  <c r="I461" i="15"/>
  <c r="B540" i="16" a="1"/>
  <c r="B540" i="16"/>
  <c r="C540" i="16"/>
  <c r="B541" i="16" a="1"/>
  <c r="B541" i="16"/>
  <c r="C541" i="16"/>
  <c r="B542" i="16" a="1"/>
  <c r="B542" i="16"/>
  <c r="C542" i="16"/>
  <c r="I464" i="15" a="1"/>
  <c r="I464" i="15"/>
  <c r="B543" i="16" a="1"/>
  <c r="B543" i="16"/>
  <c r="C543" i="16"/>
  <c r="I465" i="15" a="1"/>
  <c r="I465" i="15"/>
  <c r="B544" i="16" a="1"/>
  <c r="B544" i="16"/>
  <c r="C544" i="16"/>
  <c r="B545" i="16" a="1"/>
  <c r="B545" i="16"/>
  <c r="C545" i="16"/>
  <c r="I467" i="15" a="1"/>
  <c r="I467" i="15"/>
  <c r="B546" i="16" a="1"/>
  <c r="B546" i="16"/>
  <c r="C546" i="16"/>
  <c r="I468" i="15" a="1"/>
  <c r="I468" i="15"/>
  <c r="B547" i="16" a="1"/>
  <c r="B547" i="16"/>
  <c r="C547" i="16"/>
  <c r="B548" i="16" a="1"/>
  <c r="B548" i="16"/>
  <c r="C548" i="16"/>
  <c r="B549" i="16" a="1"/>
  <c r="B549" i="16"/>
  <c r="C549" i="16"/>
  <c r="B550" i="16" a="1"/>
  <c r="B550" i="16"/>
  <c r="C550" i="16"/>
  <c r="I472" i="15" a="1"/>
  <c r="I472" i="15"/>
  <c r="B551" i="16" a="1"/>
  <c r="B551" i="16"/>
  <c r="C551" i="16"/>
  <c r="B552" i="16" a="1"/>
  <c r="B552" i="16"/>
  <c r="C552" i="16"/>
  <c r="I474" i="15" a="1"/>
  <c r="I474" i="15"/>
  <c r="B553" i="16" a="1"/>
  <c r="B553" i="16"/>
  <c r="C553" i="16"/>
  <c r="B554" i="16" a="1"/>
  <c r="B554" i="16"/>
  <c r="C554" i="16"/>
  <c r="B555" i="16" a="1"/>
  <c r="B555" i="16"/>
  <c r="C555" i="16"/>
  <c r="I477" i="15" a="1"/>
  <c r="I477" i="15"/>
  <c r="B556" i="16" a="1"/>
  <c r="B556" i="16"/>
  <c r="C556" i="16"/>
  <c r="B557" i="16" a="1"/>
  <c r="B557" i="16"/>
  <c r="C557" i="16"/>
  <c r="B558" i="16" a="1"/>
  <c r="B558" i="16"/>
  <c r="C558" i="16"/>
  <c r="B559" i="16" a="1"/>
  <c r="B559" i="16"/>
  <c r="C559" i="16"/>
  <c r="I481" i="15" a="1"/>
  <c r="B560" i="16" a="1"/>
  <c r="B560" i="16"/>
  <c r="C560" i="16"/>
  <c r="I482" i="15" a="1"/>
  <c r="I482" i="15"/>
  <c r="B561" i="16" a="1"/>
  <c r="B561" i="16"/>
  <c r="C561" i="16"/>
  <c r="B532" i="16" a="1"/>
  <c r="B532" i="16"/>
  <c r="C532" i="16"/>
  <c r="I570" i="15" a="1"/>
  <c r="I570" i="15"/>
  <c r="B533" i="16" a="1"/>
  <c r="B533" i="16"/>
  <c r="C533" i="16"/>
  <c r="I571" i="15" a="1"/>
  <c r="I571" i="15"/>
  <c r="B534" i="16" a="1"/>
  <c r="B534" i="16"/>
  <c r="B535" i="16" a="1"/>
  <c r="B535" i="16"/>
  <c r="B531" i="16" a="1"/>
  <c r="B531" i="16"/>
  <c r="C531" i="16"/>
  <c r="B530" i="16" a="1"/>
  <c r="B530" i="16"/>
  <c r="B529" i="16" a="1"/>
  <c r="B529" i="16"/>
  <c r="B528" i="16" a="1"/>
  <c r="B528" i="16"/>
  <c r="C528" i="16"/>
  <c r="I567" i="15" a="1"/>
  <c r="I567" i="15"/>
  <c r="B527" i="16" a="1"/>
  <c r="B527" i="16"/>
  <c r="C527" i="16"/>
  <c r="B526" i="16" a="1"/>
  <c r="B526" i="16"/>
  <c r="B525" i="16" a="1"/>
  <c r="B525" i="16"/>
  <c r="B524" i="16" a="1"/>
  <c r="B524" i="16"/>
  <c r="B523" i="16" a="1"/>
  <c r="B523" i="16"/>
  <c r="C523" i="16"/>
  <c r="B522" i="16" a="1"/>
  <c r="B522" i="16"/>
  <c r="B521" i="16" a="1"/>
  <c r="B521" i="16"/>
  <c r="B520" i="16" a="1"/>
  <c r="B520" i="16"/>
  <c r="B519" i="16" a="1"/>
  <c r="B519" i="16"/>
  <c r="C519" i="16"/>
  <c r="B518" i="16" a="1"/>
  <c r="B518" i="16"/>
  <c r="C518" i="16"/>
  <c r="B517" i="16" a="1"/>
  <c r="B517" i="16"/>
  <c r="C517" i="16"/>
  <c r="I556" i="15" a="1"/>
  <c r="I556" i="15"/>
  <c r="B516" i="16" a="1"/>
  <c r="B516" i="16"/>
  <c r="B515" i="16" a="1"/>
  <c r="B515" i="16"/>
  <c r="B514" i="16" a="1"/>
  <c r="B514" i="16"/>
  <c r="C514" i="16"/>
  <c r="I553" i="15" a="1"/>
  <c r="I553" i="15"/>
  <c r="B513" i="16" a="1"/>
  <c r="B513" i="16"/>
  <c r="C513" i="16"/>
  <c r="I552" i="15" a="1"/>
  <c r="I552" i="15"/>
  <c r="B512" i="16" a="1"/>
  <c r="B512" i="16"/>
  <c r="B511" i="16" a="1"/>
  <c r="B511" i="16"/>
  <c r="B510" i="16" a="1"/>
  <c r="B510" i="16"/>
  <c r="C510" i="16"/>
  <c r="I549" i="15" a="1"/>
  <c r="I549" i="15"/>
  <c r="B509" i="16" a="1"/>
  <c r="B509" i="16"/>
  <c r="C509" i="16"/>
  <c r="B508" i="16" a="1"/>
  <c r="B508" i="16"/>
  <c r="C508" i="16"/>
  <c r="I547" i="15" a="1"/>
  <c r="I547" i="15"/>
  <c r="B507" i="16" a="1"/>
  <c r="B507" i="16"/>
  <c r="C507" i="16"/>
  <c r="I546" i="15" a="1"/>
  <c r="I546" i="15"/>
  <c r="B506" i="16" a="1"/>
  <c r="B506" i="16"/>
  <c r="B505" i="16" a="1"/>
  <c r="B505" i="16"/>
  <c r="B504" i="16" a="1"/>
  <c r="B504" i="16"/>
  <c r="C504" i="16"/>
  <c r="B503" i="16" a="1"/>
  <c r="B503" i="16"/>
  <c r="C503" i="16"/>
  <c r="B502" i="16" a="1"/>
  <c r="B502" i="16"/>
  <c r="B501" i="16" a="1"/>
  <c r="B501" i="16"/>
  <c r="C501" i="16"/>
  <c r="I540" i="15" a="1"/>
  <c r="I540" i="15"/>
  <c r="B500" i="16" a="1"/>
  <c r="B500" i="16"/>
  <c r="B499" i="16" a="1"/>
  <c r="B499" i="16"/>
  <c r="B498" i="16" a="1"/>
  <c r="B498" i="16"/>
  <c r="C498" i="16"/>
  <c r="B497" i="16" a="1"/>
  <c r="B497" i="16"/>
  <c r="C497" i="16"/>
  <c r="B496" i="16" a="1"/>
  <c r="B496" i="16"/>
  <c r="B495" i="16" a="1"/>
  <c r="B495" i="16"/>
  <c r="B494" i="16" a="1"/>
  <c r="B494" i="16"/>
  <c r="B493" i="16" a="1"/>
  <c r="B493" i="16"/>
  <c r="C493" i="16"/>
  <c r="I532" i="15" a="1"/>
  <c r="I532" i="15"/>
  <c r="B492" i="16" a="1"/>
  <c r="B492" i="16"/>
  <c r="C492" i="16"/>
  <c r="I531" i="15" a="1"/>
  <c r="I531" i="15"/>
  <c r="B491" i="16" a="1"/>
  <c r="B491" i="16"/>
  <c r="B490" i="16" a="1"/>
  <c r="B490" i="16"/>
  <c r="C490" i="16"/>
  <c r="I529" i="15" a="1"/>
  <c r="I529" i="15"/>
  <c r="B489" i="16" a="1"/>
  <c r="B489" i="16"/>
  <c r="B488" i="16" a="1"/>
  <c r="B488" i="16"/>
  <c r="C488" i="16"/>
  <c r="B487" i="16" a="1"/>
  <c r="B487" i="16"/>
  <c r="C487" i="16"/>
  <c r="I526" i="15" a="1"/>
  <c r="I526" i="15"/>
  <c r="B486" i="16" a="1"/>
  <c r="B486" i="16"/>
  <c r="B485" i="16" a="1"/>
  <c r="B485" i="16"/>
  <c r="B484" i="16" a="1"/>
  <c r="B484" i="16"/>
  <c r="B483" i="16" a="1"/>
  <c r="B483" i="16"/>
  <c r="C483" i="16"/>
  <c r="B482" i="16" a="1"/>
  <c r="B482" i="16"/>
  <c r="C482" i="16"/>
  <c r="B481" i="16" a="1"/>
  <c r="B481" i="16"/>
  <c r="B480" i="16" a="1"/>
  <c r="B480" i="16"/>
  <c r="B479" i="16" a="1"/>
  <c r="B479" i="16"/>
  <c r="B478" i="16" a="1"/>
  <c r="B478" i="16"/>
  <c r="C478" i="16"/>
  <c r="B477" i="16" a="1"/>
  <c r="B477" i="16"/>
  <c r="B476" i="16" a="1"/>
  <c r="B476" i="16"/>
  <c r="C476" i="16"/>
  <c r="I515" i="15" a="1"/>
  <c r="I515" i="15"/>
  <c r="B475" i="16" a="1"/>
  <c r="B475" i="16"/>
  <c r="B474" i="16" a="1"/>
  <c r="B474" i="16"/>
  <c r="C474" i="16"/>
  <c r="B473" i="16" a="1"/>
  <c r="B473" i="16"/>
  <c r="C473" i="16"/>
  <c r="B472" i="16" a="1"/>
  <c r="B472" i="16"/>
  <c r="B471" i="16" a="1"/>
  <c r="B471" i="16"/>
  <c r="C471" i="16"/>
  <c r="B470" i="16" a="1"/>
  <c r="B470" i="16"/>
  <c r="B469" i="16" a="1"/>
  <c r="B469" i="16"/>
  <c r="B468" i="16" a="1"/>
  <c r="B468" i="16"/>
  <c r="C468" i="16"/>
  <c r="I507" i="15" a="1"/>
  <c r="I507" i="15"/>
  <c r="B467" i="16" a="1"/>
  <c r="B467" i="16"/>
  <c r="C467" i="16"/>
  <c r="B466" i="16" a="1"/>
  <c r="B466" i="16"/>
  <c r="C466" i="16"/>
  <c r="I505" i="15" a="1"/>
  <c r="I505" i="15"/>
  <c r="B465" i="16" a="1"/>
  <c r="B465" i="16"/>
  <c r="B464" i="16" a="1"/>
  <c r="B464" i="16"/>
  <c r="B463" i="16" a="1"/>
  <c r="B463" i="16"/>
  <c r="B462" i="16" a="1"/>
  <c r="B462" i="16"/>
  <c r="B461" i="16" a="1"/>
  <c r="B461" i="16"/>
  <c r="B460" i="16" a="1"/>
  <c r="B460" i="16"/>
  <c r="C460" i="16"/>
  <c r="B459" i="16" a="1"/>
  <c r="B459" i="16"/>
  <c r="B458" i="16" a="1"/>
  <c r="B458" i="16"/>
  <c r="B457" i="16" a="1"/>
  <c r="B457" i="16"/>
  <c r="C457" i="16"/>
  <c r="B456" i="16" a="1"/>
  <c r="B456" i="16"/>
  <c r="C456" i="16"/>
  <c r="B455" i="16" a="1"/>
  <c r="B455" i="16"/>
  <c r="C455" i="16"/>
  <c r="I494" i="15" a="1"/>
  <c r="I494" i="15"/>
  <c r="B454" i="16" a="1"/>
  <c r="B454" i="16"/>
  <c r="B453" i="16" a="1"/>
  <c r="B453" i="16"/>
  <c r="B452" i="16" a="1"/>
  <c r="B452" i="16"/>
  <c r="C452" i="16"/>
  <c r="B451" i="16" a="1"/>
  <c r="B451" i="16"/>
  <c r="B450" i="16" a="1"/>
  <c r="B450" i="16"/>
  <c r="C450" i="16"/>
  <c r="B449" i="16" a="1"/>
  <c r="B449" i="16"/>
  <c r="B448" i="16" a="1"/>
  <c r="B448" i="16"/>
  <c r="B447" i="16" a="1"/>
  <c r="B447" i="16"/>
  <c r="B446" i="16" a="1"/>
  <c r="B446" i="16"/>
  <c r="C446" i="16"/>
  <c r="I485" i="15" a="1"/>
  <c r="I485" i="15"/>
  <c r="B445" i="16" a="1"/>
  <c r="B445" i="16"/>
  <c r="B442" i="16" a="1"/>
  <c r="B442" i="16"/>
  <c r="B443" i="16" a="1"/>
  <c r="B443" i="16"/>
  <c r="B444" i="16" a="1"/>
  <c r="B444" i="16"/>
  <c r="C444" i="16"/>
  <c r="I177" i="15" a="1"/>
  <c r="I177" i="15"/>
  <c r="B434" i="16" a="1"/>
  <c r="B434" i="16"/>
  <c r="B435" i="16" a="1"/>
  <c r="B435" i="16"/>
  <c r="C435" i="16"/>
  <c r="B436" i="16" a="1"/>
  <c r="B436" i="16"/>
  <c r="C436" i="16"/>
  <c r="B437" i="16" a="1"/>
  <c r="B437" i="16"/>
  <c r="C437" i="16"/>
  <c r="I169" i="15" a="1"/>
  <c r="I169" i="15"/>
  <c r="B438" i="16" a="1"/>
  <c r="B438" i="16"/>
  <c r="B439" i="16" a="1"/>
  <c r="B439" i="16"/>
  <c r="C439" i="16"/>
  <c r="I171" i="15" a="1"/>
  <c r="I171" i="15"/>
  <c r="B440" i="16" a="1"/>
  <c r="B440" i="16"/>
  <c r="C440" i="16"/>
  <c r="B441" i="16" a="1"/>
  <c r="B441" i="16"/>
  <c r="B433" i="16" a="1"/>
  <c r="B433" i="16"/>
  <c r="C5" i="16"/>
  <c r="B15" i="16" a="1"/>
  <c r="B15" i="16"/>
  <c r="C15" i="16"/>
  <c r="I20" i="15" a="1"/>
  <c r="I20" i="15"/>
  <c r="B16" i="16" a="1"/>
  <c r="B16" i="16"/>
  <c r="C16" i="16"/>
  <c r="B17" i="16" a="1"/>
  <c r="B17" i="16"/>
  <c r="C17" i="16"/>
  <c r="B18" i="16" a="1"/>
  <c r="B18" i="16"/>
  <c r="C18" i="16"/>
  <c r="I23" i="15" a="1"/>
  <c r="I23" i="15"/>
  <c r="B19" i="16" a="1"/>
  <c r="B19" i="16"/>
  <c r="C19" i="16"/>
  <c r="I24" i="15" a="1"/>
  <c r="I24" i="15"/>
  <c r="B20" i="16" a="1"/>
  <c r="B20" i="16"/>
  <c r="C20" i="16"/>
  <c r="B21" i="16" a="1"/>
  <c r="B21" i="16"/>
  <c r="C21" i="16"/>
  <c r="B22" i="16" a="1"/>
  <c r="B22" i="16"/>
  <c r="C22" i="16"/>
  <c r="I27" i="15" a="1"/>
  <c r="I27" i="15"/>
  <c r="B23" i="16" a="1"/>
  <c r="B23" i="16"/>
  <c r="C23" i="16"/>
  <c r="B24" i="16" a="1"/>
  <c r="B24" i="16"/>
  <c r="C24" i="16"/>
  <c r="I32" i="15" a="1"/>
  <c r="I32" i="15"/>
  <c r="B25" i="16" a="1"/>
  <c r="B25" i="16"/>
  <c r="C25" i="16"/>
  <c r="B26" i="16" a="1"/>
  <c r="B26" i="16"/>
  <c r="C26" i="16"/>
  <c r="B27" i="16" a="1"/>
  <c r="B27" i="16"/>
  <c r="C27" i="16"/>
  <c r="B28" i="16" a="1"/>
  <c r="B28" i="16"/>
  <c r="C28" i="16"/>
  <c r="B29" i="16" a="1"/>
  <c r="B29" i="16"/>
  <c r="C29" i="16"/>
  <c r="I38" i="15" a="1"/>
  <c r="I38" i="15"/>
  <c r="B30" i="16" a="1"/>
  <c r="B30" i="16"/>
  <c r="C30" i="16"/>
  <c r="I39" i="15" a="1"/>
  <c r="I39" i="15"/>
  <c r="B31" i="16" a="1"/>
  <c r="B31" i="16"/>
  <c r="C31" i="16"/>
  <c r="B32" i="16" a="1"/>
  <c r="B32" i="16"/>
  <c r="C32" i="16"/>
  <c r="B33" i="16" a="1"/>
  <c r="B33" i="16"/>
  <c r="C33" i="16"/>
  <c r="I42" i="15" a="1"/>
  <c r="I42" i="15"/>
  <c r="B34" i="16" a="1"/>
  <c r="B34" i="16"/>
  <c r="C34" i="16"/>
  <c r="B35" i="16" a="1"/>
  <c r="B35" i="16"/>
  <c r="C35" i="16"/>
  <c r="B36" i="16" a="1"/>
  <c r="B36" i="16"/>
  <c r="C36" i="16"/>
  <c r="B37" i="16" a="1"/>
  <c r="B37" i="16"/>
  <c r="C37" i="16"/>
  <c r="B38" i="16" a="1"/>
  <c r="B38" i="16"/>
  <c r="C38" i="16"/>
  <c r="I48" i="15" a="1"/>
  <c r="I48" i="15"/>
  <c r="B39" i="16" a="1"/>
  <c r="B39" i="16"/>
  <c r="C39" i="16"/>
  <c r="I49" i="15" a="1"/>
  <c r="I49" i="15"/>
  <c r="B40" i="16" a="1"/>
  <c r="B40" i="16"/>
  <c r="C40" i="16"/>
  <c r="B41" i="16" a="1"/>
  <c r="B41" i="16"/>
  <c r="C41" i="16"/>
  <c r="B42" i="16" a="1"/>
  <c r="B42" i="16"/>
  <c r="C42" i="16"/>
  <c r="B43" i="16" a="1"/>
  <c r="B43" i="16"/>
  <c r="C43" i="16"/>
  <c r="I53" i="15" a="1"/>
  <c r="I53" i="15"/>
  <c r="B44" i="16" a="1"/>
  <c r="B44" i="16"/>
  <c r="C44" i="16"/>
  <c r="I54" i="15" a="1"/>
  <c r="I54" i="15"/>
  <c r="B45" i="16" a="1"/>
  <c r="B45" i="16"/>
  <c r="C45" i="16"/>
  <c r="I55" i="15" a="1"/>
  <c r="I55" i="15"/>
  <c r="B46" i="16" a="1"/>
  <c r="B46" i="16"/>
  <c r="C46" i="16"/>
  <c r="I56" i="15" a="1"/>
  <c r="I56" i="15"/>
  <c r="B47" i="16" a="1"/>
  <c r="B47" i="16"/>
  <c r="C47" i="16"/>
  <c r="B48" i="16" a="1"/>
  <c r="B48" i="16"/>
  <c r="C48" i="16"/>
  <c r="I58" i="15" a="1"/>
  <c r="I58" i="15"/>
  <c r="B49" i="16" a="1"/>
  <c r="B49" i="16"/>
  <c r="C49" i="16"/>
  <c r="I102" i="15" a="1"/>
  <c r="I102" i="15"/>
  <c r="I94" i="15" a="1"/>
  <c r="I94" i="15"/>
  <c r="B50" i="16" a="1"/>
  <c r="B50" i="16"/>
  <c r="C50" i="16"/>
  <c r="I103" i="15" a="1"/>
  <c r="I103" i="15"/>
  <c r="B51" i="16" a="1"/>
  <c r="B51" i="16"/>
  <c r="C51" i="16"/>
  <c r="B52" i="16" a="1"/>
  <c r="B52" i="16"/>
  <c r="C52" i="16"/>
  <c r="B53" i="16" a="1"/>
  <c r="B53" i="16"/>
  <c r="C53" i="16"/>
  <c r="I188" i="15" a="1"/>
  <c r="B54" i="16" a="1"/>
  <c r="B54" i="16"/>
  <c r="C54" i="16"/>
  <c r="I189" i="15" a="1"/>
  <c r="I189" i="15"/>
  <c r="B55" i="16" a="1"/>
  <c r="B55" i="16"/>
  <c r="C55" i="16"/>
  <c r="I190" i="15" a="1"/>
  <c r="I190" i="15"/>
  <c r="B56" i="16" a="1"/>
  <c r="B56" i="16"/>
  <c r="C56" i="16"/>
  <c r="B57" i="16" a="1"/>
  <c r="B57" i="16"/>
  <c r="C57" i="16"/>
  <c r="B58" i="16" a="1"/>
  <c r="B58" i="16"/>
  <c r="C58" i="16"/>
  <c r="B59" i="16" a="1"/>
  <c r="B59" i="16"/>
  <c r="C59" i="16"/>
  <c r="B60" i="16" a="1"/>
  <c r="B60" i="16"/>
  <c r="C60" i="16"/>
  <c r="I195" i="15" a="1"/>
  <c r="I195" i="15"/>
  <c r="B61" i="16" a="1"/>
  <c r="B61" i="16"/>
  <c r="C61" i="16"/>
  <c r="B62" i="16" a="1"/>
  <c r="B62" i="16"/>
  <c r="C62" i="16"/>
  <c r="B63" i="16" a="1"/>
  <c r="B63" i="16"/>
  <c r="C63" i="16"/>
  <c r="B64" i="16" a="1"/>
  <c r="B64" i="16"/>
  <c r="C64" i="16"/>
  <c r="B65" i="16" a="1"/>
  <c r="B65" i="16"/>
  <c r="C65" i="16"/>
  <c r="I200" i="15" a="1"/>
  <c r="B66" i="16" a="1"/>
  <c r="B66" i="16"/>
  <c r="C66" i="16"/>
  <c r="I202" i="15" a="1"/>
  <c r="I202" i="15"/>
  <c r="B67" i="16" a="1"/>
  <c r="B67" i="16"/>
  <c r="C67" i="16"/>
  <c r="B68" i="16" a="1"/>
  <c r="B68" i="16"/>
  <c r="C68" i="16"/>
  <c r="B69" i="16" a="1"/>
  <c r="B69" i="16"/>
  <c r="C69" i="16"/>
  <c r="B70" i="16" a="1"/>
  <c r="B70" i="16"/>
  <c r="C70" i="16"/>
  <c r="I206" i="15" a="1"/>
  <c r="I206" i="15"/>
  <c r="B71" i="16" a="1"/>
  <c r="B71" i="16"/>
  <c r="C71" i="16"/>
  <c r="B72" i="16" a="1"/>
  <c r="B72" i="16"/>
  <c r="C72" i="16"/>
  <c r="B73" i="16" a="1"/>
  <c r="B73" i="16"/>
  <c r="C73" i="16"/>
  <c r="B74" i="16" a="1"/>
  <c r="B74" i="16"/>
  <c r="C74" i="16"/>
  <c r="B75" i="16" a="1"/>
  <c r="B75" i="16"/>
  <c r="C75" i="16"/>
  <c r="I211" i="15" a="1"/>
  <c r="I211" i="15"/>
  <c r="B76" i="16" a="1"/>
  <c r="B76" i="16"/>
  <c r="C76" i="16"/>
  <c r="B77" i="16" a="1"/>
  <c r="B77" i="16"/>
  <c r="C77" i="16"/>
  <c r="I213" i="15" a="1"/>
  <c r="B78" i="16" a="1"/>
  <c r="B78" i="16"/>
  <c r="C78" i="16"/>
  <c r="B79" i="16" a="1"/>
  <c r="B79" i="16"/>
  <c r="C79" i="16"/>
  <c r="I215" i="15" a="1"/>
  <c r="I215" i="15"/>
  <c r="B80" i="16" a="1"/>
  <c r="B80" i="16"/>
  <c r="C80" i="16"/>
  <c r="B81" i="16" a="1"/>
  <c r="B81" i="16"/>
  <c r="C81" i="16"/>
  <c r="B82" i="16" a="1"/>
  <c r="B82" i="16"/>
  <c r="C82" i="16"/>
  <c r="I218" i="15" a="1"/>
  <c r="I218" i="15"/>
  <c r="B83" i="16" a="1"/>
  <c r="B83" i="16"/>
  <c r="C83" i="16"/>
  <c r="I219" i="15" a="1"/>
  <c r="I219" i="15"/>
  <c r="B84" i="16" a="1"/>
  <c r="B84" i="16"/>
  <c r="C84" i="16"/>
  <c r="B85" i="16" a="1"/>
  <c r="B85" i="16"/>
  <c r="C85" i="16"/>
  <c r="I221" i="15" a="1"/>
  <c r="I221" i="15"/>
  <c r="B86" i="16" a="1"/>
  <c r="B86" i="16"/>
  <c r="C86" i="16"/>
  <c r="B87" i="16" a="1"/>
  <c r="B87" i="16"/>
  <c r="C87" i="16"/>
  <c r="B88" i="16" a="1"/>
  <c r="B88" i="16"/>
  <c r="C88" i="16"/>
  <c r="B89" i="16" a="1"/>
  <c r="B89" i="16"/>
  <c r="C89" i="16"/>
  <c r="B90" i="16" a="1"/>
  <c r="B90" i="16"/>
  <c r="C90" i="16"/>
  <c r="I226" i="15" a="1"/>
  <c r="I226" i="15"/>
  <c r="B91" i="16" a="1"/>
  <c r="B91" i="16"/>
  <c r="C91" i="16"/>
  <c r="B92" i="16" a="1"/>
  <c r="B92" i="16"/>
  <c r="C92" i="16"/>
  <c r="B93" i="16" a="1"/>
  <c r="B93" i="16"/>
  <c r="C93" i="16"/>
  <c r="B94" i="16" a="1"/>
  <c r="B94" i="16"/>
  <c r="C94" i="16"/>
  <c r="B95" i="16" a="1"/>
  <c r="B95" i="16"/>
  <c r="C95" i="16"/>
  <c r="I231" i="15" a="1"/>
  <c r="I231" i="15"/>
  <c r="B96" i="16" a="1"/>
  <c r="B96" i="16"/>
  <c r="C96" i="16"/>
  <c r="I232" i="15" a="1"/>
  <c r="I232" i="15"/>
  <c r="B97" i="16" a="1"/>
  <c r="B97" i="16"/>
  <c r="C97" i="16"/>
  <c r="B98" i="16" a="1"/>
  <c r="B98" i="16"/>
  <c r="C98" i="16"/>
  <c r="I234" i="15" a="1"/>
  <c r="I234" i="15"/>
  <c r="B99" i="16" a="1"/>
  <c r="B99" i="16"/>
  <c r="C99" i="16"/>
  <c r="I235" i="15" a="1"/>
  <c r="I235" i="15"/>
  <c r="B100" i="16" a="1"/>
  <c r="B100" i="16"/>
  <c r="C100" i="16"/>
  <c r="I236" i="15" a="1"/>
  <c r="I236" i="15"/>
  <c r="B101" i="16" a="1"/>
  <c r="B101" i="16"/>
  <c r="C101" i="16"/>
  <c r="B102" i="16" a="1"/>
  <c r="B102" i="16"/>
  <c r="C102" i="16"/>
  <c r="B103" i="16" a="1"/>
  <c r="B103" i="16"/>
  <c r="C103" i="16"/>
  <c r="B104" i="16" a="1"/>
  <c r="B104" i="16"/>
  <c r="C104" i="16"/>
  <c r="B105" i="16" a="1"/>
  <c r="B105" i="16"/>
  <c r="C105" i="16"/>
  <c r="I241" i="15" a="1"/>
  <c r="I241" i="15"/>
  <c r="B106" i="16" a="1"/>
  <c r="B106" i="16"/>
  <c r="C106" i="16"/>
  <c r="I242" i="15" a="1"/>
  <c r="I242" i="15"/>
  <c r="B107" i="16" a="1"/>
  <c r="B107" i="16"/>
  <c r="C107" i="16"/>
  <c r="I243" i="15" a="1"/>
  <c r="I243" i="15"/>
  <c r="B108" i="16" a="1"/>
  <c r="B108" i="16"/>
  <c r="C108" i="16"/>
  <c r="B109" i="16" a="1"/>
  <c r="B109" i="16"/>
  <c r="C109" i="16"/>
  <c r="I245" i="15" a="1"/>
  <c r="I245" i="15"/>
  <c r="B110" i="16" a="1"/>
  <c r="B110" i="16"/>
  <c r="C110" i="16"/>
  <c r="I246" i="15" a="1"/>
  <c r="I246" i="15"/>
  <c r="B111" i="16" a="1"/>
  <c r="B111" i="16"/>
  <c r="C111" i="16"/>
  <c r="I247" i="15" a="1"/>
  <c r="I247" i="15"/>
  <c r="B112" i="16" a="1"/>
  <c r="B112" i="16"/>
  <c r="C112" i="16"/>
  <c r="B113" i="16" a="1"/>
  <c r="B113" i="16"/>
  <c r="C113" i="16"/>
  <c r="I249" i="15" a="1"/>
  <c r="I249" i="15"/>
  <c r="B114" i="16" a="1"/>
  <c r="B114" i="16"/>
  <c r="C114" i="16"/>
  <c r="B115" i="16" a="1"/>
  <c r="B115" i="16"/>
  <c r="C115" i="16"/>
  <c r="I251" i="15" a="1"/>
  <c r="I251" i="15"/>
  <c r="B116" i="16" a="1"/>
  <c r="B116" i="16"/>
  <c r="C116" i="16"/>
  <c r="B117" i="16" a="1"/>
  <c r="B117" i="16"/>
  <c r="C117" i="16"/>
  <c r="B118" i="16" a="1"/>
  <c r="B118" i="16"/>
  <c r="C118" i="16"/>
  <c r="B119" i="16" a="1"/>
  <c r="B119" i="16"/>
  <c r="C119" i="16"/>
  <c r="B120" i="16" a="1"/>
  <c r="B120" i="16"/>
  <c r="C120" i="16"/>
  <c r="I256" i="15" a="1"/>
  <c r="I256" i="15"/>
  <c r="B121" i="16" a="1"/>
  <c r="B121" i="16"/>
  <c r="C121" i="16"/>
  <c r="I257" i="15" a="1"/>
  <c r="I257" i="15"/>
  <c r="B122" i="16" a="1"/>
  <c r="B122" i="16"/>
  <c r="C122" i="16"/>
  <c r="I258" i="15" a="1"/>
  <c r="I258" i="15"/>
  <c r="B123" i="16" a="1"/>
  <c r="B123" i="16"/>
  <c r="C123" i="16"/>
  <c r="I259" i="15" a="1"/>
  <c r="I259" i="15"/>
  <c r="B124" i="16" a="1"/>
  <c r="B124" i="16"/>
  <c r="C124" i="16"/>
  <c r="B125" i="16" a="1"/>
  <c r="B125" i="16"/>
  <c r="C125" i="16"/>
  <c r="B126" i="16" a="1"/>
  <c r="B126" i="16"/>
  <c r="C126" i="16"/>
  <c r="B127" i="16" a="1"/>
  <c r="B127" i="16"/>
  <c r="C127" i="16"/>
  <c r="B128" i="16" a="1"/>
  <c r="B128" i="16"/>
  <c r="C128" i="16"/>
  <c r="B129" i="16" a="1"/>
  <c r="B129" i="16"/>
  <c r="C129" i="16"/>
  <c r="B130" i="16" a="1"/>
  <c r="B130" i="16"/>
  <c r="C130" i="16"/>
  <c r="I266" i="15" a="1"/>
  <c r="I266" i="15"/>
  <c r="B131" i="16" a="1"/>
  <c r="B131" i="16"/>
  <c r="C131" i="16"/>
  <c r="I267" i="15" a="1"/>
  <c r="I267" i="15"/>
  <c r="B132" i="16" a="1"/>
  <c r="B132" i="16"/>
  <c r="C132" i="16"/>
  <c r="B133" i="16" a="1"/>
  <c r="B133" i="16"/>
  <c r="C133" i="16"/>
  <c r="I269" i="15" a="1"/>
  <c r="I269" i="15"/>
  <c r="B134" i="16" a="1"/>
  <c r="B134" i="16"/>
  <c r="C134" i="16"/>
  <c r="B135" i="16" a="1"/>
  <c r="B135" i="16"/>
  <c r="C135" i="16"/>
  <c r="I271" i="15" a="1"/>
  <c r="I271" i="15"/>
  <c r="B136" i="16" a="1"/>
  <c r="B136" i="16"/>
  <c r="C136" i="16"/>
  <c r="I272" i="15" a="1"/>
  <c r="I272" i="15"/>
  <c r="B137" i="16" a="1"/>
  <c r="B137" i="16"/>
  <c r="C137" i="16"/>
  <c r="I273" i="15" a="1"/>
  <c r="I273" i="15"/>
  <c r="B138" i="16" a="1"/>
  <c r="B138" i="16"/>
  <c r="C138" i="16"/>
  <c r="I274" i="15" a="1"/>
  <c r="I274" i="15"/>
  <c r="B139" i="16" a="1"/>
  <c r="B139" i="16"/>
  <c r="C139" i="16"/>
  <c r="B140" i="16" a="1"/>
  <c r="B140" i="16"/>
  <c r="C140" i="16"/>
  <c r="I276" i="15" a="1"/>
  <c r="I276" i="15"/>
  <c r="B141" i="16" a="1"/>
  <c r="B141" i="16"/>
  <c r="C141" i="16"/>
  <c r="I277" i="15" a="1"/>
  <c r="I277" i="15"/>
  <c r="B142" i="16" a="1"/>
  <c r="B142" i="16"/>
  <c r="C142" i="16"/>
  <c r="I278" i="15" a="1"/>
  <c r="I278" i="15"/>
  <c r="B143" i="16" a="1"/>
  <c r="B143" i="16"/>
  <c r="C143" i="16"/>
  <c r="B144" i="16" a="1"/>
  <c r="B144" i="16"/>
  <c r="C144" i="16"/>
  <c r="I280" i="15" a="1"/>
  <c r="I280" i="15"/>
  <c r="B145" i="16" a="1"/>
  <c r="B145" i="16"/>
  <c r="C145" i="16"/>
  <c r="I281" i="15" a="1"/>
  <c r="I281" i="15"/>
  <c r="B146" i="16" a="1"/>
  <c r="B146" i="16"/>
  <c r="C146" i="16"/>
  <c r="B147" i="16" a="1"/>
  <c r="B147" i="16"/>
  <c r="C147" i="16"/>
  <c r="I283" i="15" a="1"/>
  <c r="I283" i="15"/>
  <c r="B148" i="16" a="1"/>
  <c r="B148" i="16"/>
  <c r="C148" i="16"/>
  <c r="I284" i="15" a="1"/>
  <c r="I284" i="15"/>
  <c r="B149" i="16" a="1"/>
  <c r="B149" i="16"/>
  <c r="C149" i="16"/>
  <c r="I285" i="15" a="1"/>
  <c r="I285" i="15"/>
  <c r="B150" i="16" a="1"/>
  <c r="B150" i="16"/>
  <c r="C150" i="16"/>
  <c r="I286" i="15" a="1"/>
  <c r="I286" i="15"/>
  <c r="B151" i="16" a="1"/>
  <c r="B151" i="16"/>
  <c r="C151" i="16"/>
  <c r="I287" i="15" a="1"/>
  <c r="I287" i="15"/>
  <c r="B152" i="16" a="1"/>
  <c r="B152" i="16"/>
  <c r="C152" i="16"/>
  <c r="I288" i="15" a="1"/>
  <c r="I288" i="15"/>
  <c r="B153" i="16" a="1"/>
  <c r="B153" i="16"/>
  <c r="C153" i="16"/>
  <c r="B154" i="16" a="1"/>
  <c r="B154" i="16"/>
  <c r="C154" i="16"/>
  <c r="I290" i="15" a="1"/>
  <c r="I290" i="15"/>
  <c r="B155" i="16" a="1"/>
  <c r="B155" i="16"/>
  <c r="C155" i="16"/>
  <c r="I291" i="15" a="1"/>
  <c r="I291" i="15"/>
  <c r="B156" i="16" a="1"/>
  <c r="B156" i="16"/>
  <c r="C156" i="16"/>
  <c r="B157" i="16" a="1"/>
  <c r="B157" i="16"/>
  <c r="C157" i="16"/>
  <c r="B158" i="16" a="1"/>
  <c r="B158" i="16"/>
  <c r="C158" i="16"/>
  <c r="B159" i="16" a="1"/>
  <c r="B159" i="16"/>
  <c r="C159" i="16"/>
  <c r="I295" i="15" a="1"/>
  <c r="I295" i="15"/>
  <c r="B160" i="16" a="1"/>
  <c r="B160" i="16"/>
  <c r="C160" i="16"/>
  <c r="I296" i="15" a="1"/>
  <c r="I296" i="15"/>
  <c r="B161" i="16" a="1"/>
  <c r="B161" i="16"/>
  <c r="C161" i="16"/>
  <c r="B162" i="16" a="1"/>
  <c r="B162" i="16"/>
  <c r="C162" i="16"/>
  <c r="I298" i="15" a="1"/>
  <c r="I298" i="15"/>
  <c r="B163" i="16" a="1"/>
  <c r="B163" i="16"/>
  <c r="C163" i="16"/>
  <c r="I299" i="15" a="1"/>
  <c r="I299" i="15"/>
  <c r="B164" i="16" a="1"/>
  <c r="B164" i="16"/>
  <c r="C164" i="16"/>
  <c r="I300" i="15" a="1"/>
  <c r="I300" i="15"/>
  <c r="B165" i="16" a="1"/>
  <c r="B165" i="16"/>
  <c r="C165" i="16"/>
  <c r="I301" i="15" a="1"/>
  <c r="I301" i="15"/>
  <c r="B166" i="16" a="1"/>
  <c r="B166" i="16"/>
  <c r="C166" i="16"/>
  <c r="B167" i="16" a="1"/>
  <c r="B167" i="16"/>
  <c r="C167" i="16"/>
  <c r="B168" i="16" a="1"/>
  <c r="B168" i="16"/>
  <c r="C168" i="16"/>
  <c r="B169" i="16" a="1"/>
  <c r="B169" i="16"/>
  <c r="C169" i="16"/>
  <c r="I305" i="15" a="1"/>
  <c r="I305" i="15"/>
  <c r="B170" i="16" a="1"/>
  <c r="B170" i="16"/>
  <c r="C170" i="16"/>
  <c r="I306" i="15" a="1"/>
  <c r="I306" i="15"/>
  <c r="B171" i="16" a="1"/>
  <c r="B171" i="16"/>
  <c r="C171" i="16"/>
  <c r="I307" i="15" a="1"/>
  <c r="I307" i="15"/>
  <c r="B172" i="16" a="1"/>
  <c r="B172" i="16"/>
  <c r="C172" i="16"/>
  <c r="I308" i="15" a="1"/>
  <c r="I308" i="15"/>
  <c r="B173" i="16" a="1"/>
  <c r="B173" i="16"/>
  <c r="C173" i="16"/>
  <c r="I309" i="15" a="1"/>
  <c r="I309" i="15"/>
  <c r="B174" i="16" a="1"/>
  <c r="B174" i="16"/>
  <c r="C174" i="16"/>
  <c r="B175" i="16" a="1"/>
  <c r="B175" i="16"/>
  <c r="C175" i="16"/>
  <c r="I311" i="15" a="1"/>
  <c r="I311" i="15"/>
  <c r="B176" i="16" a="1"/>
  <c r="B176" i="16"/>
  <c r="C176" i="16"/>
  <c r="B177" i="16" a="1"/>
  <c r="B177" i="16"/>
  <c r="C177" i="16"/>
  <c r="I313" i="15" a="1"/>
  <c r="I313" i="15"/>
  <c r="B178" i="16" a="1"/>
  <c r="B178" i="16"/>
  <c r="C178" i="16"/>
  <c r="I314" i="15" a="1"/>
  <c r="I314" i="15"/>
  <c r="B179" i="16" a="1"/>
  <c r="B179" i="16"/>
  <c r="C179" i="16"/>
  <c r="B180" i="16" a="1"/>
  <c r="B180" i="16"/>
  <c r="C180" i="16"/>
  <c r="I316" i="15" a="1"/>
  <c r="I316" i="15"/>
  <c r="B181" i="16" a="1"/>
  <c r="B181" i="16"/>
  <c r="C181" i="16"/>
  <c r="I317" i="15" a="1"/>
  <c r="I317" i="15"/>
  <c r="B182" i="16" a="1"/>
  <c r="B182" i="16"/>
  <c r="C182" i="16"/>
  <c r="I318" i="15" a="1"/>
  <c r="I318" i="15"/>
  <c r="B183" i="16" a="1"/>
  <c r="B183" i="16"/>
  <c r="C183" i="16"/>
  <c r="I319" i="15" a="1"/>
  <c r="I319" i="15"/>
  <c r="B184" i="16" a="1"/>
  <c r="B184" i="16"/>
  <c r="C184" i="16"/>
  <c r="B185" i="16" a="1"/>
  <c r="B185" i="16"/>
  <c r="C185" i="16"/>
  <c r="I321" i="15" a="1"/>
  <c r="I321" i="15"/>
  <c r="B186" i="16" a="1"/>
  <c r="B186" i="16"/>
  <c r="C186" i="16"/>
  <c r="B187" i="16" a="1"/>
  <c r="B187" i="16"/>
  <c r="C187" i="16"/>
  <c r="B188" i="16" a="1"/>
  <c r="B188" i="16"/>
  <c r="C188" i="16"/>
  <c r="I324" i="15" a="1"/>
  <c r="I324" i="15"/>
  <c r="B189" i="16" a="1"/>
  <c r="B189" i="16"/>
  <c r="C189" i="16"/>
  <c r="B190" i="16" a="1"/>
  <c r="B190" i="16"/>
  <c r="C190" i="16"/>
  <c r="I326" i="15" a="1"/>
  <c r="I326" i="15"/>
  <c r="B191" i="16" a="1"/>
  <c r="B191" i="16"/>
  <c r="C191" i="16"/>
  <c r="B192" i="16" a="1"/>
  <c r="B192" i="16"/>
  <c r="C192" i="16"/>
  <c r="I328" i="15" a="1"/>
  <c r="I328" i="15"/>
  <c r="B193" i="16" a="1"/>
  <c r="B193" i="16"/>
  <c r="C193" i="16"/>
  <c r="I329" i="15" a="1"/>
  <c r="I329" i="15"/>
  <c r="B194" i="16" a="1"/>
  <c r="B194" i="16"/>
  <c r="C194" i="16"/>
  <c r="I330" i="15" a="1"/>
  <c r="I330" i="15"/>
  <c r="B195" i="16" a="1"/>
  <c r="B195" i="16"/>
  <c r="C195" i="16"/>
  <c r="I331" i="15" a="1"/>
  <c r="I331" i="15"/>
  <c r="B196" i="16" a="1"/>
  <c r="B196" i="16"/>
  <c r="C196" i="16"/>
  <c r="I332" i="15" a="1"/>
  <c r="I332" i="15"/>
  <c r="B197" i="16" a="1"/>
  <c r="B197" i="16"/>
  <c r="C197" i="16"/>
  <c r="B198" i="16" a="1"/>
  <c r="B198" i="16"/>
  <c r="C198" i="16"/>
  <c r="I334" i="15" a="1"/>
  <c r="I334" i="15"/>
  <c r="B199" i="16" a="1"/>
  <c r="B199" i="16"/>
  <c r="C199" i="16"/>
  <c r="I335" i="15" a="1"/>
  <c r="I335" i="15"/>
  <c r="B200" i="16" a="1"/>
  <c r="B200" i="16"/>
  <c r="C200" i="16"/>
  <c r="I336" i="15" a="1"/>
  <c r="I336" i="15"/>
  <c r="B201" i="16" a="1"/>
  <c r="B201" i="16"/>
  <c r="C201" i="16"/>
  <c r="I337" i="15" a="1"/>
  <c r="I337" i="15"/>
  <c r="B202" i="16" a="1"/>
  <c r="B202" i="16"/>
  <c r="C202" i="16"/>
  <c r="I338" i="15" a="1"/>
  <c r="I338" i="15"/>
  <c r="B203" i="16" a="1"/>
  <c r="B203" i="16"/>
  <c r="C203" i="16"/>
  <c r="I339" i="15" a="1"/>
  <c r="I339" i="15"/>
  <c r="B204" i="16" a="1"/>
  <c r="B204" i="16"/>
  <c r="C204" i="16"/>
  <c r="I340" i="15" a="1"/>
  <c r="I340" i="15"/>
  <c r="B205" i="16" a="1"/>
  <c r="B205" i="16"/>
  <c r="C205" i="16"/>
  <c r="I341" i="15" a="1"/>
  <c r="I341" i="15"/>
  <c r="B206" i="16" a="1"/>
  <c r="B206" i="16"/>
  <c r="C206" i="16"/>
  <c r="B207" i="16" a="1"/>
  <c r="B207" i="16"/>
  <c r="C207" i="16"/>
  <c r="I343" i="15" a="1"/>
  <c r="I343" i="15"/>
  <c r="B208" i="16" a="1"/>
  <c r="B208" i="16"/>
  <c r="C208" i="16"/>
  <c r="B209" i="16" a="1"/>
  <c r="B209" i="16"/>
  <c r="C209" i="16"/>
  <c r="I345" i="15" a="1"/>
  <c r="I345" i="15"/>
  <c r="B210" i="16" a="1"/>
  <c r="B210" i="16"/>
  <c r="C210" i="16"/>
  <c r="I346" i="15" a="1"/>
  <c r="I346" i="15"/>
  <c r="B211" i="16" a="1"/>
  <c r="B211" i="16"/>
  <c r="C211" i="16"/>
  <c r="I347" i="15" a="1"/>
  <c r="I347" i="15"/>
  <c r="B212" i="16" a="1"/>
  <c r="B212" i="16"/>
  <c r="C212" i="16"/>
  <c r="I348" i="15" a="1"/>
  <c r="I348" i="15"/>
  <c r="B213" i="16" a="1"/>
  <c r="B213" i="16"/>
  <c r="C213" i="16"/>
  <c r="B214" i="16" a="1"/>
  <c r="B214" i="16"/>
  <c r="C214" i="16"/>
  <c r="I350" i="15" a="1"/>
  <c r="I350" i="15"/>
  <c r="B215" i="16" a="1"/>
  <c r="B215" i="16"/>
  <c r="C215" i="16"/>
  <c r="I351" i="15" a="1"/>
  <c r="I351" i="15"/>
  <c r="B216" i="16" a="1"/>
  <c r="B216" i="16"/>
  <c r="C216" i="16"/>
  <c r="I352" i="15" a="1"/>
  <c r="I352" i="15"/>
  <c r="B217" i="16" a="1"/>
  <c r="B217" i="16"/>
  <c r="C217" i="16"/>
  <c r="I353" i="15" a="1"/>
  <c r="I353" i="15"/>
  <c r="B218" i="16" a="1"/>
  <c r="B218" i="16"/>
  <c r="C218" i="16"/>
  <c r="I354" i="15" a="1"/>
  <c r="I354" i="15"/>
  <c r="B219" i="16" a="1"/>
  <c r="B219" i="16"/>
  <c r="C219" i="16"/>
  <c r="I355" i="15" a="1"/>
  <c r="I355" i="15"/>
  <c r="B220" i="16" a="1"/>
  <c r="B220" i="16"/>
  <c r="C220" i="16"/>
  <c r="I356" i="15" a="1"/>
  <c r="I356" i="15"/>
  <c r="B221" i="16" a="1"/>
  <c r="B221" i="16"/>
  <c r="C221" i="16"/>
  <c r="I357" i="15" a="1"/>
  <c r="I357" i="15"/>
  <c r="B222" i="16" a="1"/>
  <c r="B222" i="16"/>
  <c r="C222" i="16"/>
  <c r="I358" i="15" a="1"/>
  <c r="I358" i="15"/>
  <c r="B223" i="16" a="1"/>
  <c r="B223" i="16"/>
  <c r="C223" i="16"/>
  <c r="B224" i="16" a="1"/>
  <c r="B224" i="16"/>
  <c r="C224" i="16"/>
  <c r="I360" i="15" a="1"/>
  <c r="I360" i="15"/>
  <c r="B225" i="16" a="1"/>
  <c r="B225" i="16"/>
  <c r="C225" i="16"/>
  <c r="I361" i="15" a="1"/>
  <c r="I361" i="15"/>
  <c r="B226" i="16" a="1"/>
  <c r="B226" i="16"/>
  <c r="C226" i="16"/>
  <c r="B227" i="16" a="1"/>
  <c r="B227" i="16"/>
  <c r="C227" i="16"/>
  <c r="I363" i="15" a="1"/>
  <c r="I363" i="15"/>
  <c r="B228" i="16" a="1"/>
  <c r="B228" i="16"/>
  <c r="C228" i="16"/>
  <c r="I364" i="15" a="1"/>
  <c r="I364" i="15"/>
  <c r="B229" i="16" a="1"/>
  <c r="B229" i="16"/>
  <c r="C229" i="16"/>
  <c r="I365" i="15" a="1"/>
  <c r="I365" i="15"/>
  <c r="B230" i="16" a="1"/>
  <c r="B230" i="16"/>
  <c r="C230" i="16"/>
  <c r="I366" i="15" a="1"/>
  <c r="I366" i="15"/>
  <c r="B231" i="16" a="1"/>
  <c r="B231" i="16"/>
  <c r="C231" i="16"/>
  <c r="I367" i="15" a="1"/>
  <c r="I367" i="15"/>
  <c r="B232" i="16" a="1"/>
  <c r="B232" i="16"/>
  <c r="C232" i="16"/>
  <c r="I368" i="15" a="1"/>
  <c r="I368" i="15"/>
  <c r="B233" i="16" a="1"/>
  <c r="B233" i="16"/>
  <c r="C233" i="16"/>
  <c r="I369" i="15" a="1"/>
  <c r="I369" i="15"/>
  <c r="B234" i="16" a="1"/>
  <c r="B234" i="16"/>
  <c r="C234" i="16"/>
  <c r="I370" i="15" a="1"/>
  <c r="I370" i="15"/>
  <c r="B235" i="16" a="1"/>
  <c r="B235" i="16"/>
  <c r="C235" i="16"/>
  <c r="I371" i="15" a="1"/>
  <c r="I371" i="15"/>
  <c r="B236" i="16" a="1"/>
  <c r="B236" i="16"/>
  <c r="C236" i="16"/>
  <c r="B237" i="16" a="1"/>
  <c r="B237" i="16"/>
  <c r="C237" i="16"/>
  <c r="I373" i="15" a="1"/>
  <c r="I373" i="15"/>
  <c r="B238" i="16" a="1"/>
  <c r="B238" i="16"/>
  <c r="C238" i="16"/>
  <c r="I374" i="15" a="1"/>
  <c r="I374" i="15"/>
  <c r="B239" i="16" a="1"/>
  <c r="B239" i="16"/>
  <c r="C239" i="16"/>
  <c r="I375" i="15" a="1"/>
  <c r="I375" i="15"/>
  <c r="B240" i="16" a="1"/>
  <c r="B240" i="16"/>
  <c r="C240" i="16"/>
  <c r="I376" i="15" a="1"/>
  <c r="I376" i="15"/>
  <c r="B241" i="16" a="1"/>
  <c r="B241" i="16"/>
  <c r="C241" i="16"/>
  <c r="I377" i="15" a="1"/>
  <c r="I377" i="15"/>
  <c r="B242" i="16" a="1"/>
  <c r="B242" i="16"/>
  <c r="C242" i="16"/>
  <c r="I378" i="15" a="1"/>
  <c r="I378" i="15"/>
  <c r="B243" i="16" a="1"/>
  <c r="B243" i="16"/>
  <c r="C243" i="16"/>
  <c r="I379" i="15" a="1"/>
  <c r="I379" i="15"/>
  <c r="B244" i="16" a="1"/>
  <c r="B244" i="16"/>
  <c r="C244" i="16"/>
  <c r="I380" i="15" a="1"/>
  <c r="I380" i="15"/>
  <c r="B245" i="16" a="1"/>
  <c r="B245" i="16"/>
  <c r="C245" i="16"/>
  <c r="I381" i="15" a="1"/>
  <c r="I381" i="15"/>
  <c r="B246" i="16" a="1"/>
  <c r="B246" i="16"/>
  <c r="C246" i="16"/>
  <c r="I382" i="15" a="1"/>
  <c r="I382" i="15"/>
  <c r="B247" i="16" a="1"/>
  <c r="B247" i="16"/>
  <c r="C247" i="16"/>
  <c r="I383" i="15" a="1"/>
  <c r="I383" i="15"/>
  <c r="B248" i="16" a="1"/>
  <c r="B248" i="16"/>
  <c r="C248" i="16"/>
  <c r="I384" i="15" a="1"/>
  <c r="I384" i="15"/>
  <c r="B249" i="16" a="1"/>
  <c r="B249" i="16"/>
  <c r="C249" i="16"/>
  <c r="I385" i="15" a="1"/>
  <c r="I385" i="15"/>
  <c r="B250" i="16" a="1"/>
  <c r="B250" i="16"/>
  <c r="C250" i="16"/>
  <c r="I386" i="15" a="1"/>
  <c r="I386" i="15"/>
  <c r="B251" i="16" a="1"/>
  <c r="B251" i="16"/>
  <c r="C251" i="16"/>
  <c r="I387" i="15" a="1"/>
  <c r="I387" i="15"/>
  <c r="B252" i="16" a="1"/>
  <c r="B252" i="16"/>
  <c r="C252" i="16"/>
  <c r="I388" i="15" a="1"/>
  <c r="I388" i="15"/>
  <c r="B253" i="16" a="1"/>
  <c r="B253" i="16"/>
  <c r="C253" i="16"/>
  <c r="B254" i="16" a="1"/>
  <c r="B254" i="16"/>
  <c r="C254" i="16"/>
  <c r="I390" i="15" a="1"/>
  <c r="I390" i="15"/>
  <c r="B255" i="16" a="1"/>
  <c r="B255" i="16"/>
  <c r="C255" i="16"/>
  <c r="I391" i="15" a="1"/>
  <c r="I391" i="15"/>
  <c r="B256" i="16" a="1"/>
  <c r="B256" i="16"/>
  <c r="C256" i="16"/>
  <c r="I392" i="15" a="1"/>
  <c r="I392" i="15"/>
  <c r="B257" i="16" a="1"/>
  <c r="B257" i="16"/>
  <c r="C257" i="16"/>
  <c r="I393" i="15" a="1"/>
  <c r="I393" i="15"/>
  <c r="B258" i="16" a="1"/>
  <c r="B258" i="16"/>
  <c r="C258" i="16"/>
  <c r="I394" i="15" a="1"/>
  <c r="I394" i="15"/>
  <c r="B259" i="16" a="1"/>
  <c r="B259" i="16"/>
  <c r="C259" i="16"/>
  <c r="I395" i="15" a="1"/>
  <c r="I395" i="15"/>
  <c r="B260" i="16" a="1"/>
  <c r="B260" i="16"/>
  <c r="C260" i="16"/>
  <c r="I396" i="15" a="1"/>
  <c r="I396" i="15"/>
  <c r="B261" i="16" a="1"/>
  <c r="B261" i="16"/>
  <c r="C261" i="16"/>
  <c r="I397" i="15" a="1"/>
  <c r="I397" i="15"/>
  <c r="B262" i="16" a="1"/>
  <c r="B262" i="16"/>
  <c r="C262" i="16"/>
  <c r="I398" i="15" a="1"/>
  <c r="I398" i="15"/>
  <c r="B263" i="16" a="1"/>
  <c r="B263" i="16"/>
  <c r="C263" i="16"/>
  <c r="I399" i="15" a="1"/>
  <c r="I399" i="15"/>
  <c r="B264" i="16" a="1"/>
  <c r="B264" i="16"/>
  <c r="C264" i="16"/>
  <c r="I400" i="15" a="1"/>
  <c r="I400" i="15"/>
  <c r="B265" i="16" a="1"/>
  <c r="B265" i="16"/>
  <c r="C265" i="16"/>
  <c r="I401" i="15" a="1"/>
  <c r="I401" i="15"/>
  <c r="B266" i="16" a="1"/>
  <c r="B266" i="16"/>
  <c r="C266" i="16"/>
  <c r="I402" i="15" a="1"/>
  <c r="I402" i="15"/>
  <c r="B267" i="16" a="1"/>
  <c r="B267" i="16"/>
  <c r="C267" i="16"/>
  <c r="I403" i="15" a="1"/>
  <c r="I403" i="15"/>
  <c r="B268" i="16" a="1"/>
  <c r="B268" i="16"/>
  <c r="C268" i="16"/>
  <c r="I404" i="15" a="1"/>
  <c r="I404" i="15"/>
  <c r="B269" i="16" a="1"/>
  <c r="B269" i="16"/>
  <c r="C269" i="16"/>
  <c r="I405" i="15" a="1"/>
  <c r="I405" i="15"/>
  <c r="B270" i="16" a="1"/>
  <c r="B270" i="16"/>
  <c r="C270" i="16"/>
  <c r="I406" i="15" a="1"/>
  <c r="I406" i="15"/>
  <c r="B271" i="16" a="1"/>
  <c r="B271" i="16"/>
  <c r="C271" i="16"/>
  <c r="I407" i="15" a="1"/>
  <c r="I407" i="15"/>
  <c r="B272" i="16" a="1"/>
  <c r="B272" i="16"/>
  <c r="C272" i="16"/>
  <c r="I408" i="15" a="1"/>
  <c r="I408" i="15"/>
  <c r="B273" i="16" a="1"/>
  <c r="B273" i="16"/>
  <c r="C273" i="16"/>
  <c r="I409" i="15" a="1"/>
  <c r="I409" i="15"/>
  <c r="B274" i="16" a="1"/>
  <c r="B274" i="16"/>
  <c r="C274" i="16"/>
  <c r="I410" i="15" a="1"/>
  <c r="I410" i="15"/>
  <c r="B275" i="16" a="1"/>
  <c r="B275" i="16"/>
  <c r="C275" i="16"/>
  <c r="I411" i="15" a="1"/>
  <c r="I411" i="15"/>
  <c r="B276" i="16" a="1"/>
  <c r="B276" i="16"/>
  <c r="C276" i="16"/>
  <c r="I412" i="15" a="1"/>
  <c r="I412" i="15"/>
  <c r="B277" i="16" a="1"/>
  <c r="B277" i="16"/>
  <c r="C277" i="16"/>
  <c r="I413" i="15" a="1"/>
  <c r="I413" i="15"/>
  <c r="B278" i="16" a="1"/>
  <c r="B278" i="16"/>
  <c r="C278" i="16"/>
  <c r="I414" i="15" a="1"/>
  <c r="I414" i="15"/>
  <c r="B279" i="16" a="1"/>
  <c r="B279" i="16"/>
  <c r="C279" i="16"/>
  <c r="I415" i="15" a="1"/>
  <c r="I415" i="15"/>
  <c r="B280" i="16" a="1"/>
  <c r="B280" i="16"/>
  <c r="C280" i="16"/>
  <c r="I416" i="15" a="1"/>
  <c r="I416" i="15"/>
  <c r="B281" i="16" a="1"/>
  <c r="B281" i="16"/>
  <c r="C281" i="16"/>
  <c r="I417" i="15" a="1"/>
  <c r="I417" i="15"/>
  <c r="B282" i="16" a="1"/>
  <c r="B282" i="16"/>
  <c r="C282" i="16"/>
  <c r="I418" i="15" a="1"/>
  <c r="I418" i="15"/>
  <c r="B283" i="16" a="1"/>
  <c r="B283" i="16"/>
  <c r="C283" i="16"/>
  <c r="I419" i="15" a="1"/>
  <c r="I419" i="15"/>
  <c r="B284" i="16" a="1"/>
  <c r="B284" i="16"/>
  <c r="C284" i="16"/>
  <c r="I420" i="15" a="1"/>
  <c r="I420" i="15"/>
  <c r="B285" i="16" a="1"/>
  <c r="B285" i="16"/>
  <c r="C285" i="16"/>
  <c r="I421" i="15" a="1"/>
  <c r="I421" i="15"/>
  <c r="B286" i="16" a="1"/>
  <c r="B286" i="16"/>
  <c r="C286" i="16"/>
  <c r="I422" i="15" a="1"/>
  <c r="I422" i="15"/>
  <c r="B287" i="16" a="1"/>
  <c r="B287" i="16"/>
  <c r="C287" i="16"/>
  <c r="I423" i="15" a="1"/>
  <c r="I423" i="15"/>
  <c r="B288" i="16" a="1"/>
  <c r="B288" i="16"/>
  <c r="C288" i="16"/>
  <c r="I424" i="15" a="1"/>
  <c r="I424" i="15"/>
  <c r="B289" i="16" a="1"/>
  <c r="B289" i="16"/>
  <c r="C289" i="16"/>
  <c r="I425" i="15" a="1"/>
  <c r="I425" i="15"/>
  <c r="B290" i="16" a="1"/>
  <c r="B290" i="16"/>
  <c r="C290" i="16"/>
  <c r="I426" i="15" a="1"/>
  <c r="I426" i="15"/>
  <c r="B291" i="16" a="1"/>
  <c r="B291" i="16"/>
  <c r="C291" i="16"/>
  <c r="I427" i="15" a="1"/>
  <c r="I427" i="15"/>
  <c r="B292" i="16" a="1"/>
  <c r="B292" i="16"/>
  <c r="C292" i="16"/>
  <c r="I428" i="15" a="1"/>
  <c r="I428" i="15"/>
  <c r="B293" i="16" a="1"/>
  <c r="B293" i="16"/>
  <c r="C293" i="16"/>
  <c r="I429" i="15" a="1"/>
  <c r="I429" i="15"/>
  <c r="B294" i="16" a="1"/>
  <c r="B294" i="16"/>
  <c r="C294" i="16"/>
  <c r="I430" i="15" a="1"/>
  <c r="I430" i="15"/>
  <c r="B295" i="16" a="1"/>
  <c r="B295" i="16"/>
  <c r="C295" i="16"/>
  <c r="I431" i="15" a="1"/>
  <c r="I431" i="15"/>
  <c r="B296" i="16" a="1"/>
  <c r="B296" i="16"/>
  <c r="C296" i="16"/>
  <c r="I432" i="15" a="1"/>
  <c r="I432" i="15"/>
  <c r="B297" i="16" a="1"/>
  <c r="B297" i="16"/>
  <c r="C297" i="16"/>
  <c r="I433" i="15" a="1"/>
  <c r="I433" i="15"/>
  <c r="B298" i="16" a="1"/>
  <c r="B298" i="16"/>
  <c r="C298" i="16"/>
  <c r="I434" i="15" a="1"/>
  <c r="I434" i="15"/>
  <c r="B299" i="16" a="1"/>
  <c r="B299" i="16"/>
  <c r="C299" i="16"/>
  <c r="I435" i="15" a="1"/>
  <c r="I435" i="15"/>
  <c r="B300" i="16" a="1"/>
  <c r="B300" i="16"/>
  <c r="C300" i="16"/>
  <c r="I436" i="15" a="1"/>
  <c r="I436" i="15"/>
  <c r="B301" i="16" a="1"/>
  <c r="B301" i="16"/>
  <c r="C301" i="16"/>
  <c r="I437" i="15" a="1"/>
  <c r="I437" i="15"/>
  <c r="B302" i="16" a="1"/>
  <c r="B302" i="16"/>
  <c r="C302" i="16"/>
  <c r="I438" i="15" a="1"/>
  <c r="I438" i="15"/>
  <c r="B303" i="16" a="1"/>
  <c r="B303" i="16"/>
  <c r="C303" i="16"/>
  <c r="I439" i="15" a="1"/>
  <c r="I439" i="15"/>
  <c r="B304" i="16" a="1"/>
  <c r="B304" i="16"/>
  <c r="C304" i="16"/>
  <c r="I440" i="15" a="1"/>
  <c r="I440" i="15"/>
  <c r="B305" i="16" a="1"/>
  <c r="B305" i="16"/>
  <c r="C305" i="16"/>
  <c r="I441" i="15" a="1"/>
  <c r="I441" i="15"/>
  <c r="B306" i="16" a="1"/>
  <c r="B306" i="16"/>
  <c r="C306" i="16"/>
  <c r="I442" i="15" a="1"/>
  <c r="I442" i="15"/>
  <c r="B307" i="16" a="1"/>
  <c r="B307" i="16"/>
  <c r="C307" i="16"/>
  <c r="I443" i="15" a="1"/>
  <c r="I443" i="15"/>
  <c r="B308" i="16" a="1"/>
  <c r="B308" i="16"/>
  <c r="C308" i="16"/>
  <c r="I444" i="15" a="1"/>
  <c r="I444" i="15"/>
  <c r="B309" i="16" a="1"/>
  <c r="B309" i="16"/>
  <c r="C309" i="16"/>
  <c r="I445" i="15" a="1"/>
  <c r="I445" i="15"/>
  <c r="B310" i="16" a="1"/>
  <c r="B310" i="16"/>
  <c r="C310" i="16"/>
  <c r="I446" i="15" a="1"/>
  <c r="I446" i="15"/>
  <c r="B311" i="16" a="1"/>
  <c r="B311" i="16"/>
  <c r="C311" i="16"/>
  <c r="I447" i="15" a="1"/>
  <c r="I447" i="15"/>
  <c r="B312" i="16" a="1"/>
  <c r="B312" i="16"/>
  <c r="C312" i="16"/>
  <c r="I448" i="15" a="1"/>
  <c r="I448" i="15"/>
  <c r="B313" i="16" a="1"/>
  <c r="B313" i="16"/>
  <c r="C313" i="16"/>
  <c r="I449" i="15" a="1"/>
  <c r="I449" i="15"/>
  <c r="B314" i="16" a="1"/>
  <c r="B314" i="16"/>
  <c r="C314" i="16"/>
  <c r="I450" i="15" a="1"/>
  <c r="I450" i="15"/>
  <c r="B315" i="16" a="1"/>
  <c r="B315" i="16"/>
  <c r="C315" i="16"/>
  <c r="I451" i="15" a="1"/>
  <c r="I451" i="15"/>
  <c r="B316" i="16" a="1"/>
  <c r="B316" i="16"/>
  <c r="C316" i="16"/>
  <c r="I452" i="15" a="1"/>
  <c r="I452" i="15"/>
  <c r="B317" i="16" a="1"/>
  <c r="B317" i="16"/>
  <c r="C317" i="16"/>
  <c r="I453" i="15" a="1"/>
  <c r="I453" i="15"/>
  <c r="B318" i="16" a="1"/>
  <c r="B318" i="16"/>
  <c r="C318" i="16"/>
  <c r="I454" i="15" a="1"/>
  <c r="I454" i="15"/>
  <c r="B319" i="16" a="1"/>
  <c r="B319" i="16"/>
  <c r="C319" i="16"/>
  <c r="I455" i="15" a="1"/>
  <c r="I455" i="15"/>
  <c r="B320" i="16" a="1"/>
  <c r="B320" i="16"/>
  <c r="C320" i="16"/>
  <c r="I456" i="15" a="1"/>
  <c r="I456" i="15"/>
  <c r="B321" i="16" a="1"/>
  <c r="B321" i="16"/>
  <c r="C321" i="16"/>
  <c r="I457" i="15" a="1"/>
  <c r="I457" i="15"/>
  <c r="B322" i="16" a="1"/>
  <c r="B322" i="16"/>
  <c r="C322" i="16"/>
  <c r="B323" i="16" a="1"/>
  <c r="B323" i="16"/>
  <c r="C323" i="16"/>
  <c r="I28" i="15" a="1"/>
  <c r="I28" i="15"/>
  <c r="B324" i="16" a="1"/>
  <c r="B324" i="16"/>
  <c r="C324" i="16"/>
  <c r="I29" i="15" a="1"/>
  <c r="I29" i="15"/>
  <c r="B325" i="16" a="1"/>
  <c r="B325" i="16"/>
  <c r="C325" i="16"/>
  <c r="I30" i="15" a="1"/>
  <c r="I30" i="15"/>
  <c r="B326" i="16" a="1"/>
  <c r="B326" i="16"/>
  <c r="C326" i="16"/>
  <c r="I33" i="15" a="1"/>
  <c r="I33" i="15"/>
  <c r="B327" i="16" a="1"/>
  <c r="B327" i="16"/>
  <c r="C327" i="16"/>
  <c r="I43" i="15" a="1"/>
  <c r="I43" i="15"/>
  <c r="B328" i="16" a="1"/>
  <c r="B328" i="16"/>
  <c r="C328" i="16"/>
  <c r="I59" i="15" a="1"/>
  <c r="I59" i="15"/>
  <c r="B329" i="16" a="1"/>
  <c r="B329" i="16"/>
  <c r="C329" i="16"/>
  <c r="I60" i="15" a="1"/>
  <c r="I60" i="15"/>
  <c r="B330" i="16" a="1"/>
  <c r="B330" i="16"/>
  <c r="C330" i="16"/>
  <c r="I61" i="15" a="1"/>
  <c r="I61" i="15"/>
  <c r="B331" i="16" a="1"/>
  <c r="B331" i="16"/>
  <c r="C331" i="16"/>
  <c r="I62" i="15" a="1"/>
  <c r="I62" i="15"/>
  <c r="B332" i="16" a="1"/>
  <c r="B332" i="16"/>
  <c r="C332" i="16"/>
  <c r="I63" i="15" a="1"/>
  <c r="I63" i="15"/>
  <c r="B333" i="16" a="1"/>
  <c r="B333" i="16"/>
  <c r="C333" i="16"/>
  <c r="I64" i="15" a="1"/>
  <c r="I64" i="15"/>
  <c r="B334" i="16" a="1"/>
  <c r="B334" i="16"/>
  <c r="C334" i="16"/>
  <c r="I66" i="15" a="1"/>
  <c r="I66" i="15"/>
  <c r="B335" i="16" a="1"/>
  <c r="B335" i="16"/>
  <c r="C335" i="16"/>
  <c r="I67" i="15" a="1"/>
  <c r="I67" i="15"/>
  <c r="B336" i="16" a="1"/>
  <c r="B336" i="16"/>
  <c r="C336" i="16"/>
  <c r="I68" i="15" a="1"/>
  <c r="I68" i="15"/>
  <c r="B337" i="16" a="1"/>
  <c r="B337" i="16"/>
  <c r="C337" i="16"/>
  <c r="I69" i="15" a="1"/>
  <c r="I69" i="15"/>
  <c r="B338" i="16" a="1"/>
  <c r="B338" i="16"/>
  <c r="C338" i="16"/>
  <c r="I70" i="15" a="1"/>
  <c r="I70" i="15"/>
  <c r="B339" i="16" a="1"/>
  <c r="B339" i="16"/>
  <c r="C339" i="16"/>
  <c r="I71" i="15" a="1"/>
  <c r="I71" i="15"/>
  <c r="B340" i="16" a="1"/>
  <c r="B340" i="16"/>
  <c r="C340" i="16"/>
  <c r="I72" i="15" a="1"/>
  <c r="I72" i="15"/>
  <c r="B341" i="16" a="1"/>
  <c r="B341" i="16"/>
  <c r="C341" i="16"/>
  <c r="I73" i="15" a="1"/>
  <c r="I73" i="15"/>
  <c r="B342" i="16" a="1"/>
  <c r="B342" i="16"/>
  <c r="C342" i="16"/>
  <c r="I74" i="15" a="1"/>
  <c r="I74" i="15"/>
  <c r="B343" i="16" a="1"/>
  <c r="B343" i="16"/>
  <c r="C343" i="16"/>
  <c r="I75" i="15" a="1"/>
  <c r="I75" i="15"/>
  <c r="B344" i="16" a="1"/>
  <c r="B344" i="16"/>
  <c r="C344" i="16"/>
  <c r="I76" i="15" a="1"/>
  <c r="I76" i="15"/>
  <c r="B345" i="16" a="1"/>
  <c r="B345" i="16"/>
  <c r="C345" i="16"/>
  <c r="I77" i="15" a="1"/>
  <c r="I77" i="15"/>
  <c r="B346" i="16" a="1"/>
  <c r="B346" i="16"/>
  <c r="C346" i="16"/>
  <c r="I78" i="15" a="1"/>
  <c r="I78" i="15"/>
  <c r="B347" i="16" a="1"/>
  <c r="B347" i="16"/>
  <c r="C347" i="16"/>
  <c r="I79" i="15" a="1"/>
  <c r="I79" i="15"/>
  <c r="B348" i="16" a="1"/>
  <c r="B348" i="16"/>
  <c r="C348" i="16"/>
  <c r="I80" i="15" a="1"/>
  <c r="I80" i="15"/>
  <c r="B349" i="16" a="1"/>
  <c r="B349" i="16"/>
  <c r="C349" i="16"/>
  <c r="I81" i="15" a="1"/>
  <c r="I81" i="15"/>
  <c r="B350" i="16" a="1"/>
  <c r="B350" i="16"/>
  <c r="C350" i="16"/>
  <c r="I82" i="15" a="1"/>
  <c r="I82" i="15"/>
  <c r="B351" i="16" a="1"/>
  <c r="B351" i="16"/>
  <c r="C351" i="16"/>
  <c r="I83" i="15" a="1"/>
  <c r="I83" i="15"/>
  <c r="B352" i="16" a="1"/>
  <c r="B352" i="16"/>
  <c r="C352" i="16"/>
  <c r="I84" i="15" a="1"/>
  <c r="I84" i="15"/>
  <c r="B353" i="16" a="1"/>
  <c r="B353" i="16"/>
  <c r="C353" i="16"/>
  <c r="I85" i="15" a="1"/>
  <c r="I85" i="15"/>
  <c r="B354" i="16" a="1"/>
  <c r="B354" i="16"/>
  <c r="C354" i="16"/>
  <c r="I86" i="15" a="1"/>
  <c r="I86" i="15"/>
  <c r="B355" i="16" a="1"/>
  <c r="B355" i="16"/>
  <c r="C355" i="16"/>
  <c r="I87" i="15" a="1"/>
  <c r="I87" i="15"/>
  <c r="B356" i="16" a="1"/>
  <c r="B356" i="16"/>
  <c r="C356" i="16"/>
  <c r="I88" i="15" a="1"/>
  <c r="I88" i="15"/>
  <c r="B357" i="16" a="1"/>
  <c r="B357" i="16"/>
  <c r="C357" i="16"/>
  <c r="I89" i="15" a="1"/>
  <c r="I89" i="15"/>
  <c r="B358" i="16" a="1"/>
  <c r="B358" i="16"/>
  <c r="C358" i="16"/>
  <c r="I96" i="15" a="1"/>
  <c r="I96" i="15"/>
  <c r="B359" i="16" a="1"/>
  <c r="B359" i="16"/>
  <c r="C359" i="16"/>
  <c r="I97" i="15" a="1"/>
  <c r="I97" i="15"/>
  <c r="I90" i="15" a="1"/>
  <c r="I90" i="15"/>
  <c r="B360" i="16" a="1"/>
  <c r="B360" i="16"/>
  <c r="C360" i="16"/>
  <c r="I98" i="15" a="1"/>
  <c r="I98" i="15"/>
  <c r="B361" i="16" a="1"/>
  <c r="B361" i="16"/>
  <c r="C361" i="16"/>
  <c r="I99" i="15" a="1"/>
  <c r="I99" i="15"/>
  <c r="I92" i="15" a="1"/>
  <c r="I92" i="15"/>
  <c r="B362" i="16" a="1"/>
  <c r="B362" i="16"/>
  <c r="C362" i="16"/>
  <c r="I100" i="15" a="1"/>
  <c r="I100" i="15"/>
  <c r="I93" i="15" a="1"/>
  <c r="I93" i="15"/>
  <c r="B363" i="16" a="1"/>
  <c r="B363" i="16"/>
  <c r="C363" i="16"/>
  <c r="I105" i="15" a="1"/>
  <c r="I105" i="15"/>
  <c r="B364" i="16" a="1"/>
  <c r="B364" i="16"/>
  <c r="C364" i="16"/>
  <c r="I106" i="15" a="1"/>
  <c r="I106" i="15"/>
  <c r="B365" i="16" a="1"/>
  <c r="B365" i="16"/>
  <c r="C365" i="16"/>
  <c r="I107" i="15" a="1"/>
  <c r="I107" i="15"/>
  <c r="B366" i="16" a="1"/>
  <c r="B366" i="16"/>
  <c r="C366" i="16"/>
  <c r="I108" i="15" a="1"/>
  <c r="I108" i="15"/>
  <c r="B367" i="16" a="1"/>
  <c r="B367" i="16"/>
  <c r="C367" i="16"/>
  <c r="I109" i="15" a="1"/>
  <c r="I109" i="15"/>
  <c r="I101" i="15" a="1"/>
  <c r="I101" i="15"/>
  <c r="B368" i="16" a="1"/>
  <c r="B368" i="16"/>
  <c r="C368" i="16"/>
  <c r="I110" i="15" a="1"/>
  <c r="I110" i="15"/>
  <c r="B369" i="16" a="1"/>
  <c r="B369" i="16"/>
  <c r="C369" i="16"/>
  <c r="I111" i="15" a="1"/>
  <c r="I111" i="15"/>
  <c r="B370" i="16" a="1"/>
  <c r="B370" i="16"/>
  <c r="C370" i="16"/>
  <c r="I112" i="15" a="1"/>
  <c r="I112" i="15"/>
  <c r="B371" i="16" a="1"/>
  <c r="B371" i="16"/>
  <c r="C371" i="16"/>
  <c r="I113" i="15" a="1"/>
  <c r="I113" i="15"/>
  <c r="B372" i="16" a="1"/>
  <c r="B372" i="16"/>
  <c r="C372" i="16"/>
  <c r="I114" i="15" a="1"/>
  <c r="I114" i="15"/>
  <c r="B373" i="16" a="1"/>
  <c r="B373" i="16"/>
  <c r="C373" i="16"/>
  <c r="I115" i="15" a="1"/>
  <c r="I115" i="15"/>
  <c r="B374" i="16" a="1"/>
  <c r="B374" i="16"/>
  <c r="C374" i="16"/>
  <c r="I116" i="15" a="1"/>
  <c r="I116" i="15"/>
  <c r="B375" i="16" a="1"/>
  <c r="B375" i="16"/>
  <c r="C375" i="16"/>
  <c r="I117" i="15" a="1"/>
  <c r="I117" i="15"/>
  <c r="B376" i="16" a="1"/>
  <c r="B376" i="16"/>
  <c r="C376" i="16"/>
  <c r="I118" i="15" a="1"/>
  <c r="I118" i="15"/>
  <c r="B377" i="16" a="1"/>
  <c r="B377" i="16"/>
  <c r="C377" i="16"/>
  <c r="I119" i="15" a="1"/>
  <c r="I119" i="15"/>
  <c r="B378" i="16" a="1"/>
  <c r="B378" i="16"/>
  <c r="C378" i="16"/>
  <c r="I120" i="15" a="1"/>
  <c r="I120" i="15"/>
  <c r="B379" i="16" a="1"/>
  <c r="B379" i="16"/>
  <c r="C379" i="16"/>
  <c r="I121" i="15" a="1"/>
  <c r="I121" i="15"/>
  <c r="B380" i="16" a="1"/>
  <c r="B380" i="16"/>
  <c r="C380" i="16"/>
  <c r="I122" i="15" a="1"/>
  <c r="I122" i="15"/>
  <c r="B381" i="16" a="1"/>
  <c r="B381" i="16"/>
  <c r="C381" i="16"/>
  <c r="I123" i="15" a="1"/>
  <c r="I123" i="15"/>
  <c r="B382" i="16" a="1"/>
  <c r="B382" i="16"/>
  <c r="C382" i="16"/>
  <c r="I124" i="15" a="1"/>
  <c r="I124" i="15"/>
  <c r="B383" i="16" a="1"/>
  <c r="B383" i="16"/>
  <c r="C383" i="16"/>
  <c r="I125" i="15" a="1"/>
  <c r="I125" i="15"/>
  <c r="B384" i="16" a="1"/>
  <c r="B384" i="16"/>
  <c r="C384" i="16"/>
  <c r="I126" i="15" a="1"/>
  <c r="I126" i="15"/>
  <c r="B385" i="16" a="1"/>
  <c r="B385" i="16"/>
  <c r="C385" i="16"/>
  <c r="I127" i="15" a="1"/>
  <c r="I127" i="15"/>
  <c r="B386" i="16" a="1"/>
  <c r="B386" i="16"/>
  <c r="C386" i="16"/>
  <c r="I128" i="15" a="1"/>
  <c r="I128" i="15"/>
  <c r="B387" i="16" a="1"/>
  <c r="B387" i="16"/>
  <c r="C387" i="16"/>
  <c r="I129" i="15" a="1"/>
  <c r="I129" i="15"/>
  <c r="B388" i="16" a="1"/>
  <c r="B388" i="16"/>
  <c r="C388" i="16"/>
  <c r="I130" i="15" a="1"/>
  <c r="I130" i="15"/>
  <c r="B389" i="16" a="1"/>
  <c r="B389" i="16"/>
  <c r="C389" i="16"/>
  <c r="I131" i="15" a="1"/>
  <c r="I131" i="15"/>
  <c r="B390" i="16" a="1"/>
  <c r="B390" i="16"/>
  <c r="C390" i="16"/>
  <c r="I132" i="15" a="1"/>
  <c r="I132" i="15"/>
  <c r="B391" i="16" a="1"/>
  <c r="B391" i="16"/>
  <c r="C391" i="16"/>
  <c r="I134" i="15" a="1"/>
  <c r="I134" i="15"/>
  <c r="B392" i="16" a="1"/>
  <c r="B392" i="16"/>
  <c r="C392" i="16"/>
  <c r="I135" i="15" a="1"/>
  <c r="I135" i="15"/>
  <c r="B393" i="16" a="1"/>
  <c r="B393" i="16"/>
  <c r="C393" i="16"/>
  <c r="I136" i="15" a="1"/>
  <c r="I136" i="15"/>
  <c r="B394" i="16" a="1"/>
  <c r="B394" i="16"/>
  <c r="C394" i="16"/>
  <c r="I137" i="15" a="1"/>
  <c r="I137" i="15"/>
  <c r="B395" i="16" a="1"/>
  <c r="B395" i="16"/>
  <c r="C395" i="16"/>
  <c r="I138" i="15" a="1"/>
  <c r="I138" i="15"/>
  <c r="B396" i="16" a="1"/>
  <c r="B396" i="16"/>
  <c r="C396" i="16"/>
  <c r="I139" i="15" a="1"/>
  <c r="I139" i="15"/>
  <c r="B397" i="16" a="1"/>
  <c r="B397" i="16"/>
  <c r="C397" i="16"/>
  <c r="I140" i="15" a="1"/>
  <c r="I140" i="15"/>
  <c r="B398" i="16" a="1"/>
  <c r="B398" i="16"/>
  <c r="C398" i="16"/>
  <c r="I141" i="15" a="1"/>
  <c r="I141" i="15"/>
  <c r="B399" i="16" a="1"/>
  <c r="B399" i="16"/>
  <c r="C399" i="16"/>
  <c r="I142" i="15" a="1"/>
  <c r="I142" i="15"/>
  <c r="B400" i="16" a="1"/>
  <c r="B400" i="16"/>
  <c r="C400" i="16"/>
  <c r="I143" i="15" a="1"/>
  <c r="I143" i="15"/>
  <c r="B401" i="16" a="1"/>
  <c r="B401" i="16"/>
  <c r="C401" i="16"/>
  <c r="I144" i="15" a="1"/>
  <c r="I144" i="15"/>
  <c r="B402" i="16" a="1"/>
  <c r="B402" i="16"/>
  <c r="C402" i="16"/>
  <c r="I145" i="15" a="1"/>
  <c r="I145" i="15"/>
  <c r="B403" i="16" a="1"/>
  <c r="B403" i="16"/>
  <c r="C403" i="16"/>
  <c r="I146" i="15" a="1"/>
  <c r="I146" i="15"/>
  <c r="B404" i="16" a="1"/>
  <c r="B404" i="16"/>
  <c r="C404" i="16"/>
  <c r="I147" i="15" a="1"/>
  <c r="I147" i="15"/>
  <c r="B405" i="16" a="1"/>
  <c r="B405" i="16"/>
  <c r="C405" i="16"/>
  <c r="I149" i="15" a="1"/>
  <c r="I149" i="15"/>
  <c r="B406" i="16" a="1"/>
  <c r="B406" i="16"/>
  <c r="C406" i="16"/>
  <c r="I150" i="15" a="1"/>
  <c r="I150" i="15"/>
  <c r="B407" i="16" a="1"/>
  <c r="B407" i="16"/>
  <c r="C407" i="16"/>
  <c r="I151" i="15" a="1"/>
  <c r="I151" i="15"/>
  <c r="B408" i="16" a="1"/>
  <c r="B408" i="16"/>
  <c r="C408" i="16"/>
  <c r="I152" i="15" a="1"/>
  <c r="I152" i="15"/>
  <c r="B409" i="16" a="1"/>
  <c r="B409" i="16"/>
  <c r="C409" i="16"/>
  <c r="I153" i="15" a="1"/>
  <c r="I153" i="15"/>
  <c r="B410" i="16" a="1"/>
  <c r="B410" i="16"/>
  <c r="C410" i="16"/>
  <c r="I154" i="15" a="1"/>
  <c r="I154" i="15"/>
  <c r="B411" i="16" a="1"/>
  <c r="B411" i="16"/>
  <c r="C411" i="16"/>
  <c r="I155" i="15" a="1"/>
  <c r="I155" i="15"/>
  <c r="B412" i="16" a="1"/>
  <c r="B412" i="16"/>
  <c r="C412" i="16"/>
  <c r="I156" i="15" a="1"/>
  <c r="I156" i="15"/>
  <c r="B413" i="16" a="1"/>
  <c r="B413" i="16"/>
  <c r="C413" i="16"/>
  <c r="I157" i="15" a="1"/>
  <c r="I157" i="15"/>
  <c r="B414" i="16" a="1"/>
  <c r="B414" i="16"/>
  <c r="C414" i="16"/>
  <c r="I158" i="15" a="1"/>
  <c r="I158" i="15"/>
  <c r="B415" i="16" a="1"/>
  <c r="B415" i="16"/>
  <c r="C415" i="16"/>
  <c r="I159" i="15" a="1"/>
  <c r="I159" i="15"/>
  <c r="B416" i="16" a="1"/>
  <c r="B416" i="16"/>
  <c r="C416" i="16"/>
  <c r="I160" i="15" a="1"/>
  <c r="I160" i="15"/>
  <c r="B417" i="16" a="1"/>
  <c r="B417" i="16"/>
  <c r="C417" i="16"/>
  <c r="I161" i="15" a="1"/>
  <c r="I161" i="15"/>
  <c r="B418" i="16" a="1"/>
  <c r="B418" i="16"/>
  <c r="C418" i="16"/>
  <c r="I162" i="15" a="1"/>
  <c r="I162" i="15"/>
  <c r="B419" i="16" a="1"/>
  <c r="B419" i="16"/>
  <c r="C419" i="16"/>
  <c r="I163" i="15" a="1"/>
  <c r="I163" i="15"/>
  <c r="B420" i="16" a="1"/>
  <c r="B420" i="16"/>
  <c r="C420" i="16"/>
  <c r="I164" i="15" a="1"/>
  <c r="I164" i="15"/>
  <c r="B421" i="16" a="1"/>
  <c r="B421" i="16"/>
  <c r="C421" i="16"/>
  <c r="I165" i="15" a="1"/>
  <c r="I165" i="15"/>
  <c r="B422" i="16" a="1"/>
  <c r="B422" i="16"/>
  <c r="C422" i="16"/>
  <c r="I174" i="15" a="1"/>
  <c r="I174" i="15"/>
  <c r="B423" i="16" a="1"/>
  <c r="B423" i="16"/>
  <c r="C423" i="16"/>
  <c r="I178" i="15" a="1"/>
  <c r="I178" i="15"/>
  <c r="B424" i="16" a="1"/>
  <c r="B424" i="16"/>
  <c r="C424" i="16"/>
  <c r="I179" i="15" a="1"/>
  <c r="I179" i="15"/>
  <c r="B425" i="16" a="1"/>
  <c r="B425" i="16"/>
  <c r="C425" i="16"/>
  <c r="I180" i="15" a="1"/>
  <c r="I180" i="15"/>
  <c r="B426" i="16" a="1"/>
  <c r="B426" i="16"/>
  <c r="C426" i="16"/>
  <c r="I181" i="15" a="1"/>
  <c r="I181" i="15"/>
  <c r="B427" i="16" a="1"/>
  <c r="B427" i="16"/>
  <c r="C427" i="16"/>
  <c r="I182" i="15" a="1"/>
  <c r="I182" i="15"/>
  <c r="B428" i="16" a="1"/>
  <c r="B428" i="16"/>
  <c r="C428" i="16"/>
  <c r="I183" i="15" a="1"/>
  <c r="I183" i="15"/>
  <c r="B429" i="16" a="1"/>
  <c r="B429" i="16"/>
  <c r="C429" i="16"/>
  <c r="I184" i="15" a="1"/>
  <c r="I184" i="15"/>
  <c r="B430" i="16" a="1"/>
  <c r="B430" i="16"/>
  <c r="C430" i="16"/>
  <c r="I185" i="15" a="1"/>
  <c r="I185" i="15"/>
  <c r="B431" i="16" a="1"/>
  <c r="B431" i="16"/>
  <c r="C431" i="16"/>
  <c r="I186" i="15" a="1"/>
  <c r="I186" i="15"/>
  <c r="B432" i="16" a="1"/>
  <c r="B432" i="16"/>
  <c r="C432" i="16"/>
  <c r="I187" i="15" a="1"/>
  <c r="I187" i="15"/>
  <c r="B8" i="16" a="1"/>
  <c r="B8" i="16"/>
  <c r="C8" i="16"/>
  <c r="I13" i="15" a="1"/>
  <c r="I13" i="15"/>
  <c r="B9" i="16" a="1"/>
  <c r="B9" i="16"/>
  <c r="C9" i="16"/>
  <c r="I14" i="15" a="1"/>
  <c r="I14" i="15"/>
  <c r="B10" i="16" a="1"/>
  <c r="B10" i="16"/>
  <c r="C10" i="16"/>
  <c r="I15" i="15" a="1"/>
  <c r="I15" i="15"/>
  <c r="B11" i="16" a="1"/>
  <c r="B11" i="16"/>
  <c r="C11" i="16"/>
  <c r="I16" i="15" a="1"/>
  <c r="I16" i="15"/>
  <c r="B12" i="16" a="1"/>
  <c r="B12" i="16"/>
  <c r="C12" i="16"/>
  <c r="I17" i="15" a="1"/>
  <c r="I17" i="15"/>
  <c r="B13" i="16" a="1"/>
  <c r="B13" i="16"/>
  <c r="C13" i="16"/>
  <c r="I18" i="15" a="1"/>
  <c r="I18" i="15"/>
  <c r="B14" i="16" a="1"/>
  <c r="B14" i="16"/>
  <c r="C14" i="16"/>
  <c r="I19" i="15" a="1"/>
  <c r="I19" i="15"/>
  <c r="B6" i="16" a="1"/>
  <c r="B6" i="16"/>
  <c r="C6" i="16"/>
  <c r="I11" i="15" a="1"/>
  <c r="I11" i="15"/>
  <c r="I10" i="15" a="1"/>
  <c r="I10" i="15"/>
  <c r="B7" i="16" a="1"/>
  <c r="B7" i="16"/>
  <c r="C7" i="16"/>
  <c r="I12" i="15" a="1"/>
  <c r="I12" i="15"/>
  <c r="K30" i="12"/>
  <c r="G22" i="12" a="1"/>
  <c r="G22" i="12"/>
  <c r="E23" i="12"/>
  <c r="G23" i="12" a="1"/>
  <c r="G23" i="12"/>
  <c r="E24" i="12"/>
  <c r="G24" i="12" a="1"/>
  <c r="G24" i="12"/>
  <c r="E25" i="12"/>
  <c r="G25" i="12" a="1"/>
  <c r="G25" i="12"/>
  <c r="E26" i="12"/>
  <c r="G26" i="12" a="1"/>
  <c r="G26" i="12"/>
  <c r="M14" i="12"/>
  <c r="I200" i="15"/>
  <c r="I148" i="15" a="1"/>
  <c r="I148" i="15"/>
  <c r="I199" i="15" a="1"/>
  <c r="I199" i="15"/>
  <c r="I194" i="15" a="1"/>
  <c r="I194" i="15"/>
  <c r="I50" i="15" a="1"/>
  <c r="I50" i="15"/>
  <c r="I45" i="15" a="1"/>
  <c r="I45" i="15"/>
  <c r="I34" i="15" a="1"/>
  <c r="I34" i="15"/>
  <c r="I25" i="15" a="1"/>
  <c r="I25" i="15"/>
  <c r="I481" i="15"/>
  <c r="I466" i="15" a="1"/>
  <c r="I466" i="15"/>
  <c r="I133" i="15" a="1"/>
  <c r="I133" i="15"/>
  <c r="I196" i="15" a="1"/>
  <c r="I196" i="15"/>
  <c r="I57" i="15" a="1"/>
  <c r="I57" i="15"/>
  <c r="I52" i="15" a="1"/>
  <c r="I52" i="15"/>
  <c r="I325" i="15" a="1"/>
  <c r="I325" i="15"/>
  <c r="I320" i="15" a="1"/>
  <c r="I320" i="15"/>
  <c r="I315" i="15" a="1"/>
  <c r="I315" i="15"/>
  <c r="I310" i="15" a="1"/>
  <c r="I310" i="15"/>
  <c r="I47" i="15" a="1"/>
  <c r="I47" i="15"/>
  <c r="I41" i="15" a="1"/>
  <c r="I41" i="15"/>
  <c r="I36" i="15" a="1"/>
  <c r="I36" i="15"/>
  <c r="I22" i="15" a="1"/>
  <c r="I22" i="15"/>
  <c r="I275" i="15" a="1"/>
  <c r="I275" i="15"/>
  <c r="I270" i="15" a="1"/>
  <c r="I270" i="15"/>
  <c r="I265" i="15" a="1"/>
  <c r="I265" i="15"/>
  <c r="I260" i="15" a="1"/>
  <c r="I260" i="15"/>
  <c r="I255" i="15" a="1"/>
  <c r="I255" i="15"/>
  <c r="I462" i="15" a="1"/>
  <c r="I462" i="15"/>
  <c r="I261" i="15" a="1"/>
  <c r="I261" i="15"/>
  <c r="I216" i="15" a="1"/>
  <c r="I216" i="15"/>
  <c r="I201" i="15" a="1"/>
  <c r="I201" i="15"/>
  <c r="I473" i="15" a="1"/>
  <c r="I473" i="15"/>
  <c r="I463" i="15" a="1"/>
  <c r="I463" i="15"/>
  <c r="I458" i="15" a="1"/>
  <c r="I458" i="15"/>
  <c r="I250" i="15" a="1"/>
  <c r="I250" i="15"/>
  <c r="I240" i="15" a="1"/>
  <c r="I240" i="15"/>
  <c r="I230" i="15" a="1"/>
  <c r="I230" i="15"/>
  <c r="I225" i="15" a="1"/>
  <c r="I225" i="15"/>
  <c r="I220" i="15" a="1"/>
  <c r="I220" i="15"/>
  <c r="I210" i="15" a="1"/>
  <c r="I210" i="15"/>
  <c r="I205" i="15" a="1"/>
  <c r="I205" i="15"/>
  <c r="I51" i="15" a="1"/>
  <c r="I51" i="15"/>
  <c r="I46" i="15" a="1"/>
  <c r="I46" i="15"/>
  <c r="I40" i="15" a="1"/>
  <c r="I40" i="15"/>
  <c r="I35" i="15" a="1"/>
  <c r="I35" i="15"/>
  <c r="I26" i="15" a="1"/>
  <c r="I26" i="15"/>
  <c r="I21" i="15" a="1"/>
  <c r="I21" i="15"/>
  <c r="I475" i="15" a="1"/>
  <c r="I475" i="15"/>
  <c r="I470" i="15" a="1"/>
  <c r="I470" i="15"/>
  <c r="I460" i="15" a="1"/>
  <c r="I460" i="15"/>
  <c r="I342" i="15" a="1"/>
  <c r="I342" i="15"/>
  <c r="I327" i="15" a="1"/>
  <c r="I327" i="15"/>
  <c r="I322" i="15" a="1"/>
  <c r="I322" i="15"/>
  <c r="I312" i="15" a="1"/>
  <c r="I312" i="15"/>
  <c r="I302" i="15" a="1"/>
  <c r="I302" i="15"/>
  <c r="I297" i="15" a="1"/>
  <c r="I297" i="15"/>
  <c r="I292" i="15" a="1"/>
  <c r="I292" i="15"/>
  <c r="I282" i="15" a="1"/>
  <c r="I282" i="15"/>
  <c r="I262" i="15" a="1"/>
  <c r="I262" i="15"/>
  <c r="I252" i="15" a="1"/>
  <c r="I252" i="15"/>
  <c r="I237" i="15" a="1"/>
  <c r="I237" i="15"/>
  <c r="I227" i="15" a="1"/>
  <c r="I227" i="15"/>
  <c r="I222" i="15" a="1"/>
  <c r="I222" i="15"/>
  <c r="I217" i="15" a="1"/>
  <c r="I217" i="15"/>
  <c r="I212" i="15" a="1"/>
  <c r="I212" i="15"/>
  <c r="I207" i="15" a="1"/>
  <c r="I207" i="15"/>
  <c r="I197" i="15" a="1"/>
  <c r="I197" i="15"/>
  <c r="I191" i="15" a="1"/>
  <c r="I191" i="15"/>
  <c r="I469" i="15" a="1"/>
  <c r="I469" i="15"/>
  <c r="I459" i="15" a="1"/>
  <c r="I459" i="15"/>
  <c r="I389" i="15" a="1"/>
  <c r="I389" i="15"/>
  <c r="I359" i="15" a="1"/>
  <c r="I359" i="15"/>
  <c r="I349" i="15" a="1"/>
  <c r="I349" i="15"/>
  <c r="I344" i="15" a="1"/>
  <c r="I344" i="15"/>
  <c r="I304" i="15" a="1"/>
  <c r="I304" i="15"/>
  <c r="I294" i="15" a="1"/>
  <c r="I294" i="15"/>
  <c r="I289" i="15" a="1"/>
  <c r="I289" i="15"/>
  <c r="I279" i="15" a="1"/>
  <c r="I279" i="15"/>
  <c r="I264" i="15" a="1"/>
  <c r="I264" i="15"/>
  <c r="I254" i="15" a="1"/>
  <c r="I254" i="15"/>
  <c r="I244" i="15" a="1"/>
  <c r="I244" i="15"/>
  <c r="I239" i="15" a="1"/>
  <c r="I239" i="15"/>
  <c r="I229" i="15" a="1"/>
  <c r="I229" i="15"/>
  <c r="I224" i="15" a="1"/>
  <c r="I224" i="15"/>
  <c r="I214" i="15" a="1"/>
  <c r="I214" i="15"/>
  <c r="I209" i="15" a="1"/>
  <c r="I209" i="15"/>
  <c r="I204" i="15" a="1"/>
  <c r="I204" i="15"/>
  <c r="I188" i="15"/>
  <c r="I471" i="15" a="1"/>
  <c r="I471" i="15"/>
  <c r="I104" i="15" a="1"/>
  <c r="I104" i="15"/>
  <c r="I333" i="15" a="1"/>
  <c r="I333" i="15"/>
  <c r="I323" i="15" a="1"/>
  <c r="I323" i="15"/>
  <c r="I303" i="15" a="1"/>
  <c r="I303" i="15"/>
  <c r="I293" i="15" a="1"/>
  <c r="I293" i="15"/>
  <c r="I268" i="15" a="1"/>
  <c r="I268" i="15"/>
  <c r="I263" i="15" a="1"/>
  <c r="I263" i="15"/>
  <c r="I253" i="15" a="1"/>
  <c r="I253" i="15"/>
  <c r="I248" i="15" a="1"/>
  <c r="I248" i="15"/>
  <c r="I238" i="15" a="1"/>
  <c r="I238" i="15"/>
  <c r="I233" i="15" a="1"/>
  <c r="I233" i="15"/>
  <c r="I228" i="15" a="1"/>
  <c r="I228" i="15"/>
  <c r="I223" i="15" a="1"/>
  <c r="I223" i="15"/>
  <c r="I213" i="15"/>
  <c r="I208" i="15" a="1"/>
  <c r="I208" i="15"/>
  <c r="I203" i="15" a="1"/>
  <c r="I203" i="15"/>
  <c r="I198" i="15" a="1"/>
  <c r="I198" i="15"/>
  <c r="I192" i="15" a="1"/>
  <c r="I192" i="15"/>
  <c r="I44" i="15" a="1"/>
  <c r="I44" i="15"/>
  <c r="I372" i="15" a="1"/>
  <c r="I372" i="15"/>
  <c r="I362" i="15" a="1"/>
  <c r="I362" i="15"/>
  <c r="I193" i="15" a="1"/>
  <c r="I193" i="15"/>
  <c r="I37" i="15" a="1"/>
  <c r="I37" i="15"/>
  <c r="I31" i="15" a="1"/>
  <c r="I31" i="15"/>
  <c r="C535" i="16"/>
  <c r="I573" i="15" a="1"/>
  <c r="I573" i="15"/>
  <c r="C534" i="16"/>
  <c r="I572" i="15" a="1"/>
  <c r="I572" i="15"/>
  <c r="C463" i="16"/>
  <c r="I502" i="15" a="1"/>
  <c r="I502" i="15"/>
  <c r="C484" i="16"/>
  <c r="I523" i="15" a="1"/>
  <c r="I523" i="15"/>
  <c r="C489" i="16"/>
  <c r="I528" i="15" a="1"/>
  <c r="I528" i="15"/>
  <c r="C459" i="16"/>
  <c r="I498" i="15" a="1"/>
  <c r="I498" i="15"/>
  <c r="C451" i="16"/>
  <c r="I490" i="15" a="1"/>
  <c r="I490" i="15"/>
  <c r="C464" i="16"/>
  <c r="I503" i="15" a="1"/>
  <c r="I503" i="15"/>
  <c r="I495" i="15" a="1"/>
  <c r="I495" i="15"/>
  <c r="C469" i="16"/>
  <c r="I508" i="15" a="1"/>
  <c r="I508" i="15"/>
  <c r="C499" i="16"/>
  <c r="I538" i="15" a="1"/>
  <c r="I538" i="15"/>
  <c r="C524" i="16"/>
  <c r="I563" i="15" a="1"/>
  <c r="I563" i="15"/>
  <c r="C522" i="16"/>
  <c r="I561" i="15" a="1"/>
  <c r="I561" i="15"/>
  <c r="C529" i="16"/>
  <c r="I568" i="15" a="1"/>
  <c r="I568" i="15"/>
  <c r="C447" i="16"/>
  <c r="I486" i="15" a="1"/>
  <c r="I486" i="15"/>
  <c r="I478" i="15" a="1"/>
  <c r="I478" i="15"/>
  <c r="C458" i="16"/>
  <c r="I497" i="15" a="1"/>
  <c r="I497" i="15"/>
  <c r="C494" i="16"/>
  <c r="I533" i="15" a="1"/>
  <c r="I533" i="15"/>
  <c r="C479" i="16"/>
  <c r="I518" i="15" a="1"/>
  <c r="I518" i="15"/>
  <c r="C462" i="16"/>
  <c r="I501" i="15" a="1"/>
  <c r="I501" i="15"/>
  <c r="C461" i="16"/>
  <c r="I500" i="15" a="1"/>
  <c r="I500" i="15"/>
  <c r="C512" i="16"/>
  <c r="I551" i="15" a="1"/>
  <c r="I551" i="15"/>
  <c r="C502" i="16"/>
  <c r="I541" i="15" a="1"/>
  <c r="I541" i="15"/>
  <c r="C477" i="16"/>
  <c r="I516" i="15" a="1"/>
  <c r="I516" i="15"/>
  <c r="C472" i="16"/>
  <c r="I511" i="15" a="1"/>
  <c r="I511" i="15"/>
  <c r="C449" i="16"/>
  <c r="I488" i="15" a="1"/>
  <c r="I488" i="15"/>
  <c r="I480" i="15" a="1"/>
  <c r="I480" i="15"/>
  <c r="C454" i="16"/>
  <c r="I493" i="15" a="1"/>
  <c r="I493" i="15"/>
  <c r="C465" i="16"/>
  <c r="I504" i="15" a="1"/>
  <c r="I504" i="15"/>
  <c r="C526" i="16"/>
  <c r="I565" i="15" a="1"/>
  <c r="I565" i="15"/>
  <c r="I557" i="15" a="1"/>
  <c r="I557" i="15"/>
  <c r="C521" i="16"/>
  <c r="I560" i="15" a="1"/>
  <c r="I560" i="15"/>
  <c r="C516" i="16"/>
  <c r="I555" i="15" a="1"/>
  <c r="I555" i="15"/>
  <c r="C511" i="16"/>
  <c r="I550" i="15" a="1"/>
  <c r="I550" i="15"/>
  <c r="I542" i="15" a="1"/>
  <c r="I542" i="15"/>
  <c r="C506" i="16"/>
  <c r="I545" i="15" a="1"/>
  <c r="I545" i="15"/>
  <c r="C496" i="16"/>
  <c r="I535" i="15" a="1"/>
  <c r="I535" i="15"/>
  <c r="C491" i="16"/>
  <c r="I530" i="15" a="1"/>
  <c r="I530" i="15"/>
  <c r="C486" i="16"/>
  <c r="I525" i="15" a="1"/>
  <c r="I525" i="15"/>
  <c r="C481" i="16"/>
  <c r="I520" i="15" a="1"/>
  <c r="I520" i="15"/>
  <c r="I512" i="15" a="1"/>
  <c r="I512" i="15"/>
  <c r="C445" i="16"/>
  <c r="I484" i="15" a="1"/>
  <c r="I484" i="15"/>
  <c r="I476" i="15" a="1"/>
  <c r="I476" i="15"/>
  <c r="C448" i="16"/>
  <c r="I487" i="15" a="1"/>
  <c r="I487" i="15"/>
  <c r="I479" i="15" a="1"/>
  <c r="I479" i="15"/>
  <c r="C453" i="16"/>
  <c r="I492" i="15" a="1"/>
  <c r="I492" i="15"/>
  <c r="C525" i="16"/>
  <c r="I564" i="15" a="1"/>
  <c r="I564" i="15"/>
  <c r="C520" i="16"/>
  <c r="I559" i="15" a="1"/>
  <c r="I559" i="15"/>
  <c r="C515" i="16"/>
  <c r="I554" i="15" a="1"/>
  <c r="I554" i="15"/>
  <c r="C505" i="16"/>
  <c r="I544" i="15" a="1"/>
  <c r="I544" i="15"/>
  <c r="I536" i="15" a="1"/>
  <c r="I536" i="15"/>
  <c r="C500" i="16"/>
  <c r="I539" i="15" a="1"/>
  <c r="I539" i="15"/>
  <c r="C495" i="16"/>
  <c r="I534" i="15" a="1"/>
  <c r="I534" i="15"/>
  <c r="I521" i="15" a="1"/>
  <c r="I521" i="15"/>
  <c r="C485" i="16"/>
  <c r="I524" i="15" a="1"/>
  <c r="I524" i="15"/>
  <c r="C480" i="16"/>
  <c r="I519" i="15" a="1"/>
  <c r="I519" i="15"/>
  <c r="C475" i="16"/>
  <c r="I514" i="15" a="1"/>
  <c r="I514" i="15"/>
  <c r="C470" i="16"/>
  <c r="I509" i="15" a="1"/>
  <c r="I509" i="15"/>
  <c r="C530" i="16"/>
  <c r="I569" i="15" a="1"/>
  <c r="I569" i="15"/>
  <c r="C438" i="16"/>
  <c r="I170" i="15" a="1"/>
  <c r="I170" i="15"/>
  <c r="C441" i="16"/>
  <c r="I173" i="15" a="1"/>
  <c r="I173" i="15"/>
  <c r="C442" i="16"/>
  <c r="I175" i="15" a="1"/>
  <c r="I175" i="15"/>
  <c r="I167" i="15" a="1"/>
  <c r="I167" i="15"/>
  <c r="C433" i="16"/>
  <c r="I65" i="15" a="1"/>
  <c r="I65" i="15"/>
  <c r="C443" i="16"/>
  <c r="I176" i="15" a="1"/>
  <c r="I176" i="15"/>
  <c r="C434" i="16"/>
  <c r="I166" i="15" a="1"/>
  <c r="I166" i="15"/>
  <c r="I522" i="15" a="1"/>
  <c r="I522" i="15"/>
  <c r="I537" i="15" a="1"/>
  <c r="I537" i="15"/>
  <c r="I489" i="15" a="1"/>
  <c r="I489" i="15"/>
  <c r="I506" i="15" a="1"/>
  <c r="I506" i="15"/>
  <c r="I517" i="15" a="1"/>
  <c r="I517" i="15"/>
  <c r="I566" i="15" a="1"/>
  <c r="I566" i="15"/>
  <c r="I483" i="15" a="1"/>
  <c r="I483" i="15"/>
  <c r="I496" i="15" a="1"/>
  <c r="I496" i="15"/>
  <c r="I510" i="15" a="1"/>
  <c r="I510" i="15"/>
  <c r="I558" i="15" a="1"/>
  <c r="I558" i="15"/>
  <c r="I172" i="15" a="1"/>
  <c r="I172" i="15"/>
  <c r="I562" i="15" a="1"/>
  <c r="I562" i="15"/>
  <c r="I168" i="15" a="1"/>
  <c r="I168" i="15"/>
  <c r="I527" i="15" a="1"/>
  <c r="I527" i="15"/>
  <c r="I543" i="15" a="1"/>
  <c r="I543" i="15"/>
  <c r="I491" i="15" a="1"/>
  <c r="I491" i="15"/>
  <c r="I548" i="15" a="1"/>
  <c r="I548" i="15"/>
  <c r="I499" i="15" a="1"/>
  <c r="I499" i="15"/>
  <c r="I513" i="15" a="1"/>
  <c r="I513" i="15"/>
  <c r="I575" i="15" a="1"/>
  <c r="I575" i="15"/>
  <c r="G20" i="12" a="1"/>
  <c r="G20" i="12"/>
  <c r="C4" i="17" a="1"/>
  <c r="C4" i="17"/>
  <c r="C3" i="17" a="1"/>
  <c r="C3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<sst xmlns="http://schemas.openxmlformats.org/spreadsheetml/2006/main" count="11672" uniqueCount="1069">
  <si>
    <t>CAESB - Companhia de Saneamento Ambiental do Distrito Federal</t>
  </si>
  <si>
    <t>Data:</t>
  </si>
  <si>
    <t>GINPA - Gestão de Inventário Patrimonial</t>
  </si>
  <si>
    <t>Hora:</t>
  </si>
  <si>
    <t>Relatório Carga Patrimonial</t>
  </si>
  <si>
    <t>Pág:</t>
  </si>
  <si>
    <t>Parâmetros de Pesquisa:</t>
  </si>
  <si>
    <t>Matrícula do Gestor: 500518</t>
  </si>
  <si>
    <t xml:space="preserve">Lotacao: 20407000 - GERÊNCIA DO SISTEMA PRODUTOR DE ÁGUA CORUMBÁ - PPAV      </t>
  </si>
  <si>
    <t>Tombamento</t>
  </si>
  <si>
    <t>Descrição do Bem</t>
  </si>
  <si>
    <t>Matrícula</t>
  </si>
  <si>
    <t>Nome do Gestor</t>
  </si>
  <si>
    <t>Lotação</t>
  </si>
  <si>
    <t>Descrição da Lotação</t>
  </si>
  <si>
    <t>Est. Conserv.</t>
  </si>
  <si>
    <t>POLTRONA POLTRONA PARA POSTO DE TRABALHO GERENCIA</t>
  </si>
  <si>
    <t>JOSE RICARDO PEREIRA RAMOS</t>
  </si>
  <si>
    <t>GERÊNCIA DO SISTEMA PRODUTOR DE ÁGUA CORUMBÁ</t>
  </si>
  <si>
    <t>OTIMO</t>
  </si>
  <si>
    <t>POLTRONA POLTRONA PARA INTERLOCUTOR REUNIÃO</t>
  </si>
  <si>
    <t>MESA MESA REUNIÃO OVAL 12 LUGARES</t>
  </si>
  <si>
    <t>ARMÁRIO ARMARIO MEDIO</t>
  </si>
  <si>
    <t>POLTRONA POLTRONA PARA POSTO DE TRABALHO GERENCIAL</t>
  </si>
  <si>
    <t xml:space="preserve">ESTAÇÃO DE TRABALHO ESTAÇÃO PENINSULAR EM ?L? 01 LUGAR (1800X1600X730MM) </t>
  </si>
  <si>
    <t>GAVETEIRO GAVETEIRO VOLANTE 630X400X500MM</t>
  </si>
  <si>
    <t>MESA MESA RETANGULAR (1400X600MM)</t>
  </si>
  <si>
    <t>75789-001</t>
  </si>
  <si>
    <t xml:space="preserve">NOTEBOOK MAQ AUT HP PB640G8 I5-1145G7 14 16GB/512 ACOMPANHA WINDOWS 11 PR
</t>
  </si>
  <si>
    <t>RESERVATÓRIOS - DF VÁLVULA BORBOLETA DE FERRO FUNDIDO FLANGEADA COM ATUADOR ELÉTRICO ESPECIAL 
(CLASSE DE PRESSÃO: 10 KGF/CM² / DIÂMETRO DA SEÇÃO: 800 MM)</t>
  </si>
  <si>
    <t>BOM</t>
  </si>
  <si>
    <t>RESERVATÓRIOS - DF VALVULAS BORBOLETA BI EXCENTRICA, DN 2000 PN 10 C/ ATUADORES ELÉTRICOS INTELIGENTES - MARCA : VCW/VBS</t>
  </si>
  <si>
    <t>RESERVATÓRIOS - DF VALVULA BORBOLETA BI EXCENTRICA, DN 2000 PN 10 C/ ATUADORES ELÉTRICOS INTELIGENTES - MARCA : VCW/VBS</t>
  </si>
  <si>
    <t>RESERVATÓRIOS - DF VALVULAS BORBOLETA BI EXCENTRICA, DN 1200 PN 10 C/ ATUADORES ELÉTRICOS INTELIGENTES - MARCA: VCW/VBS</t>
  </si>
  <si>
    <t xml:space="preserve">RESERVATÓRIOS - DF VALVULA BORBOLETA BI EXCENTRICA, DN 1200 PN 10 C/ ATUADORES ELÉTRICOS INTELIGENTES - MARCA : VCW/VBS </t>
  </si>
  <si>
    <t>RESERVATÓRIOS - DF SISTEMA COMPLETO DE MEDIÇÃO E CONTROLE DE NÍVEL ULTRASSÔNICO (SENSOR E CONVERSOR)</t>
  </si>
  <si>
    <t>Prédio administrativo</t>
  </si>
  <si>
    <t>Guarita principal</t>
  </si>
  <si>
    <t>TAPQ</t>
  </si>
  <si>
    <t>Localização</t>
  </si>
  <si>
    <t>MOTIVO:</t>
  </si>
  <si>
    <t>Motivo</t>
  </si>
  <si>
    <t>Empréstimo</t>
  </si>
  <si>
    <t>Devolução</t>
  </si>
  <si>
    <t>Manutenção</t>
  </si>
  <si>
    <t>Transferência</t>
  </si>
  <si>
    <t>Outros</t>
  </si>
  <si>
    <t>Área:</t>
  </si>
  <si>
    <t>PMIA</t>
  </si>
  <si>
    <t>PMIM</t>
  </si>
  <si>
    <t>PMIOD</t>
  </si>
  <si>
    <t>PMIE</t>
  </si>
  <si>
    <t>Floculadores</t>
  </si>
  <si>
    <t>Flotadores</t>
  </si>
  <si>
    <t>Filtros</t>
  </si>
  <si>
    <t>Casa de química</t>
  </si>
  <si>
    <t>Sistema de cloro</t>
  </si>
  <si>
    <t>Sistema de carvão ativado</t>
  </si>
  <si>
    <t>ENDEREÇO:</t>
  </si>
  <si>
    <t>RAP - medidores de nível</t>
  </si>
  <si>
    <t>Cloro - elevatórias de injeção de cloro</t>
  </si>
  <si>
    <t>Sistema de flúor</t>
  </si>
  <si>
    <t>Cloro - sala dos evaporadores e dosadores</t>
  </si>
  <si>
    <t>EAT - sala de cubículo</t>
  </si>
  <si>
    <t>EAT - sala painel view</t>
  </si>
  <si>
    <t>Carvão - armazenamento e dosagem</t>
  </si>
  <si>
    <t>RAP - válvulas de água tratada - entrada e saída</t>
  </si>
  <si>
    <t>RAP - caixa de manobras - distribuição entre Caesb e Saneago</t>
  </si>
  <si>
    <t>SDL - dosadoras de lodo adensado e polímero</t>
  </si>
  <si>
    <t>Casa de química - armazenamento e dosagem de cal em suspensão</t>
  </si>
  <si>
    <t>TAPQ - elevatórias de água p/ lavagem de filtros</t>
  </si>
  <si>
    <t>Casa de química - preparo e dosagem de permanganato e polímero</t>
  </si>
  <si>
    <t>Flotadores - elevatórias de água de serviço</t>
  </si>
  <si>
    <t>Reservatório de água tratada</t>
  </si>
  <si>
    <t>Elevatória de água tratada</t>
  </si>
  <si>
    <t>Sistema de desidratação de lodo</t>
  </si>
  <si>
    <t>Prédio - gerência</t>
  </si>
  <si>
    <t>Prédio - laboratório</t>
  </si>
  <si>
    <t>Prédio - operação</t>
  </si>
  <si>
    <t>Prédio - automação</t>
  </si>
  <si>
    <t>Prédio - elétrica</t>
  </si>
  <si>
    <t>Prédio - secretaria</t>
  </si>
  <si>
    <t>Prédio - oficina</t>
  </si>
  <si>
    <t>Prédio - copa térreo</t>
  </si>
  <si>
    <t>Prédio - auditório</t>
  </si>
  <si>
    <t>ANEXO 3 - NR-11/2021-DS - MOVIMENTAÇÃO DE BEM PATRIMONIAL - MBP</t>
  </si>
  <si>
    <t>SISTEMA DE PATRIMÔNIO</t>
  </si>
  <si>
    <t>MOVIMENTAÇÃO DE BEM PATRIMONIAL-MBP</t>
  </si>
  <si>
    <t xml:space="preserve"> DATA:</t>
  </si>
  <si>
    <t xml:space="preserve"> EMPRÉSTIMO</t>
  </si>
  <si>
    <t>X</t>
  </si>
  <si>
    <t>MANUTENÇÃO</t>
  </si>
  <si>
    <t xml:space="preserve"> RECARGA</t>
  </si>
  <si>
    <t xml:space="preserve"> OUTROS</t>
  </si>
  <si>
    <t>ITEM</t>
  </si>
  <si>
    <t>NÚMERO DE TOMBAMENTO</t>
  </si>
  <si>
    <t>DESCRIÇÃO DO BEM</t>
  </si>
  <si>
    <t>CONDIÇÃO FÍSICA</t>
  </si>
  <si>
    <t>ÓTIMO</t>
  </si>
  <si>
    <t>REG.</t>
  </si>
  <si>
    <t>RUIM</t>
  </si>
  <si>
    <t>SAÍDA DO BEM</t>
  </si>
  <si>
    <t>CEDENTE</t>
  </si>
  <si>
    <t>RECEBEDOR/REQUISITANTE (Técnico)</t>
  </si>
  <si>
    <t>Nome:</t>
  </si>
  <si>
    <t>JOSÉ RICARDO PEREIRA RAMOS</t>
  </si>
  <si>
    <t>Matrícula:</t>
  </si>
  <si>
    <t>50.051-8</t>
  </si>
  <si>
    <t>Ass:</t>
  </si>
  <si>
    <t>DEVOLUÇÃO DO BEM</t>
  </si>
  <si>
    <t>Entregador</t>
  </si>
  <si>
    <t>RECEBEDOR (Gestor)</t>
  </si>
  <si>
    <t xml:space="preserve">Orientações quanto ao uso e preenchimento: </t>
  </si>
  <si>
    <t xml:space="preserve">O formulário deverá ser preenchido e assinado pelas partes competentes em duas vias e deverá ser apresentado tanto no momento da entrega do objeto para a unidade de manutenção, quanto na devolução do item após a conclusão do serviço. – Quando da saída do bem, as vias deverão ser entregues ao empregado encarregado do transporte do bem até o local da manutenção. O recebedor/requisitante (técnico) da unidade de manutenção deverá, de igual maneira, preencher o campo respectivo nas duas vias, sendo uma delas devolvida ao encarregado do transporte do objeto, para posterior apresentação na área de manutenção, quando concluída o seu conserto. – Quando da liberação do bem após sua manutenção, o objeto deverá ser devolvido à unidade de origem, e o entregador bem como o gestor (recebedor) do item deverão preencher os campos pertinentes no formulário nas duas vias. </t>
  </si>
  <si>
    <t>01 (uma) via do referido formulário deverá ser mantida para controle e posterior continuação do preenchimento (visto que o mesmo formulário tem preenchimento em momentos distintos – ida e volta do bem) e outra via deverá ser encaminhada à unidade gestora do bem.</t>
  </si>
  <si>
    <t>EAT - ponte rolante</t>
  </si>
  <si>
    <t>ESTAÇÃO DE RECALQUE - ÁGUA - DF CONJUNTO MOTO-BOMBA DO TIPO CENTRIFUGA HORIZONTAL. 4500 CV, 1200 RPM, 60HZ. EQUIPAMENTO INSTALADO NA EAT.VLG.001</t>
  </si>
  <si>
    <t>ESTAÇÃO DE RECALQUE - ÁGUA - DF CONJUNTO MOTO-BOMBA DO TIPO CENTRIFUGA HORIZONTAL. 4500CV, 1200RPM E 60HZ EQUIPAMENTO INSTALADO NA EAT.VLG.001</t>
  </si>
  <si>
    <t>ESTAÇÃO DE RECALQUE - ÁGUA - DF CONJUNTO MOTO-BOMBA DO TIPO CENTRIFUGA HORIZONTAL. 4500CV, 1200RPM E 60HZ WEB SULZER. EQUIPAMENTO INSTALADO NA EAT.VLG.001</t>
  </si>
  <si>
    <t>ESTAÇÃO DE RECALQUE - ÁGUA - DF ATUADOR ELÉTRICO INTELIGENTE PARA VÁLVULA , 1/4 DE VOLTA, MOTOR 380VAC/60HZ, IP68, TORQUE DE SAÍDA MÁXIMO DE 1000NM, REDUTOR E MÓDULO DE COMUNICAÇÃO</t>
  </si>
  <si>
    <t>ESTAÇÃO DE RECALQUE - ÁGUA - DF PONTE ROLANTE DUPLA VIGA CAPACIDADE DE 20 T INCLUINDO TALHA ELÉTRICA DE 20 T, TRILHO DE ROLAMENTO, COMPRIMENTO DE 20 M, VÃO DE  20 M E ALTURA DE ELEVAÇÃO DE 10 M.</t>
  </si>
  <si>
    <t>ESTAÇÃO DE RECALQUE - ÁGUA - DF CONJUNTO MOTO-BOMBA SUBMERSSÍVEL , COM VEDAÇÃO POR SELO MECÂNICO, ACOPLADA A MOTOR ELÉTRICO TRIFÁSICO DE 2 HP, 4 PÓLOS, 1750 RPM, 60HZ, 380 V. PONTO DE OPERAÇÃO [Q=10,0 X H=8,5 MCA]</t>
  </si>
  <si>
    <t xml:space="preserve">ESTAÇÃO DE RECALQUE - ÁGUA - DF QA REMOTA: RACK REMOTO COMPLETO INCLUÍNDO RACKS , MÓDULOS DE E/S, FONTES, MÓDULOS DE COMUNICAÇÃO,PROTETORES, TRANCEIVERS E TODOS OS EQUIPAMENTOS AUXILIARES, 3 UNIDADES - SWITCH INDUSTRIAL GERENCIÁVEL LAYER 2 (STRATIX 5700), EQUIPAMENTO ESTE QUE TEM 16 PORTAS METÁLICAS + 4 PORTAS DE FIBRA + 2 PORTAS METÁLICAS GIGA E SWITCH GERENCIÁVEL.
</t>
  </si>
  <si>
    <t xml:space="preserve">ESTAÇÃO DE RECALQUE - ÁGUA - DF QUADRO CLP - QUADRO DE FORÇA, COMANDO E CONTROLE, COMPLETO INCLUINDO DISJUNTORES, PROTETORES DE SURTO, IHM 12 E DEMAIS EQUIPAMENTOS AUXILIARES, PARA ABRIGAR CLP E RACK REMOTO, SWITCH INDUSTRIAL GERENCIÁVEL LAYER 3 COM 10 PORTAS, SWITCH INDUSTRIAL GERENCIÁVEL LAYER 2 COM 10 PORTAS, CPUS E EQUIPAMENTOS DE AUTOMAÇÃO.
</t>
  </si>
  <si>
    <t>ESTAÇÃO DE RECALQUE - ÁGUA - DF CUSTO COMPLEMENTAR DOS COMPONENTES DO QUADRO CLP (SWITCH E SOFTWARES)</t>
  </si>
  <si>
    <t xml:space="preserve">ESTAÇÃO DE TRATAMENTO DE ÁGUA - VALPARAISO/GO FLOCULADOR MECÂNICO DE EIXO VERTICAL COM TURBINA DE FLUXO AXIAL, ALTURA ÚTIL DE 3,60 M, POTÊNCIA DE 2 KW, INSTALADOS EM 4 FLOCULADORES, COM 4 CÂMARAS, CADA
</t>
  </si>
  <si>
    <t xml:space="preserve">ESTAÇÃO DE TRATAMENTO DE ÁGUA - VALPARAISO/GO REMOVEDOR MECÂNICO DE LODO FLOTADO, COMPRIMENTO DE 14,00 M, LARGURA DE 10,80 M E POTÊNCIA (MÁX.) DE 1 KW PARA  4 FLOTADORES
</t>
  </si>
  <si>
    <t xml:space="preserve">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
</t>
  </si>
  <si>
    <t xml:space="preserve">ESTAÇÃO DE TRATAMENTO DE ÁGUA - VALPARAISO/GO MEDIDOR DE VAZÃO ELETROMAGNÉTICO, PARA TRABALHO COM VAZÃO OPERACIONAL ENTRE 30 E 45 L/S, COM DIÂMETRO NOMINAL DE 200 MM, CONEXÕES POR FLANGE  DO TIPO DIN 2501 / EN 1092-1
</t>
  </si>
  <si>
    <t xml:space="preserve">ESTAÇÃO DE TRATAMENTO DE ÁGUA - VALPARAISO/GO CONJUNTO MOTOR-BOMBA, DO TIPO CENTRÍFUGA, HORIZONTAL,  VAZÃO 40.8 L/S,  ALTURA MANOMÉTRICA DE 75,84 MCA, POTÊNCIA NOMINAL DE 55 CV.
</t>
  </si>
  <si>
    <t xml:space="preserve">ESTAÇÃO DE TRATAMENTO DE ÁGUA - VALPARAISO/GO CONJUNTO MOTOR-BOMBA, DO TIPO HELICOIDAL, HORIZONTAL,  VAZÃO 1,38 L/S,  ALTURA MANOMÉTRICA DE 10 MCA, POTÊNCIA NOMINAL DE 2,5 KW
</t>
  </si>
  <si>
    <t xml:space="preserve">ESTAÇÃO DE TRATAMENTO DE ÁGUA - VALPARAISO/GO COMPORTA INOX AISI 304, ACIONAMENTO ATRAVÉS DE ATUADOR ELÉTRICO, MEDIDAS DO CANAL: 0,7M (H) X 0,7M (L), MEDIDAS DA COMPORTA: 0,94M (H) X 0,94M (L), ALTURA TOTAL: 5,02 M
</t>
  </si>
  <si>
    <t>ESTAÇÃO DE TRATAMENTO DE ÁGUA - VALPARAISO/GO COMPORTA INOX AISI 304, ACIONAMENTO ATRAVÉS DE ATUADOR ELÉTRICO, MEDIDAS DO CANAL: 0,9M (H) X 0,9M (L), MEDIDAS DA COMPORTA: 1,14M (H) X 1,14M (L), ALTURA TOTAL: 3,15 M, PRESSÃO (N/M²): 30901,5.</t>
  </si>
  <si>
    <t xml:space="preserve">ESTAÇÃO DE TRATAMENTO DE ÁGUA - VALPARAISO/GO COMPORTA INOX AISI 304, ACIONAMENTO ATRAVÉS DE ATUADOR ELÉTRICO, MEDIDAS DO CANAL: 0,9M (H) X 0,9M (L), MEDIDAS DA COMPORTA: 1,14M (H) X 1,14M (L), ALTURA TOTAL: 3,15 M, PRESSÃO (N/M²): 30901,5.
</t>
  </si>
  <si>
    <t xml:space="preserve">ESTAÇÃO DE TRATAMENTO DE ÁGUA - VALPARAISO/GO COMPORTA CONSTRUÍDA EM INOX AISI 304, ACIONAMENTO ATRAVÉS DE ATUADOR ELÉTRICO, MEDIDAS DO CANAL: 0,52M (H) X 1,2M (L), MEDIDAS DA COMPORTA: 0,84M (H) X 1,34M (L), ALTURA TOTAL: 0,84 M
</t>
  </si>
  <si>
    <t>ESTAÇÃO DE TRATAMENTO DE ÁGUA - VALPARAISO/GO TALHA DE ACIONAMENTO MANUAL COM CORRENTE, ROLDANA E SISTEMA DE IÇAMENTO VIA GANCHO COM TRAVA, COM CAPACIDADE DE 0,5 TON. E ALTURA DE ELEVAÇÃO DE 4,20M.</t>
  </si>
  <si>
    <t xml:space="preserve">ESTAÇÃO DE TRATAMENTO DE ÁGUA - VALPARAISO/GO VÁLVULA BORBOLETA AWWA / EIXO LIVRE, DN 600MM, ACIONAMENTO ELÉTRICO
</t>
  </si>
  <si>
    <t xml:space="preserve">ESTAÇÃO DE TRATAMENTO DE ÁGUA - VALPARAISO/GO VÁLVULA BORBOLETA AWWA / EIXO LIVRE, DN 200MM, ACIONAMENTO ELÉTRICO
</t>
  </si>
  <si>
    <t xml:space="preserve">ESTAÇÃO DE TRATAMENTO DE ÁGUA - VALPARAISO/GO VÁLVULA, TIPO BORBOLETA AWWA / EIXO LIVRE, DN 300MM, ACIONAMENTO ELÉTRICO
</t>
  </si>
  <si>
    <t xml:space="preserve">ESTAÇÃO DE TRATAMENTO DE ÁGUA - VALPARAISO/GO VÁLVULA DE GAVETA COM VOLANTE, DN 100MM, ACIONAMENTO ELÉTRICO
</t>
  </si>
  <si>
    <t xml:space="preserve">ESTAÇÃO DE TRATAMENTO DE ÁGUA - VALPARAISO/GO VÁLVULA DE GAVETA COM VOLANTE, DN 200MM, ACIONAMENTO ELÉTRICO
</t>
  </si>
  <si>
    <t xml:space="preserve">ESTAÇÃO DE TRATAMENTO DE ÁGUA - VALPARAISO/GO TANQUE DE SATURAÇÃO, EM AÇO CARBONO, DIÂMETRO DE 1.600 MM, ALTURA CILÍNDRICA 1.000 MM, FABRICADO EM ASTM A-516 GR 70, PRESSÃO DE OPERAÇÃO MÁXIMA  DE 7 KG/CM² 
</t>
  </si>
  <si>
    <t>ESTAÇÃO DE TRATAMENTO DE ÁGUA - VALPARAISO/GO CONJUNTO MOTOBOMBA CENTRÍFUGA DE EIXO HORIZONTAL, PARA INJETOR DE CLORO</t>
  </si>
  <si>
    <t xml:space="preserve">ESTAÇÃO DE TRATAMENTO DE ÁGUA - VALPARAISO/GO VÁLVULA BORBOLETA DE FERRO FUNDIDO FLANGEADA COM ATUADOR ELÉTRICO ESPECIAL (CLASSE DE PRESSÃO: 10 KGF/CM² / DIÂMETRO DA SEÇÃO: 300 MM)
</t>
  </si>
  <si>
    <t>ESTAÇÃO DE TRATAMENTO DE ÁGUA - VALPARAISO/GO VÁLVULA BORBOLETA DE FERRO FUNDIDO FLANGEADA COM ATUADOR ELÉTRICO ESPECIAL (CLASSE DE PRESSÃO: 10 KGF/CM² / DIÂMETRO DA SEÇÃO: 600 MM).</t>
  </si>
  <si>
    <t xml:space="preserve">ESTAÇÃO DE TRATAMENTO DE ÁGUA - VALPARAISO/GO VÁLVULA BORBOLETA DE FERRO FUNDIDO FLANGEADA COM ATUADOR ELÉTRICO ESPECIAL (CLASSE DE PRESSÃO: 10 KGF/CM² / DIÂMETRO DA SEÇÃO: 600 MM)
</t>
  </si>
  <si>
    <t xml:space="preserve">ESTAÇÃO DE TRATAMENTO DE ÁGUA - VALPARAISO/GO AGITADOR MECÂNICO DE EIXO VERTICAL, TIPO TURBINA, P/ CÂMARA DE FLOCULAÇÃO, COMPLETO. CONFORME ESPECIFICAÇÃO.
</t>
  </si>
  <si>
    <t xml:space="preserve">ESTAÇÃO DE TRATAMENTO DE ÁGUA - VALPARAISO/GO BOMBA CENTRÍFUGA DE EIXO HORIZONTAL PARA RESERVATÓRIO ELEVADO
</t>
  </si>
  <si>
    <t xml:space="preserve">ESTAÇÃO DE TRATAMENTO DE ÁGUA - VALPARAISO/GO BOMBA HELICOIDAL PARA O RECALQUE DO LODO FLOTADO, COMPLETA, CONFORME ESPECIFICAÇÃO
</t>
  </si>
  <si>
    <t xml:space="preserve">ESTAÇÃO DE TRATAMENTO DE ÁGUA - VALPARAISO/GO COMPRESSOR PARA ALIMENTAÇÃO DO SATURADOR. COMPLETO, CONFORME ESPECIFICAÇÃO
</t>
  </si>
  <si>
    <t xml:space="preserve">ESTAÇÃO DE TRATAMENTO DE ÁGUA - VALPARAISO/GO CONJUNTO MOTOR BOMBA PARA ALIMENTAÇÃO DO SATURADOR, COMPLETO, CONFORME ESPECIFICAÇÃO
</t>
  </si>
  <si>
    <t xml:space="preserve">ESTAÇÃO DE TRATAMENTO DE ÁGUA - VALPARAISO/GO TALHA MANUAL MONOVIA - 2 TONELADAS </t>
  </si>
  <si>
    <t xml:space="preserve">ESTAÇÃO DE TRATAMENTO DE ÁGUA - VALPARAISO/GO TALHA MANUAL MONOVIA - 5 TONELADAS </t>
  </si>
  <si>
    <t xml:space="preserve">ESTAÇÃO DE TRATAMENTO DE ÁGUA - VALPARAISO/GO TALHA MANUAL MONOVIA - 3 TONELADAS </t>
  </si>
  <si>
    <t xml:space="preserve">ESTAÇÃO DE TRATAMENTO DE ÁGUA - VALPARAISO/GO DOSADOR DE CLORO COMPLETO </t>
  </si>
  <si>
    <t xml:space="preserve">ESTAÇÃO DE TRATAMENTO DE ÁGUA - VALPARAISO/GO MEDIDOR ELETROMAGNÉTICO DE VAZÃO, COM FLANGES Ø200MM
</t>
  </si>
  <si>
    <t xml:space="preserve">ESTAÇÃO DE TRATAMENTO DE ÁGUA - VALPARAISO/GO REMOVEDOR MECÂNICO DE LODO FLOTADO, DO TIPO COM CORRENTES, PARA FLOTADOR RETANGULAR, COMPLETO COM "PRAIA" PARA RETIRADA DE LODO E VERTEDOR DE SAÍDA, CONFORME ESPECIFICAÇÃO
</t>
  </si>
  <si>
    <t xml:space="preserve">ESTAÇÃO DE TRATAMENTO DE ÁGUA - VALPARAISO/GO SATURADOR PARA FLOTAÇÃO COM DIÂMETRO DE 1,50 M, COMPLETO, CONFORME ESPECIFICAÇÃO
</t>
  </si>
  <si>
    <t xml:space="preserve">ESTAÇÃO DE TRATAMENTO DE ÁGUA - VALPARAISO/GO SOPRADOR PARA LAVAGEM DOS FILTROS, COMPLETO, CONFORME ESPECIFICAÇÃO
</t>
  </si>
  <si>
    <t xml:space="preserve">ESTAÇÃO DE TRATAMENTO DE ÁGUA - VALPARAISO/GO VÁLVULA BORBOLETA, COM ACIONAMENTO ELÉTRICO, COM FLANGES PN-10, COMPLETA - DIÂMETRO 200 MM
</t>
  </si>
  <si>
    <t xml:space="preserve">ESTAÇÃO DE TRATAMENTO DE ÁGUA - VALPARAISO/GO CONJUNTO MOTOR BOMBA PARA LAVAGEM DOS FILTROS, COMPLETA, CONFORME ESPECIFICAÇÃO
</t>
  </si>
  <si>
    <t xml:space="preserve">ESTAÇÃO DE TRATAMENTO DE ÁGUA - VALPARAISO/GO BOMBA HELICOIDAL PARA O RECALQUE DE LODO DO TANQUE DE LODO PARA CENTRÍFUGA, COMPLETA, CONFORME ESPECIFICAÇÃO
</t>
  </si>
  <si>
    <t xml:space="preserve">ESTAÇÃO DE TRATAMENTO DE ÁGUA - VALPARAISO/GO BOMBAS DOSADORAS PARA DOSAGEM DE SOLUÇÃO DE POLÍMERO, COMPLETA, CONFORME ESPECIFICAÇÃO
</t>
  </si>
  <si>
    <t xml:space="preserve">ESTAÇÃO DE TRATAMENTO DE ÁGUA - VALPARAISO/GO CENTRÍFUGA DO TIPO "DECANTER" PARA DESIDRATAÇÃO DE LODO, COMPLETA, CONFORME ESPECIFICAÇÃO
</t>
  </si>
  <si>
    <t xml:space="preserve">ESTAÇÃO DE TRATAMENTO DE ÁGUA - VALPARAISO/GO EQUIPAMENTO PARA PREPARO DE SOLUÇÃO DE POLÍMEROS, COMPLETO, CONF. ESPECIFICAÇÃO
</t>
  </si>
  <si>
    <t>ESTAÇÃO DE TRATAMENTO DE ÁGUA - VALPARAISO/GO CONJUNTO MOTOR E BOMBA PERISTALTICA MODELO BREDEL- 65/6/2 EPDM/PP 20RPM 5,5KW</t>
  </si>
  <si>
    <t>ESTAÇÃO DE TRATAMENTO DE ÁGUA - VALPARAISO/GO COMJUNTO MOTOR E BOMBA PERISTALTICA MODELO BREDEL- 65/6/2 EPDM/PP 20RPM 5,5KW</t>
  </si>
  <si>
    <t>ESTAÇÃO DE TRATAMENTO DE ÁGUA - VALPARAISO/GO DOSADOR DE CLORO COMPLETO</t>
  </si>
  <si>
    <t xml:space="preserve">ESTAÇÃO DE TRATAMENTO DE ÁGUA - VALPARAISO/GO MISTURADOR FLUTUANTE PARA TANQUE DE LODO FLOTADO, COMPLETO
</t>
  </si>
  <si>
    <t xml:space="preserve">ESTAÇÃO DE TRATAMENTO DE ÁGUA - VALPARAISO/GO BALANÇA RODOVIÁRIA COMPLETA
</t>
  </si>
  <si>
    <t>ESTAÇÃO DE TRATAMENTO DE ÁGUA - VALPARAISO/GO CONJUNTO MOTOBOMBA PARA EJETORES, VÁLVULAS E ACESSÓRIOS DIVERSOS, PARA COMPLETAR O SISTEMA DE CLORAÇÃO</t>
  </si>
  <si>
    <t xml:space="preserve">ESTAÇÃO DE TRATAMENTO DE ÁGUA - VALPARAISO/GO DETECTOR DE CLORO PARA DOIS PONTOS,COMPLETO, CONFORME ESPECIFICAÇÃO
</t>
  </si>
  <si>
    <t xml:space="preserve">ESTAÇÃO DE TRATAMENTO DE ÁGUA - VALPARAISO/GO EVAPORADOR DE CLORO, COMPLETO, CONFORME ESPECIFICAÇÃO
</t>
  </si>
  <si>
    <t xml:space="preserve">ESTAÇÃO DE TRATAMENTO DE ÁGUA - VALPARAISO/GO EVAPORADOR DE CLORO, COMPLETOS, CONFORME ESPECIFICAÇÃO
</t>
  </si>
  <si>
    <t>ESTAÇÃO DE TRATAMENTO DE ÁGUA - VALPARAISO/GO SISTEMA NEUTRALIZADOR DE LAVAGEM DE GASES DA SALA DE CLORAÇÃO, COMPLETA, CONFORME ESPECIFICAÇÃO</t>
  </si>
  <si>
    <t xml:space="preserve">ESTAÇÃO DE TRATAMENTO DE ÁGUA - VALPARAISO/GO SISTEMA DE TROCA AUTOMÁTICA DE CARRETAS DE CLORO, COMPLETOS, CONFORME ESPECIFICAÇÃO
</t>
  </si>
  <si>
    <t>ESTAÇÃO DE TRATAMENTO DE ÁGUA - VALPARAISO/GO CONJUNTO MOTOBOMBA DE TRANSFERÊNCIA PARA RECALQUE DE ÁCIDO FLUOSSILÍCICO.</t>
  </si>
  <si>
    <t>ESTAÇÃO DE TRATAMENTO DE ÁGUA - VALPARAISO/GO CONJUNTO MOTOBOMBA DE TRANSFERÊNCIA, PARA RECALQUE COAGULANTE.</t>
  </si>
  <si>
    <t xml:space="preserve">ESTAÇÃO DE TRATAMENTO DE ÁGUA - VALPARAISO/GO BOMBA DOSADORA DO TIPO DIAFRAGMA PARA DOSAGEM DE ÁCIDO FLUOSSILÍCICO, COMPLETA, CONFORME ESPECIFICAÇÃO
</t>
  </si>
  <si>
    <t xml:space="preserve">ESTAÇÃO DE TRATAMENTO DE ÁGUA - VALPARAISO/GO BOMBA DOSADORA DO TIPO DIAFRAGMA PARA RECALQUE DE COAGULANTE, COMPLETA, CONFORME ESPECIFICAÇÃO
</t>
  </si>
  <si>
    <t xml:space="preserve">ESTAÇÃO DE TRATAMENTO DE ÁGUA - VALPARAISO/GO BOMBA DOSADORA DO TIPO DIAFRAGMA, PARA DOSAGEM DE SOLUÇÃO DE PERMANGANATO, COMPLETA, CONFORME ESPECIFICAÇÃO
</t>
  </si>
  <si>
    <t>ESTAÇÃO DE TRATAMENTO DE ÁGUA - VALPARAISO/GO BOMBA DOSADORA DO TIPO HELICOIDAL, PARA DOSAGEM DE SOLUÇÃO DE POLÍMERO.</t>
  </si>
  <si>
    <t xml:space="preserve">ESTAÇÃO DE TRATAMENTO DE ÁGUA - VALPARAISO/GO BOMBAS PARA AMOSTRAGEM DE ÁGUA FLOTADA FILTRADA E ÁGUA TRATADA, COMPLETAS
</t>
  </si>
  <si>
    <t xml:space="preserve">ESTAÇÃO DE TRATAMENTO DE ÁGUA - VALPARAISO/GO BOMBA PARA AMOSTRAGEM DE ÁGUA FLOTADA FILTRADA E ÁGUA TRATADA, COMPLETAS
</t>
  </si>
  <si>
    <t xml:space="preserve">ESTAÇÃO DE TRATAMENTO DE ÁGUA - VALPARAISO/GO EQUIPAMENTO PARA PREPARO DE SOLUÇÃO DE PERMANGANATO , COMPLETO
</t>
  </si>
  <si>
    <t xml:space="preserve">ESTAÇÃO DE TRATAMENTO DE ÁGUA - VALPARAISO/GO EQUIPAMENTO PARA PREPARO DE SOLUÇÃO DE POLÍMERO, COMPLETO
</t>
  </si>
  <si>
    <t xml:space="preserve">ESTAÇÃO DE TRATAMENTO DE ÁGUA - VALPARAISO/GO BALANÇA RODOVIÁRIA COMPLETA, CONFORME ESPECIFICAÇÕES TÉCNICAS - FORNECIMENTO, MONTAGEM E INSTALAÇÃO
</t>
  </si>
  <si>
    <t xml:space="preserve">ESTAÇÃO DE TRATAMENTO DE ÁGUA - VALPARAISO/GO CONJUNTO MOTOR BOMBA PARA RECIRCULAÇÃO DA ÁGUA DE LAVAGEM DOS FILTROS, COMPLETO, CONFORME ESPECIFICAÇÃO
</t>
  </si>
  <si>
    <t xml:space="preserve">ESTAÇÃO DE TRATAMENTO DE ÁGUA - VALPARAISO/GO MISTURADOR FLUTUANTE PARA TANQUE DE ÁGUA DE LAVAGEM DOS FILTROS, COMPLETO, CONFORME ESPECIFICAÇÃO
</t>
  </si>
  <si>
    <t>Coagulante - armazenamento e dosagem</t>
  </si>
  <si>
    <t>Tanques de reciclo</t>
  </si>
  <si>
    <t>Guarita principal - balança</t>
  </si>
  <si>
    <t>Código da Unidade:</t>
  </si>
  <si>
    <t>EAT.VLG.001</t>
  </si>
  <si>
    <t>ETA.COR.001</t>
  </si>
  <si>
    <t>Descrição Unidade:</t>
  </si>
  <si>
    <t>Elevatória de Água Tratada Valparaíso de Goiás</t>
  </si>
  <si>
    <t>Estação de Tratamento de Água Corumbá</t>
  </si>
  <si>
    <t>Região Administartiva:</t>
  </si>
  <si>
    <t>-</t>
  </si>
  <si>
    <t>Endereço:</t>
  </si>
  <si>
    <t>Rua Recife, QD 184, Área Especial, Parque Marajó - Valparaíso de Goiás - GO</t>
  </si>
  <si>
    <t>Descrição resumida do bem</t>
  </si>
  <si>
    <t>RAP.VLG.001</t>
  </si>
  <si>
    <t>Descrição do bem como a SSAP</t>
  </si>
  <si>
    <t>PRÉDIO ADMINISTRATIVO</t>
  </si>
  <si>
    <t>Reservatório de Água Tratada Valparaíso</t>
  </si>
  <si>
    <t>Prédio Administrativo do Complexo Corumbá</t>
  </si>
  <si>
    <t>Processo</t>
  </si>
  <si>
    <t>Processo - localização específica</t>
  </si>
  <si>
    <t>Prédio - servidor</t>
  </si>
  <si>
    <t>Sistema coagulante</t>
  </si>
  <si>
    <t>Prédio - coordenador</t>
  </si>
  <si>
    <t>MOV</t>
  </si>
  <si>
    <t>Não</t>
  </si>
  <si>
    <t>Sim</t>
  </si>
  <si>
    <t>Flotadores - elevatórias de água saturada Módulos 01/02</t>
  </si>
  <si>
    <t>Flotadores - elevatórias de água saturada Módulos 03/04</t>
  </si>
  <si>
    <t xml:space="preserve">Filtro 01 - comportas </t>
  </si>
  <si>
    <t xml:space="preserve">Filtro 02 - comportas </t>
  </si>
  <si>
    <t xml:space="preserve">Filtro 03 - comportas </t>
  </si>
  <si>
    <t xml:space="preserve">Filtro 04 - comportas </t>
  </si>
  <si>
    <t xml:space="preserve">Filtro 05 - comportas </t>
  </si>
  <si>
    <t xml:space="preserve">Filtro 06 - comportas </t>
  </si>
  <si>
    <t xml:space="preserve">Filtro 07 - comportas </t>
  </si>
  <si>
    <t xml:space="preserve">Filtro 08 - comportas </t>
  </si>
  <si>
    <t>Floculador 01 - turbinas e comportas</t>
  </si>
  <si>
    <t>Floculador 02 - turbinas e comportas</t>
  </si>
  <si>
    <t>Floculador 03 - turbinas e comportas</t>
  </si>
  <si>
    <t>Floculador 05 - turbinas e comportas</t>
  </si>
  <si>
    <t>Floculador 06 - turbinas e comportas</t>
  </si>
  <si>
    <t>Floculador 07 - turbinas e comportas</t>
  </si>
  <si>
    <t>Floculador 08 - turbinas e comportas</t>
  </si>
  <si>
    <t>Filtro 01 - turbidimetro e med. taxa de filtração</t>
  </si>
  <si>
    <t>Filtro 02 - turbidimetro e med. taxa de filtração</t>
  </si>
  <si>
    <t>Filtro 03 - turbidimetro e med. taxa de filtração</t>
  </si>
  <si>
    <t>Filtro 04 - turbidimetro e med. taxa de filtração</t>
  </si>
  <si>
    <t>Filtro 05 - turbidimetro e med. taxa de filtração</t>
  </si>
  <si>
    <t>Filtro 06 - turbidimetro e med. taxa de filtração</t>
  </si>
  <si>
    <t>Filtro 07 - turbidimetro e med. taxa de filtração</t>
  </si>
  <si>
    <t>Filtro 08 - turbidimetro e med. taxa de filtração</t>
  </si>
  <si>
    <t>RAP - válvulas de água tratada (entrada e saída) e med. de vazão</t>
  </si>
  <si>
    <t xml:space="preserve">Prédio - copa </t>
  </si>
  <si>
    <t>Flotadores 01/02 - elevatórias de lodo flotado e válvulas</t>
  </si>
  <si>
    <t>Flotadores 03/04 - elevatórias de lodo flotado e válvulas</t>
  </si>
  <si>
    <t>Flotadores 05/06 - elevatórias de lodo flotado e válvulas</t>
  </si>
  <si>
    <t>Flotadores 07/08 - elevatórias de lodo flotado e válvulas</t>
  </si>
  <si>
    <t>Flotadores - medidores de vazão de água saturada Módulos 01/02</t>
  </si>
  <si>
    <t>Flotadores - medidores de vazão de água saturada Módulos 03/04</t>
  </si>
  <si>
    <t>Flotador 01 - removedor(es) de lodo</t>
  </si>
  <si>
    <t>Flotador 02 - removedor(es) de lodo</t>
  </si>
  <si>
    <t>Flotador 03 - removedor(es) de lodo</t>
  </si>
  <si>
    <t>Flotador 04 - removedor(es) de lodo</t>
  </si>
  <si>
    <t>Flotador 05 - removedor(es) de lodo</t>
  </si>
  <si>
    <t>Flotador 06 - removedor(es) de lodo</t>
  </si>
  <si>
    <t>Flotador 07 - removedor(es) de lodo</t>
  </si>
  <si>
    <t>Flotador 08 - removedor(es) de lodo</t>
  </si>
  <si>
    <t>EAT - casa de máquinas e  med. de vazão</t>
  </si>
  <si>
    <t>Tanque reciclo - elevatória, turbidimetro e med. de nível e vazão</t>
  </si>
  <si>
    <t>TAPQ - elevatórias de água potável e amostragem</t>
  </si>
  <si>
    <t>Flotadores - compressores de ar e válvulas de drenagem Módulos 01/02</t>
  </si>
  <si>
    <t>Flotadores - compressores de ar e válvulas de drenagem Módulos 03/04</t>
  </si>
  <si>
    <t>Floculador 04 - turbinas e comportas</t>
  </si>
  <si>
    <t>(Vários itens)</t>
  </si>
  <si>
    <t>Funcionário</t>
  </si>
  <si>
    <t>Marcos Vinícius Gama da Silva (PMIM)</t>
  </si>
  <si>
    <t>Esdras Gomes Fér (PMIE)</t>
  </si>
  <si>
    <t>Nº OS:</t>
  </si>
  <si>
    <t>PROJETOR PROJETOR ACER X1323 WHP</t>
  </si>
  <si>
    <t>EAT - bombas submersíveis - barrilete de sucção</t>
  </si>
  <si>
    <t>EAT - bombas submersíveis - casa de máquinas</t>
  </si>
  <si>
    <t xml:space="preserve">Cloro - balanças, central de neutralização de gases e elevatória de resíduos </t>
  </si>
  <si>
    <t>Filtro 01 - válvulas de ar, água filtrada, lavagem e drenagem</t>
  </si>
  <si>
    <t>Filtro 02 -  válvulas de ar, água filtrada, lavagem e drenagem</t>
  </si>
  <si>
    <t>Filtro 03 -  válvulas de ar, água filtrada, lavagem e drenagem</t>
  </si>
  <si>
    <t>Filtro 04 -  válvulas de ar, água filtrada, lavagem e drenagem</t>
  </si>
  <si>
    <t>Filtro 05 -  válvulas de ar, água filtrada, lavagem e drenagem</t>
  </si>
  <si>
    <t>Filtro 06 -  válvulas de ar, água filtrada, lavagem e drenagem</t>
  </si>
  <si>
    <t>Filtro 07 -  válvulas de ar, água filtrada, lavagem e drenagem</t>
  </si>
  <si>
    <t>Filtro 08 -  válvulas de ar, água filtrada, lavagem e drenagem</t>
  </si>
  <si>
    <t>Flúor - armazenamento, dosagem e elevatória de resíduos</t>
  </si>
  <si>
    <t>SDL - decanters e med. de nível do tanque de lodo adensado</t>
  </si>
  <si>
    <t>67200</t>
  </si>
  <si>
    <t>HUB / SWITCH / ROTEADOR / RADIO ROUTER HPE MSR1003</t>
  </si>
  <si>
    <t>67262</t>
  </si>
  <si>
    <t>RACK RACK DE PAREDE</t>
  </si>
  <si>
    <t>67468</t>
  </si>
  <si>
    <t>APARELHO COMUNICAÇÃO RADIO COMUNICADOR</t>
  </si>
  <si>
    <t>67508</t>
  </si>
  <si>
    <t>67548</t>
  </si>
  <si>
    <t>67868</t>
  </si>
  <si>
    <t>ESTAÇÃO DE TRATAMENTO DE ÁGUA - VALPARAISO/GO MEDIDOR DE NÍVEL ULTRASSONICO - COMPÕE SISTEMA DE HIDROXIDO DE CÁLCIO EM SUSPENSÃO AQUOSA</t>
  </si>
  <si>
    <t>67869</t>
  </si>
  <si>
    <t>67870</t>
  </si>
  <si>
    <t>67871</t>
  </si>
  <si>
    <t>67872</t>
  </si>
  <si>
    <t>ESTAÇÃO DE TRATAMENTO DE ÁGUA - VALPARAISO/GO MEDIDOR DE VAZÃO ELETROMAGNÉTICO, TIPO CARRETEL- COMPÕE SISTEMA DE HIDROXIDO DE CÁLCIO EM SUSPENSÃO AQUOSA</t>
  </si>
  <si>
    <t>67873</t>
  </si>
  <si>
    <t>67875</t>
  </si>
  <si>
    <t>ESTAÇÃO DE TRATAMENTO DE ÁGUA - VALPARAISO/GO BOMBA CENTRÍFUGA DE RECIRCULAÇÃO- COMPÕE SISTEMA DE HIDRÓXIDO DE CÁLCIO EM SUSPENSÃO AQUOSA</t>
  </si>
  <si>
    <t>67876</t>
  </si>
  <si>
    <t>67877</t>
  </si>
  <si>
    <t>67878</t>
  </si>
  <si>
    <t>ESTAÇÃO DE TRATAMENTO DE ÁGUA - VALPARAISO/GO BOMBA HELICOIDAL DE TRANSFERÊNCIA DE CAL- COMPÕE SISTEMA DE HIDRÓXIDO DE CÁLCIO EM SUSPENSÃO AQUOSA</t>
  </si>
  <si>
    <t>67879</t>
  </si>
  <si>
    <t>67880</t>
  </si>
  <si>
    <t>ESTAÇÃO DE TRATAMENTO DE ÁGUA - VALPARAISO/GO TANQUE - COMPÕE SISTEMA DE HIDRÓXIDO DE CÁLCIO EM SUSPENSÃO AQUOSA ETA CORUMBÁ</t>
  </si>
  <si>
    <t>67881</t>
  </si>
  <si>
    <t>67882</t>
  </si>
  <si>
    <t>67883</t>
  </si>
  <si>
    <t>67884</t>
  </si>
  <si>
    <t>ESTAÇÃO DE TRATAMENTO DE ÁGUA - VALPARAISO/GO BOMBA HELICOIDAL DE DOSAGEM- COMPÕE SISTEMA DE HIDRÓXIDO DE CÁLCIO EM SUSPENSÃO AQUOSA</t>
  </si>
  <si>
    <t>67885</t>
  </si>
  <si>
    <t>67886</t>
  </si>
  <si>
    <t>67891</t>
  </si>
  <si>
    <t>ESTAÇÃO DE TRATAMENTO DE ÁGUA - VALPARAISO/GO VÁLVULA ESFERA PP COM ATUADOR ELÉTRICO- COMPÕE SISTEMA DE HIDRÓXIDO DE CÁLCIO EM SUSPENSÃO AQUOSA</t>
  </si>
  <si>
    <t>67892</t>
  </si>
  <si>
    <t>67893</t>
  </si>
  <si>
    <t>67894</t>
  </si>
  <si>
    <t>67895</t>
  </si>
  <si>
    <t>ESTAÇÃO DE TRATAMENTO DE ÁGUA - VALPARAISO/GO VÁLVULA SOLENOIDE EM PP COM ATUADOR ELÉTRICO- COMPÕE SISTEMA DE HIDRÓXIDO DE CÁLCIO EM SUSPENSÃO AQUOSA</t>
  </si>
  <si>
    <t>67896</t>
  </si>
  <si>
    <t>67897</t>
  </si>
  <si>
    <t>67898</t>
  </si>
  <si>
    <t>67899</t>
  </si>
  <si>
    <t>67900</t>
  </si>
  <si>
    <t>67901</t>
  </si>
  <si>
    <t>ESTAÇÃO DE TRATAMENTO DE ÁGUA - VALPARAISO/GO VÁLVULA ESFERA EM PP COM ATUADOR ELÉTRICO- COMPÕE SISTEMA DE HIDRÓXIDO DE CÁLCIO EM SUSPENSÃO AQUOSA</t>
  </si>
  <si>
    <t>67902</t>
  </si>
  <si>
    <t>67915</t>
  </si>
  <si>
    <t>67916</t>
  </si>
  <si>
    <t>67917</t>
  </si>
  <si>
    <t>67918</t>
  </si>
  <si>
    <t>ESTAÇÃO DE TRATAMENTO DE ÁGUA - VALPARAISO/GO QUADRO DE FORÇA COMANDO E CONTROLE- COMPÕE SISTEMA DE HIDRÓXIDO DE CÁLCIO EM SUSPENSÃO AQUOSA</t>
  </si>
  <si>
    <t>67935</t>
  </si>
  <si>
    <t>ARMÁRIO ARMÁRIO MÉDIO</t>
  </si>
  <si>
    <t>69261</t>
  </si>
  <si>
    <t>ESTAÇÃO DE RECALQUE - ÁGUA - DF MEDIOR DE NÍVEL SIEMENS - HYDRORANGER 200</t>
  </si>
  <si>
    <t>69264</t>
  </si>
  <si>
    <t>ESTAÇÃO DE RECALQUE - ÁGUA - DF TRANSMISSOR DE PRESSÃO SIEMENS - DE-76181.</t>
  </si>
  <si>
    <t>74614</t>
  </si>
  <si>
    <t>ESTAÇÃO DE TRATAMENTO DE ÁGUA - VALPARAISO/GO ANALISADOR DE CARBONO COM INTERFACE DE COMUNICAÇÃO EM REDE</t>
  </si>
  <si>
    <t>74616</t>
  </si>
  <si>
    <t>ESTAÇÃO DE TRATAMENTO DE ÁGUA - VALPARAISO/GO ANALISADOR DE TURBIDEZ (TURBIDÍMETRO)</t>
  </si>
  <si>
    <t>74617</t>
  </si>
  <si>
    <t>74618</t>
  </si>
  <si>
    <t>74619</t>
  </si>
  <si>
    <t>74620</t>
  </si>
  <si>
    <t>74621</t>
  </si>
  <si>
    <t>74623</t>
  </si>
  <si>
    <t>74624</t>
  </si>
  <si>
    <t>74625</t>
  </si>
  <si>
    <t>ESTAÇÃO DE TRATAMENTO DE ÁGUA - VALPARAISO/GO ANALISADOR DE TURBIDEZ PARA AGUA BRUTA</t>
  </si>
  <si>
    <t>74626</t>
  </si>
  <si>
    <t>74628</t>
  </si>
  <si>
    <t>ESTAÇÃO DE TRATAMENTO DE ÁGUA - VALPARAISO/GO ATUADOR ELÉTRICO MULTI-VOLTA, INTELIGENTE, COM COMUNICAÇÃO VIA REDE ETHERNE</t>
  </si>
  <si>
    <t>74629</t>
  </si>
  <si>
    <t>74630</t>
  </si>
  <si>
    <t>74631</t>
  </si>
  <si>
    <t>74632</t>
  </si>
  <si>
    <t>74633</t>
  </si>
  <si>
    <t>74634</t>
  </si>
  <si>
    <t>74635</t>
  </si>
  <si>
    <t>74636</t>
  </si>
  <si>
    <t>74637</t>
  </si>
  <si>
    <t>74646</t>
  </si>
  <si>
    <t>74647</t>
  </si>
  <si>
    <t>74648</t>
  </si>
  <si>
    <t>74650</t>
  </si>
  <si>
    <t>74651</t>
  </si>
  <si>
    <t>74907</t>
  </si>
  <si>
    <t>74908</t>
  </si>
  <si>
    <t>74909</t>
  </si>
  <si>
    <t>ESTAÇÃO DE TRATAMENTO DE ÁGUA - VALPARAISO/GO CCM CLORO - QUADRO DE FORÇA COMANDO E CONTROLE</t>
  </si>
  <si>
    <t>74910</t>
  </si>
  <si>
    <t>ESTAÇÃO DE TRATAMENTO DE ÁGUA - VALPARAISO/GO CCM E.E. DE RECIRCULAÇÃO - QUADRO DE FORÇA COMANDO E CONTROLE</t>
  </si>
  <si>
    <t>74911</t>
  </si>
  <si>
    <t>ESTAÇÃO DE TRATAMENTO DE ÁGUA - VALPARAISO/GO CCM COAGULANTE - QUADRO DE FORÇA COMANDO E CONTROLE</t>
  </si>
  <si>
    <t>74913</t>
  </si>
  <si>
    <t>ESTAÇÃO DE TRATAMENTO DE ÁGUA - VALPARAISO/GO CCM MÓDULO 1 - QUADRO DE FORÇA COMANDO E CONTROLE</t>
  </si>
  <si>
    <t>74914</t>
  </si>
  <si>
    <t>ESTAÇÃO DE TRATAMENTO DE ÁGUA - VALPARAISO/GO CCM MÓDULO 2 - QUADRO DE FORÇA COMANDO E CONTROLE</t>
  </si>
  <si>
    <t>74915</t>
  </si>
  <si>
    <t>ESTAÇÃO DE TRATAMENTO DE ÁGUA - VALPARAISO/GO CCM MÓDULO 3 - QUADRO DE FORÇA COMANDO E CONTROLE</t>
  </si>
  <si>
    <t>74916</t>
  </si>
  <si>
    <t>ESTAÇÃO DE TRATAMENTO DE ÁGUA - VALPARAISO/GO CCM MÓDULO 4 - QUADRO DE FORÇA COMANDO E CONTROLE</t>
  </si>
  <si>
    <t>74917</t>
  </si>
  <si>
    <t>ESTAÇÃO DE TRATAMENTO DE ÁGUA - VALPARAISO/GO CCM SISTEMA LODO - QUADRO DE FORÇA COMANDO E CONTROLE</t>
  </si>
  <si>
    <t>74918</t>
  </si>
  <si>
    <t>ESTAÇÃO DE TRATAMENTO DE ÁGUA - VALPARAISO/GO CCM SOPRADORES - QUADRO DE FORÇA COMANDO E CONTROLE</t>
  </si>
  <si>
    <t>74919</t>
  </si>
  <si>
    <t>ESTAÇÃO DE TRATAMENTO DE ÁGUA - VALPARAISO/GO EQUIPAMENTOS AUTOMAÇÃO QUADRO CLP - CPUS DO CONTROLADOR LÓGICO</t>
  </si>
  <si>
    <t>74920</t>
  </si>
  <si>
    <t>ESTAÇÃO DE TRATAMENTO DE ÁGUA - VALPARAISO/GO ESTAÇÃO DE OPERAÇÃO - CPU</t>
  </si>
  <si>
    <t>74921</t>
  </si>
  <si>
    <t>ESTAÇÃO DE TRATAMENTO DE ÁGUA - VALPARAISO/GO ESTAÇÃO SERVIDORA - CPU</t>
  </si>
  <si>
    <t>ESTAÇÃO DE TRATAMENTO DE ÁGUA - VALPARAISO/GO MEDIDOR DE NÍVEL ULTRA-SÔNICO( SONDA, TRANSMISSOR E PROGRAMADOR)</t>
  </si>
  <si>
    <t>74925</t>
  </si>
  <si>
    <t>74926</t>
  </si>
  <si>
    <t>74927</t>
  </si>
  <si>
    <t>ESTAÇÃO DE TRATAMENTO DE ÁGUA - VALPARAISO/GO MEDIDOR DE NÍVEL ULTRA-SÔNICO ( SONDA, TRANSMISSOR E PROGRAMADOR)</t>
  </si>
  <si>
    <t>74928</t>
  </si>
  <si>
    <t>74929</t>
  </si>
  <si>
    <t>74930</t>
  </si>
  <si>
    <t>74933</t>
  </si>
  <si>
    <t>74935</t>
  </si>
  <si>
    <t>74936</t>
  </si>
  <si>
    <t>74940</t>
  </si>
  <si>
    <t>ESTAÇÃO DE TRATAMENTO DE ÁGUA - VALPARAISO/GO MEDIDOR DE VAZÃO DE DOSAGEM DE ÁCIDO FLUOSSILÍCICO: TIPO VERTEDOR</t>
  </si>
  <si>
    <t>74941</t>
  </si>
  <si>
    <t>ESTAÇÃO DE TRATAMENTO DE ÁGUA - VALPARAISO/GO MEDIDOR DE VAZÃO DE DOSAGEM DE POLÍMERO NO SDL: TIPO VERTEDOR</t>
  </si>
  <si>
    <t>74942</t>
  </si>
  <si>
    <t>74945</t>
  </si>
  <si>
    <t>ESTAÇÃO DE TRATAMENTO DE ÁGUA - VALPARAISO/GO MEDIDOR DE VAZÃO DE ÁGUA TRATADA: TIPO ELETROMAGNÉTICO DE INSERÇÃO</t>
  </si>
  <si>
    <t>74947</t>
  </si>
  <si>
    <t>ESTAÇÃO DE TRATAMENTO DE ÁGUA - VALPARAISO/GO MEDIDOR DE VAZÃO DE LODO PARA CENTÍFUGA: TIPO ELETROMAGNÉTICO</t>
  </si>
  <si>
    <t>74948</t>
  </si>
  <si>
    <t>74949</t>
  </si>
  <si>
    <t>ESTAÇÃO DE TRATAMENTO DE ÁGUA - VALPARAISO/GO MONITOR DE LCD - 52 POLEGADAS</t>
  </si>
  <si>
    <t>74950</t>
  </si>
  <si>
    <t>74960</t>
  </si>
  <si>
    <t>ESTAÇÃO DE TRATAMENTO DE ÁGUA - VALPARAISO/GO NO-BREAK MONOFÁSICO (POTÊNCIA 3 KVA / TENSÃO 220 V)</t>
  </si>
  <si>
    <t>74974</t>
  </si>
  <si>
    <t>ESTAÇÃO DE TRATAMENTO DE ÁGUA - VALPARAISO/GO ANALISADOR DE PH COM INTERFACE DE COMUNICAÇÃO EM REDE</t>
  </si>
  <si>
    <t>74975</t>
  </si>
  <si>
    <t>74977</t>
  </si>
  <si>
    <t>74978</t>
  </si>
  <si>
    <t>74979</t>
  </si>
  <si>
    <t>74983</t>
  </si>
  <si>
    <t>ESTAÇÃO DE RECALQUE - ÁGUA - DF ATUADOR ELETRICO INTELIGENTE PARA VALVULA, 1/4 DE VOLTA, MOTOR 380 VAC</t>
  </si>
  <si>
    <t>74984</t>
  </si>
  <si>
    <t>74986</t>
  </si>
  <si>
    <t>74987</t>
  </si>
  <si>
    <t>74989</t>
  </si>
  <si>
    <t>ESTAÇÃO DE RECALQUE - ÁGUA - DF NO-BREAK ONLINE, 6000 VA, SAÍDA 220V</t>
  </si>
  <si>
    <t>ESTAÇÃO DE TRATAMENTO DE ÁGUA - VALPARAISO/GO MEDIDOR DE VAZÃO ULTRASSÔNICO DO TIPO CLAMP-ON E CONVERSOR ANALÓGICO PROFIBUS - LOCALIZADO NA ENTRADA DO RAP.VLG.001.</t>
  </si>
  <si>
    <t>ESTAÇÃO DE TRATAMENTO DE ÁGUA - VALPARAISO/GO MEDIDOR DE VAZÃO ULTRASSÔNICO DO TIPO CLAMP-ON E CONVERSOR ANALÓGICO PROFIBUS - LOCALIZADO NA EAT.VLG.001.</t>
  </si>
  <si>
    <t>Medidor de vazão - Água Bruta</t>
  </si>
  <si>
    <t>Analisadores - Água Bruta</t>
  </si>
  <si>
    <t>Bloco hidráulico - analisadores d'água bruta</t>
  </si>
  <si>
    <t>Sistema de cal em suspensão</t>
  </si>
  <si>
    <t>Cal em suspensão - armazenagem e válvulas</t>
  </si>
  <si>
    <t>Cal em suspensão - bombas de dosagem e recirculação</t>
  </si>
  <si>
    <t>Filtros - Galeria dos CCMs</t>
  </si>
  <si>
    <t>EAT - RHOs</t>
  </si>
  <si>
    <t>Torre de transmissão</t>
  </si>
  <si>
    <t>José Ricardo Pereira Ramos (PPAV)</t>
  </si>
  <si>
    <t>Michael Douglas de A. Silva (PMIA)</t>
  </si>
  <si>
    <t>James Batista Figueiredo (PMIA)</t>
  </si>
  <si>
    <t>67874</t>
  </si>
  <si>
    <t>74951</t>
  </si>
  <si>
    <t>74952</t>
  </si>
  <si>
    <t>74953</t>
  </si>
  <si>
    <t>74954</t>
  </si>
  <si>
    <t>74955</t>
  </si>
  <si>
    <t>74956</t>
  </si>
  <si>
    <t>74957</t>
  </si>
  <si>
    <t>74959</t>
  </si>
  <si>
    <t>74961</t>
  </si>
  <si>
    <t>ESTAÇÃO DE TRATAMENTO DE ÁGUA - VALPARAISO/GO NO-BREAK ONLINE, 6000 VA, SAÍDA 220V</t>
  </si>
  <si>
    <t>74966</t>
  </si>
  <si>
    <t>ESTAÇÃO DE TRATAMENTO DE ÁGUA - VALPARAISO/GO ANALISADOR DE CLORO RRESIDUAL COM INTERFACE DE COMUNICAÇÃO</t>
  </si>
  <si>
    <t>74970</t>
  </si>
  <si>
    <t>ESTAÇÃO DE TRATAMENTO DE ÁGUA - VALPARAISO/GO ANALISADOR DE COAGULANTE COM INTERFACE DE COMUNICAÇÃO EM REDE</t>
  </si>
  <si>
    <t>Movimentação</t>
  </si>
  <si>
    <t>Teste</t>
  </si>
  <si>
    <t>79074</t>
  </si>
  <si>
    <t xml:space="preserve">ESTAÇÃO DE TRATAMENTO DE ÁGUA - VALPARAISO/GO MEDIDOR DE NÍVEL
</t>
  </si>
  <si>
    <t>79075</t>
  </si>
  <si>
    <t>79076</t>
  </si>
  <si>
    <t xml:space="preserve">ESTAÇÃO DE TRATAMENTO DE ÁGUA - VALPARAISO/GO MEDIDOR DE TURBIDEZ
</t>
  </si>
  <si>
    <t>79077</t>
  </si>
  <si>
    <t>79078</t>
  </si>
  <si>
    <t>79079</t>
  </si>
  <si>
    <t>79080</t>
  </si>
  <si>
    <t xml:space="preserve">ESTAÇÃO DE TRATAMENTO DE ÁGUA - VALPARAISO/GO MEDIDOR DE PRESSÃO
</t>
  </si>
  <si>
    <t>79081</t>
  </si>
  <si>
    <t>79082</t>
  </si>
  <si>
    <t>79083</t>
  </si>
  <si>
    <t>79084</t>
  </si>
  <si>
    <t>79085</t>
  </si>
  <si>
    <t>ESTAÇÃO DE TRATAMENTO DE ÁGUA - VALPARAISO/GO ATUADOR ELETRICO, MARCA: COESTER, MODELO CSR12M, N° DE SÉRIE 29497.</t>
  </si>
  <si>
    <t>79086</t>
  </si>
  <si>
    <t>ESTAÇÃO DE TRATAMENTO DE ÁGUA - VALPARAISO/GO ATUADOR ELETRICO MARCA: COESTER, MODELO: CSR12M, N° DE SÉRIE: 29499.</t>
  </si>
  <si>
    <t>79087</t>
  </si>
  <si>
    <t>ESTAÇÃO DE TRATAMENTO DE ÁGUA - VALPARAISO/GO ATUADOR ELETRICO, MARCA: COESTER, MODELO: CSR12M, N° DE SÉRIE: 29501.</t>
  </si>
  <si>
    <t>79088</t>
  </si>
  <si>
    <t>ESTAÇÃO DE TRATAMENTO DE ÁGUA - VALPARAISO/GO ATUADOR ELETRICO, MARCA: COESTER, MODELO: CSR12M, N° DE SÉRIE: 29495.</t>
  </si>
  <si>
    <t>79089</t>
  </si>
  <si>
    <t>ESTAÇÃO DE TRATAMENTO DE ÁGUA - VALPARAISO/GO ATUADOR ELETRICO, MARCA: COESTER, MODELO: CSR12M, N° DE SÉRIE: 29494.</t>
  </si>
  <si>
    <t>79090</t>
  </si>
  <si>
    <t>ESTAÇÃO DE TRATAMENTO DE ÁGUA - VALPARAISO/GO ATUADOR ELETRICO, MARCA: COESTER, MODELO: CSR12M. N° DE SÉRIE: 29496.</t>
  </si>
  <si>
    <t>79091</t>
  </si>
  <si>
    <t>ESTAÇÃO DE TRATAMENTO DE ÁGUA - VALPARAISO/GO ATUADOR ELETRICO, MARCA: COESTER, MODELO: CSR12M, N° DE SÉRIE: 29498.</t>
  </si>
  <si>
    <t>79092</t>
  </si>
  <si>
    <t>ESTAÇÃO DE TRATAMENTO DE ÁGUA - VALPARAISO/GO ATUADOR ELETRICO, MARCA: COESTER, MODELO: CSR12M, N° DE SÉRIE: 29500.</t>
  </si>
  <si>
    <t>79093</t>
  </si>
  <si>
    <t>ESTAÇÃO DE TRATAMENTO DE ÁGUA - VALPARAISO/GO ATUADOR ELETRICO, MARCA: COESTER, MODELO: CSR12M, N° DE SÉRIE: 29503.</t>
  </si>
  <si>
    <t>79094</t>
  </si>
  <si>
    <t>ESTAÇÃO DE TRATAMENTO DE ÁGUA - VALPARAISO/GO ATUADOR ELETRICO, MARCA: COESTER, MODELO: CSR12M, N° DE SÉRIE: 29502.</t>
  </si>
  <si>
    <t>79095</t>
  </si>
  <si>
    <t>ESTAÇÃO DE TRATAMENTO DE ÁGUA - VALPARAISO/GO ATUADOR ELETRICO, MARCA COESTER, N° DE SÉRIE: 29436</t>
  </si>
  <si>
    <t>79096</t>
  </si>
  <si>
    <t>ESTAÇÃO DE TRATAMENTO DE ÁGUA - VALPARAISO/GO ATUADOR ELETRICO, MARCA: COESTER, N° DE SÉRIE: 29437</t>
  </si>
  <si>
    <t>79097</t>
  </si>
  <si>
    <t>ESTAÇÃO DE TRATAMENTO DE ÁGUA - VALPARAISO/GO PAINEL ELÉTRICO COMPORTAS.</t>
  </si>
  <si>
    <t>79098</t>
  </si>
  <si>
    <t>ESTAÇÃO DE TRATAMENTO DE ÁGUA - VALPARAISO/GO PAINEL ELÉTRICO COMPORTAS - COM-301-5, COM 301-6, COM 302-5 E COM 302-5</t>
  </si>
  <si>
    <t>79099</t>
  </si>
  <si>
    <t>ESTAÇÃO DE TRATAMENTO DE ÁGUA - VALPARAISO/GO BANCO AUTOMATICO DE CAPACITOR - HANAMEC - 250KVAR - LOCALIZADO NA SUBESTAÇÃO 02 DA ETA.COR.001</t>
  </si>
  <si>
    <t>79100</t>
  </si>
  <si>
    <t>ESTAÇÃO DE TRATAMENTO DE ÁGUA - VALPARAISO/GO BANCO AUTOMATICO DE CAPACITOR - HANAMEC - 450KVAR - LOCALIZADO NA SUBESTAÇÃO 01 DA ETA.COR.001</t>
  </si>
  <si>
    <t>79101</t>
  </si>
  <si>
    <t>ESTAÇÃO DE TRATAMENTO DE ÁGUA - VALPARAISO/GO MEDIDOR DE PH/TURBIDEZ</t>
  </si>
  <si>
    <t>79102</t>
  </si>
  <si>
    <t>79103</t>
  </si>
  <si>
    <t>79104</t>
  </si>
  <si>
    <t>79107</t>
  </si>
  <si>
    <t>ESTAÇÃO DE TRATAMENTO DE ÁGUA - VALPARAISO/GO VÁLVULAS MOTORIZADAS SISTEMA DE DOSAGEM.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</si>
  <si>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</si>
  <si>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</si>
  <si>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</si>
  <si>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</si>
  <si>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</si>
  <si>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</si>
  <si>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</si>
  <si>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</si>
  <si>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</si>
  <si>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</si>
  <si>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</si>
  <si>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</si>
  <si>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</si>
  <si>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</si>
  <si>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</si>
  <si>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</si>
  <si>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</si>
  <si>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ESTAÇÃO DE TRATAMENTO DE ÁGUA - VALPARAISO/GO MEDIDOR DE VAZÃO (MARCA SIEMENS MODELO MAG 6000) - N° DE ORDEM: 7ME69201AA101AA0. N° DE SÉRIE: N1MD215135. FIT-700</t>
  </si>
  <si>
    <t>79125</t>
  </si>
  <si>
    <t>ESTAÇÃO DE TRATAMENTO DE ÁGUA - VALPARAISO/GO MEDIDOR DE VAZÃO (MARCA SIEMENS MODELO MAG 6000). N° DE ORDEM: 7ME69201AA101AA0. N° DE SÉRIE: N1MD215114. FIT-900</t>
  </si>
  <si>
    <t>79126</t>
  </si>
  <si>
    <t>79127</t>
  </si>
  <si>
    <t>ESTAÇÃO DE TRATAMENTO DE ÁGUA - VALPARAISO/GO ATUADOR ELÉTRICO MULTI-VOLTA, INTELIGENTE, COM COMUNICAÇÃO VIA REDE ETHERNET, TORQUE ATÉ 60NM CSR6T N/S 31398.</t>
  </si>
  <si>
    <t>79128</t>
  </si>
  <si>
    <t>ESTAÇÃO DE TRATAMENTO DE ÁGUA - VALPARAISO/GO ESTAÇÃO DE OPERAÇÃO, MODELO: SIMATIC RAC PC ; FABRICANTE SIEMENS.</t>
  </si>
  <si>
    <t>79129</t>
  </si>
  <si>
    <t>ESTAÇÃO DE TRATAMENTO DE ÁGUA - VALPARAISO/GO ATUADOR ELÉTRICO MULTI-VOLTA, INTELIGENTE, COM COMUNICAÇÃO VIA REDE ETHERNET, TORQUE ATÉ 120NM CSR12M N/S 3140S.</t>
  </si>
  <si>
    <t>79130</t>
  </si>
  <si>
    <t>79131</t>
  </si>
  <si>
    <t>ESTAÇÃO DE TRATAMENTO DE ÁGUA - VALPARAISO/GO ATUADOR ELÉTRICO MULTI-VOLTA, INTELIGENTE, COM COMUNICAÇÃO VIA REDE ETHERNET, TORQUE ATÉ 60NM CSR6T N/S 31401.</t>
  </si>
  <si>
    <t>79132</t>
  </si>
  <si>
    <t>ESTAÇÃO DE TRATAMENTO DE ÁGUA - VALPARAISO/GO ATUADOR ELÉTRICO MULTI-VOLTA, INTELIGENTE, COM COMUNICAÇÃO VIA REDE ETHERNET, TORQUE ATÉ 120NM CSR12M N/S 31403.</t>
  </si>
  <si>
    <t>79133</t>
  </si>
  <si>
    <t>ESTAÇÃO DE TRATAMENTO DE ÁGUA - VALPARAISO/GO ATUADOR ELÉTRICO MULTI-VOLTA, INTELIGENTE, COM COMUNICAÇÃO VIA REDE ETHERNET, TORQUE ATÉ 60NM CSR6T N/S 31400.</t>
  </si>
  <si>
    <t>79134</t>
  </si>
  <si>
    <t>ESTAÇÃO DE TRATAMENTO DE ÁGUA - VALPARAISO/GO ATUADOR ELÉTRICO MULTI-VOLTA, INTELIGENTE, COM COMUNICAÇÃO VIA REDE ETHERNET, TORQUE ATÉ 120NM CSR12M N/S 31404.</t>
  </si>
  <si>
    <t>79135</t>
  </si>
  <si>
    <t>ESTAÇÃO DE TRATAMENTO DE ÁGUA - VALPARAISO/GO ATUADOR ELÉTRICO MULTI-VOLTA, INTELIGENTE, COM COMUNICAÇÃO VIA REDE ETHERNET, TORQUE ATÉ 60NM CSR6T N/S 31399.</t>
  </si>
  <si>
    <t>79136</t>
  </si>
  <si>
    <t>ESTAÇÃO DE TRATAMENTO DE ÁGUA - VALPARAISO/GO ATUADOR ELÉTRICO MULTI-VOLTA, INTELIGENTE, COM COMUNICAÇÃO VIA REDE ETHERNET, TORQUE ATÉ 250NM CSR25M N/S 29493.</t>
  </si>
  <si>
    <t>79137</t>
  </si>
  <si>
    <t>ESTAÇÃO DE TRATAMENTO DE ÁGUA - VALPARAISO/GO QUADRO DE DISTRIBUIÇÃO GERAL 01 - QUADRO DE FORÇA COMPLETO COM DISJUNTOR DE ENTRADA DE 3200A, 5 COLUNAS, DISJUNTORES DE DISTRIBUIÇÃO, MEDIDOR DE ENERGIA E DEMAIS EQUIPAMENTOS AUXILIARES.</t>
  </si>
  <si>
    <t>79138</t>
  </si>
  <si>
    <t xml:space="preserve">ESTAÇÃO DE TRATAMENTO DE ÁGUA - VALPARAISO/GO QUADRO DE EMERGÊNCIA 01 - QUADRO DE FORÇA COMPLETO COM DISJUNTOR DE ENTRADA DE 2000A, 4 COLUNAS, DISJUNTORES DE DISTRIBUIÇÃO, MEDIDOR DE ENERGIA E DEMAIS EQUIPAMENTOS AUXILIARES.
</t>
  </si>
  <si>
    <t>79139</t>
  </si>
  <si>
    <t>ESTAÇÃO DE TRATAMENTO DE ÁGUA - VALPARAISO/GO BANCO DE CAPACITORES 4Q2 - QUADRO DE EMERGÊNCIA 02 - QUADRO DE FORÇA COMPLETO COM DISJUNTOR DE ENTRADA, 2 COLUNAS, DISJUNTORES DE DISTRIBUIÇÃO, MEDIDOR DE ENERGIA E DEMAIS EQUIPAMENTOS AUXILIARES.</t>
  </si>
  <si>
    <t>79140</t>
  </si>
  <si>
    <t>ESTAÇÃO DE TRATAMENTO DE ÁGUA - VALPARAISO/GO QUADRO DE DISTRIBUIÇÃO GERAL 02 - QUADRO DE FORÇA COMPLETO COM DISJUNTOR DE ENTRADA DE 2000A, 3 COLUNAS, DISJUNTORES DE DISTRIBUIÇÃO, MEDIDOR DE ENERGIA E DEMAIS EQUIPAMENTOS AUXILIARES.</t>
  </si>
  <si>
    <t>79141</t>
  </si>
  <si>
    <t xml:space="preserve">ESTAÇÃO DE TRATAMENTO DE ÁGUA - VALPARAISO/GO COMPORTA QUADRADA DE FERRO FUNDIDO DÚCTIL COM SENTIDO DUPLO DE FLUXO (DIÂMETRO DA SEÇÃO: 1000 MM)
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</si>
  <si>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</si>
  <si>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</si>
  <si>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</si>
  <si>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</si>
  <si>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</si>
  <si>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</si>
  <si>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</si>
  <si>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</si>
  <si>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 xml:space="preserve">ESTAÇÃO DE TRATAMENTO DE ÁGUA - VALPARAISO/GO COMPORTA QUADRADA DE FERRO FUNDIDO DÚCTIL COM SENTIDO DUPLO DE FLUXO (DIÂMETRO DA SEÇÃO: 900 MM)
</t>
  </si>
  <si>
    <t>79150</t>
  </si>
  <si>
    <t>79151</t>
  </si>
  <si>
    <t>79152</t>
  </si>
  <si>
    <t>79153</t>
  </si>
  <si>
    <t xml:space="preserve">ESTAÇÃO DE TRATAMENTO DE ÁGUA - VALPARAISO/GO COMPORTA QUADRADA DE FERRO FUNDIDO DÚCTIL COM SENTIDO DUPLO DE FLUXO (DIÂMETRO DA SEÇÃO: 700 MM)
</t>
  </si>
  <si>
    <t>79154</t>
  </si>
  <si>
    <t>79155</t>
  </si>
  <si>
    <t>79156</t>
  </si>
  <si>
    <t>79384</t>
  </si>
  <si>
    <t xml:space="preserve">ESTAÇÃO DE TRATAMENTO DE ÁGUA - VALPARAISO/GO SWITCH COM 24 PORTAS, CONFORME ESPECIFICAÇÕES.
</t>
  </si>
  <si>
    <t>79385</t>
  </si>
  <si>
    <t>ESTAÇÃO DE RECALQUE - ÁGUA - DF QEM - QD EMERGÊNCIA - QUADRO DE DISTRIBUIÇÃO DE ENERGIA DO GERADOR DE FORÇA EM B.T</t>
  </si>
  <si>
    <t>79386</t>
  </si>
  <si>
    <t>ESTAÇÃO DE RECALQUE - ÁGUA - DF QES - QFL- EMERGÊNCIA - QUADRO DE FORÇA, LUZ E DISTRIBUIÇÃO DO NO-BREAK</t>
  </si>
  <si>
    <t>79387</t>
  </si>
  <si>
    <t>ESTAÇÃO DE RECALQUE - ÁGUA - DF CCM-RE QF- RESERVATÓRIOS - QUADRO DE FORÇA, COMANDO E CONTROLE, INCLUINDO DISJUNTORES, MEDIDOR</t>
  </si>
  <si>
    <t>79388</t>
  </si>
  <si>
    <t>ESTAÇÃO DE RECALQUE - ÁGUA - DF QGDFL - QFL - ELEVATÓRIA DE ÁGUA TRATADA - QUADRO DE FORÇA</t>
  </si>
  <si>
    <t>Subestação elétrica</t>
  </si>
  <si>
    <t>Subestação 01 - próximo ao bloco hidraúlico</t>
  </si>
  <si>
    <t>Subestação 02 - próximo ao SDL</t>
  </si>
  <si>
    <t>TAPQ - atuadores das comportas de entrada e saída</t>
  </si>
  <si>
    <t>74887</t>
  </si>
  <si>
    <t>ESTAÇÃO DE TRATAMENTO DE ESGOTOS - ÁGUAS LINDAS TURBIDÍMETRO TU5300 - HATC</t>
  </si>
  <si>
    <t>79682</t>
  </si>
  <si>
    <t xml:space="preserve">ESTAÇÃO DE TRATAMENTO DE ÁGUA - VALPARAISO/GO MEDIDOR DE TURBIDEZ TU5300SC
</t>
  </si>
  <si>
    <t>79683</t>
  </si>
  <si>
    <t>79684</t>
  </si>
  <si>
    <t>79685</t>
  </si>
  <si>
    <t>Inventário: MAIO/2024</t>
  </si>
  <si>
    <t>Equipamento retirado pela PMIM para reparo no SIA, em 2/03/2024.</t>
  </si>
  <si>
    <t xml:space="preserve">AR CONDICIONADO AR CONDICIONADO INVERTER (UNIDADE CONDENSADORA/EVAPORADORA) SPRINGER MIDEA9000BTUS
</t>
  </si>
  <si>
    <t>AR CONDICIONADO AR CONDICIONADO INVERTER (UNIDADE CONDENSADORA/EVAPORADORA) SPRINGER MIDEA9000BTUS</t>
  </si>
  <si>
    <t xml:space="preserve">AR CONDICIONADO AR CONDICIONADO INVERTER (UNIDADE CONDENSADORA/EVAPORADORA) SPRINGER MIDEA18000BTUS
</t>
  </si>
  <si>
    <t xml:space="preserve">AR CONDICIONADO AR CONDICIONADO INVERTER (UNIDADE CONDENSADORA/EVAPORADORA) SPRINGER MIDEA24000BTUS
</t>
  </si>
  <si>
    <t>AR CONDICIONADO AR CONDICIONADO INVERTER (UNIDADE CONDENSADORA/EVAPORADORA) ELGIN 36000BTUS</t>
  </si>
  <si>
    <t>Prédio - maquiagem</t>
  </si>
  <si>
    <t>Prédio - apoio à operação</t>
  </si>
  <si>
    <t>40010</t>
  </si>
  <si>
    <t>MESA MESA DE MADEIRA COM TROS GAVETAS DIM.0.70X1.20M</t>
  </si>
  <si>
    <t>500518</t>
  </si>
  <si>
    <t>20407000</t>
  </si>
  <si>
    <t>REGULAR</t>
  </si>
  <si>
    <t>63918</t>
  </si>
  <si>
    <t>63919</t>
  </si>
  <si>
    <t>63920</t>
  </si>
  <si>
    <t>63934</t>
  </si>
  <si>
    <t>63935</t>
  </si>
  <si>
    <t>63936</t>
  </si>
  <si>
    <t>63937</t>
  </si>
  <si>
    <t>63938</t>
  </si>
  <si>
    <t>63939</t>
  </si>
  <si>
    <t>63940</t>
  </si>
  <si>
    <t>63942</t>
  </si>
  <si>
    <t>63943</t>
  </si>
  <si>
    <t>63944</t>
  </si>
  <si>
    <t>63945</t>
  </si>
  <si>
    <t>63946</t>
  </si>
  <si>
    <t>63948</t>
  </si>
  <si>
    <t>63949</t>
  </si>
  <si>
    <t>63950</t>
  </si>
  <si>
    <t>67499</t>
  </si>
  <si>
    <t>67507</t>
  </si>
  <si>
    <t>67509</t>
  </si>
  <si>
    <t>67510</t>
  </si>
  <si>
    <t>67511</t>
  </si>
  <si>
    <t>67512</t>
  </si>
  <si>
    <t>67513</t>
  </si>
  <si>
    <t>67515</t>
  </si>
  <si>
    <t>67545</t>
  </si>
  <si>
    <t>67546</t>
  </si>
  <si>
    <t>67547</t>
  </si>
  <si>
    <t>67549</t>
  </si>
  <si>
    <t>67550</t>
  </si>
  <si>
    <t>67551</t>
  </si>
  <si>
    <t>67552</t>
  </si>
  <si>
    <t>67553</t>
  </si>
  <si>
    <t>67622</t>
  </si>
  <si>
    <t>67623</t>
  </si>
  <si>
    <t>67654</t>
  </si>
  <si>
    <t>67655</t>
  </si>
  <si>
    <t>67656</t>
  </si>
  <si>
    <t>67662</t>
  </si>
  <si>
    <t>67663</t>
  </si>
  <si>
    <t>67664</t>
  </si>
  <si>
    <t>67665</t>
  </si>
  <si>
    <t>67666</t>
  </si>
  <si>
    <t>69124</t>
  </si>
  <si>
    <t>69125</t>
  </si>
  <si>
    <t>69126</t>
  </si>
  <si>
    <t>74924</t>
  </si>
  <si>
    <t>75735</t>
  </si>
  <si>
    <t>75736</t>
  </si>
  <si>
    <t>75737</t>
  </si>
  <si>
    <t>75738</t>
  </si>
  <si>
    <t>75739</t>
  </si>
  <si>
    <t>75740</t>
  </si>
  <si>
    <t>75741</t>
  </si>
  <si>
    <t>75742</t>
  </si>
  <si>
    <t>75743</t>
  </si>
  <si>
    <t>75744</t>
  </si>
  <si>
    <t>75745</t>
  </si>
  <si>
    <t>75746</t>
  </si>
  <si>
    <t>75789</t>
  </si>
  <si>
    <t>76364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</si>
  <si>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</si>
  <si>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</si>
  <si>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</si>
  <si>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</si>
  <si>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</si>
  <si>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</si>
  <si>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</si>
  <si>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</si>
  <si>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</si>
  <si>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</si>
  <si>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</si>
  <si>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</si>
  <si>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</si>
  <si>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</si>
  <si>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</si>
  <si>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</si>
  <si>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</si>
  <si>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</si>
  <si>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</si>
  <si>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</si>
  <si>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</si>
  <si>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</si>
  <si>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</si>
  <si>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</si>
  <si>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</si>
  <si>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</si>
  <si>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</si>
  <si>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</si>
  <si>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</si>
  <si>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</si>
  <si>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</si>
  <si>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</si>
  <si>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</si>
  <si>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</si>
  <si>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</si>
  <si>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</si>
  <si>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</si>
  <si>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</si>
  <si>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</si>
  <si>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</si>
  <si>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</si>
  <si>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</si>
  <si>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</si>
  <si>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</si>
  <si>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</si>
  <si>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</si>
  <si>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</si>
  <si>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</si>
  <si>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</si>
  <si>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</si>
  <si>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</si>
  <si>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</si>
  <si>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</si>
  <si>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</si>
  <si>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</si>
  <si>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</si>
  <si>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</si>
  <si>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</si>
  <si>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</si>
  <si>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</si>
  <si>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</si>
  <si>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</si>
  <si>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</si>
  <si>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</si>
  <si>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</si>
  <si>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</si>
  <si>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</si>
  <si>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</si>
  <si>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</si>
  <si>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</si>
  <si>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</si>
  <si>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</si>
  <si>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</si>
  <si>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</si>
  <si>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</si>
  <si>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</si>
  <si>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</si>
  <si>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</si>
  <si>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</si>
  <si>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</si>
  <si>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</si>
  <si>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</si>
  <si>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</si>
  <si>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</si>
  <si>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</si>
  <si>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</si>
  <si>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</si>
  <si>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</si>
  <si>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</si>
  <si>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</si>
  <si>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</si>
  <si>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</si>
  <si>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</si>
  <si>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</si>
  <si>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</si>
  <si>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</si>
  <si>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</si>
  <si>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</si>
  <si>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</si>
  <si>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</si>
  <si>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</si>
  <si>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</si>
  <si>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</si>
  <si>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</si>
  <si>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</si>
  <si>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</si>
  <si>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</si>
  <si>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</si>
  <si>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</si>
  <si>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</si>
  <si>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</si>
  <si>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</si>
  <si>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77648</t>
  </si>
  <si>
    <t>77649</t>
  </si>
  <si>
    <t>77650</t>
  </si>
  <si>
    <t>77651</t>
  </si>
  <si>
    <t>77652</t>
  </si>
  <si>
    <t>77653</t>
  </si>
  <si>
    <t>77654</t>
  </si>
  <si>
    <t>77655</t>
  </si>
  <si>
    <t>77656</t>
  </si>
  <si>
    <t>77657</t>
  </si>
  <si>
    <t>77658</t>
  </si>
  <si>
    <t>77659</t>
  </si>
  <si>
    <t>77660</t>
  </si>
  <si>
    <t>77661</t>
  </si>
  <si>
    <t>77662</t>
  </si>
  <si>
    <t>77663</t>
  </si>
  <si>
    <t>77664</t>
  </si>
  <si>
    <t>77665</t>
  </si>
  <si>
    <t>77666</t>
  </si>
  <si>
    <t>77667</t>
  </si>
  <si>
    <t>77668</t>
  </si>
  <si>
    <t>77669</t>
  </si>
  <si>
    <t>77670</t>
  </si>
  <si>
    <t>77671</t>
  </si>
  <si>
    <t>77672</t>
  </si>
  <si>
    <t>77673</t>
  </si>
  <si>
    <t>77674</t>
  </si>
  <si>
    <t>77675</t>
  </si>
  <si>
    <t>77676</t>
  </si>
  <si>
    <t>77677</t>
  </si>
  <si>
    <t>77678</t>
  </si>
  <si>
    <t>77679</t>
  </si>
  <si>
    <t>77680</t>
  </si>
  <si>
    <t>77681</t>
  </si>
  <si>
    <t>77682</t>
  </si>
  <si>
    <t>77683</t>
  </si>
  <si>
    <t>77684</t>
  </si>
  <si>
    <t>77685</t>
  </si>
  <si>
    <t>77686</t>
  </si>
  <si>
    <t>77687</t>
  </si>
  <si>
    <t>77688</t>
  </si>
  <si>
    <t>77689</t>
  </si>
  <si>
    <t>77690</t>
  </si>
  <si>
    <t>77691</t>
  </si>
  <si>
    <t>77692</t>
  </si>
  <si>
    <t>77693</t>
  </si>
  <si>
    <t>77694</t>
  </si>
  <si>
    <t>77695</t>
  </si>
  <si>
    <t>77696</t>
  </si>
  <si>
    <t>77697</t>
  </si>
  <si>
    <t>77698</t>
  </si>
  <si>
    <t>77699</t>
  </si>
  <si>
    <t>77700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</si>
  <si>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</si>
  <si>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</si>
  <si>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</si>
  <si>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</si>
  <si>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</si>
  <si>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</si>
  <si>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</si>
  <si>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</si>
  <si>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</si>
  <si>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</si>
  <si>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77711</t>
  </si>
  <si>
    <t>77712</t>
  </si>
  <si>
    <t>77713</t>
  </si>
  <si>
    <t>77714</t>
  </si>
  <si>
    <t>77715</t>
  </si>
  <si>
    <t>77716</t>
  </si>
  <si>
    <t>77717</t>
  </si>
  <si>
    <t>77718</t>
  </si>
  <si>
    <t>77719</t>
  </si>
  <si>
    <t>77720</t>
  </si>
  <si>
    <t>77721</t>
  </si>
  <si>
    <t>77722</t>
  </si>
  <si>
    <t>77723</t>
  </si>
  <si>
    <t>77724</t>
  </si>
  <si>
    <t>77725</t>
  </si>
  <si>
    <t>77726</t>
  </si>
  <si>
    <t>77727</t>
  </si>
  <si>
    <t>77728</t>
  </si>
  <si>
    <t>77729</t>
  </si>
  <si>
    <t>77730</t>
  </si>
  <si>
    <t>77731</t>
  </si>
  <si>
    <t>77732</t>
  </si>
  <si>
    <t>77733</t>
  </si>
  <si>
    <t>77734</t>
  </si>
  <si>
    <t>77735</t>
  </si>
  <si>
    <t>77736</t>
  </si>
  <si>
    <t>77737</t>
  </si>
  <si>
    <t>77738</t>
  </si>
  <si>
    <t>77739</t>
  </si>
  <si>
    <t>77740</t>
  </si>
  <si>
    <t>77741</t>
  </si>
  <si>
    <t>77744</t>
  </si>
  <si>
    <t>ESTAÇÃO DE TRATAMENTO DE ÁGUA - VALPARAISO/GO 	
CONJUNTO MOTOR E BOMBA PERISTALTICA MODELO BREDEL- 65/6/2 EPDM/PP 20RPM 5,5KW</t>
  </si>
  <si>
    <t>77745</t>
  </si>
  <si>
    <t>77746</t>
  </si>
  <si>
    <t>77747</t>
  </si>
  <si>
    <t>77759</t>
  </si>
  <si>
    <t>77760</t>
  </si>
  <si>
    <t>77761</t>
  </si>
  <si>
    <t>77762</t>
  </si>
  <si>
    <t>77763</t>
  </si>
  <si>
    <t>77764</t>
  </si>
  <si>
    <t>77765</t>
  </si>
  <si>
    <t>77766</t>
  </si>
  <si>
    <t>77767</t>
  </si>
  <si>
    <t>77768</t>
  </si>
  <si>
    <t>77769</t>
  </si>
  <si>
    <t>77770</t>
  </si>
  <si>
    <t>77771</t>
  </si>
  <si>
    <t>77772</t>
  </si>
  <si>
    <t>77773</t>
  </si>
  <si>
    <t>77774</t>
  </si>
  <si>
    <t>77775</t>
  </si>
  <si>
    <t>77776</t>
  </si>
  <si>
    <t>77777</t>
  </si>
  <si>
    <t>77778</t>
  </si>
  <si>
    <t>77779</t>
  </si>
  <si>
    <t>77780</t>
  </si>
  <si>
    <t>77781</t>
  </si>
  <si>
    <t>77782</t>
  </si>
  <si>
    <t>77783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</si>
  <si>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</si>
  <si>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</si>
  <si>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</si>
  <si>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</si>
  <si>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</si>
  <si>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</si>
  <si>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</si>
  <si>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</si>
  <si>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77793</t>
  </si>
  <si>
    <t>77794</t>
  </si>
  <si>
    <t>77795</t>
  </si>
  <si>
    <t>77796</t>
  </si>
  <si>
    <t>77797</t>
  </si>
  <si>
    <t>77798</t>
  </si>
  <si>
    <t>77799</t>
  </si>
  <si>
    <t>77800</t>
  </si>
  <si>
    <t>77801</t>
  </si>
  <si>
    <t>77826</t>
  </si>
  <si>
    <t>77902</t>
  </si>
  <si>
    <t>77903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</si>
  <si>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</si>
  <si>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</si>
  <si>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</si>
  <si>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</si>
  <si>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</si>
  <si>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</si>
  <si>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</si>
  <si>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</si>
  <si>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</si>
  <si>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</si>
  <si>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</si>
  <si>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</si>
  <si>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</si>
  <si>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</si>
  <si>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</si>
  <si>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</si>
  <si>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</si>
  <si>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</si>
  <si>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78346</t>
  </si>
  <si>
    <t>78347</t>
  </si>
  <si>
    <t>78348</t>
  </si>
  <si>
    <t>78349</t>
  </si>
  <si>
    <t>78350</t>
  </si>
  <si>
    <t>78351</t>
  </si>
  <si>
    <t>78352</t>
  </si>
  <si>
    <t>78655</t>
  </si>
  <si>
    <t xml:space="preserve">ESTAÇÃO DE TRATAMENTO DE ÁGUA - VALPARAISO/GO MEDIDOR DE VAZÃO (MARCA SIEMENS MODELO MAG 6000). N DE ORDEM: 7ME69201AA101AA0. N° DE SÉRIE: N1MD215156. 
					</t>
  </si>
  <si>
    <t xml:space="preserve">ESTAÇÃO DE TRATAMENTO DE ÁGUA - VALPARAISO/GO ATUADOR ELÉTRICO MULTI-VOLTA, INTELIGENTE, COM COMUNICAÇÃO VIA REDE ETHERNET, TORQUE ATÉ 120NM CSR12M N/S 31402.
					</t>
  </si>
  <si>
    <t>Obs. Durante Inventário: MAIO/2024</t>
  </si>
  <si>
    <t>Processo - nova localização específica</t>
  </si>
  <si>
    <t>Processo - localização antiga</t>
  </si>
  <si>
    <t>Data - Pesquisa</t>
  </si>
  <si>
    <t>53468</t>
  </si>
  <si>
    <t>MISTURADOR MISTURADOR SUBMERSÍVEL 380V, COM MOTOR DE 2,2 KW, TENSÃO DE LIGAÇÃO 220/380/440V. MARCA ABS. Nº DE SÉRIE: 000400.</t>
  </si>
  <si>
    <t>67903</t>
  </si>
  <si>
    <t>67909</t>
  </si>
  <si>
    <t>67910</t>
  </si>
  <si>
    <t>67912</t>
  </si>
  <si>
    <t>67913</t>
  </si>
  <si>
    <t>67914</t>
  </si>
  <si>
    <t>79906</t>
  </si>
  <si>
    <t>CONTADOR  MEDIDOR DE VAZÃO MARCA NIVUS - Nº/S 2224NF61514</t>
  </si>
  <si>
    <t>Prédio - depósito de bens</t>
  </si>
  <si>
    <t>ESTAÇÃO DE TRATAMENTO DE ESGOTOS - DF BOMBAS SUBMERSÍVEIS DE RECIRCULAÇÃO DE ESGOTO COM MOSTRADOR</t>
  </si>
  <si>
    <t>OBS. INVETÁRIO 2024:</t>
  </si>
  <si>
    <t>INVENTÁRIO 2024: Set/ Out.:</t>
  </si>
  <si>
    <t xml:space="preserve">Bem é um software. </t>
  </si>
  <si>
    <t>PPAV - GERÊNCIA OPERACIONAL DO SISTEMA PRODUTOR CORUMBÁ</t>
  </si>
  <si>
    <t>Bem localizado na oficinas de atuadores na M-Norte. Movimentação realizada pelo GINPA em 02/10/024 - Juan Rodrigo PMIAI.</t>
  </si>
  <si>
    <t>Bem se encontra na oficina SIA. Bem transferido pelo GINPA em 02/10/2024, para a PMIMS - Divandir Bernardo.</t>
  </si>
  <si>
    <t>Bem sem plaqueta. Ação para a SSAP. Concluída em 14/10/2024.</t>
  </si>
  <si>
    <t>LOCALIZAÇÃO:</t>
  </si>
  <si>
    <t>Juan Rodrigo Silva Gonzalez</t>
  </si>
  <si>
    <t>Obs. Durante Inventário: FEV/2025</t>
  </si>
  <si>
    <t>INVENTÁRIO FEV/2025</t>
  </si>
  <si>
    <t>Haroldo Rodrigues da Costa</t>
  </si>
  <si>
    <t>7769/2025</t>
  </si>
  <si>
    <t>68372</t>
  </si>
  <si>
    <t>ESTAÇÃO DE RECALQUE - ÁGUA - DF QA REMOTA: RACK REMOTO COMPLETO INCLUÍNDO RACKS , MÓDULOS DE E/S, FONTES, MÓDULOS DE COMUNICAÇÃO,PROTETORES, TRANCEIVERS E TODOS OS EQUIPAMENTOS AUXILIARES, 3 UNIDADES - SWITCH INDUSTRIAL GERENCIÁVEL LAYER 2 (STRATIX 5700), EQUIPAMENTO ESTE QUE TEM 16 PORTAS METÁLICAS + 4 PORTAS DE FIBRA + 2 PORTAS METÁLICAS GIGA E SWITCH GERENCIÁVEL.</t>
  </si>
  <si>
    <t>ESTAÇÃO DE RECALQUE - ÁGUA - DF QUADRO CLP - QUADRO DE FORÇA, COMANDO E CONTROLE, COMPLETO INCLUINDO DISJUNTORES, PROTETORES DE SURTO, IHM 12 E DEMAIS EQUIPAMENTOS AUXILIARES, PARA ABRIGAR CLP E RACK REMOTO, SWITCH INDUSTRIAL GERENCIÁVEL LAYER 3 COM 10 PORTAS, SWITCH INDUSTRIAL GERENCIÁVEL LAYER 2 COM 10 PORTAS, CPUS E EQUIPAMENTOS DE AUTOMAÇÃO.</t>
  </si>
  <si>
    <t>NOTEBOOK MAQ AUT HP PB640G8 I5-1145G7 14 16GB/512 ACOMPANHA WINDOWS 11 PR</t>
  </si>
  <si>
    <t>RESERVATÓRIOS - DF VÁLVULA BORBOLETA DE FERRO FUNDIDO FLANGEADA COM ATUADOR ELÉTRICO ESPECIAL (CLASSE DE PRESSÃO: 10 KGF/CM² / DIÂMETRO DA SEÇÃO: 800 MM)</t>
  </si>
  <si>
    <t>ESTAÇÃO DE TRATAMENTO DE ÁGUA - VALPARAISO/GO FLOCULADOR MECÂNICO DE EIXO VERTICAL COM TURBINA DE FLUXO AXIAL, ALTURA ÚTIL DE 3,60 M, POTÊNCIA DE 2 KW, INSTALADOS EM 4 FLOCULADORES, COM 4 CÂMARAS, CADA</t>
  </si>
  <si>
    <t>ESTAÇÃO DE TRATAMENTO DE ÁGUA - VALPARAISO/GO REMOVEDOR MECÂNICO DE LODO FLOTADO, COMPRIMENTO DE 14,00 M, LARGURA DE 10,80 M E POTÊNCIA (MÁX.) DE 1 KW PARA  4 FLOTADORES</t>
  </si>
  <si>
    <t>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</t>
  </si>
  <si>
    <t>ESTAÇÃO DE TRATAMENTO DE ÁGUA - VALPARAISO/GO MEDIDOR DE VAZÃO ELETROMAGNÉTICO, PARA TRABALHO COM VAZÃO OPERACIONAL ENTRE 30 E 45 L/S, COM DIÂMETRO NOMINAL DE 200 MM, CONEXÕES POR FLANGE  DO TIPO DIN 2501 / EN 1092-1</t>
  </si>
  <si>
    <t>ESTAÇÃO DE TRATAMENTO DE ÁGUA - VALPARAISO/GO CONJUNTO MOTOR-BOMBA, DO TIPO CENTRÍFUGA, HORIZONTAL,  VAZÃO 40.8 L/S,  ALTURA MANOMÉTRICA DE 75,84 MCA, POTÊNCIA NOMINAL DE 55 CV.</t>
  </si>
  <si>
    <t>ESTAÇÃO DE TRATAMENTO DE ÁGUA - VALPARAISO/GO CONJUNTO MOTOR-BOMBA, DO TIPO HELICOIDAL, HORIZONTAL,  VAZÃO 1,38 L/S,  ALTURA MANOMÉTRICA DE 10 MCA, POTÊNCIA NOMINAL DE 2,5 KW</t>
  </si>
  <si>
    <t>ESTAÇÃO DE TRATAMENTO DE ÁGUA - VALPARAISO/GO COMPORTA INOX AISI 304, ACIONAMENTO ATRAVÉS DE ATUADOR ELÉTRICO, MEDIDAS DO CANAL: 0,7M (H) X 0,7M (L), MEDIDAS DA COMPORTA: 0,94M (H) X 0,94M (L), ALTURA TOTAL: 5,02 M</t>
  </si>
  <si>
    <t>ESTAÇÃO DE TRATAMENTO DE ÁGUA - VALPARAISO/GO COMPORTA CONSTRUÍDA EM INOX AISI 304, ACIONAMENTO ATRAVÉS DE ATUADOR ELÉTRICO, MEDIDAS DO CANAL: 0,52M (H) X 1,2M (L), MEDIDAS DA COMPORTA: 0,84M (H) X 1,34M (L), ALTURA TOTAL: 0,84 M</t>
  </si>
  <si>
    <t>ESTAÇÃO DE TRATAMENTO DE ÁGUA - VALPARAISO/GO VÁLVULA BORBOLETA AWWA / EIXO LIVRE, DN 600MM, ACIONAMENTO ELÉTRICO</t>
  </si>
  <si>
    <t>ESTAÇÃO DE TRATAMENTO DE ÁGUA - VALPARAISO/GO VÁLVULA BORBOLETA AWWA / EIXO LIVRE, DN 200MM, ACIONAMENTO ELÉTRICO</t>
  </si>
  <si>
    <t>ESTAÇÃO DE TRATAMENTO DE ÁGUA - VALPARAISO/GO VÁLVULA, TIPO BORBOLETA AWWA / EIXO LIVRE, DN 300MM, ACIONAMENTO ELÉTRICO</t>
  </si>
  <si>
    <t>ESTAÇÃO DE TRATAMENTO DE ÁGUA - VALPARAISO/GO VÁLVULA DE GAVETA COM VOLANTE, DN 100MM, ACIONAMENTO ELÉTRICO</t>
  </si>
  <si>
    <t>ESTAÇÃO DE TRATAMENTO DE ÁGUA - VALPARAISO/GO VÁLVULA DE GAVETA COM VOLANTE, DN 200MM, ACIONAMENTO ELÉTRICO</t>
  </si>
  <si>
    <t xml:space="preserve">ESTAÇÃO DE TRATAMENTO DE ÁGUA - VALPARAISO/GO TANQUE DE SATURAÇÃO, EM AÇO CARBONO, DIÂMETRO DE 1.600 MM, ALTURA CILÍNDRICA 1.000 MM, FABRICADO EM ASTM A-516 GR 70, PRESSÃO DE OPERAÇÃO MÁXIMA  DE 7 KG/CM² </t>
  </si>
  <si>
    <t>ESTAÇÃO DE TRATAMENTO DE ÁGUA - VALPARAISO/GO VÁLVULA BORBOLETA DE FERRO FUNDIDO FLANGEADA COM ATUADOR ELÉTRICO ESPECIAL (CLASSE DE PRESSÃO: 10 KGF/CM² / DIÂMETRO DA SEÇÃO: 300 MM)</t>
  </si>
  <si>
    <t>ESTAÇÃO DE TRATAMENTO DE ÁGUA - VALPARAISO/GO VÁLVULA BORBOLETA DE FERRO FUNDIDO FLANGEADA COM ATUADOR ELÉTRICO ESPECIAL (CLASSE DE PRESSÃO: 10 KGF/CM² / DIÂMETRO DA SEÇÃO: 600 MM)</t>
  </si>
  <si>
    <t>ESTAÇÃO DE TRATAMENTO DE ÁGUA - VALPARAISO/GO AGITADOR MECÂNICO DE EIXO VERTICAL, TIPO TURBINA, P/ CÂMARA DE FLOCULAÇÃO, COMPLETO. CONFORME ESPECIFICAÇÃO.</t>
  </si>
  <si>
    <t>ESTAÇÃO DE TRATAMENTO DE ÁGUA - VALPARAISO/GO BOMBA CENTRÍFUGA DE EIXO HORIZONTAL PARA RESERVATÓRIO ELEVADO</t>
  </si>
  <si>
    <t>ESTAÇÃO DE TRATAMENTO DE ÁGUA - VALPARAISO/GO BOMBA HELICOIDAL PARA O RECALQUE DO LODO FLOTADO, COMPLETA, CONFORME ESPECIFICAÇÃO</t>
  </si>
  <si>
    <t>ESTAÇÃO DE TRATAMENTO DE ÁGUA - VALPARAISO/GO COMPRESSOR PARA ALIMENTAÇÃO DO SATURADOR. COMPLETO, CONFORME ESPECIFICAÇÃO</t>
  </si>
  <si>
    <t>ESTAÇÃO DE TRATAMENTO DE ÁGUA - VALPARAISO/GO CONJUNTO MOTOR BOMBA PARA ALIMENTAÇÃO DO SATURADOR, COMPLETO, CONFORME ESPECIFICAÇÃO</t>
  </si>
  <si>
    <t>ESTAÇÃO DE TRATAMENTO DE ÁGUA - VALPARAISO/GO MEDIDOR ELETROMAGNÉTICO DE VAZÃO, COM FLANGES Ø200MM</t>
  </si>
  <si>
    <t>ESTAÇÃO DE TRATAMENTO DE ÁGUA - VALPARAISO/GO REMOVEDOR MECÂNICO DE LODO FLOTADO, DO TIPO COM CORRENTES, PARA FLOTADOR RETANGULAR, COMPLETO COM "PRAIA" PARA RETIRADA DE LODO E VERTEDOR DE SAÍDA, CONFORME ESPECIFICAÇÃO</t>
  </si>
  <si>
    <t>ESTAÇÃO DE TRATAMENTO DE ÁGUA - VALPARAISO/GO SATURADOR PARA FLOTAÇÃO COM DIÂMETRO DE 1,50 M, COMPLETO, CONFORME ESPECIFICAÇÃO</t>
  </si>
  <si>
    <t>ESTAÇÃO DE TRATAMENTO DE ÁGUA - VALPARAISO/GO SOPRADOR PARA LAVAGEM DOS FILTROS, COMPLETO, CONFORME ESPECIFICAÇÃO</t>
  </si>
  <si>
    <t>ESTAÇÃO DE TRATAMENTO DE ÁGUA - VALPARAISO/GO VÁLVULA BORBOLETA, COM ACIONAMENTO ELÉTRICO, COM FLANGES PN-10, COMPLETA - DIÂMETRO 200 MM</t>
  </si>
  <si>
    <t>ESTAÇÃO DE TRATAMENTO DE ÁGUA - VALPARAISO/GO CONJUNTO MOTOR BOMBA PARA LAVAGEM DOS FILTROS, COMPLETA, CONFORME ESPECIFICAÇÃO</t>
  </si>
  <si>
    <t>ESTAÇÃO DE TRATAMENTO DE ÁGUA - VALPARAISO/GO BOMBA HELICOIDAL PARA O RECALQUE DE LODO DO TANQUE DE LODO PARA CENTRÍFUGA, COMPLETA, CONFORME ESPECIFICAÇÃO</t>
  </si>
  <si>
    <t>ESTAÇÃO DE TRATAMENTO DE ÁGUA - VALPARAISO/GO BOMBAS DOSADORAS PARA DOSAGEM DE SOLUÇÃO DE POLÍMERO, COMPLETA, CONFORME ESPECIFICAÇÃO</t>
  </si>
  <si>
    <t>ESTAÇÃO DE TRATAMENTO DE ÁGUA - VALPARAISO/GO CENTRÍFUGA DO TIPO "DECANTER" PARA DESIDRATAÇÃO DE LODO, COMPLETA, CONFORME ESPECIFICAÇÃO</t>
  </si>
  <si>
    <t>ESTAÇÃO DE TRATAMENTO DE ÁGUA - VALPARAISO/GO EQUIPAMENTO PARA PREPARO DE SOLUÇÃO DE POLÍMEROS, COMPLETO, CONF. ESPECIFICAÇÃO</t>
  </si>
  <si>
    <t>ESTAÇÃO DE TRATAMENTO DE ÁGUA - VALPARAISO/GO 	CONJUNTO MOTOR E BOMBA PERISTALTICA MODELO BREDEL- 65/6/2 EPDM/PP 20RPM 5,5KW</t>
  </si>
  <si>
    <t>ESTAÇÃO DE TRATAMENTO DE ÁGUA - VALPARAISO/GO MISTURADOR FLUTUANTE PARA TANQUE DE LODO FLOTADO, COMPLETO</t>
  </si>
  <si>
    <t>ESTAÇÃO DE TRATAMENTO DE ÁGUA - VALPARAISO/GO BALANÇA RODOVIÁRIA COMPLETA</t>
  </si>
  <si>
    <t>ESTAÇÃO DE TRATAMENTO DE ÁGUA - VALPARAISO/GO DETECTOR DE CLORO PARA DOIS PONTOS,COMPLETO, CONFORME ESPECIFICAÇÃO</t>
  </si>
  <si>
    <t>ESTAÇÃO DE TRATAMENTO DE ÁGUA - VALPARAISO/GO EVAPORADOR DE CLORO, COMPLETO, CONFORME ESPECIFICAÇÃO</t>
  </si>
  <si>
    <t>ESTAÇÃO DE TRATAMENTO DE ÁGUA - VALPARAISO/GO EVAPORADOR DE CLORO, COMPLETOS, CONFORME ESPECIFICAÇÃO</t>
  </si>
  <si>
    <t>ESTAÇÃO DE TRATAMENTO DE ÁGUA - VALPARAISO/GO SISTEMA DE TROCA AUTOMÁTICA DE CARRETAS DE CLORO, COMPLETOS, CONFORME ESPECIFICAÇÃO</t>
  </si>
  <si>
    <t>ESTAÇÃO DE TRATAMENTO DE ÁGUA - VALPARAISO/GO BOMBA DOSADORA DO TIPO DIAFRAGMA PARA DOSAGEM DE ÁCIDO FLUOSSILÍCICO, COMPLETA, CONFORME ESPECIFICAÇÃO</t>
  </si>
  <si>
    <t>ESTAÇÃO DE TRATAMENTO DE ÁGUA - VALPARAISO/GO BOMBA DOSADORA DO TIPO DIAFRAGMA PARA RECALQUE DE COAGULANTE, COMPLETA, CONFORME ESPECIFICAÇÃO</t>
  </si>
  <si>
    <t>ESTAÇÃO DE TRATAMENTO DE ÁGUA - VALPARAISO/GO BOMBA DOSADORA DO TIPO DIAFRAGMA, PARA DOSAGEM DE SOLUÇÃO DE PERMANGANATO, COMPLETA, CONFORME ESPECIFICAÇÃO</t>
  </si>
  <si>
    <t>ESTAÇÃO DE TRATAMENTO DE ÁGUA - VALPARAISO/GO BOMBAS PARA AMOSTRAGEM DE ÁGUA FLOTADA FILTRADA E ÁGUA TRATADA, COMPLETAS</t>
  </si>
  <si>
    <t>ESTAÇÃO DE TRATAMENTO DE ÁGUA - VALPARAISO/GO BOMBA PARA AMOSTRAGEM DE ÁGUA FLOTADA FILTRADA E ÁGUA TRATADA, COMPLETAS</t>
  </si>
  <si>
    <t>ESTAÇÃO DE TRATAMENTO DE ÁGUA - VALPARAISO/GO EQUIPAMENTO PARA PREPARO DE SOLUÇÃO DE PERMANGANATO , COMPLETO</t>
  </si>
  <si>
    <t>ESTAÇÃO DE TRATAMENTO DE ÁGUA - VALPARAISO/GO EQUIPAMENTO PARA PREPARO DE SOLUÇÃO DE POLÍMERO, COMPLETO</t>
  </si>
  <si>
    <t>ESTAÇÃO DE TRATAMENTO DE ÁGUA - VALPARAISO/GO BALANÇA RODOVIÁRIA COMPLETA, CONFORME ESPECIFICAÇÕES TÉCNICAS - FORNECIMENTO, MONTAGEM E INSTALAÇÃO</t>
  </si>
  <si>
    <t>ESTAÇÃO DE TRATAMENTO DE ÁGUA - VALPARAISO/GO CONJUNTO MOTOR BOMBA PARA RECIRCULAÇÃO DA ÁGUA DE LAVAGEM DOS FILTROS, COMPLETO, CONFORME ESPECIFICAÇÃO</t>
  </si>
  <si>
    <t>ESTAÇÃO DE TRATAMENTO DE ÁGUA - VALPARAISO/GO MISTURADOR FLUTUANTE PARA TANQUE DE ÁGUA DE LAVAGEM DOS FILTROS, COMPLETO, CONFORME ESPECIFICAÇÃO</t>
  </si>
  <si>
    <t>AR CONDICIONADO AR CONDICIONADO INVERTER (UNIDADE CONDENSADORA/EVAPORADORA) SPRINGER MIDEA18000BTUS</t>
  </si>
  <si>
    <t>AR CONDICIONADO AR CONDICIONADO INVERTER (UNIDADE CONDENSADORA/EVAPORADORA) SPRINGER MIDEA24000BTUS</t>
  </si>
  <si>
    <t>ESTAÇÃO DE TRATAMENTO DE ÁGUA - VALPARAISO/GO MEDIDOR DE NÍVEL</t>
  </si>
  <si>
    <t>ESTAÇÃO DE TRATAMENTO DE ÁGUA - VALPARAISO/GO MEDIDOR DE TURBIDEZ</t>
  </si>
  <si>
    <t>ESTAÇÃO DE TRATAMENTO DE ÁGUA - VALPARAISO/GO MEDIDOR DE PRESSÃO</t>
  </si>
  <si>
    <t xml:space="preserve">ESTAÇÃO DE TRATAMENTO DE ÁGUA - VALPARAISO/GO MEDIDOR DE VAZÃO (MARCA SIEMENS MODELO MAG 6000). N DE ORDEM: 7ME69201AA101AA0. N° DE SÉRIE: N1MD215156. 					</t>
  </si>
  <si>
    <t xml:space="preserve">ESTAÇÃO DE TRATAMENTO DE ÁGUA - VALPARAISO/GO ATUADOR ELÉTRICO MULTI-VOLTA, INTELIGENTE, COM COMUNICAÇÃO VIA REDE ETHERNET, TORQUE ATÉ 120NM CSR12M N/S 31402.					</t>
  </si>
  <si>
    <t>ESTAÇÃO DE TRATAMENTO DE ÁGUA - VALPARAISO/GO QUADRO DE EMERGÊNCIA 01 - QUADRO DE FORÇA COMPLETO COM DISJUNTOR DE ENTRADA DE 2000A, 4 COLUNAS, DISJUNTORES DE DISTRIBUIÇÃO, MEDIDOR DE ENERGIA E DEMAIS EQUIPAMENTOS AUXILIARES.</t>
  </si>
  <si>
    <t>ESTAÇÃO DE TRATAMENTO DE ÁGUA - VALPARAISO/GO COMPORTA QUADRADA DE FERRO FUNDIDO DÚCTIL COM SENTIDO DUPLO DE FLUXO (DIÂMETRO DA SEÇÃO: 1000 MM)</t>
  </si>
  <si>
    <t>ESTAÇÃO DE TRATAMENTO DE ÁGUA - VALPARAISO/GO COMPORTA QUADRADA DE FERRO FUNDIDO DÚCTIL COM SENTIDO DUPLO DE FLUXO (DIÂMETRO DA SEÇÃO: 900 MM)</t>
  </si>
  <si>
    <t>ESTAÇÃO DE TRATAMENTO DE ÁGUA - VALPARAISO/GO COMPORTA QUADRADA DE FERRO FUNDIDO DÚCTIL COM SENTIDO DUPLO DE FLUXO (DIÂMETRO DA SEÇÃO: 700 MM)</t>
  </si>
  <si>
    <t>ESTAÇÃO DE TRATAMENTO DE ÁGUA - VALPARAISO/GO SWITCH COM 24 PORTAS, CONFORME ESPECIFICAÇÕES.</t>
  </si>
  <si>
    <t>ESTAÇÃO DE TRATAMENTO DE ÁGUA - VALPARAISO/GO MEDIDOR DE TURBIDEZ TU5300SC</t>
  </si>
  <si>
    <t>80436</t>
  </si>
  <si>
    <t xml:space="preserve">ANALISADOR ANALISADOR DE CARGA </t>
  </si>
  <si>
    <t>INVENTÁRIO JUL/2025</t>
  </si>
  <si>
    <t>Obs. Durante Inventário: JUL/2025</t>
  </si>
  <si>
    <t>INVENTÁRIO SSAP 2025</t>
  </si>
  <si>
    <t>PERIODO: 16/07/2025 À 18/07/2025</t>
  </si>
  <si>
    <t>Teste.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</si>
</sst>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"/>
    <numFmt numFmtId="165" formatCode="#####\-#"/>
  </numFmts>
  <fonts count="32" x14ac:knownFonts="1">
    <font>
      <sz val="10"/>
      <name val="Arial"/>
    </font>
    <font>
      <b/>
      <sz val="8"/>
      <color indexed="8"/>
      <name val="SansSerif"/>
      <charset val="2"/>
    </font>
    <font>
      <sz val="8"/>
      <color indexed="8"/>
      <name val="SansSerif"/>
      <charset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.5"/>
      <name val="Arial"/>
      <family val="2"/>
    </font>
    <font>
      <sz val="20"/>
      <color indexed="8"/>
      <name val="SansSerif"/>
      <charset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8"/>
      <color indexed="8"/>
      <name val="SansSerif"/>
      <charset val="2"/>
    </font>
    <font>
      <b/>
      <sz val="8"/>
      <color indexed="8"/>
      <name val="SansSerif"/>
      <charset val="2"/>
    </font>
    <font>
      <b/>
      <sz val="10"/>
      <color rgb="FFFFFF00"/>
      <name val="Arial"/>
      <family val="2"/>
    </font>
    <font>
      <sz val="11"/>
      <color theme="1"/>
      <name val="Arial"/>
      <family val="2"/>
    </font>
    <font>
      <sz val="8"/>
      <color indexed="8"/>
      <name val="SansSerif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theme="4"/>
      </patternFill>
    </fill>
  </fills>
  <borders count="28">
    <border>
      <left/>
      <right/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95">
    <xf numFmtId="0" fontId="0" fillId="0" borderId="0" xfId="0"/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21" fontId="2" fillId="0" borderId="0" xfId="0" applyNumberFormat="1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5" fillId="0" borderId="7" xfId="0" applyNumberFormat="1" applyFont="1" applyBorder="1" applyAlignment="1">
      <alignment horizontal="left"/>
    </xf>
    <xf numFmtId="49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0" fontId="13" fillId="0" borderId="0" xfId="0" applyFont="1"/>
    <xf numFmtId="0" fontId="5" fillId="0" borderId="7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17" fillId="7" borderId="12" xfId="0" applyFont="1" applyFill="1" applyBorder="1" applyAlignment="1">
      <alignment horizontal="center"/>
    </xf>
    <xf numFmtId="0" fontId="18" fillId="0" borderId="0" xfId="0" applyFont="1" applyAlignment="1" applyProtection="1">
      <alignment horizontal="left" vertical="top" wrapText="1"/>
      <protection locked="0"/>
    </xf>
    <xf numFmtId="0" fontId="19" fillId="0" borderId="0" xfId="0" applyFont="1"/>
    <xf numFmtId="0" fontId="18" fillId="0" borderId="0" xfId="0" pivotButton="1" applyFont="1" applyAlignment="1" applyProtection="1">
      <alignment horizontal="left" vertical="top" wrapText="1"/>
      <protection locked="0"/>
    </xf>
    <xf numFmtId="0" fontId="0" fillId="0" borderId="0" xfId="0" applyAlignment="1">
      <alignment horizontal="left"/>
    </xf>
    <xf numFmtId="0" fontId="5" fillId="0" borderId="7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16" fontId="0" fillId="0" borderId="0" xfId="0" applyNumberFormat="1"/>
    <xf numFmtId="0" fontId="3" fillId="0" borderId="12" xfId="0" applyFont="1" applyBorder="1" applyAlignment="1">
      <alignment horizontal="center" vertical="center"/>
    </xf>
    <xf numFmtId="0" fontId="22" fillId="9" borderId="22" xfId="0" applyFont="1" applyFill="1" applyBorder="1" applyAlignment="1">
      <alignment horizontal="left" vertical="center" wrapText="1"/>
    </xf>
    <xf numFmtId="49" fontId="23" fillId="5" borderId="22" xfId="0" applyNumberFormat="1" applyFont="1" applyFill="1" applyBorder="1" applyAlignment="1">
      <alignment horizontal="left" vertical="center" wrapText="1"/>
    </xf>
    <xf numFmtId="0" fontId="25" fillId="9" borderId="22" xfId="0" applyFont="1" applyFill="1" applyBorder="1" applyAlignment="1">
      <alignment horizontal="left" vertical="center" wrapText="1"/>
    </xf>
    <xf numFmtId="0" fontId="26" fillId="6" borderId="22" xfId="0" applyFont="1" applyFill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right"/>
    </xf>
    <xf numFmtId="0" fontId="25" fillId="9" borderId="22" xfId="0" applyFont="1" applyFill="1" applyBorder="1" applyAlignment="1">
      <alignment horizontal="right"/>
    </xf>
    <xf numFmtId="1" fontId="0" fillId="0" borderId="0" xfId="0" applyNumberFormat="1"/>
    <xf numFmtId="0" fontId="22" fillId="9" borderId="22" xfId="0" quotePrefix="1" applyFont="1" applyFill="1" applyBorder="1" applyAlignment="1">
      <alignment horizontal="left" vertical="center" wrapText="1"/>
    </xf>
    <xf numFmtId="1" fontId="15" fillId="4" borderId="22" xfId="0" applyNumberFormat="1" applyFont="1" applyFill="1" applyBorder="1" applyAlignment="1">
      <alignment horizontal="center" vertical="center" wrapText="1"/>
    </xf>
    <xf numFmtId="1" fontId="17" fillId="10" borderId="24" xfId="0" applyNumberFormat="1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left" vertical="center" wrapText="1" readingOrder="2"/>
    </xf>
    <xf numFmtId="0" fontId="17" fillId="10" borderId="24" xfId="0" applyFont="1" applyFill="1" applyBorder="1" applyAlignment="1">
      <alignment horizontal="left" vertical="center" wrapText="1" readingOrder="2"/>
    </xf>
    <xf numFmtId="0" fontId="24" fillId="10" borderId="24" xfId="0" applyFont="1" applyFill="1" applyBorder="1" applyAlignment="1">
      <alignment horizontal="left" vertical="center" wrapText="1"/>
    </xf>
    <xf numFmtId="49" fontId="17" fillId="10" borderId="24" xfId="0" applyNumberFormat="1" applyFont="1" applyFill="1" applyBorder="1" applyAlignment="1">
      <alignment horizontal="left" vertical="center" wrapText="1"/>
    </xf>
    <xf numFmtId="49" fontId="17" fillId="10" borderId="25" xfId="0" applyNumberFormat="1" applyFont="1" applyFill="1" applyBorder="1" applyAlignment="1">
      <alignment horizontal="center" vertical="center" wrapText="1"/>
    </xf>
    <xf numFmtId="1" fontId="15" fillId="4" borderId="26" xfId="0" applyNumberFormat="1" applyFont="1" applyFill="1" applyBorder="1" applyAlignment="1">
      <alignment horizontal="center" vertical="center" wrapText="1"/>
    </xf>
    <xf numFmtId="0" fontId="22" fillId="9" borderId="26" xfId="0" applyFont="1" applyFill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49" fontId="23" fillId="5" borderId="26" xfId="0" applyNumberFormat="1" applyFont="1" applyFill="1" applyBorder="1" applyAlignment="1">
      <alignment horizontal="left" vertical="center" wrapText="1"/>
    </xf>
    <xf numFmtId="14" fontId="17" fillId="10" borderId="24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vertical="top" wrapText="1"/>
    </xf>
    <xf numFmtId="14" fontId="3" fillId="0" borderId="0" xfId="0" applyNumberFormat="1" applyFont="1"/>
    <xf numFmtId="0" fontId="27" fillId="0" borderId="0" xfId="0" applyFont="1" applyAlignment="1">
      <alignment horizontal="left" vertical="top" wrapText="1"/>
    </xf>
    <xf numFmtId="14" fontId="27" fillId="0" borderId="0" xfId="0" applyNumberFormat="1" applyFont="1" applyAlignment="1">
      <alignment horizontal="left" vertical="top" wrapText="1"/>
    </xf>
    <xf numFmtId="21" fontId="27" fillId="0" borderId="0" xfId="0" applyNumberFormat="1" applyFont="1" applyAlignment="1">
      <alignment horizontal="left" vertical="top" wrapText="1"/>
    </xf>
    <xf numFmtId="0" fontId="28" fillId="2" borderId="21" xfId="0" applyFont="1" applyFill="1" applyBorder="1" applyAlignment="1">
      <alignment horizontal="left" vertical="top" wrapText="1"/>
    </xf>
    <xf numFmtId="0" fontId="6" fillId="0" borderId="22" xfId="0" applyFont="1" applyBorder="1" applyAlignment="1">
      <alignment horizontal="right"/>
    </xf>
    <xf numFmtId="0" fontId="0" fillId="11" borderId="0" xfId="0" applyFill="1"/>
    <xf numFmtId="0" fontId="2" fillId="0" borderId="0" xfId="0" quotePrefix="1" applyFont="1" applyAlignment="1">
      <alignment horizontal="left" vertical="top" wrapText="1"/>
    </xf>
    <xf numFmtId="49" fontId="29" fillId="12" borderId="24" xfId="0" applyNumberFormat="1" applyFont="1" applyFill="1" applyBorder="1" applyAlignment="1">
      <alignment horizontal="left" vertical="center" wrapText="1"/>
    </xf>
    <xf numFmtId="0" fontId="22" fillId="9" borderId="26" xfId="0" quotePrefix="1" applyFont="1" applyFill="1" applyBorder="1" applyAlignment="1">
      <alignment horizontal="left" vertical="center" wrapText="1"/>
    </xf>
    <xf numFmtId="14" fontId="30" fillId="9" borderId="26" xfId="0" applyNumberFormat="1" applyFont="1" applyFill="1" applyBorder="1" applyAlignment="1">
      <alignment horizontal="left" vertical="center" wrapText="1"/>
    </xf>
    <xf numFmtId="0" fontId="22" fillId="9" borderId="0" xfId="0" applyFont="1" applyFill="1" applyAlignment="1">
      <alignment horizontal="left" vertical="center" wrapText="1"/>
    </xf>
    <xf numFmtId="14" fontId="30" fillId="9" borderId="0" xfId="0" applyNumberFormat="1" applyFont="1" applyFill="1" applyAlignment="1">
      <alignment horizontal="left" vertical="center" wrapText="1"/>
    </xf>
    <xf numFmtId="0" fontId="25" fillId="9" borderId="26" xfId="0" applyFont="1" applyFill="1" applyBorder="1" applyAlignment="1">
      <alignment horizontal="left" vertical="center" wrapText="1"/>
    </xf>
    <xf numFmtId="0" fontId="1" fillId="2" borderId="21" xfId="1" applyFont="1" applyFill="1" applyBorder="1" applyAlignment="1">
      <alignment horizontal="left" vertical="top" wrapText="1"/>
    </xf>
    <xf numFmtId="1" fontId="15" fillId="4" borderId="22" xfId="1" applyNumberFormat="1" applyFont="1" applyFill="1" applyBorder="1" applyAlignment="1">
      <alignment horizontal="center" vertical="center" wrapText="1"/>
    </xf>
    <xf numFmtId="1" fontId="15" fillId="4" borderId="2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/>
    <xf numFmtId="0" fontId="17" fillId="10" borderId="27" xfId="0" applyFont="1" applyFill="1" applyBorder="1"/>
    <xf numFmtId="49" fontId="17" fillId="10" borderId="24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vertical="top" wrapText="1"/>
    </xf>
    <xf numFmtId="0" fontId="9" fillId="11" borderId="0" xfId="0" applyFont="1" applyFill="1" applyAlignment="1">
      <alignment horizontal="center" vertical="center" wrapText="1"/>
    </xf>
    <xf numFmtId="0" fontId="31" fillId="0" borderId="0" xfId="0" applyFont="1" applyBorder="1" applyAlignment="1" applyProtection="1">
      <alignment horizontal="left" vertical="top" wrapText="1"/>
    </xf>
    <xf numFmtId="1" fontId="31" fillId="0" borderId="0" xfId="0" applyNumberFormat="1" applyFont="1" applyBorder="1" applyAlignment="1" applyProtection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0" fontId="0" fillId="0" borderId="0" xfId="0" applyBorder="1"/>
    <xf numFmtId="0" fontId="26" fillId="6" borderId="26" xfId="0" applyFont="1" applyFill="1" applyBorder="1" applyAlignment="1">
      <alignment horizontal="left" vertical="center" wrapText="1"/>
    </xf>
    <xf numFmtId="14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2" fillId="0" borderId="2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11" borderId="0" xfId="0" applyFont="1" applyFill="1" applyAlignment="1">
      <alignment horizontal="center" vertical="center" wrapText="1"/>
    </xf>
    <xf numFmtId="3" fontId="3" fillId="0" borderId="14" xfId="0" applyNumberFormat="1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left" vertical="top" wrapText="1"/>
    </xf>
    <xf numFmtId="3" fontId="3" fillId="0" borderId="15" xfId="0" applyNumberFormat="1" applyFont="1" applyBorder="1" applyAlignment="1">
      <alignment horizontal="left" vertical="top" wrapText="1"/>
    </xf>
    <xf numFmtId="164" fontId="3" fillId="0" borderId="14" xfId="0" applyNumberFormat="1" applyFont="1" applyBorder="1" applyAlignment="1">
      <alignment horizontal="left"/>
    </xf>
    <xf numFmtId="164" fontId="3" fillId="0" borderId="15" xfId="0" applyNumberFormat="1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4" fillId="0" borderId="0" xfId="0" applyFont="1" applyAlignment="1">
      <alignment horizontal="left" vertical="center" wrapText="1"/>
    </xf>
    <xf numFmtId="49" fontId="5" fillId="0" borderId="4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10" fillId="0" borderId="2" xfId="0" applyNumberFormat="1" applyFont="1" applyBorder="1" applyAlignment="1">
      <alignment horizontal="left"/>
    </xf>
    <xf numFmtId="49" fontId="10" fillId="0" borderId="16" xfId="0" applyNumberFormat="1" applyFont="1" applyBorder="1" applyAlignment="1">
      <alignment horizontal="left"/>
    </xf>
    <xf numFmtId="49" fontId="5" fillId="0" borderId="7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49" fontId="10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left" vertical="center"/>
    </xf>
    <xf numFmtId="3" fontId="5" fillId="0" borderId="18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49" fontId="5" fillId="3" borderId="14" xfId="0" applyNumberFormat="1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/>
    </xf>
    <xf numFmtId="49" fontId="5" fillId="3" borderId="15" xfId="0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10" fillId="8" borderId="2" xfId="0" applyFont="1" applyFill="1" applyBorder="1" applyAlignment="1">
      <alignment horizontal="left"/>
    </xf>
    <xf numFmtId="0" fontId="10" fillId="8" borderId="16" xfId="0" applyFont="1" applyFill="1" applyBorder="1" applyAlignment="1">
      <alignment horizontal="left"/>
    </xf>
    <xf numFmtId="49" fontId="5" fillId="0" borderId="8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165" fontId="0" fillId="0" borderId="17" xfId="0" applyNumberFormat="1" applyBorder="1" applyAlignment="1">
      <alignment horizontal="left"/>
    </xf>
    <xf numFmtId="165" fontId="10" fillId="0" borderId="17" xfId="0" applyNumberFormat="1" applyFont="1" applyBorder="1" applyAlignment="1">
      <alignment horizontal="left"/>
    </xf>
    <xf numFmtId="1" fontId="21" fillId="0" borderId="14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3" fontId="3" fillId="0" borderId="14" xfId="0" quotePrefix="1" applyNumberFormat="1" applyFont="1" applyBorder="1" applyAlignment="1">
      <alignment horizontal="left" vertical="top" wrapText="1"/>
    </xf>
    <xf numFmtId="164" fontId="0" fillId="0" borderId="14" xfId="0" quotePrefix="1" applyNumberFormat="1" applyFont="1" applyBorder="1" applyAlignment="1">
      <alignment horizontal="left" vertical="top" wrapText="1"/>
    </xf>
    <xf numFmtId="164" fontId="3" fillId="0" borderId="13" xfId="0" applyNumberFormat="1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49" fontId="20" fillId="0" borderId="5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49" fontId="20" fillId="0" borderId="10" xfId="0" applyNumberFormat="1" applyFont="1" applyBorder="1" applyAlignment="1">
      <alignment horizontal="left" vertical="center"/>
    </xf>
    <xf numFmtId="49" fontId="20" fillId="0" borderId="3" xfId="0" applyNumberFormat="1" applyFont="1" applyBorder="1" applyAlignment="1">
      <alignment horizontal="left" vertical="center"/>
    </xf>
    <xf numFmtId="49" fontId="20" fillId="0" borderId="9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top"/>
    </xf>
    <xf numFmtId="49" fontId="8" fillId="0" borderId="5" xfId="0" applyNumberFormat="1" applyFont="1" applyBorder="1" applyAlignment="1">
      <alignment horizontal="center" vertical="top"/>
    </xf>
    <xf numFmtId="49" fontId="8" fillId="0" borderId="6" xfId="0" applyNumberFormat="1" applyFont="1" applyBorder="1" applyAlignment="1">
      <alignment horizontal="center" vertical="top"/>
    </xf>
    <xf numFmtId="14" fontId="11" fillId="0" borderId="8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EEED6374-83D0-49AB-896C-1214FBCA6CC7}"/>
  </cellStyles>
  <dxfs count="10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color theme="1"/>
      </font>
    </dxf>
    <dxf>
      <font>
        <color theme="1"/>
      </font>
    </dxf>
    <dxf>
      <protection locked="0"/>
    </dxf>
    <dxf>
      <protection locked="0"/>
    </dxf>
    <dxf>
      <font>
        <sz val="10"/>
      </font>
    </dxf>
    <dxf>
      <font>
        <sz val="10"/>
      </font>
    </dxf>
    <dxf>
      <font>
        <b/>
        <family val="2"/>
      </font>
    </dxf>
    <dxf>
      <font>
        <b/>
        <family val="2"/>
      </font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indexed="8"/>
        <name val="SansSerif"/>
        <charset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FFC000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indexed="8"/>
        <name val="SansSerif"/>
        <charset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charset val="2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charset val="2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scheme val="none"/>
      </font>
      <numFmt numFmtId="1" formatCode="0"/>
      <alignment horizontal="left" vertical="top" textRotation="0" wrapText="1" indent="0" justifyLastLine="0" shrinkToFit="0" readingOrder="0"/>
      <protection locked="1" hidden="0"/>
    </dxf>
    <dxf>
      <border outline="0">
        <top style="hair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charset val="2"/>
        <scheme val="none"/>
      </font>
      <alignment horizontal="left" vertical="top" textRotation="0" wrapText="1" indent="0" justifyLastLine="0" shrinkToFit="0" readingOrder="0"/>
    </dxf>
    <dxf>
      <border outline="0"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SansSerif"/>
        <charset val="2"/>
        <scheme val="none"/>
      </font>
      <fill>
        <patternFill patternType="solid">
          <fgColor indexed="64"/>
          <bgColor indexed="2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pivotCacheDefinition" Target="pivotCache/pivotCacheDefinition1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eetMetadata" Target="metadata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10</xdr:row>
      <xdr:rowOff>28575</xdr:rowOff>
    </xdr:from>
    <xdr:to>
      <xdr:col>4</xdr:col>
      <xdr:colOff>266700</xdr:colOff>
      <xdr:row>13</xdr:row>
      <xdr:rowOff>167639</xdr:rowOff>
    </xdr:to>
    <xdr:pic>
      <xdr:nvPicPr>
        <xdr:cNvPr id="2" name="Picture 1" descr="caesb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4235" y="1895475"/>
          <a:ext cx="824865" cy="649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586738</xdr:colOff>
      <xdr:row>14</xdr:row>
      <xdr:rowOff>68580</xdr:rowOff>
    </xdr:from>
    <xdr:to>
      <xdr:col>15</xdr:col>
      <xdr:colOff>533399</xdr:colOff>
      <xdr:row>16</xdr:row>
      <xdr:rowOff>99060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6D262CF5-1F36-6EF3-A300-51F90EF21999}"/>
            </a:ext>
          </a:extLst>
        </xdr:cNvPr>
        <xdr:cNvSpPr/>
      </xdr:nvSpPr>
      <xdr:spPr>
        <a:xfrm>
          <a:off x="8706271" y="949113"/>
          <a:ext cx="1140461" cy="394547"/>
        </a:xfrm>
        <a:prstGeom prst="round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Ricardo Ramos" refreshedDate="45092.660139236112" createdVersion="8" refreshedVersion="8" minRefreshableVersion="3" recordCount="318" xr:uid="{3D8B73F7-913B-401D-A4ED-7663E3CE7045}">
  <cacheSource type="worksheet">
    <worksheetSource name="Localização"/>
  </cacheSource>
  <cacheFields count="12">
    <cacheField name="Tombamento" numFmtId="0">
      <sharedItems containsBlank="1" containsMixedTypes="1" containsNumber="1" containsInteger="1" minValue="10121" maxValue="77801" count="319">
        <n v="63918"/>
        <n v="63919"/>
        <n v="63920"/>
        <n v="63934"/>
        <n v="63935"/>
        <n v="63936"/>
        <n v="63937"/>
        <n v="63938"/>
        <n v="63939"/>
        <n v="63940"/>
        <n v="63942"/>
        <n v="63943"/>
        <n v="63944"/>
        <n v="63945"/>
        <n v="63946"/>
        <n v="63948"/>
        <n v="63949"/>
        <n v="63950"/>
        <n v="67499"/>
        <n v="67507"/>
        <n v="67509"/>
        <n v="67510"/>
        <n v="67511"/>
        <n v="67512"/>
        <n v="67513"/>
        <n v="67515"/>
        <n v="67545"/>
        <n v="67546"/>
        <n v="67547"/>
        <n v="67549"/>
        <n v="67550"/>
        <n v="67551"/>
        <n v="67552"/>
        <n v="67553"/>
        <n v="67622"/>
        <n v="67623"/>
        <n v="67654"/>
        <n v="67655"/>
        <n v="67656"/>
        <n v="67662"/>
        <n v="67663"/>
        <n v="67664"/>
        <n v="67665"/>
        <n v="67666"/>
        <n v="69124"/>
        <n v="69125"/>
        <n v="69126"/>
        <n v="75735"/>
        <n v="75736"/>
        <n v="75737"/>
        <n v="75738"/>
        <n v="75739"/>
        <n v="75740"/>
        <n v="75741"/>
        <n v="75742"/>
        <n v="75743"/>
        <n v="75744"/>
        <n v="75745"/>
        <n v="75746"/>
        <n v="75789"/>
        <s v="75789-001"/>
        <n v="76364"/>
        <n v="76572"/>
        <n v="76573"/>
        <n v="76574"/>
        <n v="76575"/>
        <n v="76576"/>
        <n v="76577"/>
        <n v="76578"/>
        <n v="76579"/>
        <n v="76580"/>
        <n v="76581"/>
        <n v="76582"/>
        <n v="76583"/>
        <n v="76584"/>
        <n v="76585"/>
        <n v="76586"/>
        <n v="76587"/>
        <n v="76588"/>
        <n v="76589"/>
        <n v="76590"/>
        <n v="76591"/>
        <n v="76592"/>
        <n v="76593"/>
        <n v="76594"/>
        <n v="76595"/>
        <n v="76596"/>
        <n v="76597"/>
        <n v="76598"/>
        <n v="76599"/>
        <n v="76600"/>
        <n v="76601"/>
        <n v="76602"/>
        <n v="76603"/>
        <n v="76604"/>
        <n v="76605"/>
        <n v="76606"/>
        <n v="76607"/>
        <n v="76608"/>
        <n v="76609"/>
        <n v="76610"/>
        <n v="76611"/>
        <n v="76612"/>
        <n v="76613"/>
        <n v="76614"/>
        <n v="76615"/>
        <n v="76616"/>
        <n v="76617"/>
        <n v="76618"/>
        <n v="76619"/>
        <n v="76620"/>
        <n v="76621"/>
        <n v="76622"/>
        <n v="76623"/>
        <n v="76624"/>
        <n v="76625"/>
        <n v="76626"/>
        <n v="76627"/>
        <n v="76628"/>
        <n v="76629"/>
        <n v="76630"/>
        <n v="76631"/>
        <n v="76632"/>
        <n v="76633"/>
        <n v="76634"/>
        <n v="76635"/>
        <n v="76636"/>
        <n v="76637"/>
        <n v="76638"/>
        <n v="76639"/>
        <n v="76640"/>
        <n v="76641"/>
        <n v="76642"/>
        <n v="76643"/>
        <n v="76644"/>
        <n v="76645"/>
        <n v="76646"/>
        <n v="76647"/>
        <n v="76648"/>
        <n v="76649"/>
        <n v="76650"/>
        <n v="76651"/>
        <n v="76652"/>
        <n v="76653"/>
        <n v="76654"/>
        <n v="76655"/>
        <n v="76656"/>
        <n v="76657"/>
        <n v="76658"/>
        <n v="76659"/>
        <n v="76660"/>
        <n v="76661"/>
        <n v="76662"/>
        <n v="76663"/>
        <n v="76664"/>
        <n v="76665"/>
        <n v="76666"/>
        <n v="76667"/>
        <n v="76668"/>
        <n v="76669"/>
        <n v="76670"/>
        <n v="76671"/>
        <n v="76672"/>
        <n v="76673"/>
        <n v="76674"/>
        <n v="76675"/>
        <n v="76676"/>
        <n v="76677"/>
        <n v="76678"/>
        <n v="76679"/>
        <n v="76680"/>
        <n v="76681"/>
        <n v="76682"/>
        <n v="76683"/>
        <n v="76684"/>
        <n v="77648"/>
        <n v="77649"/>
        <n v="77650"/>
        <n v="77651"/>
        <n v="77652"/>
        <n v="77653"/>
        <n v="77654"/>
        <n v="77655"/>
        <n v="77656"/>
        <n v="77657"/>
        <n v="77658"/>
        <n v="77659"/>
        <n v="77660"/>
        <n v="77661"/>
        <n v="77662"/>
        <n v="77663"/>
        <n v="77664"/>
        <n v="77665"/>
        <n v="77666"/>
        <n v="77667"/>
        <n v="77668"/>
        <n v="77669"/>
        <n v="77670"/>
        <n v="77671"/>
        <n v="77672"/>
        <n v="77673"/>
        <n v="77674"/>
        <n v="77675"/>
        <n v="77676"/>
        <n v="77677"/>
        <n v="77678"/>
        <n v="77679"/>
        <n v="77680"/>
        <n v="77681"/>
        <n v="77682"/>
        <n v="77683"/>
        <n v="77684"/>
        <n v="77685"/>
        <n v="77686"/>
        <n v="77687"/>
        <n v="77688"/>
        <n v="77689"/>
        <n v="77690"/>
        <n v="77691"/>
        <n v="77692"/>
        <n v="77693"/>
        <n v="77694"/>
        <n v="77695"/>
        <n v="77696"/>
        <n v="77697"/>
        <n v="77698"/>
        <n v="77699"/>
        <n v="77700"/>
        <n v="77701"/>
        <n v="77702"/>
        <n v="77703"/>
        <n v="77704"/>
        <n v="77705"/>
        <n v="77706"/>
        <n v="77707"/>
        <n v="77708"/>
        <n v="77709"/>
        <n v="77710"/>
        <n v="77711"/>
        <n v="77712"/>
        <n v="77713"/>
        <n v="77714"/>
        <n v="77715"/>
        <n v="77716"/>
        <n v="77717"/>
        <n v="77718"/>
        <n v="77719"/>
        <n v="77720"/>
        <n v="77721"/>
        <n v="77722"/>
        <n v="77723"/>
        <n v="77724"/>
        <n v="77725"/>
        <n v="77726"/>
        <n v="77727"/>
        <n v="77728"/>
        <n v="77729"/>
        <n v="77730"/>
        <n v="77731"/>
        <n v="77732"/>
        <n v="77733"/>
        <n v="77734"/>
        <n v="77735"/>
        <n v="77736"/>
        <n v="77737"/>
        <n v="77738"/>
        <n v="77739"/>
        <n v="77740"/>
        <n v="77741"/>
        <n v="77744"/>
        <n v="77745"/>
        <n v="77746"/>
        <n v="77747"/>
        <n v="77759"/>
        <n v="77760"/>
        <n v="77761"/>
        <n v="77762"/>
        <n v="77763"/>
        <n v="77764"/>
        <n v="77765"/>
        <n v="77766"/>
        <n v="77767"/>
        <n v="77768"/>
        <n v="77769"/>
        <n v="77770"/>
        <n v="77771"/>
        <n v="77772"/>
        <n v="77773"/>
        <n v="77774"/>
        <n v="77775"/>
        <n v="77776"/>
        <n v="77777"/>
        <n v="77778"/>
        <n v="77779"/>
        <n v="77780"/>
        <n v="77781"/>
        <n v="77782"/>
        <n v="77783"/>
        <n v="77785"/>
        <n v="77786"/>
        <n v="77787"/>
        <n v="77788"/>
        <n v="77789"/>
        <n v="77790"/>
        <n v="77791"/>
        <n v="77792"/>
        <n v="77793"/>
        <n v="77794"/>
        <n v="77795"/>
        <n v="77796"/>
        <n v="77797"/>
        <n v="77798"/>
        <n v="77799"/>
        <n v="77800"/>
        <n v="77801"/>
        <n v="72920"/>
        <m/>
        <n v="10121" u="1"/>
        <n v="33200" u="1"/>
      </sharedItems>
    </cacheField>
    <cacheField name="Descrição do bem como a SSAP" numFmtId="0">
      <sharedItems longText="1"/>
    </cacheField>
    <cacheField name="Descrição resumida do bem" numFmtId="0">
      <sharedItems/>
    </cacheField>
    <cacheField name="MOV" numFmtId="49">
      <sharedItems containsNonDate="0" containsBlank="1" count="2">
        <m/>
        <s v="Sim" u="1"/>
      </sharedItems>
    </cacheField>
    <cacheField name="Código da Unidade:" numFmtId="0">
      <sharedItems containsBlank="1"/>
    </cacheField>
    <cacheField name="Descrição Unidade:" numFmtId="0">
      <sharedItems containsBlank="1"/>
    </cacheField>
    <cacheField name="Região Administartiva:" numFmtId="0">
      <sharedItems containsBlank="1"/>
    </cacheField>
    <cacheField name="Endereço:" numFmtId="0">
      <sharedItems containsBlank="1" count="65">
        <s v="Rua Recife, QD 184, Área Especial, Parque Marajó - Valparaíso de Goiás - GO"/>
        <m/>
        <s v="Flotadores - compressores de ar" u="1"/>
        <s v="Prédio - camarote" u="1"/>
        <s v="EAT - sala de cubículo" u="1"/>
        <s v="RAP - válvulas água tratada - entrada" u="1"/>
        <s v="Elevatórias de lodo adensado Fases 01 e 03" u="1"/>
        <s v="Elevatórias de água saturada Fases 01 e 03" u="1"/>
        <s v="Filtros Fases 01 e 02 - válvulas água filtrada" u="1"/>
        <s v="Cloro - elevatórias de injeção de cloro" u="1"/>
        <s v="Filtros - valvulas de ar p/ lavagem" u="1"/>
        <s v="Elevatórias de lodo adensado Fases 01 e 02" u="1"/>
        <s v="Elevatórias de água saturada Fases 01 e 02" u="1"/>
        <s v="TAPQ - elevatórias de água potável" u="1"/>
        <s v="RAP - caixa de manobras - distribuição entre Caesb e Saneago" u="1"/>
        <s v="Prédio - gerência" u="1"/>
        <s v="Floculadores Fases 01 e 02 - compartimento A" u="1"/>
        <s v="Flotadores - medidores de vazão de água saturada" u="1"/>
        <s v="Floculadores Fases 01 e 02 - compartimento B" u="1"/>
        <s v="Flotadores - sopradores de ar p/ lavagem de filtros" u="1"/>
        <s v="TAPQ - elevatórias de água p/ lavagem de filtros" u="1"/>
        <s v="Filtros - comportas" u="1"/>
        <s v="Medidores de vazão Fases 01 e 02 - água saturada" u="1"/>
        <s v="Prédio - sala CLP" u="1"/>
        <s v="Prédio - secretaria" u="1"/>
        <s v="EAT - sala painel view" u="1"/>
        <s v="Flotadores - elevatórias de água saturada" u="1"/>
        <s v="Casa de química - preparo e dosagem de permanganato e polímero" u="1"/>
        <s v="Coagulante - armazenamento e dosagem" u="1"/>
        <s v="Flotadores - válvulas de drenagem" u="1"/>
        <s v="Flotadores - bombas de amostragem" u="1"/>
        <s v="Cloro - sala dos evaporadores e dosadores" u="1"/>
        <s v="Cloro - balanças" u="1"/>
        <s v="Cloro - dosadores de cloro" u="1"/>
        <s v="Flúor - armazenamento e dosagem" u="1"/>
        <s v="Flotadores - elevatórias de lodo flotado" u="1"/>
        <s v="SDL - dosadoras de lodo adensado e polímero" u="1"/>
        <s v="RAP - medidores de nível" u="1"/>
        <s v="RAP - válvulas de água tratada - entrada e saída" u="1"/>
        <s v="SDL - decanters" u="1"/>
        <s v="Floculadores - turbinas e comportas" u="1"/>
        <s v="Guarita principal - balança" u="1"/>
        <s v="Flotadores - elevatórias de água de serviço" u="1"/>
        <s v="Prédio - operação" u="1"/>
        <s v="Filtros - válvulas drenagem" u="1"/>
        <s v="Flotadores - saturadores/ pulmões" u="1"/>
        <s v="EAT - ponte rolante" u="1"/>
        <s v="Floculadores - comportas" u="1"/>
        <s v="Filtros - válvulas água de filtrada e lavagem" u="1"/>
        <s v="Floculadores - turbinas" u="1"/>
        <s v="Prédio - elétrica" u="1"/>
        <s v="EAT - bombas submersíveis" u="1"/>
        <s v="Tanque reciclo - elevatória" u="1"/>
        <s v="Prédio - automação" u="1"/>
        <s v="Elevatórias de lodo adensado Fases 01 e 05" u="1"/>
        <s v="Elevatórias de água saturada Fases 01 e 05" u="1"/>
        <s v="Filtros Fases 01 e 02 - válvulas água de lavagem" u="1"/>
        <s v="EAT - cmb" u="1"/>
        <s v="Elevatórias de água de serviço Fases 01 e 02" u="1"/>
        <s v="Flotadores - removedores de lodo" u="1"/>
        <s v="Elevatórias de água potável Fases 01 e 02" u="1"/>
        <s v="Prédio - laboratório" u="1"/>
        <s v="EAT - casa de máquinas" u="1"/>
        <s v="Elevatórias de lodo adensado Fases 01 e 04" u="1"/>
        <s v="Elevatórias de água saturada Fases 01 e 04" u="1"/>
      </sharedItems>
    </cacheField>
    <cacheField name="Processo" numFmtId="0">
      <sharedItems containsBlank="1"/>
    </cacheField>
    <cacheField name="Processo - localização específica" numFmtId="0">
      <sharedItems containsBlank="1"/>
    </cacheField>
    <cacheField name="Inventário: JUNHO/2023" numFmtId="0">
      <sharedItems containsNonDate="0" containsString="0" containsBlank="1"/>
    </cacheField>
    <cacheField name="Obs. durante o Inventár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s v="POLTRONA POLTRONA PARA POSTO DE TRABALHO GERENCIA"/>
    <s v="POLTRONA POLTRONA PARA POSTO DE TRABALHO GERENCIA"/>
    <x v="0"/>
    <s v="PRÉDIO ADMINISTRATIVO"/>
    <s v="Elevatória de Água Tratada Valparaíso de Goiás"/>
    <s v="-"/>
    <x v="0"/>
    <s v="Prédio administrativo"/>
    <s v="Prédio - secretaria"/>
    <m/>
    <m/>
  </r>
  <r>
    <x v="1"/>
    <s v="POLTRONA POLTRONA PARA POSTO DE TRABALHO GERENCIA"/>
    <s v="POLTRONA POLTRONA PARA POSTO DE TRABALHO GERENCIA"/>
    <x v="0"/>
    <s v="PRÉDIO ADMINISTRATIVO"/>
    <s v="Estação de Tratamento de Água Corumbá"/>
    <s v="-"/>
    <x v="0"/>
    <s v="Prédio administrativo"/>
    <s v="Prédio - laboratório"/>
    <m/>
    <m/>
  </r>
  <r>
    <x v="2"/>
    <s v="POLTRONA POLTRONA PARA POSTO DE TRABALHO GERENCIA"/>
    <s v="POLTRONA POLTRONA PARA POSTO DE TRABALHO GERENCIA"/>
    <x v="0"/>
    <s v="PRÉDIO ADMINISTRATIVO"/>
    <s v="Estação de Tratamento de Água Corumbá"/>
    <s v="-"/>
    <x v="0"/>
    <s v="Prédio administrativo"/>
    <s v="Prédio - gerência"/>
    <m/>
    <m/>
  </r>
  <r>
    <x v="3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elétrica"/>
    <m/>
    <m/>
  </r>
  <r>
    <x v="4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operação"/>
    <m/>
    <m/>
  </r>
  <r>
    <x v="5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6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automação"/>
    <m/>
    <m/>
  </r>
  <r>
    <x v="7"/>
    <s v="POLTRONA POLTRONA PARA INTERLOCUTOR REUNIÃO"/>
    <s v="POLTRONA POLTRONA PARA INTERLOCUTOR REUNIÃO"/>
    <x v="0"/>
    <s v="PRÉDIO ADMINISTRATIVO"/>
    <s v="Prédio Administrativo do Complexo Corumbá"/>
    <s v="-"/>
    <x v="0"/>
    <s v="Prédio administrativo"/>
    <s v="Prédio - secretaria"/>
    <m/>
    <m/>
  </r>
  <r>
    <x v="8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9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operação"/>
    <m/>
    <m/>
  </r>
  <r>
    <x v="10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11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12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operação"/>
    <m/>
    <m/>
  </r>
  <r>
    <x v="13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operação"/>
    <m/>
    <m/>
  </r>
  <r>
    <x v="14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15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16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17"/>
    <s v="POLTRONA POLTRONA PARA INTERLOCUTOR REUNIÃO"/>
    <s v="POLTRONA POLTRONA PARA INTERLOCUTOR REUNIÃO"/>
    <x v="0"/>
    <s v="PRÉDIO ADMINISTRATIVO"/>
    <s v="Estação de Tratamento de Água Corumbá"/>
    <s v="-"/>
    <x v="0"/>
    <s v="Prédio administrativo"/>
    <s v="Prédio - gerência"/>
    <m/>
    <m/>
  </r>
  <r>
    <x v="18"/>
    <s v="MESA MESA REUNIÃO OVAL 12 LUGARES"/>
    <s v="MESA MESA REUNIÃO OVAL 12 LUGARES"/>
    <x v="0"/>
    <s v="PRÉDIO ADMINISTRATIVO"/>
    <s v="Estação de Tratamento de Água Corumbá"/>
    <s v="-"/>
    <x v="0"/>
    <s v="Prédio administrativo"/>
    <s v="Prédio - gerência"/>
    <m/>
    <m/>
  </r>
  <r>
    <x v="19"/>
    <s v="ARMÁRIO ARMARIO MEDIO"/>
    <s v="ARMÁRIO ARMARIO MEDIO"/>
    <x v="0"/>
    <s v="PRÉDIO ADMINISTRATIVO"/>
    <s v="Estação de Tratamento de Água Corumbá"/>
    <s v="-"/>
    <x v="0"/>
    <s v="Prédio administrativo"/>
    <s v="Prédio - operação"/>
    <m/>
    <m/>
  </r>
  <r>
    <x v="20"/>
    <s v="ARMÁRIO ARMARIO MEDIO"/>
    <s v="ARMÁRIO ARMARIO MEDIO"/>
    <x v="0"/>
    <s v="PRÉDIO ADMINISTRATIVO"/>
    <s v="Estação de Tratamento de Água Corumbá"/>
    <s v="-"/>
    <x v="0"/>
    <s v="Prédio administrativo"/>
    <s v="Prédio - operação"/>
    <m/>
    <m/>
  </r>
  <r>
    <x v="21"/>
    <s v="ARMÁRIO ARMARIO MEDIO"/>
    <s v="ARMÁRIO ARMARIO MEDIO"/>
    <x v="0"/>
    <s v="PRÉDIO ADMINISTRATIVO"/>
    <s v="Prédio Administrativo do Complexo Corumbá"/>
    <s v="-"/>
    <x v="0"/>
    <s v="Prédio administrativo"/>
    <s v="Prédio - secretaria"/>
    <m/>
    <m/>
  </r>
  <r>
    <x v="22"/>
    <s v="ARMÁRIO ARMARIO MEDIO"/>
    <s v="ARMÁRIO ARMARIO MEDIO"/>
    <x v="0"/>
    <s v="PRÉDIO ADMINISTRATIVO"/>
    <s v="Prédio Administrativo do Complexo Corumbá"/>
    <s v="-"/>
    <x v="0"/>
    <s v="Prédio administrativo"/>
    <s v="Prédio - servidor"/>
    <m/>
    <m/>
  </r>
  <r>
    <x v="23"/>
    <s v="ARMÁRIO ARMARIO MEDIO"/>
    <s v="ARMÁRIO ARMARIO MEDIO"/>
    <x v="0"/>
    <s v="PRÉDIO ADMINISTRATIVO"/>
    <s v="Estação de Tratamento de Água Corumbá"/>
    <s v="-"/>
    <x v="0"/>
    <s v="Prédio administrativo"/>
    <s v="Prédio - elétrica"/>
    <m/>
    <m/>
  </r>
  <r>
    <x v="24"/>
    <s v="ARMÁRIO ARMARIO MEDIO"/>
    <s v="ARMÁRIO ARMARIO MEDIO"/>
    <x v="0"/>
    <s v="PRÉDIO ADMINISTRATIVO"/>
    <s v="Estação de Tratamento de Água Corumbá"/>
    <s v="-"/>
    <x v="0"/>
    <s v="Prédio administrativo"/>
    <s v="Prédio - gerência"/>
    <m/>
    <m/>
  </r>
  <r>
    <x v="25"/>
    <s v="ARMÁRIO ARMARIO MEDIO"/>
    <s v="ARMÁRIO ARMARIO MEDIO"/>
    <x v="0"/>
    <s v="PRÉDIO ADMINISTRATIVO"/>
    <s v="Estação de Tratamento de Água Corumbá"/>
    <s v="-"/>
    <x v="0"/>
    <s v="Prédio administrativo"/>
    <s v="Prédio - automação"/>
    <m/>
    <m/>
  </r>
  <r>
    <x v="26"/>
    <s v="POLTRONA POLTRONA PARA POSTO DE TRABALHO GERENCIAL"/>
    <s v="POLTRONA POLTRONA PARA POSTO DE TRABALHO GERENCIAL"/>
    <x v="0"/>
    <s v="PRÉDIO ADMINISTRATIVO"/>
    <s v="Estação de Tratamento de Água Corumbá"/>
    <s v="-"/>
    <x v="0"/>
    <s v="Prédio administrativo"/>
    <s v="Prédio - automação"/>
    <m/>
    <m/>
  </r>
  <r>
    <x v="27"/>
    <s v="POLTRONA POLTRONA PARA POSTO DE TRABALHO GERENCIAL"/>
    <s v="POLTRONA POLTRONA PARA POSTO DE TRABALHO GERENCIAL"/>
    <x v="0"/>
    <s v="PRÉDIO ADMINISTRATIVO"/>
    <s v="Prédio Administrativo do Complexo Corumbá"/>
    <s v="-"/>
    <x v="0"/>
    <s v="Prédio administrativo"/>
    <s v="Prédio - secretaria"/>
    <m/>
    <m/>
  </r>
  <r>
    <x v="28"/>
    <s v="POLTRONA POLTRONA PARA POSTO DE TRABALHO GERENCIAL"/>
    <s v="POLTRONA POLTRONA PARA POSTO DE TRABALHO GERENCIAL"/>
    <x v="0"/>
    <s v="PRÉDIO ADMINISTRATIVO"/>
    <s v="Estação de Tratamento de Água Corumbá"/>
    <s v="-"/>
    <x v="0"/>
    <s v="Prédio administrativo"/>
    <s v="Prédio - automação"/>
    <m/>
    <m/>
  </r>
  <r>
    <x v="29"/>
    <s v="POLTRONA POLTRONA PARA POSTO DE TRABALHO GERENCIAL"/>
    <s v="POLTRONA POLTRONA PARA POSTO DE TRABALHO GERENCIAL"/>
    <x v="0"/>
    <s v="PRÉDIO ADMINISTRATIVO"/>
    <s v="Estação de Tratamento de Água Corumbá"/>
    <s v="-"/>
    <x v="0"/>
    <s v="Prédio administrativo"/>
    <s v="Prédio - operação"/>
    <m/>
    <m/>
  </r>
  <r>
    <x v="30"/>
    <s v="POLTRONA POLTRONA PARA POSTO DE TRABALHO GERENCIAL"/>
    <s v="POLTRONA POLTRONA PARA POSTO DE TRABALHO GERENCIAL"/>
    <x v="0"/>
    <s v="PRÉDIO ADMINISTRATIVO"/>
    <s v="Estação de Tratamento de Água Corumbá"/>
    <s v="-"/>
    <x v="0"/>
    <s v="Prédio administrativo"/>
    <s v="Prédio - automação"/>
    <m/>
    <m/>
  </r>
  <r>
    <x v="31"/>
    <s v="POLTRONA POLTRONA PARA POSTO DE TRABALHO GERENCIAL"/>
    <s v="POLTRONA POLTRONA PARA POSTO DE TRABALHO GERENCIAL"/>
    <x v="0"/>
    <s v="PRÉDIO ADMINISTRATIVO"/>
    <s v="Estação de Tratamento de Água Corumbá"/>
    <s v="-"/>
    <x v="0"/>
    <s v="Prédio administrativo"/>
    <s v="Prédio - operação"/>
    <m/>
    <m/>
  </r>
  <r>
    <x v="32"/>
    <s v="POLTRONA POLTRONA PARA POSTO DE TRABALHO GERENCIAL"/>
    <s v="POLTRONA POLTRONA PARA POSTO DE TRABALHO GERENCIAL"/>
    <x v="0"/>
    <s v="PRÉDIO ADMINISTRATIVO"/>
    <s v="Estação de Tratamento de Água Corumbá"/>
    <s v="-"/>
    <x v="0"/>
    <s v="Prédio administrativo"/>
    <s v="Prédio - elétrica"/>
    <m/>
    <m/>
  </r>
  <r>
    <x v="33"/>
    <s v="POLTRONA POLTRONA PARA POSTO DE TRABALHO GERENCIAL"/>
    <s v="POLTRONA POLTRONA PARA POSTO DE TRABALHO GERENCIAL"/>
    <x v="0"/>
    <s v="PRÉDIO ADMINISTRATIVO"/>
    <s v="Estação de Tratamento de Água Corumbá"/>
    <s v="-"/>
    <x v="0"/>
    <s v="Prédio administrativo"/>
    <s v="Prédio - elétrica"/>
    <m/>
    <m/>
  </r>
  <r>
    <x v="34"/>
    <s v="ESTAÇÃO DE TRABALHO ESTAÇÃO PENINSULAR EM ?L? 01 LUGAR (1800X1600X730MM) "/>
    <s v="ESTAÇÃO DE TRABALHO ESTAÇÃO PENINSULAR EM ?L? 01 LUGAR (1800X1600X730MM) "/>
    <x v="0"/>
    <s v="PRÉDIO ADMINISTRATIVO"/>
    <s v="Prédio Administrativo do Complexo Corumbá"/>
    <s v="-"/>
    <x v="0"/>
    <s v="Prédio administrativo"/>
    <s v="Prédio - gerência"/>
    <m/>
    <m/>
  </r>
  <r>
    <x v="35"/>
    <s v="ESTAÇÃO DE TRABALHO ESTAÇÃO PENINSULAR EM ?L? 01 LUGAR (1800X1600X730MM) "/>
    <s v="ESTAÇÃO DE TRABALHO ESTAÇÃO PENINSULAR EM ?L? 01 LUGAR (1800X1600X730MM) "/>
    <x v="0"/>
    <s v="PRÉDIO ADMINISTRATIVO"/>
    <s v="Estação de Tratamento de Água Corumbá"/>
    <s v="-"/>
    <x v="0"/>
    <s v="Prédio administrativo"/>
    <s v="Prédio - automação"/>
    <m/>
    <m/>
  </r>
  <r>
    <x v="36"/>
    <s v="GAVETEIRO GAVETEIRO VOLANTE 630X400X500MM"/>
    <s v="GAVETEIRO GAVETEIRO VOLANTE 630X400X500MM"/>
    <x v="0"/>
    <s v="PRÉDIO ADMINISTRATIVO"/>
    <s v="Estação de Tratamento de Água Corumbá"/>
    <s v="-"/>
    <x v="0"/>
    <s v="Prédio administrativo"/>
    <s v="Prédio - automação"/>
    <m/>
    <m/>
  </r>
  <r>
    <x v="37"/>
    <s v="GAVETEIRO GAVETEIRO VOLANTE 630X400X500MM"/>
    <s v="GAVETEIRO GAVETEIRO VOLANTE 630X400X500MM"/>
    <x v="0"/>
    <s v="PRÉDIO ADMINISTRATIVO"/>
    <s v="Estação de Tratamento de Água Corumbá"/>
    <s v="-"/>
    <x v="0"/>
    <s v="Prédio administrativo"/>
    <s v="Prédio - gerência"/>
    <m/>
    <m/>
  </r>
  <r>
    <x v="38"/>
    <s v="GAVETEIRO GAVETEIRO VOLANTE 630X400X500MM"/>
    <s v="GAVETEIRO GAVETEIRO VOLANTE 630X400X500MM"/>
    <x v="0"/>
    <s v="PRÉDIO ADMINISTRATIVO"/>
    <s v="Estação de Tratamento de Água Corumbá"/>
    <s v="-"/>
    <x v="0"/>
    <s v="Prédio administrativo"/>
    <s v="Prédio - operação"/>
    <m/>
    <m/>
  </r>
  <r>
    <x v="39"/>
    <s v="MESA MESA RETANGULAR (1400X600MM)"/>
    <s v="MESA MESA RETANGULAR (1400X600MM)"/>
    <x v="0"/>
    <s v="PRÉDIO ADMINISTRATIVO"/>
    <s v="Estação de Tratamento de Água Corumbá"/>
    <s v="-"/>
    <x v="0"/>
    <s v="Prédio administrativo"/>
    <s v="Prédio - automação"/>
    <m/>
    <m/>
  </r>
  <r>
    <x v="40"/>
    <s v="MESA MESA RETANGULAR (1400X600MM)"/>
    <s v="MESA MESA RETANGULAR (1400X600MM)"/>
    <x v="0"/>
    <s v="PRÉDIO ADMINISTRATIVO"/>
    <s v="Estação de Tratamento de Água Corumbá"/>
    <s v="-"/>
    <x v="0"/>
    <s v="Prédio administrativo"/>
    <s v="Prédio - elétrica"/>
    <m/>
    <m/>
  </r>
  <r>
    <x v="41"/>
    <s v="MESA MESA RETANGULAR (1400X600MM)"/>
    <s v="MESA MESA RETANGULAR (1400X600MM)"/>
    <x v="0"/>
    <s v="PRÉDIO ADMINISTRATIVO"/>
    <s v="Estação de Tratamento de Água Corumbá"/>
    <s v="-"/>
    <x v="0"/>
    <s v="Prédio administrativo"/>
    <s v="Prédio - automação"/>
    <m/>
    <m/>
  </r>
  <r>
    <x v="42"/>
    <s v="MESA MESA RETANGULAR (1400X600MM)"/>
    <s v="MESA MESA RETANGULAR (1400X600MM)"/>
    <x v="0"/>
    <s v="PRÉDIO ADMINISTRATIVO"/>
    <s v="Estação de Tratamento de Água Corumbá"/>
    <s v="-"/>
    <x v="0"/>
    <s v="Prédio administrativo"/>
    <s v="Prédio - elétrica"/>
    <m/>
    <m/>
  </r>
  <r>
    <x v="43"/>
    <s v="MESA MESA RETANGULAR (1400X600MM)"/>
    <s v="MESA MESA RETANGULAR (1400X600MM)"/>
    <x v="0"/>
    <s v="PRÉDIO ADMINISTRATIVO"/>
    <s v="Prédio Administrativo do Complexo Corumbá"/>
    <s v="-"/>
    <x v="0"/>
    <s v="Prédio administrativo"/>
    <s v="Prédio - secretaria"/>
    <m/>
    <m/>
  </r>
  <r>
    <x v="44"/>
    <s v="ESTAÇÃO DE RECALQUE - ÁGUA - DF CONJUNTO MOTO-BOMBA DO TIPO CENTRIFUGA HORIZONTAL. 4500 CV, 1200 RPM, 60HZ. EQUIPAMENTO INSTALADO NA EAT.VLG.001"/>
    <s v="CONJUNTO MOTO-BOMBA DO TIPO CENTRIFUGA HORIZONTAL. 4500 CV, 1200 RPM, 60HZ"/>
    <x v="0"/>
    <s v="EAT.VLG.001"/>
    <s v="Elevatória de Água Tratada Valparaíso de Goiás"/>
    <s v="-"/>
    <x v="0"/>
    <s v="Elevatória de água tratada"/>
    <s v="EAT - casa de máquinas"/>
    <m/>
    <m/>
  </r>
  <r>
    <x v="45"/>
    <s v="ESTAÇÃO DE RECALQUE - ÁGUA - DF CONJUNTO MOTO-BOMBA DO TIPO CENTRIFUGA HORIZONTAL. 4500CV, 1200RPM E 60HZ EQUIPAMENTO INSTALADO NA EAT.VLG.001"/>
    <s v="CONJUNTO MOTO-BOMBA DO TIPO CENTRIFUGA HORIZONTAL. 4500CV, 1200RPM E 60HZ "/>
    <x v="0"/>
    <s v="EAT.VLG.001"/>
    <s v="Elevatória de Água Tratada Valparaíso de Goiás"/>
    <s v="-"/>
    <x v="0"/>
    <s v="Elevatória de água tratada"/>
    <s v="EAT - casa de máquinas"/>
    <m/>
    <m/>
  </r>
  <r>
    <x v="46"/>
    <s v="ESTAÇÃO DE RECALQUE - ÁGUA - DF CONJUNTO MOTO-BOMBA DO TIPO CENTRIFUGA HORIZONTAL. 4500CV, 1200RPM E 60HZ WEB SULZER. EQUIPAMENTO INSTALADO NA EAT.VLG.001"/>
    <s v="CONJUNTO MOTO-BOMBA DO TIPO CENTRIFUGA HORIZONTAL. 4500CV, 1200RPM E 60HZ "/>
    <x v="0"/>
    <s v="EAT.VLG.001"/>
    <s v="Elevatória de Água Tratada Valparaíso de Goiás"/>
    <s v="-"/>
    <x v="0"/>
    <s v="Elevatória de água tratada"/>
    <s v="EAT - casa de máquinas"/>
    <m/>
    <m/>
  </r>
  <r>
    <x v="47"/>
    <s v="ESTAÇÃO DE RECALQUE - ÁGUA - DF ATUADOR ELÉTRICO INTELIGENTE PARA VÁLVULA , 1/4 DE VOLTA, MOTOR 380VAC/60HZ, IP68, TORQUE DE SAÍDA MÁXIMO DE 1000NM, REDUTOR E MÓDULO DE COMUNICAÇÃO"/>
    <s v="ATUADOR ELÉTRICO INTELIGENTE PARA VÁLVULA , 1/4 DE VOLTA, MOTOR 380VAC/60H"/>
    <x v="0"/>
    <s v="EAT.VLG.001"/>
    <s v="Elevatória de Água Tratada Valparaíso de Goiás"/>
    <s v="-"/>
    <x v="0"/>
    <s v="Elevatória de água tratada"/>
    <s v="EAT - casa de máquinas"/>
    <m/>
    <m/>
  </r>
  <r>
    <x v="48"/>
    <s v="ESTAÇÃO DE RECALQUE - ÁGUA - DF ATUADOR ELÉTRICO INTELIGENTE PARA VÁLVULA , 1/4 DE VOLTA, MOTOR 380VAC/60HZ, IP68, TORQUE DE SAÍDA MÁXIMO DE 1000NM, REDUTOR E MÓDULO DE COMUNICAÇÃO"/>
    <s v="ATUADOR ELÉTRICO INTELIGENTE PARA VÁLVULA , 1/4 DE VOLTA, MOTOR 380VAC/60H"/>
    <x v="0"/>
    <s v="EAT.VLG.001"/>
    <s v="Elevatória de Água Tratada Valparaíso de Goiás"/>
    <s v="-"/>
    <x v="0"/>
    <s v="Elevatória de água tratada"/>
    <s v="EAT - casa de máquinas"/>
    <m/>
    <m/>
  </r>
  <r>
    <x v="49"/>
    <s v="ESTAÇÃO DE RECALQUE - ÁGUA - DF ATUADOR ELÉTRICO INTELIGENTE PARA VÁLVULA , 1/4 DE VOLTA, MOTOR 380VAC/60HZ, IP68, TORQUE DE SAÍDA MÁXIMO DE 1000NM, REDUTOR E MÓDULO DE COMUNICAÇÃO"/>
    <s v="ATUADOR ELÉTRICO INTELIGENTE PARA VÁLVULA , 1/4 DE VOLTA, MOTOR 380VAC/60H"/>
    <x v="0"/>
    <s v="EAT.VLG.001"/>
    <s v="Elevatória de Água Tratada Valparaíso de Goiás"/>
    <s v="-"/>
    <x v="0"/>
    <s v="Elevatória de água tratada"/>
    <s v="EAT - casa de máquinas"/>
    <m/>
    <m/>
  </r>
  <r>
    <x v="50"/>
    <s v="ESTAÇÃO DE RECALQUE - ÁGUA - DF ATUADOR ELÉTRICO INTELIGENTE PARA VÁLVULA , 1/4 DE VOLTA, MOTOR 380VAC/60HZ, IP68, TORQUE DE SAÍDA MÁXIMO DE 1000NM, REDUTOR E MÓDULO DE COMUNICAÇÃO"/>
    <s v="ATUADOR ELÉTRICO INTELIGENTE PARA VÁLVULA , 1/4 DE VOLTA, MOTOR 380VAC/60H"/>
    <x v="0"/>
    <s v="EAT.VLG.001"/>
    <s v="Elevatória de Água Tratada Valparaíso de Goiás"/>
    <s v="-"/>
    <x v="0"/>
    <s v="Elevatória de água tratada"/>
    <s v="EAT - casa de máquinas"/>
    <m/>
    <m/>
  </r>
  <r>
    <x v="51"/>
    <s v="ESTAÇÃO DE RECALQUE - ÁGUA - DF ATUADOR ELÉTRICO INTELIGENTE PARA VÁLVULA , 1/4 DE VOLTA, MOTOR 380VAC/60HZ, IP68, TORQUE DE SAÍDA MÁXIMO DE 1000NM, REDUTOR E MÓDULO DE COMUNICAÇÃO"/>
    <s v="ATUADOR ELÉTRICO INTELIGENTE PARA VÁLVULA , 1/4 DE VOLTA, MOTOR 380VAC/60H"/>
    <x v="0"/>
    <s v="EAT.VLG.001"/>
    <s v="Elevatória de Água Tratada Valparaíso de Goiás"/>
    <s v="-"/>
    <x v="0"/>
    <s v="Elevatória de água tratada"/>
    <s v="EAT - casa de máquinas"/>
    <m/>
    <m/>
  </r>
  <r>
    <x v="52"/>
    <s v="ESTAÇÃO DE RECALQUE - ÁGUA - DF PONTE ROLANTE DUPLA VIGA CAPACIDADE DE 20 T INCLUINDO TALHA ELÉTRICA DE 20 T, TRILHO DE ROLAMENTO, COMPRIMENTO DE 20 M, VÃO DE  20 M E ALTURA DE ELEVAÇÃO DE 10 M."/>
    <s v="PONTE ROLANTE DUPLA VIGA CAPACIDADE DE 20 T INCLUINDO TALHA ELÉTRICA DE 20"/>
    <x v="0"/>
    <s v="EAT.VLG.001"/>
    <s v="Elevatória de Água Tratada Valparaíso de Goiás"/>
    <s v="-"/>
    <x v="0"/>
    <s v="Elevatória de água tratada"/>
    <s v="EAT - ponte rolante"/>
    <m/>
    <m/>
  </r>
  <r>
    <x v="53"/>
    <s v="ESTAÇÃO DE RECALQUE - ÁGUA - DF CONJUNTO MOTO-BOMBA SUBMERSSÍVEL , COM VEDAÇÃO POR SELO MECÂNICO, ACOPLADA A MOTOR ELÉTRICO TRIFÁSICO DE 2 HP, 4 PÓLOS, 1750 RPM, 60HZ, 380 V. PONTO DE OPERAÇÃO [Q=10,0 X H=8,5 MCA]"/>
    <s v="CONJUNTO MOTO-BOMBA SUBMERSSÍVEL , COM VEDAÇÃO POR SELO MECÂNICO, ACOPLADA"/>
    <x v="0"/>
    <s v="EAT.VLG.001"/>
    <s v="Elevatória de Água Tratada Valparaíso de Goiás"/>
    <s v="-"/>
    <x v="0"/>
    <s v="Elevatória de água tratada"/>
    <s v="EAT - bombas submersíveis"/>
    <m/>
    <m/>
  </r>
  <r>
    <x v="54"/>
    <s v="ESTAÇÃO DE RECALQUE - ÁGUA - DF CONJUNTO MOTO-BOMBA SUBMERSSÍVEL , COM VEDAÇÃO POR SELO MECÂNICO, ACOPLADA A MOTOR ELÉTRICO TRIFÁSICO DE 2 HP, 4 PÓLOS, 1750 RPM, 60HZ, 380 V. PONTO DE OPERAÇÃO [Q=10,0 X H=8,5 MCA]"/>
    <s v="CONJUNTO MOTO-BOMBA SUBMERSSÍVEL , COM VEDAÇÃO POR SELO MECÂNICO, ACOPLADA"/>
    <x v="0"/>
    <s v="EAT.VLG.001"/>
    <s v="Elevatória de Água Tratada Valparaíso de Goiás"/>
    <s v="-"/>
    <x v="0"/>
    <s v="Elevatória de água tratada"/>
    <s v="EAT - bombas submersíveis"/>
    <m/>
    <m/>
  </r>
  <r>
    <x v="55"/>
    <s v="ESTAÇÃO DE RECALQUE - ÁGUA - DF CONJUNTO MOTO-BOMBA SUBMERSSÍVEL , COM VEDAÇÃO POR SELO MECÂNICO, ACOPLADA A MOTOR ELÉTRICO TRIFÁSICO DE 2 HP, 4 PÓLOS, 1750 RPM, 60HZ, 380 V. PONTO DE OPERAÇÃO [Q=10,0 X H=8,5 MCA]"/>
    <s v="CONJUNTO MOTO-BOMBA SUBMERSSÍVEL , COM VEDAÇÃO POR SELO MECÂNICO, ACOPLADA"/>
    <x v="0"/>
    <s v="EAT.VLG.001"/>
    <s v="Elevatória de Água Tratada Valparaíso de Goiás"/>
    <s v="-"/>
    <x v="0"/>
    <s v="Elevatória de água tratada"/>
    <s v="EAT - bombas submersíveis"/>
    <m/>
    <m/>
  </r>
  <r>
    <x v="56"/>
    <s v="ESTAÇÃO DE RECALQUE - ÁGUA - DF CONJUNTO MOTO-BOMBA SUBMERSSÍVEL , COM VEDAÇÃO POR SELO MECÂNICO, ACOPLADA A MOTOR ELÉTRICO TRIFÁSICO DE 2 HP, 4 PÓLOS, 1750 RPM, 60HZ, 380 V. PONTO DE OPERAÇÃO [Q=10,0 X H=8,5 MCA]"/>
    <s v="CONJUNTO MOTO-BOMBA SUBMERSSÍVEL , COM VEDAÇÃO POR SELO MECÂNICO, ACOPLADA"/>
    <x v="0"/>
    <s v="EAT.VLG.001"/>
    <s v="Elevatória de Água Tratada Valparaíso de Goiás"/>
    <s v="-"/>
    <x v="0"/>
    <s v="Elevatória de água tratada"/>
    <s v="EAT - bombas submersíveis"/>
    <m/>
    <m/>
  </r>
  <r>
    <x v="57"/>
    <s v="ESTAÇÃO DE RECALQUE - ÁGUA - DF CONJUNTO MOTO-BOMBA SUBMERSSÍVEL , COM VEDAÇÃO POR SELO MECÂNICO, ACOPLADA A MOTOR ELÉTRICO TRIFÁSICO DE 2 HP, 4 PÓLOS, 1750 RPM, 60HZ, 380 V. PONTO DE OPERAÇÃO [Q=10,0 X H=8,5 MCA]"/>
    <s v="CONJUNTO MOTO-BOMBA SUBMERSSÍVEL , COM VEDAÇÃO POR SELO MECÂNICO, ACOPLADA"/>
    <x v="0"/>
    <s v="EAT.VLG.001"/>
    <s v="Elevatória de Água Tratada Valparaíso de Goiás"/>
    <s v="-"/>
    <x v="0"/>
    <s v="Elevatória de água tratada"/>
    <s v="EAT - bombas submersíveis"/>
    <m/>
    <m/>
  </r>
  <r>
    <x v="58"/>
    <s v="ESTAÇÃO DE RECALQUE - ÁGUA - DF QA REMOTA: RACK REMOTO COMPLETO INCLUÍNDO RACKS , MÓDULOS DE E/S, FONTES, MÓDULOS DE COMUNICAÇÃO,PROTETORES, TRANCEIVERS E TODOS OS EQUIPAMENTOS AUXILIARES, 3 UNIDADES - SWITCH INDUSTRIAL GERENCIÁVEL LAYER 2 (STRATIX 5700), EQUIPAMENTO ESTE QUE TEM 16 PORTAS METÁLICAS + 4 PORTAS DE FIBRA + 2 PORTAS METÁLICAS GIGA E SWITCH GERENCIÁVEL._x000a_"/>
    <s v="QA REMOTA: RACK REMOTO COMPLETO INCLUÍNDO RACKS , MÓDULOS DE E/S, FONTES, "/>
    <x v="0"/>
    <s v="EAT.VLG.001"/>
    <s v="Elevatória de Água Tratada Valparaíso de Goiás"/>
    <s v="-"/>
    <x v="0"/>
    <s v="Elevatória de água tratada"/>
    <s v="EAT - sala de cubículo"/>
    <m/>
    <m/>
  </r>
  <r>
    <x v="59"/>
    <s v="ESTAÇÃO DE RECALQUE - ÁGUA - DF QUADRO CLP - QUADRO DE FORÇA, COMANDO E CONTROLE, COMPLETO INCLUINDO DISJUNTORES, PROTETORES DE SURTO, IHM 12 E DEMAIS EQUIPAMENTOS AUXILIARES, PARA ABRIGAR CLP E RACK REMOTO, SWITCH INDUSTRIAL GERENCIÁVEL LAYER 3 COM 10 PORTAS, SWITCH INDUSTRIAL GERENCIÁVEL LAYER 2 COM 10 PORTAS, CPUS E EQUIPAMENTOS DE AUTOMAÇÃO._x000a_"/>
    <s v="QUADRO CLP - QUADRO DE FORÇA, COMANDO E CONTROLE, COMPLETO INCLUINDO DISJU"/>
    <x v="0"/>
    <s v="EAT.VLG.001"/>
    <s v="Elevatória de Água Tratada Valparaíso de Goiás"/>
    <s v="-"/>
    <x v="0"/>
    <s v="Elevatória de água tratada"/>
    <s v="EAT - sala painel view"/>
    <m/>
    <m/>
  </r>
  <r>
    <x v="60"/>
    <e v="#VALUE!"/>
    <e v="#VALUE!"/>
    <x v="0"/>
    <s v="EAT.VLG.001"/>
    <s v="Elevatória de Água Tratada Valparaíso de Goiás"/>
    <s v="-"/>
    <x v="0"/>
    <s v="Elevatória de água tratada"/>
    <s v="EAT - sala painel view"/>
    <m/>
    <m/>
  </r>
  <r>
    <x v="61"/>
    <s v="NOTEBOOK MAQ AUT HP PB640G8 I5-1145G7 14 16GB/512 ACOMPANHA WINDOWS 11 PR_x000a_"/>
    <s v="NOTEBOOK MAQ AUT HP PB640G8 I5-1145G7 14 16GB/512 ACOMPANHA WINDOWS 11 PR_x000a_"/>
    <x v="0"/>
    <s v="PRÉDIO ADMINISTRATIVO"/>
    <s v="Prédio Administrativo do Complexo Corumbá"/>
    <s v="-"/>
    <x v="0"/>
    <s v="Prédio administrativo"/>
    <s v="Prédio - gerência"/>
    <m/>
    <m/>
  </r>
  <r>
    <x v="62"/>
    <s v="RESERVATÓRIOS - DF VÁLVULA BORBOLETA DE FERRO FUNDIDO FLANGEADA COM ATUADOR ELÉTRICO ESPECIAL _x000a_(CLASSE DE PRESSÃO: 10 KGF/CM² / DIÂMETRO DA SEÇÃO: 800 MM)"/>
    <s v="VÁLVULA BORBOLETA DE FERRO FUNDIDO FLANGEADA COM ATUADOR ELÉTRICO ESPECIAL _x000a_(CLASSE DE PRESSÃO: 10 KGF/CM² / DIÂMETRO DA SEÇÃO: 800 MM)"/>
    <x v="0"/>
    <s v="RAP.VLG.001"/>
    <s v="Reservatório de Água Tratada Valparaíso"/>
    <s v="-"/>
    <x v="0"/>
    <s v="Reservatório de água tratada"/>
    <s v="RAP - caixa de manobras - distribuição entre Caesb e Saneago"/>
    <m/>
    <m/>
  </r>
  <r>
    <x v="63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64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Estação de Tratamento de Água Corumbá"/>
    <s v="-"/>
    <x v="0"/>
    <s v="Floculadores"/>
    <s v="Floculadores - turbinas"/>
    <m/>
    <m/>
  </r>
  <r>
    <x v="65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Estação de Tratamento de Água Corumbá"/>
    <s v="-"/>
    <x v="0"/>
    <s v="Floculadores"/>
    <s v="Floculadores - turbinas"/>
    <m/>
    <m/>
  </r>
  <r>
    <x v="66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Estação de Tratamento de Água Corumbá"/>
    <s v="-"/>
    <x v="0"/>
    <s v="Floculadores"/>
    <s v="Floculadores - turbinas"/>
    <m/>
    <m/>
  </r>
  <r>
    <x v="67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68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69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70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71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72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Estação de Tratamento de Água Corumbá"/>
    <s v="-"/>
    <x v="0"/>
    <s v="Floculadores"/>
    <s v="Floculadores - turbinas"/>
    <m/>
    <m/>
  </r>
  <r>
    <x v="73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74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Estação de Tratamento de Água Corumbá"/>
    <s v="-"/>
    <x v="0"/>
    <s v="Floculadores"/>
    <s v="Floculadores - turbinas"/>
    <m/>
    <m/>
  </r>
  <r>
    <x v="75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76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Estação de Tratamento de Água Corumbá"/>
    <s v="-"/>
    <x v="0"/>
    <s v="Floculadores"/>
    <s v="Floculadores - turbinas"/>
    <m/>
    <m/>
  </r>
  <r>
    <x v="77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78"/>
    <s v="ESTAÇÃO DE TRATAMENTO DE ÁGUA - VALPARAISO/GO FLOCULADOR MECÂNICO DE EIXO VERTICAL COM TURBINA DE FLUXO AXIAL, ALTURA ÚTIL DE 3,60 M, POTÊNCIA DE 2 KW, INSTALADOS EM 4 FLOCULADORES, COM 4 CÂMARAS, CADA_x000a_"/>
    <s v="FLOCULADOR MECÂNICO DE EIXO VERTICAL COM TURBINA DE FLUXO AXIAL, ALTURA ÚTIL DE 3,60 M, POTÊNCIA DE 2 KW, INSTALADOS EM 4 FLOCULADORES, COM 4 CÂMARAS, CADA_x000a_"/>
    <x v="0"/>
    <s v="ETA.COR.001"/>
    <s v="Prédio Administrativo do Complexo Corumbá"/>
    <s v="-"/>
    <x v="0"/>
    <s v="Floculadores"/>
    <s v="Floculadores - turbinas"/>
    <m/>
    <m/>
  </r>
  <r>
    <x v="79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0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1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2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3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Estação de Tratamento de Água Corumbá"/>
    <s v="-"/>
    <x v="0"/>
    <s v="Flotadores"/>
    <s v="Flotadores - removedores de lodo"/>
    <m/>
    <m/>
  </r>
  <r>
    <x v="84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5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6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7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Prédio Administrativo do Complexo Corumbá"/>
    <s v="-"/>
    <x v="0"/>
    <s v="Flotadores"/>
    <s v="Flotadores - removedores de lodo"/>
    <m/>
    <m/>
  </r>
  <r>
    <x v="88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Estação de Tratamento de Água Corumbá"/>
    <s v="-"/>
    <x v="0"/>
    <s v="Flotadores"/>
    <s v="Flotadores - removedores de lodo"/>
    <m/>
    <m/>
  </r>
  <r>
    <x v="89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Estação de Tratamento de Água Corumbá"/>
    <s v="-"/>
    <x v="0"/>
    <s v="Flotadores"/>
    <s v="Flotadores - removedores de lodo"/>
    <m/>
    <m/>
  </r>
  <r>
    <x v="90"/>
    <s v="ESTAÇÃO DE TRATAMENTO DE ÁGUA - VALPARAISO/GO REMOVEDOR MECÂNICO DE LODO FLOTADO, COMPRIMENTO DE 14,00 M, LARGURA DE 10,80 M E POTÊNCIA (MÁX.) DE 1 KW PARA  4 FLOTADORES_x000a_"/>
    <s v="REMOVEDOR MECÂNICO DE LODO FLOTADO, COMPRIMENTO DE 14,00 M, LARGURA DE 10,80 M E POTÊNCIA (MÁX.) DE 1 KW PARA  4 FLOTADORES_x000a_"/>
    <x v="0"/>
    <s v="ETA.COR.001"/>
    <s v="Estação de Tratamento de Água Corumbá"/>
    <s v="-"/>
    <x v="0"/>
    <s v="Flotadores"/>
    <s v="Flotadores - removedores de lodo"/>
    <m/>
    <m/>
  </r>
  <r>
    <x v="91"/>
    <s v="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_x000a_"/>
    <s v="CONJUNTO MOTO-COMPRESSOR, PARA INJEÇÃO DE AR SISTEMA DE SATURAÇÃO DOS FLOTADORES, DO TIPO PISTÕES COM RESERVATÓRIO, PARA A VAZÃO NOMINAL (PCM): 40, NÍVEL MÁXIMO DE RUÍDO DE 84 ± 2 DB, 3 CILINDROS, 2 E"/>
    <x v="0"/>
    <s v="ETA.COR.001"/>
    <s v="Estação de Tratamento de Água Corumbá"/>
    <s v="-"/>
    <x v="0"/>
    <s v="Flotadores"/>
    <s v="Flotadores - compressores de ar"/>
    <m/>
    <m/>
  </r>
  <r>
    <x v="92"/>
    <s v="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_x000a_"/>
    <s v="CONJUNTO MOTO-COMPRESSOR, PARA INJEÇÃO DE AR SISTEMA DE SATURAÇÃO DOS FLOTADORES, DO TIPO PISTÕES COM RESERVATÓRIO, PARA A VAZÃO NOMINAL (PCM): 40, NÍVEL MÁXIMO DE RUÍDO DE 84 ± 2 DB, 3 CILINDROS, 2 E"/>
    <x v="0"/>
    <s v="ETA.COR.001"/>
    <s v="Estação de Tratamento de Água Corumbá"/>
    <s v="-"/>
    <x v="0"/>
    <s v="Flotadores"/>
    <s v="Flotadores - compressores de ar"/>
    <m/>
    <m/>
  </r>
  <r>
    <x v="93"/>
    <s v="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_x000a_"/>
    <s v="CONJUNTO MOTO-COMPRESSOR, PARA INJEÇÃO DE AR SISTEMA DE SATURAÇÃO DOS FLOTADORES, DO TIPO PISTÕES COM RESERVATÓRIO, PARA A VAZÃO NOMINAL (PCM): 40, NÍVEL MÁXIMO DE RUÍDO DE 84 ± 2 DB, 3 CILINDROS, 2 E"/>
    <x v="0"/>
    <s v="ETA.COR.001"/>
    <s v="Estação de Tratamento de Água Corumbá"/>
    <s v="-"/>
    <x v="0"/>
    <s v="Flotadores"/>
    <s v="Flotadores - compressores de ar"/>
    <m/>
    <m/>
  </r>
  <r>
    <x v="94"/>
    <s v="ESTAÇÃO DE TRATAMENTO DE ÁGUA - VALPARAISO/GO MEDIDOR DE VAZÃO ELETROMAGNÉTICO, PARA TRABALHO COM VAZÃO OPERACIONAL ENTRE 30 E 45 L/S, COM DIÂMETRO NOMINAL DE 200 MM, CONEXÕES POR FLANGE  DO TIPO DIN 2501 / EN 1092-1_x000a_"/>
    <s v="MEDIDOR DE VAZÃO ELETROMAGNÉTICO, PARA TRABALHO COM VAZÃO OPERACIONAL ENTRE 30 E 45 L/S, COM DIÂMETRO NOMINAL DE 200 MM, CONEXÕES POR FLANGE  DO TIPO DIN 2501 / EN 1092-1_x000a_"/>
    <x v="0"/>
    <s v="ETA.COR.001"/>
    <s v="Estação de Tratamento de Água Corumbá"/>
    <s v="-"/>
    <x v="0"/>
    <s v="Flotadores"/>
    <s v="Flotadores - medidores de vazão de água saturada"/>
    <m/>
    <m/>
  </r>
  <r>
    <x v="95"/>
    <s v="ESTAÇÃO DE TRATAMENTO DE ÁGUA - VALPARAISO/GO MEDIDOR DE VAZÃO ELETROMAGNÉTICO, PARA TRABALHO COM VAZÃO OPERACIONAL ENTRE 30 E 45 L/S, COM DIÂMETRO NOMINAL DE 200 MM, CONEXÕES POR FLANGE  DO TIPO DIN 2501 / EN 1092-1_x000a_"/>
    <s v="MEDIDOR DE VAZÃO ELETROMAGNÉTICO, PARA TRABALHO COM VAZÃO OPERACIONAL ENTRE 30 E 45 L/S, COM DIÂMETRO NOMINAL DE 200 MM, CONEXÕES POR FLANGE  DO TIPO DIN 2501 / EN 1092-1_x000a_"/>
    <x v="0"/>
    <s v="ETA.COR.001"/>
    <s v="Estação de Tratamento de Água Corumbá"/>
    <s v="-"/>
    <x v="0"/>
    <s v="Flotadores"/>
    <s v="Flotadores - medidores de vazão de água saturada"/>
    <m/>
    <m/>
  </r>
  <r>
    <x v="96"/>
    <s v="ESTAÇÃO DE TRATAMENTO DE ÁGUA - VALPARAISO/GO MEDIDOR DE VAZÃO ELETROMAGNÉTICO, PARA TRABALHO COM VAZÃO OPERACIONAL ENTRE 30 E 45 L/S, COM DIÂMETRO NOMINAL DE 200 MM, CONEXÕES POR FLANGE  DO TIPO DIN 2501 / EN 1092-1_x000a_"/>
    <s v="MEDIDOR DE VAZÃO ELETROMAGNÉTICO, PARA TRABALHO COM VAZÃO OPERACIONAL ENTRE 30 E 45 L/S, COM DIÂMETRO NOMINAL DE 200 MM, CONEXÕES POR FLANGE  DO TIPO DIN 2501 / EN 1092-1_x000a_"/>
    <x v="0"/>
    <s v="ETA.COR.001"/>
    <s v="Estação de Tratamento de Água Corumbá"/>
    <s v="-"/>
    <x v="0"/>
    <s v="Flotadores"/>
    <s v="Flotadores - medidores de vazão de água saturada"/>
    <m/>
    <m/>
  </r>
  <r>
    <x v="97"/>
    <s v="ESTAÇÃO DE TRATAMENTO DE ÁGUA - VALPARAISO/GO MEDIDOR DE VAZÃO ELETROMAGNÉTICO, PARA TRABALHO COM VAZÃO OPERACIONAL ENTRE 30 E 45 L/S, COM DIÂMETRO NOMINAL DE 200 MM, CONEXÕES POR FLANGE  DO TIPO DIN 2501 / EN 1092-1_x000a_"/>
    <s v="MEDIDOR DE VAZÃO ELETROMAGNÉTICO, PARA TRABALHO COM VAZÃO OPERACIONAL ENTRE 30 E 45 L/S, COM DIÂMETRO NOMINAL DE 200 MM, CONEXÕES POR FLANGE  DO TIPO DIN 2501 / EN 1092-1_x000a_"/>
    <x v="0"/>
    <s v="ETA.COR.001"/>
    <s v="Estação de Tratamento de Água Corumbá"/>
    <s v="-"/>
    <x v="0"/>
    <s v="Flotadores"/>
    <s v="Flotadores - medidores de vazão de água saturada"/>
    <m/>
    <m/>
  </r>
  <r>
    <x v="98"/>
    <s v="ESTAÇÃO DE TRATAMENTO DE ÁGUA - VALPARAISO/GO CONJUNTO MOTOR-BOMBA, DO TIPO CENTRÍFUGA, HORIZONTAL,  VAZÃO 40.8 L/S,  ALTURA MANOMÉTRICA DE 75,84 MCA, POTÊNCIA NOMINAL DE 55 CV._x000a_"/>
    <s v="CONJUNTO MOTOR-BOMBA, DO TIPO CENTRÍFUGA, HORIZONTAL,  VAZÃO 40.8 L/S,  ALTURA MANOMÉTRICA DE 75,84 MCA, POTÊNCIA NOMINAL DE 55 CV._x000a_"/>
    <x v="0"/>
    <s v="ETA.COR.001"/>
    <s v="Estação de Tratamento de Água Corumbá"/>
    <s v="-"/>
    <x v="0"/>
    <s v="Flotadores"/>
    <s v="Flotadores - elevatórias de lodo flotado"/>
    <m/>
    <m/>
  </r>
  <r>
    <x v="99"/>
    <s v="ESTAÇÃO DE TRATAMENTO DE ÁGUA - VALPARAISO/GO CONJUNTO MOTOR-BOMBA, DO TIPO CENTRÍFUGA, HORIZONTAL,  VAZÃO 40.8 L/S,  ALTURA MANOMÉTRICA DE 75,84 MCA, POTÊNCIA NOMINAL DE 55 CV._x000a_"/>
    <s v="CONJUNTO MOTOR-BOMBA, DO TIPO CENTRÍFUGA, HORIZONTAL,  VAZÃO 40.8 L/S,  ALTURA MANOMÉTRICA DE 75,84 MCA, POTÊNCIA NOMINAL DE 55 CV._x000a_"/>
    <x v="0"/>
    <s v="ETA.COR.001"/>
    <s v="Estação de Tratamento de Água Corumbá"/>
    <s v="-"/>
    <x v="0"/>
    <s v="Floculadores"/>
    <s v="Flotadores - elevatórias de água saturada"/>
    <m/>
    <m/>
  </r>
  <r>
    <x v="100"/>
    <s v="ESTAÇÃO DE TRATAMENTO DE ÁGUA - VALPARAISO/GO CONJUNTO MOTOR-BOMBA, DO TIPO CENTRÍFUGA, HORIZONTAL,  VAZÃO 40.8 L/S,  ALTURA MANOMÉTRICA DE 75,84 MCA, POTÊNCIA NOMINAL DE 55 CV._x000a_"/>
    <s v="CONJUNTO MOTOR-BOMBA, DO TIPO CENTRÍFUGA, HORIZONTAL,  VAZÃO 40.8 L/S,  ALTURA MANOMÉTRICA DE 75,84 MCA, POTÊNCIA NOMINAL DE 55 CV._x000a_"/>
    <x v="0"/>
    <s v="ETA.COR.001"/>
    <s v="Elevatória de Água Tratada Valparaíso de Goiás"/>
    <s v="-"/>
    <x v="0"/>
    <s v="Flotadores"/>
    <s v="Flotadores - elevatórias de água saturada"/>
    <m/>
    <m/>
  </r>
  <r>
    <x v="101"/>
    <s v="ESTAÇÃO DE TRATAMENTO DE ÁGUA - VALPARAISO/GO CONJUNTO MOTOR-BOMBA, DO TIPO CENTRÍFUGA, HORIZONTAL,  VAZÃO 40.8 L/S,  ALTURA MANOMÉTRICA DE 75,84 MCA, POTÊNCIA NOMINAL DE 55 CV._x000a_"/>
    <s v="CONJUNTO MOTOR-BOMBA, DO TIPO CENTRÍFUGA, HORIZONTAL,  VAZÃO 40.8 L/S,  ALTURA MANOMÉTRICA DE 75,84 MCA, POTÊNCIA NOMINAL DE 55 CV._x000a_"/>
    <x v="0"/>
    <s v="ETA.COR.001"/>
    <s v="Elevatória de Água Tratada Valparaíso de Goiás"/>
    <s v="-"/>
    <x v="0"/>
    <s v="Flotadores"/>
    <s v="Flotadores - elevatórias de água saturada"/>
    <m/>
    <m/>
  </r>
  <r>
    <x v="102"/>
    <s v="ESTAÇÃO DE TRATAMENTO DE ÁGUA - VALPARAISO/GO CONJUNTO MOTOR-BOMBA, DO TIPO CENTRÍFUGA, HORIZONTAL,  VAZÃO 40.8 L/S,  ALTURA MANOMÉTRICA DE 75,84 MCA, POTÊNCIA NOMINAL DE 55 CV._x000a_"/>
    <s v="CONJUNTO MOTOR-BOMBA, DO TIPO CENTRÍFUGA, HORIZONTAL,  VAZÃO 40.8 L/S,  ALTURA MANOMÉTRICA DE 75,84 MCA, POTÊNCIA NOMINAL DE 55 CV._x000a_"/>
    <x v="0"/>
    <s v="ETA.COR.001"/>
    <s v="Elevatória de Água Tratada Valparaíso de Goiás"/>
    <s v="-"/>
    <x v="0"/>
    <s v="Flotadores"/>
    <s v="Flotadores - elevatórias de água saturada"/>
    <m/>
    <m/>
  </r>
  <r>
    <x v="103"/>
    <s v="ESTAÇÃO DE TRATAMENTO DE ÁGUA - VALPARAISO/GO CONJUNTO MOTOR-BOMBA, DO TIPO HELICOIDAL, HORIZONTAL,  VAZÃO 1,38 L/S,  ALTURA MANOMÉTRICA DE 10 MCA, POTÊNCIA NOMINAL DE 2,5 KW_x000a_"/>
    <s v="CONJUNTO MOTOR-BOMBA, DO TIPO HELICOIDAL, HORIZONTAL,  VAZÃO 1,38 L/S,  ALTURA MANOMÉTRICA DE 10 MCA, POTÊNCIA NOMINAL DE 2,5 KW_x000a_"/>
    <x v="0"/>
    <s v="ETA.COR.001"/>
    <s v="Elevatória de Água Tratada Valparaíso de Goiás"/>
    <s v="-"/>
    <x v="0"/>
    <s v="Flotadores"/>
    <s v="Flotadores - elevatórias de lodo flotado"/>
    <m/>
    <m/>
  </r>
  <r>
    <x v="104"/>
    <s v="ESTAÇÃO DE TRATAMENTO DE ÁGUA - VALPARAISO/GO CONJUNTO MOTOR-BOMBA, DO TIPO HELICOIDAL, HORIZONTAL,  VAZÃO 1,38 L/S,  ALTURA MANOMÉTRICA DE 10 MCA, POTÊNCIA NOMINAL DE 2,5 KW_x000a_"/>
    <s v="CONJUNTO MOTOR-BOMBA, DO TIPO HELICOIDAL, HORIZONTAL,  VAZÃO 1,38 L/S,  ALTURA MANOMÉTRICA DE 10 MCA, POTÊNCIA NOMINAL DE 2,5 KW_x000a_"/>
    <x v="0"/>
    <s v="ETA.COR.001"/>
    <s v="Elevatória de Água Tratada Valparaíso de Goiás"/>
    <s v="-"/>
    <x v="0"/>
    <s v="Flotadores"/>
    <s v="Flotadores - elevatórias de lodo flotado"/>
    <m/>
    <m/>
  </r>
  <r>
    <x v="105"/>
    <s v="ESTAÇÃO DE TRATAMENTO DE ÁGUA - VALPARAISO/GO CONJUNTO MOTOR-BOMBA, DO TIPO HELICOIDAL, HORIZONTAL,  VAZÃO 1,38 L/S,  ALTURA MANOMÉTRICA DE 10 MCA, POTÊNCIA NOMINAL DE 2,5 KW_x000a_"/>
    <s v="CONJUNTO MOTOR-BOMBA, DO TIPO HELICOIDAL, HORIZONTAL,  VAZÃO 1,38 L/S,  ALTURA MANOMÉTRICA DE 10 MCA, POTÊNCIA NOMINAL DE 2,5 KW_x000a_"/>
    <x v="0"/>
    <s v="ETA.COR.001"/>
    <s v="Estação de Tratamento de Água Corumbá"/>
    <s v="-"/>
    <x v="0"/>
    <s v="Floculadores"/>
    <s v="Flotadores - elevatórias de lodo flotado"/>
    <m/>
    <m/>
  </r>
  <r>
    <x v="106"/>
    <s v="ESTAÇÃO DE TRATAMENTO DE ÁGUA - VALPARAISO/GO CONJUNTO MOTOR-BOMBA, DO TIPO HELICOIDAL, HORIZONTAL,  VAZÃO 1,38 L/S,  ALTURA MANOMÉTRICA DE 10 MCA, POTÊNCIA NOMINAL DE 2,5 KW_x000a_"/>
    <s v="CONJUNTO MOTOR-BOMBA, DO TIPO HELICOIDAL, HORIZONTAL,  VAZÃO 1,38 L/S,  ALTURA MANOMÉTRICA DE 10 MCA, POTÊNCIA NOMINAL DE 2,5 KW_x000a_"/>
    <x v="0"/>
    <s v="ETA.COR.001"/>
    <s v="Estação de Tratamento de Água Corumbá"/>
    <s v="-"/>
    <x v="0"/>
    <s v="Floculadores"/>
    <s v="Flotadores - elevatórias de lodo flotado"/>
    <m/>
    <m/>
  </r>
  <r>
    <x v="107"/>
    <s v="ESTAÇÃO DE TRATAMENTO DE ÁGUA - VALPARAISO/GO COMPORTA INOX AISI 304, ACIONAMENTO ATRAVÉS DE ATUADOR ELÉTRICO, MEDIDAS DO CANAL: 0,7M (H) X 0,7M (L), MEDIDAS DA COMPORTA: 0,94M (H) X 0,94M (L), ALTURA TOTAL: 5,02 M_x000a_"/>
    <s v="COMPORTA INOX AISI 304, ACIONAMENTO ATRAVÉS DE ATUADOR ELÉTRICO, MEDIDAS DO CANAL: 0,7M (H) X 0,7M (L), MEDIDAS DA COMPORTA: 0,94M (H) X 0,94M (L), ALTURA TOTAL: 5,02 M_x000a_"/>
    <x v="0"/>
    <s v="ETA.COR.001"/>
    <s v="Estação de Tratamento de Água Corumbá"/>
    <s v="-"/>
    <x v="0"/>
    <s v="Filtros"/>
    <s v="Filtros - comportas"/>
    <m/>
    <m/>
  </r>
  <r>
    <x v="108"/>
    <s v="ESTAÇÃO DE TRATAMENTO DE ÁGUA - VALPARAISO/GO COMPORTA INOX AISI 304, ACIONAMENTO ATRAVÉS DE ATUADOR ELÉTRICO, MEDIDAS DO CANAL: 0,7M (H) X 0,7M (L), MEDIDAS DA COMPORTA: 0,94M (H) X 0,94M (L), ALTURA TOTAL: 5,02 M_x000a_"/>
    <s v="COMPORTA INOX AISI 304, ACIONAMENTO ATRAVÉS DE ATUADOR ELÉTRICO, MEDIDAS DO CANAL: 0,7M (H) X 0,7M (L), MEDIDAS DA COMPORTA: 0,94M (H) X 0,94M (L), ALTURA TOTAL: 5,02 M_x000a_"/>
    <x v="0"/>
    <s v="ETA.COR.001"/>
    <s v="Prédio Administrativo do Complexo Corumbá"/>
    <s v="-"/>
    <x v="0"/>
    <s v="Filtros"/>
    <s v="Filtros - comportas"/>
    <m/>
    <m/>
  </r>
  <r>
    <x v="109"/>
    <s v="ESTAÇÃO DE TRATAMENTO DE ÁGUA - VALPARAISO/GO COMPORTA INOX AISI 304, ACIONAMENTO ATRAVÉS DE ATUADOR ELÉTRICO, MEDIDAS DO CANAL: 0,7M (H) X 0,7M (L), MEDIDAS DA COMPORTA: 0,94M (H) X 0,94M (L), ALTURA TOTAL: 5,02 M_x000a_"/>
    <s v="COMPORTA INOX AISI 304, ACIONAMENTO ATRAVÉS DE ATUADOR ELÉTRICO, MEDIDAS DO CANAL: 0,7M (H) X 0,7M (L), MEDIDAS DA COMPORTA: 0,94M (H) X 0,94M (L), ALTURA TOTAL: 5,02 M_x000a_"/>
    <x v="0"/>
    <s v="ETA.COR.001"/>
    <s v="Estação de Tratamento de Água Corumbá"/>
    <s v="-"/>
    <x v="0"/>
    <s v="Filtros"/>
    <s v="Filtros - comportas"/>
    <m/>
    <m/>
  </r>
  <r>
    <x v="110"/>
    <s v="ESTAÇÃO DE TRATAMENTO DE ÁGUA - VALPARAISO/GO COMPORTA INOX AISI 304, ACIONAMENTO ATRAVÉS DE ATUADOR ELÉTRICO, MEDIDAS DO CANAL: 0,7M (H) X 0,7M (L), MEDIDAS DA COMPORTA: 0,94M (H) X 0,94M (L), ALTURA TOTAL: 5,02 M_x000a_"/>
    <s v="COMPORTA INOX AISI 304, ACIONAMENTO ATRAVÉS DE ATUADOR ELÉTRICO, MEDIDAS DO CANAL: 0,7M (H) X 0,7M (L), MEDIDAS DA COMPORTA: 0,94M (H) X 0,94M (L), ALTURA TOTAL: 5,02 M_x000a_"/>
    <x v="0"/>
    <s v="ETA.COR.001"/>
    <s v="Estação de Tratamento de Água Corumbá"/>
    <s v="-"/>
    <x v="0"/>
    <s v="Filtros"/>
    <s v="Filtros - comportas"/>
    <m/>
    <m/>
  </r>
  <r>
    <x v="111"/>
    <s v="ESTAÇÃO DE TRATAMENTO DE ÁGUA - VALPARAISO/GO COMPORTA INOX AISI 304, ACIONAMENTO ATRAVÉS DE ATUADOR ELÉTRICO, MEDIDAS DO CANAL: 0,9M (H) X 0,9M (L), MEDIDAS DA COMPORTA: 1,14M (H) X 1,14M (L), ALTURA TOTAL: 3,15 M, PRESSÃO (N/M²): 30901,5."/>
    <s v="COMPORTA INOX AISI 304, ACIONAMENTO ATRAVÉS DE ATUADOR ELÉTRICO, MEDIDAS DO CANAL: 0,9M (H) X 0,9M (L), MEDIDAS DA COMPORTA: 1,14M (H) X 1,14M (L), ALTURA TOTAL: 3,15 M, PRESSÃO (N/M²): 30901,5."/>
    <x v="0"/>
    <s v="ETA.COR.001"/>
    <s v="Estação de Tratamento de Água Corumbá"/>
    <s v="-"/>
    <x v="0"/>
    <s v="Filtros"/>
    <s v="Filtros - comportas"/>
    <m/>
    <m/>
  </r>
  <r>
    <x v="112"/>
    <s v="ESTAÇÃO DE TRATAMENTO DE ÁGUA - VALPARAISO/GO COMPORTA INOX AISI 304, ACIONAMENTO ATRAVÉS DE ATUADOR ELÉTRICO, MEDIDAS DO CANAL: 0,9M (H) X 0,9M (L), MEDIDAS DA COMPORTA: 1,14M (H) X 1,14M (L), ALTURA TOTAL: 3,15 M, PRESSÃO (N/M²): 30901,5."/>
    <s v="COMPORTA INOX AISI 304, ACIONAMENTO ATRAVÉS DE ATUADOR ELÉTRICO, MEDIDAS DO CANAL: 0,9M (H) X 0,9M (L), MEDIDAS DA COMPORTA: 1,14M (H) X 1,14M (L), ALTURA TOTAL: 3,15 M, PRESSÃO (N/M²): 30901,5."/>
    <x v="0"/>
    <s v="ETA.COR.001"/>
    <s v="Estação de Tratamento de Água Corumbá"/>
    <s v="-"/>
    <x v="0"/>
    <s v="Filtros"/>
    <s v="Filtros - comportas"/>
    <m/>
    <m/>
  </r>
  <r>
    <x v="113"/>
    <s v="ESTAÇÃO DE TRATAMENTO DE ÁGUA - VALPARAISO/GO COMPORTA INOX AISI 304, ACIONAMENTO ATRAVÉS DE ATUADOR ELÉTRICO, MEDIDAS DO CANAL: 0,9M (H) X 0,9M (L), MEDIDAS DA COMPORTA: 1,14M (H) X 1,14M (L), ALTURA TOTAL: 3,15 M, PRESSÃO (N/M²): 30901,5."/>
    <s v="COMPORTA INOX AISI 304, ACIONAMENTO ATRAVÉS DE ATUADOR ELÉTRICO, MEDIDAS DO CANAL: 0,9M (H) X 0,9M (L), MEDIDAS DA COMPORTA: 1,14M (H) X 1,14M (L), ALTURA TOTAL: 3,15 M, PRESSÃO (N/M²): 30901,5."/>
    <x v="0"/>
    <s v="ETA.COR.001"/>
    <s v="Estação de Tratamento de Água Corumbá"/>
    <s v="-"/>
    <x v="0"/>
    <s v="Filtros"/>
    <s v="Filtros - comportas"/>
    <m/>
    <m/>
  </r>
  <r>
    <x v="114"/>
    <s v="ESTAÇÃO DE TRATAMENTO DE ÁGUA - VALPARAISO/GO COMPORTA INOX AISI 304, ACIONAMENTO ATRAVÉS DE ATUADOR ELÉTRICO, MEDIDAS DO CANAL: 0,9M (H) X 0,9M (L), MEDIDAS DA COMPORTA: 1,14M (H) X 1,14M (L), ALTURA TOTAL: 3,15 M, PRESSÃO (N/M²): 30901,5._x000a_"/>
    <s v="COMPORTA INOX AISI 304, ACIONAMENTO ATRAVÉS DE ATUADOR ELÉTRICO, MEDIDAS DO CANAL: 0,9M (H) X 0,9M (L), MEDIDAS DA COMPORTA: 1,14M (H) X 1,14M (L), ALTURA TOTAL: 3,15 M, PRESSÃO (N/M²): 30901,5._x000a_"/>
    <x v="0"/>
    <s v="ETA.COR.001"/>
    <s v="Estação de Tratamento de Água Corumbá"/>
    <s v="-"/>
    <x v="0"/>
    <s v="Filtros"/>
    <s v="Filtros - comportas"/>
    <m/>
    <m/>
  </r>
  <r>
    <x v="115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16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17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18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19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20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21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22"/>
    <s v="ESTAÇÃO DE TRATAMENTO DE ÁGUA - VALPARAISO/GO COMPORTA CONSTRUÍDA EM INOX AISI 304, ACIONAMENTO ATRAVÉS DE ATUADOR ELÉTRICO, MEDIDAS DO CANAL: 0,52M (H) X 1,2M (L), MEDIDAS DA COMPORTA: 0,84M (H) X 1,34M (L), ALTURA TOTAL: 0,84 M_x000a_"/>
    <s v="COMPORTA CONSTRUÍDA EM INOX AISI 304, ACIONAMENTO ATRAVÉS DE ATUADOR ELÉTRICO, MEDIDAS DO CANAL: 0,52M (H) X 1,2M (L), MEDIDAS DA COMPORTA: 0,84M (H) X 1,34M (L), ALTURA TOTAL: 0,84 M_x000a_"/>
    <x v="0"/>
    <s v="ETA.COR.001"/>
    <s v="Estação de Tratamento de Água Corumbá"/>
    <s v="-"/>
    <x v="0"/>
    <s v="Floculadores"/>
    <s v="Floculadores - comportas"/>
    <m/>
    <m/>
  </r>
  <r>
    <x v="123"/>
    <s v="ESTAÇÃO DE TRATAMENTO DE ÁGUA - VALPARAISO/GO TALHA DE ACIONAMENTO MANUAL COM CORRENTE, ROLDANA E SISTEMA DE IÇAMENTO VIA GANCHO COM TRAVA, COM CAPACIDADE DE 0,5 TON. E ALTURA DE ELEVAÇÃO DE 4,20M."/>
    <s v="TALHA DE ACIONAMENTO MANUAL COM CORRENTE, ROLDANA E SISTEMA DE IÇAMENTO VIA GANCHO COM TRAVA, COM CAPACIDADE DE 0,5 TON. E ALTURA DE ELEVAÇÃO DE 4,20M."/>
    <x v="0"/>
    <s v="ETA.COR.001"/>
    <s v="Estação de Tratamento de Água Corumbá"/>
    <s v="-"/>
    <x v="0"/>
    <s v="Flotadores"/>
    <s v="Flotadores - sopradores de ar p/ lavagem de filtros"/>
    <m/>
    <m/>
  </r>
  <r>
    <x v="124"/>
    <s v="ESTAÇÃO DE TRATAMENTO DE ÁGUA - VALPARAISO/GO TALHA DE ACIONAMENTO MANUAL COM CORRENTE, ROLDANA E SISTEMA DE IÇAMENTO VIA GANCHO COM TRAVA, COM CAPACIDADE DE 0,5 TON. E ALTURA DE ELEVAÇÃO DE 4,20M."/>
    <s v="TALHA DE ACIONAMENTO MANUAL COM CORRENTE, ROLDANA E SISTEMA DE IÇAMENTO VIA GANCHO COM TRAVA, COM CAPACIDADE DE 0,5 TON. E ALTURA DE ELEVAÇÃO DE 4,20M."/>
    <x v="0"/>
    <s v="ETA.COR.001"/>
    <s v="Estação de Tratamento de Água Corumbá"/>
    <s v="-"/>
    <x v="0"/>
    <s v="Flotadores"/>
    <s v="Flotadores - sopradores de ar p/ lavagem de filtros"/>
    <m/>
    <m/>
  </r>
  <r>
    <x v="125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26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27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28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29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0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1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2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3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4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5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6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7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8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39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40"/>
    <s v="ESTAÇÃO DE TRATAMENTO DE ÁGUA - VALPARAISO/GO VÁLVULA BORBOLETA AWWA / EIXO LIVRE, DN 600MM, ACIONAMENTO ELÉTRICO_x000a_"/>
    <s v="VÁLVULA BORBOLETA AWWA / EIXO LIVRE, DN 600MM, ACIONAMENTO ELÉTRICO_x000a_"/>
    <x v="0"/>
    <s v="ETA.COR.001"/>
    <s v="Estação de Tratamento de Água Corumbá"/>
    <s v="-"/>
    <x v="0"/>
    <s v="Filtros"/>
    <s v="Filtros - válvulas de água filtrada e lavagem"/>
    <m/>
    <m/>
  </r>
  <r>
    <x v="141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2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3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4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5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6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7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8"/>
    <s v="ESTAÇÃO DE TRATAMENTO DE ÁGUA - VALPARAISO/GO VÁLVULA BORBOLETA AWWA / EIXO LIVRE, DN 200MM, ACIONAMENTO ELÉTRICO_x000a_"/>
    <s v="VÁLVULA BORBOLETA AWWA / EIXO LIVRE, DN 200MM, ACIONAMENTO ELÉTRICO_x000a_"/>
    <x v="0"/>
    <s v="ETA.COR.001"/>
    <s v="Estação de Tratamento de Água Corumbá"/>
    <s v="-"/>
    <x v="0"/>
    <s v="Filtros"/>
    <s v="Filtros - valvulas de ar p/ lavagem"/>
    <m/>
    <m/>
  </r>
  <r>
    <x v="149"/>
    <s v="ESTAÇÃO DE TRATAMENTO DE ÁGUA - VALPARAISO/GO VÁLVULA, TIPO BORBOLETA AWWA / EIXO LIVRE, DN 300MM, ACIONAMENTO ELÉTRICO_x000a_"/>
    <s v="VÁLVULA, TIPO BORBOLETA AWWA / EIXO LIVRE, DN 300MM, ACIONAMENTO ELÉTRICO_x000a_"/>
    <x v="0"/>
    <s v="ETA.COR.001"/>
    <s v="Estação de Tratamento de Água Corumbá"/>
    <s v="-"/>
    <x v="0"/>
    <s v="Flotadores"/>
    <s v="Flotadores - válvulas de drenagem"/>
    <m/>
    <m/>
  </r>
  <r>
    <x v="150"/>
    <s v="ESTAÇÃO DE TRATAMENTO DE ÁGUA - VALPARAISO/GO VÁLVULA, TIPO BORBOLETA AWWA / EIXO LIVRE, DN 300MM, ACIONAMENTO ELÉTRICO_x000a_"/>
    <s v="VÁLVULA, TIPO BORBOLETA AWWA / EIXO LIVRE, DN 300MM, ACIONAMENTO ELÉTRICO_x000a_"/>
    <x v="0"/>
    <s v="ETA.COR.001"/>
    <s v="Estação de Tratamento de Água Corumbá"/>
    <s v="-"/>
    <x v="0"/>
    <s v="Flotadores"/>
    <s v="Flotadores - válvulas de drenagem"/>
    <m/>
    <m/>
  </r>
  <r>
    <x v="151"/>
    <s v="ESTAÇÃO DE TRATAMENTO DE ÁGUA - VALPARAISO/GO VÁLVULA, TIPO BORBOLETA AWWA / EIXO LIVRE, DN 300MM, ACIONAMENTO ELÉTRICO_x000a_"/>
    <s v="VÁLVULA, TIPO BORBOLETA AWWA / EIXO LIVRE, DN 300MM, ACIONAMENTO ELÉTRICO_x000a_"/>
    <x v="0"/>
    <s v="ETA.COR.001"/>
    <s v="Estação de Tratamento de Água Corumbá"/>
    <s v="-"/>
    <x v="0"/>
    <s v="Flotadores"/>
    <s v="Flotadores - válvulas de drenagem"/>
    <m/>
    <m/>
  </r>
  <r>
    <x v="152"/>
    <s v="ESTAÇÃO DE TRATAMENTO DE ÁGUA - VALPARAISO/GO VÁLVULA, TIPO BORBOLETA AWWA / EIXO LIVRE, DN 300MM, ACIONAMENTO ELÉTRICO_x000a_"/>
    <s v="VÁLVULA, TIPO BORBOLETA AWWA / EIXO LIVRE, DN 300MM, ACIONAMENTO ELÉTRICO_x000a_"/>
    <x v="0"/>
    <s v="ETA.COR.001"/>
    <s v="Estação de Tratamento de Água Corumbá"/>
    <s v="-"/>
    <x v="0"/>
    <s v="Flotadores"/>
    <s v="Flotadores - válvulas de drenagem"/>
    <m/>
    <m/>
  </r>
  <r>
    <x v="153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54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55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56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57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58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59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60"/>
    <s v="ESTAÇÃO DE TRATAMENTO DE ÁGUA - VALPARAISO/GO VÁLVULA DE GAVETA COM VOLANTE, DN 100MM, ACIONAMENTO ELÉTRICO_x000a_"/>
    <s v="VÁLVULA DE GAVETA COM VOLANTE, DN 100MM, ACIONAMENTO ELÉTRICO_x000a_"/>
    <x v="0"/>
    <s v="ETA.COR.001"/>
    <s v="Estação de Tratamento de Água Corumbá"/>
    <s v="-"/>
    <x v="0"/>
    <s v="Filtros"/>
    <s v="Filtros - válvulas de drenagem"/>
    <m/>
    <m/>
  </r>
  <r>
    <x v="161"/>
    <s v="ESTAÇÃO DE TRATAMENTO DE ÁGUA - VALPARAISO/GO VÁLVULA DE GAVETA COM VOLANTE, DN 200MM, ACIONAMENTO ELÉTRICO_x000a_"/>
    <s v="VÁLVULA DE GAVETA COM VOLANTE, DN 200MM, ACIONAMENTO ELÉTRICO_x000a_"/>
    <x v="0"/>
    <s v="ETA.COR.001"/>
    <s v="Estação de Tratamento de Água Corumbá"/>
    <s v="-"/>
    <x v="0"/>
    <s v="Flotadores"/>
    <s v="Flotadores - válvulas de drenagem"/>
    <m/>
    <m/>
  </r>
  <r>
    <x v="162"/>
    <s v="ESTAÇÃO DE TRATAMENTO DE ÁGUA - VALPARAISO/GO VÁLVULA DE GAVETA COM VOLANTE, DN 200MM, ACIONAMENTO ELÉTRICO_x000a_"/>
    <s v="VÁLVULA DE GAVETA COM VOLANTE, DN 200MM, ACIONAMENTO ELÉTRICO_x000a_"/>
    <x v="0"/>
    <s v="ETA.COR.001"/>
    <s v="Estação de Tratamento de Água Corumbá"/>
    <s v="-"/>
    <x v="0"/>
    <s v="Flotadores"/>
    <s v="Flotadores - válvulas de drenagem"/>
    <m/>
    <m/>
  </r>
  <r>
    <x v="163"/>
    <s v="ESTAÇÃO DE TRATAMENTO DE ÁGUA - VALPARAISO/GO VÁLVULA DE GAVETA COM VOLANTE, DN 200MM, ACIONAMENTO ELÉTRICO_x000a_"/>
    <s v="VÁLVULA DE GAVETA COM VOLANTE, DN 200MM, ACIONAMENTO ELÉTRICO_x000a_"/>
    <x v="0"/>
    <s v="ETA.COR.001"/>
    <s v="Estação de Tratamento de Água Corumbá"/>
    <s v="-"/>
    <x v="0"/>
    <s v="Flotadores"/>
    <s v="Flotadores - válvulas de drenagem"/>
    <m/>
    <m/>
  </r>
  <r>
    <x v="164"/>
    <s v="ESTAÇÃO DE TRATAMENTO DE ÁGUA - VALPARAISO/GO VÁLVULA DE GAVETA COM VOLANTE, DN 200MM, ACIONAMENTO ELÉTRICO_x000a_"/>
    <s v="VÁLVULA DE GAVETA COM VOLANTE, DN 200MM, ACIONAMENTO ELÉTRICO_x000a_"/>
    <x v="0"/>
    <s v="ETA.COR.001"/>
    <s v="Estação de Tratamento de Água Corumbá"/>
    <s v="-"/>
    <x v="0"/>
    <s v="Flotadores"/>
    <s v="Flotadores - válvulas de drenagem"/>
    <m/>
    <m/>
  </r>
  <r>
    <x v="165"/>
    <s v="ESTAÇÃO DE TRATAMENTO DE ÁGUA - VALPARAISO/GO TANQUE DE SATURAÇÃO, EM AÇO CARBONO, DIÂMETRO DE 1.600 MM, ALTURA CILÍNDRICA 1.000 MM, FABRICADO EM ASTM A-516 GR 70, PRESSÃO DE OPERAÇÃO MÁXIMA  DE 7 KG/CM² _x000a_"/>
    <s v="TANQUE DE SATURAÇÃO, EM AÇO CARBONO, DIÂMETRO DE 1.600 MM, ALTURA CILÍNDRICA 1.000 MM, FABRICADO EM ASTM A-516 GR 70, PRESSÃO DE OPERAÇÃO MÁXIMA  DE 7 KG/CM² _x000a_"/>
    <x v="0"/>
    <s v="ETA.COR.001"/>
    <s v="Estação de Tratamento de Água Corumbá"/>
    <s v="-"/>
    <x v="0"/>
    <s v="Flotadores"/>
    <s v="Flotadores - saturadores/ pulmões"/>
    <m/>
    <m/>
  </r>
  <r>
    <x v="166"/>
    <s v="ESTAÇÃO DE TRATAMENTO DE ÁGUA - VALPARAISO/GO TANQUE DE SATURAÇÃO, EM AÇO CARBONO, DIÂMETRO DE 1.600 MM, ALTURA CILÍNDRICA 1.000 MM, FABRICADO EM ASTM A-516 GR 70, PRESSÃO DE OPERAÇÃO MÁXIMA  DE 7 KG/CM² _x000a_"/>
    <s v="TANQUE DE SATURAÇÃO, EM AÇO CARBONO, DIÂMETRO DE 1.600 MM, ALTURA CILÍNDRICA 1.000 MM, FABRICADO EM ASTM A-516 GR 70, PRESSÃO DE OPERAÇÃO MÁXIMA  DE 7 KG/CM² _x000a_"/>
    <x v="0"/>
    <s v="ETA.COR.001"/>
    <s v="Estação de Tratamento de Água Corumbá"/>
    <s v="-"/>
    <x v="0"/>
    <s v="Flotadores"/>
    <s v="Flotadores - saturadores/ pulmões"/>
    <m/>
    <m/>
  </r>
  <r>
    <x v="167"/>
    <s v="ESTAÇÃO DE TRATAMENTO DE ÁGUA - VALPARAISO/GO TANQUE DE SATURAÇÃO, EM AÇO CARBONO, DIÂMETRO DE 1.600 MM, ALTURA CILÍNDRICA 1.000 MM, FABRICADO EM ASTM A-516 GR 70, PRESSÃO DE OPERAÇÃO MÁXIMA  DE 7 KG/CM² _x000a_"/>
    <s v="TANQUE DE SATURAÇÃO, EM AÇO CARBONO, DIÂMETRO DE 1.600 MM, ALTURA CILÍNDRICA 1.000 MM, FABRICADO EM ASTM A-516 GR 70, PRESSÃO DE OPERAÇÃO MÁXIMA  DE 7 KG/CM² _x000a_"/>
    <x v="0"/>
    <s v="ETA.COR.001"/>
    <s v="Estação de Tratamento de Água Corumbá"/>
    <s v="-"/>
    <x v="0"/>
    <s v="Flotadores"/>
    <s v="Flotadores - saturadores/ pulmões"/>
    <m/>
    <m/>
  </r>
  <r>
    <x v="168"/>
    <s v="ESTAÇÃO DE TRATAMENTO DE ÁGUA - VALPARAISO/GO TANQUE DE SATURAÇÃO, EM AÇO CARBONO, DIÂMETRO DE 1.600 MM, ALTURA CILÍNDRICA 1.000 MM, FABRICADO EM ASTM A-516 GR 70, PRESSÃO DE OPERAÇÃO MÁXIMA  DE 7 KG/CM² _x000a_"/>
    <s v="TANQUE DE SATURAÇÃO, EM AÇO CARBONO, DIÂMETRO DE 1.600 MM, ALTURA CILÍNDRICA 1.000 MM, FABRICADO EM ASTM A-516 GR 70, PRESSÃO DE OPERAÇÃO MÁXIMA  DE 7 KG/CM² _x000a_"/>
    <x v="0"/>
    <s v="ETA.COR.001"/>
    <s v="Estação de Tratamento de Água Corumbá"/>
    <s v="-"/>
    <x v="0"/>
    <s v="Flotadores"/>
    <s v="Flotadores - saturadores/ pulmões"/>
    <m/>
    <m/>
  </r>
  <r>
    <x v="169"/>
    <s v="RESERVATÓRIOS - DF VALVULAS BORBOLETA BI EXCENTRICA, DN 2000 PN 10 C/ ATUADORES ELÉTRICOS INTELIGENTES - MARCA : VCW/VBS"/>
    <s v="VALVULAS BORBOLETA BI EXCENTRICA, DN 2000 PN 10 C/ ATUADORES ELÉTRICOS INTELIGENTES - MARCA : VCW/VBS"/>
    <x v="0"/>
    <s v="RAP.VLG.001"/>
    <s v="Reservatório de Água Tratada Valparaíso"/>
    <s v="-"/>
    <x v="0"/>
    <s v="Reservatório de água tratada"/>
    <s v="RAP - caixa de manobras - distribuição entre Caesb e Saneago"/>
    <m/>
    <m/>
  </r>
  <r>
    <x v="170"/>
    <s v="RESERVATÓRIOS - DF VALVULA BORBOLETA BI EXCENTRICA, DN 2000 PN 10 C/ ATUADORES ELÉTRICOS INTELIGENTES - MARCA : VCW/VBS"/>
    <s v="VALVULA BORBOLETA BI EXCENTRICA, DN 2000 PN 10 C/ ATUADORES ELÉTRICOS INTELIGENTES - MARCA : VCW/VBS"/>
    <x v="0"/>
    <s v="RAP.VLG.001"/>
    <s v="Reservatório de Água Tratada Valparaíso"/>
    <s v="-"/>
    <x v="0"/>
    <s v="Reservatório de água tratada"/>
    <s v="RAP - caixa de manobras - distribuição entre Caesb e Saneago"/>
    <m/>
    <m/>
  </r>
  <r>
    <x v="171"/>
    <s v="RESERVATÓRIOS - DF VALVULAS BORBOLETA BI EXCENTRICA, DN 1200 PN 10 C/ ATUADORES ELÉTRICOS INTELIGENTES - MARCA: VCW/VBS"/>
    <s v="VALVULAS BORBOLETA BI EXCENTRICA, DN 1200 PN 10 C/ ATUADORES ELÉTRICOS INTELIGENTES - MARCA: VCW/VBS"/>
    <x v="0"/>
    <s v="RAP.VLG.001"/>
    <s v="Reservatório de Água Tratada Valparaíso"/>
    <s v="-"/>
    <x v="0"/>
    <s v="Reservatório de água tratada"/>
    <s v="RAP - válvulas de água tratada - entrada e saída"/>
    <m/>
    <m/>
  </r>
  <r>
    <x v="172"/>
    <s v="RESERVATÓRIOS - DF VALVULA BORBOLETA BI EXCENTRICA, DN 1200 PN 10 C/ ATUADORES ELÉTRICOS INTELIGENTES - MARCA : VCW/VBS "/>
    <s v="VALVULA BORBOLETA BI EXCENTRICA, DN 1200 PN 10 C/ ATUADORES ELÉTRICOS INTELIGENTES - MARCA : VCW/VBS "/>
    <x v="0"/>
    <s v="RAP.VLG.001"/>
    <s v="Reservatório de Água Tratada Valparaíso"/>
    <s v="-"/>
    <x v="0"/>
    <s v="Reservatório de água tratada"/>
    <s v="RAP - válvulas de água tratada - entrada e saída"/>
    <m/>
    <m/>
  </r>
  <r>
    <x v="173"/>
    <s v="RESERVATÓRIOS - DF SISTEMA COMPLETO DE MEDIÇÃO E CONTROLE DE NÍVEL ULTRASSÔNICO (SENSOR E CONVERSOR)"/>
    <s v="SISTEMA COMPLETO DE MEDIÇÃO E CONTROLE DE NÍVEL ULTRASSÔNICO (SENSOR E CONVERSOR)"/>
    <x v="0"/>
    <s v="RAP.VLG.001"/>
    <s v="Reservatório de Água Tratada Valparaíso"/>
    <s v="-"/>
    <x v="0"/>
    <s v="Reservatório de água tratada"/>
    <s v="RAP - medidores de nível"/>
    <m/>
    <m/>
  </r>
  <r>
    <x v="174"/>
    <s v="RESERVATÓRIOS - DF SISTEMA COMPLETO DE MEDIÇÃO E CONTROLE DE NÍVEL ULTRASSÔNICO (SENSOR E CONVERSOR)"/>
    <s v="SISTEMA COMPLETO DE MEDIÇÃO E CONTROLE DE NÍVEL ULTRASSÔNICO (SENSOR E CONVERSOR)"/>
    <x v="0"/>
    <s v="RAP.VLG.001"/>
    <s v="Estação de Tratamento de Água Corumbá"/>
    <s v="-"/>
    <x v="0"/>
    <s v="Reservatório de água tratada"/>
    <s v="RAP - medidores de nível"/>
    <m/>
    <m/>
  </r>
  <r>
    <x v="175"/>
    <s v="ESTAÇÃO DE TRATAMENTO DE ÁGUA - VALPARAISO/GO CONJUNTO MOTOBOMBA CENTRÍFUGA DE EIXO HORIZONTAL, PARA INJETOR DE CLORO"/>
    <s v="CONJUNTO MOTOBOMBA CENTRÍFUGA DE EIXO HORIZONTAL, PARA INJETOR DE CLORO"/>
    <x v="0"/>
    <s v="ETA.COR.001"/>
    <s v="Estação de Tratamento de Água Corumbá"/>
    <s v="-"/>
    <x v="0"/>
    <s v="Sistema de cloro"/>
    <s v="Cloro - elevatórias de injeção de cloro"/>
    <m/>
    <m/>
  </r>
  <r>
    <x v="176"/>
    <s v="ESTAÇÃO DE TRATAMENTO DE ÁGUA - VALPARAISO/GO CONJUNTO MOTOBOMBA CENTRÍFUGA DE EIXO HORIZONTAL, PARA INJETOR DE CLORO"/>
    <s v="CONJUNTO MOTOBOMBA CENTRÍFUGA DE EIXO HORIZONTAL, PARA INJETOR DE CLORO"/>
    <x v="0"/>
    <s v="ETA.COR.001"/>
    <s v="Estação de Tratamento de Água Corumbá"/>
    <s v="-"/>
    <x v="0"/>
    <s v="Sistema de cloro"/>
    <s v="Cloro - elevatórias de injeção de cloro"/>
    <m/>
    <m/>
  </r>
  <r>
    <x v="177"/>
    <s v="ESTAÇÃO DE TRATAMENTO DE ÁGUA - VALPARAISO/GO VÁLVULA BORBOLETA DE FERRO FUNDIDO FLANGEADA COM ATUADOR ELÉTRICO ESPECIAL (CLASSE DE PRESSÃO: 10 KGF/CM² / DIÂMETRO DA SEÇÃO: 300 MM)_x000a_"/>
    <s v="VÁLVULA BORBOLETA DE FERRO FUNDIDO FLANGEADA COM ATUADOR ELÉTRICO ESPECIAL (CLASSE DE PRESSÃO: 10 KGF/CM² / DIÂMETRO DA SEÇÃO: 300 MM)_x000a_"/>
    <x v="0"/>
    <s v="ETA.COR.001"/>
    <s v="Estação de Tratamento de Água Corumbá"/>
    <s v="-"/>
    <x v="0"/>
    <s v="Flotadores"/>
    <s v="Flotadores - válvulas de drenagem"/>
    <m/>
    <m/>
  </r>
  <r>
    <x v="178"/>
    <s v="ESTAÇÃO DE TRATAMENTO DE ÁGUA - VALPARAISO/GO VÁLVULA BORBOLETA DE FERRO FUNDIDO FLANGEADA COM ATUADOR ELÉTRICO ESPECIAL (CLASSE DE PRESSÃO: 10 KGF/CM² / DIÂMETRO DA SEÇÃO: 300 MM)_x000a_"/>
    <s v="VÁLVULA BORBOLETA DE FERRO FUNDIDO FLANGEADA COM ATUADOR ELÉTRICO ESPECIAL (CLASSE DE PRESSÃO: 10 KGF/CM² / DIÂMETRO DA SEÇÃO: 300 MM)_x000a_"/>
    <x v="0"/>
    <s v="ETA.COR.001"/>
    <s v="Estação de Tratamento de Água Corumbá"/>
    <s v="-"/>
    <x v="0"/>
    <s v="Flotadores"/>
    <s v="Flotadores - válvulas de drenagem"/>
    <m/>
    <m/>
  </r>
  <r>
    <x v="179"/>
    <s v="ESTAÇÃO DE TRATAMENTO DE ÁGUA - VALPARAISO/GO VÁLVULA BORBOLETA DE FERRO FUNDIDO FLANGEADA COM ATUADOR ELÉTRICO ESPECIAL (CLASSE DE PRESSÃO: 10 KGF/CM² / DIÂMETRO DA SEÇÃO: 300 MM)_x000a_"/>
    <s v="VÁLVULA BORBOLETA DE FERRO FUNDIDO FLANGEADA COM ATUADOR ELÉTRICO ESPECIAL (CLASSE DE PRESSÃO: 10 KGF/CM² / DIÂMETRO DA SEÇÃO: 300 MM)_x000a_"/>
    <x v="0"/>
    <s v="ETA.COR.001"/>
    <s v="Estação de Tratamento de Água Corumbá"/>
    <s v="-"/>
    <x v="0"/>
    <s v="Flotadores"/>
    <s v="Flotadores - válvulas de drenagem"/>
    <m/>
    <m/>
  </r>
  <r>
    <x v="180"/>
    <s v="ESTAÇÃO DE TRATAMENTO DE ÁGUA - VALPARAISO/GO VÁLVULA BORBOLETA DE FERRO FUNDIDO FLANGEADA COM ATUADOR ELÉTRICO ESPECIAL (CLASSE DE PRESSÃO: 10 KGF/CM² / DIÂMETRO DA SEÇÃO: 300 MM)_x000a_"/>
    <s v="VÁLVULA BORBOLETA DE FERRO FUNDIDO FLANGEADA COM ATUADOR ELÉTRICO ESPECIAL (CLASSE DE PRESSÃO: 10 KGF/CM² / DIÂMETRO DA SEÇÃO: 300 MM)_x000a_"/>
    <x v="0"/>
    <s v="ETA.COR.001"/>
    <s v="Estação de Tratamento de Água Corumbá"/>
    <s v="-"/>
    <x v="0"/>
    <s v="Flotadores"/>
    <s v="Flotadores - válvulas de drenagem"/>
    <m/>
    <m/>
  </r>
  <r>
    <x v="181"/>
    <s v="ESTAÇÃO DE TRATAMENTO DE ÁGUA - VALPARAISO/GO VÁLVULA BORBOLETA DE FERRO FUNDIDO FLANGEADA COM ATUADOR ELÉTRICO ESPECIAL (CLASSE DE PRESSÃO: 10 KGF/CM² / DIÂMETRO DA SEÇÃO: 600 MM)."/>
    <s v="VÁLVULA BORBOLETA DE FERRO FUNDIDO FLANGEADA COM ATUADOR ELÉTRICO ESPECIAL (CLASSE DE PRESSÃO: 10 KGF/CM² / DIÂMETRO DA SEÇÃO: 600 MM)."/>
    <x v="0"/>
    <s v="ETA.COR.001"/>
    <s v="Estação de Tratamento de Água Corumbá"/>
    <s v="-"/>
    <x v="0"/>
    <s v="Filtros"/>
    <s v="Filtros - válvulas de água filtrada e lavagem"/>
    <m/>
    <m/>
  </r>
  <r>
    <x v="182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83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84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85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86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87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88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89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0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1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2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3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4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5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6"/>
    <s v="ESTAÇÃO DE TRATAMENTO DE ÁGUA - VALPARAISO/GO VÁLVULA BORBOLETA DE FERRO FUNDIDO FLANGEADA COM ATUADOR ELÉTRICO ESPECIAL (CLASSE DE PRESSÃO: 10 KGF/CM² / DIÂMETRO DA SEÇÃO: 600 MM)_x000a_"/>
    <s v="VÁLVULA BORBOLETA DE FERRO FUNDIDO FLANGEADA COM ATUADOR ELÉTRICO ESPECIAL (CLASSE DE PRESSÃO: 10 KGF/CM² / DIÂMETRO DA SEÇÃO: 600 MM)_x000a_"/>
    <x v="0"/>
    <s v="ETA.COR.001"/>
    <s v="Estação de Tratamento de Água Corumbá"/>
    <s v="-"/>
    <x v="0"/>
    <s v="Filtros"/>
    <s v="Filtros - válvulas de água filtrada e lavagem"/>
    <m/>
    <m/>
  </r>
  <r>
    <x v="197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198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199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0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1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2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3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4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5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6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7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8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09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10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11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12"/>
    <s v="ESTAÇÃO DE TRATAMENTO DE ÁGUA - VALPARAISO/GO AGITADOR MECÂNICO DE EIXO VERTICAL, TIPO TURBINA, P/ CÂMARA DE FLOCULAÇÃO, COMPLETO. CONFORME ESPECIFICAÇÃO._x000a_"/>
    <s v="AGITADOR MECÂNICO DE EIXO VERTICAL, TIPO TURBINA, P/ CÂMARA DE FLOCULAÇÃO, COMPLETO. CONFORME ESPECIFICAÇÃO._x000a_"/>
    <x v="0"/>
    <s v="ETA.COR.001"/>
    <s v="Estação de Tratamento de Água Corumbá"/>
    <s v="-"/>
    <x v="0"/>
    <s v="Floculadores"/>
    <s v="Floculadores - turbinas"/>
    <m/>
    <m/>
  </r>
  <r>
    <x v="213"/>
    <s v="ESTAÇÃO DE TRATAMENTO DE ÁGUA - VALPARAISO/GO BOMBA CENTRÍFUGA DE EIXO HORIZONTAL PARA RESERVATÓRIO ELEVADO_x000a_"/>
    <s v="BOMBA CENTRÍFUGA DE EIXO HORIZONTAL PARA RESERVATÓRIO ELEVADO_x000a_"/>
    <x v="0"/>
    <s v="ETA.COR.001"/>
    <s v="Estação de Tratamento de Água Corumbá"/>
    <s v="-"/>
    <x v="0"/>
    <s v="Flotadores"/>
    <s v="Flotadores - elevatórias de água de serviço"/>
    <m/>
    <m/>
  </r>
  <r>
    <x v="214"/>
    <s v="ESTAÇÃO DE TRATAMENTO DE ÁGUA - VALPARAISO/GO BOMBA CENTRÍFUGA DE EIXO HORIZONTAL PARA RESERVATÓRIO ELEVADO_x000a_"/>
    <s v="BOMBA CENTRÍFUGA DE EIXO HORIZONTAL PARA RESERVATÓRIO ELEVADO_x000a_"/>
    <x v="0"/>
    <s v="ETA.COR.001"/>
    <s v="Estação de Tratamento de Água Corumbá"/>
    <s v="-"/>
    <x v="0"/>
    <s v="Flotadores"/>
    <s v="Flotadores - elevatórias de água de serviço"/>
    <m/>
    <m/>
  </r>
  <r>
    <x v="215"/>
    <s v="ESTAÇÃO DE TRATAMENTO DE ÁGUA - VALPARAISO/GO BOMBA CENTRÍFUGA DE EIXO HORIZONTAL PARA RESERVATÓRIO ELEVADO_x000a_"/>
    <s v="BOMBA CENTRÍFUGA DE EIXO HORIZONTAL PARA RESERVATÓRIO ELEVADO_x000a_"/>
    <x v="0"/>
    <s v="ETA.COR.001"/>
    <s v="Estação de Tratamento de Água Corumbá"/>
    <s v="-"/>
    <x v="0"/>
    <s v="TAPQ"/>
    <s v="TAPQ - elevatórias de água potável"/>
    <m/>
    <m/>
  </r>
  <r>
    <x v="216"/>
    <s v="ESTAÇÃO DE TRATAMENTO DE ÁGUA - VALPARAISO/GO BOMBA CENTRÍFUGA DE EIXO HORIZONTAL PARA RESERVATÓRIO ELEVADO_x000a_"/>
    <s v="BOMBA CENTRÍFUGA DE EIXO HORIZONTAL PARA RESERVATÓRIO ELEVADO_x000a_"/>
    <x v="0"/>
    <s v="ETA.COR.001"/>
    <s v="Estação de Tratamento de Água Corumbá"/>
    <s v="-"/>
    <x v="0"/>
    <s v="TAPQ"/>
    <s v="TAPQ - elevatórias de água potável"/>
    <m/>
    <m/>
  </r>
  <r>
    <x v="217"/>
    <s v="ESTAÇÃO DE TRATAMENTO DE ÁGUA - VALPARAISO/GO BOMBA HELICOIDAL PARA O RECALQUE DO LODO FLOTADO, COMPLETA, CONFORME ESPECIFICAÇÃO_x000a_"/>
    <s v="BOMBA HELICOIDAL PARA O RECALQUE DO LODO FLOTADO, COMPLETA, CONFORME ESPECIFICAÇÃO_x000a_"/>
    <x v="0"/>
    <s v="ETA.COR.001"/>
    <s v="Estação de Tratamento de Água Corumbá"/>
    <s v="-"/>
    <x v="0"/>
    <s v="Flotadores"/>
    <s v="Flotadores - elevatórias de lodo flotado"/>
    <m/>
    <m/>
  </r>
  <r>
    <x v="218"/>
    <s v="ESTAÇÃO DE TRATAMENTO DE ÁGUA - VALPARAISO/GO BOMBA HELICOIDAL PARA O RECALQUE DO LODO FLOTADO, COMPLETA, CONFORME ESPECIFICAÇÃO_x000a_"/>
    <s v="BOMBA HELICOIDAL PARA O RECALQUE DO LODO FLOTADO, COMPLETA, CONFORME ESPECIFICAÇÃO_x000a_"/>
    <x v="0"/>
    <s v="ETA.COR.001"/>
    <s v="Estação de Tratamento de Água Corumbá"/>
    <s v="-"/>
    <x v="0"/>
    <s v="Flotadores"/>
    <s v="Flotadores - elevatórias de lodo flotado"/>
    <m/>
    <m/>
  </r>
  <r>
    <x v="219"/>
    <s v="ESTAÇÃO DE TRATAMENTO DE ÁGUA - VALPARAISO/GO BOMBA HELICOIDAL PARA O RECALQUE DO LODO FLOTADO, COMPLETA, CONFORME ESPECIFICAÇÃO_x000a_"/>
    <s v="BOMBA HELICOIDAL PARA O RECALQUE DO LODO FLOTADO, COMPLETA, CONFORME ESPECIFICAÇÃO_x000a_"/>
    <x v="0"/>
    <s v="ETA.COR.001"/>
    <s v="Estação de Tratamento de Água Corumbá"/>
    <s v="-"/>
    <x v="0"/>
    <s v="Flotadores"/>
    <s v="Flotadores - elevatórias de lodo flotado"/>
    <m/>
    <m/>
  </r>
  <r>
    <x v="220"/>
    <s v="ESTAÇÃO DE TRATAMENTO DE ÁGUA - VALPARAISO/GO BOMBA HELICOIDAL PARA O RECALQUE DO LODO FLOTADO, COMPLETA, CONFORME ESPECIFICAÇÃO_x000a_"/>
    <s v="BOMBA HELICOIDAL PARA O RECALQUE DO LODO FLOTADO, COMPLETA, CONFORME ESPECIFICAÇÃO_x000a_"/>
    <x v="0"/>
    <s v="ETA.COR.001"/>
    <s v="Estação de Tratamento de Água Corumbá"/>
    <s v="-"/>
    <x v="0"/>
    <s v="Flotadores"/>
    <s v="Flotadores - elevatórias de lodo flotado"/>
    <m/>
    <m/>
  </r>
  <r>
    <x v="221"/>
    <s v="ESTAÇÃO DE TRATAMENTO DE ÁGUA - VALPARAISO/GO COMPRESSOR PARA ALIMENTAÇÃO DO SATURADOR. COMPLETO, CONFORME ESPECIFICAÇÃO_x000a_"/>
    <s v="COMPRESSOR PARA ALIMENTAÇÃO DO SATURADOR. COMPLETO, CONFORME ESPECIFICAÇÃO_x000a_"/>
    <x v="0"/>
    <s v="ETA.COR.001"/>
    <s v="Estação de Tratamento de Água Corumbá"/>
    <s v="-"/>
    <x v="0"/>
    <s v="Flotadores"/>
    <s v="Flotadores - compressores de ar"/>
    <m/>
    <m/>
  </r>
  <r>
    <x v="222"/>
    <s v="ESTAÇÃO DE TRATAMENTO DE ÁGUA - VALPARAISO/GO COMPRESSOR PARA ALIMENTAÇÃO DO SATURADOR. COMPLETO, CONFORME ESPECIFICAÇÃO_x000a_"/>
    <s v="COMPRESSOR PARA ALIMENTAÇÃO DO SATURADOR. COMPLETO, CONFORME ESPECIFICAÇÃO_x000a_"/>
    <x v="0"/>
    <s v="ETA.COR.001"/>
    <s v="Estação de Tratamento de Água Corumbá"/>
    <s v="-"/>
    <x v="0"/>
    <s v="Flotadores"/>
    <s v="Flotadores - compressores de ar"/>
    <m/>
    <m/>
  </r>
  <r>
    <x v="223"/>
    <s v="ESTAÇÃO DE TRATAMENTO DE ÁGUA - VALPARAISO/GO COMPRESSOR PARA ALIMENTAÇÃO DO SATURADOR. COMPLETO, CONFORME ESPECIFICAÇÃO_x000a_"/>
    <s v="COMPRESSOR PARA ALIMENTAÇÃO DO SATURADOR. COMPLETO, CONFORME ESPECIFICAÇÃO_x000a_"/>
    <x v="0"/>
    <s v="ETA.COR.001"/>
    <s v="Estação de Tratamento de Água Corumbá"/>
    <s v="-"/>
    <x v="0"/>
    <s v="Flotadores"/>
    <s v="Flotadores - compressores de ar"/>
    <m/>
    <m/>
  </r>
  <r>
    <x v="224"/>
    <s v="ESTAÇÃO DE TRATAMENTO DE ÁGUA - VALPARAISO/GO CONJUNTO MOTOR BOMBA PARA ALIMENTAÇÃO DO SATURADOR, COMPLETO, CONFORME ESPECIFICAÇÃO_x000a_"/>
    <s v="CONJUNTO MOTOR BOMBA PARA ALIMENTAÇÃO DO SATURADOR, COMPLETO, CONFORME ESPECIFICAÇÃO_x000a_"/>
    <x v="0"/>
    <s v="ETA.COR.001"/>
    <s v="Estação de Tratamento de Água Corumbá"/>
    <s v="-"/>
    <x v="0"/>
    <s v="Flotadores"/>
    <s v="Flotadores - elevatórias de água saturada"/>
    <m/>
    <m/>
  </r>
  <r>
    <x v="225"/>
    <s v="ESTAÇÃO DE TRATAMENTO DE ÁGUA - VALPARAISO/GO CONJUNTO MOTOR BOMBA PARA ALIMENTAÇÃO DO SATURADOR, COMPLETO, CONFORME ESPECIFICAÇÃO_x000a_"/>
    <s v="CONJUNTO MOTOR BOMBA PARA ALIMENTAÇÃO DO SATURADOR, COMPLETO, CONFORME ESPECIFICAÇÃO_x000a_"/>
    <x v="0"/>
    <s v="ETA.COR.001"/>
    <s v="Estação de Tratamento de Água Corumbá"/>
    <s v="-"/>
    <x v="0"/>
    <s v="Flotadores"/>
    <s v="Flotadores - elevatórias de água saturada"/>
    <m/>
    <m/>
  </r>
  <r>
    <x v="226"/>
    <s v="ESTAÇÃO DE TRATAMENTO DE ÁGUA - VALPARAISO/GO CONJUNTO MOTOR BOMBA PARA ALIMENTAÇÃO DO SATURADOR, COMPLETO, CONFORME ESPECIFICAÇÃO_x000a_"/>
    <s v="CONJUNTO MOTOR BOMBA PARA ALIMENTAÇÃO DO SATURADOR, COMPLETO, CONFORME ESPECIFICAÇÃO_x000a_"/>
    <x v="0"/>
    <s v="ETA.COR.001"/>
    <s v="Estação de Tratamento de Água Corumbá"/>
    <s v="-"/>
    <x v="0"/>
    <s v="Flotadores"/>
    <s v="Flotadores - elevatórias de água saturada"/>
    <m/>
    <m/>
  </r>
  <r>
    <x v="227"/>
    <s v="ESTAÇÃO DE TRATAMENTO DE ÁGUA - VALPARAISO/GO CONJUNTO MOTOR BOMBA PARA ALIMENTAÇÃO DO SATURADOR, COMPLETO, CONFORME ESPECIFICAÇÃO_x000a_"/>
    <s v="CONJUNTO MOTOR BOMBA PARA ALIMENTAÇÃO DO SATURADOR, COMPLETO, CONFORME ESPECIFICAÇÃO_x000a_"/>
    <x v="0"/>
    <s v="ETA.COR.001"/>
    <s v="Estação de Tratamento de Água Corumbá"/>
    <s v="-"/>
    <x v="0"/>
    <s v="Flotadores"/>
    <s v="Flotadores - elevatórias de água saturada"/>
    <m/>
    <m/>
  </r>
  <r>
    <x v="228"/>
    <s v="ESTAÇÃO DE TRATAMENTO DE ÁGUA - VALPARAISO/GO CONJUNTO MOTOR BOMBA PARA ALIMENTAÇÃO DO SATURADOR, COMPLETO, CONFORME ESPECIFICAÇÃO_x000a_"/>
    <s v="CONJUNTO MOTOR BOMBA PARA ALIMENTAÇÃO DO SATURADOR, COMPLETO, CONFORME ESPECIFICAÇÃO_x000a_"/>
    <x v="0"/>
    <s v="ETA.COR.001"/>
    <s v="Estação de Tratamento de Água Corumbá"/>
    <s v="-"/>
    <x v="0"/>
    <s v="Flotadores"/>
    <s v="Flotadores - elevatórias de água saturada"/>
    <m/>
    <m/>
  </r>
  <r>
    <x v="229"/>
    <s v="ESTAÇÃO DE TRATAMENTO DE ÁGUA - VALPARAISO/GO TALHA MANUAL MONOVIA - 2 TONELADAS "/>
    <s v="TALHA MANUAL MONOVIA - 2 TONELADAS "/>
    <x v="0"/>
    <s v="ETA.COR.001"/>
    <s v="Estação de Tratamento de Água Corumbá"/>
    <s v="-"/>
    <x v="0"/>
    <s v="Prédio administrativo"/>
    <s v="Prédio - camarote"/>
    <m/>
    <m/>
  </r>
  <r>
    <x v="230"/>
    <s v="ESTAÇÃO DE TRATAMENTO DE ÁGUA - VALPARAISO/GO TALHA MANUAL MONOVIA - 5 TONELADAS "/>
    <s v="TALHA MANUAL MONOVIA - 5 TONELADAS "/>
    <x v="0"/>
    <s v="ETA.COR.001"/>
    <s v="Estação de Tratamento de Água Corumbá"/>
    <s v="-"/>
    <x v="0"/>
    <s v="Prédio administrativo"/>
    <s v="Prédio - camarote"/>
    <m/>
    <m/>
  </r>
  <r>
    <x v="231"/>
    <s v="ESTAÇÃO DE TRATAMENTO DE ÁGUA - VALPARAISO/GO TALHA MANUAL MONOVIA - 3 TONELADAS "/>
    <s v="TALHA MANUAL MONOVIA - 3 TONELADAS "/>
    <x v="0"/>
    <s v="ETA.COR.001"/>
    <s v="Estação de Tratamento de Água Corumbá"/>
    <s v="-"/>
    <x v="0"/>
    <s v="Prédio administrativo"/>
    <s v="Prédio - camarote"/>
    <m/>
    <m/>
  </r>
  <r>
    <x v="232"/>
    <s v="ESTAÇÃO DE TRATAMENTO DE ÁGUA - VALPARAISO/GO DOSADOR DE CLORO COMPLETO "/>
    <s v="DOSADOR DE CLORO COMPLETO "/>
    <x v="0"/>
    <s v="ETA.COR.001"/>
    <s v="Estação de Tratamento de Água Corumbá"/>
    <s v="-"/>
    <x v="0"/>
    <s v="Sistema de cloro"/>
    <s v="Cloro - sala dos evaporadores e dosadores"/>
    <m/>
    <m/>
  </r>
  <r>
    <x v="233"/>
    <s v="ESTAÇÃO DE TRATAMENTO DE ÁGUA - VALPARAISO/GO MEDIDOR ELETROMAGNÉTICO DE VAZÃO, COM FLANGES Ø200MM_x000a_"/>
    <s v="MEDIDOR ELETROMAGNÉTICO DE VAZÃO, COM FLANGES Ø200MM_x000a_"/>
    <x v="0"/>
    <s v="ETA.COR.001"/>
    <s v="Estação de Tratamento de Água Corumbá"/>
    <s v="-"/>
    <x v="0"/>
    <s v="Flotadores"/>
    <s v="Flotadores - medidores de vazão de água saturada"/>
    <m/>
    <m/>
  </r>
  <r>
    <x v="234"/>
    <s v="ESTAÇÃO DE TRATAMENTO DE ÁGUA - VALPARAISO/GO MEDIDOR ELETROMAGNÉTICO DE VAZÃO, COM FLANGES Ø200MM_x000a_"/>
    <s v="MEDIDOR ELETROMAGNÉTICO DE VAZÃO, COM FLANGES Ø200MM_x000a_"/>
    <x v="0"/>
    <s v="ETA.COR.001"/>
    <s v="Estação de Tratamento de Água Corumbá"/>
    <s v="-"/>
    <x v="0"/>
    <s v="Flotadores"/>
    <s v="Flotadores - medidores de vazão de água saturada"/>
    <m/>
    <m/>
  </r>
  <r>
    <x v="235"/>
    <s v="ESTAÇÃO DE TRATAMENTO DE ÁGUA - VALPARAISO/GO MEDIDOR ELETROMAGNÉTICO DE VAZÃO, COM FLANGES Ø200MM_x000a_"/>
    <s v="MEDIDOR ELETROMAGNÉTICO DE VAZÃO, COM FLANGES Ø200MM_x000a_"/>
    <x v="0"/>
    <s v="ETA.COR.001"/>
    <s v="Estação de Tratamento de Água Corumbá"/>
    <s v="-"/>
    <x v="0"/>
    <s v="Flotadores"/>
    <s v="Flotadores - medidores de vazão de água saturada"/>
    <m/>
    <m/>
  </r>
  <r>
    <x v="236"/>
    <s v="ESTAÇÃO DE TRATAMENTO DE ÁGUA - VALPARAISO/GO MEDIDOR ELETROMAGNÉTICO DE VAZÃO, COM FLANGES Ø200MM_x000a_"/>
    <s v="MEDIDOR ELETROMAGNÉTICO DE VAZÃO, COM FLANGES Ø200MM_x000a_"/>
    <x v="0"/>
    <s v="ETA.COR.001"/>
    <s v="Estação de Tratamento de Água Corumbá"/>
    <s v="-"/>
    <x v="0"/>
    <s v="Flotadores"/>
    <s v="Flotadores - medidores de vazão de água saturada"/>
    <m/>
    <m/>
  </r>
  <r>
    <x v="237"/>
    <s v="ESTAÇÃO DE TRATAMENTO DE ÁGUA - VALPARAISO/GO REMOVEDOR MECÂNICO DE LODO FLOTADO, DO TIPO COM CORRENTES, PARA FLOTADOR RETANGULAR, COMPLETO COM &quot;PRAIA&quot; PARA RETIRADA DE LODO E VERTEDOR DE SAÍDA, CONFORME ESPECIFICAÇÃO_x000a_"/>
    <s v="REMOVEDOR MECÂNICO DE LODO FLOTADO, DO TIPO COM CORRENTES, PARA FLOTADOR RETANGULAR, COMPLETO COM &quot;PRAIA&quot; PARA RETIRADA DE LODO E VERTEDOR DE SAÍDA, CONFORME ESPECIFICAÇÃO_x000a_"/>
    <x v="0"/>
    <s v="ETA.COR.001"/>
    <s v="Estação de Tratamento de Água Corumbá"/>
    <s v="-"/>
    <x v="0"/>
    <s v="Flotadores"/>
    <s v="Flotadores - removedores de lodo"/>
    <m/>
    <m/>
  </r>
  <r>
    <x v="238"/>
    <s v="ESTAÇÃO DE TRATAMENTO DE ÁGUA - VALPARAISO/GO REMOVEDOR MECÂNICO DE LODO FLOTADO, DO TIPO COM CORRENTES, PARA FLOTADOR RETANGULAR, COMPLETO COM &quot;PRAIA&quot; PARA RETIRADA DE LODO E VERTEDOR DE SAÍDA, CONFORME ESPECIFICAÇÃO_x000a_"/>
    <s v="REMOVEDOR MECÂNICO DE LODO FLOTADO, DO TIPO COM CORRENTES, PARA FLOTADOR RETANGULAR, COMPLETO COM &quot;PRAIA&quot; PARA RETIRADA DE LODO E VERTEDOR DE SAÍDA, CONFORME ESPECIFICAÇÃO_x000a_"/>
    <x v="0"/>
    <s v="ETA.COR.001"/>
    <s v="Estação de Tratamento de Água Corumbá"/>
    <s v="-"/>
    <x v="0"/>
    <s v="Flotadores"/>
    <s v="Flotadores - removedores de lodo"/>
    <m/>
    <m/>
  </r>
  <r>
    <x v="239"/>
    <s v="ESTAÇÃO DE TRATAMENTO DE ÁGUA - VALPARAISO/GO REMOVEDOR MECÂNICO DE LODO FLOTADO, DO TIPO COM CORRENTES, PARA FLOTADOR RETANGULAR, COMPLETO COM &quot;PRAIA&quot; PARA RETIRADA DE LODO E VERTEDOR DE SAÍDA, CONFORME ESPECIFICAÇÃO_x000a_"/>
    <s v="REMOVEDOR MECÂNICO DE LODO FLOTADO, DO TIPO COM CORRENTES, PARA FLOTADOR RETANGULAR, COMPLETO COM &quot;PRAIA&quot; PARA RETIRADA DE LODO E VERTEDOR DE SAÍDA, CONFORME ESPECIFICAÇÃO_x000a_"/>
    <x v="0"/>
    <s v="ETA.COR.001"/>
    <s v="Estação de Tratamento de Água Corumbá"/>
    <s v="-"/>
    <x v="0"/>
    <s v="Flotadores"/>
    <s v="Flotadores - removedores de lodo"/>
    <m/>
    <m/>
  </r>
  <r>
    <x v="240"/>
    <s v="ESTAÇÃO DE TRATAMENTO DE ÁGUA - VALPARAISO/GO REMOVEDOR MECÂNICO DE LODO FLOTADO, DO TIPO COM CORRENTES, PARA FLOTADOR RETANGULAR, COMPLETO COM &quot;PRAIA&quot; PARA RETIRADA DE LODO E VERTEDOR DE SAÍDA, CONFORME ESPECIFICAÇÃO_x000a_"/>
    <s v="REMOVEDOR MECÂNICO DE LODO FLOTADO, DO TIPO COM CORRENTES, PARA FLOTADOR RETANGULAR, COMPLETO COM &quot;PRAIA&quot; PARA RETIRADA DE LODO E VERTEDOR DE SAÍDA, CONFORME ESPECIFICAÇÃO_x000a_"/>
    <x v="0"/>
    <s v="ETA.COR.001"/>
    <s v="Estação de Tratamento de Água Corumbá"/>
    <s v="-"/>
    <x v="0"/>
    <s v="Flotadores"/>
    <s v="Flotadores - removedores de lodo"/>
    <m/>
    <m/>
  </r>
  <r>
    <x v="241"/>
    <s v="ESTAÇÃO DE TRATAMENTO DE ÁGUA - VALPARAISO/GO SATURADOR PARA FLOTAÇÃO COM DIÂMETRO DE 1,50 M, COMPLETO, CONFORME ESPECIFICAÇÃO_x000a_"/>
    <s v="SATURADOR PARA FLOTAÇÃO COM DIÂMETRO DE 1,50 M, COMPLETO, CONFORME ESPECIFICAÇÃO_x000a_"/>
    <x v="0"/>
    <s v="ETA.COR.001"/>
    <s v="Estação de Tratamento de Água Corumbá"/>
    <s v="-"/>
    <x v="0"/>
    <s v="Flotadores"/>
    <s v="Flotadores - saturadores/ pulmões"/>
    <m/>
    <m/>
  </r>
  <r>
    <x v="242"/>
    <s v="ESTAÇÃO DE TRATAMENTO DE ÁGUA - VALPARAISO/GO SATURADOR PARA FLOTAÇÃO COM DIÂMETRO DE 1,50 M, COMPLETO, CONFORME ESPECIFICAÇÃO_x000a_"/>
    <s v="SATURADOR PARA FLOTAÇÃO COM DIÂMETRO DE 1,50 M, COMPLETO, CONFORME ESPECIFICAÇÃO_x000a_"/>
    <x v="0"/>
    <s v="ETA.COR.001"/>
    <s v="Estação de Tratamento de Água Corumbá"/>
    <s v="-"/>
    <x v="0"/>
    <s v="Flotadores"/>
    <s v="Flotadores - saturadores/ pulmões"/>
    <m/>
    <m/>
  </r>
  <r>
    <x v="243"/>
    <s v="ESTAÇÃO DE TRATAMENTO DE ÁGUA - VALPARAISO/GO SATURADOR PARA FLOTAÇÃO COM DIÂMETRO DE 1,50 M, COMPLETO, CONFORME ESPECIFICAÇÃO_x000a_"/>
    <s v="SATURADOR PARA FLOTAÇÃO COM DIÂMETRO DE 1,50 M, COMPLETO, CONFORME ESPECIFICAÇÃO_x000a_"/>
    <x v="0"/>
    <s v="ETA.COR.001"/>
    <s v="Estação de Tratamento de Água Corumbá"/>
    <s v="-"/>
    <x v="0"/>
    <s v="Flotadores"/>
    <s v="Flotadores - saturadores/ pulmões"/>
    <m/>
    <m/>
  </r>
  <r>
    <x v="244"/>
    <s v="ESTAÇÃO DE TRATAMENTO DE ÁGUA - VALPARAISO/GO SATURADOR PARA FLOTAÇÃO COM DIÂMETRO DE 1,50 M, COMPLETO, CONFORME ESPECIFICAÇÃO_x000a_"/>
    <s v="SATURADOR PARA FLOTAÇÃO COM DIÂMETRO DE 1,50 M, COMPLETO, CONFORME ESPECIFICAÇÃO_x000a_"/>
    <x v="0"/>
    <s v="ETA.COR.001"/>
    <s v="Estação de Tratamento de Água Corumbá"/>
    <s v="-"/>
    <x v="0"/>
    <s v="Flotadores"/>
    <s v="Flotadores - saturadores/ pulmões"/>
    <m/>
    <m/>
  </r>
  <r>
    <x v="245"/>
    <s v="ESTAÇÃO DE TRATAMENTO DE ÁGUA - VALPARAISO/GO SOPRADOR PARA LAVAGEM DOS FILTROS, COMPLETO, CONFORME ESPECIFICAÇÃO_x000a_"/>
    <s v="SOPRADOR PARA LAVAGEM DOS FILTROS, COMPLETO, CONFORME ESPECIFICAÇÃO_x000a_"/>
    <x v="0"/>
    <s v="ETA.COR.001"/>
    <s v="Estação de Tratamento de Água Corumbá"/>
    <s v="-"/>
    <x v="0"/>
    <s v="Flotadores"/>
    <s v="Flotadores - sopradores de ar p/ lavagem de filtros"/>
    <m/>
    <m/>
  </r>
  <r>
    <x v="246"/>
    <s v="ESTAÇÃO DE TRATAMENTO DE ÁGUA - VALPARAISO/GO SOPRADOR PARA LAVAGEM DOS FILTROS, COMPLETO, CONFORME ESPECIFICAÇÃO_x000a_"/>
    <s v="SOPRADOR PARA LAVAGEM DOS FILTROS, COMPLETO, CONFORME ESPECIFICAÇÃO_x000a_"/>
    <x v="0"/>
    <s v="ETA.COR.001"/>
    <s v="Estação de Tratamento de Água Corumbá"/>
    <s v="-"/>
    <x v="0"/>
    <s v="Flotadores"/>
    <s v="Flotadores - sopradores de ar p/ lavagem de filtros"/>
    <m/>
    <m/>
  </r>
  <r>
    <x v="247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48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49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50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51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52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53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54"/>
    <s v="ESTAÇÃO DE TRATAMENTO DE ÁGUA - VALPARAISO/GO VÁLVULA BORBOLETA, COM ACIONAMENTO ELÉTRICO, COM FLANGES PN-10, COMPLETA - DIÂMETRO 200 MM_x000a_"/>
    <s v="VÁLVULA BORBOLETA, COM ACIONAMENTO ELÉTRICO, COM FLANGES PN-10, COMPLETA - DIÂMETRO 200 MM_x000a_"/>
    <x v="0"/>
    <s v="ETA.COR.001"/>
    <s v="Estação de Tratamento de Água Corumbá"/>
    <s v="-"/>
    <x v="0"/>
    <s v="Filtros"/>
    <s v="Filtros - valvulas de ar p/ lavagem"/>
    <m/>
    <m/>
  </r>
  <r>
    <x v="255"/>
    <s v="ESTAÇÃO DE TRATAMENTO DE ÁGUA - VALPARAISO/GO CONJUNTO MOTOR BOMBA PARA LAVAGEM DOS FILTROS, COMPLETA, CONFORME ESPECIFICAÇÃO_x000a_"/>
    <s v="CONJUNTO MOTOR BOMBA PARA LAVAGEM DOS FILTROS, COMPLETA, CONFORME ESPECIFICAÇÃO_x000a_"/>
    <x v="0"/>
    <s v="ETA.COR.001"/>
    <s v="Estação de Tratamento de Água Corumbá"/>
    <s v="-"/>
    <x v="0"/>
    <s v="TAPQ"/>
    <s v="TAPQ - elevatórias de água p/ lavagem de filtros"/>
    <m/>
    <m/>
  </r>
  <r>
    <x v="256"/>
    <s v="ESTAÇÃO DE TRATAMENTO DE ÁGUA - VALPARAISO/GO CONJUNTO MOTOR BOMBA PARA LAVAGEM DOS FILTROS, COMPLETA, CONFORME ESPECIFICAÇÃO_x000a_"/>
    <s v="CONJUNTO MOTOR BOMBA PARA LAVAGEM DOS FILTROS, COMPLETA, CONFORME ESPECIFICAÇÃO_x000a_"/>
    <x v="0"/>
    <s v="ETA.COR.001"/>
    <s v="Estação de Tratamento de Água Corumbá"/>
    <s v="-"/>
    <x v="0"/>
    <s v="TAPQ"/>
    <s v="TAPQ - elevatórias de água p/ lavagem de filtros"/>
    <m/>
    <m/>
  </r>
  <r>
    <x v="257"/>
    <s v="ESTAÇÃO DE TRATAMENTO DE ÁGUA - VALPARAISO/GO TALHA MANUAL MONOVIA - 5 TONELADAS "/>
    <s v="TALHA MANUAL MONOVIA - 5 TONELADAS "/>
    <x v="0"/>
    <s v="ETA.COR.001"/>
    <s v="Estação de Tratamento de Água Corumbá"/>
    <s v="-"/>
    <x v="0"/>
    <s v="Prédio administrativo"/>
    <s v="Prédio - camarote"/>
    <m/>
    <m/>
  </r>
  <r>
    <x v="258"/>
    <s v="ESTAÇÃO DE TRATAMENTO DE ÁGUA - VALPARAISO/GO BOMBA HELICOIDAL PARA O RECALQUE DE LODO DO TANQUE DE LODO PARA CENTRÍFUGA, COMPLETA, CONFORME ESPECIFICAÇÃO_x000a_"/>
    <s v="BOMBA HELICOIDAL PARA O RECALQUE DE LODO DO TANQUE DE LODO PARA CENTRÍFUGA, COMPLETA, CONFORME ESPECIFICAÇÃO_x000a_"/>
    <x v="0"/>
    <s v="ETA.COR.001"/>
    <s v="Estação de Tratamento de Água Corumbá"/>
    <s v="-"/>
    <x v="0"/>
    <s v="Sistema de desidratação de lodo"/>
    <s v="SDL - dosadoras de lodo adensado e polímero"/>
    <m/>
    <m/>
  </r>
  <r>
    <x v="259"/>
    <s v="ESTAÇÃO DE TRATAMENTO DE ÁGUA - VALPARAISO/GO BOMBA HELICOIDAL PARA O RECALQUE DE LODO DO TANQUE DE LODO PARA CENTRÍFUGA, COMPLETA, CONFORME ESPECIFICAÇÃO_x000a_"/>
    <s v="BOMBA HELICOIDAL PARA O RECALQUE DE LODO DO TANQUE DE LODO PARA CENTRÍFUGA, COMPLETA, CONFORME ESPECIFICAÇÃO_x000a_"/>
    <x v="0"/>
    <s v="ETA.COR.001"/>
    <s v="Estação de Tratamento de Água Corumbá"/>
    <s v="-"/>
    <x v="0"/>
    <s v="Sistema de desidratação de lodo"/>
    <s v="SDL - dosadoras de lodo adensado e polímero"/>
    <m/>
    <m/>
  </r>
  <r>
    <x v="260"/>
    <s v="ESTAÇÃO DE TRATAMENTO DE ÁGUA - VALPARAISO/GO BOMBAS DOSADORAS PARA DOSAGEM DE SOLUÇÃO DE POLÍMERO, COMPLETA, CONFORME ESPECIFICAÇÃO_x000a_"/>
    <s v="BOMBAS DOSADORAS PARA DOSAGEM DE SOLUÇÃO DE POLÍMERO, COMPLETA, CONFORME ESPECIFICAÇÃO_x000a_"/>
    <x v="0"/>
    <s v="ETA.COR.001"/>
    <s v="Estação de Tratamento de Água Corumbá"/>
    <s v="-"/>
    <x v="0"/>
    <s v="Sistema de desidratação de lodo"/>
    <s v="SDL - dosadoras de lodo adensado e polímero"/>
    <m/>
    <m/>
  </r>
  <r>
    <x v="261"/>
    <s v="ESTAÇÃO DE TRATAMENTO DE ÁGUA - VALPARAISO/GO BOMBAS DOSADORAS PARA DOSAGEM DE SOLUÇÃO DE POLÍMERO, COMPLETA, CONFORME ESPECIFICAÇÃO_x000a_"/>
    <s v="BOMBAS DOSADORAS PARA DOSAGEM DE SOLUÇÃO DE POLÍMERO, COMPLETA, CONFORME ESPECIFICAÇÃO_x000a_"/>
    <x v="0"/>
    <s v="ETA.COR.001"/>
    <s v="Estação de Tratamento de Água Corumbá"/>
    <s v="-"/>
    <x v="0"/>
    <s v="Sistema de desidratação de lodo"/>
    <s v="SDL - dosadoras de lodo adensado e polímero"/>
    <m/>
    <m/>
  </r>
  <r>
    <x v="262"/>
    <s v="ESTAÇÃO DE TRATAMENTO DE ÁGUA - VALPARAISO/GO CENTRÍFUGA DO TIPO &quot;DECANTER&quot; PARA DESIDRATAÇÃO DE LODO, COMPLETA, CONFORME ESPECIFICAÇÃO_x000a_"/>
    <s v="CENTRÍFUGA DO TIPO &quot;DECANTER&quot; PARA DESIDRATAÇÃO DE LODO, COMPLETA, CONFORME ESPECIFICAÇÃO_x000a_"/>
    <x v="0"/>
    <s v="ETA.COR.001"/>
    <s v="Estação de Tratamento de Água Corumbá"/>
    <s v="-"/>
    <x v="0"/>
    <s v="Sistema de desidratação de lodo"/>
    <s v="SDL - decanters"/>
    <m/>
    <m/>
  </r>
  <r>
    <x v="263"/>
    <s v="ESTAÇÃO DE TRATAMENTO DE ÁGUA - VALPARAISO/GO CENTRÍFUGA DO TIPO &quot;DECANTER&quot; PARA DESIDRATAÇÃO DE LODO, COMPLETA, CONFORME ESPECIFICAÇÃO_x000a_"/>
    <s v="CENTRÍFUGA DO TIPO &quot;DECANTER&quot; PARA DESIDRATAÇÃO DE LODO, COMPLETA, CONFORME ESPECIFICAÇÃO_x000a_"/>
    <x v="0"/>
    <s v="ETA.COR.001"/>
    <s v="Estação de Tratamento de Água Corumbá"/>
    <s v="-"/>
    <x v="0"/>
    <s v="Sistema de desidratação de lodo"/>
    <s v="SDL - decanters"/>
    <m/>
    <m/>
  </r>
  <r>
    <x v="264"/>
    <s v="ESTAÇÃO DE TRATAMENTO DE ÁGUA - VALPARAISO/GO TALHA MANUAL MONOVIA - 2 TONELADAS "/>
    <s v="TALHA MANUAL MONOVIA - 2 TONELADAS "/>
    <x v="0"/>
    <s v="ETA.COR.001"/>
    <s v="Estação de Tratamento de Água Corumbá"/>
    <s v="-"/>
    <x v="0"/>
    <s v="Prédio administrativo"/>
    <s v="Prédio - camarote"/>
    <m/>
    <m/>
  </r>
  <r>
    <x v="265"/>
    <s v="ESTAÇÃO DE TRATAMENTO DE ÁGUA - VALPARAISO/GO TALHA MANUAL MONOVIA - 2 TONELADAS "/>
    <s v="TALHA MANUAL MONOVIA - 2 TONELADAS "/>
    <x v="0"/>
    <s v="ETA.COR.001"/>
    <s v="Estação de Tratamento de Água Corumbá"/>
    <s v="-"/>
    <x v="0"/>
    <s v="Prédio administrativo"/>
    <s v="Prédio - camarote"/>
    <m/>
    <m/>
  </r>
  <r>
    <x v="266"/>
    <s v="ESTAÇÃO DE TRATAMENTO DE ÁGUA - VALPARAISO/GO TALHA MANUAL MONOVIA - 3 TONELADAS "/>
    <s v="TALHA MANUAL MONOVIA - 3 TONELADAS "/>
    <x v="0"/>
    <s v="ETA.COR.001"/>
    <s v="Estação de Tratamento de Água Corumbá"/>
    <s v="-"/>
    <x v="0"/>
    <s v="Prédio administrativo"/>
    <s v="Prédio - camarote"/>
    <m/>
    <m/>
  </r>
  <r>
    <x v="267"/>
    <s v="ESTAÇÃO DE TRATAMENTO DE ÁGUA - VALPARAISO/GO EQUIPAMENTO PARA PREPARO DE SOLUÇÃO DE POLÍMEROS, COMPLETO, CONF. ESPECIFICAÇÃO_x000a_"/>
    <s v="EQUIPAMENTO PARA PREPARO DE SOLUÇÃO DE POLÍMEROS, COMPLETO, CONF. ESPECIFICAÇÃO_x000a_"/>
    <x v="0"/>
    <s v="ETA.COR.001"/>
    <s v="Estação de Tratamento de Água Corumbá"/>
    <s v="-"/>
    <x v="0"/>
    <s v="Sistema de desidratação de lodo"/>
    <s v="SDL - dosadoras de lodo adensado e polímero"/>
    <m/>
    <m/>
  </r>
  <r>
    <x v="268"/>
    <s v="ESTAÇÃO DE TRATAMENTO DE ÁGUA - VALPARAISO/GO EQUIPAMENTO PARA PREPARO DE SOLUÇÃO DE POLÍMEROS, COMPLETO, CONF. ESPECIFICAÇÃO_x000a_"/>
    <s v="EQUIPAMENTO PARA PREPARO DE SOLUÇÃO DE POLÍMEROS, COMPLETO, CONF. ESPECIFICAÇÃO_x000a_"/>
    <x v="0"/>
    <s v="ETA.COR.001"/>
    <s v="Estação de Tratamento de Água Corumbá"/>
    <s v="-"/>
    <x v="0"/>
    <s v="Sistema de desidratação de lodo"/>
    <s v="SDL - dosadoras de lodo adensado e polímero"/>
    <m/>
    <m/>
  </r>
  <r>
    <x v="269"/>
    <s v="ESTAÇÃO DE TRATAMENTO DE ÁGUA - VALPARAISO/GO _x0009__x000a_CONJUNTO MOTOR E BOMBA PERISTALTICA MODELO BREDEL- 65/6/2 EPDM/PP 20RPM 5,5KW"/>
    <s v="_x0009__x000a_CONJUNTO MOTOR E BOMBA PERISTALTICA MODELO BREDEL- 65/6/2 EPDM/PP 20RPM 5,5KW"/>
    <x v="0"/>
    <s v="ETA.COR.001"/>
    <s v="Estação de Tratamento de Água Corumbá"/>
    <s v="-"/>
    <x v="0"/>
    <s v="Sistema de cloro"/>
    <s v="EAT - ponte rolante"/>
    <m/>
    <m/>
  </r>
  <r>
    <x v="270"/>
    <s v="ESTAÇÃO DE TRATAMENTO DE ÁGUA - VALPARAISO/GO CONJUNTO MOTOR E BOMBA PERISTALTICA MODELO BREDEL- 65/6/2 EPDM/PP 20RPM 5,5KW"/>
    <s v="CONJUNTO MOTOR E BOMBA PERISTALTICA MODELO BREDEL- 65/6/2 EPDM/PP 20RPM 5,5KW"/>
    <x v="0"/>
    <s v="ETA.COR.001"/>
    <s v="Estação de Tratamento de Água Corumbá"/>
    <s v="-"/>
    <x v="0"/>
    <s v="Sistema de cloro"/>
    <s v="EAT - ponte rolante"/>
    <m/>
    <m/>
  </r>
  <r>
    <x v="271"/>
    <s v="ESTAÇÃO DE TRATAMENTO DE ÁGUA - VALPARAISO/GO COMJUNTO MOTOR E BOMBA PERISTALTICA MODELO BREDEL- 65/6/2 EPDM/PP 20RPM 5,5KW"/>
    <s v="COMJUNTO MOTOR E BOMBA PERISTALTICA MODELO BREDEL- 65/6/2 EPDM/PP 20RPM 5,5KW"/>
    <x v="0"/>
    <s v="ETA.COR.001"/>
    <s v="Estação de Tratamento de Água Corumbá"/>
    <s v="-"/>
    <x v="0"/>
    <s v="Tanques de reciclo"/>
    <s v="EAT - ponte rolante"/>
    <m/>
    <m/>
  </r>
  <r>
    <x v="272"/>
    <s v="ESTAÇÃO DE TRATAMENTO DE ÁGUA - VALPARAISO/GO CONJUNTO MOTOR E BOMBA PERISTALTICA MODELO BREDEL- 65/6/2 EPDM/PP 20RPM 5,5KW"/>
    <s v="CONJUNTO MOTOR E BOMBA PERISTALTICA MODELO BREDEL- 65/6/2 EPDM/PP 20RPM 5,5KW"/>
    <x v="0"/>
    <s v="ETA.COR.001"/>
    <s v="Estação de Tratamento de Água Corumbá"/>
    <s v="-"/>
    <x v="0"/>
    <s v="Tanques de reciclo"/>
    <s v="EAT - ponte rolante"/>
    <m/>
    <m/>
  </r>
  <r>
    <x v="273"/>
    <s v="ESTAÇÃO DE TRATAMENTO DE ÁGUA - VALPARAISO/GO DOSADOR DE CLORO COMPLETO"/>
    <s v="DOSADOR DE CLORO COMPLETO"/>
    <x v="0"/>
    <s v="ETA.COR.001"/>
    <s v="Estação de Tratamento de Água Corumbá"/>
    <s v="-"/>
    <x v="0"/>
    <s v="Sistema de cloro"/>
    <s v="Cloro - sala dos evaporadores e dosadores"/>
    <m/>
    <m/>
  </r>
  <r>
    <x v="274"/>
    <s v="ESTAÇÃO DE TRATAMENTO DE ÁGUA - VALPARAISO/GO DOSADOR DE CLORO COMPLETO "/>
    <s v="DOSADOR DE CLORO COMPLETO "/>
    <x v="0"/>
    <s v="ETA.COR.001"/>
    <s v="Estação de Tratamento de Água Corumbá"/>
    <s v="-"/>
    <x v="0"/>
    <s v="Sistema de cloro"/>
    <s v="Cloro - sala dos evaporadores e dosadores"/>
    <m/>
    <m/>
  </r>
  <r>
    <x v="275"/>
    <s v="ESTAÇÃO DE TRATAMENTO DE ÁGUA - VALPARAISO/GO MISTURADOR FLUTUANTE PARA TANQUE DE LODO FLOTADO, COMPLETO_x000a_"/>
    <s v="MISTURADOR FLUTUANTE PARA TANQUE DE LODO FLOTADO, COMPLETO_x000a_"/>
    <x v="0"/>
    <s v="ETA.COR.001"/>
    <s v="Estação de Tratamento de Água Corumbá"/>
    <s v="-"/>
    <x v="0"/>
    <s v="Sistema de desidratação de lodo"/>
    <s v="SDL - dosadoras de lodo adensado e polímero"/>
    <m/>
    <m/>
  </r>
  <r>
    <x v="276"/>
    <s v="ESTAÇÃO DE TRATAMENTO DE ÁGUA - VALPARAISO/GO BALANÇA RODOVIÁRIA COMPLETA_x000a_"/>
    <s v="BALANÇA RODOVIÁRIA COMPLETA_x000a_"/>
    <x v="0"/>
    <s v="ETA.COR.001"/>
    <s v="Estação de Tratamento de Água Corumbá"/>
    <s v="-"/>
    <x v="0"/>
    <s v="Sistema de cloro"/>
    <s v="Cloro - balanças central de neutralização de gases "/>
    <m/>
    <m/>
  </r>
  <r>
    <x v="277"/>
    <s v="ESTAÇÃO DE TRATAMENTO DE ÁGUA - VALPARAISO/GO BALANÇA RODOVIÁRIA COMPLETA_x000a_"/>
    <s v="BALANÇA RODOVIÁRIA COMPLETA_x000a_"/>
    <x v="0"/>
    <s v="ETA.COR.001"/>
    <s v="Estação de Tratamento de Água Corumbá"/>
    <s v="-"/>
    <x v="0"/>
    <s v="Sistema de cloro"/>
    <s v="Cloro - balanças central de neutralização de gases "/>
    <m/>
    <m/>
  </r>
  <r>
    <x v="278"/>
    <s v="ESTAÇÃO DE TRATAMENTO DE ÁGUA - VALPARAISO/GO CONJUNTO MOTOBOMBA PARA EJETORES, VÁLVULAS E ACESSÓRIOS DIVERSOS, PARA COMPLETAR O SISTEMA DE CLORAÇÃO"/>
    <s v="CONJUNTO MOTOBOMBA PARA EJETORES, VÁLVULAS E ACESSÓRIOS DIVERSOS, PARA COMPLETAR O SISTEMA DE CLORAÇÃO"/>
    <x v="0"/>
    <s v="ETA.COR.001"/>
    <s v="Estação de Tratamento de Água Corumbá"/>
    <s v="-"/>
    <x v="0"/>
    <s v="Sistema de cloro"/>
    <s v="Cloro - elevatórias de injeção de cloro"/>
    <m/>
    <m/>
  </r>
  <r>
    <x v="279"/>
    <s v="ESTAÇÃO DE TRATAMENTO DE ÁGUA - VALPARAISO/GO CONJUNTO MOTOBOMBA PARA EJETORES, VÁLVULAS E ACESSÓRIOS DIVERSOS, PARA COMPLETAR O SISTEMA DE CLORAÇÃO"/>
    <s v="CONJUNTO MOTOBOMBA PARA EJETORES, VÁLVULAS E ACESSÓRIOS DIVERSOS, PARA COMPLETAR O SISTEMA DE CLORAÇÃO"/>
    <x v="0"/>
    <s v="ETA.COR.001"/>
    <s v="Estação de Tratamento de Água Corumbá"/>
    <s v="-"/>
    <x v="0"/>
    <s v="Sistema de cloro"/>
    <s v="Cloro - elevatórias de injeção de cloro"/>
    <m/>
    <m/>
  </r>
  <r>
    <x v="280"/>
    <s v="ESTAÇÃO DE TRATAMENTO DE ÁGUA - VALPARAISO/GO CONJUNTO MOTOBOMBA PARA EJETORES, VÁLVULAS E ACESSÓRIOS DIVERSOS, PARA COMPLETAR O SISTEMA DE CLORAÇÃO"/>
    <s v="CONJUNTO MOTOBOMBA PARA EJETORES, VÁLVULAS E ACESSÓRIOS DIVERSOS, PARA COMPLETAR O SISTEMA DE CLORAÇÃO"/>
    <x v="0"/>
    <s v="ETA.COR.001"/>
    <s v="Estação de Tratamento de Água Corumbá"/>
    <s v="-"/>
    <x v="0"/>
    <s v="Sistema de cloro"/>
    <s v="Cloro - elevatórias de injeção de cloro"/>
    <m/>
    <m/>
  </r>
  <r>
    <x v="281"/>
    <s v="ESTAÇÃO DE TRATAMENTO DE ÁGUA - VALPARAISO/GO CONJUNTO MOTOBOMBA PARA EJETORES, VÁLVULAS E ACESSÓRIOS DIVERSOS, PARA COMPLETAR O SISTEMA DE CLORAÇÃO"/>
    <s v="CONJUNTO MOTOBOMBA PARA EJETORES, VÁLVULAS E ACESSÓRIOS DIVERSOS, PARA COMPLETAR O SISTEMA DE CLORAÇÃO"/>
    <x v="0"/>
    <s v="ETA.COR.001"/>
    <s v="Estação de Tratamento de Água Corumbá"/>
    <s v="-"/>
    <x v="0"/>
    <s v="Sistema de cloro"/>
    <s v="Cloro - elevatórias de injeção de cloro"/>
    <m/>
    <m/>
  </r>
  <r>
    <x v="282"/>
    <s v="ESTAÇÃO DE TRATAMENTO DE ÁGUA - VALPARAISO/GO CONJUNTO MOTOBOMBA PARA EJETORES, VÁLVULAS E ACESSÓRIOS DIVERSOS, PARA COMPLETAR O SISTEMA DE CLORAÇÃO"/>
    <s v="CONJUNTO MOTOBOMBA PARA EJETORES, VÁLVULAS E ACESSÓRIOS DIVERSOS, PARA COMPLETAR O SISTEMA DE CLORAÇÃO"/>
    <x v="0"/>
    <s v="ETA.COR.001"/>
    <s v="Estação de Tratamento de Água Corumbá"/>
    <s v="-"/>
    <x v="0"/>
    <s v="Sistema de cloro"/>
    <s v="Cloro - elevatórias de injeção de cloro"/>
    <m/>
    <m/>
  </r>
  <r>
    <x v="283"/>
    <s v="ESTAÇÃO DE TRATAMENTO DE ÁGUA - VALPARAISO/GO CONJUNTO MOTOBOMBA PARA EJETORES, VÁLVULAS E ACESSÓRIOS DIVERSOS, PARA COMPLETAR O SISTEMA DE CLORAÇÃO"/>
    <s v="CONJUNTO MOTOBOMBA PARA EJETORES, VÁLVULAS E ACESSÓRIOS DIVERSOS, PARA COMPLETAR O SISTEMA DE CLORAÇÃO"/>
    <x v="0"/>
    <s v="ETA.COR.001"/>
    <s v="Estação de Tratamento de Água Corumbá"/>
    <s v="-"/>
    <x v="0"/>
    <s v="Sistema de cloro"/>
    <s v="Cloro - elevatórias de injeção de cloro"/>
    <m/>
    <m/>
  </r>
  <r>
    <x v="284"/>
    <s v="ESTAÇÃO DE TRATAMENTO DE ÁGUA - VALPARAISO/GO DETECTOR DE CLORO PARA DOIS PONTOS,COMPLETO, CONFORME ESPECIFICAÇÃO_x000a_"/>
    <s v="DETECTOR DE CLORO PARA DOIS PONTOS,COMPLETO, CONFORME ESPECIFICAÇÃO_x000a_"/>
    <x v="0"/>
    <s v="ETA.COR.001"/>
    <s v="Estação de Tratamento de Água Corumbá"/>
    <s v="-"/>
    <x v="0"/>
    <s v="Sistema de cloro"/>
    <s v="Cloro - sala dos evaporadores e dosadores"/>
    <m/>
    <m/>
  </r>
  <r>
    <x v="285"/>
    <s v="ESTAÇÃO DE TRATAMENTO DE ÁGUA - VALPARAISO/GO EVAPORADOR DE CLORO, COMPLETO, CONFORME ESPECIFICAÇÃO_x000a_"/>
    <s v="EVAPORADOR DE CLORO, COMPLETO, CONFORME ESPECIFICAÇÃO_x000a_"/>
    <x v="0"/>
    <s v="ETA.COR.001"/>
    <s v="Estação de Tratamento de Água Corumbá"/>
    <s v="-"/>
    <x v="0"/>
    <s v="Sistema de cloro"/>
    <s v="Cloro - sala dos evaporadores e dosadores"/>
    <m/>
    <m/>
  </r>
  <r>
    <x v="286"/>
    <s v="ESTAÇÃO DE TRATAMENTO DE ÁGUA - VALPARAISO/GO EVAPORADOR DE CLORO, COMPLETOS, CONFORME ESPECIFICAÇÃO_x000a_"/>
    <s v="EVAPORADOR DE CLORO, COMPLETOS, CONFORME ESPECIFICAÇÃO_x000a_"/>
    <x v="0"/>
    <s v="ETA.COR.001"/>
    <s v="Estação de Tratamento de Água Corumbá"/>
    <s v="-"/>
    <x v="0"/>
    <s v="Sistema de cloro"/>
    <s v="Cloro - sala dos evaporadores e dosadores"/>
    <m/>
    <m/>
  </r>
  <r>
    <x v="287"/>
    <s v="ESTAÇÃO DE TRATAMENTO DE ÁGUA - VALPARAISO/GO SISTEMA NEUTRALIZADOR DE LAVAGEM DE GASES DA SALA DE CLORAÇÃO, COMPLETA, CONFORME ESPECIFICAÇÃO"/>
    <s v="SISTEMA NEUTRALIZADOR DE LAVAGEM DE GASES DA SALA DE CLORAÇÃO, COMPLETA, CONFORME ESPECIFICAÇÃO"/>
    <x v="0"/>
    <s v="ETA.COR.001"/>
    <s v="Estação de Tratamento de Água Corumbá"/>
    <s v="-"/>
    <x v="0"/>
    <s v="Sistema de cloro"/>
    <s v="Cloro - balanças central de neutralização de gases "/>
    <m/>
    <m/>
  </r>
  <r>
    <x v="288"/>
    <s v="ESTAÇÃO DE TRATAMENTO DE ÁGUA - VALPARAISO/GO SISTEMA DE TROCA AUTOMÁTICA DE CARRETAS DE CLORO, COMPLETOS, CONFORME ESPECIFICAÇÃO_x000a_"/>
    <s v="SISTEMA DE TROCA AUTOMÁTICA DE CARRETAS DE CLORO, COMPLETOS, CONFORME ESPECIFICAÇÃO_x000a_"/>
    <x v="0"/>
    <s v="ETA.COR.001"/>
    <s v="Estação de Tratamento de Água Corumbá"/>
    <s v="-"/>
    <x v="0"/>
    <s v="Sistema de cloro"/>
    <s v="Cloro - balanças central de neutralização de gases "/>
    <m/>
    <m/>
  </r>
  <r>
    <x v="289"/>
    <s v="ESTAÇÃO DE TRATAMENTO DE ÁGUA - VALPARAISO/GO CONJUNTO MOTOBOMBA DE TRANSFERÊNCIA PARA RECALQUE DE ÁCIDO FLUOSSILÍCICO."/>
    <s v="CONJUNTO MOTOBOMBA DE TRANSFERÊNCIA PARA RECALQUE DE ÁCIDO FLUOSSILÍCICO."/>
    <x v="0"/>
    <s v="ETA.COR.001"/>
    <s v="Estação de Tratamento de Água Corumbá"/>
    <s v="-"/>
    <x v="0"/>
    <s v="Sistema de flúor"/>
    <s v="Flúor - armazenamento e dosagem"/>
    <m/>
    <m/>
  </r>
  <r>
    <x v="290"/>
    <s v="ESTAÇÃO DE TRATAMENTO DE ÁGUA - VALPARAISO/GO CONJUNTO MOTOBOMBA DE TRANSFERÊNCIA PARA RECALQUE DE ÁCIDO FLUOSSILÍCICO."/>
    <s v="CONJUNTO MOTOBOMBA DE TRANSFERÊNCIA PARA RECALQUE DE ÁCIDO FLUOSSILÍCICO."/>
    <x v="0"/>
    <s v="ETA.COR.001"/>
    <s v="Estação de Tratamento de Água Corumbá"/>
    <s v="-"/>
    <x v="0"/>
    <s v="Sistema de flúor"/>
    <s v="Flúor - armazenamento e dosagem"/>
    <m/>
    <m/>
  </r>
  <r>
    <x v="291"/>
    <s v="ESTAÇÃO DE TRATAMENTO DE ÁGUA - VALPARAISO/GO CONJUNTO MOTOBOMBA DE TRANSFERÊNCIA, PARA RECALQUE COAGULANTE."/>
    <s v="CONJUNTO MOTOBOMBA DE TRANSFERÊNCIA, PARA RECALQUE COAGULANTE."/>
    <x v="0"/>
    <s v="ETA.COR.001"/>
    <s v="Estação de Tratamento de Água Corumbá"/>
    <s v="-"/>
    <x v="0"/>
    <s v="Sistema coagulante"/>
    <s v="Coagulante - armazenamento e dosagem"/>
    <m/>
    <m/>
  </r>
  <r>
    <x v="292"/>
    <s v="ESTAÇÃO DE TRATAMENTO DE ÁGUA - VALPARAISO/GO CONJUNTO MOTOBOMBA DE TRANSFERÊNCIA, PARA RECALQUE COAGULANTE."/>
    <s v="CONJUNTO MOTOBOMBA DE TRANSFERÊNCIA, PARA RECALQUE COAGULANTE."/>
    <x v="0"/>
    <s v="ETA.COR.001"/>
    <s v="Estação de Tratamento de Água Corumbá"/>
    <s v="-"/>
    <x v="0"/>
    <s v="Sistema coagulante"/>
    <s v="Coagulante - armazenamento e dosagem"/>
    <m/>
    <m/>
  </r>
  <r>
    <x v="293"/>
    <s v="ESTAÇÃO DE TRATAMENTO DE ÁGUA - VALPARAISO/GO BOMBA DOSADORA DO TIPO DIAFRAGMA PARA DOSAGEM DE ÁCIDO FLUOSSILÍCICO, COMPLETA, CONFORME ESPECIFICAÇÃO_x000a_"/>
    <s v="BOMBA DOSADORA DO TIPO DIAFRAGMA PARA DOSAGEM DE ÁCIDO FLUOSSILÍCICO, COMPLETA, CONFORME ESPECIFICAÇÃO_x000a_"/>
    <x v="0"/>
    <s v="ETA.COR.001"/>
    <s v="Estação de Tratamento de Água Corumbá"/>
    <s v="-"/>
    <x v="0"/>
    <s v="Sistema de flúor"/>
    <s v="Flúor - armazenamento e dosagem"/>
    <m/>
    <m/>
  </r>
  <r>
    <x v="294"/>
    <s v="ESTAÇÃO DE TRATAMENTO DE ÁGUA - VALPARAISO/GO BOMBA DOSADORA DO TIPO DIAFRAGMA PARA DOSAGEM DE ÁCIDO FLUOSSILÍCICO, COMPLETA, CONFORME ESPECIFICAÇÃO_x000a_"/>
    <s v="BOMBA DOSADORA DO TIPO DIAFRAGMA PARA DOSAGEM DE ÁCIDO FLUOSSILÍCICO, COMPLETA, CONFORME ESPECIFICAÇÃO_x000a_"/>
    <x v="0"/>
    <s v="ETA.COR.001"/>
    <s v="Estação de Tratamento de Água Corumbá"/>
    <s v="-"/>
    <x v="0"/>
    <s v="Sistema de flúor"/>
    <s v="Flúor - armazenamento e dosagem"/>
    <m/>
    <m/>
  </r>
  <r>
    <x v="295"/>
    <s v="ESTAÇÃO DE TRATAMENTO DE ÁGUA - VALPARAISO/GO BOMBA DOSADORA DO TIPO DIAFRAGMA PARA RECALQUE DE COAGULANTE, COMPLETA, CONFORME ESPECIFICAÇÃO_x000a_"/>
    <s v="BOMBA DOSADORA DO TIPO DIAFRAGMA PARA RECALQUE DE COAGULANTE, COMPLETA, CONFORME ESPECIFICAÇÃO_x000a_"/>
    <x v="0"/>
    <s v="ETA.COR.001"/>
    <s v="Estação de Tratamento de Água Corumbá"/>
    <s v="-"/>
    <x v="0"/>
    <s v="Sistema coagulante"/>
    <s v="Coagulante - armazenamento e dosagem"/>
    <m/>
    <m/>
  </r>
  <r>
    <x v="296"/>
    <s v="ESTAÇÃO DE TRATAMENTO DE ÁGUA - VALPARAISO/GO BOMBA DOSADORA DO TIPO DIAFRAGMA PARA RECALQUE DE COAGULANTE, COMPLETA, CONFORME ESPECIFICAÇÃO_x000a_"/>
    <s v="BOMBA DOSADORA DO TIPO DIAFRAGMA PARA RECALQUE DE COAGULANTE, COMPLETA, CONFORME ESPECIFICAÇÃO_x000a_"/>
    <x v="0"/>
    <s v="ETA.COR.001"/>
    <s v="Estação de Tratamento de Água Corumbá"/>
    <s v="-"/>
    <x v="0"/>
    <s v="Sistema coagulante"/>
    <s v="Coagulante - armazenamento e dosagem"/>
    <m/>
    <m/>
  </r>
  <r>
    <x v="297"/>
    <s v="ESTAÇÃO DE TRATAMENTO DE ÁGUA - VALPARAISO/GO BOMBA DOSADORA DO TIPO DIAFRAGMA, PARA DOSAGEM DE SOLUÇÃO DE PERMANGANATO, COMPLETA, CONFORME ESPECIFICAÇÃO_x000a_"/>
    <s v="BOMBA DOSADORA DO TIPO DIAFRAGMA, PARA DOSAGEM DE SOLUÇÃO DE PERMANGANATO, COMPLETA, CONFORME ESPECIFICAÇÃO_x000a_"/>
    <x v="0"/>
    <s v="ETA.COR.001"/>
    <s v="Estação de Tratamento de Água Corumbá"/>
    <s v="-"/>
    <x v="0"/>
    <s v="Casa de química"/>
    <s v="Casa de química - preparo e dosagem de permanganato e polímero"/>
    <m/>
    <m/>
  </r>
  <r>
    <x v="298"/>
    <s v="ESTAÇÃO DE TRATAMENTO DE ÁGUA - VALPARAISO/GO BOMBA DOSADORA DO TIPO HELICOIDAL, PARA DOSAGEM DE SOLUÇÃO DE POLÍMERO."/>
    <s v="BOMBA DOSADORA DO TIPO HELICOIDAL, PARA DOSAGEM DE SOLUÇÃO DE POLÍMERO."/>
    <x v="0"/>
    <s v="ETA.COR.001"/>
    <s v="Estação de Tratamento de Água Corumbá"/>
    <s v="-"/>
    <x v="0"/>
    <s v="Casa de química"/>
    <s v="Casa de química - preparo e dosagem de permanganato e polímero"/>
    <m/>
    <m/>
  </r>
  <r>
    <x v="299"/>
    <s v="ESTAÇÃO DE TRATAMENTO DE ÁGUA - VALPARAISO/GO BOMBA DOSADORA DO TIPO HELICOIDAL, PARA DOSAGEM DE SOLUÇÃO DE POLÍMERO."/>
    <s v="BOMBA DOSADORA DO TIPO HELICOIDAL, PARA DOSAGEM DE SOLUÇÃO DE POLÍMERO."/>
    <x v="0"/>
    <s v="ETA.COR.001"/>
    <s v="Estação de Tratamento de Água Corumbá"/>
    <s v="-"/>
    <x v="0"/>
    <s v="Casa de química"/>
    <s v="Casa de química - preparo e dosagem de permanganato e polímero"/>
    <m/>
    <m/>
  </r>
  <r>
    <x v="300"/>
    <s v="ESTAÇÃO DE TRATAMENTO DE ÁGUA - VALPARAISO/GO BOMBAS PARA AMOSTRAGEM DE ÁGUA FLOTADA FILTRADA E ÁGUA TRATADA, COMPLETAS_x000a_"/>
    <s v="BOMBAS PARA AMOSTRAGEM DE ÁGUA FLOTADA FILTRADA E ÁGUA TRATADA, COMPLETAS_x000a_"/>
    <x v="0"/>
    <s v="ETA.COR.001"/>
    <s v="Estação de Tratamento de Água Corumbá"/>
    <s v="-"/>
    <x v="0"/>
    <s v="Flotadores"/>
    <s v="Flotadores - bombas de amostragem"/>
    <m/>
    <m/>
  </r>
  <r>
    <x v="301"/>
    <s v="ESTAÇÃO DE TRATAMENTO DE ÁGUA - VALPARAISO/GO BOMBA PARA AMOSTRAGEM DE ÁGUA FLOTADA FILTRADA E ÁGUA TRATADA, COMPLETAS_x000a_"/>
    <s v="BOMBA PARA AMOSTRAGEM DE ÁGUA FLOTADA FILTRADA E ÁGUA TRATADA, COMPLETAS_x000a_"/>
    <x v="0"/>
    <s v="ETA.COR.001"/>
    <s v="Estação de Tratamento de Água Corumbá"/>
    <s v="-"/>
    <x v="0"/>
    <s v="Floculadores"/>
    <s v="Flotadores - bombas de amostragem"/>
    <m/>
    <m/>
  </r>
  <r>
    <x v="302"/>
    <s v="ESTAÇÃO DE TRATAMENTO DE ÁGUA - VALPARAISO/GO BOMBA PARA AMOSTRAGEM DE ÁGUA FLOTADA FILTRADA E ÁGUA TRATADA, COMPLETAS_x000a_"/>
    <s v="BOMBA PARA AMOSTRAGEM DE ÁGUA FLOTADA FILTRADA E ÁGUA TRATADA, COMPLETAS_x000a_"/>
    <x v="0"/>
    <s v="ETA.COR.001"/>
    <s v="Estação de Tratamento de Água Corumbá"/>
    <s v="-"/>
    <x v="0"/>
    <s v="Floculadores"/>
    <s v="Flotadores - bombas de amostragem"/>
    <m/>
    <m/>
  </r>
  <r>
    <x v="303"/>
    <s v="ESTAÇÃO DE TRATAMENTO DE ÁGUA - VALPARAISO/GO BOMBAS PARA AMOSTRAGEM DE ÁGUA FLOTADA FILTRADA E ÁGUA TRATADA, COMPLETAS_x000a_"/>
    <s v="BOMBAS PARA AMOSTRAGEM DE ÁGUA FLOTADA FILTRADA E ÁGUA TRATADA, COMPLETAS_x000a_"/>
    <x v="0"/>
    <s v="ETA.COR.001"/>
    <s v="Estação de Tratamento de Água Corumbá"/>
    <s v="-"/>
    <x v="0"/>
    <s v="Flotadores"/>
    <s v="Flotadores - bombas de amostragem"/>
    <m/>
    <m/>
  </r>
  <r>
    <x v="304"/>
    <s v="ESTAÇÃO DE TRATAMENTO DE ÁGUA - VALPARAISO/GO BOMBA PARA AMOSTRAGEM DE ÁGUA FLOTADA FILTRADA E ÁGUA TRATADA, COMPLETAS_x000a_"/>
    <s v="BOMBA PARA AMOSTRAGEM DE ÁGUA FLOTADA FILTRADA E ÁGUA TRATADA, COMPLETAS_x000a_"/>
    <x v="0"/>
    <s v="ETA.COR.001"/>
    <s v="Estação de Tratamento de Água Corumbá"/>
    <s v="-"/>
    <x v="0"/>
    <s v="Flotadores"/>
    <s v="Flotadores - bombas de amostragem"/>
    <m/>
    <m/>
  </r>
  <r>
    <x v="305"/>
    <s v="ESTAÇÃO DE TRATAMENTO DE ÁGUA - VALPARAISO/GO EQUIPAMENTO PARA PREPARO DE SOLUÇÃO DE PERMANGANATO , COMPLETO_x000a_"/>
    <s v="EQUIPAMENTO PARA PREPARO DE SOLUÇÃO DE PERMANGANATO , COMPLETO_x000a_"/>
    <x v="0"/>
    <s v="ETA.COR.001"/>
    <s v="Estação de Tratamento de Água Corumbá"/>
    <s v="-"/>
    <x v="0"/>
    <s v="Casa de química"/>
    <s v="Casa de química - preparo e dosagem de permanganato e polímero"/>
    <m/>
    <m/>
  </r>
  <r>
    <x v="306"/>
    <s v="ESTAÇÃO DE TRATAMENTO DE ÁGUA - VALPARAISO/GO EQUIPAMENTO PARA PREPARO DE SOLUÇÃO DE PERMANGANATO , COMPLETO_x000a_"/>
    <s v="EQUIPAMENTO PARA PREPARO DE SOLUÇÃO DE PERMANGANATO , COMPLETO_x000a_"/>
    <x v="0"/>
    <s v="ETA.COR.001"/>
    <s v="Estação de Tratamento de Água Corumbá"/>
    <s v="-"/>
    <x v="0"/>
    <s v="Casa de química"/>
    <s v="Casa de química - preparo e dosagem de permanganato e polímero"/>
    <m/>
    <m/>
  </r>
  <r>
    <x v="307"/>
    <s v="ESTAÇÃO DE TRATAMENTO DE ÁGUA - VALPARAISO/GO EQUIPAMENTO PARA PREPARO DE SOLUÇÃO DE POLÍMERO, COMPLETO_x000a_"/>
    <s v="EQUIPAMENTO PARA PREPARO DE SOLUÇÃO DE POLÍMERO, COMPLETO_x000a_"/>
    <x v="0"/>
    <s v="ETA.COR.001"/>
    <s v="Estação de Tratamento de Água Corumbá"/>
    <s v="-"/>
    <x v="0"/>
    <s v="Casa de química"/>
    <s v="Casa de química - preparo e dosagem de permanganato e polímero"/>
    <m/>
    <m/>
  </r>
  <r>
    <x v="308"/>
    <s v="ESTAÇÃO DE TRATAMENTO DE ÁGUA - VALPARAISO/GO EQUIPAMENTO PARA PREPARO DE SOLUÇÃO DE POLÍMERO, COMPLETO_x000a_"/>
    <s v="EQUIPAMENTO PARA PREPARO DE SOLUÇÃO DE POLÍMERO, COMPLETO_x000a_"/>
    <x v="0"/>
    <s v="ETA.COR.001"/>
    <s v="Estação de Tratamento de Água Corumbá"/>
    <s v="-"/>
    <x v="0"/>
    <s v="Casa de química"/>
    <s v="Casa de química - preparo e dosagem de permanganato e polímero"/>
    <m/>
    <m/>
  </r>
  <r>
    <x v="309"/>
    <s v="ESTAÇÃO DE TRATAMENTO DE ÁGUA - VALPARAISO/GO BALANÇA RODOVIÁRIA COMPLETA, CONFORME ESPECIFICAÇÕES TÉCNICAS - FORNECIMENTO, MONTAGEM E INSTALAÇÃO_x000a_"/>
    <s v="BALANÇA RODOVIÁRIA COMPLETA, CONFORME ESPECIFICAÇÕES TÉCNICAS - FORNECIMENTO, MONTAGEM E INSTALAÇÃO_x000a_"/>
    <x v="0"/>
    <s v="ETA.COR.001"/>
    <s v="Estação de Tratamento de Água Corumbá"/>
    <s v="-"/>
    <x v="0"/>
    <s v="Guarita principal"/>
    <s v="Guarita principal - balança"/>
    <m/>
    <m/>
  </r>
  <r>
    <x v="310"/>
    <s v="ESTAÇÃO DE TRATAMENTO DE ÁGUA - VALPARAISO/GO CONJUNTO MOTOR BOMBA PARA RECIRCULAÇÃO DA ÁGUA DE LAVAGEM DOS FILTROS, COMPLETO, CONFORME ESPECIFICAÇÃO_x000a_"/>
    <s v="CONJUNTO MOTOR BOMBA PARA RECIRCULAÇÃO DA ÁGUA DE LAVAGEM DOS FILTROS, COMPLETO, CONFORME ESPECIFICAÇÃO_x000a_"/>
    <x v="0"/>
    <s v="ETA.COR.001"/>
    <s v="Estação de Tratamento de Água Corumbá"/>
    <s v="-"/>
    <x v="0"/>
    <s v="Tanques de reciclo"/>
    <s v="Tanque reciclo - elevatória"/>
    <m/>
    <m/>
  </r>
  <r>
    <x v="311"/>
    <s v="ESTAÇÃO DE TRATAMENTO DE ÁGUA - VALPARAISO/GO CONJUNTO MOTOR BOMBA PARA RECIRCULAÇÃO DA ÁGUA DE LAVAGEM DOS FILTROS, COMPLETO, CONFORME ESPECIFICAÇÃO_x000a_"/>
    <s v="CONJUNTO MOTOR BOMBA PARA RECIRCULAÇÃO DA ÁGUA DE LAVAGEM DOS FILTROS, COMPLETO, CONFORME ESPECIFICAÇÃO_x000a_"/>
    <x v="0"/>
    <s v="ETA.COR.001"/>
    <s v="Estação de Tratamento de Água Corumbá"/>
    <s v="-"/>
    <x v="0"/>
    <s v="Tanques de reciclo"/>
    <s v="Tanque reciclo - elevatória"/>
    <m/>
    <m/>
  </r>
  <r>
    <x v="312"/>
    <s v="ESTAÇÃO DE TRATAMENTO DE ÁGUA - VALPARAISO/GO CONJUNTO MOTOR BOMBA PARA RECIRCULAÇÃO DA ÁGUA DE LAVAGEM DOS FILTROS, COMPLETO, CONFORME ESPECIFICAÇÃO_x000a_"/>
    <s v="CONJUNTO MOTOR BOMBA PARA RECIRCULAÇÃO DA ÁGUA DE LAVAGEM DOS FILTROS, COMPLETO, CONFORME ESPECIFICAÇÃO_x000a_"/>
    <x v="0"/>
    <s v="ETA.COR.001"/>
    <s v="Estação de Tratamento de Água Corumbá"/>
    <s v="-"/>
    <x v="0"/>
    <s v="Tanques de reciclo"/>
    <s v="Tanque reciclo - elevatória"/>
    <m/>
    <m/>
  </r>
  <r>
    <x v="313"/>
    <s v="ESTAÇÃO DE TRATAMENTO DE ÁGUA - VALPARAISO/GO MISTURADOR FLUTUANTE PARA TANQUE DE ÁGUA DE LAVAGEM DOS FILTROS, COMPLETO, CONFORME ESPECIFICAÇÃO_x000a_"/>
    <s v="MISTURADOR FLUTUANTE PARA TANQUE DE ÁGUA DE LAVAGEM DOS FILTROS, COMPLETO, CONFORME ESPECIFICAÇÃO_x000a_"/>
    <x v="0"/>
    <s v="ETA.COR.001"/>
    <s v="Estação de Tratamento de Água Corumbá"/>
    <s v="-"/>
    <x v="0"/>
    <s v="Tanques de reciclo"/>
    <s v="Tanque reciclo - elevatória"/>
    <m/>
    <m/>
  </r>
  <r>
    <x v="314"/>
    <s v="ESTAÇÃO DE TRATAMENTO DE ÁGUA - VALPARAISO/GO MISTURADOR FLUTUANTE PARA TANQUE DE ÁGUA DE LAVAGEM DOS FILTROS, COMPLETO, CONFORME ESPECIFICAÇÃO_x000a_"/>
    <s v="MISTURADOR FLUTUANTE PARA TANQUE DE ÁGUA DE LAVAGEM DOS FILTROS, COMPLETO, CONFORME ESPECIFICAÇÃO_x000a_"/>
    <x v="0"/>
    <s v="ETA.COR.001"/>
    <s v="Estação de Tratamento de Água Corumbá"/>
    <s v="-"/>
    <x v="0"/>
    <s v="Tanques de reciclo"/>
    <s v="Tanque reciclo - elevatória"/>
    <m/>
    <m/>
  </r>
  <r>
    <x v="315"/>
    <s v="SWITCH 2530 24G POE"/>
    <s v="SWITCH 2530 24G POE"/>
    <x v="0"/>
    <s v="PRÉDIO ADMINISTRATIVO"/>
    <m/>
    <m/>
    <x v="1"/>
    <m/>
    <s v="Prédio - operação"/>
    <m/>
    <m/>
  </r>
  <r>
    <x v="316"/>
    <s v="ESTAÇÃO DE TRATAMENTO DE ÁGUA - VALPARAISO/GO TESTE EQUIPAMENTO NOVO DOIS_x000a_"/>
    <s v="XXXXX"/>
    <x v="0"/>
    <m/>
    <m/>
    <m/>
    <x v="1"/>
    <m/>
    <m/>
    <m/>
    <m/>
  </r>
  <r>
    <x v="316"/>
    <s v="ESTAÇÃO DE TRATAMENTO DE ÁGUA - VALPARAISO/GO TESTE EQUIPAMENTO NOVO DOIS_x000a_"/>
    <s v="XXXXX"/>
    <x v="0"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DAE74-B57F-4819-8F55-F32103811C0A}" name="Tabela dinâmica5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showHeaders="0" outline="1" outlineData="1" multipleFieldFilters="0">
  <location ref="A3" firstHeaderRow="1" firstDataRow="1" firstDataCol="1" rowPageCount="1" colPageCount="1"/>
  <pivotFields count="12">
    <pivotField axis="axisRow" showAll="0">
      <items count="3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60"/>
        <item m="1" x="318"/>
        <item x="316"/>
        <item m="1" x="317"/>
        <item x="315"/>
        <item t="default"/>
      </items>
    </pivotField>
    <pivotField showAll="0"/>
    <pivotField showAll="0"/>
    <pivotField axis="axisPage" multipleItemSelectionAllowed="1" showAll="0">
      <items count="3">
        <item m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colItems count="1">
    <i/>
  </colItems>
  <pageFields count="1">
    <pageField fld="3" hier="-1"/>
  </pageFields>
  <formats count="30">
    <format dxfId="64">
      <pivotArea type="all" dataOnly="0" outline="0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2">
            <x v="0"/>
            <x v="2"/>
          </reference>
        </references>
      </pivotArea>
    </format>
    <format dxfId="61">
      <pivotArea dataOnly="0" labelOnly="1" grandRow="1" outline="0" fieldPosition="0"/>
    </format>
    <format dxfId="60">
      <pivotArea type="all" dataOnly="0" outline="0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2">
            <x v="0"/>
            <x v="2"/>
          </reference>
        </references>
      </pivotArea>
    </format>
    <format dxfId="57">
      <pivotArea dataOnly="0" labelOnly="1" grandRow="1" outline="0" fieldPosition="0"/>
    </format>
    <format dxfId="56">
      <pivotArea type="all" dataOnly="0" outline="0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2">
            <x v="0"/>
            <x v="2"/>
          </reference>
        </references>
      </pivotArea>
    </format>
    <format dxfId="53">
      <pivotArea dataOnly="0" labelOnly="1" grandRow="1" outline="0" fieldPosition="0"/>
    </format>
    <format dxfId="52">
      <pivotArea type="all" dataOnly="0" outline="0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2">
            <x v="0"/>
            <x v="2"/>
          </reference>
        </references>
      </pivotArea>
    </format>
    <format dxfId="49">
      <pivotArea dataOnly="0" labelOnly="1" grandRow="1" outline="0" fieldPosition="0"/>
    </format>
    <format dxfId="48">
      <pivotArea type="all" dataOnly="0" outline="0" fieldPosition="0"/>
    </format>
    <format dxfId="47">
      <pivotArea field="3" type="button" dataOnly="0" labelOnly="1" outline="0" axis="axisPage" fieldPosition="0"/>
    </format>
    <format dxfId="46">
      <pivotArea dataOnly="0" labelOnly="1" fieldPosition="0">
        <references count="1">
          <reference field="0" count="4">
            <x v="6"/>
            <x v="89"/>
            <x v="313"/>
            <x v="315"/>
          </reference>
        </references>
      </pivotArea>
    </format>
    <format dxfId="45">
      <pivotArea type="all" dataOnly="0" outline="0" fieldPosition="0"/>
    </format>
    <format dxfId="44">
      <pivotArea field="3" type="button" dataOnly="0" labelOnly="1" outline="0" axis="axisPage" fieldPosition="0"/>
    </format>
    <format dxfId="43">
      <pivotArea dataOnly="0" labelOnly="1" fieldPosition="0">
        <references count="1">
          <reference field="0" count="4">
            <x v="6"/>
            <x v="89"/>
            <x v="313"/>
            <x v="315"/>
          </reference>
        </references>
      </pivotArea>
    </format>
    <format dxfId="42">
      <pivotArea type="all" dataOnly="0" outline="0" fieldPosition="0"/>
    </format>
    <format dxfId="41">
      <pivotArea dataOnly="0" labelOnly="1" fieldPosition="0">
        <references count="1">
          <reference field="0" count="2">
            <x v="0"/>
            <x v="229"/>
          </reference>
        </references>
      </pivotArea>
    </format>
    <format dxfId="40">
      <pivotArea type="all" dataOnly="0" outline="0" fieldPosition="0"/>
    </format>
    <format dxfId="39">
      <pivotArea dataOnly="0" labelOnly="1" fieldPosition="0">
        <references count="1">
          <reference field="0" count="2">
            <x v="0"/>
            <x v="229"/>
          </reference>
        </references>
      </pivotArea>
    </format>
    <format dxfId="38">
      <pivotArea type="all" dataOnly="0" outline="0" fieldPosition="0"/>
    </format>
    <format dxfId="37">
      <pivotArea dataOnly="0" labelOnly="1" fieldPosition="0">
        <references count="1">
          <reference field="0" count="3">
            <x v="0"/>
            <x v="3"/>
            <x v="229"/>
          </reference>
        </references>
      </pivotArea>
    </format>
    <format dxfId="36">
      <pivotArea type="all" dataOnly="0" outline="0" fieldPosition="0"/>
    </format>
    <format dxfId="35">
      <pivotArea dataOnly="0" labelOnly="1" fieldPosition="0">
        <references count="1">
          <reference field="0" count="2">
            <x v="52"/>
            <x v="27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C60A35-F313-4654-8C61-9BB5EA9D7A68}" name="Carga" displayName="Carga" ref="A7:I575" totalsRowShown="0" headerRowDxfId="101" dataDxfId="99" headerRowBorderDxfId="100" tableBorderDxfId="98">
  <autoFilter ref="A7:I575" xr:uid="{BAC60A35-F313-4654-8C61-9BB5EA9D7A68}"/>
  <tableColumns count="9">
    <tableColumn id="1" xr3:uid="{D8C31219-5E2D-4A40-8F7F-F17C1C0C37E5}" name="Tombamento" dataDxfId="97"/>
    <tableColumn id="2" xr3:uid="{02C03987-0ED3-4C51-AF92-CBA8E9103324}" name="Descrição do Bem" dataDxfId="96"/>
    <tableColumn id="3" xr3:uid="{D37AA277-9C01-43EB-A1EC-3DB1409115F5}" name="Matrícula" dataDxfId="95"/>
    <tableColumn id="4" xr3:uid="{75EF23EA-7083-4D90-8D21-BEB4F841EA55}" name="Nome do Gestor" dataDxfId="94"/>
    <tableColumn id="5" xr3:uid="{94833A87-FFB8-4903-ADFF-8EF8DA512449}" name="Lotação" dataDxfId="93"/>
    <tableColumn id="6" xr3:uid="{D2432D55-00A7-4065-8E3B-78754AE90CE2}" name="Descrição da Lotação" dataDxfId="92"/>
    <tableColumn id="7" xr3:uid="{54CD5D08-CD15-4468-9F59-D48B6B0E07C9}" name="Est. Conserv." dataDxfId="91"/>
    <tableColumn id="9" xr3:uid="{DF2955E5-5C98-4116-ACFB-40807DE33684}" name="Localização" dataDxfId="90">
      <calculatedColumnFormula array="1">IF(A8&lt;&gt;"",_xlfn.XLOOKUP(_xlfn.NUMBERVALUE(A8),_xlfn.NUMBERVALUE(Inventários[Tombamento]),Inventários[Processo - localização específica]),"")</calculatedColumnFormula>
    </tableColumn>
    <tableColumn id="8" xr3:uid="{6A858558-4549-463E-BEAA-39853EDB083F}" name="Teste" dataDxfId="89">
      <calculatedColumnFormula array="1">_xlfn.XLOOKUP(_xlfn.NUMBERVALUE(Carga[[#This Row],[Tombamento]]),_xlfn.NUMBERVALUE(Inventários[Tombamento]),Inventários[Descrição resumida do bem],"(A) Atenção Bem Não cadastrado")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006817-36A4-42B1-86E0-2C3948E66736}" name="Inventários" displayName="Inventários" ref="A4:R572" totalsRowShown="0" headerRowBorderDxfId="88" tableBorderDxfId="87">
  <autoFilter ref="A4:R572" xr:uid="{1E27E8C5-39CA-420B-8EFD-855BA661C649}"/>
  <tableColumns count="18">
    <tableColumn id="1" xr3:uid="{DDBE1B0C-1D3D-4970-B063-FAD132715EAC}" name="Tombamento" dataDxfId="86"/>
    <tableColumn id="2" xr3:uid="{125676C7-F331-443A-BC67-7D8A06B1FB49}" name="Descrição do bem como a SSAP" dataDxfId="85">
      <calculatedColumnFormula array="1">IF(A5&lt;&gt;"",_xlfn.XLOOKUP(_xlfn.NUMBERVALUE(A5),_xlfn.NUMBERVALUE(Carga[Tombamento]),Carga[Descrição do Bem]),"")</calculatedColumnFormula>
    </tableColumn>
    <tableColumn id="3" xr3:uid="{CB0274AA-74A4-4425-94DE-B71B28F658A2}" name="Descrição resumida do bem" dataDxfId="84">
      <calculatedColumnFormula>MID(B5,32,160)</calculatedColumnFormula>
    </tableColumn>
    <tableColumn id="4" xr3:uid="{D42734ED-EE50-40FD-9B5A-5511E32CC2C2}" name="Movimentação"/>
    <tableColumn id="5" xr3:uid="{D04BA53F-8363-4968-BA9F-97722DCCCCA4}" name="Código da Unidade:" dataDxfId="83"/>
    <tableColumn id="6" xr3:uid="{D3ABF91F-5C61-4A0A-8F81-081B8BD1EB80}" name="Descrição Unidade:" dataDxfId="82"/>
    <tableColumn id="7" xr3:uid="{F8040A81-4E05-477B-9E15-B94AC87C2B72}" name="Região Administartiva:" dataDxfId="81"/>
    <tableColumn id="8" xr3:uid="{393BEC39-3284-4033-BB0F-59AAD5A54031}" name="Endereço:" dataDxfId="80"/>
    <tableColumn id="9" xr3:uid="{C4A8DB8A-CF2A-4E4F-890F-A98CFDDEA80D}" name="Processo" dataDxfId="79"/>
    <tableColumn id="10" xr3:uid="{DA1C6BBA-DC90-4926-8E7C-A48CADEA2E09}" name="Processo - localização específica" dataDxfId="78"/>
    <tableColumn id="11" xr3:uid="{78E52C5B-8AC1-41CE-9376-49DF5AD467C9}" name="Inventário: MAIO/2024"/>
    <tableColumn id="12" xr3:uid="{DF84B018-6FD3-47AC-B9F5-4AB304426A5A}" name="Obs. Durante Inventário: MAIO/2024"/>
    <tableColumn id="18" xr3:uid="{45B91C2F-B7C2-4149-AD0F-3C50079B9CE0}" name="INVENTÁRIO FEV/2025" dataDxfId="77"/>
    <tableColumn id="13" xr3:uid="{417C0110-AA5C-4742-86BD-B13ACFD5A7AD}" name="Obs. Durante Inventário: FEV/2025"/>
    <tableColumn id="15" xr3:uid="{42B5DF6E-536F-4E56-A228-833438F3E59C}" name="INVENTÁRIO 2024: Set/ Out.:" dataDxfId="76"/>
    <tableColumn id="16" xr3:uid="{4F6D7B3C-BC7F-42B3-B41D-E760826EA4A3}" name="OBS. INVETÁRIO 2024:" dataDxfId="75"/>
    <tableColumn id="17" xr3:uid="{3A2648EE-CC3E-4A49-932B-942D9295A28F}" name="INVENTÁRIO JUL/2025" dataDxfId="74"/>
    <tableColumn id="19" xr3:uid="{0CCB4106-03EB-452D-91A4-E5FC5990222D}" name="Obs. Durante Inventário: JUL/2025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4D0AD-4D50-4581-8558-AD2D7E23B279}" name="Busca" displayName="Busca" ref="A2:E37" totalsRowShown="0" headerRowBorderDxfId="72" tableBorderDxfId="71" totalsRowBorderDxfId="70">
  <autoFilter ref="A2:E37" xr:uid="{3FA4D0AD-4D50-4581-8558-AD2D7E23B279}"/>
  <tableColumns count="5">
    <tableColumn id="1" xr3:uid="{6BE2833E-2D2A-4088-986F-0630737C58C3}" name="Tombamento" dataDxfId="69"/>
    <tableColumn id="2" xr3:uid="{B24B63B9-2C1C-4D81-93C3-6F01142BFFF7}" name="Descrição resumida do bem" dataDxfId="68">
      <calculatedColumnFormula array="1">IF(A3&lt;&gt;"",_xlfn.XLOOKUP(_xlfn.NUMBERVALUE(A3),_xlfn.NUMBERVALUE(Carga[Tombamento]),Carga[Descrição do Bem]),"Digite!")</calculatedColumnFormula>
    </tableColumn>
    <tableColumn id="3" xr3:uid="{2E62B76A-3BD5-45D0-83D8-83B580A940CD}" name="Processo - localização antiga" dataDxfId="67">
      <calculatedColumnFormula array="1">IF(A3&lt;&gt;"",_xlfn.XLOOKUP(_xlfn.NUMBERVALUE(A3),_xlfn.NUMBERVALUE(Carga[Tombamento]),Carga[Localização]),"Aguardando solicitar pesquisa!")</calculatedColumnFormula>
    </tableColumn>
    <tableColumn id="4" xr3:uid="{4E640088-1E14-4333-83AF-E6C34EF0FB91}" name="Data - Pesquisa" dataDxfId="66"/>
    <tableColumn id="5" xr3:uid="{EE52FC8D-D5B3-4102-9FC5-4BB6FFFC1CB2}" name="Processo - nova localização específica" dataDxfId="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67DCCD-2D9F-4CF9-9202-984C33A48DB7}" name="Tabela167" displayName="Tabela167" ref="B2:B9" totalsRowShown="0" headerRowDxfId="34">
  <autoFilter ref="B2:B9" xr:uid="{A967DCCD-2D9F-4CF9-9202-984C33A48DB7}"/>
  <tableColumns count="1">
    <tableColumn id="1" xr3:uid="{7193E9CA-9799-45C7-8940-74EC7D49F8C6}" name="ITEM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EE619B-764D-431F-887F-0B650564DE97}" name="Tabela5" displayName="Tabela5" ref="B1:B25" totalsRowShown="0" headerRowDxfId="32" dataDxfId="31">
  <autoFilter ref="B1:B25" xr:uid="{FFEE619B-764D-431F-887F-0B650564DE97}"/>
  <sortState xmlns:xlrd2="http://schemas.microsoft.com/office/spreadsheetml/2017/richdata2" ref="B2:B21">
    <sortCondition ref="B2:B21"/>
  </sortState>
  <tableColumns count="1">
    <tableColumn id="1" xr3:uid="{C85BE141-92DF-4E90-9C10-989BEC9DDA15}" name="Localização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876798-4655-4300-B24F-DF0377760AE7}" name="Motivo" displayName="Motivo" ref="F1:F6" totalsRowShown="0" headerRowDxfId="29" dataDxfId="28">
  <autoFilter ref="F1:F6" xr:uid="{05876798-4655-4300-B24F-DF0377760AE7}"/>
  <tableColumns count="1">
    <tableColumn id="1" xr3:uid="{D2A0541C-3C08-4066-9EEE-6E3A035114EB}" name="Motivo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DA9AEF-F5D7-440F-853E-6605509D9D5D}" name="Área" displayName="Área" ref="H1:H5" totalsRowShown="0" headerRowDxfId="26" dataDxfId="25">
  <autoFilter ref="H1:H5" xr:uid="{08DA9AEF-F5D7-440F-853E-6605509D9D5D}"/>
  <tableColumns count="1">
    <tableColumn id="1" xr3:uid="{40380603-3634-47C0-9358-9A42250243CB}" name="Área: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802ED4-B4E5-4E0F-8BA3-9549D97328AD}" name="Tabela9" displayName="Tabela9" ref="D1:D104" totalsRowShown="0" headerRowDxfId="23" dataDxfId="22">
  <autoFilter ref="D1:D104" xr:uid="{AE802ED4-B4E5-4E0F-8BA3-9549D97328AD}"/>
  <sortState xmlns:xlrd2="http://schemas.microsoft.com/office/spreadsheetml/2017/richdata2" ref="D2:D104">
    <sortCondition ref="D2:D104"/>
  </sortState>
  <tableColumns count="1">
    <tableColumn id="1" xr3:uid="{41515483-BBAA-4B9C-B03E-DBC7B926E872}" name="ENDEREÇO: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4A0777-DF8F-4DC7-912A-1902C1088E01}" name="MOV" displayName="MOV" ref="J1:J3" totalsRowShown="0" headerRowDxfId="20" dataDxfId="19">
  <autoFilter ref="J1:J3" xr:uid="{934A0777-DF8F-4DC7-912A-1902C1088E01}"/>
  <tableColumns count="1">
    <tableColumn id="1" xr3:uid="{C7DC805B-1611-4866-89B0-E002D6F452DB}" name="MOV" dataDxfId="1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09E4EC-C08F-4F1A-AED4-404239728F34}" name="Funcionários" displayName="Funcionários" ref="L1:M9" totalsRowShown="0" headerRowDxfId="17" dataDxfId="16">
  <autoFilter ref="L1:M9" xr:uid="{A409E4EC-C08F-4F1A-AED4-404239728F34}"/>
  <sortState xmlns:xlrd2="http://schemas.microsoft.com/office/spreadsheetml/2017/richdata2" ref="L2:M8">
    <sortCondition ref="M2:M8"/>
    <sortCondition ref="L2:L8"/>
  </sortState>
  <tableColumns count="2">
    <tableColumn id="1" xr3:uid="{BC57C89E-2B8B-4844-9960-F213BCABCEAA}" name="Matrícula" dataDxfId="15"/>
    <tableColumn id="2" xr3:uid="{95D34862-260C-4986-8B87-747F1A7355C1}" name="Funcionário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1" Type="http://schemas.openxmlformats.org/officeDocument/2006/relationships/pivotTable" Target="../pivotTables/pivotTable1.xml" /><Relationship Id="rId4" Type="http://schemas.openxmlformats.org/officeDocument/2006/relationships/table" Target="../tables/table4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 /><Relationship Id="rId2" Type="http://schemas.openxmlformats.org/officeDocument/2006/relationships/table" Target="../tables/table6.xml" /><Relationship Id="rId1" Type="http://schemas.openxmlformats.org/officeDocument/2006/relationships/table" Target="../tables/table5.xml" /><Relationship Id="rId6" Type="http://schemas.openxmlformats.org/officeDocument/2006/relationships/table" Target="../tables/table10.xml" /><Relationship Id="rId5" Type="http://schemas.openxmlformats.org/officeDocument/2006/relationships/table" Target="../tables/table9.xml" /><Relationship Id="rId4" Type="http://schemas.openxmlformats.org/officeDocument/2006/relationships/table" Target="../tables/table8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571A-6736-428B-8120-34F74170F381}">
  <sheetPr codeName="Planilha1"/>
  <dimension ref="A1:I575"/>
  <sheetViews>
    <sheetView zoomScaleNormal="100" workbookViewId="0">
      <selection activeCell="A575" sqref="A575"/>
    </sheetView>
  </sheetViews>
  <sheetFormatPr defaultRowHeight="12.75" x14ac:dyDescent="0.15"/>
  <cols>
    <col min="1" max="1" width="12.13671875" style="46" customWidth="1"/>
    <col min="2" max="2" width="71.203125" customWidth="1"/>
    <col min="3" max="3" width="12.13671875" customWidth="1"/>
    <col min="4" max="4" width="27.23828125" customWidth="1"/>
    <col min="5" max="5" width="12.13671875" customWidth="1"/>
    <col min="6" max="6" width="22.25" customWidth="1"/>
    <col min="7" max="8" width="12.13671875" customWidth="1"/>
    <col min="9" max="9" width="13.484375" customWidth="1"/>
    <col min="258" max="258" width="12.13671875" customWidth="1"/>
    <col min="259" max="259" width="71.203125" customWidth="1"/>
    <col min="260" max="260" width="12.13671875" customWidth="1"/>
    <col min="261" max="261" width="27.23828125" customWidth="1"/>
    <col min="262" max="262" width="12.13671875" customWidth="1"/>
    <col min="263" max="263" width="22.25" customWidth="1"/>
    <col min="264" max="264" width="11.73046875" customWidth="1"/>
    <col min="514" max="514" width="12.13671875" customWidth="1"/>
    <col min="515" max="515" width="71.203125" customWidth="1"/>
    <col min="516" max="516" width="12.13671875" customWidth="1"/>
    <col min="517" max="517" width="27.23828125" customWidth="1"/>
    <col min="518" max="518" width="12.13671875" customWidth="1"/>
    <col min="519" max="519" width="22.25" customWidth="1"/>
    <col min="520" max="520" width="11.73046875" customWidth="1"/>
    <col min="770" max="770" width="12.13671875" customWidth="1"/>
    <col min="771" max="771" width="71.203125" customWidth="1"/>
    <col min="772" max="772" width="12.13671875" customWidth="1"/>
    <col min="773" max="773" width="27.23828125" customWidth="1"/>
    <col min="774" max="774" width="12.13671875" customWidth="1"/>
    <col min="775" max="775" width="22.25" customWidth="1"/>
    <col min="776" max="776" width="11.73046875" customWidth="1"/>
    <col min="1026" max="1026" width="12.13671875" customWidth="1"/>
    <col min="1027" max="1027" width="71.203125" customWidth="1"/>
    <col min="1028" max="1028" width="12.13671875" customWidth="1"/>
    <col min="1029" max="1029" width="27.23828125" customWidth="1"/>
    <col min="1030" max="1030" width="12.13671875" customWidth="1"/>
    <col min="1031" max="1031" width="22.25" customWidth="1"/>
    <col min="1032" max="1032" width="11.73046875" customWidth="1"/>
    <col min="1282" max="1282" width="12.13671875" customWidth="1"/>
    <col min="1283" max="1283" width="71.203125" customWidth="1"/>
    <col min="1284" max="1284" width="12.13671875" customWidth="1"/>
    <col min="1285" max="1285" width="27.23828125" customWidth="1"/>
    <col min="1286" max="1286" width="12.13671875" customWidth="1"/>
    <col min="1287" max="1287" width="22.25" customWidth="1"/>
    <col min="1288" max="1288" width="11.73046875" customWidth="1"/>
    <col min="1538" max="1538" width="12.13671875" customWidth="1"/>
    <col min="1539" max="1539" width="71.203125" customWidth="1"/>
    <col min="1540" max="1540" width="12.13671875" customWidth="1"/>
    <col min="1541" max="1541" width="27.23828125" customWidth="1"/>
    <col min="1542" max="1542" width="12.13671875" customWidth="1"/>
    <col min="1543" max="1543" width="22.25" customWidth="1"/>
    <col min="1544" max="1544" width="11.73046875" customWidth="1"/>
    <col min="1794" max="1794" width="12.13671875" customWidth="1"/>
    <col min="1795" max="1795" width="71.203125" customWidth="1"/>
    <col min="1796" max="1796" width="12.13671875" customWidth="1"/>
    <col min="1797" max="1797" width="27.23828125" customWidth="1"/>
    <col min="1798" max="1798" width="12.13671875" customWidth="1"/>
    <col min="1799" max="1799" width="22.25" customWidth="1"/>
    <col min="1800" max="1800" width="11.73046875" customWidth="1"/>
    <col min="2050" max="2050" width="12.13671875" customWidth="1"/>
    <col min="2051" max="2051" width="71.203125" customWidth="1"/>
    <col min="2052" max="2052" width="12.13671875" customWidth="1"/>
    <col min="2053" max="2053" width="27.23828125" customWidth="1"/>
    <col min="2054" max="2054" width="12.13671875" customWidth="1"/>
    <col min="2055" max="2055" width="22.25" customWidth="1"/>
    <col min="2056" max="2056" width="11.73046875" customWidth="1"/>
    <col min="2306" max="2306" width="12.13671875" customWidth="1"/>
    <col min="2307" max="2307" width="71.203125" customWidth="1"/>
    <col min="2308" max="2308" width="12.13671875" customWidth="1"/>
    <col min="2309" max="2309" width="27.23828125" customWidth="1"/>
    <col min="2310" max="2310" width="12.13671875" customWidth="1"/>
    <col min="2311" max="2311" width="22.25" customWidth="1"/>
    <col min="2312" max="2312" width="11.73046875" customWidth="1"/>
    <col min="2562" max="2562" width="12.13671875" customWidth="1"/>
    <col min="2563" max="2563" width="71.203125" customWidth="1"/>
    <col min="2564" max="2564" width="12.13671875" customWidth="1"/>
    <col min="2565" max="2565" width="27.23828125" customWidth="1"/>
    <col min="2566" max="2566" width="12.13671875" customWidth="1"/>
    <col min="2567" max="2567" width="22.25" customWidth="1"/>
    <col min="2568" max="2568" width="11.73046875" customWidth="1"/>
    <col min="2818" max="2818" width="12.13671875" customWidth="1"/>
    <col min="2819" max="2819" width="71.203125" customWidth="1"/>
    <col min="2820" max="2820" width="12.13671875" customWidth="1"/>
    <col min="2821" max="2821" width="27.23828125" customWidth="1"/>
    <col min="2822" max="2822" width="12.13671875" customWidth="1"/>
    <col min="2823" max="2823" width="22.25" customWidth="1"/>
    <col min="2824" max="2824" width="11.73046875" customWidth="1"/>
    <col min="3074" max="3074" width="12.13671875" customWidth="1"/>
    <col min="3075" max="3075" width="71.203125" customWidth="1"/>
    <col min="3076" max="3076" width="12.13671875" customWidth="1"/>
    <col min="3077" max="3077" width="27.23828125" customWidth="1"/>
    <col min="3078" max="3078" width="12.13671875" customWidth="1"/>
    <col min="3079" max="3079" width="22.25" customWidth="1"/>
    <col min="3080" max="3080" width="11.73046875" customWidth="1"/>
    <col min="3330" max="3330" width="12.13671875" customWidth="1"/>
    <col min="3331" max="3331" width="71.203125" customWidth="1"/>
    <col min="3332" max="3332" width="12.13671875" customWidth="1"/>
    <col min="3333" max="3333" width="27.23828125" customWidth="1"/>
    <col min="3334" max="3334" width="12.13671875" customWidth="1"/>
    <col min="3335" max="3335" width="22.25" customWidth="1"/>
    <col min="3336" max="3336" width="11.73046875" customWidth="1"/>
    <col min="3586" max="3586" width="12.13671875" customWidth="1"/>
    <col min="3587" max="3587" width="71.203125" customWidth="1"/>
    <col min="3588" max="3588" width="12.13671875" customWidth="1"/>
    <col min="3589" max="3589" width="27.23828125" customWidth="1"/>
    <col min="3590" max="3590" width="12.13671875" customWidth="1"/>
    <col min="3591" max="3591" width="22.25" customWidth="1"/>
    <col min="3592" max="3592" width="11.73046875" customWidth="1"/>
    <col min="3842" max="3842" width="12.13671875" customWidth="1"/>
    <col min="3843" max="3843" width="71.203125" customWidth="1"/>
    <col min="3844" max="3844" width="12.13671875" customWidth="1"/>
    <col min="3845" max="3845" width="27.23828125" customWidth="1"/>
    <col min="3846" max="3846" width="12.13671875" customWidth="1"/>
    <col min="3847" max="3847" width="22.25" customWidth="1"/>
    <col min="3848" max="3848" width="11.73046875" customWidth="1"/>
    <col min="4098" max="4098" width="12.13671875" customWidth="1"/>
    <col min="4099" max="4099" width="71.203125" customWidth="1"/>
    <col min="4100" max="4100" width="12.13671875" customWidth="1"/>
    <col min="4101" max="4101" width="27.23828125" customWidth="1"/>
    <col min="4102" max="4102" width="12.13671875" customWidth="1"/>
    <col min="4103" max="4103" width="22.25" customWidth="1"/>
    <col min="4104" max="4104" width="11.73046875" customWidth="1"/>
    <col min="4354" max="4354" width="12.13671875" customWidth="1"/>
    <col min="4355" max="4355" width="71.203125" customWidth="1"/>
    <col min="4356" max="4356" width="12.13671875" customWidth="1"/>
    <col min="4357" max="4357" width="27.23828125" customWidth="1"/>
    <col min="4358" max="4358" width="12.13671875" customWidth="1"/>
    <col min="4359" max="4359" width="22.25" customWidth="1"/>
    <col min="4360" max="4360" width="11.73046875" customWidth="1"/>
    <col min="4610" max="4610" width="12.13671875" customWidth="1"/>
    <col min="4611" max="4611" width="71.203125" customWidth="1"/>
    <col min="4612" max="4612" width="12.13671875" customWidth="1"/>
    <col min="4613" max="4613" width="27.23828125" customWidth="1"/>
    <col min="4614" max="4614" width="12.13671875" customWidth="1"/>
    <col min="4615" max="4615" width="22.25" customWidth="1"/>
    <col min="4616" max="4616" width="11.73046875" customWidth="1"/>
    <col min="4866" max="4866" width="12.13671875" customWidth="1"/>
    <col min="4867" max="4867" width="71.203125" customWidth="1"/>
    <col min="4868" max="4868" width="12.13671875" customWidth="1"/>
    <col min="4869" max="4869" width="27.23828125" customWidth="1"/>
    <col min="4870" max="4870" width="12.13671875" customWidth="1"/>
    <col min="4871" max="4871" width="22.25" customWidth="1"/>
    <col min="4872" max="4872" width="11.73046875" customWidth="1"/>
    <col min="5122" max="5122" width="12.13671875" customWidth="1"/>
    <col min="5123" max="5123" width="71.203125" customWidth="1"/>
    <col min="5124" max="5124" width="12.13671875" customWidth="1"/>
    <col min="5125" max="5125" width="27.23828125" customWidth="1"/>
    <col min="5126" max="5126" width="12.13671875" customWidth="1"/>
    <col min="5127" max="5127" width="22.25" customWidth="1"/>
    <col min="5128" max="5128" width="11.73046875" customWidth="1"/>
    <col min="5378" max="5378" width="12.13671875" customWidth="1"/>
    <col min="5379" max="5379" width="71.203125" customWidth="1"/>
    <col min="5380" max="5380" width="12.13671875" customWidth="1"/>
    <col min="5381" max="5381" width="27.23828125" customWidth="1"/>
    <col min="5382" max="5382" width="12.13671875" customWidth="1"/>
    <col min="5383" max="5383" width="22.25" customWidth="1"/>
    <col min="5384" max="5384" width="11.73046875" customWidth="1"/>
    <col min="5634" max="5634" width="12.13671875" customWidth="1"/>
    <col min="5635" max="5635" width="71.203125" customWidth="1"/>
    <col min="5636" max="5636" width="12.13671875" customWidth="1"/>
    <col min="5637" max="5637" width="27.23828125" customWidth="1"/>
    <col min="5638" max="5638" width="12.13671875" customWidth="1"/>
    <col min="5639" max="5639" width="22.25" customWidth="1"/>
    <col min="5640" max="5640" width="11.73046875" customWidth="1"/>
    <col min="5890" max="5890" width="12.13671875" customWidth="1"/>
    <col min="5891" max="5891" width="71.203125" customWidth="1"/>
    <col min="5892" max="5892" width="12.13671875" customWidth="1"/>
    <col min="5893" max="5893" width="27.23828125" customWidth="1"/>
    <col min="5894" max="5894" width="12.13671875" customWidth="1"/>
    <col min="5895" max="5895" width="22.25" customWidth="1"/>
    <col min="5896" max="5896" width="11.73046875" customWidth="1"/>
    <col min="6146" max="6146" width="12.13671875" customWidth="1"/>
    <col min="6147" max="6147" width="71.203125" customWidth="1"/>
    <col min="6148" max="6148" width="12.13671875" customWidth="1"/>
    <col min="6149" max="6149" width="27.23828125" customWidth="1"/>
    <col min="6150" max="6150" width="12.13671875" customWidth="1"/>
    <col min="6151" max="6151" width="22.25" customWidth="1"/>
    <col min="6152" max="6152" width="11.73046875" customWidth="1"/>
    <col min="6402" max="6402" width="12.13671875" customWidth="1"/>
    <col min="6403" max="6403" width="71.203125" customWidth="1"/>
    <col min="6404" max="6404" width="12.13671875" customWidth="1"/>
    <col min="6405" max="6405" width="27.23828125" customWidth="1"/>
    <col min="6406" max="6406" width="12.13671875" customWidth="1"/>
    <col min="6407" max="6407" width="22.25" customWidth="1"/>
    <col min="6408" max="6408" width="11.73046875" customWidth="1"/>
    <col min="6658" max="6658" width="12.13671875" customWidth="1"/>
    <col min="6659" max="6659" width="71.203125" customWidth="1"/>
    <col min="6660" max="6660" width="12.13671875" customWidth="1"/>
    <col min="6661" max="6661" width="27.23828125" customWidth="1"/>
    <col min="6662" max="6662" width="12.13671875" customWidth="1"/>
    <col min="6663" max="6663" width="22.25" customWidth="1"/>
    <col min="6664" max="6664" width="11.73046875" customWidth="1"/>
    <col min="6914" max="6914" width="12.13671875" customWidth="1"/>
    <col min="6915" max="6915" width="71.203125" customWidth="1"/>
    <col min="6916" max="6916" width="12.13671875" customWidth="1"/>
    <col min="6917" max="6917" width="27.23828125" customWidth="1"/>
    <col min="6918" max="6918" width="12.13671875" customWidth="1"/>
    <col min="6919" max="6919" width="22.25" customWidth="1"/>
    <col min="6920" max="6920" width="11.73046875" customWidth="1"/>
    <col min="7170" max="7170" width="12.13671875" customWidth="1"/>
    <col min="7171" max="7171" width="71.203125" customWidth="1"/>
    <col min="7172" max="7172" width="12.13671875" customWidth="1"/>
    <col min="7173" max="7173" width="27.23828125" customWidth="1"/>
    <col min="7174" max="7174" width="12.13671875" customWidth="1"/>
    <col min="7175" max="7175" width="22.25" customWidth="1"/>
    <col min="7176" max="7176" width="11.73046875" customWidth="1"/>
    <col min="7426" max="7426" width="12.13671875" customWidth="1"/>
    <col min="7427" max="7427" width="71.203125" customWidth="1"/>
    <col min="7428" max="7428" width="12.13671875" customWidth="1"/>
    <col min="7429" max="7429" width="27.23828125" customWidth="1"/>
    <col min="7430" max="7430" width="12.13671875" customWidth="1"/>
    <col min="7431" max="7431" width="22.25" customWidth="1"/>
    <col min="7432" max="7432" width="11.73046875" customWidth="1"/>
    <col min="7682" max="7682" width="12.13671875" customWidth="1"/>
    <col min="7683" max="7683" width="71.203125" customWidth="1"/>
    <col min="7684" max="7684" width="12.13671875" customWidth="1"/>
    <col min="7685" max="7685" width="27.23828125" customWidth="1"/>
    <col min="7686" max="7686" width="12.13671875" customWidth="1"/>
    <col min="7687" max="7687" width="22.25" customWidth="1"/>
    <col min="7688" max="7688" width="11.73046875" customWidth="1"/>
    <col min="7938" max="7938" width="12.13671875" customWidth="1"/>
    <col min="7939" max="7939" width="71.203125" customWidth="1"/>
    <col min="7940" max="7940" width="12.13671875" customWidth="1"/>
    <col min="7941" max="7941" width="27.23828125" customWidth="1"/>
    <col min="7942" max="7942" width="12.13671875" customWidth="1"/>
    <col min="7943" max="7943" width="22.25" customWidth="1"/>
    <col min="7944" max="7944" width="11.73046875" customWidth="1"/>
    <col min="8194" max="8194" width="12.13671875" customWidth="1"/>
    <col min="8195" max="8195" width="71.203125" customWidth="1"/>
    <col min="8196" max="8196" width="12.13671875" customWidth="1"/>
    <col min="8197" max="8197" width="27.23828125" customWidth="1"/>
    <col min="8198" max="8198" width="12.13671875" customWidth="1"/>
    <col min="8199" max="8199" width="22.25" customWidth="1"/>
    <col min="8200" max="8200" width="11.73046875" customWidth="1"/>
    <col min="8450" max="8450" width="12.13671875" customWidth="1"/>
    <col min="8451" max="8451" width="71.203125" customWidth="1"/>
    <col min="8452" max="8452" width="12.13671875" customWidth="1"/>
    <col min="8453" max="8453" width="27.23828125" customWidth="1"/>
    <col min="8454" max="8454" width="12.13671875" customWidth="1"/>
    <col min="8455" max="8455" width="22.25" customWidth="1"/>
    <col min="8456" max="8456" width="11.73046875" customWidth="1"/>
    <col min="8706" max="8706" width="12.13671875" customWidth="1"/>
    <col min="8707" max="8707" width="71.203125" customWidth="1"/>
    <col min="8708" max="8708" width="12.13671875" customWidth="1"/>
    <col min="8709" max="8709" width="27.23828125" customWidth="1"/>
    <col min="8710" max="8710" width="12.13671875" customWidth="1"/>
    <col min="8711" max="8711" width="22.25" customWidth="1"/>
    <col min="8712" max="8712" width="11.73046875" customWidth="1"/>
    <col min="8962" max="8962" width="12.13671875" customWidth="1"/>
    <col min="8963" max="8963" width="71.203125" customWidth="1"/>
    <col min="8964" max="8964" width="12.13671875" customWidth="1"/>
    <col min="8965" max="8965" width="27.23828125" customWidth="1"/>
    <col min="8966" max="8966" width="12.13671875" customWidth="1"/>
    <col min="8967" max="8967" width="22.25" customWidth="1"/>
    <col min="8968" max="8968" width="11.73046875" customWidth="1"/>
    <col min="9218" max="9218" width="12.13671875" customWidth="1"/>
    <col min="9219" max="9219" width="71.203125" customWidth="1"/>
    <col min="9220" max="9220" width="12.13671875" customWidth="1"/>
    <col min="9221" max="9221" width="27.23828125" customWidth="1"/>
    <col min="9222" max="9222" width="12.13671875" customWidth="1"/>
    <col min="9223" max="9223" width="22.25" customWidth="1"/>
    <col min="9224" max="9224" width="11.73046875" customWidth="1"/>
    <col min="9474" max="9474" width="12.13671875" customWidth="1"/>
    <col min="9475" max="9475" width="71.203125" customWidth="1"/>
    <col min="9476" max="9476" width="12.13671875" customWidth="1"/>
    <col min="9477" max="9477" width="27.23828125" customWidth="1"/>
    <col min="9478" max="9478" width="12.13671875" customWidth="1"/>
    <col min="9479" max="9479" width="22.25" customWidth="1"/>
    <col min="9480" max="9480" width="11.73046875" customWidth="1"/>
    <col min="9730" max="9730" width="12.13671875" customWidth="1"/>
    <col min="9731" max="9731" width="71.203125" customWidth="1"/>
    <col min="9732" max="9732" width="12.13671875" customWidth="1"/>
    <col min="9733" max="9733" width="27.23828125" customWidth="1"/>
    <col min="9734" max="9734" width="12.13671875" customWidth="1"/>
    <col min="9735" max="9735" width="22.25" customWidth="1"/>
    <col min="9736" max="9736" width="11.73046875" customWidth="1"/>
    <col min="9986" max="9986" width="12.13671875" customWidth="1"/>
    <col min="9987" max="9987" width="71.203125" customWidth="1"/>
    <col min="9988" max="9988" width="12.13671875" customWidth="1"/>
    <col min="9989" max="9989" width="27.23828125" customWidth="1"/>
    <col min="9990" max="9990" width="12.13671875" customWidth="1"/>
    <col min="9991" max="9991" width="22.25" customWidth="1"/>
    <col min="9992" max="9992" width="11.73046875" customWidth="1"/>
    <col min="10242" max="10242" width="12.13671875" customWidth="1"/>
    <col min="10243" max="10243" width="71.203125" customWidth="1"/>
    <col min="10244" max="10244" width="12.13671875" customWidth="1"/>
    <col min="10245" max="10245" width="27.23828125" customWidth="1"/>
    <col min="10246" max="10246" width="12.13671875" customWidth="1"/>
    <col min="10247" max="10247" width="22.25" customWidth="1"/>
    <col min="10248" max="10248" width="11.73046875" customWidth="1"/>
    <col min="10498" max="10498" width="12.13671875" customWidth="1"/>
    <col min="10499" max="10499" width="71.203125" customWidth="1"/>
    <col min="10500" max="10500" width="12.13671875" customWidth="1"/>
    <col min="10501" max="10501" width="27.23828125" customWidth="1"/>
    <col min="10502" max="10502" width="12.13671875" customWidth="1"/>
    <col min="10503" max="10503" width="22.25" customWidth="1"/>
    <col min="10504" max="10504" width="11.73046875" customWidth="1"/>
    <col min="10754" max="10754" width="12.13671875" customWidth="1"/>
    <col min="10755" max="10755" width="71.203125" customWidth="1"/>
    <col min="10756" max="10756" width="12.13671875" customWidth="1"/>
    <col min="10757" max="10757" width="27.23828125" customWidth="1"/>
    <col min="10758" max="10758" width="12.13671875" customWidth="1"/>
    <col min="10759" max="10759" width="22.25" customWidth="1"/>
    <col min="10760" max="10760" width="11.73046875" customWidth="1"/>
    <col min="11010" max="11010" width="12.13671875" customWidth="1"/>
    <col min="11011" max="11011" width="71.203125" customWidth="1"/>
    <col min="11012" max="11012" width="12.13671875" customWidth="1"/>
    <col min="11013" max="11013" width="27.23828125" customWidth="1"/>
    <col min="11014" max="11014" width="12.13671875" customWidth="1"/>
    <col min="11015" max="11015" width="22.25" customWidth="1"/>
    <col min="11016" max="11016" width="11.73046875" customWidth="1"/>
    <col min="11266" max="11266" width="12.13671875" customWidth="1"/>
    <col min="11267" max="11267" width="71.203125" customWidth="1"/>
    <col min="11268" max="11268" width="12.13671875" customWidth="1"/>
    <col min="11269" max="11269" width="27.23828125" customWidth="1"/>
    <col min="11270" max="11270" width="12.13671875" customWidth="1"/>
    <col min="11271" max="11271" width="22.25" customWidth="1"/>
    <col min="11272" max="11272" width="11.73046875" customWidth="1"/>
    <col min="11522" max="11522" width="12.13671875" customWidth="1"/>
    <col min="11523" max="11523" width="71.203125" customWidth="1"/>
    <col min="11524" max="11524" width="12.13671875" customWidth="1"/>
    <col min="11525" max="11525" width="27.23828125" customWidth="1"/>
    <col min="11526" max="11526" width="12.13671875" customWidth="1"/>
    <col min="11527" max="11527" width="22.25" customWidth="1"/>
    <col min="11528" max="11528" width="11.73046875" customWidth="1"/>
    <col min="11778" max="11778" width="12.13671875" customWidth="1"/>
    <col min="11779" max="11779" width="71.203125" customWidth="1"/>
    <col min="11780" max="11780" width="12.13671875" customWidth="1"/>
    <col min="11781" max="11781" width="27.23828125" customWidth="1"/>
    <col min="11782" max="11782" width="12.13671875" customWidth="1"/>
    <col min="11783" max="11783" width="22.25" customWidth="1"/>
    <col min="11784" max="11784" width="11.73046875" customWidth="1"/>
    <col min="12034" max="12034" width="12.13671875" customWidth="1"/>
    <col min="12035" max="12035" width="71.203125" customWidth="1"/>
    <col min="12036" max="12036" width="12.13671875" customWidth="1"/>
    <col min="12037" max="12037" width="27.23828125" customWidth="1"/>
    <col min="12038" max="12038" width="12.13671875" customWidth="1"/>
    <col min="12039" max="12039" width="22.25" customWidth="1"/>
    <col min="12040" max="12040" width="11.73046875" customWidth="1"/>
    <col min="12290" max="12290" width="12.13671875" customWidth="1"/>
    <col min="12291" max="12291" width="71.203125" customWidth="1"/>
    <col min="12292" max="12292" width="12.13671875" customWidth="1"/>
    <col min="12293" max="12293" width="27.23828125" customWidth="1"/>
    <col min="12294" max="12294" width="12.13671875" customWidth="1"/>
    <col min="12295" max="12295" width="22.25" customWidth="1"/>
    <col min="12296" max="12296" width="11.73046875" customWidth="1"/>
    <col min="12546" max="12546" width="12.13671875" customWidth="1"/>
    <col min="12547" max="12547" width="71.203125" customWidth="1"/>
    <col min="12548" max="12548" width="12.13671875" customWidth="1"/>
    <col min="12549" max="12549" width="27.23828125" customWidth="1"/>
    <col min="12550" max="12550" width="12.13671875" customWidth="1"/>
    <col min="12551" max="12551" width="22.25" customWidth="1"/>
    <col min="12552" max="12552" width="11.73046875" customWidth="1"/>
    <col min="12802" max="12802" width="12.13671875" customWidth="1"/>
    <col min="12803" max="12803" width="71.203125" customWidth="1"/>
    <col min="12804" max="12804" width="12.13671875" customWidth="1"/>
    <col min="12805" max="12805" width="27.23828125" customWidth="1"/>
    <col min="12806" max="12806" width="12.13671875" customWidth="1"/>
    <col min="12807" max="12807" width="22.25" customWidth="1"/>
    <col min="12808" max="12808" width="11.73046875" customWidth="1"/>
    <col min="13058" max="13058" width="12.13671875" customWidth="1"/>
    <col min="13059" max="13059" width="71.203125" customWidth="1"/>
    <col min="13060" max="13060" width="12.13671875" customWidth="1"/>
    <col min="13061" max="13061" width="27.23828125" customWidth="1"/>
    <col min="13062" max="13062" width="12.13671875" customWidth="1"/>
    <col min="13063" max="13063" width="22.25" customWidth="1"/>
    <col min="13064" max="13064" width="11.73046875" customWidth="1"/>
    <col min="13314" max="13314" width="12.13671875" customWidth="1"/>
    <col min="13315" max="13315" width="71.203125" customWidth="1"/>
    <col min="13316" max="13316" width="12.13671875" customWidth="1"/>
    <col min="13317" max="13317" width="27.23828125" customWidth="1"/>
    <col min="13318" max="13318" width="12.13671875" customWidth="1"/>
    <col min="13319" max="13319" width="22.25" customWidth="1"/>
    <col min="13320" max="13320" width="11.73046875" customWidth="1"/>
    <col min="13570" max="13570" width="12.13671875" customWidth="1"/>
    <col min="13571" max="13571" width="71.203125" customWidth="1"/>
    <col min="13572" max="13572" width="12.13671875" customWidth="1"/>
    <col min="13573" max="13573" width="27.23828125" customWidth="1"/>
    <col min="13574" max="13574" width="12.13671875" customWidth="1"/>
    <col min="13575" max="13575" width="22.25" customWidth="1"/>
    <col min="13576" max="13576" width="11.73046875" customWidth="1"/>
    <col min="13826" max="13826" width="12.13671875" customWidth="1"/>
    <col min="13827" max="13827" width="71.203125" customWidth="1"/>
    <col min="13828" max="13828" width="12.13671875" customWidth="1"/>
    <col min="13829" max="13829" width="27.23828125" customWidth="1"/>
    <col min="13830" max="13830" width="12.13671875" customWidth="1"/>
    <col min="13831" max="13831" width="22.25" customWidth="1"/>
    <col min="13832" max="13832" width="11.73046875" customWidth="1"/>
    <col min="14082" max="14082" width="12.13671875" customWidth="1"/>
    <col min="14083" max="14083" width="71.203125" customWidth="1"/>
    <col min="14084" max="14084" width="12.13671875" customWidth="1"/>
    <col min="14085" max="14085" width="27.23828125" customWidth="1"/>
    <col min="14086" max="14086" width="12.13671875" customWidth="1"/>
    <col min="14087" max="14087" width="22.25" customWidth="1"/>
    <col min="14088" max="14088" width="11.73046875" customWidth="1"/>
    <col min="14338" max="14338" width="12.13671875" customWidth="1"/>
    <col min="14339" max="14339" width="71.203125" customWidth="1"/>
    <col min="14340" max="14340" width="12.13671875" customWidth="1"/>
    <col min="14341" max="14341" width="27.23828125" customWidth="1"/>
    <col min="14342" max="14342" width="12.13671875" customWidth="1"/>
    <col min="14343" max="14343" width="22.25" customWidth="1"/>
    <col min="14344" max="14344" width="11.73046875" customWidth="1"/>
    <col min="14594" max="14594" width="12.13671875" customWidth="1"/>
    <col min="14595" max="14595" width="71.203125" customWidth="1"/>
    <col min="14596" max="14596" width="12.13671875" customWidth="1"/>
    <col min="14597" max="14597" width="27.23828125" customWidth="1"/>
    <col min="14598" max="14598" width="12.13671875" customWidth="1"/>
    <col min="14599" max="14599" width="22.25" customWidth="1"/>
    <col min="14600" max="14600" width="11.73046875" customWidth="1"/>
    <col min="14850" max="14850" width="12.13671875" customWidth="1"/>
    <col min="14851" max="14851" width="71.203125" customWidth="1"/>
    <col min="14852" max="14852" width="12.13671875" customWidth="1"/>
    <col min="14853" max="14853" width="27.23828125" customWidth="1"/>
    <col min="14854" max="14854" width="12.13671875" customWidth="1"/>
    <col min="14855" max="14855" width="22.25" customWidth="1"/>
    <col min="14856" max="14856" width="11.73046875" customWidth="1"/>
    <col min="15106" max="15106" width="12.13671875" customWidth="1"/>
    <col min="15107" max="15107" width="71.203125" customWidth="1"/>
    <col min="15108" max="15108" width="12.13671875" customWidth="1"/>
    <col min="15109" max="15109" width="27.23828125" customWidth="1"/>
    <col min="15110" max="15110" width="12.13671875" customWidth="1"/>
    <col min="15111" max="15111" width="22.25" customWidth="1"/>
    <col min="15112" max="15112" width="11.73046875" customWidth="1"/>
    <col min="15362" max="15362" width="12.13671875" customWidth="1"/>
    <col min="15363" max="15363" width="71.203125" customWidth="1"/>
    <col min="15364" max="15364" width="12.13671875" customWidth="1"/>
    <col min="15365" max="15365" width="27.23828125" customWidth="1"/>
    <col min="15366" max="15366" width="12.13671875" customWidth="1"/>
    <col min="15367" max="15367" width="22.25" customWidth="1"/>
    <col min="15368" max="15368" width="11.73046875" customWidth="1"/>
    <col min="15618" max="15618" width="12.13671875" customWidth="1"/>
    <col min="15619" max="15619" width="71.203125" customWidth="1"/>
    <col min="15620" max="15620" width="12.13671875" customWidth="1"/>
    <col min="15621" max="15621" width="27.23828125" customWidth="1"/>
    <col min="15622" max="15622" width="12.13671875" customWidth="1"/>
    <col min="15623" max="15623" width="22.25" customWidth="1"/>
    <col min="15624" max="15624" width="11.73046875" customWidth="1"/>
    <col min="15874" max="15874" width="12.13671875" customWidth="1"/>
    <col min="15875" max="15875" width="71.203125" customWidth="1"/>
    <col min="15876" max="15876" width="12.13671875" customWidth="1"/>
    <col min="15877" max="15877" width="27.23828125" customWidth="1"/>
    <col min="15878" max="15878" width="12.13671875" customWidth="1"/>
    <col min="15879" max="15879" width="22.25" customWidth="1"/>
    <col min="15880" max="15880" width="11.73046875" customWidth="1"/>
    <col min="16130" max="16130" width="12.13671875" customWidth="1"/>
    <col min="16131" max="16131" width="71.203125" customWidth="1"/>
    <col min="16132" max="16132" width="12.13671875" customWidth="1"/>
    <col min="16133" max="16133" width="27.23828125" customWidth="1"/>
    <col min="16134" max="16134" width="12.13671875" customWidth="1"/>
    <col min="16135" max="16135" width="22.25" customWidth="1"/>
    <col min="16136" max="16136" width="11.73046875" customWidth="1"/>
  </cols>
  <sheetData>
    <row r="1" spans="1:9" ht="10.9" customHeight="1" x14ac:dyDescent="0.15">
      <c r="A1" s="100" t="s">
        <v>0</v>
      </c>
      <c r="B1" s="100"/>
      <c r="C1" s="100"/>
      <c r="D1" s="100"/>
      <c r="E1" s="100"/>
      <c r="F1" s="1" t="s">
        <v>1</v>
      </c>
      <c r="G1" s="2">
        <v>45373.400760462966</v>
      </c>
      <c r="H1" s="2"/>
    </row>
    <row r="2" spans="1:9" ht="10.9" customHeight="1" x14ac:dyDescent="0.15">
      <c r="A2" s="100" t="s">
        <v>2</v>
      </c>
      <c r="B2" s="100"/>
      <c r="C2" s="100"/>
      <c r="D2" s="100"/>
      <c r="E2" s="100"/>
      <c r="F2" s="1" t="s">
        <v>3</v>
      </c>
      <c r="G2" s="3">
        <v>45373.400760462966</v>
      </c>
      <c r="H2" s="3"/>
    </row>
    <row r="3" spans="1:9" ht="10.9" customHeight="1" x14ac:dyDescent="0.15">
      <c r="A3" s="100" t="s">
        <v>4</v>
      </c>
      <c r="B3" s="100"/>
      <c r="C3" s="100"/>
      <c r="D3" s="100"/>
      <c r="E3" s="100"/>
      <c r="F3" s="1" t="s">
        <v>5</v>
      </c>
      <c r="G3" s="1">
        <v>1</v>
      </c>
      <c r="H3" s="1"/>
    </row>
    <row r="4" spans="1:9" ht="10.9" customHeight="1" x14ac:dyDescent="0.15">
      <c r="A4" s="101" t="s">
        <v>6</v>
      </c>
      <c r="B4" s="101"/>
      <c r="C4" s="101"/>
      <c r="D4" s="101"/>
      <c r="E4" s="101"/>
      <c r="F4" s="101"/>
      <c r="G4" s="101"/>
      <c r="H4" s="1"/>
    </row>
    <row r="5" spans="1:9" ht="10.9" customHeight="1" x14ac:dyDescent="0.15">
      <c r="A5" s="101" t="s">
        <v>7</v>
      </c>
      <c r="B5" s="101"/>
      <c r="C5" s="101"/>
      <c r="D5" s="101"/>
      <c r="E5" s="101"/>
      <c r="F5" s="101"/>
      <c r="G5" s="101"/>
      <c r="H5" s="1"/>
    </row>
    <row r="6" spans="1:9" ht="10.9" customHeight="1" x14ac:dyDescent="0.15">
      <c r="A6" s="99" t="s">
        <v>8</v>
      </c>
      <c r="B6" s="99"/>
      <c r="C6" s="99"/>
      <c r="D6" s="99"/>
      <c r="E6" s="99"/>
      <c r="F6" s="99"/>
      <c r="G6" s="99"/>
      <c r="H6" s="1"/>
    </row>
    <row r="7" spans="1:9" ht="13.15" customHeight="1" x14ac:dyDescent="0.15">
      <c r="A7" s="76" t="s">
        <v>9</v>
      </c>
      <c r="B7" s="76" t="s">
        <v>10</v>
      </c>
      <c r="C7" s="76" t="s">
        <v>11</v>
      </c>
      <c r="D7" s="76" t="s">
        <v>12</v>
      </c>
      <c r="E7" s="76" t="s">
        <v>13</v>
      </c>
      <c r="F7" s="76" t="s">
        <v>14</v>
      </c>
      <c r="G7" s="76" t="s">
        <v>15</v>
      </c>
      <c r="H7" s="4" t="s">
        <v>39</v>
      </c>
      <c r="I7" s="4" t="s">
        <v>465</v>
      </c>
    </row>
    <row r="8" spans="1:9" ht="19.899999999999999" customHeight="1" x14ac:dyDescent="0.15">
      <c r="A8" s="88" t="s">
        <v>616</v>
      </c>
      <c r="B8" s="88" t="s">
        <v>617</v>
      </c>
      <c r="C8" s="88" t="s">
        <v>618</v>
      </c>
      <c r="D8" s="88" t="s">
        <v>17</v>
      </c>
      <c r="E8" s="88" t="s">
        <v>619</v>
      </c>
      <c r="F8" s="88" t="s">
        <v>18</v>
      </c>
      <c r="G8" s="88" t="s">
        <v>620</v>
      </c>
      <c r="H8" s="69" t="str" cm="1">
        <f t="array" ref="H8">IF(A8&lt;&gt;"",_xlfn.XLOOKUP(_xlfn.NUMBERVALUE(A8),_xlfn.NUMBERVALUE(Inventários[Tombamento]),Inventários[Processo - localização específica]),"")</f>
        <v>Prédio - automação</v>
      </c>
      <c r="I8" s="69" t="str" cm="1">
        <f t="array" ref="I8">_xlfn.XLOOKUP(_xlfn.NUMBERVALUE(Carga[[#This Row],[Tombamento]]),_xlfn.NUMBERVALUE(Inventários[Tombamento]),Inventários[Descrição resumida do bem],"(A) Atenção Bem Não cadastrado")</f>
        <v xml:space="preserve"> MESA DE MADEIRA COM TROS GAVETAS DIM.0.70X1.20M</v>
      </c>
    </row>
    <row r="9" spans="1:9" ht="19.899999999999999" customHeight="1" x14ac:dyDescent="0.15">
      <c r="A9" s="88" t="s">
        <v>971</v>
      </c>
      <c r="B9" s="88" t="s">
        <v>972</v>
      </c>
      <c r="C9" s="88" t="s">
        <v>618</v>
      </c>
      <c r="D9" s="88" t="s">
        <v>17</v>
      </c>
      <c r="E9" s="88" t="s">
        <v>619</v>
      </c>
      <c r="F9" s="88" t="s">
        <v>18</v>
      </c>
      <c r="G9" s="88" t="s">
        <v>30</v>
      </c>
      <c r="H9" s="63" t="str" cm="1">
        <f t="array" ref="H9">IF(A9&lt;&gt;"",_xlfn.XLOOKUP(_xlfn.NUMBERVALUE(A9),_xlfn.NUMBERVALUE(Inventários[Tombamento]),Inventários[Processo - localização específica]),"")</f>
        <v>Prédio - oficina</v>
      </c>
      <c r="I9" s="1" t="str" cm="1">
        <f t="array" ref="I9">_xlfn.XLOOKUP(_xlfn.NUMBERVALUE(Carga[[#This Row],[Tombamento]]),_xlfn.NUMBERVALUE(Inventários[Tombamento]),Inventários[Descrição resumida do bem],"(A) Atenção Bem Não cadastrado")</f>
        <v>MISTURADOR MISTURADOR SUBMERSÍVEL 380V, COM MOTOR DE 2,2 KW, TENSÃO DE LIGAÇÃO 220/380/440V. MARCA ABS. Nº DE SÉRIE: 000400.</v>
      </c>
    </row>
    <row r="10" spans="1:9" ht="19.899999999999999" customHeight="1" x14ac:dyDescent="0.15">
      <c r="A10" s="88" t="s">
        <v>621</v>
      </c>
      <c r="B10" s="88" t="s">
        <v>16</v>
      </c>
      <c r="C10" s="88" t="s">
        <v>618</v>
      </c>
      <c r="D10" s="88" t="s">
        <v>17</v>
      </c>
      <c r="E10" s="88" t="s">
        <v>619</v>
      </c>
      <c r="F10" s="88" t="s">
        <v>18</v>
      </c>
      <c r="G10" s="88" t="s">
        <v>19</v>
      </c>
      <c r="H10" s="63" t="str" cm="1">
        <f t="array" ref="H10">IF(A10&lt;&gt;"",_xlfn.XLOOKUP(_xlfn.NUMBERVALUE(A10),_xlfn.NUMBERVALUE(Inventários[Tombamento]),Inventários[Processo - localização específica]),"")</f>
        <v>Prédio - secretaria</v>
      </c>
      <c r="I10" s="1" t="str" cm="1">
        <f t="array" ref="I10">_xlfn.XLOOKUP(_xlfn.NUMBERVALUE(Carga[[#This Row],[Tombamento]]),_xlfn.NUMBERVALUE(Inventários[Tombamento]),Inventários[Descrição resumida do bem],"(A) Atenção Bem Não cadastrado")</f>
        <v xml:space="preserve"> POLTRONA PARA POSTO DE TRABALHO GERENCIA</v>
      </c>
    </row>
    <row r="11" spans="1:9" ht="19.899999999999999" customHeight="1" x14ac:dyDescent="0.15">
      <c r="A11" s="88" t="s">
        <v>622</v>
      </c>
      <c r="B11" s="88" t="s">
        <v>16</v>
      </c>
      <c r="C11" s="88" t="s">
        <v>618</v>
      </c>
      <c r="D11" s="88" t="s">
        <v>17</v>
      </c>
      <c r="E11" s="88" t="s">
        <v>619</v>
      </c>
      <c r="F11" s="88" t="s">
        <v>18</v>
      </c>
      <c r="G11" s="88" t="s">
        <v>19</v>
      </c>
      <c r="H11" s="63" t="str" cm="1">
        <f t="array" ref="H11">IF(A11&lt;&gt;"",_xlfn.XLOOKUP(_xlfn.NUMBERVALUE(A11),_xlfn.NUMBERVALUE(Inventários[Tombamento]),Inventários[Processo - localização específica]),"")</f>
        <v>Prédio - laboratório</v>
      </c>
      <c r="I11" s="1" t="str" cm="1">
        <f t="array" ref="I11">_xlfn.XLOOKUP(_xlfn.NUMBERVALUE(Carga[[#This Row],[Tombamento]]),_xlfn.NUMBERVALUE(Inventários[Tombamento]),Inventários[Descrição resumida do bem],"(A) Atenção Bem Não cadastrado")</f>
        <v xml:space="preserve"> POLTRONA PARA POSTO DE TRABALHO GERENCIA</v>
      </c>
    </row>
    <row r="12" spans="1:9" ht="19.899999999999999" customHeight="1" x14ac:dyDescent="0.15">
      <c r="A12" s="88" t="s">
        <v>623</v>
      </c>
      <c r="B12" s="88" t="s">
        <v>16</v>
      </c>
      <c r="C12" s="88" t="s">
        <v>618</v>
      </c>
      <c r="D12" s="88" t="s">
        <v>17</v>
      </c>
      <c r="E12" s="88" t="s">
        <v>619</v>
      </c>
      <c r="F12" s="88" t="s">
        <v>18</v>
      </c>
      <c r="G12" s="88" t="s">
        <v>19</v>
      </c>
      <c r="H12" s="63" t="str" cm="1">
        <f t="array" ref="H12">IF(A12&lt;&gt;"",_xlfn.XLOOKUP(_xlfn.NUMBERVALUE(A12),_xlfn.NUMBERVALUE(Inventários[Tombamento]),Inventários[Processo - localização específica]),"")</f>
        <v>Prédio - gerência</v>
      </c>
      <c r="I12" s="1" t="str" cm="1">
        <f t="array" ref="I12">_xlfn.XLOOKUP(_xlfn.NUMBERVALUE(Carga[[#This Row],[Tombamento]]),_xlfn.NUMBERVALUE(Inventários[Tombamento]),Inventários[Descrição resumida do bem],"(A) Atenção Bem Não cadastrado")</f>
        <v xml:space="preserve"> POLTRONA PARA POSTO DE TRABALHO GERENCIA</v>
      </c>
    </row>
    <row r="13" spans="1:9" ht="19.899999999999999" customHeight="1" x14ac:dyDescent="0.15">
      <c r="A13" s="88" t="s">
        <v>624</v>
      </c>
      <c r="B13" s="88" t="s">
        <v>20</v>
      </c>
      <c r="C13" s="88" t="s">
        <v>618</v>
      </c>
      <c r="D13" s="88" t="s">
        <v>17</v>
      </c>
      <c r="E13" s="88" t="s">
        <v>619</v>
      </c>
      <c r="F13" s="88" t="s">
        <v>18</v>
      </c>
      <c r="G13" s="88" t="s">
        <v>19</v>
      </c>
      <c r="H13" s="63" t="str" cm="1">
        <f t="array" ref="H13">IF(A13&lt;&gt;"",_xlfn.XLOOKUP(_xlfn.NUMBERVALUE(A13),_xlfn.NUMBERVALUE(Inventários[Tombamento]),Inventários[Processo - localização específica]),"")</f>
        <v>Prédio - elétrica</v>
      </c>
      <c r="I13" s="1" t="str" cm="1">
        <f t="array" ref="I13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14" spans="1:9" ht="19.899999999999999" customHeight="1" x14ac:dyDescent="0.15">
      <c r="A14" s="88" t="s">
        <v>625</v>
      </c>
      <c r="B14" s="88" t="s">
        <v>20</v>
      </c>
      <c r="C14" s="88" t="s">
        <v>618</v>
      </c>
      <c r="D14" s="88" t="s">
        <v>17</v>
      </c>
      <c r="E14" s="88" t="s">
        <v>619</v>
      </c>
      <c r="F14" s="88" t="s">
        <v>18</v>
      </c>
      <c r="G14" s="88" t="s">
        <v>19</v>
      </c>
      <c r="H14" s="63" t="str" cm="1">
        <f t="array" ref="H14">IF(A14&lt;&gt;"",_xlfn.XLOOKUP(_xlfn.NUMBERVALUE(A14),_xlfn.NUMBERVALUE(Inventários[Tombamento]),Inventários[Processo - localização específica]),"")</f>
        <v>Prédio - gerência</v>
      </c>
      <c r="I14" s="1" t="str" cm="1">
        <f t="array" ref="I14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15" spans="1:9" ht="19.899999999999999" customHeight="1" x14ac:dyDescent="0.15">
      <c r="A15" s="88" t="s">
        <v>626</v>
      </c>
      <c r="B15" s="88" t="s">
        <v>20</v>
      </c>
      <c r="C15" s="88" t="s">
        <v>618</v>
      </c>
      <c r="D15" s="88" t="s">
        <v>17</v>
      </c>
      <c r="E15" s="88" t="s">
        <v>619</v>
      </c>
      <c r="F15" s="88" t="s">
        <v>18</v>
      </c>
      <c r="G15" s="88" t="s">
        <v>19</v>
      </c>
      <c r="H15" s="63" t="str" cm="1">
        <f t="array" ref="H15">IF(A15&lt;&gt;"",_xlfn.XLOOKUP(_xlfn.NUMBERVALUE(A15),_xlfn.NUMBERVALUE(Inventários[Tombamento]),Inventários[Processo - localização específica]),"")</f>
        <v>Prédio - depósito de bens</v>
      </c>
      <c r="I15" s="1" t="str" cm="1">
        <f t="array" ref="I15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16" spans="1:9" ht="19.899999999999999" customHeight="1" x14ac:dyDescent="0.15">
      <c r="A16" s="88" t="s">
        <v>627</v>
      </c>
      <c r="B16" s="88" t="s">
        <v>20</v>
      </c>
      <c r="C16" s="88" t="s">
        <v>618</v>
      </c>
      <c r="D16" s="88" t="s">
        <v>17</v>
      </c>
      <c r="E16" s="88" t="s">
        <v>619</v>
      </c>
      <c r="F16" s="88" t="s">
        <v>18</v>
      </c>
      <c r="G16" s="88" t="s">
        <v>19</v>
      </c>
      <c r="H16" s="63" t="str" cm="1">
        <f t="array" ref="H16">IF(A16&lt;&gt;"",_xlfn.XLOOKUP(_xlfn.NUMBERVALUE(A16),_xlfn.NUMBERVALUE(Inventários[Tombamento]),Inventários[Processo - localização específica]),"")</f>
        <v>Prédio - gerência</v>
      </c>
      <c r="I16" s="1" t="str" cm="1">
        <f t="array" ref="I16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17" spans="1:9" ht="19.899999999999999" customHeight="1" x14ac:dyDescent="0.15">
      <c r="A17" s="88" t="s">
        <v>628</v>
      </c>
      <c r="B17" s="88" t="s">
        <v>20</v>
      </c>
      <c r="C17" s="88" t="s">
        <v>618</v>
      </c>
      <c r="D17" s="88" t="s">
        <v>17</v>
      </c>
      <c r="E17" s="88" t="s">
        <v>619</v>
      </c>
      <c r="F17" s="88" t="s">
        <v>18</v>
      </c>
      <c r="G17" s="88" t="s">
        <v>19</v>
      </c>
      <c r="H17" s="63" t="str" cm="1">
        <f t="array" ref="H17">IF(A17&lt;&gt;"",_xlfn.XLOOKUP(_xlfn.NUMBERVALUE(A17),_xlfn.NUMBERVALUE(Inventários[Tombamento]),Inventários[Processo - localização específica]),"")</f>
        <v>Prédio - coordenador</v>
      </c>
      <c r="I17" s="1" t="str" cm="1">
        <f t="array" ref="I17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18" spans="1:9" ht="19.899999999999999" customHeight="1" x14ac:dyDescent="0.15">
      <c r="A18" s="88" t="s">
        <v>629</v>
      </c>
      <c r="B18" s="88" t="s">
        <v>20</v>
      </c>
      <c r="C18" s="88" t="s">
        <v>618</v>
      </c>
      <c r="D18" s="88" t="s">
        <v>17</v>
      </c>
      <c r="E18" s="88" t="s">
        <v>619</v>
      </c>
      <c r="F18" s="88" t="s">
        <v>18</v>
      </c>
      <c r="G18" s="88" t="s">
        <v>19</v>
      </c>
      <c r="H18" s="63" t="str" cm="1">
        <f t="array" ref="H18">IF(A18&lt;&gt;"",_xlfn.XLOOKUP(_xlfn.NUMBERVALUE(A18),_xlfn.NUMBERVALUE(Inventários[Tombamento]),Inventários[Processo - localização específica]),"")</f>
        <v>Prédio - gerência</v>
      </c>
      <c r="I18" s="1" t="str" cm="1">
        <f t="array" ref="I18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19" spans="1:9" ht="19.899999999999999" customHeight="1" x14ac:dyDescent="0.15">
      <c r="A19" s="88" t="s">
        <v>630</v>
      </c>
      <c r="B19" s="88" t="s">
        <v>20</v>
      </c>
      <c r="C19" s="88" t="s">
        <v>618</v>
      </c>
      <c r="D19" s="88" t="s">
        <v>17</v>
      </c>
      <c r="E19" s="88" t="s">
        <v>619</v>
      </c>
      <c r="F19" s="88" t="s">
        <v>18</v>
      </c>
      <c r="G19" s="88" t="s">
        <v>19</v>
      </c>
      <c r="H19" s="63" t="str" cm="1">
        <f t="array" ref="H19">IF(A19&lt;&gt;"",_xlfn.XLOOKUP(_xlfn.NUMBERVALUE(A19),_xlfn.NUMBERVALUE(Inventários[Tombamento]),Inventários[Processo - localização específica]),"")</f>
        <v>Prédio - gerência</v>
      </c>
      <c r="I19" s="1" t="str" cm="1">
        <f t="array" ref="I19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0" spans="1:9" ht="19.899999999999999" customHeight="1" x14ac:dyDescent="0.15">
      <c r="A20" s="88" t="s">
        <v>631</v>
      </c>
      <c r="B20" s="88" t="s">
        <v>20</v>
      </c>
      <c r="C20" s="88" t="s">
        <v>618</v>
      </c>
      <c r="D20" s="88" t="s">
        <v>17</v>
      </c>
      <c r="E20" s="88" t="s">
        <v>619</v>
      </c>
      <c r="F20" s="88" t="s">
        <v>18</v>
      </c>
      <c r="G20" s="88" t="s">
        <v>19</v>
      </c>
      <c r="H20" s="63" t="str" cm="1">
        <f t="array" ref="H20">IF(A20&lt;&gt;"",_xlfn.XLOOKUP(_xlfn.NUMBERVALUE(A20),_xlfn.NUMBERVALUE(Inventários[Tombamento]),Inventários[Processo - localização específica]),"")</f>
        <v>Prédio - gerência</v>
      </c>
      <c r="I20" s="1" t="str" cm="1">
        <f t="array" ref="I20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1" spans="1:9" ht="19.899999999999999" customHeight="1" x14ac:dyDescent="0.15">
      <c r="A21" s="88" t="s">
        <v>632</v>
      </c>
      <c r="B21" s="88" t="s">
        <v>20</v>
      </c>
      <c r="C21" s="88" t="s">
        <v>618</v>
      </c>
      <c r="D21" s="88" t="s">
        <v>17</v>
      </c>
      <c r="E21" s="88" t="s">
        <v>619</v>
      </c>
      <c r="F21" s="88" t="s">
        <v>18</v>
      </c>
      <c r="G21" s="88" t="s">
        <v>19</v>
      </c>
      <c r="H21" s="63" t="str" cm="1">
        <f t="array" ref="H21">IF(A21&lt;&gt;"",_xlfn.XLOOKUP(_xlfn.NUMBERVALUE(A21),_xlfn.NUMBERVALUE(Inventários[Tombamento]),Inventários[Processo - localização específica]),"")</f>
        <v>Prédio - gerência</v>
      </c>
      <c r="I21" s="1" t="str" cm="1">
        <f t="array" ref="I21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2" spans="1:9" ht="19.899999999999999" customHeight="1" x14ac:dyDescent="0.15">
      <c r="A22" s="88" t="s">
        <v>633</v>
      </c>
      <c r="B22" s="88" t="s">
        <v>20</v>
      </c>
      <c r="C22" s="88" t="s">
        <v>618</v>
      </c>
      <c r="D22" s="88" t="s">
        <v>17</v>
      </c>
      <c r="E22" s="88" t="s">
        <v>619</v>
      </c>
      <c r="F22" s="88" t="s">
        <v>18</v>
      </c>
      <c r="G22" s="88" t="s">
        <v>19</v>
      </c>
      <c r="H22" s="63" t="str" cm="1">
        <f t="array" ref="H22">IF(A22&lt;&gt;"",_xlfn.XLOOKUP(_xlfn.NUMBERVALUE(A22),_xlfn.NUMBERVALUE(Inventários[Tombamento]),Inventários[Processo - localização específica]),"")</f>
        <v>Prédio - gerência</v>
      </c>
      <c r="I22" s="1" t="str" cm="1">
        <f t="array" ref="I22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3" spans="1:9" ht="19.899999999999999" customHeight="1" x14ac:dyDescent="0.15">
      <c r="A23" s="88" t="s">
        <v>634</v>
      </c>
      <c r="B23" s="88" t="s">
        <v>20</v>
      </c>
      <c r="C23" s="88" t="s">
        <v>618</v>
      </c>
      <c r="D23" s="88" t="s">
        <v>17</v>
      </c>
      <c r="E23" s="88" t="s">
        <v>619</v>
      </c>
      <c r="F23" s="88" t="s">
        <v>18</v>
      </c>
      <c r="G23" s="88" t="s">
        <v>19</v>
      </c>
      <c r="H23" s="63" t="str" cm="1">
        <f t="array" ref="H23">IF(A23&lt;&gt;"",_xlfn.XLOOKUP(_xlfn.NUMBERVALUE(A23),_xlfn.NUMBERVALUE(Inventários[Tombamento]),Inventários[Processo - localização específica]),"")</f>
        <v>Prédio - elétrica</v>
      </c>
      <c r="I23" s="1" t="str" cm="1">
        <f t="array" ref="I23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4" spans="1:9" ht="19.899999999999999" customHeight="1" x14ac:dyDescent="0.15">
      <c r="A24" s="88" t="s">
        <v>635</v>
      </c>
      <c r="B24" s="88" t="s">
        <v>20</v>
      </c>
      <c r="C24" s="88" t="s">
        <v>618</v>
      </c>
      <c r="D24" s="88" t="s">
        <v>17</v>
      </c>
      <c r="E24" s="88" t="s">
        <v>619</v>
      </c>
      <c r="F24" s="88" t="s">
        <v>18</v>
      </c>
      <c r="G24" s="88" t="s">
        <v>19</v>
      </c>
      <c r="H24" s="63" t="str" cm="1">
        <f t="array" ref="H24">IF(A24&lt;&gt;"",_xlfn.XLOOKUP(_xlfn.NUMBERVALUE(A24),_xlfn.NUMBERVALUE(Inventários[Tombamento]),Inventários[Processo - localização específica]),"")</f>
        <v>Prédio - gerência</v>
      </c>
      <c r="I24" s="1" t="str" cm="1">
        <f t="array" ref="I24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5" spans="1:9" ht="19.899999999999999" customHeight="1" x14ac:dyDescent="0.15">
      <c r="A25" s="88" t="s">
        <v>636</v>
      </c>
      <c r="B25" s="88" t="s">
        <v>20</v>
      </c>
      <c r="C25" s="88" t="s">
        <v>618</v>
      </c>
      <c r="D25" s="88" t="s">
        <v>17</v>
      </c>
      <c r="E25" s="88" t="s">
        <v>619</v>
      </c>
      <c r="F25" s="88" t="s">
        <v>18</v>
      </c>
      <c r="G25" s="88" t="s">
        <v>19</v>
      </c>
      <c r="H25" s="63" t="str" cm="1">
        <f t="array" ref="H25">IF(A25&lt;&gt;"",_xlfn.XLOOKUP(_xlfn.NUMBERVALUE(A25),_xlfn.NUMBERVALUE(Inventários[Tombamento]),Inventários[Processo - localização específica]),"")</f>
        <v>Prédio - gerência</v>
      </c>
      <c r="I25" s="1" t="str" cm="1">
        <f t="array" ref="I25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6" spans="1:9" ht="19.899999999999999" customHeight="1" x14ac:dyDescent="0.15">
      <c r="A26" s="88" t="s">
        <v>637</v>
      </c>
      <c r="B26" s="88" t="s">
        <v>20</v>
      </c>
      <c r="C26" s="88" t="s">
        <v>618</v>
      </c>
      <c r="D26" s="88" t="s">
        <v>17</v>
      </c>
      <c r="E26" s="88" t="s">
        <v>619</v>
      </c>
      <c r="F26" s="88" t="s">
        <v>18</v>
      </c>
      <c r="G26" s="88" t="s">
        <v>19</v>
      </c>
      <c r="H26" s="63" t="str" cm="1">
        <f t="array" ref="H26">IF(A26&lt;&gt;"",_xlfn.XLOOKUP(_xlfn.NUMBERVALUE(A26),_xlfn.NUMBERVALUE(Inventários[Tombamento]),Inventários[Processo - localização específica]),"")</f>
        <v>Prédio - depósito de bens</v>
      </c>
      <c r="I26" s="1" t="str" cm="1">
        <f t="array" ref="I26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7" spans="1:9" ht="19.899999999999999" customHeight="1" x14ac:dyDescent="0.15">
      <c r="A27" s="88" t="s">
        <v>638</v>
      </c>
      <c r="B27" s="88" t="s">
        <v>20</v>
      </c>
      <c r="C27" s="88" t="s">
        <v>618</v>
      </c>
      <c r="D27" s="88" t="s">
        <v>17</v>
      </c>
      <c r="E27" s="88" t="s">
        <v>619</v>
      </c>
      <c r="F27" s="88" t="s">
        <v>18</v>
      </c>
      <c r="G27" s="88" t="s">
        <v>19</v>
      </c>
      <c r="H27" s="63" t="str" cm="1">
        <f t="array" ref="H27">IF(A27&lt;&gt;"",_xlfn.XLOOKUP(_xlfn.NUMBERVALUE(A27),_xlfn.NUMBERVALUE(Inventários[Tombamento]),Inventários[Processo - localização específica]),"")</f>
        <v>Prédio - gerência</v>
      </c>
      <c r="I27" s="1" t="str" cm="1">
        <f t="array" ref="I27">_xlfn.XLOOKUP(_xlfn.NUMBERVALUE(Carga[[#This Row],[Tombamento]]),_xlfn.NUMBERVALUE(Inventários[Tombamento]),Inventários[Descrição resumida do bem],"(A) Atenção Bem Não cadastrado")</f>
        <v xml:space="preserve"> POLTRONA PARA INTERLOCUTOR REUNIÃO</v>
      </c>
    </row>
    <row r="28" spans="1:9" ht="19.899999999999999" customHeight="1" x14ac:dyDescent="0.15">
      <c r="A28" s="88" t="s">
        <v>282</v>
      </c>
      <c r="B28" s="88" t="s">
        <v>283</v>
      </c>
      <c r="C28" s="88" t="s">
        <v>618</v>
      </c>
      <c r="D28" s="88" t="s">
        <v>17</v>
      </c>
      <c r="E28" s="88" t="s">
        <v>619</v>
      </c>
      <c r="F28" s="88" t="s">
        <v>18</v>
      </c>
      <c r="G28" s="88" t="s">
        <v>19</v>
      </c>
      <c r="H28" s="63" t="str" cm="1">
        <f t="array" ref="H28">IF(A28&lt;&gt;"",_xlfn.XLOOKUP(_xlfn.NUMBERVALUE(A28),_xlfn.NUMBERVALUE(Inventários[Tombamento]),Inventários[Processo - localização específica]),"")</f>
        <v>Prédio - operação</v>
      </c>
      <c r="I28" s="1" t="str" cm="1">
        <f t="array" ref="I28">_xlfn.XLOOKUP(_xlfn.NUMBERVALUE(Carga[[#This Row],[Tombamento]]),_xlfn.NUMBERVALUE(Inventários[Tombamento]),Inventários[Descrição resumida do bem],"(A) Atenção Bem Não cadastrado")</f>
        <v>HUB / SWITCH / ROTEADOR / RADIO ROUTER HPE MSR1003</v>
      </c>
    </row>
    <row r="29" spans="1:9" ht="19.899999999999999" customHeight="1" x14ac:dyDescent="0.15">
      <c r="A29" s="88" t="s">
        <v>284</v>
      </c>
      <c r="B29" s="88" t="s">
        <v>285</v>
      </c>
      <c r="C29" s="88" t="s">
        <v>618</v>
      </c>
      <c r="D29" s="88" t="s">
        <v>17</v>
      </c>
      <c r="E29" s="88" t="s">
        <v>619</v>
      </c>
      <c r="F29" s="88" t="s">
        <v>18</v>
      </c>
      <c r="G29" s="88" t="s">
        <v>19</v>
      </c>
      <c r="H29" s="63" t="str" cm="1">
        <f t="array" ref="H29">IF(A29&lt;&gt;"",_xlfn.XLOOKUP(_xlfn.NUMBERVALUE(A29),_xlfn.NUMBERVALUE(Inventários[Tombamento]),Inventários[Processo - localização específica]),"")</f>
        <v>EAT - sala painel view</v>
      </c>
      <c r="I29" s="1" t="str" cm="1">
        <f t="array" ref="I29">_xlfn.XLOOKUP(_xlfn.NUMBERVALUE(Carga[[#This Row],[Tombamento]]),_xlfn.NUMBERVALUE(Inventários[Tombamento]),Inventários[Descrição resumida do bem],"(A) Atenção Bem Não cadastrado")</f>
        <v>RACK RACK DE PAREDE</v>
      </c>
    </row>
    <row r="30" spans="1:9" ht="19.899999999999999" customHeight="1" x14ac:dyDescent="0.15">
      <c r="A30" s="88" t="s">
        <v>286</v>
      </c>
      <c r="B30" s="88" t="s">
        <v>287</v>
      </c>
      <c r="C30" s="88" t="s">
        <v>618</v>
      </c>
      <c r="D30" s="88" t="s">
        <v>17</v>
      </c>
      <c r="E30" s="88" t="s">
        <v>619</v>
      </c>
      <c r="F30" s="88" t="s">
        <v>18</v>
      </c>
      <c r="G30" s="88" t="s">
        <v>19</v>
      </c>
      <c r="H30" s="63" t="str" cm="1">
        <f t="array" ref="H30">IF(A30&lt;&gt;"",_xlfn.XLOOKUP(_xlfn.NUMBERVALUE(A30),_xlfn.NUMBERVALUE(Inventários[Tombamento]),Inventários[Processo - localização específica]),"")</f>
        <v>Torre de transmissão</v>
      </c>
      <c r="I30" s="1" t="str" cm="1">
        <f t="array" ref="I30">_xlfn.XLOOKUP(_xlfn.NUMBERVALUE(Carga[[#This Row],[Tombamento]]),_xlfn.NUMBERVALUE(Inventários[Tombamento]),Inventários[Descrição resumida do bem],"(A) Atenção Bem Não cadastrado")</f>
        <v>APARELHO COMUNICAÇÃO RADIO COMUNICADOR</v>
      </c>
    </row>
    <row r="31" spans="1:9" ht="19.899999999999999" customHeight="1" x14ac:dyDescent="0.15">
      <c r="A31" s="88" t="s">
        <v>639</v>
      </c>
      <c r="B31" s="88" t="s">
        <v>21</v>
      </c>
      <c r="C31" s="88" t="s">
        <v>618</v>
      </c>
      <c r="D31" s="88" t="s">
        <v>17</v>
      </c>
      <c r="E31" s="88" t="s">
        <v>619</v>
      </c>
      <c r="F31" s="88" t="s">
        <v>18</v>
      </c>
      <c r="G31" s="88" t="s">
        <v>19</v>
      </c>
      <c r="H31" s="63" t="str" cm="1">
        <f t="array" ref="H31">IF(A31&lt;&gt;"",_xlfn.XLOOKUP(_xlfn.NUMBERVALUE(A31),_xlfn.NUMBERVALUE(Inventários[Tombamento]),Inventários[Processo - localização específica]),"")</f>
        <v>Prédio - gerência</v>
      </c>
      <c r="I31" s="1" t="str" cm="1">
        <f t="array" ref="I31">_xlfn.XLOOKUP(_xlfn.NUMBERVALUE(Carga[[#This Row],[Tombamento]]),_xlfn.NUMBERVALUE(Inventários[Tombamento]),Inventários[Descrição resumida do bem],"(A) Atenção Bem Não cadastrado")</f>
        <v xml:space="preserve"> MESA REUNIÃO OVAL 12 LUGARES</v>
      </c>
    </row>
    <row r="32" spans="1:9" ht="19.899999999999999" customHeight="1" x14ac:dyDescent="0.15">
      <c r="A32" s="88" t="s">
        <v>640</v>
      </c>
      <c r="B32" s="88" t="s">
        <v>22</v>
      </c>
      <c r="C32" s="88" t="s">
        <v>618</v>
      </c>
      <c r="D32" s="88" t="s">
        <v>17</v>
      </c>
      <c r="E32" s="88" t="s">
        <v>619</v>
      </c>
      <c r="F32" s="88" t="s">
        <v>18</v>
      </c>
      <c r="G32" s="88" t="s">
        <v>19</v>
      </c>
      <c r="H32" s="63" t="str" cm="1">
        <f t="array" ref="H32">IF(A32&lt;&gt;"",_xlfn.XLOOKUP(_xlfn.NUMBERVALUE(A32),_xlfn.NUMBERVALUE(Inventários[Tombamento]),Inventários[Processo - localização específica]),"")</f>
        <v>Prédio - coordenador</v>
      </c>
      <c r="I32" s="1" t="str" cm="1">
        <f t="array" ref="I32">_xlfn.XLOOKUP(_xlfn.NUMBERVALUE(Carga[[#This Row],[Tombamento]]),_xlfn.NUMBERVALUE(Inventários[Tombamento]),Inventários[Descrição resumida do bem],"(A) Atenção Bem Não cadastrado")</f>
        <v>ARMARIO MEDIO</v>
      </c>
    </row>
    <row r="33" spans="1:9" ht="19.899999999999999" customHeight="1" x14ac:dyDescent="0.15">
      <c r="A33" s="88" t="s">
        <v>288</v>
      </c>
      <c r="B33" s="88" t="s">
        <v>22</v>
      </c>
      <c r="C33" s="88" t="s">
        <v>618</v>
      </c>
      <c r="D33" s="88" t="s">
        <v>17</v>
      </c>
      <c r="E33" s="88" t="s">
        <v>619</v>
      </c>
      <c r="F33" s="88" t="s">
        <v>18</v>
      </c>
      <c r="G33" s="88" t="s">
        <v>19</v>
      </c>
      <c r="H33" s="63" t="str" cm="1">
        <f t="array" ref="H33">IF(A33&lt;&gt;"",_xlfn.XLOOKUP(_xlfn.NUMBERVALUE(A33),_xlfn.NUMBERVALUE(Inventários[Tombamento]),Inventários[Processo - localização específica]),"")</f>
        <v>Prédio - gerência</v>
      </c>
      <c r="I33" s="1" t="str" cm="1">
        <f t="array" ref="I33">_xlfn.XLOOKUP(_xlfn.NUMBERVALUE(Carga[[#This Row],[Tombamento]]),_xlfn.NUMBERVALUE(Inventários[Tombamento]),Inventários[Descrição resumida do bem],"(A) Atenção Bem Não cadastrado")</f>
        <v>ARMARIO MEDIO</v>
      </c>
    </row>
    <row r="34" spans="1:9" ht="19.899999999999999" customHeight="1" x14ac:dyDescent="0.15">
      <c r="A34" s="88" t="s">
        <v>641</v>
      </c>
      <c r="B34" s="88" t="s">
        <v>22</v>
      </c>
      <c r="C34" s="88" t="s">
        <v>618</v>
      </c>
      <c r="D34" s="88" t="s">
        <v>17</v>
      </c>
      <c r="E34" s="88" t="s">
        <v>619</v>
      </c>
      <c r="F34" s="88" t="s">
        <v>18</v>
      </c>
      <c r="G34" s="88" t="s">
        <v>19</v>
      </c>
      <c r="H34" s="63" t="str" cm="1">
        <f t="array" ref="H34">IF(A34&lt;&gt;"",_xlfn.XLOOKUP(_xlfn.NUMBERVALUE(A34),_xlfn.NUMBERVALUE(Inventários[Tombamento]),Inventários[Processo - localização específica]),"")</f>
        <v>Prédio - operação</v>
      </c>
      <c r="I34" s="1" t="str" cm="1">
        <f t="array" ref="I34">_xlfn.XLOOKUP(_xlfn.NUMBERVALUE(Carga[[#This Row],[Tombamento]]),_xlfn.NUMBERVALUE(Inventários[Tombamento]),Inventários[Descrição resumida do bem],"(A) Atenção Bem Não cadastrado")</f>
        <v>ARMARIO MEDIO</v>
      </c>
    </row>
    <row r="35" spans="1:9" ht="19.899999999999999" customHeight="1" x14ac:dyDescent="0.15">
      <c r="A35" s="88" t="s">
        <v>642</v>
      </c>
      <c r="B35" s="88" t="s">
        <v>22</v>
      </c>
      <c r="C35" s="88" t="s">
        <v>618</v>
      </c>
      <c r="D35" s="88" t="s">
        <v>17</v>
      </c>
      <c r="E35" s="88" t="s">
        <v>619</v>
      </c>
      <c r="F35" s="88" t="s">
        <v>18</v>
      </c>
      <c r="G35" s="88" t="s">
        <v>19</v>
      </c>
      <c r="H35" s="63" t="str" cm="1">
        <f t="array" ref="H35">IF(A35&lt;&gt;"",_xlfn.XLOOKUP(_xlfn.NUMBERVALUE(A35),_xlfn.NUMBERVALUE(Inventários[Tombamento]),Inventários[Processo - localização específica]),"")</f>
        <v>Prédio - secretaria</v>
      </c>
      <c r="I35" s="1" t="str" cm="1">
        <f t="array" ref="I35">_xlfn.XLOOKUP(_xlfn.NUMBERVALUE(Carga[[#This Row],[Tombamento]]),_xlfn.NUMBERVALUE(Inventários[Tombamento]),Inventários[Descrição resumida do bem],"(A) Atenção Bem Não cadastrado")</f>
        <v>ARMARIO MEDIO</v>
      </c>
    </row>
    <row r="36" spans="1:9" ht="19.899999999999999" customHeight="1" x14ac:dyDescent="0.15">
      <c r="A36" s="88" t="s">
        <v>643</v>
      </c>
      <c r="B36" s="88" t="s">
        <v>22</v>
      </c>
      <c r="C36" s="88" t="s">
        <v>618</v>
      </c>
      <c r="D36" s="88" t="s">
        <v>17</v>
      </c>
      <c r="E36" s="88" t="s">
        <v>619</v>
      </c>
      <c r="F36" s="88" t="s">
        <v>18</v>
      </c>
      <c r="G36" s="88" t="s">
        <v>19</v>
      </c>
      <c r="H36" s="63" t="str" cm="1">
        <f t="array" ref="H36">IF(A36&lt;&gt;"",_xlfn.XLOOKUP(_xlfn.NUMBERVALUE(A36),_xlfn.NUMBERVALUE(Inventários[Tombamento]),Inventários[Processo - localização específica]),"")</f>
        <v>Prédio - servidor</v>
      </c>
      <c r="I36" s="1" t="str" cm="1">
        <f t="array" ref="I36">_xlfn.XLOOKUP(_xlfn.NUMBERVALUE(Carga[[#This Row],[Tombamento]]),_xlfn.NUMBERVALUE(Inventários[Tombamento]),Inventários[Descrição resumida do bem],"(A) Atenção Bem Não cadastrado")</f>
        <v>ARMARIO MEDIO</v>
      </c>
    </row>
    <row r="37" spans="1:9" ht="19.899999999999999" customHeight="1" x14ac:dyDescent="0.15">
      <c r="A37" s="88" t="s">
        <v>644</v>
      </c>
      <c r="B37" s="88" t="s">
        <v>22</v>
      </c>
      <c r="C37" s="88" t="s">
        <v>618</v>
      </c>
      <c r="D37" s="88" t="s">
        <v>17</v>
      </c>
      <c r="E37" s="88" t="s">
        <v>619</v>
      </c>
      <c r="F37" s="88" t="s">
        <v>18</v>
      </c>
      <c r="G37" s="88" t="s">
        <v>19</v>
      </c>
      <c r="H37" s="63" t="str" cm="1">
        <f t="array" ref="H37">IF(A37&lt;&gt;"",_xlfn.XLOOKUP(_xlfn.NUMBERVALUE(A37),_xlfn.NUMBERVALUE(Inventários[Tombamento]),Inventários[Processo - localização específica]),"")</f>
        <v>Prédio - elétrica</v>
      </c>
      <c r="I37" s="1" t="str" cm="1">
        <f t="array" ref="I37">_xlfn.XLOOKUP(_xlfn.NUMBERVALUE(Carga[[#This Row],[Tombamento]]),_xlfn.NUMBERVALUE(Inventários[Tombamento]),Inventários[Descrição resumida do bem],"(A) Atenção Bem Não cadastrado")</f>
        <v>ARMARIO MEDIO</v>
      </c>
    </row>
    <row r="38" spans="1:9" ht="19.899999999999999" customHeight="1" x14ac:dyDescent="0.15">
      <c r="A38" s="88" t="s">
        <v>645</v>
      </c>
      <c r="B38" s="88" t="s">
        <v>22</v>
      </c>
      <c r="C38" s="88" t="s">
        <v>618</v>
      </c>
      <c r="D38" s="88" t="s">
        <v>17</v>
      </c>
      <c r="E38" s="88" t="s">
        <v>619</v>
      </c>
      <c r="F38" s="88" t="s">
        <v>18</v>
      </c>
      <c r="G38" s="88" t="s">
        <v>19</v>
      </c>
      <c r="H38" s="63" t="str" cm="1">
        <f t="array" ref="H38">IF(A38&lt;&gt;"",_xlfn.XLOOKUP(_xlfn.NUMBERVALUE(A38),_xlfn.NUMBERVALUE(Inventários[Tombamento]),Inventários[Processo - localização específica]),"")</f>
        <v>Prédio - gerência</v>
      </c>
      <c r="I38" s="1" t="str" cm="1">
        <f t="array" ref="I38">_xlfn.XLOOKUP(_xlfn.NUMBERVALUE(Carga[[#This Row],[Tombamento]]),_xlfn.NUMBERVALUE(Inventários[Tombamento]),Inventários[Descrição resumida do bem],"(A) Atenção Bem Não cadastrado")</f>
        <v>ARMARIO MEDIO</v>
      </c>
    </row>
    <row r="39" spans="1:9" ht="19.899999999999999" customHeight="1" x14ac:dyDescent="0.15">
      <c r="A39" s="88" t="s">
        <v>646</v>
      </c>
      <c r="B39" s="88" t="s">
        <v>22</v>
      </c>
      <c r="C39" s="88" t="s">
        <v>618</v>
      </c>
      <c r="D39" s="88" t="s">
        <v>17</v>
      </c>
      <c r="E39" s="88" t="s">
        <v>619</v>
      </c>
      <c r="F39" s="88" t="s">
        <v>18</v>
      </c>
      <c r="G39" s="88" t="s">
        <v>19</v>
      </c>
      <c r="H39" s="63" t="str" cm="1">
        <f t="array" ref="H39">IF(A39&lt;&gt;"",_xlfn.XLOOKUP(_xlfn.NUMBERVALUE(A39),_xlfn.NUMBERVALUE(Inventários[Tombamento]),Inventários[Processo - localização específica]),"")</f>
        <v>Prédio - automação</v>
      </c>
      <c r="I39" s="1" t="str" cm="1">
        <f t="array" ref="I39">_xlfn.XLOOKUP(_xlfn.NUMBERVALUE(Carga[[#This Row],[Tombamento]]),_xlfn.NUMBERVALUE(Inventários[Tombamento]),Inventários[Descrição resumida do bem],"(A) Atenção Bem Não cadastrado")</f>
        <v>ARMARIO MEDIO</v>
      </c>
    </row>
    <row r="40" spans="1:9" ht="19.899999999999999" customHeight="1" x14ac:dyDescent="0.15">
      <c r="A40" s="88" t="s">
        <v>647</v>
      </c>
      <c r="B40" s="88" t="s">
        <v>23</v>
      </c>
      <c r="C40" s="88" t="s">
        <v>618</v>
      </c>
      <c r="D40" s="88" t="s">
        <v>17</v>
      </c>
      <c r="E40" s="88" t="s">
        <v>619</v>
      </c>
      <c r="F40" s="88" t="s">
        <v>18</v>
      </c>
      <c r="G40" s="88" t="s">
        <v>19</v>
      </c>
      <c r="H40" s="63" t="str" cm="1">
        <f t="array" ref="H40">IF(A40&lt;&gt;"",_xlfn.XLOOKUP(_xlfn.NUMBERVALUE(A40),_xlfn.NUMBERVALUE(Inventários[Tombamento]),Inventários[Processo - localização específica]),"")</f>
        <v>Prédio - automação</v>
      </c>
      <c r="I40" s="1" t="str" cm="1">
        <f t="array" ref="I40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1" spans="1:9" ht="19.899999999999999" customHeight="1" x14ac:dyDescent="0.15">
      <c r="A41" s="88" t="s">
        <v>648</v>
      </c>
      <c r="B41" s="88" t="s">
        <v>23</v>
      </c>
      <c r="C41" s="88" t="s">
        <v>618</v>
      </c>
      <c r="D41" s="88" t="s">
        <v>17</v>
      </c>
      <c r="E41" s="88" t="s">
        <v>619</v>
      </c>
      <c r="F41" s="88" t="s">
        <v>18</v>
      </c>
      <c r="G41" s="88" t="s">
        <v>19</v>
      </c>
      <c r="H41" s="63" t="str" cm="1">
        <f t="array" ref="H41">IF(A41&lt;&gt;"",_xlfn.XLOOKUP(_xlfn.NUMBERVALUE(A41),_xlfn.NUMBERVALUE(Inventários[Tombamento]),Inventários[Processo - localização específica]),"")</f>
        <v>Prédio - secretaria</v>
      </c>
      <c r="I41" s="1" t="str" cm="1">
        <f t="array" ref="I41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2" spans="1:9" ht="19.899999999999999" customHeight="1" x14ac:dyDescent="0.15">
      <c r="A42" s="88" t="s">
        <v>649</v>
      </c>
      <c r="B42" s="88" t="s">
        <v>23</v>
      </c>
      <c r="C42" s="88" t="s">
        <v>618</v>
      </c>
      <c r="D42" s="88" t="s">
        <v>17</v>
      </c>
      <c r="E42" s="88" t="s">
        <v>619</v>
      </c>
      <c r="F42" s="88" t="s">
        <v>18</v>
      </c>
      <c r="G42" s="88" t="s">
        <v>19</v>
      </c>
      <c r="H42" s="63" t="str" cm="1">
        <f t="array" ref="H42">IF(A42&lt;&gt;"",_xlfn.XLOOKUP(_xlfn.NUMBERVALUE(A42),_xlfn.NUMBERVALUE(Inventários[Tombamento]),Inventários[Processo - localização específica]),"")</f>
        <v>Prédio - elétrica</v>
      </c>
      <c r="I42" s="1" t="str" cm="1">
        <f t="array" ref="I42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3" spans="1:9" ht="19.899999999999999" customHeight="1" x14ac:dyDescent="0.15">
      <c r="A43" s="88" t="s">
        <v>289</v>
      </c>
      <c r="B43" s="88" t="s">
        <v>23</v>
      </c>
      <c r="C43" s="88" t="s">
        <v>618</v>
      </c>
      <c r="D43" s="88" t="s">
        <v>17</v>
      </c>
      <c r="E43" s="88" t="s">
        <v>619</v>
      </c>
      <c r="F43" s="88" t="s">
        <v>18</v>
      </c>
      <c r="G43" s="88" t="s">
        <v>19</v>
      </c>
      <c r="H43" s="63" t="str" cm="1">
        <f t="array" ref="H43">IF(A43&lt;&gt;"",_xlfn.XLOOKUP(_xlfn.NUMBERVALUE(A43),_xlfn.NUMBERVALUE(Inventários[Tombamento]),Inventários[Processo - localização específica]),"")</f>
        <v>Prédio - elétrica</v>
      </c>
      <c r="I43" s="1" t="str" cm="1">
        <f t="array" ref="I43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4" spans="1:9" ht="19.899999999999999" customHeight="1" x14ac:dyDescent="0.15">
      <c r="A44" s="88" t="s">
        <v>650</v>
      </c>
      <c r="B44" s="88" t="s">
        <v>23</v>
      </c>
      <c r="C44" s="88" t="s">
        <v>618</v>
      </c>
      <c r="D44" s="88" t="s">
        <v>17</v>
      </c>
      <c r="E44" s="88" t="s">
        <v>619</v>
      </c>
      <c r="F44" s="88" t="s">
        <v>18</v>
      </c>
      <c r="G44" s="88" t="s">
        <v>19</v>
      </c>
      <c r="H44" s="63" t="str" cm="1">
        <f t="array" ref="H44">IF(A44&lt;&gt;"",_xlfn.XLOOKUP(_xlfn.NUMBERVALUE(A44),_xlfn.NUMBERVALUE(Inventários[Tombamento]),Inventários[Processo - localização específica]),"")</f>
        <v>Prédio - operação</v>
      </c>
      <c r="I44" s="1" t="str" cm="1">
        <f t="array" ref="I44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5" spans="1:9" ht="19.899999999999999" customHeight="1" x14ac:dyDescent="0.15">
      <c r="A45" s="88" t="s">
        <v>651</v>
      </c>
      <c r="B45" s="88" t="s">
        <v>23</v>
      </c>
      <c r="C45" s="88" t="s">
        <v>618</v>
      </c>
      <c r="D45" s="88" t="s">
        <v>17</v>
      </c>
      <c r="E45" s="88" t="s">
        <v>619</v>
      </c>
      <c r="F45" s="88" t="s">
        <v>18</v>
      </c>
      <c r="G45" s="88" t="s">
        <v>19</v>
      </c>
      <c r="H45" s="63" t="str" cm="1">
        <f t="array" ref="H45">IF(A45&lt;&gt;"",_xlfn.XLOOKUP(_xlfn.NUMBERVALUE(A45),_xlfn.NUMBERVALUE(Inventários[Tombamento]),Inventários[Processo - localização específica]),"")</f>
        <v>Prédio - automação</v>
      </c>
      <c r="I45" s="1" t="str" cm="1">
        <f t="array" ref="I45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6" spans="1:9" ht="19.899999999999999" customHeight="1" x14ac:dyDescent="0.15">
      <c r="A46" s="88" t="s">
        <v>652</v>
      </c>
      <c r="B46" s="88" t="s">
        <v>23</v>
      </c>
      <c r="C46" s="88" t="s">
        <v>618</v>
      </c>
      <c r="D46" s="88" t="s">
        <v>17</v>
      </c>
      <c r="E46" s="88" t="s">
        <v>619</v>
      </c>
      <c r="F46" s="88" t="s">
        <v>18</v>
      </c>
      <c r="G46" s="88" t="s">
        <v>19</v>
      </c>
      <c r="H46" s="63" t="str" cm="1">
        <f t="array" ref="H46">IF(A46&lt;&gt;"",_xlfn.XLOOKUP(_xlfn.NUMBERVALUE(A46),_xlfn.NUMBERVALUE(Inventários[Tombamento]),Inventários[Processo - localização específica]),"")</f>
        <v>Prédio - coordenador</v>
      </c>
      <c r="I46" s="1" t="str" cm="1">
        <f t="array" ref="I46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7" spans="1:9" ht="19.899999999999999" customHeight="1" x14ac:dyDescent="0.15">
      <c r="A47" s="88" t="s">
        <v>653</v>
      </c>
      <c r="B47" s="88" t="s">
        <v>23</v>
      </c>
      <c r="C47" s="88" t="s">
        <v>618</v>
      </c>
      <c r="D47" s="88" t="s">
        <v>17</v>
      </c>
      <c r="E47" s="88" t="s">
        <v>619</v>
      </c>
      <c r="F47" s="88" t="s">
        <v>18</v>
      </c>
      <c r="G47" s="88" t="s">
        <v>19</v>
      </c>
      <c r="H47" s="63" t="str" cm="1">
        <f t="array" ref="H47">IF(A47&lt;&gt;"",_xlfn.XLOOKUP(_xlfn.NUMBERVALUE(A47),_xlfn.NUMBERVALUE(Inventários[Tombamento]),Inventários[Processo - localização específica]),"")</f>
        <v>Prédio - elétrica</v>
      </c>
      <c r="I47" s="1" t="str" cm="1">
        <f t="array" ref="I47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8" spans="1:9" ht="19.899999999999999" customHeight="1" x14ac:dyDescent="0.15">
      <c r="A48" s="88" t="s">
        <v>654</v>
      </c>
      <c r="B48" s="88" t="s">
        <v>23</v>
      </c>
      <c r="C48" s="88" t="s">
        <v>618</v>
      </c>
      <c r="D48" s="88" t="s">
        <v>17</v>
      </c>
      <c r="E48" s="88" t="s">
        <v>619</v>
      </c>
      <c r="F48" s="88" t="s">
        <v>18</v>
      </c>
      <c r="G48" s="88" t="s">
        <v>19</v>
      </c>
      <c r="H48" s="63" t="str" cm="1">
        <f t="array" ref="H48">IF(A48&lt;&gt;"",_xlfn.XLOOKUP(_xlfn.NUMBERVALUE(A48),_xlfn.NUMBERVALUE(Inventários[Tombamento]),Inventários[Processo - localização específica]),"")</f>
        <v>Prédio - automação</v>
      </c>
      <c r="I48" s="1" t="str" cm="1">
        <f t="array" ref="I48">_xlfn.XLOOKUP(_xlfn.NUMBERVALUE(Carga[[#This Row],[Tombamento]]),_xlfn.NUMBERVALUE(Inventários[Tombamento]),Inventários[Descrição resumida do bem],"(A) Atenção Bem Não cadastrado")</f>
        <v xml:space="preserve"> POLTRONA PARA POSTO DE TRABALHO GERENCIAL</v>
      </c>
    </row>
    <row r="49" spans="1:9" ht="19.899999999999999" customHeight="1" x14ac:dyDescent="0.15">
      <c r="A49" s="88" t="s">
        <v>655</v>
      </c>
      <c r="B49" s="88" t="s">
        <v>24</v>
      </c>
      <c r="C49" s="88" t="s">
        <v>618</v>
      </c>
      <c r="D49" s="88" t="s">
        <v>17</v>
      </c>
      <c r="E49" s="88" t="s">
        <v>619</v>
      </c>
      <c r="F49" s="88" t="s">
        <v>18</v>
      </c>
      <c r="G49" s="88" t="s">
        <v>19</v>
      </c>
      <c r="H49" s="63" t="str" cm="1">
        <f t="array" ref="H49">IF(A49&lt;&gt;"",_xlfn.XLOOKUP(_xlfn.NUMBERVALUE(A49),_xlfn.NUMBERVALUE(Inventários[Tombamento]),Inventários[Processo - localização específica]),"")</f>
        <v>Prédio - gerência</v>
      </c>
      <c r="I49" s="1" t="str" cm="1">
        <f t="array" ref="I49">_xlfn.XLOOKUP(_xlfn.NUMBERVALUE(Carga[[#This Row],[Tombamento]]),_xlfn.NUMBERVALUE(Inventários[Tombamento]),Inventários[Descrição resumida do bem],"(A) Atenção Bem Não cadastrado")</f>
        <v>ESTAÇÃO DE TRABALHO ESTAÇÃO PENINSULAR EM ?L? 01 L</v>
      </c>
    </row>
    <row r="50" spans="1:9" ht="19.899999999999999" customHeight="1" x14ac:dyDescent="0.15">
      <c r="A50" s="88" t="s">
        <v>656</v>
      </c>
      <c r="B50" s="88" t="s">
        <v>24</v>
      </c>
      <c r="C50" s="88" t="s">
        <v>618</v>
      </c>
      <c r="D50" s="88" t="s">
        <v>17</v>
      </c>
      <c r="E50" s="88" t="s">
        <v>619</v>
      </c>
      <c r="F50" s="88" t="s">
        <v>18</v>
      </c>
      <c r="G50" s="88" t="s">
        <v>19</v>
      </c>
      <c r="H50" s="63" t="str" cm="1">
        <f t="array" ref="H50">IF(A50&lt;&gt;"",_xlfn.XLOOKUP(_xlfn.NUMBERVALUE(A50),_xlfn.NUMBERVALUE(Inventários[Tombamento]),Inventários[Processo - localização específica]),"")</f>
        <v>Prédio - automação</v>
      </c>
      <c r="I50" s="1" t="str" cm="1">
        <f t="array" ref="I50">_xlfn.XLOOKUP(_xlfn.NUMBERVALUE(Carga[[#This Row],[Tombamento]]),_xlfn.NUMBERVALUE(Inventários[Tombamento]),Inventários[Descrição resumida do bem],"(A) Atenção Bem Não cadastrado")</f>
        <v>ESTAÇÃO DE TRABALHO ESTAÇÃO PENINSULAR EM ?L? 01 L</v>
      </c>
    </row>
    <row r="51" spans="1:9" ht="19.899999999999999" customHeight="1" x14ac:dyDescent="0.15">
      <c r="A51" s="88" t="s">
        <v>657</v>
      </c>
      <c r="B51" s="88" t="s">
        <v>25</v>
      </c>
      <c r="C51" s="88" t="s">
        <v>618</v>
      </c>
      <c r="D51" s="88" t="s">
        <v>17</v>
      </c>
      <c r="E51" s="88" t="s">
        <v>619</v>
      </c>
      <c r="F51" s="88" t="s">
        <v>18</v>
      </c>
      <c r="G51" s="88" t="s">
        <v>19</v>
      </c>
      <c r="H51" s="63" t="str" cm="1">
        <f t="array" ref="H51">IF(A51&lt;&gt;"",_xlfn.XLOOKUP(_xlfn.NUMBERVALUE(A51),_xlfn.NUMBERVALUE(Inventários[Tombamento]),Inventários[Processo - localização específica]),"")</f>
        <v>Prédio - automação</v>
      </c>
      <c r="I51" s="1" t="str" cm="1">
        <f t="array" ref="I51">_xlfn.XLOOKUP(_xlfn.NUMBERVALUE(Carga[[#This Row],[Tombamento]]),_xlfn.NUMBERVALUE(Inventários[Tombamento]),Inventários[Descrição resumida do bem],"(A) Atenção Bem Não cadastrado")</f>
        <v xml:space="preserve"> GAVETEIRO VOLANTE 630X400X500MM</v>
      </c>
    </row>
    <row r="52" spans="1:9" ht="19.899999999999999" customHeight="1" x14ac:dyDescent="0.15">
      <c r="A52" s="88" t="s">
        <v>658</v>
      </c>
      <c r="B52" s="88" t="s">
        <v>25</v>
      </c>
      <c r="C52" s="88" t="s">
        <v>618</v>
      </c>
      <c r="D52" s="88" t="s">
        <v>17</v>
      </c>
      <c r="E52" s="88" t="s">
        <v>619</v>
      </c>
      <c r="F52" s="88" t="s">
        <v>18</v>
      </c>
      <c r="G52" s="88" t="s">
        <v>19</v>
      </c>
      <c r="H52" s="63" t="str" cm="1">
        <f t="array" ref="H52">IF(A52&lt;&gt;"",_xlfn.XLOOKUP(_xlfn.NUMBERVALUE(A52),_xlfn.NUMBERVALUE(Inventários[Tombamento]),Inventários[Processo - localização específica]),"")</f>
        <v>Prédio - gerência</v>
      </c>
      <c r="I52" s="1" t="str" cm="1">
        <f t="array" ref="I52">_xlfn.XLOOKUP(_xlfn.NUMBERVALUE(Carga[[#This Row],[Tombamento]]),_xlfn.NUMBERVALUE(Inventários[Tombamento]),Inventários[Descrição resumida do bem],"(A) Atenção Bem Não cadastrado")</f>
        <v xml:space="preserve"> GAVETEIRO VOLANTE 630X400X500MM</v>
      </c>
    </row>
    <row r="53" spans="1:9" ht="19.899999999999999" customHeight="1" x14ac:dyDescent="0.15">
      <c r="A53" s="88" t="s">
        <v>659</v>
      </c>
      <c r="B53" s="88" t="s">
        <v>25</v>
      </c>
      <c r="C53" s="88" t="s">
        <v>618</v>
      </c>
      <c r="D53" s="88" t="s">
        <v>17</v>
      </c>
      <c r="E53" s="88" t="s">
        <v>619</v>
      </c>
      <c r="F53" s="88" t="s">
        <v>18</v>
      </c>
      <c r="G53" s="88" t="s">
        <v>19</v>
      </c>
      <c r="H53" s="63" t="str" cm="1">
        <f t="array" ref="H53">IF(A53&lt;&gt;"",_xlfn.XLOOKUP(_xlfn.NUMBERVALUE(A53),_xlfn.NUMBERVALUE(Inventários[Tombamento]),Inventários[Processo - localização específica]),"")</f>
        <v>Prédio - coordenador</v>
      </c>
      <c r="I53" s="1" t="str" cm="1">
        <f t="array" ref="I53">_xlfn.XLOOKUP(_xlfn.NUMBERVALUE(Carga[[#This Row],[Tombamento]]),_xlfn.NUMBERVALUE(Inventários[Tombamento]),Inventários[Descrição resumida do bem],"(A) Atenção Bem Não cadastrado")</f>
        <v xml:space="preserve"> GAVETEIRO VOLANTE 630X400X500MM</v>
      </c>
    </row>
    <row r="54" spans="1:9" ht="19.899999999999999" customHeight="1" x14ac:dyDescent="0.15">
      <c r="A54" s="88" t="s">
        <v>660</v>
      </c>
      <c r="B54" s="88" t="s">
        <v>26</v>
      </c>
      <c r="C54" s="88" t="s">
        <v>618</v>
      </c>
      <c r="D54" s="88" t="s">
        <v>17</v>
      </c>
      <c r="E54" s="88" t="s">
        <v>619</v>
      </c>
      <c r="F54" s="88" t="s">
        <v>18</v>
      </c>
      <c r="G54" s="88" t="s">
        <v>19</v>
      </c>
      <c r="H54" s="63" t="str" cm="1">
        <f t="array" ref="H54">IF(A54&lt;&gt;"",_xlfn.XLOOKUP(_xlfn.NUMBERVALUE(A54),_xlfn.NUMBERVALUE(Inventários[Tombamento]),Inventários[Processo - localização específica]),"")</f>
        <v>Prédio - elétrica</v>
      </c>
      <c r="I54" s="1" t="str" cm="1">
        <f t="array" ref="I54">_xlfn.XLOOKUP(_xlfn.NUMBERVALUE(Carga[[#This Row],[Tombamento]]),_xlfn.NUMBERVALUE(Inventários[Tombamento]),Inventários[Descrição resumida do bem],"(A) Atenção Bem Não cadastrado")</f>
        <v xml:space="preserve"> MESA RETANGULAR (1400X600MM)</v>
      </c>
    </row>
    <row r="55" spans="1:9" ht="19.899999999999999" customHeight="1" x14ac:dyDescent="0.15">
      <c r="A55" s="88" t="s">
        <v>661</v>
      </c>
      <c r="B55" s="88" t="s">
        <v>26</v>
      </c>
      <c r="C55" s="88" t="s">
        <v>618</v>
      </c>
      <c r="D55" s="88" t="s">
        <v>17</v>
      </c>
      <c r="E55" s="88" t="s">
        <v>619</v>
      </c>
      <c r="F55" s="88" t="s">
        <v>18</v>
      </c>
      <c r="G55" s="88" t="s">
        <v>19</v>
      </c>
      <c r="H55" s="63" t="str" cm="1">
        <f t="array" ref="H55">IF(A55&lt;&gt;"",_xlfn.XLOOKUP(_xlfn.NUMBERVALUE(A55),_xlfn.NUMBERVALUE(Inventários[Tombamento]),Inventários[Processo - localização específica]),"")</f>
        <v>Prédio - automação</v>
      </c>
      <c r="I55" s="1" t="str" cm="1">
        <f t="array" ref="I55">_xlfn.XLOOKUP(_xlfn.NUMBERVALUE(Carga[[#This Row],[Tombamento]]),_xlfn.NUMBERVALUE(Inventários[Tombamento]),Inventários[Descrição resumida do bem],"(A) Atenção Bem Não cadastrado")</f>
        <v xml:space="preserve"> MESA RETANGULAR (1400X600MM)</v>
      </c>
    </row>
    <row r="56" spans="1:9" ht="19.899999999999999" customHeight="1" x14ac:dyDescent="0.15">
      <c r="A56" s="88" t="s">
        <v>662</v>
      </c>
      <c r="B56" s="88" t="s">
        <v>26</v>
      </c>
      <c r="C56" s="88" t="s">
        <v>618</v>
      </c>
      <c r="D56" s="88" t="s">
        <v>17</v>
      </c>
      <c r="E56" s="88" t="s">
        <v>619</v>
      </c>
      <c r="F56" s="88" t="s">
        <v>18</v>
      </c>
      <c r="G56" s="88" t="s">
        <v>19</v>
      </c>
      <c r="H56" s="63" t="str" cm="1">
        <f t="array" ref="H56">IF(A56&lt;&gt;"",_xlfn.XLOOKUP(_xlfn.NUMBERVALUE(A56),_xlfn.NUMBERVALUE(Inventários[Tombamento]),Inventários[Processo - localização específica]),"")</f>
        <v>Prédio - automação</v>
      </c>
      <c r="I56" s="1" t="str" cm="1">
        <f t="array" ref="I56">_xlfn.XLOOKUP(_xlfn.NUMBERVALUE(Carga[[#This Row],[Tombamento]]),_xlfn.NUMBERVALUE(Inventários[Tombamento]),Inventários[Descrição resumida do bem],"(A) Atenção Bem Não cadastrado")</f>
        <v xml:space="preserve"> MESA RETANGULAR (1400X600MM)</v>
      </c>
    </row>
    <row r="57" spans="1:9" ht="19.899999999999999" customHeight="1" x14ac:dyDescent="0.15">
      <c r="A57" s="88" t="s">
        <v>663</v>
      </c>
      <c r="B57" s="88" t="s">
        <v>26</v>
      </c>
      <c r="C57" s="88" t="s">
        <v>618</v>
      </c>
      <c r="D57" s="88" t="s">
        <v>17</v>
      </c>
      <c r="E57" s="88" t="s">
        <v>619</v>
      </c>
      <c r="F57" s="88" t="s">
        <v>18</v>
      </c>
      <c r="G57" s="88" t="s">
        <v>19</v>
      </c>
      <c r="H57" s="63" t="str" cm="1">
        <f t="array" ref="H57">IF(A57&lt;&gt;"",_xlfn.XLOOKUP(_xlfn.NUMBERVALUE(A57),_xlfn.NUMBERVALUE(Inventários[Tombamento]),Inventários[Processo - localização específica]),"")</f>
        <v>Prédio - secretaria</v>
      </c>
      <c r="I57" s="1" t="str" cm="1">
        <f t="array" ref="I57">_xlfn.XLOOKUP(_xlfn.NUMBERVALUE(Carga[[#This Row],[Tombamento]]),_xlfn.NUMBERVALUE(Inventários[Tombamento]),Inventários[Descrição resumida do bem],"(A) Atenção Bem Não cadastrado")</f>
        <v xml:space="preserve"> MESA RETANGULAR (1400X600MM)</v>
      </c>
    </row>
    <row r="58" spans="1:9" ht="19.899999999999999" customHeight="1" x14ac:dyDescent="0.15">
      <c r="A58" s="88" t="s">
        <v>664</v>
      </c>
      <c r="B58" s="88" t="s">
        <v>26</v>
      </c>
      <c r="C58" s="88" t="s">
        <v>618</v>
      </c>
      <c r="D58" s="88" t="s">
        <v>17</v>
      </c>
      <c r="E58" s="88" t="s">
        <v>619</v>
      </c>
      <c r="F58" s="88" t="s">
        <v>18</v>
      </c>
      <c r="G58" s="88" t="s">
        <v>19</v>
      </c>
      <c r="H58" s="63" t="str" cm="1">
        <f t="array" ref="H58">IF(A58&lt;&gt;"",_xlfn.XLOOKUP(_xlfn.NUMBERVALUE(A58),_xlfn.NUMBERVALUE(Inventários[Tombamento]),Inventários[Processo - localização específica]),"")</f>
        <v>Prédio - secretaria</v>
      </c>
      <c r="I58" s="1" t="str" cm="1">
        <f t="array" ref="I58">_xlfn.XLOOKUP(_xlfn.NUMBERVALUE(Carga[[#This Row],[Tombamento]]),_xlfn.NUMBERVALUE(Inventários[Tombamento]),Inventários[Descrição resumida do bem],"(A) Atenção Bem Não cadastrado")</f>
        <v xml:space="preserve"> MESA RETANGULAR (1400X600MM)</v>
      </c>
    </row>
    <row r="59" spans="1:9" ht="19.899999999999999" customHeight="1" x14ac:dyDescent="0.15">
      <c r="A59" s="88" t="s">
        <v>290</v>
      </c>
      <c r="B59" s="88" t="s">
        <v>291</v>
      </c>
      <c r="C59" s="88" t="s">
        <v>618</v>
      </c>
      <c r="D59" s="88" t="s">
        <v>17</v>
      </c>
      <c r="E59" s="88" t="s">
        <v>619</v>
      </c>
      <c r="F59" s="88" t="s">
        <v>18</v>
      </c>
      <c r="G59" s="88" t="s">
        <v>19</v>
      </c>
      <c r="H59" s="63" t="str" cm="1">
        <f t="array" ref="H59">IF(A59&lt;&gt;"",_xlfn.XLOOKUP(_xlfn.NUMBERVALUE(A59),_xlfn.NUMBERVALUE(Inventários[Tombamento]),Inventários[Processo - localização específica]),"")</f>
        <v>Casa de química - armazenamento e dosagem de cal em suspensão</v>
      </c>
      <c r="I59" s="1" t="str" cm="1">
        <f t="array" ref="I59">_xlfn.XLOOKUP(_xlfn.NUMBERVALUE(Carga[[#This Row],[Tombamento]]),_xlfn.NUMBERVALUE(Inventários[Tombamento]),Inventários[Descrição resumida do bem],"(A) Atenção Bem Não cadastrado")</f>
        <v>MEDIDOR DE NÍVEL ULTRASSONICO - COMPÕE SISTEMA DE HIDROXIDO DE CÁLCIO EM SUSPENSÃO AQUOSA</v>
      </c>
    </row>
    <row r="60" spans="1:9" ht="19.899999999999999" customHeight="1" x14ac:dyDescent="0.15">
      <c r="A60" s="88" t="s">
        <v>292</v>
      </c>
      <c r="B60" s="88" t="s">
        <v>291</v>
      </c>
      <c r="C60" s="88" t="s">
        <v>618</v>
      </c>
      <c r="D60" s="88" t="s">
        <v>17</v>
      </c>
      <c r="E60" s="88" t="s">
        <v>619</v>
      </c>
      <c r="F60" s="88" t="s">
        <v>18</v>
      </c>
      <c r="G60" s="88" t="s">
        <v>19</v>
      </c>
      <c r="H60" s="63" t="str" cm="1">
        <f t="array" ref="H60">IF(A60&lt;&gt;"",_xlfn.XLOOKUP(_xlfn.NUMBERVALUE(A60),_xlfn.NUMBERVALUE(Inventários[Tombamento]),Inventários[Processo - localização específica]),"")</f>
        <v>Casa de química - armazenamento e dosagem de cal em suspensão</v>
      </c>
      <c r="I60" s="1" t="str" cm="1">
        <f t="array" ref="I60">_xlfn.XLOOKUP(_xlfn.NUMBERVALUE(Carga[[#This Row],[Tombamento]]),_xlfn.NUMBERVALUE(Inventários[Tombamento]),Inventários[Descrição resumida do bem],"(A) Atenção Bem Não cadastrado")</f>
        <v>MEDIDOR DE NÍVEL ULTRASSONICO - COMPÕE SISTEMA DE HIDROXIDO DE CÁLCIO EM SUSPENSÃO AQUOSA</v>
      </c>
    </row>
    <row r="61" spans="1:9" ht="19.899999999999999" customHeight="1" x14ac:dyDescent="0.15">
      <c r="A61" s="88" t="s">
        <v>293</v>
      </c>
      <c r="B61" s="88" t="s">
        <v>291</v>
      </c>
      <c r="C61" s="88" t="s">
        <v>618</v>
      </c>
      <c r="D61" s="88" t="s">
        <v>17</v>
      </c>
      <c r="E61" s="88" t="s">
        <v>619</v>
      </c>
      <c r="F61" s="88" t="s">
        <v>18</v>
      </c>
      <c r="G61" s="88" t="s">
        <v>19</v>
      </c>
      <c r="H61" s="63" t="str" cm="1">
        <f t="array" ref="H61">IF(A61&lt;&gt;"",_xlfn.XLOOKUP(_xlfn.NUMBERVALUE(A61),_xlfn.NUMBERVALUE(Inventários[Tombamento]),Inventários[Processo - localização específica]),"")</f>
        <v>Casa de química - armazenamento e dosagem de cal em suspensão</v>
      </c>
      <c r="I61" s="1" t="str" cm="1">
        <f t="array" ref="I61">_xlfn.XLOOKUP(_xlfn.NUMBERVALUE(Carga[[#This Row],[Tombamento]]),_xlfn.NUMBERVALUE(Inventários[Tombamento]),Inventários[Descrição resumida do bem],"(A) Atenção Bem Não cadastrado")</f>
        <v>MEDIDOR DE NÍVEL ULTRASSONICO - COMPÕE SISTEMA DE HIDROXIDO DE CÁLCIO EM SUSPENSÃO AQUOSA</v>
      </c>
    </row>
    <row r="62" spans="1:9" ht="19.899999999999999" customHeight="1" x14ac:dyDescent="0.15">
      <c r="A62" s="88" t="s">
        <v>294</v>
      </c>
      <c r="B62" s="88" t="s">
        <v>291</v>
      </c>
      <c r="C62" s="88" t="s">
        <v>618</v>
      </c>
      <c r="D62" s="88" t="s">
        <v>17</v>
      </c>
      <c r="E62" s="88" t="s">
        <v>619</v>
      </c>
      <c r="F62" s="88" t="s">
        <v>18</v>
      </c>
      <c r="G62" s="88" t="s">
        <v>19</v>
      </c>
      <c r="H62" s="63" t="str" cm="1">
        <f t="array" ref="H62">IF(A62&lt;&gt;"",_xlfn.XLOOKUP(_xlfn.NUMBERVALUE(A62),_xlfn.NUMBERVALUE(Inventários[Tombamento]),Inventários[Processo - localização específica]),"")</f>
        <v>Casa de química - armazenamento e dosagem de cal em suspensão</v>
      </c>
      <c r="I62" s="1" t="str" cm="1">
        <f t="array" ref="I62">_xlfn.XLOOKUP(_xlfn.NUMBERVALUE(Carga[[#This Row],[Tombamento]]),_xlfn.NUMBERVALUE(Inventários[Tombamento]),Inventários[Descrição resumida do bem],"(A) Atenção Bem Não cadastrado")</f>
        <v>MEDIDOR DE NÍVEL ULTRASSONICO - COMPÕE SISTEMA DE HIDROXIDO DE CÁLCIO EM SUSPENSÃO AQUOSA</v>
      </c>
    </row>
    <row r="63" spans="1:9" ht="19.899999999999999" customHeight="1" x14ac:dyDescent="0.15">
      <c r="A63" s="88" t="s">
        <v>295</v>
      </c>
      <c r="B63" s="88" t="s">
        <v>296</v>
      </c>
      <c r="C63" s="88" t="s">
        <v>618</v>
      </c>
      <c r="D63" s="88" t="s">
        <v>17</v>
      </c>
      <c r="E63" s="88" t="s">
        <v>619</v>
      </c>
      <c r="F63" s="88" t="s">
        <v>18</v>
      </c>
      <c r="G63" s="88" t="s">
        <v>19</v>
      </c>
      <c r="H63" s="63" t="str" cm="1">
        <f t="array" ref="H63">IF(A63&lt;&gt;"",_xlfn.XLOOKUP(_xlfn.NUMBERVALUE(A63),_xlfn.NUMBERVALUE(Inventários[Tombamento]),Inventários[Processo - localização específica]),"")</f>
        <v>Casa de química - armazenamento e dosagem de cal em suspensão</v>
      </c>
      <c r="I63" s="1" t="str" cm="1">
        <f t="array" ref="I63">_xlfn.XLOOKUP(_xlfn.NUMBERVALUE(Carga[[#This Row],[Tombamento]]),_xlfn.NUMBERVALUE(Inventários[Tombamento]),Inventários[Descrição resumida do bem],"(A) Atenção Bem Não cadastrado")</f>
        <v>MEDIDOR DE VAZÃO ELETROMAGNÉTICO, TIPO CARRETEL- COMPÕE SISTEMA DE HIDROXIDO DE CÁLCIO EM SUSPENSÃO AQUOSA</v>
      </c>
    </row>
    <row r="64" spans="1:9" ht="19.899999999999999" customHeight="1" x14ac:dyDescent="0.15">
      <c r="A64" s="88" t="s">
        <v>297</v>
      </c>
      <c r="B64" s="88" t="s">
        <v>296</v>
      </c>
      <c r="C64" s="88" t="s">
        <v>618</v>
      </c>
      <c r="D64" s="88" t="s">
        <v>17</v>
      </c>
      <c r="E64" s="88" t="s">
        <v>619</v>
      </c>
      <c r="F64" s="88" t="s">
        <v>18</v>
      </c>
      <c r="G64" s="88" t="s">
        <v>19</v>
      </c>
      <c r="H64" s="63" t="str" cm="1">
        <f t="array" ref="H64">IF(A64&lt;&gt;"",_xlfn.XLOOKUP(_xlfn.NUMBERVALUE(A64),_xlfn.NUMBERVALUE(Inventários[Tombamento]),Inventários[Processo - localização específica]),"")</f>
        <v>Casa de química - armazenamento e dosagem de cal em suspensão</v>
      </c>
      <c r="I64" s="1" t="str" cm="1">
        <f t="array" ref="I64">_xlfn.XLOOKUP(_xlfn.NUMBERVALUE(Carga[[#This Row],[Tombamento]]),_xlfn.NUMBERVALUE(Inventários[Tombamento]),Inventários[Descrição resumida do bem],"(A) Atenção Bem Não cadastrado")</f>
        <v>MEDIDOR DE VAZÃO ELETROMAGNÉTICO, TIPO CARRETEL- COMPÕE SISTEMA DE HIDROXIDO DE CÁLCIO EM SUSPENSÃO AQUOSA</v>
      </c>
    </row>
    <row r="65" spans="1:9" ht="19.899999999999999" customHeight="1" x14ac:dyDescent="0.15">
      <c r="A65" s="88" t="s">
        <v>449</v>
      </c>
      <c r="B65" s="88" t="s">
        <v>299</v>
      </c>
      <c r="C65" s="88" t="s">
        <v>618</v>
      </c>
      <c r="D65" s="88" t="s">
        <v>17</v>
      </c>
      <c r="E65" s="88" t="s">
        <v>619</v>
      </c>
      <c r="F65" s="88" t="s">
        <v>18</v>
      </c>
      <c r="G65" s="88" t="s">
        <v>19</v>
      </c>
      <c r="H65" s="63" t="str" cm="1">
        <f t="array" ref="H65">IF(A65&lt;&gt;"",_xlfn.XLOOKUP(_xlfn.NUMBERVALUE(A65),_xlfn.NUMBERVALUE(Inventários[Tombamento]),Inventários[Processo - localização específica]),"")</f>
        <v>Cal em suspensão - bombas de dosagem e recirculação</v>
      </c>
      <c r="I65" s="1" t="str" cm="1">
        <f t="array" ref="I65">_xlfn.XLOOKUP(_xlfn.NUMBERVALUE(Carga[[#This Row],[Tombamento]]),_xlfn.NUMBERVALUE(Inventários[Tombamento]),Inventários[Descrição resumida do bem],"(A) Atenção Bem Não cadastrado")</f>
        <v>BOMBA CENTRÍFUGA DE RECIRCULAÇÃO- COMPÕE SISTEMA DE HIDRÓXIDO DE CÁLCIO EM SUSPENSÃO AQUOSA</v>
      </c>
    </row>
    <row r="66" spans="1:9" ht="19.899999999999999" customHeight="1" x14ac:dyDescent="0.15">
      <c r="A66" s="88" t="s">
        <v>298</v>
      </c>
      <c r="B66" s="88" t="s">
        <v>299</v>
      </c>
      <c r="C66" s="88" t="s">
        <v>618</v>
      </c>
      <c r="D66" s="88" t="s">
        <v>17</v>
      </c>
      <c r="E66" s="88" t="s">
        <v>619</v>
      </c>
      <c r="F66" s="88" t="s">
        <v>18</v>
      </c>
      <c r="G66" s="88" t="s">
        <v>19</v>
      </c>
      <c r="H66" s="63" t="str" cm="1">
        <f t="array" ref="H66">IF(A66&lt;&gt;"",_xlfn.XLOOKUP(_xlfn.NUMBERVALUE(A66),_xlfn.NUMBERVALUE(Inventários[Tombamento]),Inventários[Processo - localização específica]),"")</f>
        <v>Cal em suspensão - bombas de dosagem e recirculação</v>
      </c>
      <c r="I66" s="1" t="str" cm="1">
        <f t="array" ref="I66">_xlfn.XLOOKUP(_xlfn.NUMBERVALUE(Carga[[#This Row],[Tombamento]]),_xlfn.NUMBERVALUE(Inventários[Tombamento]),Inventários[Descrição resumida do bem],"(A) Atenção Bem Não cadastrado")</f>
        <v>BOMBA CENTRÍFUGA DE RECIRCULAÇÃO- COMPÕE SISTEMA DE HIDRÓXIDO DE CÁLCIO EM SUSPENSÃO AQUOSA</v>
      </c>
    </row>
    <row r="67" spans="1:9" ht="19.899999999999999" customHeight="1" x14ac:dyDescent="0.15">
      <c r="A67" s="88" t="s">
        <v>300</v>
      </c>
      <c r="B67" s="88" t="s">
        <v>299</v>
      </c>
      <c r="C67" s="88" t="s">
        <v>618</v>
      </c>
      <c r="D67" s="88" t="s">
        <v>17</v>
      </c>
      <c r="E67" s="88" t="s">
        <v>619</v>
      </c>
      <c r="F67" s="88" t="s">
        <v>18</v>
      </c>
      <c r="G67" s="88" t="s">
        <v>19</v>
      </c>
      <c r="H67" s="63" t="str" cm="1">
        <f t="array" ref="H67">IF(A67&lt;&gt;"",_xlfn.XLOOKUP(_xlfn.NUMBERVALUE(A67),_xlfn.NUMBERVALUE(Inventários[Tombamento]),Inventários[Processo - localização específica]),"")</f>
        <v>Cal em suspensão - bombas de dosagem e recirculação</v>
      </c>
      <c r="I67" s="1" t="str" cm="1">
        <f t="array" ref="I67">_xlfn.XLOOKUP(_xlfn.NUMBERVALUE(Carga[[#This Row],[Tombamento]]),_xlfn.NUMBERVALUE(Inventários[Tombamento]),Inventários[Descrição resumida do bem],"(A) Atenção Bem Não cadastrado")</f>
        <v>BOMBA CENTRÍFUGA DE RECIRCULAÇÃO- COMPÕE SISTEMA DE HIDRÓXIDO DE CÁLCIO EM SUSPENSÃO AQUOSA</v>
      </c>
    </row>
    <row r="68" spans="1:9" ht="19.899999999999999" customHeight="1" x14ac:dyDescent="0.15">
      <c r="A68" s="88" t="s">
        <v>301</v>
      </c>
      <c r="B68" s="88" t="s">
        <v>299</v>
      </c>
      <c r="C68" s="88" t="s">
        <v>618</v>
      </c>
      <c r="D68" s="88" t="s">
        <v>17</v>
      </c>
      <c r="E68" s="88" t="s">
        <v>619</v>
      </c>
      <c r="F68" s="88" t="s">
        <v>18</v>
      </c>
      <c r="G68" s="88" t="s">
        <v>19</v>
      </c>
      <c r="H68" s="63" t="str" cm="1">
        <f t="array" ref="H68">IF(A68&lt;&gt;"",_xlfn.XLOOKUP(_xlfn.NUMBERVALUE(A68),_xlfn.NUMBERVALUE(Inventários[Tombamento]),Inventários[Processo - localização específica]),"")</f>
        <v>Cal em suspensão - bombas de dosagem e recirculação</v>
      </c>
      <c r="I68" s="1" t="str" cm="1">
        <f t="array" ref="I68">_xlfn.XLOOKUP(_xlfn.NUMBERVALUE(Carga[[#This Row],[Tombamento]]),_xlfn.NUMBERVALUE(Inventários[Tombamento]),Inventários[Descrição resumida do bem],"(A) Atenção Bem Não cadastrado")</f>
        <v>BOMBA CENTRÍFUGA DE RECIRCULAÇÃO- COMPÕE SISTEMA DE HIDRÓXIDO DE CÁLCIO EM SUSPENSÃO AQUOSA</v>
      </c>
    </row>
    <row r="69" spans="1:9" ht="19.899999999999999" customHeight="1" x14ac:dyDescent="0.15">
      <c r="A69" s="88" t="s">
        <v>302</v>
      </c>
      <c r="B69" s="88" t="s">
        <v>303</v>
      </c>
      <c r="C69" s="88" t="s">
        <v>618</v>
      </c>
      <c r="D69" s="88" t="s">
        <v>17</v>
      </c>
      <c r="E69" s="88" t="s">
        <v>619</v>
      </c>
      <c r="F69" s="88" t="s">
        <v>18</v>
      </c>
      <c r="G69" s="88" t="s">
        <v>19</v>
      </c>
      <c r="H69" s="63" t="str" cm="1">
        <f t="array" ref="H69">IF(A69&lt;&gt;"",_xlfn.XLOOKUP(_xlfn.NUMBERVALUE(A69),_xlfn.NUMBERVALUE(Inventários[Tombamento]),Inventários[Processo - localização específica]),"")</f>
        <v>Cal em suspensão - bombas de dosagem e recirculação</v>
      </c>
      <c r="I69" s="1" t="str" cm="1">
        <f t="array" ref="I69">_xlfn.XLOOKUP(_xlfn.NUMBERVALUE(Carga[[#This Row],[Tombamento]]),_xlfn.NUMBERVALUE(Inventários[Tombamento]),Inventários[Descrição resumida do bem],"(A) Atenção Bem Não cadastrado")</f>
        <v>BOMBA HELICOIDAL DE TRANSFERÊNCIA DE CAL- COMPÕE SISTEMA DE HIDRÓXIDO DE CÁLCIO EM SUSPENSÃO AQUOSA</v>
      </c>
    </row>
    <row r="70" spans="1:9" ht="19.899999999999999" customHeight="1" x14ac:dyDescent="0.15">
      <c r="A70" s="88" t="s">
        <v>304</v>
      </c>
      <c r="B70" s="88" t="s">
        <v>303</v>
      </c>
      <c r="C70" s="88" t="s">
        <v>618</v>
      </c>
      <c r="D70" s="88" t="s">
        <v>17</v>
      </c>
      <c r="E70" s="88" t="s">
        <v>619</v>
      </c>
      <c r="F70" s="88" t="s">
        <v>18</v>
      </c>
      <c r="G70" s="88" t="s">
        <v>19</v>
      </c>
      <c r="H70" s="63" t="str" cm="1">
        <f t="array" ref="H70">IF(A70&lt;&gt;"",_xlfn.XLOOKUP(_xlfn.NUMBERVALUE(A70),_xlfn.NUMBERVALUE(Inventários[Tombamento]),Inventários[Processo - localização específica]),"")</f>
        <v>Cal em suspensão - bombas de dosagem e recirculação</v>
      </c>
      <c r="I70" s="1" t="str" cm="1">
        <f t="array" ref="I70">_xlfn.XLOOKUP(_xlfn.NUMBERVALUE(Carga[[#This Row],[Tombamento]]),_xlfn.NUMBERVALUE(Inventários[Tombamento]),Inventários[Descrição resumida do bem],"(A) Atenção Bem Não cadastrado")</f>
        <v>BOMBA HELICOIDAL DE TRANSFERÊNCIA DE CAL- COMPÕE SISTEMA DE HIDRÓXIDO DE CÁLCIO EM SUSPENSÃO AQUOSA</v>
      </c>
    </row>
    <row r="71" spans="1:9" ht="19.899999999999999" customHeight="1" x14ac:dyDescent="0.15">
      <c r="A71" s="88" t="s">
        <v>305</v>
      </c>
      <c r="B71" s="88" t="s">
        <v>306</v>
      </c>
      <c r="C71" s="88" t="s">
        <v>618</v>
      </c>
      <c r="D71" s="88" t="s">
        <v>17</v>
      </c>
      <c r="E71" s="88" t="s">
        <v>619</v>
      </c>
      <c r="F71" s="88" t="s">
        <v>18</v>
      </c>
      <c r="G71" s="88" t="s">
        <v>19</v>
      </c>
      <c r="H71" s="63" t="str" cm="1">
        <f t="array" ref="H71">IF(A71&lt;&gt;"",_xlfn.XLOOKUP(_xlfn.NUMBERVALUE(A71),_xlfn.NUMBERVALUE(Inventários[Tombamento]),Inventários[Processo - localização específica]),"")</f>
        <v>Cal em suspensão - armazenagem e válvulas</v>
      </c>
      <c r="I71" s="1" t="str" cm="1">
        <f t="array" ref="I71">_xlfn.XLOOKUP(_xlfn.NUMBERVALUE(Carga[[#This Row],[Tombamento]]),_xlfn.NUMBERVALUE(Inventários[Tombamento]),Inventários[Descrição resumida do bem],"(A) Atenção Bem Não cadastrado")</f>
        <v>TANQUE - COMPÕE SISTEMA DE HIDRÓXIDO DE CÁLCIO EM SUSPENSÃO AQUOSA ETA CORUMBÁ</v>
      </c>
    </row>
    <row r="72" spans="1:9" ht="19.899999999999999" customHeight="1" x14ac:dyDescent="0.15">
      <c r="A72" s="88" t="s">
        <v>307</v>
      </c>
      <c r="B72" s="88" t="s">
        <v>306</v>
      </c>
      <c r="C72" s="88" t="s">
        <v>618</v>
      </c>
      <c r="D72" s="88" t="s">
        <v>17</v>
      </c>
      <c r="E72" s="88" t="s">
        <v>619</v>
      </c>
      <c r="F72" s="88" t="s">
        <v>18</v>
      </c>
      <c r="G72" s="88" t="s">
        <v>19</v>
      </c>
      <c r="H72" s="63" t="str" cm="1">
        <f t="array" ref="H72">IF(A72&lt;&gt;"",_xlfn.XLOOKUP(_xlfn.NUMBERVALUE(A72),_xlfn.NUMBERVALUE(Inventários[Tombamento]),Inventários[Processo - localização específica]),"")</f>
        <v>Cal em suspensão - armazenagem e válvulas</v>
      </c>
      <c r="I72" s="1" t="str" cm="1">
        <f t="array" ref="I72">_xlfn.XLOOKUP(_xlfn.NUMBERVALUE(Carga[[#This Row],[Tombamento]]),_xlfn.NUMBERVALUE(Inventários[Tombamento]),Inventários[Descrição resumida do bem],"(A) Atenção Bem Não cadastrado")</f>
        <v>TANQUE - COMPÕE SISTEMA DE HIDRÓXIDO DE CÁLCIO EM SUSPENSÃO AQUOSA ETA CORUMBÁ</v>
      </c>
    </row>
    <row r="73" spans="1:9" ht="19.899999999999999" customHeight="1" x14ac:dyDescent="0.15">
      <c r="A73" s="88" t="s">
        <v>308</v>
      </c>
      <c r="B73" s="88" t="s">
        <v>306</v>
      </c>
      <c r="C73" s="88" t="s">
        <v>618</v>
      </c>
      <c r="D73" s="88" t="s">
        <v>17</v>
      </c>
      <c r="E73" s="88" t="s">
        <v>619</v>
      </c>
      <c r="F73" s="88" t="s">
        <v>18</v>
      </c>
      <c r="G73" s="88" t="s">
        <v>19</v>
      </c>
      <c r="H73" s="63" t="str" cm="1">
        <f t="array" ref="H73">IF(A73&lt;&gt;"",_xlfn.XLOOKUP(_xlfn.NUMBERVALUE(A73),_xlfn.NUMBERVALUE(Inventários[Tombamento]),Inventários[Processo - localização específica]),"")</f>
        <v>Cal em suspensão - armazenagem e válvulas</v>
      </c>
      <c r="I73" s="1" t="str" cm="1">
        <f t="array" ref="I73">_xlfn.XLOOKUP(_xlfn.NUMBERVALUE(Carga[[#This Row],[Tombamento]]),_xlfn.NUMBERVALUE(Inventários[Tombamento]),Inventários[Descrição resumida do bem],"(A) Atenção Bem Não cadastrado")</f>
        <v>TANQUE - COMPÕE SISTEMA DE HIDRÓXIDO DE CÁLCIO EM SUSPENSÃO AQUOSA ETA CORUMBÁ</v>
      </c>
    </row>
    <row r="74" spans="1:9" ht="19.899999999999999" customHeight="1" x14ac:dyDescent="0.15">
      <c r="A74" s="88" t="s">
        <v>309</v>
      </c>
      <c r="B74" s="88" t="s">
        <v>306</v>
      </c>
      <c r="C74" s="88" t="s">
        <v>618</v>
      </c>
      <c r="D74" s="88" t="s">
        <v>17</v>
      </c>
      <c r="E74" s="88" t="s">
        <v>619</v>
      </c>
      <c r="F74" s="88" t="s">
        <v>18</v>
      </c>
      <c r="G74" s="88" t="s">
        <v>19</v>
      </c>
      <c r="H74" s="63" t="str" cm="1">
        <f t="array" ref="H74">IF(A74&lt;&gt;"",_xlfn.XLOOKUP(_xlfn.NUMBERVALUE(A74),_xlfn.NUMBERVALUE(Inventários[Tombamento]),Inventários[Processo - localização específica]),"")</f>
        <v>Cal em suspensão - armazenagem e válvulas</v>
      </c>
      <c r="I74" s="1" t="str" cm="1">
        <f t="array" ref="I74">_xlfn.XLOOKUP(_xlfn.NUMBERVALUE(Carga[[#This Row],[Tombamento]]),_xlfn.NUMBERVALUE(Inventários[Tombamento]),Inventários[Descrição resumida do bem],"(A) Atenção Bem Não cadastrado")</f>
        <v>TANQUE - COMPÕE SISTEMA DE HIDRÓXIDO DE CÁLCIO EM SUSPENSÃO AQUOSA ETA CORUMBÁ</v>
      </c>
    </row>
    <row r="75" spans="1:9" ht="19.899999999999999" customHeight="1" x14ac:dyDescent="0.15">
      <c r="A75" s="88" t="s">
        <v>310</v>
      </c>
      <c r="B75" s="88" t="s">
        <v>311</v>
      </c>
      <c r="C75" s="88" t="s">
        <v>618</v>
      </c>
      <c r="D75" s="88" t="s">
        <v>17</v>
      </c>
      <c r="E75" s="88" t="s">
        <v>619</v>
      </c>
      <c r="F75" s="88" t="s">
        <v>18</v>
      </c>
      <c r="G75" s="88" t="s">
        <v>19</v>
      </c>
      <c r="H75" s="63" t="str" cm="1">
        <f t="array" ref="H75">IF(A75&lt;&gt;"",_xlfn.XLOOKUP(_xlfn.NUMBERVALUE(A75),_xlfn.NUMBERVALUE(Inventários[Tombamento]),Inventários[Processo - localização específica]),"")</f>
        <v>Cal em suspensão - bombas de dosagem e recirculação</v>
      </c>
      <c r="I75" s="1" t="str" cm="1">
        <f t="array" ref="I75">_xlfn.XLOOKUP(_xlfn.NUMBERVALUE(Carga[[#This Row],[Tombamento]]),_xlfn.NUMBERVALUE(Inventários[Tombamento]),Inventários[Descrição resumida do bem],"(A) Atenção Bem Não cadastrado")</f>
        <v>BOMBA HELICOIDAL DE DOSAGEM- COMPÕE SISTEMA DE HIDRÓXIDO DE CÁLCIO EM SUSPENSÃO AQUOSA</v>
      </c>
    </row>
    <row r="76" spans="1:9" ht="19.899999999999999" customHeight="1" x14ac:dyDescent="0.15">
      <c r="A76" s="88" t="s">
        <v>312</v>
      </c>
      <c r="B76" s="88" t="s">
        <v>311</v>
      </c>
      <c r="C76" s="88" t="s">
        <v>618</v>
      </c>
      <c r="D76" s="88" t="s">
        <v>17</v>
      </c>
      <c r="E76" s="88" t="s">
        <v>619</v>
      </c>
      <c r="F76" s="88" t="s">
        <v>18</v>
      </c>
      <c r="G76" s="88" t="s">
        <v>19</v>
      </c>
      <c r="H76" s="63" t="str" cm="1">
        <f t="array" ref="H76">IF(A76&lt;&gt;"",_xlfn.XLOOKUP(_xlfn.NUMBERVALUE(A76),_xlfn.NUMBERVALUE(Inventários[Tombamento]),Inventários[Processo - localização específica]),"")</f>
        <v>Cal em suspensão - bombas de dosagem e recirculação</v>
      </c>
      <c r="I76" s="1" t="str" cm="1">
        <f t="array" ref="I76">_xlfn.XLOOKUP(_xlfn.NUMBERVALUE(Carga[[#This Row],[Tombamento]]),_xlfn.NUMBERVALUE(Inventários[Tombamento]),Inventários[Descrição resumida do bem],"(A) Atenção Bem Não cadastrado")</f>
        <v>BOMBA HELICOIDAL DE DOSAGEM- COMPÕE SISTEMA DE HIDRÓXIDO DE CÁLCIO EM SUSPENSÃO AQUOSA</v>
      </c>
    </row>
    <row r="77" spans="1:9" ht="19.899999999999999" customHeight="1" x14ac:dyDescent="0.15">
      <c r="A77" s="88" t="s">
        <v>313</v>
      </c>
      <c r="B77" s="88" t="s">
        <v>311</v>
      </c>
      <c r="C77" s="88" t="s">
        <v>618</v>
      </c>
      <c r="D77" s="88" t="s">
        <v>17</v>
      </c>
      <c r="E77" s="88" t="s">
        <v>619</v>
      </c>
      <c r="F77" s="88" t="s">
        <v>18</v>
      </c>
      <c r="G77" s="88" t="s">
        <v>19</v>
      </c>
      <c r="H77" s="63" t="str" cm="1">
        <f t="array" ref="H77">IF(A77&lt;&gt;"",_xlfn.XLOOKUP(_xlfn.NUMBERVALUE(A77),_xlfn.NUMBERVALUE(Inventários[Tombamento]),Inventários[Processo - localização específica]),"")</f>
        <v>Cal em suspensão - bombas de dosagem e recirculação</v>
      </c>
      <c r="I77" s="1" t="str" cm="1">
        <f t="array" ref="I77">_xlfn.XLOOKUP(_xlfn.NUMBERVALUE(Carga[[#This Row],[Tombamento]]),_xlfn.NUMBERVALUE(Inventários[Tombamento]),Inventários[Descrição resumida do bem],"(A) Atenção Bem Não cadastrado")</f>
        <v>BOMBA HELICOIDAL DE DOSAGEM- COMPÕE SISTEMA DE HIDRÓXIDO DE CÁLCIO EM SUSPENSÃO AQUOSA</v>
      </c>
    </row>
    <row r="78" spans="1:9" ht="19.899999999999999" customHeight="1" x14ac:dyDescent="0.15">
      <c r="A78" s="88" t="s">
        <v>314</v>
      </c>
      <c r="B78" s="88" t="s">
        <v>315</v>
      </c>
      <c r="C78" s="88" t="s">
        <v>618</v>
      </c>
      <c r="D78" s="88" t="s">
        <v>17</v>
      </c>
      <c r="E78" s="88" t="s">
        <v>619</v>
      </c>
      <c r="F78" s="88" t="s">
        <v>18</v>
      </c>
      <c r="G78" s="88" t="s">
        <v>19</v>
      </c>
      <c r="H78" s="63" t="str" cm="1">
        <f t="array" ref="H78">IF(A78&lt;&gt;"",_xlfn.XLOOKUP(_xlfn.NUMBERVALUE(A78),_xlfn.NUMBERVALUE(Inventários[Tombamento]),Inventários[Processo - localização específica]),"")</f>
        <v>Cal em suspensão - armazenagem e válvulas</v>
      </c>
      <c r="I78" s="1" t="str" cm="1">
        <f t="array" ref="I78">_xlfn.XLOOKUP(_xlfn.NUMBERVALUE(Carga[[#This Row],[Tombamento]]),_xlfn.NUMBERVALUE(Inventários[Tombamento]),Inventários[Descrição resumida do bem],"(A) Atenção Bem Não cadastrado")</f>
        <v>VÁLVULA ESFERA PP COM ATUADOR ELÉTRICO- COMPÕE SISTEMA DE HIDRÓXIDO DE CÁLCIO EM SUSPENSÃO AQUOSA</v>
      </c>
    </row>
    <row r="79" spans="1:9" ht="19.899999999999999" customHeight="1" x14ac:dyDescent="0.15">
      <c r="A79" s="88" t="s">
        <v>316</v>
      </c>
      <c r="B79" s="88" t="s">
        <v>315</v>
      </c>
      <c r="C79" s="88" t="s">
        <v>618</v>
      </c>
      <c r="D79" s="88" t="s">
        <v>17</v>
      </c>
      <c r="E79" s="88" t="s">
        <v>619</v>
      </c>
      <c r="F79" s="88" t="s">
        <v>18</v>
      </c>
      <c r="G79" s="88" t="s">
        <v>19</v>
      </c>
      <c r="H79" s="63" t="str" cm="1">
        <f t="array" ref="H79">IF(A79&lt;&gt;"",_xlfn.XLOOKUP(_xlfn.NUMBERVALUE(A79),_xlfn.NUMBERVALUE(Inventários[Tombamento]),Inventários[Processo - localização específica]),"")</f>
        <v>Cal em suspensão - armazenagem e válvulas</v>
      </c>
      <c r="I79" s="1" t="str" cm="1">
        <f t="array" ref="I79">_xlfn.XLOOKUP(_xlfn.NUMBERVALUE(Carga[[#This Row],[Tombamento]]),_xlfn.NUMBERVALUE(Inventários[Tombamento]),Inventários[Descrição resumida do bem],"(A) Atenção Bem Não cadastrado")</f>
        <v>VÁLVULA ESFERA PP COM ATUADOR ELÉTRICO- COMPÕE SISTEMA DE HIDRÓXIDO DE CÁLCIO EM SUSPENSÃO AQUOSA</v>
      </c>
    </row>
    <row r="80" spans="1:9" ht="19.899999999999999" customHeight="1" x14ac:dyDescent="0.15">
      <c r="A80" s="88" t="s">
        <v>317</v>
      </c>
      <c r="B80" s="88" t="s">
        <v>315</v>
      </c>
      <c r="C80" s="88" t="s">
        <v>618</v>
      </c>
      <c r="D80" s="88" t="s">
        <v>17</v>
      </c>
      <c r="E80" s="88" t="s">
        <v>619</v>
      </c>
      <c r="F80" s="88" t="s">
        <v>18</v>
      </c>
      <c r="G80" s="88" t="s">
        <v>19</v>
      </c>
      <c r="H80" s="63" t="str" cm="1">
        <f t="array" ref="H80">IF(A80&lt;&gt;"",_xlfn.XLOOKUP(_xlfn.NUMBERVALUE(A80),_xlfn.NUMBERVALUE(Inventários[Tombamento]),Inventários[Processo - localização específica]),"")</f>
        <v>Cal em suspensão - armazenagem e válvulas</v>
      </c>
      <c r="I80" s="1" t="str" cm="1">
        <f t="array" ref="I80">_xlfn.XLOOKUP(_xlfn.NUMBERVALUE(Carga[[#This Row],[Tombamento]]),_xlfn.NUMBERVALUE(Inventários[Tombamento]),Inventários[Descrição resumida do bem],"(A) Atenção Bem Não cadastrado")</f>
        <v>VÁLVULA ESFERA PP COM ATUADOR ELÉTRICO- COMPÕE SISTEMA DE HIDRÓXIDO DE CÁLCIO EM SUSPENSÃO AQUOSA</v>
      </c>
    </row>
    <row r="81" spans="1:9" ht="19.899999999999999" customHeight="1" x14ac:dyDescent="0.15">
      <c r="A81" s="88" t="s">
        <v>318</v>
      </c>
      <c r="B81" s="88" t="s">
        <v>315</v>
      </c>
      <c r="C81" s="88" t="s">
        <v>618</v>
      </c>
      <c r="D81" s="88" t="s">
        <v>17</v>
      </c>
      <c r="E81" s="88" t="s">
        <v>619</v>
      </c>
      <c r="F81" s="88" t="s">
        <v>18</v>
      </c>
      <c r="G81" s="88" t="s">
        <v>19</v>
      </c>
      <c r="H81" s="63" t="str" cm="1">
        <f t="array" ref="H81">IF(A81&lt;&gt;"",_xlfn.XLOOKUP(_xlfn.NUMBERVALUE(A81),_xlfn.NUMBERVALUE(Inventários[Tombamento]),Inventários[Processo - localização específica]),"")</f>
        <v>Cal em suspensão - armazenagem e válvulas</v>
      </c>
      <c r="I81" s="1" t="str" cm="1">
        <f t="array" ref="I81">_xlfn.XLOOKUP(_xlfn.NUMBERVALUE(Carga[[#This Row],[Tombamento]]),_xlfn.NUMBERVALUE(Inventários[Tombamento]),Inventários[Descrição resumida do bem],"(A) Atenção Bem Não cadastrado")</f>
        <v>VÁLVULA ESFERA PP COM ATUADOR ELÉTRICO- COMPÕE SISTEMA DE HIDRÓXIDO DE CÁLCIO EM SUSPENSÃO AQUOSA</v>
      </c>
    </row>
    <row r="82" spans="1:9" ht="19.899999999999999" customHeight="1" x14ac:dyDescent="0.15">
      <c r="A82" s="88" t="s">
        <v>319</v>
      </c>
      <c r="B82" s="88" t="s">
        <v>320</v>
      </c>
      <c r="C82" s="88" t="s">
        <v>618</v>
      </c>
      <c r="D82" s="88" t="s">
        <v>17</v>
      </c>
      <c r="E82" s="88" t="s">
        <v>619</v>
      </c>
      <c r="F82" s="88" t="s">
        <v>18</v>
      </c>
      <c r="G82" s="88" t="s">
        <v>19</v>
      </c>
      <c r="H82" s="63" t="str" cm="1">
        <f t="array" ref="H82">IF(A82&lt;&gt;"",_xlfn.XLOOKUP(_xlfn.NUMBERVALUE(A82),_xlfn.NUMBERVALUE(Inventários[Tombamento]),Inventários[Processo - localização específica]),"")</f>
        <v>Cal em suspensão - armazenagem e válvulas</v>
      </c>
      <c r="I82" s="1" t="str" cm="1">
        <f t="array" ref="I82">_xlfn.XLOOKUP(_xlfn.NUMBERVALUE(Carga[[#This Row],[Tombamento]]),_xlfn.NUMBERVALUE(Inventários[Tombamento]),Inventários[Descrição resumida do bem],"(A) Atenção Bem Não cadastrado")</f>
        <v>VÁLVULA SOLENOIDE EM PP COM ATUADOR ELÉTRICO- COMPÕE SISTEMA DE HIDRÓXIDO DE CÁLCIO EM SUSPENSÃO AQUOSA</v>
      </c>
    </row>
    <row r="83" spans="1:9" ht="19.899999999999999" customHeight="1" x14ac:dyDescent="0.15">
      <c r="A83" s="88" t="s">
        <v>321</v>
      </c>
      <c r="B83" s="88" t="s">
        <v>320</v>
      </c>
      <c r="C83" s="88" t="s">
        <v>618</v>
      </c>
      <c r="D83" s="88" t="s">
        <v>17</v>
      </c>
      <c r="E83" s="88" t="s">
        <v>619</v>
      </c>
      <c r="F83" s="88" t="s">
        <v>18</v>
      </c>
      <c r="G83" s="88" t="s">
        <v>19</v>
      </c>
      <c r="H83" s="63" t="str" cm="1">
        <f t="array" ref="H83">IF(A83&lt;&gt;"",_xlfn.XLOOKUP(_xlfn.NUMBERVALUE(A83),_xlfn.NUMBERVALUE(Inventários[Tombamento]),Inventários[Processo - localização específica]),"")</f>
        <v>Cal em suspensão - armazenagem e válvulas</v>
      </c>
      <c r="I83" s="1" t="str" cm="1">
        <f t="array" ref="I83">_xlfn.XLOOKUP(_xlfn.NUMBERVALUE(Carga[[#This Row],[Tombamento]]),_xlfn.NUMBERVALUE(Inventários[Tombamento]),Inventários[Descrição resumida do bem],"(A) Atenção Bem Não cadastrado")</f>
        <v>VÁLVULA SOLENOIDE EM PP COM ATUADOR ELÉTRICO- COMPÕE SISTEMA DE HIDRÓXIDO DE CÁLCIO EM SUSPENSÃO AQUOSA</v>
      </c>
    </row>
    <row r="84" spans="1:9" ht="19.899999999999999" customHeight="1" x14ac:dyDescent="0.15">
      <c r="A84" s="88" t="s">
        <v>322</v>
      </c>
      <c r="B84" s="88" t="s">
        <v>320</v>
      </c>
      <c r="C84" s="88" t="s">
        <v>618</v>
      </c>
      <c r="D84" s="88" t="s">
        <v>17</v>
      </c>
      <c r="E84" s="88" t="s">
        <v>619</v>
      </c>
      <c r="F84" s="88" t="s">
        <v>18</v>
      </c>
      <c r="G84" s="88" t="s">
        <v>19</v>
      </c>
      <c r="H84" s="63" t="str" cm="1">
        <f t="array" ref="H84">IF(A84&lt;&gt;"",_xlfn.XLOOKUP(_xlfn.NUMBERVALUE(A84),_xlfn.NUMBERVALUE(Inventários[Tombamento]),Inventários[Processo - localização específica]),"")</f>
        <v>Cal em suspensão - armazenagem e válvulas</v>
      </c>
      <c r="I84" s="1" t="str" cm="1">
        <f t="array" ref="I84">_xlfn.XLOOKUP(_xlfn.NUMBERVALUE(Carga[[#This Row],[Tombamento]]),_xlfn.NUMBERVALUE(Inventários[Tombamento]),Inventários[Descrição resumida do bem],"(A) Atenção Bem Não cadastrado")</f>
        <v>VÁLVULA SOLENOIDE EM PP COM ATUADOR ELÉTRICO- COMPÕE SISTEMA DE HIDRÓXIDO DE CÁLCIO EM SUSPENSÃO AQUOSA</v>
      </c>
    </row>
    <row r="85" spans="1:9" ht="19.899999999999999" customHeight="1" x14ac:dyDescent="0.15">
      <c r="A85" s="88" t="s">
        <v>323</v>
      </c>
      <c r="B85" s="88" t="s">
        <v>320</v>
      </c>
      <c r="C85" s="88" t="s">
        <v>618</v>
      </c>
      <c r="D85" s="88" t="s">
        <v>17</v>
      </c>
      <c r="E85" s="88" t="s">
        <v>619</v>
      </c>
      <c r="F85" s="88" t="s">
        <v>18</v>
      </c>
      <c r="G85" s="88" t="s">
        <v>19</v>
      </c>
      <c r="H85" s="63" t="str" cm="1">
        <f t="array" ref="H85">IF(A85&lt;&gt;"",_xlfn.XLOOKUP(_xlfn.NUMBERVALUE(A85),_xlfn.NUMBERVALUE(Inventários[Tombamento]),Inventários[Processo - localização específica]),"")</f>
        <v>Cal em suspensão - armazenagem e válvulas</v>
      </c>
      <c r="I85" s="1" t="str" cm="1">
        <f t="array" ref="I85">_xlfn.XLOOKUP(_xlfn.NUMBERVALUE(Carga[[#This Row],[Tombamento]]),_xlfn.NUMBERVALUE(Inventários[Tombamento]),Inventários[Descrição resumida do bem],"(A) Atenção Bem Não cadastrado")</f>
        <v>VÁLVULA SOLENOIDE EM PP COM ATUADOR ELÉTRICO- COMPÕE SISTEMA DE HIDRÓXIDO DE CÁLCIO EM SUSPENSÃO AQUOSA</v>
      </c>
    </row>
    <row r="86" spans="1:9" ht="19.899999999999999" customHeight="1" x14ac:dyDescent="0.15">
      <c r="A86" s="88" t="s">
        <v>324</v>
      </c>
      <c r="B86" s="88" t="s">
        <v>320</v>
      </c>
      <c r="C86" s="88" t="s">
        <v>618</v>
      </c>
      <c r="D86" s="88" t="s">
        <v>17</v>
      </c>
      <c r="E86" s="88" t="s">
        <v>619</v>
      </c>
      <c r="F86" s="88" t="s">
        <v>18</v>
      </c>
      <c r="G86" s="88" t="s">
        <v>19</v>
      </c>
      <c r="H86" s="63" t="str" cm="1">
        <f t="array" ref="H86">IF(A86&lt;&gt;"",_xlfn.XLOOKUP(_xlfn.NUMBERVALUE(A86),_xlfn.NUMBERVALUE(Inventários[Tombamento]),Inventários[Processo - localização específica]),"")</f>
        <v>Cal em suspensão - armazenagem e válvulas</v>
      </c>
      <c r="I86" s="1" t="str" cm="1">
        <f t="array" ref="I86">_xlfn.XLOOKUP(_xlfn.NUMBERVALUE(Carga[[#This Row],[Tombamento]]),_xlfn.NUMBERVALUE(Inventários[Tombamento]),Inventários[Descrição resumida do bem],"(A) Atenção Bem Não cadastrado")</f>
        <v>VÁLVULA SOLENOIDE EM PP COM ATUADOR ELÉTRICO- COMPÕE SISTEMA DE HIDRÓXIDO DE CÁLCIO EM SUSPENSÃO AQUOSA</v>
      </c>
    </row>
    <row r="87" spans="1:9" ht="19.899999999999999" customHeight="1" x14ac:dyDescent="0.15">
      <c r="A87" s="88" t="s">
        <v>325</v>
      </c>
      <c r="B87" s="88" t="s">
        <v>320</v>
      </c>
      <c r="C87" s="88" t="s">
        <v>618</v>
      </c>
      <c r="D87" s="88" t="s">
        <v>17</v>
      </c>
      <c r="E87" s="88" t="s">
        <v>619</v>
      </c>
      <c r="F87" s="88" t="s">
        <v>18</v>
      </c>
      <c r="G87" s="88" t="s">
        <v>19</v>
      </c>
      <c r="H87" s="63" t="str" cm="1">
        <f t="array" ref="H87">IF(A87&lt;&gt;"",_xlfn.XLOOKUP(_xlfn.NUMBERVALUE(A87),_xlfn.NUMBERVALUE(Inventários[Tombamento]),Inventários[Processo - localização específica]),"")</f>
        <v>Cal em suspensão - armazenagem e válvulas</v>
      </c>
      <c r="I87" s="1" t="str" cm="1">
        <f t="array" ref="I87">_xlfn.XLOOKUP(_xlfn.NUMBERVALUE(Carga[[#This Row],[Tombamento]]),_xlfn.NUMBERVALUE(Inventários[Tombamento]),Inventários[Descrição resumida do bem],"(A) Atenção Bem Não cadastrado")</f>
        <v>VÁLVULA SOLENOIDE EM PP COM ATUADOR ELÉTRICO- COMPÕE SISTEMA DE HIDRÓXIDO DE CÁLCIO EM SUSPENSÃO AQUOSA</v>
      </c>
    </row>
    <row r="88" spans="1:9" ht="19.899999999999999" customHeight="1" x14ac:dyDescent="0.15">
      <c r="A88" s="88" t="s">
        <v>326</v>
      </c>
      <c r="B88" s="88" t="s">
        <v>327</v>
      </c>
      <c r="C88" s="88" t="s">
        <v>618</v>
      </c>
      <c r="D88" s="88" t="s">
        <v>17</v>
      </c>
      <c r="E88" s="88" t="s">
        <v>619</v>
      </c>
      <c r="F88" s="88" t="s">
        <v>18</v>
      </c>
      <c r="G88" s="88" t="s">
        <v>19</v>
      </c>
      <c r="H88" s="63" t="str" cm="1">
        <f t="array" ref="H88">IF(A88&lt;&gt;"",_xlfn.XLOOKUP(_xlfn.NUMBERVALUE(A88),_xlfn.NUMBERVALUE(Inventários[Tombamento]),Inventários[Processo - localização específica]),"")</f>
        <v>Cal em suspensão - armazenagem e válvulas</v>
      </c>
      <c r="I88" s="1" t="str" cm="1">
        <f t="array" ref="I88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89" spans="1:9" ht="19.899999999999999" customHeight="1" x14ac:dyDescent="0.15">
      <c r="A89" s="88" t="s">
        <v>328</v>
      </c>
      <c r="B89" s="88" t="s">
        <v>327</v>
      </c>
      <c r="C89" s="88" t="s">
        <v>618</v>
      </c>
      <c r="D89" s="88" t="s">
        <v>17</v>
      </c>
      <c r="E89" s="88" t="s">
        <v>619</v>
      </c>
      <c r="F89" s="88" t="s">
        <v>18</v>
      </c>
      <c r="G89" s="88" t="s">
        <v>19</v>
      </c>
      <c r="H89" s="63" t="str" cm="1">
        <f t="array" ref="H89">IF(A89&lt;&gt;"",_xlfn.XLOOKUP(_xlfn.NUMBERVALUE(A89),_xlfn.NUMBERVALUE(Inventários[Tombamento]),Inventários[Processo - localização específica]),"")</f>
        <v>Cal em suspensão - armazenagem e válvulas</v>
      </c>
      <c r="I89" s="1" t="str" cm="1">
        <f t="array" ref="I89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90" spans="1:9" ht="19.899999999999999" customHeight="1" x14ac:dyDescent="0.15">
      <c r="A90" s="88" t="s">
        <v>973</v>
      </c>
      <c r="B90" s="88" t="s">
        <v>327</v>
      </c>
      <c r="C90" s="88" t="s">
        <v>618</v>
      </c>
      <c r="D90" s="88" t="s">
        <v>17</v>
      </c>
      <c r="E90" s="88" t="s">
        <v>619</v>
      </c>
      <c r="F90" s="88" t="s">
        <v>18</v>
      </c>
      <c r="G90" s="88" t="s">
        <v>19</v>
      </c>
      <c r="H90" s="63" t="str" cm="1">
        <f t="array" ref="H90">IF(A90&lt;&gt;"",_xlfn.XLOOKUP(_xlfn.NUMBERVALUE(A90),_xlfn.NUMBERVALUE(Inventários[Tombamento]),Inventários[Processo - localização específica]),"")</f>
        <v>Cal em suspensão - bombas de dosagem e recirculação</v>
      </c>
      <c r="I90" s="1" t="str" cm="1">
        <f t="array" ref="I90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91" spans="1:9" ht="19.899999999999999" customHeight="1" x14ac:dyDescent="0.15">
      <c r="A91" s="88" t="s">
        <v>974</v>
      </c>
      <c r="B91" s="88" t="s">
        <v>327</v>
      </c>
      <c r="C91" s="88" t="s">
        <v>618</v>
      </c>
      <c r="D91" s="88" t="s">
        <v>17</v>
      </c>
      <c r="E91" s="88" t="s">
        <v>619</v>
      </c>
      <c r="F91" s="88" t="s">
        <v>18</v>
      </c>
      <c r="G91" s="88" t="s">
        <v>19</v>
      </c>
      <c r="H91" s="63" t="str" cm="1">
        <f t="array" ref="H91">IF(A91&lt;&gt;"",_xlfn.XLOOKUP(_xlfn.NUMBERVALUE(A91),_xlfn.NUMBERVALUE(Inventários[Tombamento]),Inventários[Processo - localização específica]),"")</f>
        <v>Prédio - depósito de bens</v>
      </c>
      <c r="I91" s="1" t="str" cm="1">
        <f t="array" ref="I91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92" spans="1:9" ht="19.899999999999999" customHeight="1" x14ac:dyDescent="0.15">
      <c r="A92" s="88" t="s">
        <v>975</v>
      </c>
      <c r="B92" s="88" t="s">
        <v>327</v>
      </c>
      <c r="C92" s="88" t="s">
        <v>618</v>
      </c>
      <c r="D92" s="88" t="s">
        <v>17</v>
      </c>
      <c r="E92" s="88" t="s">
        <v>619</v>
      </c>
      <c r="F92" s="88" t="s">
        <v>18</v>
      </c>
      <c r="G92" s="88" t="s">
        <v>19</v>
      </c>
      <c r="H92" s="63" t="str" cm="1">
        <f t="array" ref="H92">IF(A92&lt;&gt;"",_xlfn.XLOOKUP(_xlfn.NUMBERVALUE(A92),_xlfn.NUMBERVALUE(Inventários[Tombamento]),Inventários[Processo - localização específica]),"")</f>
        <v>Prédio - depósito de bens</v>
      </c>
      <c r="I92" s="1" t="str" cm="1">
        <f t="array" ref="I92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93" spans="1:9" ht="19.899999999999999" customHeight="1" x14ac:dyDescent="0.15">
      <c r="A93" s="88" t="s">
        <v>976</v>
      </c>
      <c r="B93" s="88" t="s">
        <v>327</v>
      </c>
      <c r="C93" s="88" t="s">
        <v>618</v>
      </c>
      <c r="D93" s="88" t="s">
        <v>17</v>
      </c>
      <c r="E93" s="88" t="s">
        <v>619</v>
      </c>
      <c r="F93" s="88" t="s">
        <v>18</v>
      </c>
      <c r="G93" s="88" t="s">
        <v>19</v>
      </c>
      <c r="H93" s="63" t="str" cm="1">
        <f t="array" ref="H93">IF(A93&lt;&gt;"",_xlfn.XLOOKUP(_xlfn.NUMBERVALUE(A93),_xlfn.NUMBERVALUE(Inventários[Tombamento]),Inventários[Processo - localização específica]),"")</f>
        <v>Prédio - depósito de bens</v>
      </c>
      <c r="I93" s="1" t="str" cm="1">
        <f t="array" ref="I93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94" spans="1:9" ht="19.899999999999999" customHeight="1" x14ac:dyDescent="0.15">
      <c r="A94" s="88" t="s">
        <v>977</v>
      </c>
      <c r="B94" s="88" t="s">
        <v>327</v>
      </c>
      <c r="C94" s="88" t="s">
        <v>618</v>
      </c>
      <c r="D94" s="88" t="s">
        <v>17</v>
      </c>
      <c r="E94" s="88" t="s">
        <v>619</v>
      </c>
      <c r="F94" s="88" t="s">
        <v>18</v>
      </c>
      <c r="G94" s="88" t="s">
        <v>19</v>
      </c>
      <c r="H94" s="63" t="str" cm="1">
        <f t="array" ref="H94">IF(A94&lt;&gt;"",_xlfn.XLOOKUP(_xlfn.NUMBERVALUE(A94),_xlfn.NUMBERVALUE(Inventários[Tombamento]),Inventários[Processo - localização específica]),"")</f>
        <v>Prédio - depósito de bens</v>
      </c>
      <c r="I94" s="1" t="str" cm="1">
        <f t="array" ref="I94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95" spans="1:9" ht="19.899999999999999" customHeight="1" x14ac:dyDescent="0.15">
      <c r="A95" s="88" t="s">
        <v>978</v>
      </c>
      <c r="B95" s="88" t="s">
        <v>327</v>
      </c>
      <c r="C95" s="88" t="s">
        <v>618</v>
      </c>
      <c r="D95" s="88" t="s">
        <v>17</v>
      </c>
      <c r="E95" s="88" t="s">
        <v>619</v>
      </c>
      <c r="F95" s="88" t="s">
        <v>18</v>
      </c>
      <c r="G95" s="88" t="s">
        <v>19</v>
      </c>
      <c r="H95" s="63" t="str" cm="1">
        <f t="array" ref="H95">IF(A95&lt;&gt;"",_xlfn.XLOOKUP(_xlfn.NUMBERVALUE(A95),_xlfn.NUMBERVALUE(Inventários[Tombamento]),Inventários[Processo - localização específica]),"")</f>
        <v>Prédio - depósito de bens</v>
      </c>
      <c r="I95" s="1" t="str" cm="1">
        <f t="array" ref="I95">_xlfn.XLOOKUP(_xlfn.NUMBERVALUE(Carga[[#This Row],[Tombamento]]),_xlfn.NUMBERVALUE(Inventários[Tombamento]),Inventários[Descrição resumida do bem],"(A) Atenção Bem Não cadastrado")</f>
        <v>VÁLVULA ESFERA EM PP COM ATUADOR ELÉTRICO- COMPÕE SISTEMA DE HIDRÓXIDO DE CÁLCIO EM SUSPENSÃO AQUOSA</v>
      </c>
    </row>
    <row r="96" spans="1:9" ht="19.899999999999999" customHeight="1" x14ac:dyDescent="0.15">
      <c r="A96" s="88" t="s">
        <v>329</v>
      </c>
      <c r="B96" s="88" t="s">
        <v>311</v>
      </c>
      <c r="C96" s="88" t="s">
        <v>618</v>
      </c>
      <c r="D96" s="88" t="s">
        <v>17</v>
      </c>
      <c r="E96" s="88" t="s">
        <v>619</v>
      </c>
      <c r="F96" s="88" t="s">
        <v>18</v>
      </c>
      <c r="G96" s="88" t="s">
        <v>19</v>
      </c>
      <c r="H96" s="63" t="str" cm="1">
        <f t="array" ref="H96">IF(A96&lt;&gt;"",_xlfn.XLOOKUP(_xlfn.NUMBERVALUE(A96),_xlfn.NUMBERVALUE(Inventários[Tombamento]),Inventários[Processo - localização específica]),"")</f>
        <v>Cal em suspensão - bombas de dosagem e recirculação</v>
      </c>
      <c r="I96" s="1" t="str" cm="1">
        <f t="array" ref="I96">_xlfn.XLOOKUP(_xlfn.NUMBERVALUE(Carga[[#This Row],[Tombamento]]),_xlfn.NUMBERVALUE(Inventários[Tombamento]),Inventários[Descrição resumida do bem],"(A) Atenção Bem Não cadastrado")</f>
        <v>BOMBA HELICOIDAL DE DOSAGEM- COMPÕE SISTEMA DE HIDRÓXIDO DE CÁLCIO EM SUSPENSÃO AQUOSA</v>
      </c>
    </row>
    <row r="97" spans="1:9" ht="19.899999999999999" customHeight="1" x14ac:dyDescent="0.15">
      <c r="A97" s="88" t="s">
        <v>330</v>
      </c>
      <c r="B97" s="88" t="s">
        <v>311</v>
      </c>
      <c r="C97" s="88" t="s">
        <v>618</v>
      </c>
      <c r="D97" s="88" t="s">
        <v>17</v>
      </c>
      <c r="E97" s="88" t="s">
        <v>619</v>
      </c>
      <c r="F97" s="88" t="s">
        <v>18</v>
      </c>
      <c r="G97" s="88" t="s">
        <v>19</v>
      </c>
      <c r="H97" s="63" t="str" cm="1">
        <f t="array" ref="H97">IF(A97&lt;&gt;"",_xlfn.XLOOKUP(_xlfn.NUMBERVALUE(A97),_xlfn.NUMBERVALUE(Inventários[Tombamento]),Inventários[Processo - localização específica]),"")</f>
        <v>Cal em suspensão - bombas de dosagem e recirculação</v>
      </c>
      <c r="I97" s="1" t="str" cm="1">
        <f t="array" ref="I97">_xlfn.XLOOKUP(_xlfn.NUMBERVALUE(Carga[[#This Row],[Tombamento]]),_xlfn.NUMBERVALUE(Inventários[Tombamento]),Inventários[Descrição resumida do bem],"(A) Atenção Bem Não cadastrado")</f>
        <v>BOMBA HELICOIDAL DE DOSAGEM- COMPÕE SISTEMA DE HIDRÓXIDO DE CÁLCIO EM SUSPENSÃO AQUOSA</v>
      </c>
    </row>
    <row r="98" spans="1:9" ht="19.899999999999999" customHeight="1" x14ac:dyDescent="0.15">
      <c r="A98" s="88" t="s">
        <v>331</v>
      </c>
      <c r="B98" s="88" t="s">
        <v>311</v>
      </c>
      <c r="C98" s="88" t="s">
        <v>618</v>
      </c>
      <c r="D98" s="88" t="s">
        <v>17</v>
      </c>
      <c r="E98" s="88" t="s">
        <v>619</v>
      </c>
      <c r="F98" s="88" t="s">
        <v>18</v>
      </c>
      <c r="G98" s="88" t="s">
        <v>19</v>
      </c>
      <c r="H98" s="63" t="str" cm="1">
        <f t="array" ref="H98">IF(A98&lt;&gt;"",_xlfn.XLOOKUP(_xlfn.NUMBERVALUE(A98),_xlfn.NUMBERVALUE(Inventários[Tombamento]),Inventários[Processo - localização específica]),"")</f>
        <v>Cal em suspensão - bombas de dosagem e recirculação</v>
      </c>
      <c r="I98" s="1" t="str" cm="1">
        <f t="array" ref="I98">_xlfn.XLOOKUP(_xlfn.NUMBERVALUE(Carga[[#This Row],[Tombamento]]),_xlfn.NUMBERVALUE(Inventários[Tombamento]),Inventários[Descrição resumida do bem],"(A) Atenção Bem Não cadastrado")</f>
        <v>BOMBA HELICOIDAL DE DOSAGEM- COMPÕE SISTEMA DE HIDRÓXIDO DE CÁLCIO EM SUSPENSÃO AQUOSA</v>
      </c>
    </row>
    <row r="99" spans="1:9" ht="19.899999999999999" customHeight="1" x14ac:dyDescent="0.15">
      <c r="A99" s="88" t="s">
        <v>332</v>
      </c>
      <c r="B99" s="88" t="s">
        <v>333</v>
      </c>
      <c r="C99" s="88" t="s">
        <v>618</v>
      </c>
      <c r="D99" s="88" t="s">
        <v>17</v>
      </c>
      <c r="E99" s="88" t="s">
        <v>619</v>
      </c>
      <c r="F99" s="88" t="s">
        <v>18</v>
      </c>
      <c r="G99" s="88" t="s">
        <v>19</v>
      </c>
      <c r="H99" s="63" t="str" cm="1">
        <f t="array" ref="H99">IF(A99&lt;&gt;"",_xlfn.XLOOKUP(_xlfn.NUMBERVALUE(A99),_xlfn.NUMBERVALUE(Inventários[Tombamento]),Inventários[Processo - localização específica]),"")</f>
        <v>Casa de química - preparo e dosagem de permanganato e polímero</v>
      </c>
      <c r="I99" s="1" t="str" cm="1">
        <f t="array" ref="I99">_xlfn.XLOOKUP(_xlfn.NUMBERVALUE(Carga[[#This Row],[Tombamento]]),_xlfn.NUMBERVALUE(Inventários[Tombamento]),Inventários[Descrição resumida do bem],"(A) Atenção Bem Não cadastrado")</f>
        <v>QUADRO DE FORÇA COMANDO E CONTROLE- COMPÕE SISTEMA DE HIDRÓXIDO DE CÁLCIO EM SUSPENSÃO AQUOSA</v>
      </c>
    </row>
    <row r="100" spans="1:9" ht="19.899999999999999" customHeight="1" x14ac:dyDescent="0.15">
      <c r="A100" s="88" t="s">
        <v>334</v>
      </c>
      <c r="B100" s="88" t="s">
        <v>335</v>
      </c>
      <c r="C100" s="88" t="s">
        <v>618</v>
      </c>
      <c r="D100" s="88" t="s">
        <v>17</v>
      </c>
      <c r="E100" s="88" t="s">
        <v>619</v>
      </c>
      <c r="F100" s="88" t="s">
        <v>18</v>
      </c>
      <c r="G100" s="88" t="s">
        <v>19</v>
      </c>
      <c r="H100" s="63" t="str" cm="1">
        <f t="array" ref="H100">IF(A100&lt;&gt;"",_xlfn.XLOOKUP(_xlfn.NUMBERVALUE(A100),_xlfn.NUMBERVALUE(Inventários[Tombamento]),Inventários[Processo - localização específica]),"")</f>
        <v>Prédio - secretaria</v>
      </c>
      <c r="I100" s="1" t="str" cm="1">
        <f t="array" ref="I100">_xlfn.XLOOKUP(_xlfn.NUMBERVALUE(Carga[[#This Row],[Tombamento]]),_xlfn.NUMBERVALUE(Inventários[Tombamento]),Inventários[Descrição resumida do bem],"(A) Atenção Bem Não cadastrado")</f>
        <v>ARMÁRIO MÉDIO</v>
      </c>
    </row>
    <row r="101" spans="1:9" ht="19.899999999999999" customHeight="1" x14ac:dyDescent="0.15">
      <c r="A101" s="88" t="s">
        <v>996</v>
      </c>
      <c r="B101" s="88" t="s">
        <v>982</v>
      </c>
      <c r="C101" s="88" t="s">
        <v>618</v>
      </c>
      <c r="D101" s="88" t="s">
        <v>17</v>
      </c>
      <c r="E101" s="88" t="s">
        <v>619</v>
      </c>
      <c r="F101" s="88" t="s">
        <v>18</v>
      </c>
      <c r="G101" s="88" t="s">
        <v>30</v>
      </c>
      <c r="H101" s="63" t="str" cm="1">
        <f t="array" ref="H101">IF(A101&lt;&gt;"",_xlfn.XLOOKUP(_xlfn.NUMBERVALUE(A101),_xlfn.NUMBERVALUE(Inventários[Tombamento]),Inventários[Processo - localização específica]),"")</f>
        <v>Prédio - oficina</v>
      </c>
      <c r="I101" s="1" t="str" cm="1">
        <f t="array" ref="I101">_xlfn.XLOOKUP(_xlfn.NUMBERVALUE(Carga[[#This Row],[Tombamento]]),_xlfn.NUMBERVALUE(Inventários[Tombamento]),Inventários[Descrição resumida do bem],"(A) Atenção Bem Não cadastrado")</f>
        <v>BOMBAS SUBMERSÍVEIS DE RECIRCULAÇÃO DE ESGOTO COM MOSTRADOR</v>
      </c>
    </row>
    <row r="102" spans="1:9" ht="19.899999999999999" customHeight="1" x14ac:dyDescent="0.15">
      <c r="A102" s="88" t="s">
        <v>665</v>
      </c>
      <c r="B102" s="88" t="s">
        <v>116</v>
      </c>
      <c r="C102" s="88" t="s">
        <v>618</v>
      </c>
      <c r="D102" s="88" t="s">
        <v>17</v>
      </c>
      <c r="E102" s="88" t="s">
        <v>619</v>
      </c>
      <c r="F102" s="88" t="s">
        <v>18</v>
      </c>
      <c r="G102" s="88" t="s">
        <v>19</v>
      </c>
      <c r="H102" s="63" t="str" cm="1">
        <f t="array" ref="H102">IF(A102&lt;&gt;"",_xlfn.XLOOKUP(_xlfn.NUMBERVALUE(A102),_xlfn.NUMBERVALUE(Inventários[Tombamento]),Inventários[Processo - localização específica]),"")</f>
        <v>EAT - casa de máquinas e  med. de vazão</v>
      </c>
      <c r="I102" s="1" t="str" cm="1">
        <f t="array" ref="I102">_xlfn.XLOOKUP(_xlfn.NUMBERVALUE(Carga[[#This Row],[Tombamento]]),_xlfn.NUMBERVALUE(Inventários[Tombamento]),Inventários[Descrição resumida do bem],"(A) Atenção Bem Não cadastrado")</f>
        <v>CONJUNTO MOTO-BOMBA DO TIPO CENTRIFUGA HORIZONTAL. 4500 CV, 1200 RPM, 60HZ.</v>
      </c>
    </row>
    <row r="103" spans="1:9" ht="19.899999999999999" customHeight="1" x14ac:dyDescent="0.15">
      <c r="A103" s="88" t="s">
        <v>666</v>
      </c>
      <c r="B103" s="88" t="s">
        <v>117</v>
      </c>
      <c r="C103" s="88" t="s">
        <v>618</v>
      </c>
      <c r="D103" s="88" t="s">
        <v>17</v>
      </c>
      <c r="E103" s="88" t="s">
        <v>619</v>
      </c>
      <c r="F103" s="88" t="s">
        <v>18</v>
      </c>
      <c r="G103" s="88" t="s">
        <v>19</v>
      </c>
      <c r="H103" s="63" t="str" cm="1">
        <f t="array" ref="H103">IF(A103&lt;&gt;"",_xlfn.XLOOKUP(_xlfn.NUMBERVALUE(A103),_xlfn.NUMBERVALUE(Inventários[Tombamento]),Inventários[Processo - localização específica]),"")</f>
        <v>EAT - casa de máquinas e  med. de vazão</v>
      </c>
      <c r="I103" s="1" t="str" cm="1">
        <f t="array" ref="I103">_xlfn.XLOOKUP(_xlfn.NUMBERVALUE(Carga[[#This Row],[Tombamento]]),_xlfn.NUMBERVALUE(Inventários[Tombamento]),Inventários[Descrição resumida do bem],"(A) Atenção Bem Não cadastrado")</f>
        <v>CONJUNTO MOTO-BOMBA DO TIPO CENTRIFUGA HORIZONTAL. 4500CV, 1200RPM E 60HZ E</v>
      </c>
    </row>
    <row r="104" spans="1:9" ht="19.899999999999999" customHeight="1" x14ac:dyDescent="0.15">
      <c r="A104" s="88" t="s">
        <v>667</v>
      </c>
      <c r="B104" s="88" t="s">
        <v>118</v>
      </c>
      <c r="C104" s="88" t="s">
        <v>618</v>
      </c>
      <c r="D104" s="88" t="s">
        <v>17</v>
      </c>
      <c r="E104" s="88" t="s">
        <v>619</v>
      </c>
      <c r="F104" s="88" t="s">
        <v>18</v>
      </c>
      <c r="G104" s="88" t="s">
        <v>19</v>
      </c>
      <c r="H104" s="63" t="str" cm="1">
        <f t="array" ref="H104">IF(A104&lt;&gt;"",_xlfn.XLOOKUP(_xlfn.NUMBERVALUE(A104),_xlfn.NUMBERVALUE(Inventários[Tombamento]),Inventários[Processo - localização específica]),"")</f>
        <v>EAT - casa de máquinas e  med. de vazão</v>
      </c>
      <c r="I104" s="1" t="str" cm="1">
        <f t="array" ref="I104">_xlfn.XLOOKUP(_xlfn.NUMBERVALUE(Carga[[#This Row],[Tombamento]]),_xlfn.NUMBERVALUE(Inventários[Tombamento]),Inventários[Descrição resumida do bem],"(A) Atenção Bem Não cadastrado")</f>
        <v>CONJUNTO MOTO-BOMBA DO TIPO CENTRIFUGA HORIZONTAL. 4500CV, 1200RPM E 60HZ W</v>
      </c>
    </row>
    <row r="105" spans="1:9" ht="19.899999999999999" customHeight="1" x14ac:dyDescent="0.15">
      <c r="A105" s="88" t="s">
        <v>336</v>
      </c>
      <c r="B105" s="88" t="s">
        <v>337</v>
      </c>
      <c r="C105" s="88" t="s">
        <v>618</v>
      </c>
      <c r="D105" s="88" t="s">
        <v>17</v>
      </c>
      <c r="E105" s="88" t="s">
        <v>619</v>
      </c>
      <c r="F105" s="88" t="s">
        <v>18</v>
      </c>
      <c r="G105" s="88" t="s">
        <v>19</v>
      </c>
      <c r="H105" s="63" t="str" cm="1">
        <f t="array" ref="H105">IF(A105&lt;&gt;"",_xlfn.XLOOKUP(_xlfn.NUMBERVALUE(A105),_xlfn.NUMBERVALUE(Inventários[Tombamento]),Inventários[Processo - localização específica]),"")</f>
        <v>Flotador 01 - removedor(es) de lodo</v>
      </c>
      <c r="I105" s="1" t="str" cm="1">
        <f t="array" ref="I105">_xlfn.XLOOKUP(_xlfn.NUMBERVALUE(Carga[[#This Row],[Tombamento]]),_xlfn.NUMBERVALUE(Inventários[Tombamento]),Inventários[Descrição resumida do bem],"(A) Atenção Bem Não cadastrado")</f>
        <v xml:space="preserve"> MEDIOR DE NÍVEL SIEMENS - HYDRORANGER 200</v>
      </c>
    </row>
    <row r="106" spans="1:9" ht="19.899999999999999" customHeight="1" x14ac:dyDescent="0.15">
      <c r="A106" s="88" t="s">
        <v>338</v>
      </c>
      <c r="B106" s="88" t="s">
        <v>339</v>
      </c>
      <c r="C106" s="88" t="s">
        <v>618</v>
      </c>
      <c r="D106" s="88" t="s">
        <v>17</v>
      </c>
      <c r="E106" s="88" t="s">
        <v>619</v>
      </c>
      <c r="F106" s="88" t="s">
        <v>18</v>
      </c>
      <c r="G106" s="88" t="s">
        <v>19</v>
      </c>
      <c r="H106" s="63" t="str" cm="1">
        <f t="array" ref="H106">IF(A106&lt;&gt;"",_xlfn.XLOOKUP(_xlfn.NUMBERVALUE(A106),_xlfn.NUMBERVALUE(Inventários[Tombamento]),Inventários[Processo - localização específica]),"")</f>
        <v>Flotadores - compressores de ar e válvulas de drenagem Módulos 01/02</v>
      </c>
      <c r="I106" s="1" t="str" cm="1">
        <f t="array" ref="I106">_xlfn.XLOOKUP(_xlfn.NUMBERVALUE(Carga[[#This Row],[Tombamento]]),_xlfn.NUMBERVALUE(Inventários[Tombamento]),Inventários[Descrição resumida do bem],"(A) Atenção Bem Não cadastrado")</f>
        <v xml:space="preserve"> TRANSMISSOR DE PRESSÃO SIEMENS - DE-76181.</v>
      </c>
    </row>
    <row r="107" spans="1:9" ht="19.899999999999999" customHeight="1" x14ac:dyDescent="0.15">
      <c r="A107" s="88" t="s">
        <v>340</v>
      </c>
      <c r="B107" s="88" t="s">
        <v>341</v>
      </c>
      <c r="C107" s="88" t="s">
        <v>618</v>
      </c>
      <c r="D107" s="88" t="s">
        <v>17</v>
      </c>
      <c r="E107" s="88" t="s">
        <v>619</v>
      </c>
      <c r="F107" s="88" t="s">
        <v>18</v>
      </c>
      <c r="G107" s="88" t="s">
        <v>19</v>
      </c>
      <c r="H107" s="63" t="str" cm="1">
        <f t="array" ref="H107">IF(A107&lt;&gt;"",_xlfn.XLOOKUP(_xlfn.NUMBERVALUE(A107),_xlfn.NUMBERVALUE(Inventários[Tombamento]),Inventários[Processo - localização específica]),"")</f>
        <v>Prédio - laboratório</v>
      </c>
      <c r="I107" s="1" t="str" cm="1">
        <f t="array" ref="I107">_xlfn.XLOOKUP(_xlfn.NUMBERVALUE(Carga[[#This Row],[Tombamento]]),_xlfn.NUMBERVALUE(Inventários[Tombamento]),Inventários[Descrição resumida do bem],"(A) Atenção Bem Não cadastrado")</f>
        <v>ANALISADOR DE CARBONO COM INTERFACE DE COMUNICAÇÃO EM REDE</v>
      </c>
    </row>
    <row r="108" spans="1:9" ht="19.899999999999999" customHeight="1" x14ac:dyDescent="0.15">
      <c r="A108" s="88" t="s">
        <v>342</v>
      </c>
      <c r="B108" s="88" t="s">
        <v>343</v>
      </c>
      <c r="C108" s="88" t="s">
        <v>618</v>
      </c>
      <c r="D108" s="88" t="s">
        <v>17</v>
      </c>
      <c r="E108" s="88" t="s">
        <v>619</v>
      </c>
      <c r="F108" s="88" t="s">
        <v>18</v>
      </c>
      <c r="G108" s="88" t="s">
        <v>19</v>
      </c>
      <c r="H108" s="63" t="str" cm="1">
        <f t="array" ref="H108">IF(A108&lt;&gt;"",_xlfn.XLOOKUP(_xlfn.NUMBERVALUE(A108),_xlfn.NUMBERVALUE(Inventários[Tombamento]),Inventários[Processo - localização específica]),"")</f>
        <v>Bloco hidráulico - analisadores d'água bruta</v>
      </c>
      <c r="I108" s="1" t="str" cm="1">
        <f t="array" ref="I108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09" spans="1:9" ht="19.899999999999999" customHeight="1" x14ac:dyDescent="0.15">
      <c r="A109" s="88" t="s">
        <v>344</v>
      </c>
      <c r="B109" s="88" t="s">
        <v>343</v>
      </c>
      <c r="C109" s="88" t="s">
        <v>618</v>
      </c>
      <c r="D109" s="88" t="s">
        <v>17</v>
      </c>
      <c r="E109" s="88" t="s">
        <v>619</v>
      </c>
      <c r="F109" s="88" t="s">
        <v>18</v>
      </c>
      <c r="G109" s="88" t="s">
        <v>19</v>
      </c>
      <c r="H109" s="63" t="str" cm="1">
        <f t="array" ref="H109">IF(A109&lt;&gt;"",_xlfn.XLOOKUP(_xlfn.NUMBERVALUE(A109),_xlfn.NUMBERVALUE(Inventários[Tombamento]),Inventários[Processo - localização específica]),"")</f>
        <v>Bloco hidráulico - analisadores d'água bruta</v>
      </c>
      <c r="I109" s="1" t="str" cm="1">
        <f t="array" ref="I109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10" spans="1:9" ht="19.899999999999999" customHeight="1" x14ac:dyDescent="0.15">
      <c r="A110" s="88" t="s">
        <v>345</v>
      </c>
      <c r="B110" s="88" t="s">
        <v>343</v>
      </c>
      <c r="C110" s="88" t="s">
        <v>618</v>
      </c>
      <c r="D110" s="88" t="s">
        <v>17</v>
      </c>
      <c r="E110" s="88" t="s">
        <v>619</v>
      </c>
      <c r="F110" s="88" t="s">
        <v>18</v>
      </c>
      <c r="G110" s="88" t="s">
        <v>19</v>
      </c>
      <c r="H110" s="63" t="str" cm="1">
        <f t="array" ref="H110">IF(A110&lt;&gt;"",_xlfn.XLOOKUP(_xlfn.NUMBERVALUE(A110),_xlfn.NUMBERVALUE(Inventários[Tombamento]),Inventários[Processo - localização específica]),"")</f>
        <v>Filtro 08 - turbidimetro e med. taxa de filtração</v>
      </c>
      <c r="I110" s="1" t="str" cm="1">
        <f t="array" ref="I110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11" spans="1:9" ht="19.899999999999999" customHeight="1" x14ac:dyDescent="0.15">
      <c r="A111" s="88" t="s">
        <v>346</v>
      </c>
      <c r="B111" s="88" t="s">
        <v>343</v>
      </c>
      <c r="C111" s="88" t="s">
        <v>618</v>
      </c>
      <c r="D111" s="88" t="s">
        <v>17</v>
      </c>
      <c r="E111" s="88" t="s">
        <v>619</v>
      </c>
      <c r="F111" s="88" t="s">
        <v>18</v>
      </c>
      <c r="G111" s="88" t="s">
        <v>19</v>
      </c>
      <c r="H111" s="63" t="str" cm="1">
        <f t="array" ref="H111">IF(A111&lt;&gt;"",_xlfn.XLOOKUP(_xlfn.NUMBERVALUE(A111),_xlfn.NUMBERVALUE(Inventários[Tombamento]),Inventários[Processo - localização específica]),"")</f>
        <v>Bloco hidráulico - analisadores d'água bruta</v>
      </c>
      <c r="I111" s="1" t="str" cm="1">
        <f t="array" ref="I111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12" spans="1:9" ht="19.899999999999999" customHeight="1" x14ac:dyDescent="0.15">
      <c r="A112" s="88" t="s">
        <v>347</v>
      </c>
      <c r="B112" s="88" t="s">
        <v>343</v>
      </c>
      <c r="C112" s="88" t="s">
        <v>618</v>
      </c>
      <c r="D112" s="88" t="s">
        <v>17</v>
      </c>
      <c r="E112" s="88" t="s">
        <v>619</v>
      </c>
      <c r="F112" s="88" t="s">
        <v>18</v>
      </c>
      <c r="G112" s="88" t="s">
        <v>19</v>
      </c>
      <c r="H112" s="63" t="str" cm="1">
        <f t="array" ref="H112">IF(A112&lt;&gt;"",_xlfn.XLOOKUP(_xlfn.NUMBERVALUE(A112),_xlfn.NUMBERVALUE(Inventários[Tombamento]),Inventários[Processo - localização específica]),"")</f>
        <v>Bloco hidráulico - analisadores d'água bruta</v>
      </c>
      <c r="I112" s="1" t="str" cm="1">
        <f t="array" ref="I112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13" spans="1:9" ht="19.899999999999999" customHeight="1" x14ac:dyDescent="0.15">
      <c r="A113" s="88" t="s">
        <v>348</v>
      </c>
      <c r="B113" s="88" t="s">
        <v>343</v>
      </c>
      <c r="C113" s="88" t="s">
        <v>618</v>
      </c>
      <c r="D113" s="88" t="s">
        <v>17</v>
      </c>
      <c r="E113" s="88" t="s">
        <v>619</v>
      </c>
      <c r="F113" s="88" t="s">
        <v>18</v>
      </c>
      <c r="G113" s="88" t="s">
        <v>19</v>
      </c>
      <c r="H113" s="63" t="str" cm="1">
        <f t="array" ref="H113">IF(A113&lt;&gt;"",_xlfn.XLOOKUP(_xlfn.NUMBERVALUE(A113),_xlfn.NUMBERVALUE(Inventários[Tombamento]),Inventários[Processo - localização específica]),"")</f>
        <v>Filtro 06 - turbidimetro e med. taxa de filtração</v>
      </c>
      <c r="I113" s="1" t="str" cm="1">
        <f t="array" ref="I113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14" spans="1:9" ht="19.899999999999999" customHeight="1" x14ac:dyDescent="0.15">
      <c r="A114" s="88" t="s">
        <v>349</v>
      </c>
      <c r="B114" s="88" t="s">
        <v>343</v>
      </c>
      <c r="C114" s="88" t="s">
        <v>618</v>
      </c>
      <c r="D114" s="88" t="s">
        <v>17</v>
      </c>
      <c r="E114" s="88" t="s">
        <v>619</v>
      </c>
      <c r="F114" s="88" t="s">
        <v>18</v>
      </c>
      <c r="G114" s="88" t="s">
        <v>19</v>
      </c>
      <c r="H114" s="63" t="str" cm="1">
        <f t="array" ref="H114">IF(A114&lt;&gt;"",_xlfn.XLOOKUP(_xlfn.NUMBERVALUE(A114),_xlfn.NUMBERVALUE(Inventários[Tombamento]),Inventários[Processo - localização específica]),"")</f>
        <v>Filtro 07 - turbidimetro e med. taxa de filtração</v>
      </c>
      <c r="I114" s="1" t="str" cm="1">
        <f t="array" ref="I114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15" spans="1:9" ht="19.899999999999999" customHeight="1" x14ac:dyDescent="0.15">
      <c r="A115" s="88" t="s">
        <v>350</v>
      </c>
      <c r="B115" s="88" t="s">
        <v>343</v>
      </c>
      <c r="C115" s="88" t="s">
        <v>618</v>
      </c>
      <c r="D115" s="88" t="s">
        <v>17</v>
      </c>
      <c r="E115" s="88" t="s">
        <v>619</v>
      </c>
      <c r="F115" s="88" t="s">
        <v>18</v>
      </c>
      <c r="G115" s="88" t="s">
        <v>19</v>
      </c>
      <c r="H115" s="63" t="str" cm="1">
        <f t="array" ref="H115">IF(A115&lt;&gt;"",_xlfn.XLOOKUP(_xlfn.NUMBERVALUE(A115),_xlfn.NUMBERVALUE(Inventários[Tombamento]),Inventários[Processo - localização específica]),"")</f>
        <v>Filtro 04 - turbidimetro e med. taxa de filtração</v>
      </c>
      <c r="I115" s="1" t="str" cm="1">
        <f t="array" ref="I115">_xlfn.XLOOKUP(_xlfn.NUMBERVALUE(Carga[[#This Row],[Tombamento]]),_xlfn.NUMBERVALUE(Inventários[Tombamento]),Inventários[Descrição resumida do bem],"(A) Atenção Bem Não cadastrado")</f>
        <v>ANALISADOR DE TURBIDEZ (TURBIDÍMETRO)</v>
      </c>
    </row>
    <row r="116" spans="1:9" ht="19.899999999999999" customHeight="1" x14ac:dyDescent="0.15">
      <c r="A116" s="88" t="s">
        <v>351</v>
      </c>
      <c r="B116" s="88" t="s">
        <v>352</v>
      </c>
      <c r="C116" s="88" t="s">
        <v>618</v>
      </c>
      <c r="D116" s="88" t="s">
        <v>17</v>
      </c>
      <c r="E116" s="88" t="s">
        <v>619</v>
      </c>
      <c r="F116" s="88" t="s">
        <v>18</v>
      </c>
      <c r="G116" s="88" t="s">
        <v>19</v>
      </c>
      <c r="H116" s="63" t="str" cm="1">
        <f t="array" ref="H116">IF(A116&lt;&gt;"",_xlfn.XLOOKUP(_xlfn.NUMBERVALUE(A116),_xlfn.NUMBERVALUE(Inventários[Tombamento]),Inventários[Processo - localização específica]),"")</f>
        <v>Tanque reciclo - elevatória, turbidimetro e med. de nível e vazão</v>
      </c>
      <c r="I116" s="1" t="str" cm="1">
        <f t="array" ref="I116">_xlfn.XLOOKUP(_xlfn.NUMBERVALUE(Carga[[#This Row],[Tombamento]]),_xlfn.NUMBERVALUE(Inventários[Tombamento]),Inventários[Descrição resumida do bem],"(A) Atenção Bem Não cadastrado")</f>
        <v>ANALISADOR DE TURBIDEZ PARA AGUA BRUTA</v>
      </c>
    </row>
    <row r="117" spans="1:9" ht="19.899999999999999" customHeight="1" x14ac:dyDescent="0.15">
      <c r="A117" s="88" t="s">
        <v>353</v>
      </c>
      <c r="B117" s="88" t="s">
        <v>352</v>
      </c>
      <c r="C117" s="88" t="s">
        <v>618</v>
      </c>
      <c r="D117" s="88" t="s">
        <v>17</v>
      </c>
      <c r="E117" s="88" t="s">
        <v>619</v>
      </c>
      <c r="F117" s="88" t="s">
        <v>18</v>
      </c>
      <c r="G117" s="88" t="s">
        <v>19</v>
      </c>
      <c r="H117" s="63" t="str" cm="1">
        <f t="array" ref="H117">IF(A117&lt;&gt;"",_xlfn.XLOOKUP(_xlfn.NUMBERVALUE(A117),_xlfn.NUMBERVALUE(Inventários[Tombamento]),Inventários[Processo - localização específica]),"")</f>
        <v>Bloco hidráulico - analisadores d'água bruta</v>
      </c>
      <c r="I117" s="1" t="str" cm="1">
        <f t="array" ref="I117">_xlfn.XLOOKUP(_xlfn.NUMBERVALUE(Carga[[#This Row],[Tombamento]]),_xlfn.NUMBERVALUE(Inventários[Tombamento]),Inventários[Descrição resumida do bem],"(A) Atenção Bem Não cadastrado")</f>
        <v>ANALISADOR DE TURBIDEZ PARA AGUA BRUTA</v>
      </c>
    </row>
    <row r="118" spans="1:9" ht="19.899999999999999" customHeight="1" x14ac:dyDescent="0.15">
      <c r="A118" s="88" t="s">
        <v>354</v>
      </c>
      <c r="B118" s="88" t="s">
        <v>355</v>
      </c>
      <c r="C118" s="88" t="s">
        <v>618</v>
      </c>
      <c r="D118" s="88" t="s">
        <v>17</v>
      </c>
      <c r="E118" s="88" t="s">
        <v>619</v>
      </c>
      <c r="F118" s="88" t="s">
        <v>18</v>
      </c>
      <c r="G118" s="88" t="s">
        <v>19</v>
      </c>
      <c r="H118" s="63" t="str" cm="1">
        <f t="array" ref="H118">IF(A118&lt;&gt;"",_xlfn.XLOOKUP(_xlfn.NUMBERVALUE(A118),_xlfn.NUMBERVALUE(Inventários[Tombamento]),Inventários[Processo - localização específica]),"")</f>
        <v>SDL - dosadoras de lodo adensado e polímero</v>
      </c>
      <c r="I118" s="1" t="str" cm="1">
        <f t="array" ref="I118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19" spans="1:9" ht="19.899999999999999" customHeight="1" x14ac:dyDescent="0.15">
      <c r="A119" s="88" t="s">
        <v>356</v>
      </c>
      <c r="B119" s="88" t="s">
        <v>355</v>
      </c>
      <c r="C119" s="88" t="s">
        <v>618</v>
      </c>
      <c r="D119" s="88" t="s">
        <v>17</v>
      </c>
      <c r="E119" s="88" t="s">
        <v>619</v>
      </c>
      <c r="F119" s="88" t="s">
        <v>18</v>
      </c>
      <c r="G119" s="88" t="s">
        <v>19</v>
      </c>
      <c r="H119" s="63" t="str" cm="1">
        <f t="array" ref="H119">IF(A119&lt;&gt;"",_xlfn.XLOOKUP(_xlfn.NUMBERVALUE(A119),_xlfn.NUMBERVALUE(Inventários[Tombamento]),Inventários[Processo - localização específica]),"")</f>
        <v>SDL - dosadoras de lodo adensado e polímero</v>
      </c>
      <c r="I119" s="1" t="str" cm="1">
        <f t="array" ref="I119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0" spans="1:9" ht="19.899999999999999" customHeight="1" x14ac:dyDescent="0.15">
      <c r="A120" s="88" t="s">
        <v>357</v>
      </c>
      <c r="B120" s="88" t="s">
        <v>355</v>
      </c>
      <c r="C120" s="88" t="s">
        <v>618</v>
      </c>
      <c r="D120" s="88" t="s">
        <v>17</v>
      </c>
      <c r="E120" s="88" t="s">
        <v>619</v>
      </c>
      <c r="F120" s="88" t="s">
        <v>18</v>
      </c>
      <c r="G120" s="88" t="s">
        <v>19</v>
      </c>
      <c r="H120" s="63" t="str" cm="1">
        <f t="array" ref="H120">IF(A120&lt;&gt;"",_xlfn.XLOOKUP(_xlfn.NUMBERVALUE(A120),_xlfn.NUMBERVALUE(Inventários[Tombamento]),Inventários[Processo - localização específica]),"")</f>
        <v>SDL - dosadoras de lodo adensado e polímero</v>
      </c>
      <c r="I120" s="1" t="str" cm="1">
        <f t="array" ref="I120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1" spans="1:9" ht="19.899999999999999" customHeight="1" x14ac:dyDescent="0.15">
      <c r="A121" s="88" t="s">
        <v>358</v>
      </c>
      <c r="B121" s="88" t="s">
        <v>355</v>
      </c>
      <c r="C121" s="88" t="s">
        <v>618</v>
      </c>
      <c r="D121" s="88" t="s">
        <v>17</v>
      </c>
      <c r="E121" s="88" t="s">
        <v>619</v>
      </c>
      <c r="F121" s="88" t="s">
        <v>18</v>
      </c>
      <c r="G121" s="88" t="s">
        <v>19</v>
      </c>
      <c r="H121" s="63" t="str" cm="1">
        <f t="array" ref="H121">IF(A121&lt;&gt;"",_xlfn.XLOOKUP(_xlfn.NUMBERVALUE(A121),_xlfn.NUMBERVALUE(Inventários[Tombamento]),Inventários[Processo - localização específica]),"")</f>
        <v>SDL - dosadoras de lodo adensado e polímero</v>
      </c>
      <c r="I121" s="1" t="str" cm="1">
        <f t="array" ref="I121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2" spans="1:9" ht="19.899999999999999" customHeight="1" x14ac:dyDescent="0.15">
      <c r="A122" s="88" t="s">
        <v>359</v>
      </c>
      <c r="B122" s="88" t="s">
        <v>355</v>
      </c>
      <c r="C122" s="88" t="s">
        <v>618</v>
      </c>
      <c r="D122" s="88" t="s">
        <v>17</v>
      </c>
      <c r="E122" s="88" t="s">
        <v>619</v>
      </c>
      <c r="F122" s="88" t="s">
        <v>18</v>
      </c>
      <c r="G122" s="88" t="s">
        <v>19</v>
      </c>
      <c r="H122" s="63" t="str" cm="1">
        <f t="array" ref="H122">IF(A122&lt;&gt;"",_xlfn.XLOOKUP(_xlfn.NUMBERVALUE(A122),_xlfn.NUMBERVALUE(Inventários[Tombamento]),Inventários[Processo - localização específica]),"")</f>
        <v>Flotadores 07/08 - elevatórias de lodo flotado e válvulas</v>
      </c>
      <c r="I122" s="1" t="str" cm="1">
        <f t="array" ref="I122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3" spans="1:9" ht="19.899999999999999" customHeight="1" x14ac:dyDescent="0.15">
      <c r="A123" s="88" t="s">
        <v>360</v>
      </c>
      <c r="B123" s="88" t="s">
        <v>355</v>
      </c>
      <c r="C123" s="88" t="s">
        <v>618</v>
      </c>
      <c r="D123" s="88" t="s">
        <v>17</v>
      </c>
      <c r="E123" s="88" t="s">
        <v>619</v>
      </c>
      <c r="F123" s="88" t="s">
        <v>18</v>
      </c>
      <c r="G123" s="88" t="s">
        <v>19</v>
      </c>
      <c r="H123" s="63" t="str" cm="1">
        <f t="array" ref="H123">IF(A123&lt;&gt;"",_xlfn.XLOOKUP(_xlfn.NUMBERVALUE(A123),_xlfn.NUMBERVALUE(Inventários[Tombamento]),Inventários[Processo - localização específica]),"")</f>
        <v>Flotadores 07/08 - elevatórias de lodo flotado e válvulas</v>
      </c>
      <c r="I123" s="1" t="str" cm="1">
        <f t="array" ref="I123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4" spans="1:9" ht="19.899999999999999" customHeight="1" x14ac:dyDescent="0.15">
      <c r="A124" s="88" t="s">
        <v>361</v>
      </c>
      <c r="B124" s="88" t="s">
        <v>355</v>
      </c>
      <c r="C124" s="88" t="s">
        <v>618</v>
      </c>
      <c r="D124" s="88" t="s">
        <v>17</v>
      </c>
      <c r="E124" s="88" t="s">
        <v>619</v>
      </c>
      <c r="F124" s="88" t="s">
        <v>18</v>
      </c>
      <c r="G124" s="88" t="s">
        <v>19</v>
      </c>
      <c r="H124" s="63" t="str" cm="1">
        <f t="array" ref="H124">IF(A124&lt;&gt;"",_xlfn.XLOOKUP(_xlfn.NUMBERVALUE(A124),_xlfn.NUMBERVALUE(Inventários[Tombamento]),Inventários[Processo - localização específica]),"")</f>
        <v>Flotadores 05/06 - elevatórias de lodo flotado e válvulas</v>
      </c>
      <c r="I124" s="1" t="str" cm="1">
        <f t="array" ref="I124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5" spans="1:9" ht="19.899999999999999" customHeight="1" x14ac:dyDescent="0.15">
      <c r="A125" s="88" t="s">
        <v>362</v>
      </c>
      <c r="B125" s="88" t="s">
        <v>355</v>
      </c>
      <c r="C125" s="88" t="s">
        <v>618</v>
      </c>
      <c r="D125" s="88" t="s">
        <v>17</v>
      </c>
      <c r="E125" s="88" t="s">
        <v>619</v>
      </c>
      <c r="F125" s="88" t="s">
        <v>18</v>
      </c>
      <c r="G125" s="88" t="s">
        <v>19</v>
      </c>
      <c r="H125" s="63" t="str" cm="1">
        <f t="array" ref="H125">IF(A125&lt;&gt;"",_xlfn.XLOOKUP(_xlfn.NUMBERVALUE(A125),_xlfn.NUMBERVALUE(Inventários[Tombamento]),Inventários[Processo - localização específica]),"")</f>
        <v>Flotadores 05/06 - elevatórias de lodo flotado e válvulas</v>
      </c>
      <c r="I125" s="1" t="str" cm="1">
        <f t="array" ref="I125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6" spans="1:9" ht="19.899999999999999" customHeight="1" x14ac:dyDescent="0.15">
      <c r="A126" s="88" t="s">
        <v>363</v>
      </c>
      <c r="B126" s="88" t="s">
        <v>355</v>
      </c>
      <c r="C126" s="88" t="s">
        <v>618</v>
      </c>
      <c r="D126" s="88" t="s">
        <v>17</v>
      </c>
      <c r="E126" s="88" t="s">
        <v>619</v>
      </c>
      <c r="F126" s="88" t="s">
        <v>18</v>
      </c>
      <c r="G126" s="88" t="s">
        <v>19</v>
      </c>
      <c r="H126" s="63" t="str" cm="1">
        <f t="array" ref="H126">IF(A126&lt;&gt;"",_xlfn.XLOOKUP(_xlfn.NUMBERVALUE(A126),_xlfn.NUMBERVALUE(Inventários[Tombamento]),Inventários[Processo - localização específica]),"")</f>
        <v>Flotadores 03/04 - elevatórias de lodo flotado e válvulas</v>
      </c>
      <c r="I126" s="1" t="str" cm="1">
        <f t="array" ref="I126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7" spans="1:9" ht="19.899999999999999" customHeight="1" x14ac:dyDescent="0.15">
      <c r="A127" s="88" t="s">
        <v>364</v>
      </c>
      <c r="B127" s="88" t="s">
        <v>355</v>
      </c>
      <c r="C127" s="88" t="s">
        <v>618</v>
      </c>
      <c r="D127" s="88" t="s">
        <v>17</v>
      </c>
      <c r="E127" s="88" t="s">
        <v>619</v>
      </c>
      <c r="F127" s="88" t="s">
        <v>18</v>
      </c>
      <c r="G127" s="88" t="s">
        <v>19</v>
      </c>
      <c r="H127" s="63" t="str" cm="1">
        <f t="array" ref="H127">IF(A127&lt;&gt;"",_xlfn.XLOOKUP(_xlfn.NUMBERVALUE(A127),_xlfn.NUMBERVALUE(Inventários[Tombamento]),Inventários[Processo - localização específica]),"")</f>
        <v>Flotadores 03/04 - elevatórias de lodo flotado e válvulas</v>
      </c>
      <c r="I127" s="1" t="str" cm="1">
        <f t="array" ref="I127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8" spans="1:9" ht="19.899999999999999" customHeight="1" x14ac:dyDescent="0.15">
      <c r="A128" s="88" t="s">
        <v>365</v>
      </c>
      <c r="B128" s="88" t="s">
        <v>355</v>
      </c>
      <c r="C128" s="88" t="s">
        <v>618</v>
      </c>
      <c r="D128" s="88" t="s">
        <v>17</v>
      </c>
      <c r="E128" s="88" t="s">
        <v>619</v>
      </c>
      <c r="F128" s="88" t="s">
        <v>18</v>
      </c>
      <c r="G128" s="88" t="s">
        <v>19</v>
      </c>
      <c r="H128" s="63" t="str" cm="1">
        <f t="array" ref="H128">IF(A128&lt;&gt;"",_xlfn.XLOOKUP(_xlfn.NUMBERVALUE(A128),_xlfn.NUMBERVALUE(Inventários[Tombamento]),Inventários[Processo - localização específica]),"")</f>
        <v>EAT - RHOs</v>
      </c>
      <c r="I128" s="1" t="str" cm="1">
        <f t="array" ref="I128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29" spans="1:9" ht="19.899999999999999" customHeight="1" x14ac:dyDescent="0.15">
      <c r="A129" s="88" t="s">
        <v>366</v>
      </c>
      <c r="B129" s="88" t="s">
        <v>355</v>
      </c>
      <c r="C129" s="88" t="s">
        <v>618</v>
      </c>
      <c r="D129" s="88" t="s">
        <v>17</v>
      </c>
      <c r="E129" s="88" t="s">
        <v>619</v>
      </c>
      <c r="F129" s="88" t="s">
        <v>18</v>
      </c>
      <c r="G129" s="88" t="s">
        <v>19</v>
      </c>
      <c r="H129" s="63" t="str" cm="1">
        <f t="array" ref="H129">IF(A129&lt;&gt;"",_xlfn.XLOOKUP(_xlfn.NUMBERVALUE(A129),_xlfn.NUMBERVALUE(Inventários[Tombamento]),Inventários[Processo - localização específica]),"")</f>
        <v>EAT - RHOs</v>
      </c>
      <c r="I129" s="1" t="str" cm="1">
        <f t="array" ref="I129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30" spans="1:9" ht="19.899999999999999" customHeight="1" x14ac:dyDescent="0.15">
      <c r="A130" s="88" t="s">
        <v>367</v>
      </c>
      <c r="B130" s="88" t="s">
        <v>355</v>
      </c>
      <c r="C130" s="88" t="s">
        <v>618</v>
      </c>
      <c r="D130" s="88" t="s">
        <v>17</v>
      </c>
      <c r="E130" s="88" t="s">
        <v>619</v>
      </c>
      <c r="F130" s="88" t="s">
        <v>18</v>
      </c>
      <c r="G130" s="88" t="s">
        <v>19</v>
      </c>
      <c r="H130" s="63" t="str" cm="1">
        <f t="array" ref="H130">IF(A130&lt;&gt;"",_xlfn.XLOOKUP(_xlfn.NUMBERVALUE(A130),_xlfn.NUMBERVALUE(Inventários[Tombamento]),Inventários[Processo - localização específica]),"")</f>
        <v>EAT - RHOs</v>
      </c>
      <c r="I130" s="1" t="str" cm="1">
        <f t="array" ref="I130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31" spans="1:9" ht="19.899999999999999" customHeight="1" x14ac:dyDescent="0.15">
      <c r="A131" s="88" t="s">
        <v>368</v>
      </c>
      <c r="B131" s="88" t="s">
        <v>355</v>
      </c>
      <c r="C131" s="88" t="s">
        <v>618</v>
      </c>
      <c r="D131" s="88" t="s">
        <v>17</v>
      </c>
      <c r="E131" s="88" t="s">
        <v>619</v>
      </c>
      <c r="F131" s="88" t="s">
        <v>18</v>
      </c>
      <c r="G131" s="88" t="s">
        <v>19</v>
      </c>
      <c r="H131" s="63" t="str" cm="1">
        <f t="array" ref="H131">IF(A131&lt;&gt;"",_xlfn.XLOOKUP(_xlfn.NUMBERVALUE(A131),_xlfn.NUMBERVALUE(Inventários[Tombamento]),Inventários[Processo - localização específica]),"")</f>
        <v>EAT - casa de máquinas e  med. de vazão</v>
      </c>
      <c r="I131" s="1" t="str" cm="1">
        <f t="array" ref="I131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32" spans="1:9" ht="19.899999999999999" customHeight="1" x14ac:dyDescent="0.15">
      <c r="A132" s="88" t="s">
        <v>369</v>
      </c>
      <c r="B132" s="88" t="s">
        <v>355</v>
      </c>
      <c r="C132" s="88" t="s">
        <v>618</v>
      </c>
      <c r="D132" s="88" t="s">
        <v>17</v>
      </c>
      <c r="E132" s="88" t="s">
        <v>619</v>
      </c>
      <c r="F132" s="88" t="s">
        <v>18</v>
      </c>
      <c r="G132" s="88" t="s">
        <v>19</v>
      </c>
      <c r="H132" s="63" t="str" cm="1">
        <f t="array" ref="H132">IF(A132&lt;&gt;"",_xlfn.XLOOKUP(_xlfn.NUMBERVALUE(A132),_xlfn.NUMBERVALUE(Inventários[Tombamento]),Inventários[Processo - localização específica]),"")</f>
        <v>EAT - casa de máquinas e  med. de vazão</v>
      </c>
      <c r="I132" s="1" t="str" cm="1">
        <f t="array" ref="I132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33" spans="1:9" ht="19.899999999999999" customHeight="1" x14ac:dyDescent="0.15">
      <c r="A133" s="88" t="s">
        <v>600</v>
      </c>
      <c r="B133" s="88" t="s">
        <v>601</v>
      </c>
      <c r="C133" s="88" t="s">
        <v>618</v>
      </c>
      <c r="D133" s="88" t="s">
        <v>17</v>
      </c>
      <c r="E133" s="88" t="s">
        <v>619</v>
      </c>
      <c r="F133" s="88" t="s">
        <v>18</v>
      </c>
      <c r="G133" s="88" t="s">
        <v>19</v>
      </c>
      <c r="H133" s="63" t="str" cm="1">
        <f t="array" ref="H133">IF(A133&lt;&gt;"",_xlfn.XLOOKUP(_xlfn.NUMBERVALUE(A133),_xlfn.NUMBERVALUE(Inventários[Tombamento]),Inventários[Processo - localização específica]),"")</f>
        <v>Prédio - depósito de bens</v>
      </c>
      <c r="I133" s="1" t="str" cm="1">
        <f t="array" ref="I133">_xlfn.XLOOKUP(_xlfn.NUMBERVALUE(Carga[[#This Row],[Tombamento]]),_xlfn.NUMBERVALUE(Inventários[Tombamento]),Inventários[Descrição resumida do bem],"(A) Atenção Bem Não cadastrado")</f>
        <v>TURBIDÍMETRO TU5300 - HATC</v>
      </c>
    </row>
    <row r="134" spans="1:9" ht="19.899999999999999" customHeight="1" x14ac:dyDescent="0.15">
      <c r="A134" s="88" t="s">
        <v>370</v>
      </c>
      <c r="B134" s="88" t="s">
        <v>355</v>
      </c>
      <c r="C134" s="88" t="s">
        <v>618</v>
      </c>
      <c r="D134" s="88" t="s">
        <v>17</v>
      </c>
      <c r="E134" s="88" t="s">
        <v>619</v>
      </c>
      <c r="F134" s="88" t="s">
        <v>18</v>
      </c>
      <c r="G134" s="88" t="s">
        <v>19</v>
      </c>
      <c r="H134" s="63" t="str" cm="1">
        <f t="array" ref="H134">IF(A134&lt;&gt;"",_xlfn.XLOOKUP(_xlfn.NUMBERVALUE(A134),_xlfn.NUMBERVALUE(Inventários[Tombamento]),Inventários[Processo - localização específica]),"")</f>
        <v>EAT - casa de máquinas e  med. de vazão</v>
      </c>
      <c r="I134" s="1" t="str" cm="1">
        <f t="array" ref="I134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35" spans="1:9" ht="19.899999999999999" customHeight="1" x14ac:dyDescent="0.15">
      <c r="A135" s="88" t="s">
        <v>371</v>
      </c>
      <c r="B135" s="88" t="s">
        <v>355</v>
      </c>
      <c r="C135" s="88" t="s">
        <v>618</v>
      </c>
      <c r="D135" s="88" t="s">
        <v>17</v>
      </c>
      <c r="E135" s="88" t="s">
        <v>619</v>
      </c>
      <c r="F135" s="88" t="s">
        <v>18</v>
      </c>
      <c r="G135" s="88" t="s">
        <v>19</v>
      </c>
      <c r="H135" s="63" t="str" cm="1">
        <f t="array" ref="H135">IF(A135&lt;&gt;"",_xlfn.XLOOKUP(_xlfn.NUMBERVALUE(A135),_xlfn.NUMBERVALUE(Inventários[Tombamento]),Inventários[Processo - localização específica]),"")</f>
        <v>Flotadores - compressores de ar e válvulas de drenagem Módulos 01/02</v>
      </c>
      <c r="I135" s="1" t="str" cm="1">
        <f t="array" ref="I135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</v>
      </c>
    </row>
    <row r="136" spans="1:9" ht="19.899999999999999" customHeight="1" x14ac:dyDescent="0.15">
      <c r="A136" s="88" t="s">
        <v>372</v>
      </c>
      <c r="B136" s="88" t="s">
        <v>373</v>
      </c>
      <c r="C136" s="88" t="s">
        <v>618</v>
      </c>
      <c r="D136" s="88" t="s">
        <v>17</v>
      </c>
      <c r="E136" s="88" t="s">
        <v>619</v>
      </c>
      <c r="F136" s="88" t="s">
        <v>18</v>
      </c>
      <c r="G136" s="88" t="s">
        <v>19</v>
      </c>
      <c r="H136" s="63" t="str" cm="1">
        <f t="array" ref="H136">IF(A136&lt;&gt;"",_xlfn.XLOOKUP(_xlfn.NUMBERVALUE(A136),_xlfn.NUMBERVALUE(Inventários[Tombamento]),Inventários[Processo - localização específica]),"")</f>
        <v>Cloro - elevatórias de injeção de cloro</v>
      </c>
      <c r="I136" s="1" t="str" cm="1">
        <f t="array" ref="I136">_xlfn.XLOOKUP(_xlfn.NUMBERVALUE(Carga[[#This Row],[Tombamento]]),_xlfn.NUMBERVALUE(Inventários[Tombamento]),Inventários[Descrição resumida do bem],"(A) Atenção Bem Não cadastrado")</f>
        <v>CCM CLORO - QUADRO DE FORÇA COMANDO E CONTROLE</v>
      </c>
    </row>
    <row r="137" spans="1:9" ht="19.899999999999999" customHeight="1" x14ac:dyDescent="0.15">
      <c r="A137" s="88" t="s">
        <v>374</v>
      </c>
      <c r="B137" s="88" t="s">
        <v>375</v>
      </c>
      <c r="C137" s="88" t="s">
        <v>618</v>
      </c>
      <c r="D137" s="88" t="s">
        <v>17</v>
      </c>
      <c r="E137" s="88" t="s">
        <v>619</v>
      </c>
      <c r="F137" s="88" t="s">
        <v>18</v>
      </c>
      <c r="G137" s="88" t="s">
        <v>19</v>
      </c>
      <c r="H137" s="63" t="str" cm="1">
        <f t="array" ref="H137">IF(A137&lt;&gt;"",_xlfn.XLOOKUP(_xlfn.NUMBERVALUE(A137),_xlfn.NUMBERVALUE(Inventários[Tombamento]),Inventários[Processo - localização específica]),"")</f>
        <v>Tanque reciclo - elevatória, turbidimetro e med. de nível e vazão</v>
      </c>
      <c r="I137" s="1" t="str" cm="1">
        <f t="array" ref="I137">_xlfn.XLOOKUP(_xlfn.NUMBERVALUE(Carga[[#This Row],[Tombamento]]),_xlfn.NUMBERVALUE(Inventários[Tombamento]),Inventários[Descrição resumida do bem],"(A) Atenção Bem Não cadastrado")</f>
        <v>CCM E.E. DE RECIRCULAÇÃO - QUADRO DE FORÇA COMANDO E CONTROLE</v>
      </c>
    </row>
    <row r="138" spans="1:9" ht="19.899999999999999" customHeight="1" x14ac:dyDescent="0.15">
      <c r="A138" s="88" t="s">
        <v>376</v>
      </c>
      <c r="B138" s="88" t="s">
        <v>377</v>
      </c>
      <c r="C138" s="88" t="s">
        <v>618</v>
      </c>
      <c r="D138" s="88" t="s">
        <v>17</v>
      </c>
      <c r="E138" s="88" t="s">
        <v>619</v>
      </c>
      <c r="F138" s="88" t="s">
        <v>18</v>
      </c>
      <c r="G138" s="88" t="s">
        <v>19</v>
      </c>
      <c r="H138" s="63" t="str" cm="1">
        <f t="array" ref="H138">IF(A138&lt;&gt;"",_xlfn.XLOOKUP(_xlfn.NUMBERVALUE(A138),_xlfn.NUMBERVALUE(Inventários[Tombamento]),Inventários[Processo - localização específica]),"")</f>
        <v>Casa de química - preparo e dosagem de permanganato e polímero</v>
      </c>
      <c r="I138" s="1" t="str" cm="1">
        <f t="array" ref="I138">_xlfn.XLOOKUP(_xlfn.NUMBERVALUE(Carga[[#This Row],[Tombamento]]),_xlfn.NUMBERVALUE(Inventários[Tombamento]),Inventários[Descrição resumida do bem],"(A) Atenção Bem Não cadastrado")</f>
        <v>CCM COAGULANTE - QUADRO DE FORÇA COMANDO E CONTROLE</v>
      </c>
    </row>
    <row r="139" spans="1:9" ht="19.899999999999999" customHeight="1" x14ac:dyDescent="0.15">
      <c r="A139" s="88" t="s">
        <v>378</v>
      </c>
      <c r="B139" s="88" t="s">
        <v>379</v>
      </c>
      <c r="C139" s="88" t="s">
        <v>618</v>
      </c>
      <c r="D139" s="88" t="s">
        <v>17</v>
      </c>
      <c r="E139" s="88" t="s">
        <v>619</v>
      </c>
      <c r="F139" s="88" t="s">
        <v>18</v>
      </c>
      <c r="G139" s="88" t="s">
        <v>19</v>
      </c>
      <c r="H139" s="63" t="str" cm="1">
        <f t="array" ref="H139">IF(A139&lt;&gt;"",_xlfn.XLOOKUP(_xlfn.NUMBERVALUE(A139),_xlfn.NUMBERVALUE(Inventários[Tombamento]),Inventários[Processo - localização específica]),"")</f>
        <v>Filtros - Galeria dos CCMs</v>
      </c>
      <c r="I139" s="1" t="str" cm="1">
        <f t="array" ref="I139">_xlfn.XLOOKUP(_xlfn.NUMBERVALUE(Carga[[#This Row],[Tombamento]]),_xlfn.NUMBERVALUE(Inventários[Tombamento]),Inventários[Descrição resumida do bem],"(A) Atenção Bem Não cadastrado")</f>
        <v>CCM MÓDULO 1 - QUADRO DE FORÇA COMANDO E CONTROLE</v>
      </c>
    </row>
    <row r="140" spans="1:9" ht="19.899999999999999" customHeight="1" x14ac:dyDescent="0.15">
      <c r="A140" s="88" t="s">
        <v>380</v>
      </c>
      <c r="B140" s="88" t="s">
        <v>381</v>
      </c>
      <c r="C140" s="88" t="s">
        <v>618</v>
      </c>
      <c r="D140" s="88" t="s">
        <v>17</v>
      </c>
      <c r="E140" s="88" t="s">
        <v>619</v>
      </c>
      <c r="F140" s="88" t="s">
        <v>18</v>
      </c>
      <c r="G140" s="88" t="s">
        <v>19</v>
      </c>
      <c r="H140" s="63" t="str" cm="1">
        <f t="array" ref="H140">IF(A140&lt;&gt;"",_xlfn.XLOOKUP(_xlfn.NUMBERVALUE(A140),_xlfn.NUMBERVALUE(Inventários[Tombamento]),Inventários[Processo - localização específica]),"")</f>
        <v>Filtros - Galeria dos CCMs</v>
      </c>
      <c r="I140" s="1" t="str" cm="1">
        <f t="array" ref="I140">_xlfn.XLOOKUP(_xlfn.NUMBERVALUE(Carga[[#This Row],[Tombamento]]),_xlfn.NUMBERVALUE(Inventários[Tombamento]),Inventários[Descrição resumida do bem],"(A) Atenção Bem Não cadastrado")</f>
        <v>CCM MÓDULO 2 - QUADRO DE FORÇA COMANDO E CONTROLE</v>
      </c>
    </row>
    <row r="141" spans="1:9" ht="19.899999999999999" customHeight="1" x14ac:dyDescent="0.15">
      <c r="A141" s="88" t="s">
        <v>382</v>
      </c>
      <c r="B141" s="88" t="s">
        <v>383</v>
      </c>
      <c r="C141" s="88" t="s">
        <v>618</v>
      </c>
      <c r="D141" s="88" t="s">
        <v>17</v>
      </c>
      <c r="E141" s="88" t="s">
        <v>619</v>
      </c>
      <c r="F141" s="88" t="s">
        <v>18</v>
      </c>
      <c r="G141" s="88" t="s">
        <v>19</v>
      </c>
      <c r="H141" s="63" t="str" cm="1">
        <f t="array" ref="H141">IF(A141&lt;&gt;"",_xlfn.XLOOKUP(_xlfn.NUMBERVALUE(A141),_xlfn.NUMBERVALUE(Inventários[Tombamento]),Inventários[Processo - localização específica]),"")</f>
        <v>Filtros - Galeria dos CCMs</v>
      </c>
      <c r="I141" s="1" t="str" cm="1">
        <f t="array" ref="I141">_xlfn.XLOOKUP(_xlfn.NUMBERVALUE(Carga[[#This Row],[Tombamento]]),_xlfn.NUMBERVALUE(Inventários[Tombamento]),Inventários[Descrição resumida do bem],"(A) Atenção Bem Não cadastrado")</f>
        <v>CCM MÓDULO 3 - QUADRO DE FORÇA COMANDO E CONTROLE</v>
      </c>
    </row>
    <row r="142" spans="1:9" ht="19.899999999999999" customHeight="1" x14ac:dyDescent="0.15">
      <c r="A142" s="88" t="s">
        <v>384</v>
      </c>
      <c r="B142" s="88" t="s">
        <v>385</v>
      </c>
      <c r="C142" s="88" t="s">
        <v>618</v>
      </c>
      <c r="D142" s="88" t="s">
        <v>17</v>
      </c>
      <c r="E142" s="88" t="s">
        <v>619</v>
      </c>
      <c r="F142" s="88" t="s">
        <v>18</v>
      </c>
      <c r="G142" s="88" t="s">
        <v>19</v>
      </c>
      <c r="H142" s="63" t="str" cm="1">
        <f t="array" ref="H142">IF(A142&lt;&gt;"",_xlfn.XLOOKUP(_xlfn.NUMBERVALUE(A142),_xlfn.NUMBERVALUE(Inventários[Tombamento]),Inventários[Processo - localização específica]),"")</f>
        <v>Filtros - Galeria dos CCMs</v>
      </c>
      <c r="I142" s="1" t="str" cm="1">
        <f t="array" ref="I142">_xlfn.XLOOKUP(_xlfn.NUMBERVALUE(Carga[[#This Row],[Tombamento]]),_xlfn.NUMBERVALUE(Inventários[Tombamento]),Inventários[Descrição resumida do bem],"(A) Atenção Bem Não cadastrado")</f>
        <v>CCM MÓDULO 4 - QUADRO DE FORÇA COMANDO E CONTROLE</v>
      </c>
    </row>
    <row r="143" spans="1:9" ht="19.899999999999999" customHeight="1" x14ac:dyDescent="0.15">
      <c r="A143" s="88" t="s">
        <v>386</v>
      </c>
      <c r="B143" s="88" t="s">
        <v>387</v>
      </c>
      <c r="C143" s="88" t="s">
        <v>618</v>
      </c>
      <c r="D143" s="88" t="s">
        <v>17</v>
      </c>
      <c r="E143" s="88" t="s">
        <v>619</v>
      </c>
      <c r="F143" s="88" t="s">
        <v>18</v>
      </c>
      <c r="G143" s="88" t="s">
        <v>19</v>
      </c>
      <c r="H143" s="63" t="str" cm="1">
        <f t="array" ref="H143">IF(A143&lt;&gt;"",_xlfn.XLOOKUP(_xlfn.NUMBERVALUE(A143),_xlfn.NUMBERVALUE(Inventários[Tombamento]),Inventários[Processo - localização específica]),"")</f>
        <v>SDL - dosadoras de lodo adensado e polímero</v>
      </c>
      <c r="I143" s="1" t="str" cm="1">
        <f t="array" ref="I143">_xlfn.XLOOKUP(_xlfn.NUMBERVALUE(Carga[[#This Row],[Tombamento]]),_xlfn.NUMBERVALUE(Inventários[Tombamento]),Inventários[Descrição resumida do bem],"(A) Atenção Bem Não cadastrado")</f>
        <v>CCM SISTEMA LODO - QUADRO DE FORÇA COMANDO E CONTROLE</v>
      </c>
    </row>
    <row r="144" spans="1:9" ht="19.899999999999999" customHeight="1" x14ac:dyDescent="0.15">
      <c r="A144" s="88" t="s">
        <v>388</v>
      </c>
      <c r="B144" s="88" t="s">
        <v>389</v>
      </c>
      <c r="C144" s="88" t="s">
        <v>618</v>
      </c>
      <c r="D144" s="88" t="s">
        <v>17</v>
      </c>
      <c r="E144" s="88" t="s">
        <v>619</v>
      </c>
      <c r="F144" s="88" t="s">
        <v>18</v>
      </c>
      <c r="G144" s="88" t="s">
        <v>19</v>
      </c>
      <c r="H144" s="63" t="str" cm="1">
        <f t="array" ref="H144">IF(A144&lt;&gt;"",_xlfn.XLOOKUP(_xlfn.NUMBERVALUE(A144),_xlfn.NUMBERVALUE(Inventários[Tombamento]),Inventários[Processo - localização específica]),"")</f>
        <v>Bloco hidráulico - analisadores d'água bruta</v>
      </c>
      <c r="I144" s="1" t="str" cm="1">
        <f t="array" ref="I144">_xlfn.XLOOKUP(_xlfn.NUMBERVALUE(Carga[[#This Row],[Tombamento]]),_xlfn.NUMBERVALUE(Inventários[Tombamento]),Inventários[Descrição resumida do bem],"(A) Atenção Bem Não cadastrado")</f>
        <v>CCM SOPRADORES - QUADRO DE FORÇA COMANDO E CONTROLE</v>
      </c>
    </row>
    <row r="145" spans="1:9" ht="19.899999999999999" customHeight="1" x14ac:dyDescent="0.15">
      <c r="A145" s="88" t="s">
        <v>390</v>
      </c>
      <c r="B145" s="88" t="s">
        <v>391</v>
      </c>
      <c r="C145" s="88" t="s">
        <v>618</v>
      </c>
      <c r="D145" s="88" t="s">
        <v>17</v>
      </c>
      <c r="E145" s="88" t="s">
        <v>619</v>
      </c>
      <c r="F145" s="88" t="s">
        <v>18</v>
      </c>
      <c r="G145" s="88" t="s">
        <v>19</v>
      </c>
      <c r="H145" s="63" t="str" cm="1">
        <f t="array" ref="H145">IF(A145&lt;&gt;"",_xlfn.XLOOKUP(_xlfn.NUMBERVALUE(A145),_xlfn.NUMBERVALUE(Inventários[Tombamento]),Inventários[Processo - localização específica]),"")</f>
        <v>Bloco hidráulico - analisadores d'água bruta</v>
      </c>
      <c r="I145" s="1" t="str" cm="1">
        <f t="array" ref="I145">_xlfn.XLOOKUP(_xlfn.NUMBERVALUE(Carga[[#This Row],[Tombamento]]),_xlfn.NUMBERVALUE(Inventários[Tombamento]),Inventários[Descrição resumida do bem],"(A) Atenção Bem Não cadastrado")</f>
        <v>EQUIPAMENTOS AUTOMAÇÃO QUADRO CLP - CPUS DO CONTROLADOR LÓGICO</v>
      </c>
    </row>
    <row r="146" spans="1:9" ht="19.899999999999999" customHeight="1" x14ac:dyDescent="0.15">
      <c r="A146" s="88" t="s">
        <v>392</v>
      </c>
      <c r="B146" s="88" t="s">
        <v>393</v>
      </c>
      <c r="C146" s="88" t="s">
        <v>618</v>
      </c>
      <c r="D146" s="88" t="s">
        <v>17</v>
      </c>
      <c r="E146" s="88" t="s">
        <v>619</v>
      </c>
      <c r="F146" s="88" t="s">
        <v>18</v>
      </c>
      <c r="G146" s="88" t="s">
        <v>19</v>
      </c>
      <c r="H146" s="63" t="str" cm="1">
        <f t="array" ref="H146">IF(A146&lt;&gt;"",_xlfn.XLOOKUP(_xlfn.NUMBERVALUE(A146),_xlfn.NUMBERVALUE(Inventários[Tombamento]),Inventários[Processo - localização específica]),"")</f>
        <v>Prédio - operação</v>
      </c>
      <c r="I146" s="1" t="str" cm="1">
        <f t="array" ref="I146">_xlfn.XLOOKUP(_xlfn.NUMBERVALUE(Carga[[#This Row],[Tombamento]]),_xlfn.NUMBERVALUE(Inventários[Tombamento]),Inventários[Descrição resumida do bem],"(A) Atenção Bem Não cadastrado")</f>
        <v>ESTAÇÃO DE OPERAÇÃO - CPU</v>
      </c>
    </row>
    <row r="147" spans="1:9" ht="19.899999999999999" customHeight="1" x14ac:dyDescent="0.15">
      <c r="A147" s="88" t="s">
        <v>394</v>
      </c>
      <c r="B147" s="88" t="s">
        <v>395</v>
      </c>
      <c r="C147" s="88" t="s">
        <v>618</v>
      </c>
      <c r="D147" s="88" t="s">
        <v>17</v>
      </c>
      <c r="E147" s="88" t="s">
        <v>619</v>
      </c>
      <c r="F147" s="88" t="s">
        <v>18</v>
      </c>
      <c r="G147" s="88" t="s">
        <v>19</v>
      </c>
      <c r="H147" s="63" t="str" cm="1">
        <f t="array" ref="H147">IF(A147&lt;&gt;"",_xlfn.XLOOKUP(_xlfn.NUMBERVALUE(A147),_xlfn.NUMBERVALUE(Inventários[Tombamento]),Inventários[Processo - localização específica]),"")</f>
        <v>Prédio - operação</v>
      </c>
      <c r="I147" s="1" t="str" cm="1">
        <f t="array" ref="I147">_xlfn.XLOOKUP(_xlfn.NUMBERVALUE(Carga[[#This Row],[Tombamento]]),_xlfn.NUMBERVALUE(Inventários[Tombamento]),Inventários[Descrição resumida do bem],"(A) Atenção Bem Não cadastrado")</f>
        <v>ESTAÇÃO SERVIDORA - CPU</v>
      </c>
    </row>
    <row r="148" spans="1:9" ht="19.899999999999999" customHeight="1" x14ac:dyDescent="0.15">
      <c r="A148" s="88" t="s">
        <v>668</v>
      </c>
      <c r="B148" s="88" t="s">
        <v>396</v>
      </c>
      <c r="C148" s="88" t="s">
        <v>618</v>
      </c>
      <c r="D148" s="88" t="s">
        <v>17</v>
      </c>
      <c r="E148" s="88" t="s">
        <v>619</v>
      </c>
      <c r="F148" s="88" t="s">
        <v>18</v>
      </c>
      <c r="G148" s="88" t="s">
        <v>19</v>
      </c>
      <c r="H148" s="63" t="str" cm="1">
        <f t="array" ref="H148">IF(A148&lt;&gt;"",_xlfn.XLOOKUP(_xlfn.NUMBERVALUE(A148),_xlfn.NUMBERVALUE(Inventários[Tombamento]),Inventários[Processo - localização específica]),"")</f>
        <v>Filtro 07 - turbidimetro e med. taxa de filtração</v>
      </c>
      <c r="I148" s="1" t="str" cm="1">
        <f t="array" ref="I148">_xlfn.XLOOKUP(_xlfn.NUMBERVALUE(Carga[[#This Row],[Tombamento]]),_xlfn.NUMBERVALUE(Inventários[Tombamento]),Inventários[Descrição resumida do bem],"(A) Atenção Bem Não cadastrado")</f>
        <v>MEDIDOR DE NÍVEL ULTRA-SÔNICO( SONDA, TRANSMISSOR E PROGRAMADOR)</v>
      </c>
    </row>
    <row r="149" spans="1:9" ht="19.899999999999999" customHeight="1" x14ac:dyDescent="0.15">
      <c r="A149" s="88" t="s">
        <v>397</v>
      </c>
      <c r="B149" s="88" t="s">
        <v>396</v>
      </c>
      <c r="C149" s="88" t="s">
        <v>618</v>
      </c>
      <c r="D149" s="88" t="s">
        <v>17</v>
      </c>
      <c r="E149" s="88" t="s">
        <v>619</v>
      </c>
      <c r="F149" s="88" t="s">
        <v>18</v>
      </c>
      <c r="G149" s="88" t="s">
        <v>19</v>
      </c>
      <c r="H149" s="63" t="str" cm="1">
        <f t="array" ref="H149">IF(A149&lt;&gt;"",_xlfn.XLOOKUP(_xlfn.NUMBERVALUE(A149),_xlfn.NUMBERVALUE(Inventários[Tombamento]),Inventários[Processo - localização específica]),"")</f>
        <v>Filtro 06 - turbidimetro e med. taxa de filtração</v>
      </c>
      <c r="I149" s="1" t="str" cm="1">
        <f t="array" ref="I149">_xlfn.XLOOKUP(_xlfn.NUMBERVALUE(Carga[[#This Row],[Tombamento]]),_xlfn.NUMBERVALUE(Inventários[Tombamento]),Inventários[Descrição resumida do bem],"(A) Atenção Bem Não cadastrado")</f>
        <v>MEDIDOR DE NÍVEL ULTRA-SÔNICO( SONDA, TRANSMISSOR E PROGRAMADOR)</v>
      </c>
    </row>
    <row r="150" spans="1:9" ht="19.899999999999999" customHeight="1" x14ac:dyDescent="0.15">
      <c r="A150" s="88" t="s">
        <v>398</v>
      </c>
      <c r="B150" s="88" t="s">
        <v>396</v>
      </c>
      <c r="C150" s="88" t="s">
        <v>618</v>
      </c>
      <c r="D150" s="88" t="s">
        <v>17</v>
      </c>
      <c r="E150" s="88" t="s">
        <v>619</v>
      </c>
      <c r="F150" s="88" t="s">
        <v>18</v>
      </c>
      <c r="G150" s="88" t="s">
        <v>19</v>
      </c>
      <c r="H150" s="63" t="str" cm="1">
        <f t="array" ref="H150">IF(A150&lt;&gt;"",_xlfn.XLOOKUP(_xlfn.NUMBERVALUE(A150),_xlfn.NUMBERVALUE(Inventários[Tombamento]),Inventários[Processo - localização específica]),"")</f>
        <v>Filtro 05 - turbidimetro e med. taxa de filtração</v>
      </c>
      <c r="I150" s="1" t="str" cm="1">
        <f t="array" ref="I150">_xlfn.XLOOKUP(_xlfn.NUMBERVALUE(Carga[[#This Row],[Tombamento]]),_xlfn.NUMBERVALUE(Inventários[Tombamento]),Inventários[Descrição resumida do bem],"(A) Atenção Bem Não cadastrado")</f>
        <v>MEDIDOR DE NÍVEL ULTRA-SÔNICO( SONDA, TRANSMISSOR E PROGRAMADOR)</v>
      </c>
    </row>
    <row r="151" spans="1:9" ht="19.899999999999999" customHeight="1" x14ac:dyDescent="0.15">
      <c r="A151" s="88" t="s">
        <v>399</v>
      </c>
      <c r="B151" s="88" t="s">
        <v>400</v>
      </c>
      <c r="C151" s="88" t="s">
        <v>618</v>
      </c>
      <c r="D151" s="88" t="s">
        <v>17</v>
      </c>
      <c r="E151" s="88" t="s">
        <v>619</v>
      </c>
      <c r="F151" s="88" t="s">
        <v>18</v>
      </c>
      <c r="G151" s="88" t="s">
        <v>19</v>
      </c>
      <c r="H151" s="63" t="str" cm="1">
        <f t="array" ref="H151">IF(A151&lt;&gt;"",_xlfn.XLOOKUP(_xlfn.NUMBERVALUE(A151),_xlfn.NUMBERVALUE(Inventários[Tombamento]),Inventários[Processo - localização específica]),"")</f>
        <v>Filtro 04 - turbidimetro e med. taxa de filtração</v>
      </c>
      <c r="I151" s="1" t="str" cm="1">
        <f t="array" ref="I151">_xlfn.XLOOKUP(_xlfn.NUMBERVALUE(Carga[[#This Row],[Tombamento]]),_xlfn.NUMBERVALUE(Inventários[Tombamento]),Inventários[Descrição resumida do bem],"(A) Atenção Bem Não cadastrado")</f>
        <v>MEDIDOR DE NÍVEL ULTRA-SÔNICO ( SONDA, TRANSMISSOR E PROGRAMADOR)</v>
      </c>
    </row>
    <row r="152" spans="1:9" ht="19.899999999999999" customHeight="1" x14ac:dyDescent="0.15">
      <c r="A152" s="88" t="s">
        <v>401</v>
      </c>
      <c r="B152" s="88" t="s">
        <v>400</v>
      </c>
      <c r="C152" s="88" t="s">
        <v>618</v>
      </c>
      <c r="D152" s="88" t="s">
        <v>17</v>
      </c>
      <c r="E152" s="88" t="s">
        <v>619</v>
      </c>
      <c r="F152" s="88" t="s">
        <v>18</v>
      </c>
      <c r="G152" s="88" t="s">
        <v>19</v>
      </c>
      <c r="H152" s="63" t="str" cm="1">
        <f t="array" ref="H152">IF(A152&lt;&gt;"",_xlfn.XLOOKUP(_xlfn.NUMBERVALUE(A152),_xlfn.NUMBERVALUE(Inventários[Tombamento]),Inventários[Processo - localização específica]),"")</f>
        <v>Filtro 03 - turbidimetro e med. taxa de filtração</v>
      </c>
      <c r="I152" s="1" t="str" cm="1">
        <f t="array" ref="I152">_xlfn.XLOOKUP(_xlfn.NUMBERVALUE(Carga[[#This Row],[Tombamento]]),_xlfn.NUMBERVALUE(Inventários[Tombamento]),Inventários[Descrição resumida do bem],"(A) Atenção Bem Não cadastrado")</f>
        <v>MEDIDOR DE NÍVEL ULTRA-SÔNICO ( SONDA, TRANSMISSOR E PROGRAMADOR)</v>
      </c>
    </row>
    <row r="153" spans="1:9" ht="19.899999999999999" customHeight="1" x14ac:dyDescent="0.15">
      <c r="A153" s="88" t="s">
        <v>402</v>
      </c>
      <c r="B153" s="88" t="s">
        <v>400</v>
      </c>
      <c r="C153" s="88" t="s">
        <v>618</v>
      </c>
      <c r="D153" s="88" t="s">
        <v>17</v>
      </c>
      <c r="E153" s="88" t="s">
        <v>619</v>
      </c>
      <c r="F153" s="88" t="s">
        <v>18</v>
      </c>
      <c r="G153" s="88" t="s">
        <v>19</v>
      </c>
      <c r="H153" s="63" t="str" cm="1">
        <f t="array" ref="H153">IF(A153&lt;&gt;"",_xlfn.XLOOKUP(_xlfn.NUMBERVALUE(A153),_xlfn.NUMBERVALUE(Inventários[Tombamento]),Inventários[Processo - localização específica]),"")</f>
        <v>Filtro 02 - turbidimetro e med. taxa de filtração</v>
      </c>
      <c r="I153" s="1" t="str" cm="1">
        <f t="array" ref="I153">_xlfn.XLOOKUP(_xlfn.NUMBERVALUE(Carga[[#This Row],[Tombamento]]),_xlfn.NUMBERVALUE(Inventários[Tombamento]),Inventários[Descrição resumida do bem],"(A) Atenção Bem Não cadastrado")</f>
        <v>MEDIDOR DE NÍVEL ULTRA-SÔNICO ( SONDA, TRANSMISSOR E PROGRAMADOR)</v>
      </c>
    </row>
    <row r="154" spans="1:9" ht="19.899999999999999" customHeight="1" x14ac:dyDescent="0.15">
      <c r="A154" s="88" t="s">
        <v>403</v>
      </c>
      <c r="B154" s="88" t="s">
        <v>400</v>
      </c>
      <c r="C154" s="88" t="s">
        <v>618</v>
      </c>
      <c r="D154" s="88" t="s">
        <v>17</v>
      </c>
      <c r="E154" s="88" t="s">
        <v>619</v>
      </c>
      <c r="F154" s="88" t="s">
        <v>18</v>
      </c>
      <c r="G154" s="88" t="s">
        <v>19</v>
      </c>
      <c r="H154" s="63" t="str" cm="1">
        <f t="array" ref="H154">IF(A154&lt;&gt;"",_xlfn.XLOOKUP(_xlfn.NUMBERVALUE(A154),_xlfn.NUMBERVALUE(Inventários[Tombamento]),Inventários[Processo - localização específica]),"")</f>
        <v>Filtro 01 - turbidimetro e med. taxa de filtração</v>
      </c>
      <c r="I154" s="1" t="str" cm="1">
        <f t="array" ref="I154">_xlfn.XLOOKUP(_xlfn.NUMBERVALUE(Carga[[#This Row],[Tombamento]]),_xlfn.NUMBERVALUE(Inventários[Tombamento]),Inventários[Descrição resumida do bem],"(A) Atenção Bem Não cadastrado")</f>
        <v>MEDIDOR DE NÍVEL ULTRA-SÔNICO ( SONDA, TRANSMISSOR E PROGRAMADOR)</v>
      </c>
    </row>
    <row r="155" spans="1:9" ht="19.899999999999999" customHeight="1" x14ac:dyDescent="0.15">
      <c r="A155" s="88" t="s">
        <v>404</v>
      </c>
      <c r="B155" s="88" t="s">
        <v>400</v>
      </c>
      <c r="C155" s="88" t="s">
        <v>618</v>
      </c>
      <c r="D155" s="88" t="s">
        <v>17</v>
      </c>
      <c r="E155" s="88" t="s">
        <v>619</v>
      </c>
      <c r="F155" s="88" t="s">
        <v>18</v>
      </c>
      <c r="G155" s="88" t="s">
        <v>19</v>
      </c>
      <c r="H155" s="63" t="str" cm="1">
        <f t="array" ref="H155">IF(A155&lt;&gt;"",_xlfn.XLOOKUP(_xlfn.NUMBERVALUE(A155),_xlfn.NUMBERVALUE(Inventários[Tombamento]),Inventários[Processo - localização específica]),"")</f>
        <v>Flotadores - compressores de ar e válvulas de drenagem Módulos 03/04</v>
      </c>
      <c r="I155" s="1" t="str" cm="1">
        <f t="array" ref="I155">_xlfn.XLOOKUP(_xlfn.NUMBERVALUE(Carga[[#This Row],[Tombamento]]),_xlfn.NUMBERVALUE(Inventários[Tombamento]),Inventários[Descrição resumida do bem],"(A) Atenção Bem Não cadastrado")</f>
        <v>MEDIDOR DE NÍVEL ULTRA-SÔNICO ( SONDA, TRANSMISSOR E PROGRAMADOR)</v>
      </c>
    </row>
    <row r="156" spans="1:9" ht="19.899999999999999" customHeight="1" x14ac:dyDescent="0.15">
      <c r="A156" s="88" t="s">
        <v>405</v>
      </c>
      <c r="B156" s="88" t="s">
        <v>400</v>
      </c>
      <c r="C156" s="88" t="s">
        <v>618</v>
      </c>
      <c r="D156" s="88" t="s">
        <v>17</v>
      </c>
      <c r="E156" s="88" t="s">
        <v>619</v>
      </c>
      <c r="F156" s="88" t="s">
        <v>18</v>
      </c>
      <c r="G156" s="88" t="s">
        <v>19</v>
      </c>
      <c r="H156" s="63" t="str" cm="1">
        <f t="array" ref="H156">IF(A156&lt;&gt;"",_xlfn.XLOOKUP(_xlfn.NUMBERVALUE(A156),_xlfn.NUMBERVALUE(Inventários[Tombamento]),Inventários[Processo - localização específica]),"")</f>
        <v>Flotadores - compressores de ar e válvulas de drenagem Módulos 01/02</v>
      </c>
      <c r="I156" s="1" t="str" cm="1">
        <f t="array" ref="I156">_xlfn.XLOOKUP(_xlfn.NUMBERVALUE(Carga[[#This Row],[Tombamento]]),_xlfn.NUMBERVALUE(Inventários[Tombamento]),Inventários[Descrição resumida do bem],"(A) Atenção Bem Não cadastrado")</f>
        <v>MEDIDOR DE NÍVEL ULTRA-SÔNICO ( SONDA, TRANSMISSOR E PROGRAMADOR)</v>
      </c>
    </row>
    <row r="157" spans="1:9" ht="19.899999999999999" customHeight="1" x14ac:dyDescent="0.15">
      <c r="A157" s="88" t="s">
        <v>406</v>
      </c>
      <c r="B157" s="88" t="s">
        <v>400</v>
      </c>
      <c r="C157" s="88" t="s">
        <v>618</v>
      </c>
      <c r="D157" s="88" t="s">
        <v>17</v>
      </c>
      <c r="E157" s="88" t="s">
        <v>619</v>
      </c>
      <c r="F157" s="88" t="s">
        <v>18</v>
      </c>
      <c r="G157" s="88" t="s">
        <v>19</v>
      </c>
      <c r="H157" s="63" t="str" cm="1">
        <f t="array" ref="H157">IF(A157&lt;&gt;"",_xlfn.XLOOKUP(_xlfn.NUMBERVALUE(A157),_xlfn.NUMBERVALUE(Inventários[Tombamento]),Inventários[Processo - localização específica]),"")</f>
        <v>Flotadores - compressores de ar e válvulas de drenagem Módulos 01/02</v>
      </c>
      <c r="I157" s="1" t="str" cm="1">
        <f t="array" ref="I157">_xlfn.XLOOKUP(_xlfn.NUMBERVALUE(Carga[[#This Row],[Tombamento]]),_xlfn.NUMBERVALUE(Inventários[Tombamento]),Inventários[Descrição resumida do bem],"(A) Atenção Bem Não cadastrado")</f>
        <v>MEDIDOR DE NÍVEL ULTRA-SÔNICO ( SONDA, TRANSMISSOR E PROGRAMADOR)</v>
      </c>
    </row>
    <row r="158" spans="1:9" ht="19.899999999999999" customHeight="1" x14ac:dyDescent="0.15">
      <c r="A158" s="88" t="s">
        <v>407</v>
      </c>
      <c r="B158" s="88" t="s">
        <v>408</v>
      </c>
      <c r="C158" s="88" t="s">
        <v>618</v>
      </c>
      <c r="D158" s="88" t="s">
        <v>17</v>
      </c>
      <c r="E158" s="88" t="s">
        <v>619</v>
      </c>
      <c r="F158" s="88" t="s">
        <v>18</v>
      </c>
      <c r="G158" s="88" t="s">
        <v>19</v>
      </c>
      <c r="H158" s="63" t="str" cm="1">
        <f t="array" ref="H158">IF(A158&lt;&gt;"",_xlfn.XLOOKUP(_xlfn.NUMBERVALUE(A158),_xlfn.NUMBERVALUE(Inventários[Tombamento]),Inventários[Processo - localização específica]),"")</f>
        <v>Flúor - armazenamento, dosagem e elevatória de resíduos</v>
      </c>
      <c r="I158" s="1" t="str" cm="1">
        <f t="array" ref="I158">_xlfn.XLOOKUP(_xlfn.NUMBERVALUE(Carga[[#This Row],[Tombamento]]),_xlfn.NUMBERVALUE(Inventários[Tombamento]),Inventários[Descrição resumida do bem],"(A) Atenção Bem Não cadastrado")</f>
        <v>MEDIDOR DE VAZÃO DE DOSAGEM DE ÁCIDO FLUOSSILÍCICO: TIPO VERTEDOR</v>
      </c>
    </row>
    <row r="159" spans="1:9" ht="19.899999999999999" customHeight="1" x14ac:dyDescent="0.15">
      <c r="A159" s="88" t="s">
        <v>409</v>
      </c>
      <c r="B159" s="88" t="s">
        <v>410</v>
      </c>
      <c r="C159" s="88" t="s">
        <v>618</v>
      </c>
      <c r="D159" s="88" t="s">
        <v>17</v>
      </c>
      <c r="E159" s="88" t="s">
        <v>619</v>
      </c>
      <c r="F159" s="88" t="s">
        <v>18</v>
      </c>
      <c r="G159" s="88" t="s">
        <v>19</v>
      </c>
      <c r="H159" s="63" t="str" cm="1">
        <f t="array" ref="H159">IF(A159&lt;&gt;"",_xlfn.XLOOKUP(_xlfn.NUMBERVALUE(A159),_xlfn.NUMBERVALUE(Inventários[Tombamento]),Inventários[Processo - localização específica]),"")</f>
        <v>SDL - dosadoras de lodo adensado e polímero</v>
      </c>
      <c r="I159" s="1" t="str" cm="1">
        <f t="array" ref="I159">_xlfn.XLOOKUP(_xlfn.NUMBERVALUE(Carga[[#This Row],[Tombamento]]),_xlfn.NUMBERVALUE(Inventários[Tombamento]),Inventários[Descrição resumida do bem],"(A) Atenção Bem Não cadastrado")</f>
        <v>MEDIDOR DE VAZÃO DE DOSAGEM DE POLÍMERO NO SDL: TIPO VERTEDOR</v>
      </c>
    </row>
    <row r="160" spans="1:9" ht="19.899999999999999" customHeight="1" x14ac:dyDescent="0.15">
      <c r="A160" s="88" t="s">
        <v>411</v>
      </c>
      <c r="B160" s="88" t="s">
        <v>410</v>
      </c>
      <c r="C160" s="88" t="s">
        <v>618</v>
      </c>
      <c r="D160" s="88" t="s">
        <v>17</v>
      </c>
      <c r="E160" s="88" t="s">
        <v>619</v>
      </c>
      <c r="F160" s="88" t="s">
        <v>18</v>
      </c>
      <c r="G160" s="88" t="s">
        <v>19</v>
      </c>
      <c r="H160" s="63" t="str" cm="1">
        <f t="array" ref="H160">IF(A160&lt;&gt;"",_xlfn.XLOOKUP(_xlfn.NUMBERVALUE(A160),_xlfn.NUMBERVALUE(Inventários[Tombamento]),Inventários[Processo - localização específica]),"")</f>
        <v>SDL - dosadoras de lodo adensado e polímero</v>
      </c>
      <c r="I160" s="1" t="str" cm="1">
        <f t="array" ref="I160">_xlfn.XLOOKUP(_xlfn.NUMBERVALUE(Carga[[#This Row],[Tombamento]]),_xlfn.NUMBERVALUE(Inventários[Tombamento]),Inventários[Descrição resumida do bem],"(A) Atenção Bem Não cadastrado")</f>
        <v>MEDIDOR DE VAZÃO DE DOSAGEM DE POLÍMERO NO SDL: TIPO VERTEDOR</v>
      </c>
    </row>
    <row r="161" spans="1:9" ht="19.899999999999999" customHeight="1" x14ac:dyDescent="0.15">
      <c r="A161" s="88" t="s">
        <v>412</v>
      </c>
      <c r="B161" s="88" t="s">
        <v>413</v>
      </c>
      <c r="C161" s="88" t="s">
        <v>618</v>
      </c>
      <c r="D161" s="88" t="s">
        <v>17</v>
      </c>
      <c r="E161" s="88" t="s">
        <v>619</v>
      </c>
      <c r="F161" s="88" t="s">
        <v>18</v>
      </c>
      <c r="G161" s="88" t="s">
        <v>19</v>
      </c>
      <c r="H161" s="63" t="str" cm="1">
        <f t="array" ref="H161">IF(A161&lt;&gt;"",_xlfn.XLOOKUP(_xlfn.NUMBERVALUE(A161),_xlfn.NUMBERVALUE(Inventários[Tombamento]),Inventários[Processo - localização específica]),"")</f>
        <v>Prédio - depósito de bens</v>
      </c>
      <c r="I161" s="1" t="str" cm="1">
        <f t="array" ref="I161">_xlfn.XLOOKUP(_xlfn.NUMBERVALUE(Carga[[#This Row],[Tombamento]]),_xlfn.NUMBERVALUE(Inventários[Tombamento]),Inventários[Descrição resumida do bem],"(A) Atenção Bem Não cadastrado")</f>
        <v>MEDIDOR DE VAZÃO DE ÁGUA TRATADA: TIPO ELETROMAGNÉTICO DE INSERÇÃO</v>
      </c>
    </row>
    <row r="162" spans="1:9" ht="19.899999999999999" customHeight="1" x14ac:dyDescent="0.15">
      <c r="A162" s="88" t="s">
        <v>414</v>
      </c>
      <c r="B162" s="88" t="s">
        <v>415</v>
      </c>
      <c r="C162" s="88" t="s">
        <v>618</v>
      </c>
      <c r="D162" s="88" t="s">
        <v>17</v>
      </c>
      <c r="E162" s="88" t="s">
        <v>619</v>
      </c>
      <c r="F162" s="88" t="s">
        <v>18</v>
      </c>
      <c r="G162" s="88" t="s">
        <v>19</v>
      </c>
      <c r="H162" s="63" t="str" cm="1">
        <f t="array" ref="H162">IF(A162&lt;&gt;"",_xlfn.XLOOKUP(_xlfn.NUMBERVALUE(A162),_xlfn.NUMBERVALUE(Inventários[Tombamento]),Inventários[Processo - localização específica]),"")</f>
        <v>SDL - dosadoras de lodo adensado e polímero</v>
      </c>
      <c r="I162" s="1" t="str" cm="1">
        <f t="array" ref="I162">_xlfn.XLOOKUP(_xlfn.NUMBERVALUE(Carga[[#This Row],[Tombamento]]),_xlfn.NUMBERVALUE(Inventários[Tombamento]),Inventários[Descrição resumida do bem],"(A) Atenção Bem Não cadastrado")</f>
        <v>MEDIDOR DE VAZÃO DE LODO PARA CENTÍFUGA: TIPO ELETROMAGNÉTICO</v>
      </c>
    </row>
    <row r="163" spans="1:9" ht="19.899999999999999" customHeight="1" x14ac:dyDescent="0.15">
      <c r="A163" s="88" t="s">
        <v>416</v>
      </c>
      <c r="B163" s="88" t="s">
        <v>415</v>
      </c>
      <c r="C163" s="88" t="s">
        <v>618</v>
      </c>
      <c r="D163" s="88" t="s">
        <v>17</v>
      </c>
      <c r="E163" s="88" t="s">
        <v>619</v>
      </c>
      <c r="F163" s="88" t="s">
        <v>18</v>
      </c>
      <c r="G163" s="88" t="s">
        <v>19</v>
      </c>
      <c r="H163" s="63" t="str" cm="1">
        <f t="array" ref="H163">IF(A163&lt;&gt;"",_xlfn.XLOOKUP(_xlfn.NUMBERVALUE(A163),_xlfn.NUMBERVALUE(Inventários[Tombamento]),Inventários[Processo - localização específica]),"")</f>
        <v>SDL - dosadoras de lodo adensado e polímero</v>
      </c>
      <c r="I163" s="1" t="str" cm="1">
        <f t="array" ref="I163">_xlfn.XLOOKUP(_xlfn.NUMBERVALUE(Carga[[#This Row],[Tombamento]]),_xlfn.NUMBERVALUE(Inventários[Tombamento]),Inventários[Descrição resumida do bem],"(A) Atenção Bem Não cadastrado")</f>
        <v>MEDIDOR DE VAZÃO DE LODO PARA CENTÍFUGA: TIPO ELETROMAGNÉTICO</v>
      </c>
    </row>
    <row r="164" spans="1:9" ht="19.899999999999999" customHeight="1" x14ac:dyDescent="0.15">
      <c r="A164" s="88" t="s">
        <v>417</v>
      </c>
      <c r="B164" s="88" t="s">
        <v>418</v>
      </c>
      <c r="C164" s="88" t="s">
        <v>618</v>
      </c>
      <c r="D164" s="88" t="s">
        <v>17</v>
      </c>
      <c r="E164" s="88" t="s">
        <v>619</v>
      </c>
      <c r="F164" s="88" t="s">
        <v>18</v>
      </c>
      <c r="G164" s="88" t="s">
        <v>19</v>
      </c>
      <c r="H164" s="63" t="str" cm="1">
        <f t="array" ref="H164">IF(A164&lt;&gt;"",_xlfn.XLOOKUP(_xlfn.NUMBERVALUE(A164),_xlfn.NUMBERVALUE(Inventários[Tombamento]),Inventários[Processo - localização específica]),"")</f>
        <v>Prédio - operação</v>
      </c>
      <c r="I164" s="1" t="str" cm="1">
        <f t="array" ref="I164">_xlfn.XLOOKUP(_xlfn.NUMBERVALUE(Carga[[#This Row],[Tombamento]]),_xlfn.NUMBERVALUE(Inventários[Tombamento]),Inventários[Descrição resumida do bem],"(A) Atenção Bem Não cadastrado")</f>
        <v>MONITOR DE LCD - 52 POLEGADAS</v>
      </c>
    </row>
    <row r="165" spans="1:9" ht="19.899999999999999" customHeight="1" x14ac:dyDescent="0.15">
      <c r="A165" s="88" t="s">
        <v>419</v>
      </c>
      <c r="B165" s="88" t="s">
        <v>418</v>
      </c>
      <c r="C165" s="88" t="s">
        <v>618</v>
      </c>
      <c r="D165" s="88" t="s">
        <v>17</v>
      </c>
      <c r="E165" s="88" t="s">
        <v>619</v>
      </c>
      <c r="F165" s="88" t="s">
        <v>18</v>
      </c>
      <c r="G165" s="88" t="s">
        <v>19</v>
      </c>
      <c r="H165" s="63" t="str" cm="1">
        <f t="array" ref="H165">IF(A165&lt;&gt;"",_xlfn.XLOOKUP(_xlfn.NUMBERVALUE(A165),_xlfn.NUMBERVALUE(Inventários[Tombamento]),Inventários[Processo - localização específica]),"")</f>
        <v>Prédio - operação</v>
      </c>
      <c r="I165" s="1" t="str" cm="1">
        <f t="array" ref="I165">_xlfn.XLOOKUP(_xlfn.NUMBERVALUE(Carga[[#This Row],[Tombamento]]),_xlfn.NUMBERVALUE(Inventários[Tombamento]),Inventários[Descrição resumida do bem],"(A) Atenção Bem Não cadastrado")</f>
        <v>MONITOR DE LCD - 52 POLEGADAS</v>
      </c>
    </row>
    <row r="166" spans="1:9" ht="19.899999999999999" customHeight="1" x14ac:dyDescent="0.15">
      <c r="A166" s="88" t="s">
        <v>450</v>
      </c>
      <c r="B166" s="88" t="s">
        <v>421</v>
      </c>
      <c r="C166" s="88" t="s">
        <v>618</v>
      </c>
      <c r="D166" s="88" t="s">
        <v>17</v>
      </c>
      <c r="E166" s="88" t="s">
        <v>619</v>
      </c>
      <c r="F166" s="88" t="s">
        <v>18</v>
      </c>
      <c r="G166" s="88" t="s">
        <v>19</v>
      </c>
      <c r="H166" s="63" t="str" cm="1">
        <f t="array" ref="H166">IF(A166&lt;&gt;"",_xlfn.XLOOKUP(_xlfn.NUMBERVALUE(A166),_xlfn.NUMBERVALUE(Inventários[Tombamento]),Inventários[Processo - localização específica]),"")</f>
        <v>Casa de química - preparo e dosagem de permanganato e polímero</v>
      </c>
      <c r="I166" s="1" t="str" cm="1">
        <f t="array" ref="I166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67" spans="1:9" ht="19.899999999999999" customHeight="1" x14ac:dyDescent="0.15">
      <c r="A167" s="88" t="s">
        <v>451</v>
      </c>
      <c r="B167" s="88" t="s">
        <v>421</v>
      </c>
      <c r="C167" s="88" t="s">
        <v>618</v>
      </c>
      <c r="D167" s="88" t="s">
        <v>17</v>
      </c>
      <c r="E167" s="88" t="s">
        <v>619</v>
      </c>
      <c r="F167" s="88" t="s">
        <v>18</v>
      </c>
      <c r="G167" s="88" t="s">
        <v>19</v>
      </c>
      <c r="H167" s="63" t="str" cm="1">
        <f t="array" ref="H167">IF(A167&lt;&gt;"",_xlfn.XLOOKUP(_xlfn.NUMBERVALUE(A167),_xlfn.NUMBERVALUE(Inventários[Tombamento]),Inventários[Processo - localização específica]),"")</f>
        <v>Cloro - elevatórias de injeção de cloro</v>
      </c>
      <c r="I167" s="1" t="str" cm="1">
        <f t="array" ref="I167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68" spans="1:9" ht="19.899999999999999" customHeight="1" x14ac:dyDescent="0.15">
      <c r="A168" s="88" t="s">
        <v>452</v>
      </c>
      <c r="B168" s="88" t="s">
        <v>421</v>
      </c>
      <c r="C168" s="88" t="s">
        <v>618</v>
      </c>
      <c r="D168" s="88" t="s">
        <v>17</v>
      </c>
      <c r="E168" s="88" t="s">
        <v>619</v>
      </c>
      <c r="F168" s="88" t="s">
        <v>18</v>
      </c>
      <c r="G168" s="88" t="s">
        <v>19</v>
      </c>
      <c r="H168" s="63" t="str" cm="1">
        <f t="array" ref="H168">IF(A168&lt;&gt;"",_xlfn.XLOOKUP(_xlfn.NUMBERVALUE(A168),_xlfn.NUMBERVALUE(Inventários[Tombamento]),Inventários[Processo - localização específica]),"")</f>
        <v>Filtros - Galeria dos CCMs</v>
      </c>
      <c r="I168" s="1" t="str" cm="1">
        <f t="array" ref="I168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69" spans="1:9" ht="19.899999999999999" customHeight="1" x14ac:dyDescent="0.15">
      <c r="A169" s="88" t="s">
        <v>453</v>
      </c>
      <c r="B169" s="88" t="s">
        <v>421</v>
      </c>
      <c r="C169" s="88" t="s">
        <v>618</v>
      </c>
      <c r="D169" s="88" t="s">
        <v>17</v>
      </c>
      <c r="E169" s="88" t="s">
        <v>619</v>
      </c>
      <c r="F169" s="88" t="s">
        <v>18</v>
      </c>
      <c r="G169" s="88" t="s">
        <v>19</v>
      </c>
      <c r="H169" s="63" t="str" cm="1">
        <f t="array" ref="H169">IF(A169&lt;&gt;"",_xlfn.XLOOKUP(_xlfn.NUMBERVALUE(A169),_xlfn.NUMBERVALUE(Inventários[Tombamento]),Inventários[Processo - localização específica]),"")</f>
        <v>Filtros - Galeria dos CCMs</v>
      </c>
      <c r="I169" s="1" t="str" cm="1">
        <f t="array" ref="I169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70" spans="1:9" ht="19.899999999999999" customHeight="1" x14ac:dyDescent="0.15">
      <c r="A170" s="88" t="s">
        <v>454</v>
      </c>
      <c r="B170" s="88" t="s">
        <v>421</v>
      </c>
      <c r="C170" s="88" t="s">
        <v>618</v>
      </c>
      <c r="D170" s="88" t="s">
        <v>17</v>
      </c>
      <c r="E170" s="88" t="s">
        <v>619</v>
      </c>
      <c r="F170" s="88" t="s">
        <v>18</v>
      </c>
      <c r="G170" s="88" t="s">
        <v>19</v>
      </c>
      <c r="H170" s="63" t="str" cm="1">
        <f t="array" ref="H170">IF(A170&lt;&gt;"",_xlfn.XLOOKUP(_xlfn.NUMBERVALUE(A170),_xlfn.NUMBERVALUE(Inventários[Tombamento]),Inventários[Processo - localização específica]),"")</f>
        <v>Filtros - Galeria dos CCMs</v>
      </c>
      <c r="I170" s="1" t="str" cm="1">
        <f t="array" ref="I170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71" spans="1:9" ht="19.899999999999999" customHeight="1" x14ac:dyDescent="0.15">
      <c r="A171" s="88" t="s">
        <v>455</v>
      </c>
      <c r="B171" s="88" t="s">
        <v>421</v>
      </c>
      <c r="C171" s="88" t="s">
        <v>618</v>
      </c>
      <c r="D171" s="88" t="s">
        <v>17</v>
      </c>
      <c r="E171" s="88" t="s">
        <v>619</v>
      </c>
      <c r="F171" s="88" t="s">
        <v>18</v>
      </c>
      <c r="G171" s="88" t="s">
        <v>19</v>
      </c>
      <c r="H171" s="63" t="str" cm="1">
        <f t="array" ref="H171">IF(A171&lt;&gt;"",_xlfn.XLOOKUP(_xlfn.NUMBERVALUE(A171),_xlfn.NUMBERVALUE(Inventários[Tombamento]),Inventários[Processo - localização específica]),"")</f>
        <v>Filtros - Galeria dos CCMs</v>
      </c>
      <c r="I171" s="1" t="str" cm="1">
        <f t="array" ref="I171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72" spans="1:9" ht="19.899999999999999" customHeight="1" x14ac:dyDescent="0.15">
      <c r="A172" s="88" t="s">
        <v>456</v>
      </c>
      <c r="B172" s="88" t="s">
        <v>421</v>
      </c>
      <c r="C172" s="88" t="s">
        <v>618</v>
      </c>
      <c r="D172" s="88" t="s">
        <v>17</v>
      </c>
      <c r="E172" s="88" t="s">
        <v>619</v>
      </c>
      <c r="F172" s="88" t="s">
        <v>18</v>
      </c>
      <c r="G172" s="88" t="s">
        <v>19</v>
      </c>
      <c r="H172" s="63" t="str" cm="1">
        <f t="array" ref="H172">IF(A172&lt;&gt;"",_xlfn.XLOOKUP(_xlfn.NUMBERVALUE(A172),_xlfn.NUMBERVALUE(Inventários[Tombamento]),Inventários[Processo - localização específica]),"")</f>
        <v>TAPQ - elevatórias de água potável e amostragem</v>
      </c>
      <c r="I172" s="1" t="str" cm="1">
        <f t="array" ref="I172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73" spans="1:9" ht="19.899999999999999" customHeight="1" x14ac:dyDescent="0.15">
      <c r="A173" s="88" t="s">
        <v>457</v>
      </c>
      <c r="B173" s="88" t="s">
        <v>421</v>
      </c>
      <c r="C173" s="88" t="s">
        <v>618</v>
      </c>
      <c r="D173" s="88" t="s">
        <v>17</v>
      </c>
      <c r="E173" s="88" t="s">
        <v>619</v>
      </c>
      <c r="F173" s="88" t="s">
        <v>18</v>
      </c>
      <c r="G173" s="88" t="s">
        <v>19</v>
      </c>
      <c r="H173" s="63" t="str" cm="1">
        <f t="array" ref="H173">IF(A173&lt;&gt;"",_xlfn.XLOOKUP(_xlfn.NUMBERVALUE(A173),_xlfn.NUMBERVALUE(Inventários[Tombamento]),Inventários[Processo - localização específica]),"")</f>
        <v>Tanque reciclo - elevatória, turbidimetro e med. de nível e vazão</v>
      </c>
      <c r="I173" s="1" t="str" cm="1">
        <f t="array" ref="I173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74" spans="1:9" ht="19.899999999999999" customHeight="1" x14ac:dyDescent="0.15">
      <c r="A174" s="88" t="s">
        <v>420</v>
      </c>
      <c r="B174" s="88" t="s">
        <v>421</v>
      </c>
      <c r="C174" s="88" t="s">
        <v>618</v>
      </c>
      <c r="D174" s="88" t="s">
        <v>17</v>
      </c>
      <c r="E174" s="88" t="s">
        <v>619</v>
      </c>
      <c r="F174" s="88" t="s">
        <v>18</v>
      </c>
      <c r="G174" s="88" t="s">
        <v>19</v>
      </c>
      <c r="H174" s="63" t="str" cm="1">
        <f t="array" ref="H174">IF(A174&lt;&gt;"",_xlfn.XLOOKUP(_xlfn.NUMBERVALUE(A174),_xlfn.NUMBERVALUE(Inventários[Tombamento]),Inventários[Processo - localização específica]),"")</f>
        <v>EAT - sala de cubículo</v>
      </c>
      <c r="I174" s="1" t="str" cm="1">
        <f t="array" ref="I174">_xlfn.XLOOKUP(_xlfn.NUMBERVALUE(Carga[[#This Row],[Tombamento]]),_xlfn.NUMBERVALUE(Inventários[Tombamento]),Inventários[Descrição resumida do bem],"(A) Atenção Bem Não cadastrado")</f>
        <v>NO-BREAK MONOFÁSICO (POTÊNCIA 3 KVA / TENSÃO 220 V)</v>
      </c>
    </row>
    <row r="175" spans="1:9" ht="19.899999999999999" customHeight="1" x14ac:dyDescent="0.15">
      <c r="A175" s="88" t="s">
        <v>458</v>
      </c>
      <c r="B175" s="88" t="s">
        <v>459</v>
      </c>
      <c r="C175" s="88" t="s">
        <v>618</v>
      </c>
      <c r="D175" s="88" t="s">
        <v>17</v>
      </c>
      <c r="E175" s="88" t="s">
        <v>619</v>
      </c>
      <c r="F175" s="88" t="s">
        <v>18</v>
      </c>
      <c r="G175" s="88" t="s">
        <v>19</v>
      </c>
      <c r="H175" s="63" t="str" cm="1">
        <f t="array" ref="H175">IF(A175&lt;&gt;"",_xlfn.XLOOKUP(_xlfn.NUMBERVALUE(A175),_xlfn.NUMBERVALUE(Inventários[Tombamento]),Inventários[Processo - localização específica]),"")</f>
        <v>Bloco hidráulico - analisadores d'água bruta</v>
      </c>
      <c r="I175" s="1" t="str" cm="1">
        <f t="array" ref="I175">_xlfn.XLOOKUP(_xlfn.NUMBERVALUE(Carga[[#This Row],[Tombamento]]),_xlfn.NUMBERVALUE(Inventários[Tombamento]),Inventários[Descrição resumida do bem],"(A) Atenção Bem Não cadastrado")</f>
        <v>NO-BREAK ONLINE, 6000 VA, SAÍDA 220V</v>
      </c>
    </row>
    <row r="176" spans="1:9" ht="19.899999999999999" customHeight="1" x14ac:dyDescent="0.15">
      <c r="A176" s="88" t="s">
        <v>460</v>
      </c>
      <c r="B176" s="88" t="s">
        <v>461</v>
      </c>
      <c r="C176" s="88" t="s">
        <v>618</v>
      </c>
      <c r="D176" s="88" t="s">
        <v>17</v>
      </c>
      <c r="E176" s="88" t="s">
        <v>619</v>
      </c>
      <c r="F176" s="88" t="s">
        <v>18</v>
      </c>
      <c r="G176" s="88" t="s">
        <v>19</v>
      </c>
      <c r="H176" s="63" t="str" cm="1">
        <f t="array" ref="H176">IF(A176&lt;&gt;"",_xlfn.XLOOKUP(_xlfn.NUMBERVALUE(A176),_xlfn.NUMBERVALUE(Inventários[Tombamento]),Inventários[Processo - localização específica]),"")</f>
        <v>Flotadores - compressores de ar e válvulas de drenagem Módulos 03/04</v>
      </c>
      <c r="I176" s="1" t="str" cm="1">
        <f t="array" ref="I176">_xlfn.XLOOKUP(_xlfn.NUMBERVALUE(Carga[[#This Row],[Tombamento]]),_xlfn.NUMBERVALUE(Inventários[Tombamento]),Inventários[Descrição resumida do bem],"(A) Atenção Bem Não cadastrado")</f>
        <v>ANALISADOR DE CLORO RRESIDUAL COM INTERFACE DE COMUNICAÇÃO</v>
      </c>
    </row>
    <row r="177" spans="1:9" ht="19.899999999999999" customHeight="1" x14ac:dyDescent="0.15">
      <c r="A177" s="88" t="s">
        <v>462</v>
      </c>
      <c r="B177" s="88" t="s">
        <v>463</v>
      </c>
      <c r="C177" s="88" t="s">
        <v>618</v>
      </c>
      <c r="D177" s="88" t="s">
        <v>17</v>
      </c>
      <c r="E177" s="88" t="s">
        <v>619</v>
      </c>
      <c r="F177" s="88" t="s">
        <v>18</v>
      </c>
      <c r="G177" s="88" t="s">
        <v>19</v>
      </c>
      <c r="H177" s="63" t="str" cm="1">
        <f t="array" ref="H177">IF(A177&lt;&gt;"",_xlfn.XLOOKUP(_xlfn.NUMBERVALUE(A177),_xlfn.NUMBERVALUE(Inventários[Tombamento]),Inventários[Processo - localização específica]),"")</f>
        <v>Bloco hidráulico - analisadores d'água bruta</v>
      </c>
      <c r="I177" s="1" t="str" cm="1">
        <f t="array" ref="I177">_xlfn.XLOOKUP(_xlfn.NUMBERVALUE(Carga[[#This Row],[Tombamento]]),_xlfn.NUMBERVALUE(Inventários[Tombamento]),Inventários[Descrição resumida do bem],"(A) Atenção Bem Não cadastrado")</f>
        <v>ANALISADOR DE COAGULANTE COM INTERFACE DE COMUNICAÇÃO EM REDE</v>
      </c>
    </row>
    <row r="178" spans="1:9" ht="30" customHeight="1" x14ac:dyDescent="0.15">
      <c r="A178" s="88" t="s">
        <v>422</v>
      </c>
      <c r="B178" s="88" t="s">
        <v>423</v>
      </c>
      <c r="C178" s="88" t="s">
        <v>618</v>
      </c>
      <c r="D178" s="88" t="s">
        <v>17</v>
      </c>
      <c r="E178" s="88" t="s">
        <v>619</v>
      </c>
      <c r="F178" s="88" t="s">
        <v>18</v>
      </c>
      <c r="G178" s="88" t="s">
        <v>19</v>
      </c>
      <c r="H178" s="63" t="str" cm="1">
        <f t="array" ref="H178">IF(A178&lt;&gt;"",_xlfn.XLOOKUP(_xlfn.NUMBERVALUE(A178),_xlfn.NUMBERVALUE(Inventários[Tombamento]),Inventários[Processo - localização específica]),"")</f>
        <v>Flotador 03 - removedor(es) de lodo</v>
      </c>
      <c r="I178" s="1" t="str" cm="1">
        <f t="array" ref="I178">_xlfn.XLOOKUP(_xlfn.NUMBERVALUE(Carga[[#This Row],[Tombamento]]),_xlfn.NUMBERVALUE(Inventários[Tombamento]),Inventários[Descrição resumida do bem],"(A) Atenção Bem Não cadastrado")</f>
        <v>ANALISADOR DE PH COM INTERFACE DE COMUNICAÇÃO EM REDE</v>
      </c>
    </row>
    <row r="179" spans="1:9" ht="30" customHeight="1" x14ac:dyDescent="0.15">
      <c r="A179" s="88" t="s">
        <v>424</v>
      </c>
      <c r="B179" s="88" t="s">
        <v>423</v>
      </c>
      <c r="C179" s="88" t="s">
        <v>618</v>
      </c>
      <c r="D179" s="88" t="s">
        <v>17</v>
      </c>
      <c r="E179" s="88" t="s">
        <v>619</v>
      </c>
      <c r="F179" s="88" t="s">
        <v>18</v>
      </c>
      <c r="G179" s="88" t="s">
        <v>19</v>
      </c>
      <c r="H179" s="63" t="str" cm="1">
        <f t="array" ref="H179">IF(A179&lt;&gt;"",_xlfn.XLOOKUP(_xlfn.NUMBERVALUE(A179),_xlfn.NUMBERVALUE(Inventários[Tombamento]),Inventários[Processo - localização específica]),"")</f>
        <v>Flotador 04 - removedor(es) de lodo</v>
      </c>
      <c r="I179" s="1" t="str" cm="1">
        <f t="array" ref="I179">_xlfn.XLOOKUP(_xlfn.NUMBERVALUE(Carga[[#This Row],[Tombamento]]),_xlfn.NUMBERVALUE(Inventários[Tombamento]),Inventários[Descrição resumida do bem],"(A) Atenção Bem Não cadastrado")</f>
        <v>ANALISADOR DE PH COM INTERFACE DE COMUNICAÇÃO EM REDE</v>
      </c>
    </row>
    <row r="180" spans="1:9" ht="30" customHeight="1" x14ac:dyDescent="0.15">
      <c r="A180" s="88" t="s">
        <v>425</v>
      </c>
      <c r="B180" s="88" t="s">
        <v>423</v>
      </c>
      <c r="C180" s="88" t="s">
        <v>618</v>
      </c>
      <c r="D180" s="88" t="s">
        <v>17</v>
      </c>
      <c r="E180" s="88" t="s">
        <v>619</v>
      </c>
      <c r="F180" s="88" t="s">
        <v>18</v>
      </c>
      <c r="G180" s="88" t="s">
        <v>19</v>
      </c>
      <c r="H180" s="63" t="str" cm="1">
        <f t="array" ref="H180">IF(A180&lt;&gt;"",_xlfn.XLOOKUP(_xlfn.NUMBERVALUE(A180),_xlfn.NUMBERVALUE(Inventários[Tombamento]),Inventários[Processo - localização específica]),"")</f>
        <v>Flotador 06 - removedor(es) de lodo</v>
      </c>
      <c r="I180" s="1" t="str" cm="1">
        <f t="array" ref="I180">_xlfn.XLOOKUP(_xlfn.NUMBERVALUE(Carga[[#This Row],[Tombamento]]),_xlfn.NUMBERVALUE(Inventários[Tombamento]),Inventários[Descrição resumida do bem],"(A) Atenção Bem Não cadastrado")</f>
        <v>ANALISADOR DE PH COM INTERFACE DE COMUNICAÇÃO EM REDE</v>
      </c>
    </row>
    <row r="181" spans="1:9" ht="30" customHeight="1" x14ac:dyDescent="0.15">
      <c r="A181" s="88" t="s">
        <v>426</v>
      </c>
      <c r="B181" s="88" t="s">
        <v>423</v>
      </c>
      <c r="C181" s="88" t="s">
        <v>618</v>
      </c>
      <c r="D181" s="88" t="s">
        <v>17</v>
      </c>
      <c r="E181" s="88" t="s">
        <v>619</v>
      </c>
      <c r="F181" s="88" t="s">
        <v>18</v>
      </c>
      <c r="G181" s="88" t="s">
        <v>19</v>
      </c>
      <c r="H181" s="63" t="str" cm="1">
        <f t="array" ref="H181">IF(A181&lt;&gt;"",_xlfn.XLOOKUP(_xlfn.NUMBERVALUE(A181),_xlfn.NUMBERVALUE(Inventários[Tombamento]),Inventários[Processo - localização específica]),"")</f>
        <v>Flotador 07 - removedor(es) de lodo</v>
      </c>
      <c r="I181" s="1" t="str" cm="1">
        <f t="array" ref="I181">_xlfn.XLOOKUP(_xlfn.NUMBERVALUE(Carga[[#This Row],[Tombamento]]),_xlfn.NUMBERVALUE(Inventários[Tombamento]),Inventários[Descrição resumida do bem],"(A) Atenção Bem Não cadastrado")</f>
        <v>ANALISADOR DE PH COM INTERFACE DE COMUNICAÇÃO EM REDE</v>
      </c>
    </row>
    <row r="182" spans="1:9" ht="30" customHeight="1" x14ac:dyDescent="0.15">
      <c r="A182" s="88" t="s">
        <v>427</v>
      </c>
      <c r="B182" s="88" t="s">
        <v>423</v>
      </c>
      <c r="C182" s="88" t="s">
        <v>618</v>
      </c>
      <c r="D182" s="88" t="s">
        <v>17</v>
      </c>
      <c r="E182" s="88" t="s">
        <v>619</v>
      </c>
      <c r="F182" s="88" t="s">
        <v>18</v>
      </c>
      <c r="G182" s="88" t="s">
        <v>19</v>
      </c>
      <c r="H182" s="63" t="str" cm="1">
        <f t="array" ref="H182">IF(A182&lt;&gt;"",_xlfn.XLOOKUP(_xlfn.NUMBERVALUE(A182),_xlfn.NUMBERVALUE(Inventários[Tombamento]),Inventários[Processo - localização específica]),"")</f>
        <v>Flotador 08 - removedor(es) de lodo</v>
      </c>
      <c r="I182" s="1" t="str" cm="1">
        <f t="array" ref="I182">_xlfn.XLOOKUP(_xlfn.NUMBERVALUE(Carga[[#This Row],[Tombamento]]),_xlfn.NUMBERVALUE(Inventários[Tombamento]),Inventários[Descrição resumida do bem],"(A) Atenção Bem Não cadastrado")</f>
        <v>ANALISADOR DE PH COM INTERFACE DE COMUNICAÇÃO EM REDE</v>
      </c>
    </row>
    <row r="183" spans="1:9" ht="30" customHeight="1" x14ac:dyDescent="0.15">
      <c r="A183" s="88" t="s">
        <v>428</v>
      </c>
      <c r="B183" s="88" t="s">
        <v>429</v>
      </c>
      <c r="C183" s="88" t="s">
        <v>618</v>
      </c>
      <c r="D183" s="88" t="s">
        <v>17</v>
      </c>
      <c r="E183" s="88" t="s">
        <v>619</v>
      </c>
      <c r="F183" s="88" t="s">
        <v>18</v>
      </c>
      <c r="G183" s="88" t="s">
        <v>19</v>
      </c>
      <c r="H183" s="63" t="str" cm="1">
        <f t="array" ref="H183">IF(A183&lt;&gt;"",_xlfn.XLOOKUP(_xlfn.NUMBERVALUE(A183),_xlfn.NUMBERVALUE(Inventários[Tombamento]),Inventários[Processo - localização específica]),"")</f>
        <v>Flotadores - elevatórias de água saturada Módulos 01/02</v>
      </c>
      <c r="I183" s="1" t="str" cm="1">
        <f t="array" ref="I183">_xlfn.XLOOKUP(_xlfn.NUMBERVALUE(Carga[[#This Row],[Tombamento]]),_xlfn.NUMBERVALUE(Inventários[Tombamento]),Inventários[Descrição resumida do bem],"(A) Atenção Bem Não cadastrado")</f>
        <v xml:space="preserve"> ATUADOR ELETRICO INTELIGENTE PARA VALVULA, 1/4 DE VOLTA, MOTOR 380 VAC</v>
      </c>
    </row>
    <row r="184" spans="1:9" ht="30" customHeight="1" x14ac:dyDescent="0.15">
      <c r="A184" s="88" t="s">
        <v>430</v>
      </c>
      <c r="B184" s="88" t="s">
        <v>429</v>
      </c>
      <c r="C184" s="88" t="s">
        <v>618</v>
      </c>
      <c r="D184" s="88" t="s">
        <v>17</v>
      </c>
      <c r="E184" s="88" t="s">
        <v>619</v>
      </c>
      <c r="F184" s="88" t="s">
        <v>18</v>
      </c>
      <c r="G184" s="88" t="s">
        <v>19</v>
      </c>
      <c r="H184" s="63" t="str" cm="1">
        <f t="array" ref="H184">IF(A184&lt;&gt;"",_xlfn.XLOOKUP(_xlfn.NUMBERVALUE(A184),_xlfn.NUMBERVALUE(Inventários[Tombamento]),Inventários[Processo - localização específica]),"")</f>
        <v>Flotadores - elevatórias de água saturada Módulos 01/02</v>
      </c>
      <c r="I184" s="1" t="str" cm="1">
        <f t="array" ref="I184">_xlfn.XLOOKUP(_xlfn.NUMBERVALUE(Carga[[#This Row],[Tombamento]]),_xlfn.NUMBERVALUE(Inventários[Tombamento]),Inventários[Descrição resumida do bem],"(A) Atenção Bem Não cadastrado")</f>
        <v xml:space="preserve"> ATUADOR ELETRICO INTELIGENTE PARA VALVULA, 1/4 DE VOLTA, MOTOR 380 VAC</v>
      </c>
    </row>
    <row r="185" spans="1:9" ht="30" customHeight="1" x14ac:dyDescent="0.15">
      <c r="A185" s="88" t="s">
        <v>431</v>
      </c>
      <c r="B185" s="88" t="s">
        <v>429</v>
      </c>
      <c r="C185" s="88" t="s">
        <v>618</v>
      </c>
      <c r="D185" s="88" t="s">
        <v>17</v>
      </c>
      <c r="E185" s="88" t="s">
        <v>619</v>
      </c>
      <c r="F185" s="88" t="s">
        <v>18</v>
      </c>
      <c r="G185" s="88" t="s">
        <v>19</v>
      </c>
      <c r="H185" s="63" t="str" cm="1">
        <f t="array" ref="H185">IF(A185&lt;&gt;"",_xlfn.XLOOKUP(_xlfn.NUMBERVALUE(A185),_xlfn.NUMBERVALUE(Inventários[Tombamento]),Inventários[Processo - localização específica]),"")</f>
        <v>Flotadores - elevatórias de água saturada Módulos 01/02</v>
      </c>
      <c r="I185" s="1" t="str" cm="1">
        <f t="array" ref="I185">_xlfn.XLOOKUP(_xlfn.NUMBERVALUE(Carga[[#This Row],[Tombamento]]),_xlfn.NUMBERVALUE(Inventários[Tombamento]),Inventários[Descrição resumida do bem],"(A) Atenção Bem Não cadastrado")</f>
        <v xml:space="preserve"> ATUADOR ELETRICO INTELIGENTE PARA VALVULA, 1/4 DE VOLTA, MOTOR 380 VAC</v>
      </c>
    </row>
    <row r="186" spans="1:9" ht="30" customHeight="1" x14ac:dyDescent="0.15">
      <c r="A186" s="88" t="s">
        <v>432</v>
      </c>
      <c r="B186" s="88" t="s">
        <v>429</v>
      </c>
      <c r="C186" s="88" t="s">
        <v>618</v>
      </c>
      <c r="D186" s="88" t="s">
        <v>17</v>
      </c>
      <c r="E186" s="88" t="s">
        <v>619</v>
      </c>
      <c r="F186" s="88" t="s">
        <v>18</v>
      </c>
      <c r="G186" s="88" t="s">
        <v>19</v>
      </c>
      <c r="H186" s="63" t="str" cm="1">
        <f t="array" ref="H186">IF(A186&lt;&gt;"",_xlfn.XLOOKUP(_xlfn.NUMBERVALUE(A186),_xlfn.NUMBERVALUE(Inventários[Tombamento]),Inventários[Processo - localização específica]),"")</f>
        <v>Flotadores - compressores de ar e válvulas de drenagem Módulos 01/02</v>
      </c>
      <c r="I186" s="1" t="str" cm="1">
        <f t="array" ref="I186">_xlfn.XLOOKUP(_xlfn.NUMBERVALUE(Carga[[#This Row],[Tombamento]]),_xlfn.NUMBERVALUE(Inventários[Tombamento]),Inventários[Descrição resumida do bem],"(A) Atenção Bem Não cadastrado")</f>
        <v xml:space="preserve"> ATUADOR ELETRICO INTELIGENTE PARA VALVULA, 1/4 DE VOLTA, MOTOR 380 VAC</v>
      </c>
    </row>
    <row r="187" spans="1:9" ht="30" customHeight="1" x14ac:dyDescent="0.15">
      <c r="A187" s="88" t="s">
        <v>433</v>
      </c>
      <c r="B187" s="88" t="s">
        <v>434</v>
      </c>
      <c r="C187" s="88" t="s">
        <v>618</v>
      </c>
      <c r="D187" s="88" t="s">
        <v>17</v>
      </c>
      <c r="E187" s="88" t="s">
        <v>619</v>
      </c>
      <c r="F187" s="88" t="s">
        <v>18</v>
      </c>
      <c r="G187" s="88" t="s">
        <v>19</v>
      </c>
      <c r="H187" s="63" t="str" cm="1">
        <f t="array" ref="H187">IF(A187&lt;&gt;"",_xlfn.XLOOKUP(_xlfn.NUMBERVALUE(A187),_xlfn.NUMBERVALUE(Inventários[Tombamento]),Inventários[Processo - localização específica]),"")</f>
        <v>EAT - sala de cubículo</v>
      </c>
      <c r="I187" s="1" t="str" cm="1">
        <f t="array" ref="I187">_xlfn.XLOOKUP(_xlfn.NUMBERVALUE(Carga[[#This Row],[Tombamento]]),_xlfn.NUMBERVALUE(Inventários[Tombamento]),Inventários[Descrição resumida do bem],"(A) Atenção Bem Não cadastrado")</f>
        <v xml:space="preserve"> NO-BREAK ONLINE, 6000 VA, SAÍDA 220V</v>
      </c>
    </row>
    <row r="188" spans="1:9" ht="30" customHeight="1" x14ac:dyDescent="0.15">
      <c r="A188" s="88" t="s">
        <v>669</v>
      </c>
      <c r="B188" s="88" t="s">
        <v>119</v>
      </c>
      <c r="C188" s="88" t="s">
        <v>618</v>
      </c>
      <c r="D188" s="88" t="s">
        <v>17</v>
      </c>
      <c r="E188" s="88" t="s">
        <v>619</v>
      </c>
      <c r="F188" s="88" t="s">
        <v>18</v>
      </c>
      <c r="G188" s="88" t="s">
        <v>19</v>
      </c>
      <c r="H188" s="63" t="str" cm="1">
        <f t="array" ref="H188">IF(A188&lt;&gt;"",_xlfn.XLOOKUP(_xlfn.NUMBERVALUE(A188),_xlfn.NUMBERVALUE(Inventários[Tombamento]),Inventários[Processo - localização específica]),"")</f>
        <v>EAT - casa de máquinas e  med. de vazão</v>
      </c>
      <c r="I188" s="1" t="str" cm="1">
        <f t="array" ref="I188">_xlfn.XLOOKUP(_xlfn.NUMBERVALUE(Carga[[#This Row],[Tombamento]]),_xlfn.NUMBERVALUE(Inventários[Tombamento]),Inventários[Descrição resumida do bem],"(A) Atenção Bem Não cadastrado")</f>
        <v>ATUADOR ELÉTRICO INTELIGENTE PARA VÁLVULA , 1/4 DE VOLTA, MOTOR 380VAC/60HZ, IP68, TORQUE DE SAÍDA MÁXIMO DE 1000NM, REDUTOR E MÓDULO DE COMUNICAÇÃO</v>
      </c>
    </row>
    <row r="189" spans="1:9" ht="60" customHeight="1" x14ac:dyDescent="0.15">
      <c r="A189" s="88" t="s">
        <v>670</v>
      </c>
      <c r="B189" s="88" t="s">
        <v>119</v>
      </c>
      <c r="C189" s="88" t="s">
        <v>618</v>
      </c>
      <c r="D189" s="88" t="s">
        <v>17</v>
      </c>
      <c r="E189" s="88" t="s">
        <v>619</v>
      </c>
      <c r="F189" s="88" t="s">
        <v>18</v>
      </c>
      <c r="G189" s="88" t="s">
        <v>19</v>
      </c>
      <c r="H189" s="63" t="str" cm="1">
        <f t="array" ref="H189">IF(A189&lt;&gt;"",_xlfn.XLOOKUP(_xlfn.NUMBERVALUE(A189),_xlfn.NUMBERVALUE(Inventários[Tombamento]),Inventários[Processo - localização específica]),"")</f>
        <v>EAT - casa de máquinas e  med. de vazão</v>
      </c>
      <c r="I189" s="1" t="str" cm="1">
        <f t="array" ref="I189">_xlfn.XLOOKUP(_xlfn.NUMBERVALUE(Carga[[#This Row],[Tombamento]]),_xlfn.NUMBERVALUE(Inventários[Tombamento]),Inventários[Descrição resumida do bem],"(A) Atenção Bem Não cadastrado")</f>
        <v>ATUADOR ELÉTRICO INTELIGENTE PARA VÁLVULA , 1/4 DE VOLTA, MOTOR 380VAC/60HZ, IP68, TORQUE DE SAÍDA MÁXIMO DE 1000NM, REDUTOR E MÓDULO DE COMUNICAÇÃO</v>
      </c>
    </row>
    <row r="190" spans="1:9" ht="60" customHeight="1" x14ac:dyDescent="0.15">
      <c r="A190" s="88" t="s">
        <v>671</v>
      </c>
      <c r="B190" s="88" t="s">
        <v>119</v>
      </c>
      <c r="C190" s="88" t="s">
        <v>618</v>
      </c>
      <c r="D190" s="88" t="s">
        <v>17</v>
      </c>
      <c r="E190" s="88" t="s">
        <v>619</v>
      </c>
      <c r="F190" s="88" t="s">
        <v>18</v>
      </c>
      <c r="G190" s="88" t="s">
        <v>19</v>
      </c>
      <c r="H190" s="63" t="str" cm="1">
        <f t="array" ref="H190">IF(A190&lt;&gt;"",_xlfn.XLOOKUP(_xlfn.NUMBERVALUE(A190),_xlfn.NUMBERVALUE(Inventários[Tombamento]),Inventários[Processo - localização específica]),"")</f>
        <v>EAT - casa de máquinas e  med. de vazão</v>
      </c>
      <c r="I190" s="1" t="str" cm="1">
        <f t="array" ref="I190">_xlfn.XLOOKUP(_xlfn.NUMBERVALUE(Carga[[#This Row],[Tombamento]]),_xlfn.NUMBERVALUE(Inventários[Tombamento]),Inventários[Descrição resumida do bem],"(A) Atenção Bem Não cadastrado")</f>
        <v>ATUADOR ELÉTRICO INTELIGENTE PARA VÁLVULA , 1/4 DE VOLTA, MOTOR 380VAC/60HZ, IP68, TORQUE DE SAÍDA MÁXIMO DE 1000NM, REDUTOR E MÓDULO DE COMUNICAÇÃO</v>
      </c>
    </row>
    <row r="191" spans="1:9" ht="19.899999999999999" customHeight="1" x14ac:dyDescent="0.15">
      <c r="A191" s="88" t="s">
        <v>672</v>
      </c>
      <c r="B191" s="88" t="s">
        <v>119</v>
      </c>
      <c r="C191" s="88" t="s">
        <v>618</v>
      </c>
      <c r="D191" s="88" t="s">
        <v>17</v>
      </c>
      <c r="E191" s="88" t="s">
        <v>619</v>
      </c>
      <c r="F191" s="88" t="s">
        <v>18</v>
      </c>
      <c r="G191" s="88" t="s">
        <v>19</v>
      </c>
      <c r="H191" s="63" t="str" cm="1">
        <f t="array" ref="H191">IF(A191&lt;&gt;"",_xlfn.XLOOKUP(_xlfn.NUMBERVALUE(A191),_xlfn.NUMBERVALUE(Inventários[Tombamento]),Inventários[Processo - localização específica]),"")</f>
        <v>EAT - casa de máquinas e  med. de vazão</v>
      </c>
      <c r="I191" s="1" t="str" cm="1">
        <f t="array" ref="I191">_xlfn.XLOOKUP(_xlfn.NUMBERVALUE(Carga[[#This Row],[Tombamento]]),_xlfn.NUMBERVALUE(Inventários[Tombamento]),Inventários[Descrição resumida do bem],"(A) Atenção Bem Não cadastrado")</f>
        <v>ATUADOR ELÉTRICO INTELIGENTE PARA VÁLVULA , 1/4 DE VOLTA, MOTOR 380VAC/60HZ, IP68, TORQUE DE SAÍDA MÁXIMO DE 1000NM, REDUTOR E MÓDULO DE COMUNICAÇÃO</v>
      </c>
    </row>
    <row r="192" spans="1:9" ht="19.899999999999999" customHeight="1" x14ac:dyDescent="0.15">
      <c r="A192" s="88" t="s">
        <v>673</v>
      </c>
      <c r="B192" s="88" t="s">
        <v>119</v>
      </c>
      <c r="C192" s="88" t="s">
        <v>618</v>
      </c>
      <c r="D192" s="88" t="s">
        <v>17</v>
      </c>
      <c r="E192" s="88" t="s">
        <v>619</v>
      </c>
      <c r="F192" s="88" t="s">
        <v>18</v>
      </c>
      <c r="G192" s="88" t="s">
        <v>19</v>
      </c>
      <c r="H192" s="63" t="str" cm="1">
        <f t="array" ref="H192">IF(A192&lt;&gt;"",_xlfn.XLOOKUP(_xlfn.NUMBERVALUE(A192),_xlfn.NUMBERVALUE(Inventários[Tombamento]),Inventários[Processo - localização específica]),"")</f>
        <v>EAT - casa de máquinas e  med. de vazão</v>
      </c>
      <c r="I192" s="1" t="str" cm="1">
        <f t="array" ref="I192">_xlfn.XLOOKUP(_xlfn.NUMBERVALUE(Carga[[#This Row],[Tombamento]]),_xlfn.NUMBERVALUE(Inventários[Tombamento]),Inventários[Descrição resumida do bem],"(A) Atenção Bem Não cadastrado")</f>
        <v>ATUADOR ELÉTRICO INTELIGENTE PARA VÁLVULA , 1/4 DE VOLTA, MOTOR 380VAC/60HZ, IP68, TORQUE DE SAÍDA MÁXIMO DE 1000NM, REDUTOR E MÓDULO DE COMUNICAÇÃO</v>
      </c>
    </row>
    <row r="193" spans="1:9" ht="30" customHeight="1" x14ac:dyDescent="0.15">
      <c r="A193" s="88" t="s">
        <v>674</v>
      </c>
      <c r="B193" s="88" t="s">
        <v>120</v>
      </c>
      <c r="C193" s="88" t="s">
        <v>618</v>
      </c>
      <c r="D193" s="88" t="s">
        <v>17</v>
      </c>
      <c r="E193" s="88" t="s">
        <v>619</v>
      </c>
      <c r="F193" s="88" t="s">
        <v>18</v>
      </c>
      <c r="G193" s="88" t="s">
        <v>19</v>
      </c>
      <c r="H193" s="63" t="str" cm="1">
        <f t="array" ref="H193">IF(A193&lt;&gt;"",_xlfn.XLOOKUP(_xlfn.NUMBERVALUE(A193),_xlfn.NUMBERVALUE(Inventários[Tombamento]),Inventários[Processo - localização específica]),"")</f>
        <v>EAT - ponte rolante</v>
      </c>
      <c r="I193" s="1" t="str" cm="1">
        <f t="array" ref="I193">_xlfn.XLOOKUP(_xlfn.NUMBERVALUE(Carga[[#This Row],[Tombamento]]),_xlfn.NUMBERVALUE(Inventários[Tombamento]),Inventários[Descrição resumida do bem],"(A) Atenção Bem Não cadastrado")</f>
        <v>PONTE ROLANTE DUPLA VIGA CAPACIDADE DE 20 T INCLUINDO TALHA ELÉTRICA DE 20 T, TRILHO DE ROLAMENTO, COMPRIMENTO DE 20 M, VÃO DE  20 M E ALTURA DE ELEVA</v>
      </c>
    </row>
    <row r="194" spans="1:9" ht="40.15" customHeight="1" x14ac:dyDescent="0.15">
      <c r="A194" s="88" t="s">
        <v>675</v>
      </c>
      <c r="B194" s="88" t="s">
        <v>121</v>
      </c>
      <c r="C194" s="88" t="s">
        <v>618</v>
      </c>
      <c r="D194" s="88" t="s">
        <v>17</v>
      </c>
      <c r="E194" s="88" t="s">
        <v>619</v>
      </c>
      <c r="F194" s="88" t="s">
        <v>18</v>
      </c>
      <c r="G194" s="88" t="s">
        <v>19</v>
      </c>
      <c r="H194" s="63" t="str" cm="1">
        <f t="array" ref="H194">IF(A194&lt;&gt;"",_xlfn.XLOOKUP(_xlfn.NUMBERVALUE(A194),_xlfn.NUMBERVALUE(Inventários[Tombamento]),Inventários[Processo - localização específica]),"")</f>
        <v>EAT - bombas submersíveis - casa de máquinas</v>
      </c>
      <c r="I194" s="1" t="str" cm="1">
        <f t="array" ref="I194">_xlfn.XLOOKUP(_xlfn.NUMBERVALUE(Carga[[#This Row],[Tombamento]]),_xlfn.NUMBERVALUE(Inventários[Tombamento]),Inventários[Descrição resumida do bem],"(A) Atenção Bem Não cadastrado")</f>
        <v>CONJUNTO MOTO-BOMBA SUBMERSSÍVEL , COM VEDAÇÃO POR SELO MECÂNICO, ACOPLADA A MOTOR ELÉTRICO TRIFÁSICO DE 2 HP, 4 PÓLOS, 1750 RPM, 60HZ, 380 V. PONTO D</v>
      </c>
    </row>
    <row r="195" spans="1:9" ht="40.15" customHeight="1" x14ac:dyDescent="0.15">
      <c r="A195" s="88" t="s">
        <v>676</v>
      </c>
      <c r="B195" s="88" t="s">
        <v>121</v>
      </c>
      <c r="C195" s="88" t="s">
        <v>618</v>
      </c>
      <c r="D195" s="88" t="s">
        <v>17</v>
      </c>
      <c r="E195" s="88" t="s">
        <v>619</v>
      </c>
      <c r="F195" s="88" t="s">
        <v>18</v>
      </c>
      <c r="G195" s="88" t="s">
        <v>19</v>
      </c>
      <c r="H195" s="63" t="str" cm="1">
        <f t="array" ref="H195">IF(A195&lt;&gt;"",_xlfn.XLOOKUP(_xlfn.NUMBERVALUE(A195),_xlfn.NUMBERVALUE(Inventários[Tombamento]),Inventários[Processo - localização específica]),"")</f>
        <v>EAT - bombas submersíveis - casa de máquinas</v>
      </c>
      <c r="I195" s="1" t="str" cm="1">
        <f t="array" ref="I195">_xlfn.XLOOKUP(_xlfn.NUMBERVALUE(Carga[[#This Row],[Tombamento]]),_xlfn.NUMBERVALUE(Inventários[Tombamento]),Inventários[Descrição resumida do bem],"(A) Atenção Bem Não cadastrado")</f>
        <v>CONJUNTO MOTO-BOMBA SUBMERSSÍVEL , COM VEDAÇÃO POR SELO MECÂNICO, ACOPLADA A MOTOR ELÉTRICO TRIFÁSICO DE 2 HP, 4 PÓLOS, 1750 RPM, 60HZ, 380 V. PONTO D</v>
      </c>
    </row>
    <row r="196" spans="1:9" ht="40.15" customHeight="1" x14ac:dyDescent="0.15">
      <c r="A196" s="88" t="s">
        <v>677</v>
      </c>
      <c r="B196" s="88" t="s">
        <v>121</v>
      </c>
      <c r="C196" s="88" t="s">
        <v>618</v>
      </c>
      <c r="D196" s="88" t="s">
        <v>17</v>
      </c>
      <c r="E196" s="88" t="s">
        <v>619</v>
      </c>
      <c r="F196" s="88" t="s">
        <v>18</v>
      </c>
      <c r="G196" s="88" t="s">
        <v>19</v>
      </c>
      <c r="H196" s="63" t="str" cm="1">
        <f t="array" ref="H196">IF(A196&lt;&gt;"",_xlfn.XLOOKUP(_xlfn.NUMBERVALUE(A196),_xlfn.NUMBERVALUE(Inventários[Tombamento]),Inventários[Processo - localização específica]),"")</f>
        <v>EAT - bombas submersíveis - casa de máquinas</v>
      </c>
      <c r="I196" s="1" t="str" cm="1">
        <f t="array" ref="I196">_xlfn.XLOOKUP(_xlfn.NUMBERVALUE(Carga[[#This Row],[Tombamento]]),_xlfn.NUMBERVALUE(Inventários[Tombamento]),Inventários[Descrição resumida do bem],"(A) Atenção Bem Não cadastrado")</f>
        <v>CONJUNTO MOTO-BOMBA SUBMERSSÍVEL , COM VEDAÇÃO POR SELO MECÂNICO, ACOPLADA A MOTOR ELÉTRICO TRIFÁSICO DE 2 HP, 4 PÓLOS, 1750 RPM, 60HZ, 380 V. PONTO D</v>
      </c>
    </row>
    <row r="197" spans="1:9" ht="40.15" customHeight="1" x14ac:dyDescent="0.15">
      <c r="A197" s="88" t="s">
        <v>678</v>
      </c>
      <c r="B197" s="88" t="s">
        <v>121</v>
      </c>
      <c r="C197" s="88" t="s">
        <v>618</v>
      </c>
      <c r="D197" s="88" t="s">
        <v>17</v>
      </c>
      <c r="E197" s="88" t="s">
        <v>619</v>
      </c>
      <c r="F197" s="88" t="s">
        <v>18</v>
      </c>
      <c r="G197" s="88" t="s">
        <v>19</v>
      </c>
      <c r="H197" s="63" t="str" cm="1">
        <f t="array" ref="H197">IF(A197&lt;&gt;"",_xlfn.XLOOKUP(_xlfn.NUMBERVALUE(A197),_xlfn.NUMBERVALUE(Inventários[Tombamento]),Inventários[Processo - localização específica]),"")</f>
        <v>EAT - bombas submersíveis - barrilete de sucção</v>
      </c>
      <c r="I197" s="1" t="str" cm="1">
        <f t="array" ref="I197">_xlfn.XLOOKUP(_xlfn.NUMBERVALUE(Carga[[#This Row],[Tombamento]]),_xlfn.NUMBERVALUE(Inventários[Tombamento]),Inventários[Descrição resumida do bem],"(A) Atenção Bem Não cadastrado")</f>
        <v>CONJUNTO MOTO-BOMBA SUBMERSSÍVEL , COM VEDAÇÃO POR SELO MECÂNICO, ACOPLADA A MOTOR ELÉTRICO TRIFÁSICO DE 2 HP, 4 PÓLOS, 1750 RPM, 60HZ, 380 V. PONTO D</v>
      </c>
    </row>
    <row r="198" spans="1:9" ht="40.15" customHeight="1" x14ac:dyDescent="0.15">
      <c r="A198" s="88" t="s">
        <v>679</v>
      </c>
      <c r="B198" s="88" t="s">
        <v>121</v>
      </c>
      <c r="C198" s="88" t="s">
        <v>618</v>
      </c>
      <c r="D198" s="88" t="s">
        <v>17</v>
      </c>
      <c r="E198" s="88" t="s">
        <v>619</v>
      </c>
      <c r="F198" s="88" t="s">
        <v>18</v>
      </c>
      <c r="G198" s="88" t="s">
        <v>19</v>
      </c>
      <c r="H198" s="63" t="str" cm="1">
        <f t="array" ref="H198">IF(A198&lt;&gt;"",_xlfn.XLOOKUP(_xlfn.NUMBERVALUE(A198),_xlfn.NUMBERVALUE(Inventários[Tombamento]),Inventários[Processo - localização específica]),"")</f>
        <v>EAT - bombas submersíveis - barrilete de sucção</v>
      </c>
      <c r="I198" s="1" t="str" cm="1">
        <f t="array" ref="I198">_xlfn.XLOOKUP(_xlfn.NUMBERVALUE(Carga[[#This Row],[Tombamento]]),_xlfn.NUMBERVALUE(Inventários[Tombamento]),Inventários[Descrição resumida do bem],"(A) Atenção Bem Não cadastrado")</f>
        <v>CONJUNTO MOTO-BOMBA SUBMERSSÍVEL , COM VEDAÇÃO POR SELO MECÂNICO, ACOPLADA A MOTOR ELÉTRICO TRIFÁSICO DE 2 HP, 4 PÓLOS, 1750 RPM, 60HZ, 380 V. PONTO D</v>
      </c>
    </row>
    <row r="199" spans="1:9" ht="40.15" customHeight="1" x14ac:dyDescent="0.15">
      <c r="A199" s="88" t="s">
        <v>680</v>
      </c>
      <c r="B199" s="88" t="s">
        <v>997</v>
      </c>
      <c r="C199" s="88" t="s">
        <v>618</v>
      </c>
      <c r="D199" s="88" t="s">
        <v>17</v>
      </c>
      <c r="E199" s="88" t="s">
        <v>619</v>
      </c>
      <c r="F199" s="88" t="s">
        <v>18</v>
      </c>
      <c r="G199" s="88" t="s">
        <v>19</v>
      </c>
      <c r="H199" s="63" t="str" cm="1">
        <f t="array" ref="H199">IF(A199&lt;&gt;"",_xlfn.XLOOKUP(_xlfn.NUMBERVALUE(A199),_xlfn.NUMBERVALUE(Inventários[Tombamento]),Inventários[Processo - localização específica]),"")</f>
        <v>EAT - sala de cubículo</v>
      </c>
      <c r="I199" s="1" t="str" cm="1">
        <f t="array" ref="I199">_xlfn.XLOOKUP(_xlfn.NUMBERVALUE(Carga[[#This Row],[Tombamento]]),_xlfn.NUMBERVALUE(Inventários[Tombamento]),Inventários[Descrição resumida do bem],"(A) Atenção Bem Não cadastrado")</f>
        <v>QA REMOTA: RACK REMOTO COMPLETO INCLUÍNDO RACKS , MÓDULOS DE E/S, FONTES, MÓDULOS DE COMUNICAÇÃO,PROTETORES, TRANCEIVERS E TODOS OS EQUIPAMENTOS AUXIL</v>
      </c>
    </row>
    <row r="200" spans="1:9" ht="40.15" customHeight="1" x14ac:dyDescent="0.15">
      <c r="A200" s="88" t="s">
        <v>681</v>
      </c>
      <c r="B200" s="88" t="s">
        <v>998</v>
      </c>
      <c r="C200" s="88" t="s">
        <v>618</v>
      </c>
      <c r="D200" s="88" t="s">
        <v>17</v>
      </c>
      <c r="E200" s="88" t="s">
        <v>619</v>
      </c>
      <c r="F200" s="88" t="s">
        <v>18</v>
      </c>
      <c r="G200" s="88" t="s">
        <v>19</v>
      </c>
      <c r="H200" s="63" t="str" cm="1">
        <f t="array" ref="H200">IF(A200&lt;&gt;"",_xlfn.XLOOKUP(_xlfn.NUMBERVALUE(A200),_xlfn.NUMBERVALUE(Inventários[Tombamento]),Inventários[Processo - localização específica]),"")</f>
        <v>EAT - sala painel view</v>
      </c>
      <c r="I200" s="1" t="str" cm="1">
        <f t="array" ref="I200">_xlfn.XLOOKUP(_xlfn.NUMBERVALUE(Carga[[#This Row],[Tombamento]]),_xlfn.NUMBERVALUE(Inventários[Tombamento]),Inventários[Descrição resumida do bem],"(A) Atenção Bem Não cadastrado")</f>
        <v>QUADRO CLP - QUADRO DE FORÇA, COMANDO E CONTROLE, COMPLETO INCLUINDO DISJUNTORES, PROTETORES DE SURTO, IHM 12 E DEMAIS EQUIPAMENTOS AUXILIARES, PARA A</v>
      </c>
    </row>
    <row r="201" spans="1:9" ht="40.15" customHeight="1" x14ac:dyDescent="0.15">
      <c r="A201" s="88" t="s">
        <v>27</v>
      </c>
      <c r="B201" s="88" t="s">
        <v>124</v>
      </c>
      <c r="C201" s="88" t="s">
        <v>618</v>
      </c>
      <c r="D201" s="88" t="s">
        <v>17</v>
      </c>
      <c r="E201" s="88" t="s">
        <v>619</v>
      </c>
      <c r="F201" s="88" t="s">
        <v>18</v>
      </c>
      <c r="G201" s="88" t="s">
        <v>19</v>
      </c>
      <c r="H201" s="63" t="e" cm="1">
        <f t="array" ref="H201">IF(A201&lt;&gt;"",_xlfn.XLOOKUP(_xlfn.NUMBERVALUE(A201),_xlfn.NUMBERVALUE(Inventários[Tombamento]),Inventários[Processo - localização específica]),"")</f>
        <v>#VALUE!</v>
      </c>
      <c r="I201" s="1" t="e" cm="1">
        <f t="array" ref="I201">_xlfn.XLOOKUP(_xlfn.NUMBERVALUE(Carga[[#This Row],[Tombamento]]),_xlfn.NUMBERVALUE(Inventários[Tombamento]),Inventários[Descrição resumida do bem],"(A) Atenção Bem Não cadastrado")</f>
        <v>#VALUE!</v>
      </c>
    </row>
    <row r="202" spans="1:9" ht="40.15" customHeight="1" x14ac:dyDescent="0.15">
      <c r="A202" s="88" t="s">
        <v>682</v>
      </c>
      <c r="B202" s="88" t="s">
        <v>999</v>
      </c>
      <c r="C202" s="88" t="s">
        <v>618</v>
      </c>
      <c r="D202" s="88" t="s">
        <v>17</v>
      </c>
      <c r="E202" s="88" t="s">
        <v>619</v>
      </c>
      <c r="F202" s="88" t="s">
        <v>18</v>
      </c>
      <c r="G202" s="88" t="s">
        <v>19</v>
      </c>
      <c r="H202" s="63" t="str" cm="1">
        <f t="array" ref="H202">IF(A202&lt;&gt;"",_xlfn.XLOOKUP(_xlfn.NUMBERVALUE(A202),_xlfn.NUMBERVALUE(Inventários[Tombamento]),Inventários[Processo - localização específica]),"")</f>
        <v>Prédio - gerência</v>
      </c>
      <c r="I202" s="1" t="str" cm="1">
        <f t="array" ref="I202">_xlfn.XLOOKUP(_xlfn.NUMBERVALUE(Carga[[#This Row],[Tombamento]]),_xlfn.NUMBERVALUE(Inventários[Tombamento]),Inventários[Descrição resumida do bem],"(A) Atenção Bem Não cadastrado")</f>
        <v xml:space="preserve">NOTEBOOK MAQ AUT HP PB640G8 I5-1145G7 14 16GB/512 </v>
      </c>
    </row>
    <row r="203" spans="1:9" ht="40.15" customHeight="1" x14ac:dyDescent="0.15">
      <c r="A203" s="88" t="s">
        <v>683</v>
      </c>
      <c r="B203" s="88" t="s">
        <v>1000</v>
      </c>
      <c r="C203" s="88" t="s">
        <v>618</v>
      </c>
      <c r="D203" s="88" t="s">
        <v>17</v>
      </c>
      <c r="E203" s="88" t="s">
        <v>619</v>
      </c>
      <c r="F203" s="88" t="s">
        <v>18</v>
      </c>
      <c r="G203" s="88" t="s">
        <v>19</v>
      </c>
      <c r="H203" s="63" t="str" cm="1">
        <f t="array" ref="H203">IF(A203&lt;&gt;"",_xlfn.XLOOKUP(_xlfn.NUMBERVALUE(A203),_xlfn.NUMBERVALUE(Inventários[Tombamento]),Inventários[Processo - localização específica]),"")</f>
        <v>RAP - caixa de manobras - distribuição entre Caesb e Saneago</v>
      </c>
      <c r="I203" s="1" t="str" cm="1">
        <f t="array" ref="I203">_xlfn.XLOOKUP(_xlfn.NUMBERVALUE(Carga[[#This Row],[Tombamento]]),_xlfn.NUMBERVALUE(Inventários[Tombamento]),Inventários[Descrição resumida do bem],"(A) Atenção Bem Não cadastrado")</f>
        <v>VÁLVULA BORBOLETA DE FERRO FUNDIDO FLANGEADA COM A</v>
      </c>
    </row>
    <row r="204" spans="1:9" ht="40.15" customHeight="1" x14ac:dyDescent="0.15">
      <c r="A204" s="88" t="s">
        <v>684</v>
      </c>
      <c r="B204" s="88" t="s">
        <v>1001</v>
      </c>
      <c r="C204" s="88" t="s">
        <v>618</v>
      </c>
      <c r="D204" s="88" t="s">
        <v>17</v>
      </c>
      <c r="E204" s="88" t="s">
        <v>619</v>
      </c>
      <c r="F204" s="88" t="s">
        <v>18</v>
      </c>
      <c r="G204" s="88" t="s">
        <v>19</v>
      </c>
      <c r="H204" s="63" t="str" cm="1">
        <f t="array" ref="H204">IF(A204&lt;&gt;"",_xlfn.XLOOKUP(_xlfn.NUMBERVALUE(A204),_xlfn.NUMBERVALUE(Inventários[Tombamento]),Inventários[Processo - localização específica]),"")</f>
        <v>Floculador 05 - turbinas e comportas</v>
      </c>
      <c r="I204" s="1" t="str" cm="1">
        <f t="array" ref="I204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05" spans="1:9" ht="40.15" customHeight="1" x14ac:dyDescent="0.15">
      <c r="A205" s="88" t="s">
        <v>685</v>
      </c>
      <c r="B205" s="88" t="s">
        <v>1001</v>
      </c>
      <c r="C205" s="88" t="s">
        <v>618</v>
      </c>
      <c r="D205" s="88" t="s">
        <v>17</v>
      </c>
      <c r="E205" s="88" t="s">
        <v>619</v>
      </c>
      <c r="F205" s="88" t="s">
        <v>18</v>
      </c>
      <c r="G205" s="88" t="s">
        <v>19</v>
      </c>
      <c r="H205" s="63" t="str" cm="1">
        <f t="array" ref="H205">IF(A205&lt;&gt;"",_xlfn.XLOOKUP(_xlfn.NUMBERVALUE(A205),_xlfn.NUMBERVALUE(Inventários[Tombamento]),Inventários[Processo - localização específica]),"")</f>
        <v>Floculador 05 - turbinas e comportas</v>
      </c>
      <c r="I205" s="1" t="str" cm="1">
        <f t="array" ref="I205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06" spans="1:9" ht="40.15" customHeight="1" x14ac:dyDescent="0.15">
      <c r="A206" s="88" t="s">
        <v>686</v>
      </c>
      <c r="B206" s="88" t="s">
        <v>1001</v>
      </c>
      <c r="C206" s="88" t="s">
        <v>618</v>
      </c>
      <c r="D206" s="88" t="s">
        <v>17</v>
      </c>
      <c r="E206" s="88" t="s">
        <v>619</v>
      </c>
      <c r="F206" s="88" t="s">
        <v>18</v>
      </c>
      <c r="G206" s="88" t="s">
        <v>19</v>
      </c>
      <c r="H206" s="63" t="str" cm="1">
        <f t="array" ref="H206">IF(A206&lt;&gt;"",_xlfn.XLOOKUP(_xlfn.NUMBERVALUE(A206),_xlfn.NUMBERVALUE(Inventários[Tombamento]),Inventários[Processo - localização específica]),"")</f>
        <v>Floculador 06 - turbinas e comportas</v>
      </c>
      <c r="I206" s="1" t="str" cm="1">
        <f t="array" ref="I206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07" spans="1:9" ht="40.15" customHeight="1" x14ac:dyDescent="0.15">
      <c r="A207" s="88" t="s">
        <v>687</v>
      </c>
      <c r="B207" s="88" t="s">
        <v>1001</v>
      </c>
      <c r="C207" s="88" t="s">
        <v>618</v>
      </c>
      <c r="D207" s="88" t="s">
        <v>17</v>
      </c>
      <c r="E207" s="88" t="s">
        <v>619</v>
      </c>
      <c r="F207" s="88" t="s">
        <v>18</v>
      </c>
      <c r="G207" s="88" t="s">
        <v>19</v>
      </c>
      <c r="H207" s="63" t="str" cm="1">
        <f t="array" ref="H207">IF(A207&lt;&gt;"",_xlfn.XLOOKUP(_xlfn.NUMBERVALUE(A207),_xlfn.NUMBERVALUE(Inventários[Tombamento]),Inventários[Processo - localização específica]),"")</f>
        <v>Floculador 06 - turbinas e comportas</v>
      </c>
      <c r="I207" s="1" t="str" cm="1">
        <f t="array" ref="I207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08" spans="1:9" ht="40.15" customHeight="1" x14ac:dyDescent="0.15">
      <c r="A208" s="88" t="s">
        <v>688</v>
      </c>
      <c r="B208" s="88" t="s">
        <v>1001</v>
      </c>
      <c r="C208" s="88" t="s">
        <v>618</v>
      </c>
      <c r="D208" s="88" t="s">
        <v>17</v>
      </c>
      <c r="E208" s="88" t="s">
        <v>619</v>
      </c>
      <c r="F208" s="88" t="s">
        <v>18</v>
      </c>
      <c r="G208" s="88" t="s">
        <v>19</v>
      </c>
      <c r="H208" s="63" t="str" cm="1">
        <f t="array" ref="H208">IF(A208&lt;&gt;"",_xlfn.XLOOKUP(_xlfn.NUMBERVALUE(A208),_xlfn.NUMBERVALUE(Inventários[Tombamento]),Inventários[Processo - localização específica]),"")</f>
        <v>Floculador 07 - turbinas e comportas</v>
      </c>
      <c r="I208" s="1" t="str" cm="1">
        <f t="array" ref="I208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09" spans="1:9" ht="40.15" customHeight="1" x14ac:dyDescent="0.15">
      <c r="A209" s="88" t="s">
        <v>689</v>
      </c>
      <c r="B209" s="88" t="s">
        <v>1001</v>
      </c>
      <c r="C209" s="88" t="s">
        <v>618</v>
      </c>
      <c r="D209" s="88" t="s">
        <v>17</v>
      </c>
      <c r="E209" s="88" t="s">
        <v>619</v>
      </c>
      <c r="F209" s="88" t="s">
        <v>18</v>
      </c>
      <c r="G209" s="88" t="s">
        <v>19</v>
      </c>
      <c r="H209" s="63" t="str" cm="1">
        <f t="array" ref="H209">IF(A209&lt;&gt;"",_xlfn.XLOOKUP(_xlfn.NUMBERVALUE(A209),_xlfn.NUMBERVALUE(Inventários[Tombamento]),Inventários[Processo - localização específica]),"")</f>
        <v>Floculador 07 - turbinas e comportas</v>
      </c>
      <c r="I209" s="1" t="str" cm="1">
        <f t="array" ref="I209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0" spans="1:9" ht="30" customHeight="1" x14ac:dyDescent="0.15">
      <c r="A210" s="88" t="s">
        <v>690</v>
      </c>
      <c r="B210" s="88" t="s">
        <v>1001</v>
      </c>
      <c r="C210" s="88" t="s">
        <v>618</v>
      </c>
      <c r="D210" s="88" t="s">
        <v>17</v>
      </c>
      <c r="E210" s="88" t="s">
        <v>619</v>
      </c>
      <c r="F210" s="88" t="s">
        <v>18</v>
      </c>
      <c r="G210" s="88" t="s">
        <v>19</v>
      </c>
      <c r="H210" s="63" t="str" cm="1">
        <f t="array" ref="H210">IF(A210&lt;&gt;"",_xlfn.XLOOKUP(_xlfn.NUMBERVALUE(A210),_xlfn.NUMBERVALUE(Inventários[Tombamento]),Inventários[Processo - localização específica]),"")</f>
        <v>Floculador 05 - turbinas e comportas</v>
      </c>
      <c r="I210" s="1" t="str" cm="1">
        <f t="array" ref="I210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1" spans="1:9" ht="30" customHeight="1" x14ac:dyDescent="0.15">
      <c r="A211" s="88" t="s">
        <v>691</v>
      </c>
      <c r="B211" s="88" t="s">
        <v>1001</v>
      </c>
      <c r="C211" s="88" t="s">
        <v>618</v>
      </c>
      <c r="D211" s="88" t="s">
        <v>17</v>
      </c>
      <c r="E211" s="88" t="s">
        <v>619</v>
      </c>
      <c r="F211" s="88" t="s">
        <v>18</v>
      </c>
      <c r="G211" s="88" t="s">
        <v>19</v>
      </c>
      <c r="H211" s="63" t="str" cm="1">
        <f t="array" ref="H211">IF(A211&lt;&gt;"",_xlfn.XLOOKUP(_xlfn.NUMBERVALUE(A211),_xlfn.NUMBERVALUE(Inventários[Tombamento]),Inventários[Processo - localização específica]),"")</f>
        <v>Floculador 05 - turbinas e comportas</v>
      </c>
      <c r="I211" s="1" t="str" cm="1">
        <f t="array" ref="I211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2" spans="1:9" ht="30" customHeight="1" x14ac:dyDescent="0.15">
      <c r="A212" s="88" t="s">
        <v>692</v>
      </c>
      <c r="B212" s="88" t="s">
        <v>1001</v>
      </c>
      <c r="C212" s="88" t="s">
        <v>618</v>
      </c>
      <c r="D212" s="88" t="s">
        <v>17</v>
      </c>
      <c r="E212" s="88" t="s">
        <v>619</v>
      </c>
      <c r="F212" s="88" t="s">
        <v>18</v>
      </c>
      <c r="G212" s="88" t="s">
        <v>19</v>
      </c>
      <c r="H212" s="63" t="str" cm="1">
        <f t="array" ref="H212">IF(A212&lt;&gt;"",_xlfn.XLOOKUP(_xlfn.NUMBERVALUE(A212),_xlfn.NUMBERVALUE(Inventários[Tombamento]),Inventários[Processo - localização específica]),"")</f>
        <v>Floculador 06 - turbinas e comportas</v>
      </c>
      <c r="I212" s="1" t="str" cm="1">
        <f t="array" ref="I212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3" spans="1:9" ht="30" customHeight="1" x14ac:dyDescent="0.15">
      <c r="A213" s="88" t="s">
        <v>693</v>
      </c>
      <c r="B213" s="88" t="s">
        <v>1001</v>
      </c>
      <c r="C213" s="88" t="s">
        <v>618</v>
      </c>
      <c r="D213" s="88" t="s">
        <v>17</v>
      </c>
      <c r="E213" s="88" t="s">
        <v>619</v>
      </c>
      <c r="F213" s="88" t="s">
        <v>18</v>
      </c>
      <c r="G213" s="88" t="s">
        <v>19</v>
      </c>
      <c r="H213" s="63" t="str" cm="1">
        <f t="array" ref="H213">IF(A213&lt;&gt;"",_xlfn.XLOOKUP(_xlfn.NUMBERVALUE(A213),_xlfn.NUMBERVALUE(Inventários[Tombamento]),Inventários[Processo - localização específica]),"")</f>
        <v>Floculador 06 - turbinas e comportas</v>
      </c>
      <c r="I213" s="1" t="str" cm="1">
        <f t="array" ref="I213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4" spans="1:9" ht="30" customHeight="1" x14ac:dyDescent="0.15">
      <c r="A214" s="88" t="s">
        <v>694</v>
      </c>
      <c r="B214" s="88" t="s">
        <v>1001</v>
      </c>
      <c r="C214" s="88" t="s">
        <v>618</v>
      </c>
      <c r="D214" s="88" t="s">
        <v>17</v>
      </c>
      <c r="E214" s="88" t="s">
        <v>619</v>
      </c>
      <c r="F214" s="88" t="s">
        <v>18</v>
      </c>
      <c r="G214" s="88" t="s">
        <v>19</v>
      </c>
      <c r="H214" s="63" t="str" cm="1">
        <f t="array" ref="H214">IF(A214&lt;&gt;"",_xlfn.XLOOKUP(_xlfn.NUMBERVALUE(A214),_xlfn.NUMBERVALUE(Inventários[Tombamento]),Inventários[Processo - localização específica]),"")</f>
        <v>Floculador 07 - turbinas e comportas</v>
      </c>
      <c r="I214" s="1" t="str" cm="1">
        <f t="array" ref="I214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5" spans="1:9" ht="30" customHeight="1" x14ac:dyDescent="0.15">
      <c r="A215" s="88" t="s">
        <v>695</v>
      </c>
      <c r="B215" s="88" t="s">
        <v>1001</v>
      </c>
      <c r="C215" s="88" t="s">
        <v>618</v>
      </c>
      <c r="D215" s="88" t="s">
        <v>17</v>
      </c>
      <c r="E215" s="88" t="s">
        <v>619</v>
      </c>
      <c r="F215" s="88" t="s">
        <v>18</v>
      </c>
      <c r="G215" s="88" t="s">
        <v>19</v>
      </c>
      <c r="H215" s="63" t="str" cm="1">
        <f t="array" ref="H215">IF(A215&lt;&gt;"",_xlfn.XLOOKUP(_xlfn.NUMBERVALUE(A215),_xlfn.NUMBERVALUE(Inventários[Tombamento]),Inventários[Processo - localização específica]),"")</f>
        <v>Floculador 07 - turbinas e comportas</v>
      </c>
      <c r="I215" s="1" t="str" cm="1">
        <f t="array" ref="I215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6" spans="1:9" ht="30" customHeight="1" x14ac:dyDescent="0.15">
      <c r="A216" s="88" t="s">
        <v>696</v>
      </c>
      <c r="B216" s="88" t="s">
        <v>1001</v>
      </c>
      <c r="C216" s="88" t="s">
        <v>618</v>
      </c>
      <c r="D216" s="88" t="s">
        <v>17</v>
      </c>
      <c r="E216" s="88" t="s">
        <v>619</v>
      </c>
      <c r="F216" s="88" t="s">
        <v>18</v>
      </c>
      <c r="G216" s="88" t="s">
        <v>19</v>
      </c>
      <c r="H216" s="63" t="str" cm="1">
        <f t="array" ref="H216">IF(A216&lt;&gt;"",_xlfn.XLOOKUP(_xlfn.NUMBERVALUE(A216),_xlfn.NUMBERVALUE(Inventários[Tombamento]),Inventários[Processo - localização específica]),"")</f>
        <v>Floculador 08 - turbinas e comportas</v>
      </c>
      <c r="I216" s="1" t="str" cm="1">
        <f t="array" ref="I216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7" spans="1:9" ht="30" customHeight="1" x14ac:dyDescent="0.15">
      <c r="A217" s="88" t="s">
        <v>697</v>
      </c>
      <c r="B217" s="88" t="s">
        <v>1001</v>
      </c>
      <c r="C217" s="88" t="s">
        <v>618</v>
      </c>
      <c r="D217" s="88" t="s">
        <v>17</v>
      </c>
      <c r="E217" s="88" t="s">
        <v>619</v>
      </c>
      <c r="F217" s="88" t="s">
        <v>18</v>
      </c>
      <c r="G217" s="88" t="s">
        <v>19</v>
      </c>
      <c r="H217" s="63" t="str" cm="1">
        <f t="array" ref="H217">IF(A217&lt;&gt;"",_xlfn.XLOOKUP(_xlfn.NUMBERVALUE(A217),_xlfn.NUMBERVALUE(Inventários[Tombamento]),Inventários[Processo - localização específica]),"")</f>
        <v>Floculador 08 - turbinas e comportas</v>
      </c>
      <c r="I217" s="1" t="str" cm="1">
        <f t="array" ref="I217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8" spans="1:9" ht="30" customHeight="1" x14ac:dyDescent="0.15">
      <c r="A218" s="88" t="s">
        <v>698</v>
      </c>
      <c r="B218" s="88" t="s">
        <v>1001</v>
      </c>
      <c r="C218" s="88" t="s">
        <v>618</v>
      </c>
      <c r="D218" s="88" t="s">
        <v>17</v>
      </c>
      <c r="E218" s="88" t="s">
        <v>619</v>
      </c>
      <c r="F218" s="88" t="s">
        <v>18</v>
      </c>
      <c r="G218" s="88" t="s">
        <v>19</v>
      </c>
      <c r="H218" s="63" t="str" cm="1">
        <f t="array" ref="H218">IF(A218&lt;&gt;"",_xlfn.XLOOKUP(_xlfn.NUMBERVALUE(A218),_xlfn.NUMBERVALUE(Inventários[Tombamento]),Inventários[Processo - localização específica]),"")</f>
        <v>Floculador 08 - turbinas e comportas</v>
      </c>
      <c r="I218" s="1" t="str" cm="1">
        <f t="array" ref="I218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19" spans="1:9" ht="30" customHeight="1" x14ac:dyDescent="0.15">
      <c r="A219" s="88" t="s">
        <v>699</v>
      </c>
      <c r="B219" s="88" t="s">
        <v>1001</v>
      </c>
      <c r="C219" s="88" t="s">
        <v>618</v>
      </c>
      <c r="D219" s="88" t="s">
        <v>17</v>
      </c>
      <c r="E219" s="88" t="s">
        <v>619</v>
      </c>
      <c r="F219" s="88" t="s">
        <v>18</v>
      </c>
      <c r="G219" s="88" t="s">
        <v>19</v>
      </c>
      <c r="H219" s="63" t="str" cm="1">
        <f t="array" ref="H219">IF(A219&lt;&gt;"",_xlfn.XLOOKUP(_xlfn.NUMBERVALUE(A219),_xlfn.NUMBERVALUE(Inventários[Tombamento]),Inventários[Processo - localização específica]),"")</f>
        <v>Floculador 08 - turbinas e comportas</v>
      </c>
      <c r="I219" s="1" t="str" cm="1">
        <f t="array" ref="I219">_xlfn.XLOOKUP(_xlfn.NUMBERVALUE(Carga[[#This Row],[Tombamento]]),_xlfn.NUMBERVALUE(Inventários[Tombamento]),Inventários[Descrição resumida do bem],"(A) Atenção Bem Não cadastrado")</f>
        <v>FLOCULADOR MECÂNICO DE EIXO VERTICAL COM TURBINA DE FLUXO AXIAL, ALTURA ÚTIL DE 3,60 M, POTÊNCIA DE 2 KW, INSTALADOS EM 4 FLOCULADORES, COM 4 CÂMARAS, CADA</v>
      </c>
    </row>
    <row r="220" spans="1:9" ht="30" customHeight="1" x14ac:dyDescent="0.15">
      <c r="A220" s="88" t="s">
        <v>700</v>
      </c>
      <c r="B220" s="88" t="s">
        <v>1002</v>
      </c>
      <c r="C220" s="88" t="s">
        <v>618</v>
      </c>
      <c r="D220" s="88" t="s">
        <v>17</v>
      </c>
      <c r="E220" s="88" t="s">
        <v>619</v>
      </c>
      <c r="F220" s="88" t="s">
        <v>18</v>
      </c>
      <c r="G220" s="88" t="s">
        <v>19</v>
      </c>
      <c r="H220" s="63" t="str" cm="1">
        <f t="array" ref="H220">IF(A220&lt;&gt;"",_xlfn.XLOOKUP(_xlfn.NUMBERVALUE(A220),_xlfn.NUMBERVALUE(Inventários[Tombamento]),Inventários[Processo - localização específica]),"")</f>
        <v>Flotador 08 - removedor(es) de lodo</v>
      </c>
      <c r="I220" s="1" t="str" cm="1">
        <f t="array" ref="I220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1" spans="1:9" ht="30" customHeight="1" x14ac:dyDescent="0.15">
      <c r="A221" s="88" t="s">
        <v>701</v>
      </c>
      <c r="B221" s="88" t="s">
        <v>1002</v>
      </c>
      <c r="C221" s="88" t="s">
        <v>618</v>
      </c>
      <c r="D221" s="88" t="s">
        <v>17</v>
      </c>
      <c r="E221" s="88" t="s">
        <v>619</v>
      </c>
      <c r="F221" s="88" t="s">
        <v>18</v>
      </c>
      <c r="G221" s="88" t="s">
        <v>19</v>
      </c>
      <c r="H221" s="63" t="str" cm="1">
        <f t="array" ref="H221">IF(A221&lt;&gt;"",_xlfn.XLOOKUP(_xlfn.NUMBERVALUE(A221),_xlfn.NUMBERVALUE(Inventários[Tombamento]),Inventários[Processo - localização específica]),"")</f>
        <v>Flotador 08 - removedor(es) de lodo</v>
      </c>
      <c r="I221" s="1" t="str" cm="1">
        <f t="array" ref="I221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2" spans="1:9" ht="49.9" customHeight="1" x14ac:dyDescent="0.15">
      <c r="A222" s="88" t="s">
        <v>702</v>
      </c>
      <c r="B222" s="88" t="s">
        <v>1002</v>
      </c>
      <c r="C222" s="88" t="s">
        <v>618</v>
      </c>
      <c r="D222" s="88" t="s">
        <v>17</v>
      </c>
      <c r="E222" s="88" t="s">
        <v>619</v>
      </c>
      <c r="F222" s="88" t="s">
        <v>18</v>
      </c>
      <c r="G222" s="88" t="s">
        <v>19</v>
      </c>
      <c r="H222" s="63" t="str" cm="1">
        <f t="array" ref="H222">IF(A222&lt;&gt;"",_xlfn.XLOOKUP(_xlfn.NUMBERVALUE(A222),_xlfn.NUMBERVALUE(Inventários[Tombamento]),Inventários[Processo - localização específica]),"")</f>
        <v>Flotador 08 - removedor(es) de lodo</v>
      </c>
      <c r="I222" s="1" t="str" cm="1">
        <f t="array" ref="I222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3" spans="1:9" ht="49.9" customHeight="1" x14ac:dyDescent="0.15">
      <c r="A223" s="88" t="s">
        <v>703</v>
      </c>
      <c r="B223" s="88" t="s">
        <v>1002</v>
      </c>
      <c r="C223" s="88" t="s">
        <v>618</v>
      </c>
      <c r="D223" s="88" t="s">
        <v>17</v>
      </c>
      <c r="E223" s="88" t="s">
        <v>619</v>
      </c>
      <c r="F223" s="88" t="s">
        <v>18</v>
      </c>
      <c r="G223" s="88" t="s">
        <v>19</v>
      </c>
      <c r="H223" s="63" t="str" cm="1">
        <f t="array" ref="H223">IF(A223&lt;&gt;"",_xlfn.XLOOKUP(_xlfn.NUMBERVALUE(A223),_xlfn.NUMBERVALUE(Inventários[Tombamento]),Inventários[Processo - localização específica]),"")</f>
        <v>Flotador 07 - removedor(es) de lodo</v>
      </c>
      <c r="I223" s="1" t="str" cm="1">
        <f t="array" ref="I223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4" spans="1:9" ht="49.9" customHeight="1" x14ac:dyDescent="0.15">
      <c r="A224" s="88" t="s">
        <v>704</v>
      </c>
      <c r="B224" s="88" t="s">
        <v>1002</v>
      </c>
      <c r="C224" s="88" t="s">
        <v>618</v>
      </c>
      <c r="D224" s="88" t="s">
        <v>17</v>
      </c>
      <c r="E224" s="88" t="s">
        <v>619</v>
      </c>
      <c r="F224" s="88" t="s">
        <v>18</v>
      </c>
      <c r="G224" s="88" t="s">
        <v>19</v>
      </c>
      <c r="H224" s="63" t="str" cm="1">
        <f t="array" ref="H224">IF(A224&lt;&gt;"",_xlfn.XLOOKUP(_xlfn.NUMBERVALUE(A224),_xlfn.NUMBERVALUE(Inventários[Tombamento]),Inventários[Processo - localização específica]),"")</f>
        <v>Flotador 07 - removedor(es) de lodo</v>
      </c>
      <c r="I224" s="1" t="str" cm="1">
        <f t="array" ref="I224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5" spans="1:9" ht="40.15" customHeight="1" x14ac:dyDescent="0.15">
      <c r="A225" s="88" t="s">
        <v>705</v>
      </c>
      <c r="B225" s="88" t="s">
        <v>1002</v>
      </c>
      <c r="C225" s="88" t="s">
        <v>618</v>
      </c>
      <c r="D225" s="88" t="s">
        <v>17</v>
      </c>
      <c r="E225" s="88" t="s">
        <v>619</v>
      </c>
      <c r="F225" s="88" t="s">
        <v>18</v>
      </c>
      <c r="G225" s="88" t="s">
        <v>19</v>
      </c>
      <c r="H225" s="63" t="str" cm="1">
        <f t="array" ref="H225">IF(A225&lt;&gt;"",_xlfn.XLOOKUP(_xlfn.NUMBERVALUE(A225),_xlfn.NUMBERVALUE(Inventários[Tombamento]),Inventários[Processo - localização específica]),"")</f>
        <v>Flotador 07 - removedor(es) de lodo</v>
      </c>
      <c r="I225" s="1" t="str" cm="1">
        <f t="array" ref="I225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6" spans="1:9" ht="40.15" customHeight="1" x14ac:dyDescent="0.15">
      <c r="A226" s="88" t="s">
        <v>706</v>
      </c>
      <c r="B226" s="88" t="s">
        <v>1002</v>
      </c>
      <c r="C226" s="88" t="s">
        <v>618</v>
      </c>
      <c r="D226" s="88" t="s">
        <v>17</v>
      </c>
      <c r="E226" s="88" t="s">
        <v>619</v>
      </c>
      <c r="F226" s="88" t="s">
        <v>18</v>
      </c>
      <c r="G226" s="88" t="s">
        <v>19</v>
      </c>
      <c r="H226" s="63" t="str" cm="1">
        <f t="array" ref="H226">IF(A226&lt;&gt;"",_xlfn.XLOOKUP(_xlfn.NUMBERVALUE(A226),_xlfn.NUMBERVALUE(Inventários[Tombamento]),Inventários[Processo - localização específica]),"")</f>
        <v>Flotador 05 - removedor(es) de lodo</v>
      </c>
      <c r="I226" s="1" t="str" cm="1">
        <f t="array" ref="I226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7" spans="1:9" ht="40.15" customHeight="1" x14ac:dyDescent="0.15">
      <c r="A227" s="88" t="s">
        <v>707</v>
      </c>
      <c r="B227" s="88" t="s">
        <v>1002</v>
      </c>
      <c r="C227" s="88" t="s">
        <v>618</v>
      </c>
      <c r="D227" s="88" t="s">
        <v>17</v>
      </c>
      <c r="E227" s="88" t="s">
        <v>619</v>
      </c>
      <c r="F227" s="88" t="s">
        <v>18</v>
      </c>
      <c r="G227" s="88" t="s">
        <v>19</v>
      </c>
      <c r="H227" s="63" t="str" cm="1">
        <f t="array" ref="H227">IF(A227&lt;&gt;"",_xlfn.XLOOKUP(_xlfn.NUMBERVALUE(A227),_xlfn.NUMBERVALUE(Inventários[Tombamento]),Inventários[Processo - localização específica]),"")</f>
        <v>Flotador 05 - removedor(es) de lodo</v>
      </c>
      <c r="I227" s="1" t="str" cm="1">
        <f t="array" ref="I227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8" spans="1:9" ht="40.15" customHeight="1" x14ac:dyDescent="0.15">
      <c r="A228" s="88" t="s">
        <v>708</v>
      </c>
      <c r="B228" s="88" t="s">
        <v>1002</v>
      </c>
      <c r="C228" s="88" t="s">
        <v>618</v>
      </c>
      <c r="D228" s="88" t="s">
        <v>17</v>
      </c>
      <c r="E228" s="88" t="s">
        <v>619</v>
      </c>
      <c r="F228" s="88" t="s">
        <v>18</v>
      </c>
      <c r="G228" s="88" t="s">
        <v>19</v>
      </c>
      <c r="H228" s="63" t="str" cm="1">
        <f t="array" ref="H228">IF(A228&lt;&gt;"",_xlfn.XLOOKUP(_xlfn.NUMBERVALUE(A228),_xlfn.NUMBERVALUE(Inventários[Tombamento]),Inventários[Processo - localização específica]),"")</f>
        <v>Flotador 06 - removedor(es) de lodo</v>
      </c>
      <c r="I228" s="1" t="str" cm="1">
        <f t="array" ref="I228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29" spans="1:9" ht="30" customHeight="1" x14ac:dyDescent="0.15">
      <c r="A229" s="88" t="s">
        <v>709</v>
      </c>
      <c r="B229" s="88" t="s">
        <v>1002</v>
      </c>
      <c r="C229" s="88" t="s">
        <v>618</v>
      </c>
      <c r="D229" s="88" t="s">
        <v>17</v>
      </c>
      <c r="E229" s="88" t="s">
        <v>619</v>
      </c>
      <c r="F229" s="88" t="s">
        <v>18</v>
      </c>
      <c r="G229" s="88" t="s">
        <v>19</v>
      </c>
      <c r="H229" s="63" t="str" cm="1">
        <f t="array" ref="H229">IF(A229&lt;&gt;"",_xlfn.XLOOKUP(_xlfn.NUMBERVALUE(A229),_xlfn.NUMBERVALUE(Inventários[Tombamento]),Inventários[Processo - localização específica]),"")</f>
        <v>Flotador 06 - removedor(es) de lodo</v>
      </c>
      <c r="I229" s="1" t="str" cm="1">
        <f t="array" ref="I229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30" spans="1:9" ht="30" customHeight="1" x14ac:dyDescent="0.15">
      <c r="A230" s="88" t="s">
        <v>710</v>
      </c>
      <c r="B230" s="88" t="s">
        <v>1002</v>
      </c>
      <c r="C230" s="88" t="s">
        <v>618</v>
      </c>
      <c r="D230" s="88" t="s">
        <v>17</v>
      </c>
      <c r="E230" s="88" t="s">
        <v>619</v>
      </c>
      <c r="F230" s="88" t="s">
        <v>18</v>
      </c>
      <c r="G230" s="88" t="s">
        <v>19</v>
      </c>
      <c r="H230" s="63" t="str" cm="1">
        <f t="array" ref="H230">IF(A230&lt;&gt;"",_xlfn.XLOOKUP(_xlfn.NUMBERVALUE(A230),_xlfn.NUMBERVALUE(Inventários[Tombamento]),Inventários[Processo - localização específica]),"")</f>
        <v>Flotador 06 - removedor(es) de lodo</v>
      </c>
      <c r="I230" s="1" t="str" cm="1">
        <f t="array" ref="I230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31" spans="1:9" ht="30" customHeight="1" x14ac:dyDescent="0.15">
      <c r="A231" s="88" t="s">
        <v>711</v>
      </c>
      <c r="B231" s="88" t="s">
        <v>1002</v>
      </c>
      <c r="C231" s="88" t="s">
        <v>618</v>
      </c>
      <c r="D231" s="88" t="s">
        <v>17</v>
      </c>
      <c r="E231" s="88" t="s">
        <v>619</v>
      </c>
      <c r="F231" s="88" t="s">
        <v>18</v>
      </c>
      <c r="G231" s="88" t="s">
        <v>19</v>
      </c>
      <c r="H231" s="63" t="str" cm="1">
        <f t="array" ref="H231">IF(A231&lt;&gt;"",_xlfn.XLOOKUP(_xlfn.NUMBERVALUE(A231),_xlfn.NUMBERVALUE(Inventários[Tombamento]),Inventários[Processo - localização específica]),"")</f>
        <v>Flotador 05 - removedor(es) de lodo</v>
      </c>
      <c r="I231" s="1" t="str" cm="1">
        <f t="array" ref="I231">_xlfn.XLOOKUP(_xlfn.NUMBERVALUE(Carga[[#This Row],[Tombamento]]),_xlfn.NUMBERVALUE(Inventários[Tombamento]),Inventários[Descrição resumida do bem],"(A) Atenção Bem Não cadastrado")</f>
        <v>REMOVEDOR MECÂNICO DE LODO FLOTADO, COMPRIMENTO DE 14,00 M, LARGURA DE 10,80 M E POTÊNCIA (MÁX.) DE 1 KW PARA  4 FLOTADORES</v>
      </c>
    </row>
    <row r="232" spans="1:9" ht="30" customHeight="1" x14ac:dyDescent="0.15">
      <c r="A232" s="88" t="s">
        <v>712</v>
      </c>
      <c r="B232" s="88" t="s">
        <v>1003</v>
      </c>
      <c r="C232" s="88" t="s">
        <v>618</v>
      </c>
      <c r="D232" s="88" t="s">
        <v>17</v>
      </c>
      <c r="E232" s="88" t="s">
        <v>619</v>
      </c>
      <c r="F232" s="88" t="s">
        <v>18</v>
      </c>
      <c r="G232" s="88" t="s">
        <v>19</v>
      </c>
      <c r="H232" s="63" t="str" cm="1">
        <f t="array" ref="H232">IF(A232&lt;&gt;"",_xlfn.XLOOKUP(_xlfn.NUMBERVALUE(A232),_xlfn.NUMBERVALUE(Inventários[Tombamento]),Inventários[Processo - localização específica]),"")</f>
        <v>Flotadores - compressores de ar e válvulas de drenagem Módulos 03/04</v>
      </c>
      <c r="I232" s="1" t="str" cm="1">
        <f t="array" ref="I232">_xlfn.XLOOKUP(_xlfn.NUMBERVALUE(Carga[[#This Row],[Tombamento]]),_xlfn.NUMBERVALUE(Inventários[Tombamento]),Inventários[Descrição resumida do bem],"(A) Atenção Bem Não cadastrado")</f>
        <v>CONJUNTO MOTO-COMPRESSOR, PARA INJEÇÃO DE AR SISTEMA DE SATURAÇÃO DOS FLOTADORES, DO TIPO PISTÕES COM RESERVATÓRIO, PARA A VAZÃO NOMINAL (PCM): 40, NÍVEL MÁXIMO</v>
      </c>
    </row>
    <row r="233" spans="1:9" ht="30" customHeight="1" x14ac:dyDescent="0.15">
      <c r="A233" s="88" t="s">
        <v>713</v>
      </c>
      <c r="B233" s="88" t="s">
        <v>1003</v>
      </c>
      <c r="C233" s="88" t="s">
        <v>618</v>
      </c>
      <c r="D233" s="88" t="s">
        <v>17</v>
      </c>
      <c r="E233" s="88" t="s">
        <v>619</v>
      </c>
      <c r="F233" s="88" t="s">
        <v>18</v>
      </c>
      <c r="G233" s="88" t="s">
        <v>19</v>
      </c>
      <c r="H233" s="63" t="str" cm="1">
        <f t="array" ref="H233">IF(A233&lt;&gt;"",_xlfn.XLOOKUP(_xlfn.NUMBERVALUE(A233),_xlfn.NUMBERVALUE(Inventários[Tombamento]),Inventários[Processo - localização específica]),"")</f>
        <v>Flotadores - compressores de ar e válvulas de drenagem Módulos 03/04</v>
      </c>
      <c r="I233" s="1" t="str" cm="1">
        <f t="array" ref="I233">_xlfn.XLOOKUP(_xlfn.NUMBERVALUE(Carga[[#This Row],[Tombamento]]),_xlfn.NUMBERVALUE(Inventários[Tombamento]),Inventários[Descrição resumida do bem],"(A) Atenção Bem Não cadastrado")</f>
        <v>CONJUNTO MOTO-COMPRESSOR, PARA INJEÇÃO DE AR SISTEMA DE SATURAÇÃO DOS FLOTADORES, DO TIPO PISTÕES COM RESERVATÓRIO, PARA A VAZÃO NOMINAL (PCM): 40, NÍVEL MÁXIMO</v>
      </c>
    </row>
    <row r="234" spans="1:9" ht="30" customHeight="1" x14ac:dyDescent="0.15">
      <c r="A234" s="88" t="s">
        <v>714</v>
      </c>
      <c r="B234" s="88" t="s">
        <v>1003</v>
      </c>
      <c r="C234" s="88" t="s">
        <v>618</v>
      </c>
      <c r="D234" s="88" t="s">
        <v>17</v>
      </c>
      <c r="E234" s="88" t="s">
        <v>619</v>
      </c>
      <c r="F234" s="88" t="s">
        <v>18</v>
      </c>
      <c r="G234" s="88" t="s">
        <v>30</v>
      </c>
      <c r="H234" s="63" t="str" cm="1">
        <f t="array" ref="H234">IF(A234&lt;&gt;"",_xlfn.XLOOKUP(_xlfn.NUMBERVALUE(A234),_xlfn.NUMBERVALUE(Inventários[Tombamento]),Inventários[Processo - localização específica]),"")</f>
        <v>Flotadores - compressores de ar e válvulas de drenagem Módulos 03/04</v>
      </c>
      <c r="I234" s="1" t="str" cm="1">
        <f t="array" ref="I234">_xlfn.XLOOKUP(_xlfn.NUMBERVALUE(Carga[[#This Row],[Tombamento]]),_xlfn.NUMBERVALUE(Inventários[Tombamento]),Inventários[Descrição resumida do bem],"(A) Atenção Bem Não cadastrado")</f>
        <v>CONJUNTO MOTO-COMPRESSOR, PARA INJEÇÃO DE AR SISTEMA DE SATURAÇÃO DOS FLOTADORES, DO TIPO PISTÕES COM RESERVATÓRIO, PARA A VAZÃO NOMINAL (PCM): 40, NÍVEL MÁXIMO</v>
      </c>
    </row>
    <row r="235" spans="1:9" ht="30" customHeight="1" x14ac:dyDescent="0.15">
      <c r="A235" s="88" t="s">
        <v>715</v>
      </c>
      <c r="B235" s="88" t="s">
        <v>1004</v>
      </c>
      <c r="C235" s="88" t="s">
        <v>618</v>
      </c>
      <c r="D235" s="88" t="s">
        <v>17</v>
      </c>
      <c r="E235" s="88" t="s">
        <v>619</v>
      </c>
      <c r="F235" s="88" t="s">
        <v>18</v>
      </c>
      <c r="G235" s="88" t="s">
        <v>19</v>
      </c>
      <c r="H235" s="63" t="str" cm="1">
        <f t="array" ref="H235">IF(A235&lt;&gt;"",_xlfn.XLOOKUP(_xlfn.NUMBERVALUE(A235),_xlfn.NUMBERVALUE(Inventários[Tombamento]),Inventários[Processo - localização específica]),"")</f>
        <v>Flotadores - medidores de vazão de água saturada Módulos 03/04</v>
      </c>
      <c r="I235" s="1" t="str" cm="1">
        <f t="array" ref="I235">_xlfn.XLOOKUP(_xlfn.NUMBERVALUE(Carga[[#This Row],[Tombamento]]),_xlfn.NUMBERVALUE(Inventários[Tombamento]),Inventários[Descrição resumida do bem],"(A) Atenção Bem Não cadastrado")</f>
        <v>MEDIDOR DE VAZÃO ELETROMAGNÉTICO, PARA TRABALHO COM VAZÃO OPERACIONAL ENTRE 30 E 45 L/S, COM DIÂMETRO NOMINAL DE 200 MM, CONEXÕES POR FLANGE  DO TIPO DIN 2501 /</v>
      </c>
    </row>
    <row r="236" spans="1:9" ht="30" customHeight="1" x14ac:dyDescent="0.15">
      <c r="A236" s="88" t="s">
        <v>716</v>
      </c>
      <c r="B236" s="88" t="s">
        <v>1004</v>
      </c>
      <c r="C236" s="88" t="s">
        <v>618</v>
      </c>
      <c r="D236" s="88" t="s">
        <v>17</v>
      </c>
      <c r="E236" s="88" t="s">
        <v>619</v>
      </c>
      <c r="F236" s="88" t="s">
        <v>18</v>
      </c>
      <c r="G236" s="88" t="s">
        <v>19</v>
      </c>
      <c r="H236" s="63" t="str" cm="1">
        <f t="array" ref="H236">IF(A236&lt;&gt;"",_xlfn.XLOOKUP(_xlfn.NUMBERVALUE(A236),_xlfn.NUMBERVALUE(Inventários[Tombamento]),Inventários[Processo - localização específica]),"")</f>
        <v>Flotadores - medidores de vazão de água saturada Módulos 03/04</v>
      </c>
      <c r="I236" s="1" t="str" cm="1">
        <f t="array" ref="I236">_xlfn.XLOOKUP(_xlfn.NUMBERVALUE(Carga[[#This Row],[Tombamento]]),_xlfn.NUMBERVALUE(Inventários[Tombamento]),Inventários[Descrição resumida do bem],"(A) Atenção Bem Não cadastrado")</f>
        <v>MEDIDOR DE VAZÃO ELETROMAGNÉTICO, PARA TRABALHO COM VAZÃO OPERACIONAL ENTRE 30 E 45 L/S, COM DIÂMETRO NOMINAL DE 200 MM, CONEXÕES POR FLANGE  DO TIPO DIN 2501 /</v>
      </c>
    </row>
    <row r="237" spans="1:9" ht="30" customHeight="1" x14ac:dyDescent="0.15">
      <c r="A237" s="88" t="s">
        <v>717</v>
      </c>
      <c r="B237" s="88" t="s">
        <v>1004</v>
      </c>
      <c r="C237" s="88" t="s">
        <v>618</v>
      </c>
      <c r="D237" s="88" t="s">
        <v>17</v>
      </c>
      <c r="E237" s="88" t="s">
        <v>619</v>
      </c>
      <c r="F237" s="88" t="s">
        <v>18</v>
      </c>
      <c r="G237" s="88" t="s">
        <v>19</v>
      </c>
      <c r="H237" s="63" t="str" cm="1">
        <f t="array" ref="H237">IF(A237&lt;&gt;"",_xlfn.XLOOKUP(_xlfn.NUMBERVALUE(A237),_xlfn.NUMBERVALUE(Inventários[Tombamento]),Inventários[Processo - localização específica]),"")</f>
        <v>Flotadores - medidores de vazão de água saturada Módulos 03/04</v>
      </c>
      <c r="I237" s="1" t="str" cm="1">
        <f t="array" ref="I237">_xlfn.XLOOKUP(_xlfn.NUMBERVALUE(Carga[[#This Row],[Tombamento]]),_xlfn.NUMBERVALUE(Inventários[Tombamento]),Inventários[Descrição resumida do bem],"(A) Atenção Bem Não cadastrado")</f>
        <v>MEDIDOR DE VAZÃO ELETROMAGNÉTICO, PARA TRABALHO COM VAZÃO OPERACIONAL ENTRE 30 E 45 L/S, COM DIÂMETRO NOMINAL DE 200 MM, CONEXÕES POR FLANGE  DO TIPO DIN 2501 /</v>
      </c>
    </row>
    <row r="238" spans="1:9" ht="40.15" customHeight="1" x14ac:dyDescent="0.15">
      <c r="A238" s="88" t="s">
        <v>718</v>
      </c>
      <c r="B238" s="88" t="s">
        <v>1004</v>
      </c>
      <c r="C238" s="88" t="s">
        <v>618</v>
      </c>
      <c r="D238" s="88" t="s">
        <v>17</v>
      </c>
      <c r="E238" s="88" t="s">
        <v>619</v>
      </c>
      <c r="F238" s="88" t="s">
        <v>18</v>
      </c>
      <c r="G238" s="88" t="s">
        <v>19</v>
      </c>
      <c r="H238" s="63" t="str" cm="1">
        <f t="array" ref="H238">IF(A238&lt;&gt;"",_xlfn.XLOOKUP(_xlfn.NUMBERVALUE(A238),_xlfn.NUMBERVALUE(Inventários[Tombamento]),Inventários[Processo - localização específica]),"")</f>
        <v>Flotadores - medidores de vazão de água saturada Módulos 03/04</v>
      </c>
      <c r="I238" s="1" t="str" cm="1">
        <f t="array" ref="I238">_xlfn.XLOOKUP(_xlfn.NUMBERVALUE(Carga[[#This Row],[Tombamento]]),_xlfn.NUMBERVALUE(Inventários[Tombamento]),Inventários[Descrição resumida do bem],"(A) Atenção Bem Não cadastrado")</f>
        <v>MEDIDOR DE VAZÃO ELETROMAGNÉTICO, PARA TRABALHO COM VAZÃO OPERACIONAL ENTRE 30 E 45 L/S, COM DIÂMETRO NOMINAL DE 200 MM, CONEXÕES POR FLANGE  DO TIPO DIN 2501 /</v>
      </c>
    </row>
    <row r="239" spans="1:9" ht="40.15" customHeight="1" x14ac:dyDescent="0.15">
      <c r="A239" s="88" t="s">
        <v>719</v>
      </c>
      <c r="B239" s="88" t="s">
        <v>1005</v>
      </c>
      <c r="C239" s="88" t="s">
        <v>618</v>
      </c>
      <c r="D239" s="88" t="s">
        <v>17</v>
      </c>
      <c r="E239" s="88" t="s">
        <v>619</v>
      </c>
      <c r="F239" s="88" t="s">
        <v>18</v>
      </c>
      <c r="G239" s="88" t="s">
        <v>19</v>
      </c>
      <c r="H239" s="63" t="str" cm="1">
        <f t="array" ref="H239">IF(A239&lt;&gt;"",_xlfn.XLOOKUP(_xlfn.NUMBERVALUE(A239),_xlfn.NUMBERVALUE(Inventários[Tombamento]),Inventários[Processo - localização específica]),"")</f>
        <v>Flotadores - elevatórias de água saturada Módulos 01/02</v>
      </c>
      <c r="I239" s="1" t="str" cm="1">
        <f t="array" ref="I239">_xlfn.XLOOKUP(_xlfn.NUMBERVALUE(Carga[[#This Row],[Tombamento]]),_xlfn.NUMBERVALUE(Inventários[Tombamento]),Inventários[Descrição resumida do bem],"(A) Atenção Bem Não cadastrado")</f>
        <v>CONJUNTO MOTOR-BOMBA, DO TIPO CENTRÍFUGA, HORIZONTAL,  VAZÃO 40.8 L/S,  ALTURA MANOMÉTRICA DE 75,84 MCA, POTÊNCIA NOMINAL DE 55 CV.</v>
      </c>
    </row>
    <row r="240" spans="1:9" ht="40.15" customHeight="1" x14ac:dyDescent="0.15">
      <c r="A240" s="88" t="s">
        <v>720</v>
      </c>
      <c r="B240" s="88" t="s">
        <v>1005</v>
      </c>
      <c r="C240" s="88" t="s">
        <v>618</v>
      </c>
      <c r="D240" s="88" t="s">
        <v>17</v>
      </c>
      <c r="E240" s="88" t="s">
        <v>619</v>
      </c>
      <c r="F240" s="88" t="s">
        <v>18</v>
      </c>
      <c r="G240" s="88" t="s">
        <v>19</v>
      </c>
      <c r="H240" s="63" t="str" cm="1">
        <f t="array" ref="H240">IF(A240&lt;&gt;"",_xlfn.XLOOKUP(_xlfn.NUMBERVALUE(A240),_xlfn.NUMBERVALUE(Inventários[Tombamento]),Inventários[Processo - localização específica]),"")</f>
        <v>Flotadores - elevatórias de água saturada Módulos 01/02</v>
      </c>
      <c r="I240" s="1" t="str" cm="1">
        <f t="array" ref="I240">_xlfn.XLOOKUP(_xlfn.NUMBERVALUE(Carga[[#This Row],[Tombamento]]),_xlfn.NUMBERVALUE(Inventários[Tombamento]),Inventários[Descrição resumida do bem],"(A) Atenção Bem Não cadastrado")</f>
        <v>CONJUNTO MOTOR-BOMBA, DO TIPO CENTRÍFUGA, HORIZONTAL,  VAZÃO 40.8 L/S,  ALTURA MANOMÉTRICA DE 75,84 MCA, POTÊNCIA NOMINAL DE 55 CV.</v>
      </c>
    </row>
    <row r="241" spans="1:9" ht="40.15" customHeight="1" x14ac:dyDescent="0.15">
      <c r="A241" s="88" t="s">
        <v>721</v>
      </c>
      <c r="B241" s="88" t="s">
        <v>1005</v>
      </c>
      <c r="C241" s="88" t="s">
        <v>618</v>
      </c>
      <c r="D241" s="88" t="s">
        <v>17</v>
      </c>
      <c r="E241" s="88" t="s">
        <v>619</v>
      </c>
      <c r="F241" s="88" t="s">
        <v>18</v>
      </c>
      <c r="G241" s="88" t="s">
        <v>19</v>
      </c>
      <c r="H241" s="63" t="str" cm="1">
        <f t="array" ref="H241">IF(A241&lt;&gt;"",_xlfn.XLOOKUP(_xlfn.NUMBERVALUE(A241),_xlfn.NUMBERVALUE(Inventários[Tombamento]),Inventários[Processo - localização específica]),"")</f>
        <v>Flotadores - elevatórias de água saturada Módulos 01/02</v>
      </c>
      <c r="I241" s="1" t="str" cm="1">
        <f t="array" ref="I241">_xlfn.XLOOKUP(_xlfn.NUMBERVALUE(Carga[[#This Row],[Tombamento]]),_xlfn.NUMBERVALUE(Inventários[Tombamento]),Inventários[Descrição resumida do bem],"(A) Atenção Bem Não cadastrado")</f>
        <v>CONJUNTO MOTOR-BOMBA, DO TIPO CENTRÍFUGA, HORIZONTAL,  VAZÃO 40.8 L/S,  ALTURA MANOMÉTRICA DE 75,84 MCA, POTÊNCIA NOMINAL DE 55 CV.</v>
      </c>
    </row>
    <row r="242" spans="1:9" ht="30" customHeight="1" x14ac:dyDescent="0.15">
      <c r="A242" s="88" t="s">
        <v>722</v>
      </c>
      <c r="B242" s="88" t="s">
        <v>1005</v>
      </c>
      <c r="C242" s="88" t="s">
        <v>618</v>
      </c>
      <c r="D242" s="88" t="s">
        <v>17</v>
      </c>
      <c r="E242" s="88" t="s">
        <v>619</v>
      </c>
      <c r="F242" s="88" t="s">
        <v>18</v>
      </c>
      <c r="G242" s="88" t="s">
        <v>19</v>
      </c>
      <c r="H242" s="63" t="str" cm="1">
        <f t="array" ref="H242">IF(A242&lt;&gt;"",_xlfn.XLOOKUP(_xlfn.NUMBERVALUE(A242),_xlfn.NUMBERVALUE(Inventários[Tombamento]),Inventários[Processo - localização específica]),"")</f>
        <v>Flotadores - elevatórias de água saturada Módulos 01/02</v>
      </c>
      <c r="I242" s="1" t="str" cm="1">
        <f t="array" ref="I242">_xlfn.XLOOKUP(_xlfn.NUMBERVALUE(Carga[[#This Row],[Tombamento]]),_xlfn.NUMBERVALUE(Inventários[Tombamento]),Inventários[Descrição resumida do bem],"(A) Atenção Bem Não cadastrado")</f>
        <v>CONJUNTO MOTOR-BOMBA, DO TIPO CENTRÍFUGA, HORIZONTAL,  VAZÃO 40.8 L/S,  ALTURA MANOMÉTRICA DE 75,84 MCA, POTÊNCIA NOMINAL DE 55 CV.</v>
      </c>
    </row>
    <row r="243" spans="1:9" ht="30" customHeight="1" x14ac:dyDescent="0.15">
      <c r="A243" s="88" t="s">
        <v>723</v>
      </c>
      <c r="B243" s="88" t="s">
        <v>1005</v>
      </c>
      <c r="C243" s="88" t="s">
        <v>618</v>
      </c>
      <c r="D243" s="88" t="s">
        <v>17</v>
      </c>
      <c r="E243" s="88" t="s">
        <v>619</v>
      </c>
      <c r="F243" s="88" t="s">
        <v>18</v>
      </c>
      <c r="G243" s="88" t="s">
        <v>19</v>
      </c>
      <c r="H243" s="63" t="str" cm="1">
        <f t="array" ref="H243">IF(A243&lt;&gt;"",_xlfn.XLOOKUP(_xlfn.NUMBERVALUE(A243),_xlfn.NUMBERVALUE(Inventários[Tombamento]),Inventários[Processo - localização específica]),"")</f>
        <v>Flotadores - elevatórias de água saturada Módulos 01/02</v>
      </c>
      <c r="I243" s="1" t="str" cm="1">
        <f t="array" ref="I243">_xlfn.XLOOKUP(_xlfn.NUMBERVALUE(Carga[[#This Row],[Tombamento]]),_xlfn.NUMBERVALUE(Inventários[Tombamento]),Inventários[Descrição resumida do bem],"(A) Atenção Bem Não cadastrado")</f>
        <v>CONJUNTO MOTOR-BOMBA, DO TIPO CENTRÍFUGA, HORIZONTAL,  VAZÃO 40.8 L/S,  ALTURA MANOMÉTRICA DE 75,84 MCA, POTÊNCIA NOMINAL DE 55 CV.</v>
      </c>
    </row>
    <row r="244" spans="1:9" ht="30" customHeight="1" x14ac:dyDescent="0.15">
      <c r="A244" s="88" t="s">
        <v>724</v>
      </c>
      <c r="B244" s="88" t="s">
        <v>1006</v>
      </c>
      <c r="C244" s="88" t="s">
        <v>618</v>
      </c>
      <c r="D244" s="88" t="s">
        <v>17</v>
      </c>
      <c r="E244" s="88" t="s">
        <v>619</v>
      </c>
      <c r="F244" s="88" t="s">
        <v>18</v>
      </c>
      <c r="G244" s="88" t="s">
        <v>19</v>
      </c>
      <c r="H244" s="63" t="str" cm="1">
        <f t="array" ref="H244">IF(A244&lt;&gt;"",_xlfn.XLOOKUP(_xlfn.NUMBERVALUE(A244),_xlfn.NUMBERVALUE(Inventários[Tombamento]),Inventários[Processo - localização específica]),"")</f>
        <v>Flotadores 07/08 - elevatórias de lodo flotado e válvulas</v>
      </c>
      <c r="I244" s="1" t="str" cm="1">
        <f t="array" ref="I244">_xlfn.XLOOKUP(_xlfn.NUMBERVALUE(Carga[[#This Row],[Tombamento]]),_xlfn.NUMBERVALUE(Inventários[Tombamento]),Inventários[Descrição resumida do bem],"(A) Atenção Bem Não cadastrado")</f>
        <v>CONJUNTO MOTOR-BOMBA, DO TIPO HELICOIDAL, HORIZONTAL,  VAZÃO 1,38 L/S,  ALTURA MANOMÉTRICA DE 10 MCA, POTÊNCIA NOMINAL DE 2,5 KW</v>
      </c>
    </row>
    <row r="245" spans="1:9" ht="40.15" customHeight="1" x14ac:dyDescent="0.15">
      <c r="A245" s="88" t="s">
        <v>725</v>
      </c>
      <c r="B245" s="88" t="s">
        <v>1006</v>
      </c>
      <c r="C245" s="88" t="s">
        <v>618</v>
      </c>
      <c r="D245" s="88" t="s">
        <v>17</v>
      </c>
      <c r="E245" s="88" t="s">
        <v>619</v>
      </c>
      <c r="F245" s="88" t="s">
        <v>18</v>
      </c>
      <c r="G245" s="88" t="s">
        <v>19</v>
      </c>
      <c r="H245" s="63" t="str" cm="1">
        <f t="array" ref="H245">IF(A245&lt;&gt;"",_xlfn.XLOOKUP(_xlfn.NUMBERVALUE(A245),_xlfn.NUMBERVALUE(Inventários[Tombamento]),Inventários[Processo - localização específica]),"")</f>
        <v>Flotadores 07/08 - elevatórias de lodo flotado e válvulas</v>
      </c>
      <c r="I245" s="1" t="str" cm="1">
        <f t="array" ref="I245">_xlfn.XLOOKUP(_xlfn.NUMBERVALUE(Carga[[#This Row],[Tombamento]]),_xlfn.NUMBERVALUE(Inventários[Tombamento]),Inventários[Descrição resumida do bem],"(A) Atenção Bem Não cadastrado")</f>
        <v>CONJUNTO MOTOR-BOMBA, DO TIPO HELICOIDAL, HORIZONTAL,  VAZÃO 1,38 L/S,  ALTURA MANOMÉTRICA DE 10 MCA, POTÊNCIA NOMINAL DE 2,5 KW</v>
      </c>
    </row>
    <row r="246" spans="1:9" ht="40.15" customHeight="1" x14ac:dyDescent="0.15">
      <c r="A246" s="88" t="s">
        <v>726</v>
      </c>
      <c r="B246" s="88" t="s">
        <v>1006</v>
      </c>
      <c r="C246" s="88" t="s">
        <v>618</v>
      </c>
      <c r="D246" s="88" t="s">
        <v>17</v>
      </c>
      <c r="E246" s="88" t="s">
        <v>619</v>
      </c>
      <c r="F246" s="88" t="s">
        <v>18</v>
      </c>
      <c r="G246" s="88" t="s">
        <v>19</v>
      </c>
      <c r="H246" s="63" t="str" cm="1">
        <f t="array" ref="H246">IF(A246&lt;&gt;"",_xlfn.XLOOKUP(_xlfn.NUMBERVALUE(A246),_xlfn.NUMBERVALUE(Inventários[Tombamento]),Inventários[Processo - localização específica]),"")</f>
        <v>Flotadores 05/06 - elevatórias de lodo flotado e válvulas</v>
      </c>
      <c r="I246" s="1" t="str" cm="1">
        <f t="array" ref="I246">_xlfn.XLOOKUP(_xlfn.NUMBERVALUE(Carga[[#This Row],[Tombamento]]),_xlfn.NUMBERVALUE(Inventários[Tombamento]),Inventários[Descrição resumida do bem],"(A) Atenção Bem Não cadastrado")</f>
        <v>CONJUNTO MOTOR-BOMBA, DO TIPO HELICOIDAL, HORIZONTAL,  VAZÃO 1,38 L/S,  ALTURA MANOMÉTRICA DE 10 MCA, POTÊNCIA NOMINAL DE 2,5 KW</v>
      </c>
    </row>
    <row r="247" spans="1:9" ht="40.15" customHeight="1" x14ac:dyDescent="0.15">
      <c r="A247" s="88" t="s">
        <v>727</v>
      </c>
      <c r="B247" s="88" t="s">
        <v>1006</v>
      </c>
      <c r="C247" s="88" t="s">
        <v>618</v>
      </c>
      <c r="D247" s="88" t="s">
        <v>17</v>
      </c>
      <c r="E247" s="88" t="s">
        <v>619</v>
      </c>
      <c r="F247" s="88" t="s">
        <v>18</v>
      </c>
      <c r="G247" s="88" t="s">
        <v>19</v>
      </c>
      <c r="H247" s="63" t="str" cm="1">
        <f t="array" ref="H247">IF(A247&lt;&gt;"",_xlfn.XLOOKUP(_xlfn.NUMBERVALUE(A247),_xlfn.NUMBERVALUE(Inventários[Tombamento]),Inventários[Processo - localização específica]),"")</f>
        <v>Flotadores 05/06 - elevatórias de lodo flotado e válvulas</v>
      </c>
      <c r="I247" s="1" t="str" cm="1">
        <f t="array" ref="I247">_xlfn.XLOOKUP(_xlfn.NUMBERVALUE(Carga[[#This Row],[Tombamento]]),_xlfn.NUMBERVALUE(Inventários[Tombamento]),Inventários[Descrição resumida do bem],"(A) Atenção Bem Não cadastrado")</f>
        <v>CONJUNTO MOTOR-BOMBA, DO TIPO HELICOIDAL, HORIZONTAL,  VAZÃO 1,38 L/S,  ALTURA MANOMÉTRICA DE 10 MCA, POTÊNCIA NOMINAL DE 2,5 KW</v>
      </c>
    </row>
    <row r="248" spans="1:9" ht="40.15" customHeight="1" x14ac:dyDescent="0.15">
      <c r="A248" s="88" t="s">
        <v>728</v>
      </c>
      <c r="B248" s="88" t="s">
        <v>1007</v>
      </c>
      <c r="C248" s="88" t="s">
        <v>618</v>
      </c>
      <c r="D248" s="88" t="s">
        <v>17</v>
      </c>
      <c r="E248" s="88" t="s">
        <v>619</v>
      </c>
      <c r="F248" s="88" t="s">
        <v>18</v>
      </c>
      <c r="G248" s="88" t="s">
        <v>19</v>
      </c>
      <c r="H248" s="63" t="str" cm="1">
        <f t="array" ref="H248">IF(A248&lt;&gt;"",_xlfn.XLOOKUP(_xlfn.NUMBERVALUE(A248),_xlfn.NUMBERVALUE(Inventários[Tombamento]),Inventários[Processo - localização específica]),"")</f>
        <v xml:space="preserve">Filtro 08 - comportas </v>
      </c>
      <c r="I248" s="1" t="str" cm="1">
        <f t="array" ref="I248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0,7M (H) X 0,7M (L), MEDIDAS DA COMPORTA: 0,94M (H) X 0,94M (L), ALTURA TOTAL</v>
      </c>
    </row>
    <row r="249" spans="1:9" ht="40.15" customHeight="1" x14ac:dyDescent="0.15">
      <c r="A249" s="88" t="s">
        <v>729</v>
      </c>
      <c r="B249" s="88" t="s">
        <v>1007</v>
      </c>
      <c r="C249" s="88" t="s">
        <v>618</v>
      </c>
      <c r="D249" s="88" t="s">
        <v>17</v>
      </c>
      <c r="E249" s="88" t="s">
        <v>619</v>
      </c>
      <c r="F249" s="88" t="s">
        <v>18</v>
      </c>
      <c r="G249" s="88" t="s">
        <v>19</v>
      </c>
      <c r="H249" s="63" t="str" cm="1">
        <f t="array" ref="H249">IF(A249&lt;&gt;"",_xlfn.XLOOKUP(_xlfn.NUMBERVALUE(A249),_xlfn.NUMBERVALUE(Inventários[Tombamento]),Inventários[Processo - localização específica]),"")</f>
        <v xml:space="preserve">Filtro 07 - comportas </v>
      </c>
      <c r="I249" s="1" t="str" cm="1">
        <f t="array" ref="I249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0,7M (H) X 0,7M (L), MEDIDAS DA COMPORTA: 0,94M (H) X 0,94M (L), ALTURA TOTAL</v>
      </c>
    </row>
    <row r="250" spans="1:9" ht="40.15" customHeight="1" x14ac:dyDescent="0.15">
      <c r="A250" s="88" t="s">
        <v>730</v>
      </c>
      <c r="B250" s="88" t="s">
        <v>1007</v>
      </c>
      <c r="C250" s="88" t="s">
        <v>618</v>
      </c>
      <c r="D250" s="88" t="s">
        <v>17</v>
      </c>
      <c r="E250" s="88" t="s">
        <v>619</v>
      </c>
      <c r="F250" s="88" t="s">
        <v>18</v>
      </c>
      <c r="G250" s="88" t="s">
        <v>19</v>
      </c>
      <c r="H250" s="63" t="str" cm="1">
        <f t="array" ref="H250">IF(A250&lt;&gt;"",_xlfn.XLOOKUP(_xlfn.NUMBERVALUE(A250),_xlfn.NUMBERVALUE(Inventários[Tombamento]),Inventários[Processo - localização específica]),"")</f>
        <v xml:space="preserve">Filtro 06 - comportas </v>
      </c>
      <c r="I250" s="1" t="str" cm="1">
        <f t="array" ref="I250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0,7M (H) X 0,7M (L), MEDIDAS DA COMPORTA: 0,94M (H) X 0,94M (L), ALTURA TOTAL</v>
      </c>
    </row>
    <row r="251" spans="1:9" ht="40.15" customHeight="1" x14ac:dyDescent="0.15">
      <c r="A251" s="88" t="s">
        <v>731</v>
      </c>
      <c r="B251" s="88" t="s">
        <v>1007</v>
      </c>
      <c r="C251" s="88" t="s">
        <v>618</v>
      </c>
      <c r="D251" s="88" t="s">
        <v>17</v>
      </c>
      <c r="E251" s="88" t="s">
        <v>619</v>
      </c>
      <c r="F251" s="88" t="s">
        <v>18</v>
      </c>
      <c r="G251" s="88" t="s">
        <v>19</v>
      </c>
      <c r="H251" s="63" t="str" cm="1">
        <f t="array" ref="H251">IF(A251&lt;&gt;"",_xlfn.XLOOKUP(_xlfn.NUMBERVALUE(A251),_xlfn.NUMBERVALUE(Inventários[Tombamento]),Inventários[Processo - localização específica]),"")</f>
        <v xml:space="preserve">Filtro 05 - comportas </v>
      </c>
      <c r="I251" s="1" t="str" cm="1">
        <f t="array" ref="I251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0,7M (H) X 0,7M (L), MEDIDAS DA COMPORTA: 0,94M (H) X 0,94M (L), ALTURA TOTAL</v>
      </c>
    </row>
    <row r="252" spans="1:9" ht="40.15" customHeight="1" x14ac:dyDescent="0.15">
      <c r="A252" s="88" t="s">
        <v>732</v>
      </c>
      <c r="B252" s="88" t="s">
        <v>132</v>
      </c>
      <c r="C252" s="88" t="s">
        <v>618</v>
      </c>
      <c r="D252" s="88" t="s">
        <v>17</v>
      </c>
      <c r="E252" s="88" t="s">
        <v>619</v>
      </c>
      <c r="F252" s="88" t="s">
        <v>18</v>
      </c>
      <c r="G252" s="88" t="s">
        <v>19</v>
      </c>
      <c r="H252" s="63" t="str" cm="1">
        <f t="array" ref="H252">IF(A252&lt;&gt;"",_xlfn.XLOOKUP(_xlfn.NUMBERVALUE(A252),_xlfn.NUMBERVALUE(Inventários[Tombamento]),Inventários[Processo - localização específica]),"")</f>
        <v xml:space="preserve">Filtro 05 - comportas </v>
      </c>
      <c r="I252" s="1" t="str" cm="1">
        <f t="array" ref="I252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0,9M (H) X 0,9M (L), MEDIDAS DA COMPORTA: 1,14M (H) X 1,14M (L), ALTURA TOTAL</v>
      </c>
    </row>
    <row r="253" spans="1:9" ht="40.15" customHeight="1" x14ac:dyDescent="0.15">
      <c r="A253" s="88" t="s">
        <v>733</v>
      </c>
      <c r="B253" s="88" t="s">
        <v>132</v>
      </c>
      <c r="C253" s="88" t="s">
        <v>618</v>
      </c>
      <c r="D253" s="88" t="s">
        <v>17</v>
      </c>
      <c r="E253" s="88" t="s">
        <v>619</v>
      </c>
      <c r="F253" s="88" t="s">
        <v>18</v>
      </c>
      <c r="G253" s="88" t="s">
        <v>19</v>
      </c>
      <c r="H253" s="63" t="str" cm="1">
        <f t="array" ref="H253">IF(A253&lt;&gt;"",_xlfn.XLOOKUP(_xlfn.NUMBERVALUE(A253),_xlfn.NUMBERVALUE(Inventários[Tombamento]),Inventários[Processo - localização específica]),"")</f>
        <v xml:space="preserve">Filtro 06 - comportas </v>
      </c>
      <c r="I253" s="1" t="str" cm="1">
        <f t="array" ref="I253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0,9M (H) X 0,9M (L), MEDIDAS DA COMPORTA: 1,14M (H) X 1,14M (L), ALTURA TOTAL</v>
      </c>
    </row>
    <row r="254" spans="1:9" ht="30" customHeight="1" x14ac:dyDescent="0.15">
      <c r="A254" s="88" t="s">
        <v>734</v>
      </c>
      <c r="B254" s="88" t="s">
        <v>132</v>
      </c>
      <c r="C254" s="88" t="s">
        <v>618</v>
      </c>
      <c r="D254" s="88" t="s">
        <v>17</v>
      </c>
      <c r="E254" s="88" t="s">
        <v>619</v>
      </c>
      <c r="F254" s="88" t="s">
        <v>18</v>
      </c>
      <c r="G254" s="88" t="s">
        <v>19</v>
      </c>
      <c r="H254" s="63" t="str" cm="1">
        <f t="array" ref="H254">IF(A254&lt;&gt;"",_xlfn.XLOOKUP(_xlfn.NUMBERVALUE(A254),_xlfn.NUMBERVALUE(Inventários[Tombamento]),Inventários[Processo - localização específica]),"")</f>
        <v xml:space="preserve">Filtro 07 - comportas </v>
      </c>
      <c r="I254" s="1" t="str" cm="1">
        <f t="array" ref="I254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0,9M (H) X 0,9M (L), MEDIDAS DA COMPORTA: 1,14M (H) X 1,14M (L), ALTURA TOTAL</v>
      </c>
    </row>
    <row r="255" spans="1:9" ht="30" customHeight="1" x14ac:dyDescent="0.15">
      <c r="A255" s="88" t="s">
        <v>735</v>
      </c>
      <c r="B255" s="88" t="s">
        <v>132</v>
      </c>
      <c r="C255" s="88" t="s">
        <v>618</v>
      </c>
      <c r="D255" s="88" t="s">
        <v>17</v>
      </c>
      <c r="E255" s="88" t="s">
        <v>619</v>
      </c>
      <c r="F255" s="88" t="s">
        <v>18</v>
      </c>
      <c r="G255" s="88" t="s">
        <v>19</v>
      </c>
      <c r="H255" s="63" t="str" cm="1">
        <f t="array" ref="H255">IF(A255&lt;&gt;"",_xlfn.XLOOKUP(_xlfn.NUMBERVALUE(A255),_xlfn.NUMBERVALUE(Inventários[Tombamento]),Inventários[Processo - localização específica]),"")</f>
        <v xml:space="preserve">Filtro 08 - comportas </v>
      </c>
      <c r="I255" s="1" t="str" cm="1">
        <f t="array" ref="I255">_xlfn.XLOOKUP(_xlfn.NUMBERVALUE(Carga[[#This Row],[Tombamento]]),_xlfn.NUMBERVALUE(Inventários[Tombamento]),Inventários[Descrição resumida do bem],"(A) Atenção Bem Não cadastrado")</f>
        <v>COMPORTA INOX AISI 304, ACIONAMENTO ATRAVÉS DE ATUADOR ELÉTRICO, MEDIDAS DO CANAL: 0,9M (H) X 0,9M (L), MEDIDAS DA COMPORTA: 1,14M (H) X 1,14M (L), ALTURA TOTAL</v>
      </c>
    </row>
    <row r="256" spans="1:9" ht="30" customHeight="1" x14ac:dyDescent="0.15">
      <c r="A256" s="88" t="s">
        <v>736</v>
      </c>
      <c r="B256" s="88" t="s">
        <v>1008</v>
      </c>
      <c r="C256" s="88" t="s">
        <v>618</v>
      </c>
      <c r="D256" s="88" t="s">
        <v>17</v>
      </c>
      <c r="E256" s="88" t="s">
        <v>619</v>
      </c>
      <c r="F256" s="88" t="s">
        <v>18</v>
      </c>
      <c r="G256" s="88" t="s">
        <v>19</v>
      </c>
      <c r="H256" s="63" t="str" cm="1">
        <f t="array" ref="H256">IF(A256&lt;&gt;"",_xlfn.XLOOKUP(_xlfn.NUMBERVALUE(A256),_xlfn.NUMBERVALUE(Inventários[Tombamento]),Inventários[Processo - localização específica]),"")</f>
        <v>Floculador 08 - turbinas e comportas</v>
      </c>
      <c r="I256" s="1" t="str" cm="1">
        <f t="array" ref="I256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57" spans="1:9" ht="30" customHeight="1" x14ac:dyDescent="0.15">
      <c r="A257" s="88" t="s">
        <v>737</v>
      </c>
      <c r="B257" s="88" t="s">
        <v>1008</v>
      </c>
      <c r="C257" s="88" t="s">
        <v>618</v>
      </c>
      <c r="D257" s="88" t="s">
        <v>17</v>
      </c>
      <c r="E257" s="88" t="s">
        <v>619</v>
      </c>
      <c r="F257" s="88" t="s">
        <v>18</v>
      </c>
      <c r="G257" s="88" t="s">
        <v>19</v>
      </c>
      <c r="H257" s="63" t="str" cm="1">
        <f t="array" ref="H257">IF(A257&lt;&gt;"",_xlfn.XLOOKUP(_xlfn.NUMBERVALUE(A257),_xlfn.NUMBERVALUE(Inventários[Tombamento]),Inventários[Processo - localização específica]),"")</f>
        <v>Floculador 08 - turbinas e comportas</v>
      </c>
      <c r="I257" s="1" t="str" cm="1">
        <f t="array" ref="I257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58" spans="1:9" ht="30" customHeight="1" x14ac:dyDescent="0.15">
      <c r="A258" s="88" t="s">
        <v>738</v>
      </c>
      <c r="B258" s="88" t="s">
        <v>1008</v>
      </c>
      <c r="C258" s="88" t="s">
        <v>618</v>
      </c>
      <c r="D258" s="88" t="s">
        <v>17</v>
      </c>
      <c r="E258" s="88" t="s">
        <v>619</v>
      </c>
      <c r="F258" s="88" t="s">
        <v>18</v>
      </c>
      <c r="G258" s="88" t="s">
        <v>19</v>
      </c>
      <c r="H258" s="63" t="str" cm="1">
        <f t="array" ref="H258">IF(A258&lt;&gt;"",_xlfn.XLOOKUP(_xlfn.NUMBERVALUE(A258),_xlfn.NUMBERVALUE(Inventários[Tombamento]),Inventários[Processo - localização específica]),"")</f>
        <v>Floculador 07 - turbinas e comportas</v>
      </c>
      <c r="I258" s="1" t="str" cm="1">
        <f t="array" ref="I258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59" spans="1:9" ht="30" customHeight="1" x14ac:dyDescent="0.15">
      <c r="A259" s="88" t="s">
        <v>739</v>
      </c>
      <c r="B259" s="88" t="s">
        <v>1008</v>
      </c>
      <c r="C259" s="88" t="s">
        <v>618</v>
      </c>
      <c r="D259" s="88" t="s">
        <v>17</v>
      </c>
      <c r="E259" s="88" t="s">
        <v>619</v>
      </c>
      <c r="F259" s="88" t="s">
        <v>18</v>
      </c>
      <c r="G259" s="88" t="s">
        <v>19</v>
      </c>
      <c r="H259" s="63" t="str" cm="1">
        <f t="array" ref="H259">IF(A259&lt;&gt;"",_xlfn.XLOOKUP(_xlfn.NUMBERVALUE(A259),_xlfn.NUMBERVALUE(Inventários[Tombamento]),Inventários[Processo - localização específica]),"")</f>
        <v>Floculador 07 - turbinas e comportas</v>
      </c>
      <c r="I259" s="1" t="str" cm="1">
        <f t="array" ref="I259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60" spans="1:9" ht="30" customHeight="1" x14ac:dyDescent="0.15">
      <c r="A260" s="88" t="s">
        <v>740</v>
      </c>
      <c r="B260" s="88" t="s">
        <v>1008</v>
      </c>
      <c r="C260" s="88" t="s">
        <v>618</v>
      </c>
      <c r="D260" s="88" t="s">
        <v>17</v>
      </c>
      <c r="E260" s="88" t="s">
        <v>619</v>
      </c>
      <c r="F260" s="88" t="s">
        <v>18</v>
      </c>
      <c r="G260" s="88" t="s">
        <v>19</v>
      </c>
      <c r="H260" s="63" t="str" cm="1">
        <f t="array" ref="H260">IF(A260&lt;&gt;"",_xlfn.XLOOKUP(_xlfn.NUMBERVALUE(A260),_xlfn.NUMBERVALUE(Inventários[Tombamento]),Inventários[Processo - localização específica]),"")</f>
        <v>Floculador 06 - turbinas e comportas</v>
      </c>
      <c r="I260" s="1" t="str" cm="1">
        <f t="array" ref="I260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61" spans="1:9" ht="30" customHeight="1" x14ac:dyDescent="0.15">
      <c r="A261" s="88" t="s">
        <v>741</v>
      </c>
      <c r="B261" s="88" t="s">
        <v>1008</v>
      </c>
      <c r="C261" s="88" t="s">
        <v>618</v>
      </c>
      <c r="D261" s="88" t="s">
        <v>17</v>
      </c>
      <c r="E261" s="88" t="s">
        <v>619</v>
      </c>
      <c r="F261" s="88" t="s">
        <v>18</v>
      </c>
      <c r="G261" s="88" t="s">
        <v>19</v>
      </c>
      <c r="H261" s="63" t="str" cm="1">
        <f t="array" ref="H261">IF(A261&lt;&gt;"",_xlfn.XLOOKUP(_xlfn.NUMBERVALUE(A261),_xlfn.NUMBERVALUE(Inventários[Tombamento]),Inventários[Processo - localização específica]),"")</f>
        <v>Floculador 06 - turbinas e comportas</v>
      </c>
      <c r="I261" s="1" t="str" cm="1">
        <f t="array" ref="I261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62" spans="1:9" ht="30" customHeight="1" x14ac:dyDescent="0.15">
      <c r="A262" s="88" t="s">
        <v>742</v>
      </c>
      <c r="B262" s="88" t="s">
        <v>1008</v>
      </c>
      <c r="C262" s="88" t="s">
        <v>618</v>
      </c>
      <c r="D262" s="88" t="s">
        <v>17</v>
      </c>
      <c r="E262" s="88" t="s">
        <v>619</v>
      </c>
      <c r="F262" s="88" t="s">
        <v>18</v>
      </c>
      <c r="G262" s="88" t="s">
        <v>19</v>
      </c>
      <c r="H262" s="63" t="str" cm="1">
        <f t="array" ref="H262">IF(A262&lt;&gt;"",_xlfn.XLOOKUP(_xlfn.NUMBERVALUE(A262),_xlfn.NUMBERVALUE(Inventários[Tombamento]),Inventários[Processo - localização específica]),"")</f>
        <v>Floculador 05 - turbinas e comportas</v>
      </c>
      <c r="I262" s="1" t="str" cm="1">
        <f t="array" ref="I262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63" spans="1:9" ht="30" customHeight="1" x14ac:dyDescent="0.15">
      <c r="A263" s="88" t="s">
        <v>743</v>
      </c>
      <c r="B263" s="88" t="s">
        <v>1008</v>
      </c>
      <c r="C263" s="88" t="s">
        <v>618</v>
      </c>
      <c r="D263" s="88" t="s">
        <v>17</v>
      </c>
      <c r="E263" s="88" t="s">
        <v>619</v>
      </c>
      <c r="F263" s="88" t="s">
        <v>18</v>
      </c>
      <c r="G263" s="88" t="s">
        <v>19</v>
      </c>
      <c r="H263" s="63" t="str" cm="1">
        <f t="array" ref="H263">IF(A263&lt;&gt;"",_xlfn.XLOOKUP(_xlfn.NUMBERVALUE(A263),_xlfn.NUMBERVALUE(Inventários[Tombamento]),Inventários[Processo - localização específica]),"")</f>
        <v>Floculador 05 - turbinas e comportas</v>
      </c>
      <c r="I263" s="1" t="str" cm="1">
        <f t="array" ref="I263">_xlfn.XLOOKUP(_xlfn.NUMBERVALUE(Carga[[#This Row],[Tombamento]]),_xlfn.NUMBERVALUE(Inventários[Tombamento]),Inventários[Descrição resumida do bem],"(A) Atenção Bem Não cadastrado")</f>
        <v>COMPORTA CONSTRUÍDA EM INOX AISI 304, ACIONAMENTO ATRAVÉS DE ATUADOR ELÉTRICO, MEDIDAS DO CANAL: 0,52M (H) X 1,2M (L), MEDIDAS DA COMPORTA: 0,84M (H) X 1,34M (L</v>
      </c>
    </row>
    <row r="264" spans="1:9" ht="30" customHeight="1" x14ac:dyDescent="0.15">
      <c r="A264" s="88" t="s">
        <v>744</v>
      </c>
      <c r="B264" s="88" t="s">
        <v>135</v>
      </c>
      <c r="C264" s="88" t="s">
        <v>618</v>
      </c>
      <c r="D264" s="88" t="s">
        <v>17</v>
      </c>
      <c r="E264" s="88" t="s">
        <v>619</v>
      </c>
      <c r="F264" s="88" t="s">
        <v>18</v>
      </c>
      <c r="G264" s="88" t="s">
        <v>19</v>
      </c>
      <c r="H264" s="63" t="str" cm="1">
        <f t="array" ref="H264">IF(A264&lt;&gt;"",_xlfn.XLOOKUP(_xlfn.NUMBERVALUE(A264),_xlfn.NUMBERVALUE(Inventários[Tombamento]),Inventários[Processo - localização específica]),"")</f>
        <v>Prédio - depósito de bens</v>
      </c>
      <c r="I264" s="1" t="str" cm="1">
        <f t="array" ref="I264">_xlfn.XLOOKUP(_xlfn.NUMBERVALUE(Carga[[#This Row],[Tombamento]]),_xlfn.NUMBERVALUE(Inventários[Tombamento]),Inventários[Descrição resumida do bem],"(A) Atenção Bem Não cadastrado")</f>
        <v>TALHA DE ACIONAMENTO MANUAL COM CORRENTE, ROLDANA E SISTEMA DE IÇAMENTO VIA GANCHO COM TRAVA, COM CAPACIDADE DE 0,5 TON. E ALTURA DE ELEVAÇÃO DE 4,20M.</v>
      </c>
    </row>
    <row r="265" spans="1:9" ht="30" customHeight="1" x14ac:dyDescent="0.15">
      <c r="A265" s="88" t="s">
        <v>745</v>
      </c>
      <c r="B265" s="88" t="s">
        <v>1009</v>
      </c>
      <c r="C265" s="88" t="s">
        <v>618</v>
      </c>
      <c r="D265" s="88" t="s">
        <v>17</v>
      </c>
      <c r="E265" s="88" t="s">
        <v>619</v>
      </c>
      <c r="F265" s="88" t="s">
        <v>18</v>
      </c>
      <c r="G265" s="88" t="s">
        <v>19</v>
      </c>
      <c r="H265" s="63" t="str" cm="1">
        <f t="array" ref="H265">IF(A265&lt;&gt;"",_xlfn.XLOOKUP(_xlfn.NUMBERVALUE(A265),_xlfn.NUMBERVALUE(Inventários[Tombamento]),Inventários[Processo - localização específica]),"")</f>
        <v>Filtro 05 -  válvulas de ar, água filtrada, lavagem e drenagem</v>
      </c>
      <c r="I265" s="1" t="str" cm="1">
        <f t="array" ref="I265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66" spans="1:9" ht="30" customHeight="1" x14ac:dyDescent="0.15">
      <c r="A266" s="88" t="s">
        <v>746</v>
      </c>
      <c r="B266" s="88" t="s">
        <v>1009</v>
      </c>
      <c r="C266" s="88" t="s">
        <v>618</v>
      </c>
      <c r="D266" s="88" t="s">
        <v>17</v>
      </c>
      <c r="E266" s="88" t="s">
        <v>619</v>
      </c>
      <c r="F266" s="88" t="s">
        <v>18</v>
      </c>
      <c r="G266" s="88" t="s">
        <v>19</v>
      </c>
      <c r="H266" s="63" t="str" cm="1">
        <f t="array" ref="H266">IF(A266&lt;&gt;"",_xlfn.XLOOKUP(_xlfn.NUMBERVALUE(A266),_xlfn.NUMBERVALUE(Inventários[Tombamento]),Inventários[Processo - localização específica]),"")</f>
        <v>Filtro 05 -  válvulas de ar, água filtrada, lavagem e drenagem</v>
      </c>
      <c r="I266" s="1" t="str" cm="1">
        <f t="array" ref="I266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67" spans="1:9" ht="30" customHeight="1" x14ac:dyDescent="0.15">
      <c r="A267" s="88" t="s">
        <v>747</v>
      </c>
      <c r="B267" s="88" t="s">
        <v>1009</v>
      </c>
      <c r="C267" s="88" t="s">
        <v>618</v>
      </c>
      <c r="D267" s="88" t="s">
        <v>17</v>
      </c>
      <c r="E267" s="88" t="s">
        <v>619</v>
      </c>
      <c r="F267" s="88" t="s">
        <v>18</v>
      </c>
      <c r="G267" s="88" t="s">
        <v>19</v>
      </c>
      <c r="H267" s="63" t="str" cm="1">
        <f t="array" ref="H267">IF(A267&lt;&gt;"",_xlfn.XLOOKUP(_xlfn.NUMBERVALUE(A267),_xlfn.NUMBERVALUE(Inventários[Tombamento]),Inventários[Processo - localização específica]),"")</f>
        <v>Filtro 05 -  válvulas de ar, água filtrada, lavagem e drenagem</v>
      </c>
      <c r="I267" s="1" t="str" cm="1">
        <f t="array" ref="I267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68" spans="1:9" ht="30" customHeight="1" x14ac:dyDescent="0.15">
      <c r="A268" s="88" t="s">
        <v>748</v>
      </c>
      <c r="B268" s="88" t="s">
        <v>1009</v>
      </c>
      <c r="C268" s="88" t="s">
        <v>618</v>
      </c>
      <c r="D268" s="88" t="s">
        <v>17</v>
      </c>
      <c r="E268" s="88" t="s">
        <v>619</v>
      </c>
      <c r="F268" s="88" t="s">
        <v>18</v>
      </c>
      <c r="G268" s="88" t="s">
        <v>19</v>
      </c>
      <c r="H268" s="63" t="str" cm="1">
        <f t="array" ref="H268">IF(A268&lt;&gt;"",_xlfn.XLOOKUP(_xlfn.NUMBERVALUE(A268),_xlfn.NUMBERVALUE(Inventários[Tombamento]),Inventários[Processo - localização específica]),"")</f>
        <v>Filtro 05 -  válvulas de ar, água filtrada, lavagem e drenagem</v>
      </c>
      <c r="I268" s="1" t="str" cm="1">
        <f t="array" ref="I268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69" spans="1:9" ht="30" customHeight="1" x14ac:dyDescent="0.15">
      <c r="A269" s="88" t="s">
        <v>749</v>
      </c>
      <c r="B269" s="88" t="s">
        <v>1009</v>
      </c>
      <c r="C269" s="88" t="s">
        <v>618</v>
      </c>
      <c r="D269" s="88" t="s">
        <v>17</v>
      </c>
      <c r="E269" s="88" t="s">
        <v>619</v>
      </c>
      <c r="F269" s="88" t="s">
        <v>18</v>
      </c>
      <c r="G269" s="88" t="s">
        <v>19</v>
      </c>
      <c r="H269" s="63" t="str" cm="1">
        <f t="array" ref="H269">IF(A269&lt;&gt;"",_xlfn.XLOOKUP(_xlfn.NUMBERVALUE(A269),_xlfn.NUMBERVALUE(Inventários[Tombamento]),Inventários[Processo - localização específica]),"")</f>
        <v>Filtro 06 -  válvulas de ar, água filtrada, lavagem e drenagem</v>
      </c>
      <c r="I269" s="1" t="str" cm="1">
        <f t="array" ref="I269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0" spans="1:9" ht="30" customHeight="1" x14ac:dyDescent="0.15">
      <c r="A270" s="88" t="s">
        <v>750</v>
      </c>
      <c r="B270" s="88" t="s">
        <v>1009</v>
      </c>
      <c r="C270" s="88" t="s">
        <v>618</v>
      </c>
      <c r="D270" s="88" t="s">
        <v>17</v>
      </c>
      <c r="E270" s="88" t="s">
        <v>619</v>
      </c>
      <c r="F270" s="88" t="s">
        <v>18</v>
      </c>
      <c r="G270" s="88" t="s">
        <v>19</v>
      </c>
      <c r="H270" s="63" t="str" cm="1">
        <f t="array" ref="H270">IF(A270&lt;&gt;"",_xlfn.XLOOKUP(_xlfn.NUMBERVALUE(A270),_xlfn.NUMBERVALUE(Inventários[Tombamento]),Inventários[Processo - localização específica]),"")</f>
        <v>Filtro 06 -  válvulas de ar, água filtrada, lavagem e drenagem</v>
      </c>
      <c r="I270" s="1" t="str" cm="1">
        <f t="array" ref="I270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1" spans="1:9" ht="30" customHeight="1" x14ac:dyDescent="0.15">
      <c r="A271" s="88" t="s">
        <v>751</v>
      </c>
      <c r="B271" s="88" t="s">
        <v>1009</v>
      </c>
      <c r="C271" s="88" t="s">
        <v>618</v>
      </c>
      <c r="D271" s="88" t="s">
        <v>17</v>
      </c>
      <c r="E271" s="88" t="s">
        <v>619</v>
      </c>
      <c r="F271" s="88" t="s">
        <v>18</v>
      </c>
      <c r="G271" s="88" t="s">
        <v>19</v>
      </c>
      <c r="H271" s="63" t="str" cm="1">
        <f t="array" ref="H271">IF(A271&lt;&gt;"",_xlfn.XLOOKUP(_xlfn.NUMBERVALUE(A271),_xlfn.NUMBERVALUE(Inventários[Tombamento]),Inventários[Processo - localização específica]),"")</f>
        <v>Filtro 06 -  válvulas de ar, água filtrada, lavagem e drenagem</v>
      </c>
      <c r="I271" s="1" t="str" cm="1">
        <f t="array" ref="I271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2" spans="1:9" ht="30" customHeight="1" x14ac:dyDescent="0.15">
      <c r="A272" s="88" t="s">
        <v>752</v>
      </c>
      <c r="B272" s="88" t="s">
        <v>1009</v>
      </c>
      <c r="C272" s="88" t="s">
        <v>618</v>
      </c>
      <c r="D272" s="88" t="s">
        <v>17</v>
      </c>
      <c r="E272" s="88" t="s">
        <v>619</v>
      </c>
      <c r="F272" s="88" t="s">
        <v>18</v>
      </c>
      <c r="G272" s="88" t="s">
        <v>19</v>
      </c>
      <c r="H272" s="63" t="str" cm="1">
        <f t="array" ref="H272">IF(A272&lt;&gt;"",_xlfn.XLOOKUP(_xlfn.NUMBERVALUE(A272),_xlfn.NUMBERVALUE(Inventários[Tombamento]),Inventários[Processo - localização específica]),"")</f>
        <v>Filtro 06 -  válvulas de ar, água filtrada, lavagem e drenagem</v>
      </c>
      <c r="I272" s="1" t="str" cm="1">
        <f t="array" ref="I272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3" spans="1:9" ht="30" customHeight="1" x14ac:dyDescent="0.15">
      <c r="A273" s="88" t="s">
        <v>753</v>
      </c>
      <c r="B273" s="88" t="s">
        <v>1009</v>
      </c>
      <c r="C273" s="88" t="s">
        <v>618</v>
      </c>
      <c r="D273" s="88" t="s">
        <v>17</v>
      </c>
      <c r="E273" s="88" t="s">
        <v>619</v>
      </c>
      <c r="F273" s="88" t="s">
        <v>18</v>
      </c>
      <c r="G273" s="88" t="s">
        <v>19</v>
      </c>
      <c r="H273" s="63" t="str" cm="1">
        <f t="array" ref="H273">IF(A273&lt;&gt;"",_xlfn.XLOOKUP(_xlfn.NUMBERVALUE(A273),_xlfn.NUMBERVALUE(Inventários[Tombamento]),Inventários[Processo - localização específica]),"")</f>
        <v>Filtro 07 -  válvulas de ar, água filtrada, lavagem e drenagem</v>
      </c>
      <c r="I273" s="1" t="str" cm="1">
        <f t="array" ref="I273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4" spans="1:9" ht="30" customHeight="1" x14ac:dyDescent="0.15">
      <c r="A274" s="88" t="s">
        <v>754</v>
      </c>
      <c r="B274" s="88" t="s">
        <v>1009</v>
      </c>
      <c r="C274" s="88" t="s">
        <v>618</v>
      </c>
      <c r="D274" s="88" t="s">
        <v>17</v>
      </c>
      <c r="E274" s="88" t="s">
        <v>619</v>
      </c>
      <c r="F274" s="88" t="s">
        <v>18</v>
      </c>
      <c r="G274" s="88" t="s">
        <v>19</v>
      </c>
      <c r="H274" s="63" t="str" cm="1">
        <f t="array" ref="H274">IF(A274&lt;&gt;"",_xlfn.XLOOKUP(_xlfn.NUMBERVALUE(A274),_xlfn.NUMBERVALUE(Inventários[Tombamento]),Inventários[Processo - localização específica]),"")</f>
        <v>Filtro 07 -  válvulas de ar, água filtrada, lavagem e drenagem</v>
      </c>
      <c r="I274" s="1" t="str" cm="1">
        <f t="array" ref="I274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5" spans="1:9" ht="30" customHeight="1" x14ac:dyDescent="0.15">
      <c r="A275" s="88" t="s">
        <v>755</v>
      </c>
      <c r="B275" s="88" t="s">
        <v>1009</v>
      </c>
      <c r="C275" s="88" t="s">
        <v>618</v>
      </c>
      <c r="D275" s="88" t="s">
        <v>17</v>
      </c>
      <c r="E275" s="88" t="s">
        <v>619</v>
      </c>
      <c r="F275" s="88" t="s">
        <v>18</v>
      </c>
      <c r="G275" s="88" t="s">
        <v>19</v>
      </c>
      <c r="H275" s="63" t="str" cm="1">
        <f t="array" ref="H275">IF(A275&lt;&gt;"",_xlfn.XLOOKUP(_xlfn.NUMBERVALUE(A275),_xlfn.NUMBERVALUE(Inventários[Tombamento]),Inventários[Processo - localização específica]),"")</f>
        <v>Filtro 07 -  válvulas de ar, água filtrada, lavagem e drenagem</v>
      </c>
      <c r="I275" s="1" t="str" cm="1">
        <f t="array" ref="I275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6" spans="1:9" ht="30" customHeight="1" x14ac:dyDescent="0.15">
      <c r="A276" s="88" t="s">
        <v>756</v>
      </c>
      <c r="B276" s="88" t="s">
        <v>1009</v>
      </c>
      <c r="C276" s="88" t="s">
        <v>618</v>
      </c>
      <c r="D276" s="88" t="s">
        <v>17</v>
      </c>
      <c r="E276" s="88" t="s">
        <v>619</v>
      </c>
      <c r="F276" s="88" t="s">
        <v>18</v>
      </c>
      <c r="G276" s="88" t="s">
        <v>19</v>
      </c>
      <c r="H276" s="63" t="str" cm="1">
        <f t="array" ref="H276">IF(A276&lt;&gt;"",_xlfn.XLOOKUP(_xlfn.NUMBERVALUE(A276),_xlfn.NUMBERVALUE(Inventários[Tombamento]),Inventários[Processo - localização específica]),"")</f>
        <v>Filtro 07 -  válvulas de ar, água filtrada, lavagem e drenagem</v>
      </c>
      <c r="I276" s="1" t="str" cm="1">
        <f t="array" ref="I276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7" spans="1:9" ht="30" customHeight="1" x14ac:dyDescent="0.15">
      <c r="A277" s="88" t="s">
        <v>757</v>
      </c>
      <c r="B277" s="88" t="s">
        <v>1009</v>
      </c>
      <c r="C277" s="88" t="s">
        <v>618</v>
      </c>
      <c r="D277" s="88" t="s">
        <v>17</v>
      </c>
      <c r="E277" s="88" t="s">
        <v>619</v>
      </c>
      <c r="F277" s="88" t="s">
        <v>18</v>
      </c>
      <c r="G277" s="88" t="s">
        <v>19</v>
      </c>
      <c r="H277" s="63" t="str" cm="1">
        <f t="array" ref="H277">IF(A277&lt;&gt;"",_xlfn.XLOOKUP(_xlfn.NUMBERVALUE(A277),_xlfn.NUMBERVALUE(Inventários[Tombamento]),Inventários[Processo - localização específica]),"")</f>
        <v>Filtro 08 -  válvulas de ar, água filtrada, lavagem e drenagem</v>
      </c>
      <c r="I277" s="1" t="str" cm="1">
        <f t="array" ref="I277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8" spans="1:9" ht="30" customHeight="1" x14ac:dyDescent="0.15">
      <c r="A278" s="88" t="s">
        <v>758</v>
      </c>
      <c r="B278" s="88" t="s">
        <v>1009</v>
      </c>
      <c r="C278" s="88" t="s">
        <v>618</v>
      </c>
      <c r="D278" s="88" t="s">
        <v>17</v>
      </c>
      <c r="E278" s="88" t="s">
        <v>619</v>
      </c>
      <c r="F278" s="88" t="s">
        <v>18</v>
      </c>
      <c r="G278" s="88" t="s">
        <v>19</v>
      </c>
      <c r="H278" s="63" t="str" cm="1">
        <f t="array" ref="H278">IF(A278&lt;&gt;"",_xlfn.XLOOKUP(_xlfn.NUMBERVALUE(A278),_xlfn.NUMBERVALUE(Inventários[Tombamento]),Inventários[Processo - localização específica]),"")</f>
        <v>Filtro 08 -  válvulas de ar, água filtrada, lavagem e drenagem</v>
      </c>
      <c r="I278" s="1" t="str" cm="1">
        <f t="array" ref="I278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79" spans="1:9" ht="30" customHeight="1" x14ac:dyDescent="0.15">
      <c r="A279" s="88" t="s">
        <v>759</v>
      </c>
      <c r="B279" s="88" t="s">
        <v>1009</v>
      </c>
      <c r="C279" s="88" t="s">
        <v>618</v>
      </c>
      <c r="D279" s="88" t="s">
        <v>17</v>
      </c>
      <c r="E279" s="88" t="s">
        <v>619</v>
      </c>
      <c r="F279" s="88" t="s">
        <v>18</v>
      </c>
      <c r="G279" s="88" t="s">
        <v>19</v>
      </c>
      <c r="H279" s="63" t="str" cm="1">
        <f t="array" ref="H279">IF(A279&lt;&gt;"",_xlfn.XLOOKUP(_xlfn.NUMBERVALUE(A279),_xlfn.NUMBERVALUE(Inventários[Tombamento]),Inventários[Processo - localização específica]),"")</f>
        <v>Filtro 08 -  válvulas de ar, água filtrada, lavagem e drenagem</v>
      </c>
      <c r="I279" s="1" t="str" cm="1">
        <f t="array" ref="I279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80" spans="1:9" ht="30" customHeight="1" x14ac:dyDescent="0.15">
      <c r="A280" s="88" t="s">
        <v>760</v>
      </c>
      <c r="B280" s="88" t="s">
        <v>1009</v>
      </c>
      <c r="C280" s="88" t="s">
        <v>618</v>
      </c>
      <c r="D280" s="88" t="s">
        <v>17</v>
      </c>
      <c r="E280" s="88" t="s">
        <v>619</v>
      </c>
      <c r="F280" s="88" t="s">
        <v>18</v>
      </c>
      <c r="G280" s="88" t="s">
        <v>19</v>
      </c>
      <c r="H280" s="63" t="str" cm="1">
        <f t="array" ref="H280">IF(A280&lt;&gt;"",_xlfn.XLOOKUP(_xlfn.NUMBERVALUE(A280),_xlfn.NUMBERVALUE(Inventários[Tombamento]),Inventários[Processo - localização específica]),"")</f>
        <v>Filtro 08 -  válvulas de ar, água filtrada, lavagem e drenagem</v>
      </c>
      <c r="I280" s="1" t="str" cm="1">
        <f t="array" ref="I280">_xlfn.XLOOKUP(_xlfn.NUMBERVALUE(Carga[[#This Row],[Tombamento]]),_xlfn.NUMBERVALUE(Inventários[Tombamento]),Inventários[Descrição resumida do bem],"(A) Atenção Bem Não cadastrado")</f>
        <v>VÁLVULA BORBOLETA AWWA / EIXO LIVRE, DN 600MM, ACIONAMENTO ELÉTRICO</v>
      </c>
    </row>
    <row r="281" spans="1:9" ht="30" customHeight="1" x14ac:dyDescent="0.15">
      <c r="A281" s="88" t="s">
        <v>761</v>
      </c>
      <c r="B281" s="88" t="s">
        <v>1010</v>
      </c>
      <c r="C281" s="88" t="s">
        <v>618</v>
      </c>
      <c r="D281" s="88" t="s">
        <v>17</v>
      </c>
      <c r="E281" s="88" t="s">
        <v>619</v>
      </c>
      <c r="F281" s="88" t="s">
        <v>18</v>
      </c>
      <c r="G281" s="88" t="s">
        <v>19</v>
      </c>
      <c r="H281" s="63" t="str" cm="1">
        <f t="array" ref="H281">IF(A281&lt;&gt;"",_xlfn.XLOOKUP(_xlfn.NUMBERVALUE(A281),_xlfn.NUMBERVALUE(Inventários[Tombamento]),Inventários[Processo - localização específica]),"")</f>
        <v>Filtro 05 -  válvulas de ar, água filtrada, lavagem e drenagem</v>
      </c>
      <c r="I281" s="1" t="str" cm="1">
        <f t="array" ref="I281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2" spans="1:9" ht="30" customHeight="1" x14ac:dyDescent="0.15">
      <c r="A282" s="88" t="s">
        <v>762</v>
      </c>
      <c r="B282" s="88" t="s">
        <v>1010</v>
      </c>
      <c r="C282" s="88" t="s">
        <v>618</v>
      </c>
      <c r="D282" s="88" t="s">
        <v>17</v>
      </c>
      <c r="E282" s="88" t="s">
        <v>619</v>
      </c>
      <c r="F282" s="88" t="s">
        <v>18</v>
      </c>
      <c r="G282" s="88" t="s">
        <v>19</v>
      </c>
      <c r="H282" s="63" t="str" cm="1">
        <f t="array" ref="H282">IF(A282&lt;&gt;"",_xlfn.XLOOKUP(_xlfn.NUMBERVALUE(A282),_xlfn.NUMBERVALUE(Inventários[Tombamento]),Inventários[Processo - localização específica]),"")</f>
        <v>Filtro 05 -  válvulas de ar, água filtrada, lavagem e drenagem</v>
      </c>
      <c r="I282" s="1" t="str" cm="1">
        <f t="array" ref="I282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3" spans="1:9" ht="30" customHeight="1" x14ac:dyDescent="0.15">
      <c r="A283" s="88" t="s">
        <v>763</v>
      </c>
      <c r="B283" s="88" t="s">
        <v>1010</v>
      </c>
      <c r="C283" s="88" t="s">
        <v>618</v>
      </c>
      <c r="D283" s="88" t="s">
        <v>17</v>
      </c>
      <c r="E283" s="88" t="s">
        <v>619</v>
      </c>
      <c r="F283" s="88" t="s">
        <v>18</v>
      </c>
      <c r="G283" s="88" t="s">
        <v>19</v>
      </c>
      <c r="H283" s="63" t="str" cm="1">
        <f t="array" ref="H283">IF(A283&lt;&gt;"",_xlfn.XLOOKUP(_xlfn.NUMBERVALUE(A283),_xlfn.NUMBERVALUE(Inventários[Tombamento]),Inventários[Processo - localização específica]),"")</f>
        <v>Filtro 06 -  válvulas de ar, água filtrada, lavagem e drenagem</v>
      </c>
      <c r="I283" s="1" t="str" cm="1">
        <f t="array" ref="I283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4" spans="1:9" ht="30" customHeight="1" x14ac:dyDescent="0.15">
      <c r="A284" s="88" t="s">
        <v>764</v>
      </c>
      <c r="B284" s="88" t="s">
        <v>1010</v>
      </c>
      <c r="C284" s="88" t="s">
        <v>618</v>
      </c>
      <c r="D284" s="88" t="s">
        <v>17</v>
      </c>
      <c r="E284" s="88" t="s">
        <v>619</v>
      </c>
      <c r="F284" s="88" t="s">
        <v>18</v>
      </c>
      <c r="G284" s="88" t="s">
        <v>19</v>
      </c>
      <c r="H284" s="63" t="str" cm="1">
        <f t="array" ref="H284">IF(A284&lt;&gt;"",_xlfn.XLOOKUP(_xlfn.NUMBERVALUE(A284),_xlfn.NUMBERVALUE(Inventários[Tombamento]),Inventários[Processo - localização específica]),"")</f>
        <v>Filtro 06 -  válvulas de ar, água filtrada, lavagem e drenagem</v>
      </c>
      <c r="I284" s="1" t="str" cm="1">
        <f t="array" ref="I284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5" spans="1:9" ht="30" customHeight="1" x14ac:dyDescent="0.15">
      <c r="A285" s="88" t="s">
        <v>765</v>
      </c>
      <c r="B285" s="88" t="s">
        <v>1010</v>
      </c>
      <c r="C285" s="88" t="s">
        <v>618</v>
      </c>
      <c r="D285" s="88" t="s">
        <v>17</v>
      </c>
      <c r="E285" s="88" t="s">
        <v>619</v>
      </c>
      <c r="F285" s="88" t="s">
        <v>18</v>
      </c>
      <c r="G285" s="88" t="s">
        <v>19</v>
      </c>
      <c r="H285" s="63" t="str" cm="1">
        <f t="array" ref="H285">IF(A285&lt;&gt;"",_xlfn.XLOOKUP(_xlfn.NUMBERVALUE(A285),_xlfn.NUMBERVALUE(Inventários[Tombamento]),Inventários[Processo - localização específica]),"")</f>
        <v>Filtro 07 -  válvulas de ar, água filtrada, lavagem e drenagem</v>
      </c>
      <c r="I285" s="1" t="str" cm="1">
        <f t="array" ref="I285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6" spans="1:9" ht="30" customHeight="1" x14ac:dyDescent="0.15">
      <c r="A286" s="88" t="s">
        <v>766</v>
      </c>
      <c r="B286" s="88" t="s">
        <v>1010</v>
      </c>
      <c r="C286" s="88" t="s">
        <v>618</v>
      </c>
      <c r="D286" s="88" t="s">
        <v>17</v>
      </c>
      <c r="E286" s="88" t="s">
        <v>619</v>
      </c>
      <c r="F286" s="88" t="s">
        <v>18</v>
      </c>
      <c r="G286" s="88" t="s">
        <v>19</v>
      </c>
      <c r="H286" s="63" t="str" cm="1">
        <f t="array" ref="H286">IF(A286&lt;&gt;"",_xlfn.XLOOKUP(_xlfn.NUMBERVALUE(A286),_xlfn.NUMBERVALUE(Inventários[Tombamento]),Inventários[Processo - localização específica]),"")</f>
        <v>Filtro 07 -  válvulas de ar, água filtrada, lavagem e drenagem</v>
      </c>
      <c r="I286" s="1" t="str" cm="1">
        <f t="array" ref="I286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7" spans="1:9" ht="30" customHeight="1" x14ac:dyDescent="0.15">
      <c r="A287" s="88" t="s">
        <v>767</v>
      </c>
      <c r="B287" s="88" t="s">
        <v>1010</v>
      </c>
      <c r="C287" s="88" t="s">
        <v>618</v>
      </c>
      <c r="D287" s="88" t="s">
        <v>17</v>
      </c>
      <c r="E287" s="88" t="s">
        <v>619</v>
      </c>
      <c r="F287" s="88" t="s">
        <v>18</v>
      </c>
      <c r="G287" s="88" t="s">
        <v>19</v>
      </c>
      <c r="H287" s="63" t="str" cm="1">
        <f t="array" ref="H287">IF(A287&lt;&gt;"",_xlfn.XLOOKUP(_xlfn.NUMBERVALUE(A287),_xlfn.NUMBERVALUE(Inventários[Tombamento]),Inventários[Processo - localização específica]),"")</f>
        <v>Filtro 08 -  válvulas de ar, água filtrada, lavagem e drenagem</v>
      </c>
      <c r="I287" s="1" t="str" cm="1">
        <f t="array" ref="I287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8" spans="1:9" ht="30" customHeight="1" x14ac:dyDescent="0.15">
      <c r="A288" s="88" t="s">
        <v>768</v>
      </c>
      <c r="B288" s="88" t="s">
        <v>1010</v>
      </c>
      <c r="C288" s="88" t="s">
        <v>618</v>
      </c>
      <c r="D288" s="88" t="s">
        <v>17</v>
      </c>
      <c r="E288" s="88" t="s">
        <v>619</v>
      </c>
      <c r="F288" s="88" t="s">
        <v>18</v>
      </c>
      <c r="G288" s="88" t="s">
        <v>19</v>
      </c>
      <c r="H288" s="63" t="str" cm="1">
        <f t="array" ref="H288">IF(A288&lt;&gt;"",_xlfn.XLOOKUP(_xlfn.NUMBERVALUE(A288),_xlfn.NUMBERVALUE(Inventários[Tombamento]),Inventários[Processo - localização específica]),"")</f>
        <v>Filtro 08 -  válvulas de ar, água filtrada, lavagem e drenagem</v>
      </c>
      <c r="I288" s="1" t="str" cm="1">
        <f t="array" ref="I288">_xlfn.XLOOKUP(_xlfn.NUMBERVALUE(Carga[[#This Row],[Tombamento]]),_xlfn.NUMBERVALUE(Inventários[Tombamento]),Inventários[Descrição resumida do bem],"(A) Atenção Bem Não cadastrado")</f>
        <v>VÁLVULA BORBOLETA AWWA / EIXO LIVRE, DN 200MM, ACIONAMENTO ELÉTRICO</v>
      </c>
    </row>
    <row r="289" spans="1:9" ht="30" customHeight="1" x14ac:dyDescent="0.15">
      <c r="A289" s="88" t="s">
        <v>769</v>
      </c>
      <c r="B289" s="88" t="s">
        <v>1011</v>
      </c>
      <c r="C289" s="88" t="s">
        <v>618</v>
      </c>
      <c r="D289" s="88" t="s">
        <v>17</v>
      </c>
      <c r="E289" s="88" t="s">
        <v>619</v>
      </c>
      <c r="F289" s="88" t="s">
        <v>18</v>
      </c>
      <c r="G289" s="88" t="s">
        <v>19</v>
      </c>
      <c r="H289" s="63" t="str" cm="1">
        <f t="array" ref="H289">IF(A289&lt;&gt;"",_xlfn.XLOOKUP(_xlfn.NUMBERVALUE(A289),_xlfn.NUMBERVALUE(Inventários[Tombamento]),Inventários[Processo - localização específica]),"")</f>
        <v>Flotadores - compressores de ar e válvulas de drenagem Módulos 03/04</v>
      </c>
      <c r="I289" s="1" t="str" cm="1">
        <f t="array" ref="I289">_xlfn.XLOOKUP(_xlfn.NUMBERVALUE(Carga[[#This Row],[Tombamento]]),_xlfn.NUMBERVALUE(Inventários[Tombamento]),Inventários[Descrição resumida do bem],"(A) Atenção Bem Não cadastrado")</f>
        <v>VÁLVULA, TIPO BORBOLETA AWWA / EIXO LIVRE, DN 300MM, ACIONAMENTO ELÉTRICO</v>
      </c>
    </row>
    <row r="290" spans="1:9" ht="30" customHeight="1" x14ac:dyDescent="0.15">
      <c r="A290" s="88" t="s">
        <v>770</v>
      </c>
      <c r="B290" s="88" t="s">
        <v>1011</v>
      </c>
      <c r="C290" s="88" t="s">
        <v>618</v>
      </c>
      <c r="D290" s="88" t="s">
        <v>17</v>
      </c>
      <c r="E290" s="88" t="s">
        <v>619</v>
      </c>
      <c r="F290" s="88" t="s">
        <v>18</v>
      </c>
      <c r="G290" s="88" t="s">
        <v>19</v>
      </c>
      <c r="H290" s="63" t="str" cm="1">
        <f t="array" ref="H290">IF(A290&lt;&gt;"",_xlfn.XLOOKUP(_xlfn.NUMBERVALUE(A290),_xlfn.NUMBERVALUE(Inventários[Tombamento]),Inventários[Processo - localização específica]),"")</f>
        <v>Flotadores - compressores de ar e válvulas de drenagem Módulos 03/04</v>
      </c>
      <c r="I290" s="1" t="str" cm="1">
        <f t="array" ref="I290">_xlfn.XLOOKUP(_xlfn.NUMBERVALUE(Carga[[#This Row],[Tombamento]]),_xlfn.NUMBERVALUE(Inventários[Tombamento]),Inventários[Descrição resumida do bem],"(A) Atenção Bem Não cadastrado")</f>
        <v>VÁLVULA, TIPO BORBOLETA AWWA / EIXO LIVRE, DN 300MM, ACIONAMENTO ELÉTRICO</v>
      </c>
    </row>
    <row r="291" spans="1:9" ht="30" customHeight="1" x14ac:dyDescent="0.15">
      <c r="A291" s="88" t="s">
        <v>771</v>
      </c>
      <c r="B291" s="88" t="s">
        <v>1011</v>
      </c>
      <c r="C291" s="88" t="s">
        <v>618</v>
      </c>
      <c r="D291" s="88" t="s">
        <v>17</v>
      </c>
      <c r="E291" s="88" t="s">
        <v>619</v>
      </c>
      <c r="F291" s="88" t="s">
        <v>18</v>
      </c>
      <c r="G291" s="88" t="s">
        <v>19</v>
      </c>
      <c r="H291" s="63" t="str" cm="1">
        <f t="array" ref="H291">IF(A291&lt;&gt;"",_xlfn.XLOOKUP(_xlfn.NUMBERVALUE(A291),_xlfn.NUMBERVALUE(Inventários[Tombamento]),Inventários[Processo - localização específica]),"")</f>
        <v>Flotadores - compressores de ar e válvulas de drenagem Módulos 03/04</v>
      </c>
      <c r="I291" s="1" t="str" cm="1">
        <f t="array" ref="I291">_xlfn.XLOOKUP(_xlfn.NUMBERVALUE(Carga[[#This Row],[Tombamento]]),_xlfn.NUMBERVALUE(Inventários[Tombamento]),Inventários[Descrição resumida do bem],"(A) Atenção Bem Não cadastrado")</f>
        <v>VÁLVULA, TIPO BORBOLETA AWWA / EIXO LIVRE, DN 300MM, ACIONAMENTO ELÉTRICO</v>
      </c>
    </row>
    <row r="292" spans="1:9" ht="30" customHeight="1" x14ac:dyDescent="0.15">
      <c r="A292" s="88" t="s">
        <v>772</v>
      </c>
      <c r="B292" s="88" t="s">
        <v>1011</v>
      </c>
      <c r="C292" s="88" t="s">
        <v>618</v>
      </c>
      <c r="D292" s="88" t="s">
        <v>17</v>
      </c>
      <c r="E292" s="88" t="s">
        <v>619</v>
      </c>
      <c r="F292" s="88" t="s">
        <v>18</v>
      </c>
      <c r="G292" s="88" t="s">
        <v>19</v>
      </c>
      <c r="H292" s="63" t="str" cm="1">
        <f t="array" ref="H292">IF(A292&lt;&gt;"",_xlfn.XLOOKUP(_xlfn.NUMBERVALUE(A292),_xlfn.NUMBERVALUE(Inventários[Tombamento]),Inventários[Processo - localização específica]),"")</f>
        <v>Flotadores - compressores de ar e válvulas de drenagem Módulos 03/04</v>
      </c>
      <c r="I292" s="1" t="str" cm="1">
        <f t="array" ref="I292">_xlfn.XLOOKUP(_xlfn.NUMBERVALUE(Carga[[#This Row],[Tombamento]]),_xlfn.NUMBERVALUE(Inventários[Tombamento]),Inventários[Descrição resumida do bem],"(A) Atenção Bem Não cadastrado")</f>
        <v>VÁLVULA, TIPO BORBOLETA AWWA / EIXO LIVRE, DN 300MM, ACIONAMENTO ELÉTRICO</v>
      </c>
    </row>
    <row r="293" spans="1:9" ht="30" customHeight="1" x14ac:dyDescent="0.15">
      <c r="A293" s="88" t="s">
        <v>773</v>
      </c>
      <c r="B293" s="88" t="s">
        <v>1012</v>
      </c>
      <c r="C293" s="88" t="s">
        <v>618</v>
      </c>
      <c r="D293" s="88" t="s">
        <v>17</v>
      </c>
      <c r="E293" s="88" t="s">
        <v>619</v>
      </c>
      <c r="F293" s="88" t="s">
        <v>18</v>
      </c>
      <c r="G293" s="88" t="s">
        <v>19</v>
      </c>
      <c r="H293" s="63" t="str" cm="1">
        <f t="array" ref="H293">IF(A293&lt;&gt;"",_xlfn.XLOOKUP(_xlfn.NUMBERVALUE(A293),_xlfn.NUMBERVALUE(Inventários[Tombamento]),Inventários[Processo - localização específica]),"")</f>
        <v>Filtro 08 -  válvulas de ar, água filtrada, lavagem e drenagem</v>
      </c>
      <c r="I293" s="1" t="str" cm="1">
        <f t="array" ref="I293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294" spans="1:9" ht="30" customHeight="1" x14ac:dyDescent="0.15">
      <c r="A294" s="88" t="s">
        <v>774</v>
      </c>
      <c r="B294" s="88" t="s">
        <v>1012</v>
      </c>
      <c r="C294" s="88" t="s">
        <v>618</v>
      </c>
      <c r="D294" s="88" t="s">
        <v>17</v>
      </c>
      <c r="E294" s="88" t="s">
        <v>619</v>
      </c>
      <c r="F294" s="88" t="s">
        <v>18</v>
      </c>
      <c r="G294" s="88" t="s">
        <v>19</v>
      </c>
      <c r="H294" s="63" t="str" cm="1">
        <f t="array" ref="H294">IF(A294&lt;&gt;"",_xlfn.XLOOKUP(_xlfn.NUMBERVALUE(A294),_xlfn.NUMBERVALUE(Inventários[Tombamento]),Inventários[Processo - localização específica]),"")</f>
        <v>Filtro 08 -  válvulas de ar, água filtrada, lavagem e drenagem</v>
      </c>
      <c r="I294" s="1" t="str" cm="1">
        <f t="array" ref="I294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295" spans="1:9" ht="40.15" customHeight="1" x14ac:dyDescent="0.15">
      <c r="A295" s="88" t="s">
        <v>775</v>
      </c>
      <c r="B295" s="88" t="s">
        <v>1012</v>
      </c>
      <c r="C295" s="88" t="s">
        <v>618</v>
      </c>
      <c r="D295" s="88" t="s">
        <v>17</v>
      </c>
      <c r="E295" s="88" t="s">
        <v>619</v>
      </c>
      <c r="F295" s="88" t="s">
        <v>18</v>
      </c>
      <c r="G295" s="88" t="s">
        <v>19</v>
      </c>
      <c r="H295" s="63" t="str" cm="1">
        <f t="array" ref="H295">IF(A295&lt;&gt;"",_xlfn.XLOOKUP(_xlfn.NUMBERVALUE(A295),_xlfn.NUMBERVALUE(Inventários[Tombamento]),Inventários[Processo - localização específica]),"")</f>
        <v>Filtro 07 -  válvulas de ar, água filtrada, lavagem e drenagem</v>
      </c>
      <c r="I295" s="1" t="str" cm="1">
        <f t="array" ref="I295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296" spans="1:9" ht="40.15" customHeight="1" x14ac:dyDescent="0.15">
      <c r="A296" s="88" t="s">
        <v>776</v>
      </c>
      <c r="B296" s="88" t="s">
        <v>1012</v>
      </c>
      <c r="C296" s="88" t="s">
        <v>618</v>
      </c>
      <c r="D296" s="88" t="s">
        <v>17</v>
      </c>
      <c r="E296" s="88" t="s">
        <v>619</v>
      </c>
      <c r="F296" s="88" t="s">
        <v>18</v>
      </c>
      <c r="G296" s="88" t="s">
        <v>19</v>
      </c>
      <c r="H296" s="63" t="str" cm="1">
        <f t="array" ref="H296">IF(A296&lt;&gt;"",_xlfn.XLOOKUP(_xlfn.NUMBERVALUE(A296),_xlfn.NUMBERVALUE(Inventários[Tombamento]),Inventários[Processo - localização específica]),"")</f>
        <v>Filtro 07 -  válvulas de ar, água filtrada, lavagem e drenagem</v>
      </c>
      <c r="I296" s="1" t="str" cm="1">
        <f t="array" ref="I296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297" spans="1:9" ht="40.15" customHeight="1" x14ac:dyDescent="0.15">
      <c r="A297" s="88" t="s">
        <v>777</v>
      </c>
      <c r="B297" s="88" t="s">
        <v>1012</v>
      </c>
      <c r="C297" s="88" t="s">
        <v>618</v>
      </c>
      <c r="D297" s="88" t="s">
        <v>17</v>
      </c>
      <c r="E297" s="88" t="s">
        <v>619</v>
      </c>
      <c r="F297" s="88" t="s">
        <v>18</v>
      </c>
      <c r="G297" s="88" t="s">
        <v>19</v>
      </c>
      <c r="H297" s="63" t="str" cm="1">
        <f t="array" ref="H297">IF(A297&lt;&gt;"",_xlfn.XLOOKUP(_xlfn.NUMBERVALUE(A297),_xlfn.NUMBERVALUE(Inventários[Tombamento]),Inventários[Processo - localização específica]),"")</f>
        <v>Filtro 06 -  válvulas de ar, água filtrada, lavagem e drenagem</v>
      </c>
      <c r="I297" s="1" t="str" cm="1">
        <f t="array" ref="I297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298" spans="1:9" ht="40.15" customHeight="1" x14ac:dyDescent="0.15">
      <c r="A298" s="88" t="s">
        <v>778</v>
      </c>
      <c r="B298" s="88" t="s">
        <v>1012</v>
      </c>
      <c r="C298" s="88" t="s">
        <v>618</v>
      </c>
      <c r="D298" s="88" t="s">
        <v>17</v>
      </c>
      <c r="E298" s="88" t="s">
        <v>619</v>
      </c>
      <c r="F298" s="88" t="s">
        <v>18</v>
      </c>
      <c r="G298" s="88" t="s">
        <v>19</v>
      </c>
      <c r="H298" s="63" t="str" cm="1">
        <f t="array" ref="H298">IF(A298&lt;&gt;"",_xlfn.XLOOKUP(_xlfn.NUMBERVALUE(A298),_xlfn.NUMBERVALUE(Inventários[Tombamento]),Inventários[Processo - localização específica]),"")</f>
        <v>Filtro 06 -  válvulas de ar, água filtrada, lavagem e drenagem</v>
      </c>
      <c r="I298" s="1" t="str" cm="1">
        <f t="array" ref="I298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299" spans="1:9" ht="19.899999999999999" customHeight="1" x14ac:dyDescent="0.15">
      <c r="A299" s="88" t="s">
        <v>779</v>
      </c>
      <c r="B299" s="88" t="s">
        <v>1012</v>
      </c>
      <c r="C299" s="88" t="s">
        <v>618</v>
      </c>
      <c r="D299" s="88" t="s">
        <v>17</v>
      </c>
      <c r="E299" s="88" t="s">
        <v>619</v>
      </c>
      <c r="F299" s="88" t="s">
        <v>18</v>
      </c>
      <c r="G299" s="88" t="s">
        <v>19</v>
      </c>
      <c r="H299" s="63" t="str" cm="1">
        <f t="array" ref="H299">IF(A299&lt;&gt;"",_xlfn.XLOOKUP(_xlfn.NUMBERVALUE(A299),_xlfn.NUMBERVALUE(Inventários[Tombamento]),Inventários[Processo - localização específica]),"")</f>
        <v>Filtro 05 -  válvulas de ar, água filtrada, lavagem e drenagem</v>
      </c>
      <c r="I299" s="1" t="str" cm="1">
        <f t="array" ref="I299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300" spans="1:9" ht="19.899999999999999" customHeight="1" x14ac:dyDescent="0.15">
      <c r="A300" s="88" t="s">
        <v>780</v>
      </c>
      <c r="B300" s="88" t="s">
        <v>1012</v>
      </c>
      <c r="C300" s="88" t="s">
        <v>618</v>
      </c>
      <c r="D300" s="88" t="s">
        <v>17</v>
      </c>
      <c r="E300" s="88" t="s">
        <v>619</v>
      </c>
      <c r="F300" s="88" t="s">
        <v>18</v>
      </c>
      <c r="G300" s="88" t="s">
        <v>19</v>
      </c>
      <c r="H300" s="63" t="str" cm="1">
        <f t="array" ref="H300">IF(A300&lt;&gt;"",_xlfn.XLOOKUP(_xlfn.NUMBERVALUE(A300),_xlfn.NUMBERVALUE(Inventários[Tombamento]),Inventários[Processo - localização específica]),"")</f>
        <v>Filtro 05 -  válvulas de ar, água filtrada, lavagem e drenagem</v>
      </c>
      <c r="I300" s="1" t="str" cm="1">
        <f t="array" ref="I300">_xlfn.XLOOKUP(_xlfn.NUMBERVALUE(Carga[[#This Row],[Tombamento]]),_xlfn.NUMBERVALUE(Inventários[Tombamento]),Inventários[Descrição resumida do bem],"(A) Atenção Bem Não cadastrado")</f>
        <v>VÁLVULA DE GAVETA COM VOLANTE, DN 100MM, ACIONAMENTO ELÉTRICO</v>
      </c>
    </row>
    <row r="301" spans="1:9" ht="19.899999999999999" customHeight="1" x14ac:dyDescent="0.15">
      <c r="A301" s="88" t="s">
        <v>781</v>
      </c>
      <c r="B301" s="88" t="s">
        <v>1013</v>
      </c>
      <c r="C301" s="88" t="s">
        <v>618</v>
      </c>
      <c r="D301" s="88" t="s">
        <v>17</v>
      </c>
      <c r="E301" s="88" t="s">
        <v>619</v>
      </c>
      <c r="F301" s="88" t="s">
        <v>18</v>
      </c>
      <c r="G301" s="88" t="s">
        <v>19</v>
      </c>
      <c r="H301" s="63" t="str" cm="1">
        <f t="array" ref="H301">IF(A301&lt;&gt;"",_xlfn.XLOOKUP(_xlfn.NUMBERVALUE(A301),_xlfn.NUMBERVALUE(Inventários[Tombamento]),Inventários[Processo - localização específica]),"")</f>
        <v>Flotadores - elevatórias de água saturada Módulos 03/04</v>
      </c>
      <c r="I301" s="1" t="str" cm="1">
        <f t="array" ref="I301">_xlfn.XLOOKUP(_xlfn.NUMBERVALUE(Carga[[#This Row],[Tombamento]]),_xlfn.NUMBERVALUE(Inventários[Tombamento]),Inventários[Descrição resumida do bem],"(A) Atenção Bem Não cadastrado")</f>
        <v>VÁLVULA DE GAVETA COM VOLANTE, DN 200MM, ACIONAMENTO ELÉTRICO</v>
      </c>
    </row>
    <row r="302" spans="1:9" ht="19.899999999999999" customHeight="1" x14ac:dyDescent="0.15">
      <c r="A302" s="88" t="s">
        <v>782</v>
      </c>
      <c r="B302" s="88" t="s">
        <v>1013</v>
      </c>
      <c r="C302" s="88" t="s">
        <v>618</v>
      </c>
      <c r="D302" s="88" t="s">
        <v>17</v>
      </c>
      <c r="E302" s="88" t="s">
        <v>619</v>
      </c>
      <c r="F302" s="88" t="s">
        <v>18</v>
      </c>
      <c r="G302" s="88" t="s">
        <v>19</v>
      </c>
      <c r="H302" s="63" t="str" cm="1">
        <f t="array" ref="H302">IF(A302&lt;&gt;"",_xlfn.XLOOKUP(_xlfn.NUMBERVALUE(A302),_xlfn.NUMBERVALUE(Inventários[Tombamento]),Inventários[Processo - localização específica]),"")</f>
        <v>Flotadores - elevatórias de água saturada Módulos 03/04</v>
      </c>
      <c r="I302" s="1" t="str" cm="1">
        <f t="array" ref="I302">_xlfn.XLOOKUP(_xlfn.NUMBERVALUE(Carga[[#This Row],[Tombamento]]),_xlfn.NUMBERVALUE(Inventários[Tombamento]),Inventários[Descrição resumida do bem],"(A) Atenção Bem Não cadastrado")</f>
        <v>VÁLVULA DE GAVETA COM VOLANTE, DN 200MM, ACIONAMENTO ELÉTRICO</v>
      </c>
    </row>
    <row r="303" spans="1:9" ht="19.899999999999999" customHeight="1" x14ac:dyDescent="0.15">
      <c r="A303" s="88" t="s">
        <v>783</v>
      </c>
      <c r="B303" s="88" t="s">
        <v>1013</v>
      </c>
      <c r="C303" s="88" t="s">
        <v>618</v>
      </c>
      <c r="D303" s="88" t="s">
        <v>17</v>
      </c>
      <c r="E303" s="88" t="s">
        <v>619</v>
      </c>
      <c r="F303" s="88" t="s">
        <v>18</v>
      </c>
      <c r="G303" s="88" t="s">
        <v>19</v>
      </c>
      <c r="H303" s="63" t="str" cm="1">
        <f t="array" ref="H303">IF(A303&lt;&gt;"",_xlfn.XLOOKUP(_xlfn.NUMBERVALUE(A303),_xlfn.NUMBERVALUE(Inventários[Tombamento]),Inventários[Processo - localização específica]),"")</f>
        <v>Flotadores - elevatórias de água saturada Módulos 03/04</v>
      </c>
      <c r="I303" s="1" t="str" cm="1">
        <f t="array" ref="I303">_xlfn.XLOOKUP(_xlfn.NUMBERVALUE(Carga[[#This Row],[Tombamento]]),_xlfn.NUMBERVALUE(Inventários[Tombamento]),Inventários[Descrição resumida do bem],"(A) Atenção Bem Não cadastrado")</f>
        <v>VÁLVULA DE GAVETA COM VOLANTE, DN 200MM, ACIONAMENTO ELÉTRICO</v>
      </c>
    </row>
    <row r="304" spans="1:9" ht="19.899999999999999" customHeight="1" x14ac:dyDescent="0.15">
      <c r="A304" s="88" t="s">
        <v>784</v>
      </c>
      <c r="B304" s="88" t="s">
        <v>1013</v>
      </c>
      <c r="C304" s="88" t="s">
        <v>618</v>
      </c>
      <c r="D304" s="88" t="s">
        <v>17</v>
      </c>
      <c r="E304" s="88" t="s">
        <v>619</v>
      </c>
      <c r="F304" s="88" t="s">
        <v>18</v>
      </c>
      <c r="G304" s="88" t="s">
        <v>19</v>
      </c>
      <c r="H304" s="63" t="str" cm="1">
        <f t="array" ref="H304">IF(A304&lt;&gt;"",_xlfn.XLOOKUP(_xlfn.NUMBERVALUE(A304),_xlfn.NUMBERVALUE(Inventários[Tombamento]),Inventários[Processo - localização específica]),"")</f>
        <v>Flotadores - elevatórias de água saturada Módulos 03/04</v>
      </c>
      <c r="I304" s="1" t="str" cm="1">
        <f t="array" ref="I304">_xlfn.XLOOKUP(_xlfn.NUMBERVALUE(Carga[[#This Row],[Tombamento]]),_xlfn.NUMBERVALUE(Inventários[Tombamento]),Inventários[Descrição resumida do bem],"(A) Atenção Bem Não cadastrado")</f>
        <v>VÁLVULA DE GAVETA COM VOLANTE, DN 200MM, ACIONAMENTO ELÉTRICO</v>
      </c>
    </row>
    <row r="305" spans="1:9" ht="19.899999999999999" customHeight="1" x14ac:dyDescent="0.15">
      <c r="A305" s="88" t="s">
        <v>785</v>
      </c>
      <c r="B305" s="88" t="s">
        <v>1014</v>
      </c>
      <c r="C305" s="88" t="s">
        <v>618</v>
      </c>
      <c r="D305" s="88" t="s">
        <v>17</v>
      </c>
      <c r="E305" s="88" t="s">
        <v>619</v>
      </c>
      <c r="F305" s="88" t="s">
        <v>18</v>
      </c>
      <c r="G305" s="88" t="s">
        <v>19</v>
      </c>
      <c r="H305" s="63" t="str" cm="1">
        <f t="array" ref="H305">IF(A305&lt;&gt;"",_xlfn.XLOOKUP(_xlfn.NUMBERVALUE(A305),_xlfn.NUMBERVALUE(Inventários[Tombamento]),Inventários[Processo - localização específica]),"")</f>
        <v>Flotadores - compressores de ar e válvulas de drenagem Módulos 03/04</v>
      </c>
      <c r="I305" s="1" t="str" cm="1">
        <f t="array" ref="I305">_xlfn.XLOOKUP(_xlfn.NUMBERVALUE(Carga[[#This Row],[Tombamento]]),_xlfn.NUMBERVALUE(Inventários[Tombamento]),Inventários[Descrição resumida do bem],"(A) Atenção Bem Não cadastrado")</f>
        <v xml:space="preserve">TANQUE DE SATURAÇÃO, EM AÇO CARBONO, DIÂMETRO DE 1.600 MM, ALTURA CILÍNDRICA 1.000 MM, FABRICADO EM ASTM A-516 GR 70, PRESSÃO DE OPERAÇÃO MÁXIMA  DE 7 KG/CM² </v>
      </c>
    </row>
    <row r="306" spans="1:9" ht="19.899999999999999" customHeight="1" x14ac:dyDescent="0.15">
      <c r="A306" s="88" t="s">
        <v>786</v>
      </c>
      <c r="B306" s="88" t="s">
        <v>1014</v>
      </c>
      <c r="C306" s="88" t="s">
        <v>618</v>
      </c>
      <c r="D306" s="88" t="s">
        <v>17</v>
      </c>
      <c r="E306" s="88" t="s">
        <v>619</v>
      </c>
      <c r="F306" s="88" t="s">
        <v>18</v>
      </c>
      <c r="G306" s="88" t="s">
        <v>19</v>
      </c>
      <c r="H306" s="63" t="str" cm="1">
        <f t="array" ref="H306">IF(A306&lt;&gt;"",_xlfn.XLOOKUP(_xlfn.NUMBERVALUE(A306),_xlfn.NUMBERVALUE(Inventários[Tombamento]),Inventários[Processo - localização específica]),"")</f>
        <v>Flotadores - compressores de ar e válvulas de drenagem Módulos 03/04</v>
      </c>
      <c r="I306" s="1" t="str" cm="1">
        <f t="array" ref="I306">_xlfn.XLOOKUP(_xlfn.NUMBERVALUE(Carga[[#This Row],[Tombamento]]),_xlfn.NUMBERVALUE(Inventários[Tombamento]),Inventários[Descrição resumida do bem],"(A) Atenção Bem Não cadastrado")</f>
        <v xml:space="preserve">TANQUE DE SATURAÇÃO, EM AÇO CARBONO, DIÂMETRO DE 1.600 MM, ALTURA CILÍNDRICA 1.000 MM, FABRICADO EM ASTM A-516 GR 70, PRESSÃO DE OPERAÇÃO MÁXIMA  DE 7 KG/CM² </v>
      </c>
    </row>
    <row r="307" spans="1:9" ht="40.15" customHeight="1" x14ac:dyDescent="0.15">
      <c r="A307" s="88" t="s">
        <v>787</v>
      </c>
      <c r="B307" s="88" t="s">
        <v>1014</v>
      </c>
      <c r="C307" s="88" t="s">
        <v>618</v>
      </c>
      <c r="D307" s="88" t="s">
        <v>17</v>
      </c>
      <c r="E307" s="88" t="s">
        <v>619</v>
      </c>
      <c r="F307" s="88" t="s">
        <v>18</v>
      </c>
      <c r="G307" s="88" t="s">
        <v>19</v>
      </c>
      <c r="H307" s="63" t="str" cm="1">
        <f t="array" ref="H307">IF(A307&lt;&gt;"",_xlfn.XLOOKUP(_xlfn.NUMBERVALUE(A307),_xlfn.NUMBERVALUE(Inventários[Tombamento]),Inventários[Processo - localização específica]),"")</f>
        <v>Flotadores - compressores de ar e válvulas de drenagem Módulos 03/04</v>
      </c>
      <c r="I307" s="1" t="str" cm="1">
        <f t="array" ref="I307">_xlfn.XLOOKUP(_xlfn.NUMBERVALUE(Carga[[#This Row],[Tombamento]]),_xlfn.NUMBERVALUE(Inventários[Tombamento]),Inventários[Descrição resumida do bem],"(A) Atenção Bem Não cadastrado")</f>
        <v xml:space="preserve">TANQUE DE SATURAÇÃO, EM AÇO CARBONO, DIÂMETRO DE 1.600 MM, ALTURA CILÍNDRICA 1.000 MM, FABRICADO EM ASTM A-516 GR 70, PRESSÃO DE OPERAÇÃO MÁXIMA  DE 7 KG/CM² </v>
      </c>
    </row>
    <row r="308" spans="1:9" ht="40.15" customHeight="1" x14ac:dyDescent="0.15">
      <c r="A308" s="88" t="s">
        <v>788</v>
      </c>
      <c r="B308" s="88" t="s">
        <v>1014</v>
      </c>
      <c r="C308" s="88" t="s">
        <v>618</v>
      </c>
      <c r="D308" s="88" t="s">
        <v>17</v>
      </c>
      <c r="E308" s="88" t="s">
        <v>619</v>
      </c>
      <c r="F308" s="88" t="s">
        <v>18</v>
      </c>
      <c r="G308" s="88" t="s">
        <v>19</v>
      </c>
      <c r="H308" s="63" t="str" cm="1">
        <f t="array" ref="H308">IF(A308&lt;&gt;"",_xlfn.XLOOKUP(_xlfn.NUMBERVALUE(A308),_xlfn.NUMBERVALUE(Inventários[Tombamento]),Inventários[Processo - localização específica]),"")</f>
        <v>Flotadores - compressores de ar e válvulas de drenagem Módulos 03/04</v>
      </c>
      <c r="I308" s="1" t="str" cm="1">
        <f t="array" ref="I308">_xlfn.XLOOKUP(_xlfn.NUMBERVALUE(Carga[[#This Row],[Tombamento]]),_xlfn.NUMBERVALUE(Inventários[Tombamento]),Inventários[Descrição resumida do bem],"(A) Atenção Bem Não cadastrado")</f>
        <v xml:space="preserve">TANQUE DE SATURAÇÃO, EM AÇO CARBONO, DIÂMETRO DE 1.600 MM, ALTURA CILÍNDRICA 1.000 MM, FABRICADO EM ASTM A-516 GR 70, PRESSÃO DE OPERAÇÃO MÁXIMA  DE 7 KG/CM² </v>
      </c>
    </row>
    <row r="309" spans="1:9" ht="40.15" customHeight="1" x14ac:dyDescent="0.15">
      <c r="A309" s="88" t="s">
        <v>789</v>
      </c>
      <c r="B309" s="88" t="s">
        <v>31</v>
      </c>
      <c r="C309" s="88" t="s">
        <v>618</v>
      </c>
      <c r="D309" s="88" t="s">
        <v>17</v>
      </c>
      <c r="E309" s="88" t="s">
        <v>619</v>
      </c>
      <c r="F309" s="88" t="s">
        <v>18</v>
      </c>
      <c r="G309" s="88" t="s">
        <v>19</v>
      </c>
      <c r="H309" s="63" t="str" cm="1">
        <f t="array" ref="H309">IF(A309&lt;&gt;"",_xlfn.XLOOKUP(_xlfn.NUMBERVALUE(A309),_xlfn.NUMBERVALUE(Inventários[Tombamento]),Inventários[Processo - localização específica]),"")</f>
        <v>RAP - caixa de manobras - distribuição entre Caesb e Saneago</v>
      </c>
      <c r="I309" s="1" t="str" cm="1">
        <f t="array" ref="I309">_xlfn.XLOOKUP(_xlfn.NUMBERVALUE(Carga[[#This Row],[Tombamento]]),_xlfn.NUMBERVALUE(Inventários[Tombamento]),Inventários[Descrição resumida do bem],"(A) Atenção Bem Não cadastrado")</f>
        <v>RESERVATÓRIOS - DF VALVULAS BORBOLETA BI EXCENTRICA, DN 2000 PN 10 C/ ATUADORES ELÉTRICOS INTELIGENTES - MARCA : VCW/VBS</v>
      </c>
    </row>
    <row r="310" spans="1:9" ht="40.15" customHeight="1" x14ac:dyDescent="0.15">
      <c r="A310" s="88" t="s">
        <v>790</v>
      </c>
      <c r="B310" s="88" t="s">
        <v>32</v>
      </c>
      <c r="C310" s="88" t="s">
        <v>618</v>
      </c>
      <c r="D310" s="88" t="s">
        <v>17</v>
      </c>
      <c r="E310" s="88" t="s">
        <v>619</v>
      </c>
      <c r="F310" s="88" t="s">
        <v>18</v>
      </c>
      <c r="G310" s="88" t="s">
        <v>19</v>
      </c>
      <c r="H310" s="63" t="str" cm="1">
        <f t="array" ref="H310">IF(A310&lt;&gt;"",_xlfn.XLOOKUP(_xlfn.NUMBERVALUE(A310),_xlfn.NUMBERVALUE(Inventários[Tombamento]),Inventários[Processo - localização específica]),"")</f>
        <v>RAP - caixa de manobras - distribuição entre Caesb e Saneago</v>
      </c>
      <c r="I310" s="1" t="str" cm="1">
        <f t="array" ref="I310">_xlfn.XLOOKUP(_xlfn.NUMBERVALUE(Carga[[#This Row],[Tombamento]]),_xlfn.NUMBERVALUE(Inventários[Tombamento]),Inventários[Descrição resumida do bem],"(A) Atenção Bem Não cadastrado")</f>
        <v>RESERVATÓRIOS - DF VALVULA BORBOLETA BI EXCENTRICA, DN 2000 PN 10 C/ ATUADORES ELÉTRICOS INTELIGENTES - MARCA : VCW/VBS</v>
      </c>
    </row>
    <row r="311" spans="1:9" ht="30" customHeight="1" x14ac:dyDescent="0.15">
      <c r="A311" s="88" t="s">
        <v>791</v>
      </c>
      <c r="B311" s="88" t="s">
        <v>33</v>
      </c>
      <c r="C311" s="88" t="s">
        <v>618</v>
      </c>
      <c r="D311" s="88" t="s">
        <v>17</v>
      </c>
      <c r="E311" s="88" t="s">
        <v>619</v>
      </c>
      <c r="F311" s="88" t="s">
        <v>18</v>
      </c>
      <c r="G311" s="88" t="s">
        <v>19</v>
      </c>
      <c r="H311" s="63" t="str" cm="1">
        <f t="array" ref="H311">IF(A311&lt;&gt;"",_xlfn.XLOOKUP(_xlfn.NUMBERVALUE(A311),_xlfn.NUMBERVALUE(Inventários[Tombamento]),Inventários[Processo - localização específica]),"")</f>
        <v>RAP - válvulas de água tratada - entrada e saída</v>
      </c>
      <c r="I311" s="1" t="str" cm="1">
        <f t="array" ref="I311">_xlfn.XLOOKUP(_xlfn.NUMBERVALUE(Carga[[#This Row],[Tombamento]]),_xlfn.NUMBERVALUE(Inventários[Tombamento]),Inventários[Descrição resumida do bem],"(A) Atenção Bem Não cadastrado")</f>
        <v>RESERVATÓRIOS - DF VALVULAS BORBOLETA BI EXCENTRICA, DN 1200 PN 10 C/ ATUADORES ELÉTRICOS INTELIGENTES - MARCA: VCW/VBS</v>
      </c>
    </row>
    <row r="312" spans="1:9" ht="40.15" customHeight="1" x14ac:dyDescent="0.15">
      <c r="A312" s="88" t="s">
        <v>792</v>
      </c>
      <c r="B312" s="88" t="s">
        <v>34</v>
      </c>
      <c r="C312" s="88" t="s">
        <v>618</v>
      </c>
      <c r="D312" s="88" t="s">
        <v>17</v>
      </c>
      <c r="E312" s="88" t="s">
        <v>619</v>
      </c>
      <c r="F312" s="88" t="s">
        <v>18</v>
      </c>
      <c r="G312" s="88" t="s">
        <v>19</v>
      </c>
      <c r="H312" s="63" t="str" cm="1">
        <f t="array" ref="H312">IF(A312&lt;&gt;"",_xlfn.XLOOKUP(_xlfn.NUMBERVALUE(A312),_xlfn.NUMBERVALUE(Inventários[Tombamento]),Inventários[Processo - localização específica]),"")</f>
        <v>RAP - válvulas de água tratada - entrada e saída</v>
      </c>
      <c r="I312" s="1" t="str" cm="1">
        <f t="array" ref="I312">_xlfn.XLOOKUP(_xlfn.NUMBERVALUE(Carga[[#This Row],[Tombamento]]),_xlfn.NUMBERVALUE(Inventários[Tombamento]),Inventários[Descrição resumida do bem],"(A) Atenção Bem Não cadastrado")</f>
        <v xml:space="preserve">RESERVATÓRIOS - DF VALVULA BORBOLETA BI EXCENTRICA, DN 1200 PN 10 C/ ATUADORES ELÉTRICOS INTELIGENTES - MARCA : VCW/VBS </v>
      </c>
    </row>
    <row r="313" spans="1:9" ht="40.15" customHeight="1" x14ac:dyDescent="0.15">
      <c r="A313" s="88" t="s">
        <v>793</v>
      </c>
      <c r="B313" s="88" t="s">
        <v>35</v>
      </c>
      <c r="C313" s="88" t="s">
        <v>618</v>
      </c>
      <c r="D313" s="88" t="s">
        <v>17</v>
      </c>
      <c r="E313" s="88" t="s">
        <v>619</v>
      </c>
      <c r="F313" s="88" t="s">
        <v>18</v>
      </c>
      <c r="G313" s="88" t="s">
        <v>19</v>
      </c>
      <c r="H313" s="63" t="str" cm="1">
        <f t="array" ref="H313">IF(A313&lt;&gt;"",_xlfn.XLOOKUP(_xlfn.NUMBERVALUE(A313),_xlfn.NUMBERVALUE(Inventários[Tombamento]),Inventários[Processo - localização específica]),"")</f>
        <v>RAP - medidores de nível</v>
      </c>
      <c r="I313" s="1" t="str" cm="1">
        <f t="array" ref="I313">_xlfn.XLOOKUP(_xlfn.NUMBERVALUE(Carga[[#This Row],[Tombamento]]),_xlfn.NUMBERVALUE(Inventários[Tombamento]),Inventários[Descrição resumida do bem],"(A) Atenção Bem Não cadastrado")</f>
        <v>RESERVATÓRIOS - DF SISTEMA COMPLETO DE MEDIÇÃO E CONTROLE DE NÍVEL ULTRASSÔNICO (SENSOR E CONVERSOR)</v>
      </c>
    </row>
    <row r="314" spans="1:9" ht="40.15" customHeight="1" x14ac:dyDescent="0.15">
      <c r="A314" s="88" t="s">
        <v>794</v>
      </c>
      <c r="B314" s="88" t="s">
        <v>35</v>
      </c>
      <c r="C314" s="88" t="s">
        <v>618</v>
      </c>
      <c r="D314" s="88" t="s">
        <v>17</v>
      </c>
      <c r="E314" s="88" t="s">
        <v>619</v>
      </c>
      <c r="F314" s="88" t="s">
        <v>18</v>
      </c>
      <c r="G314" s="88" t="s">
        <v>19</v>
      </c>
      <c r="H314" s="63" t="str" cm="1">
        <f t="array" ref="H314">IF(A314&lt;&gt;"",_xlfn.XLOOKUP(_xlfn.NUMBERVALUE(A314),_xlfn.NUMBERVALUE(Inventários[Tombamento]),Inventários[Processo - localização específica]),"")</f>
        <v>RAP - medidores de nível</v>
      </c>
      <c r="I314" s="1" t="str" cm="1">
        <f t="array" ref="I314">_xlfn.XLOOKUP(_xlfn.NUMBERVALUE(Carga[[#This Row],[Tombamento]]),_xlfn.NUMBERVALUE(Inventários[Tombamento]),Inventários[Descrição resumida do bem],"(A) Atenção Bem Não cadastrado")</f>
        <v>RESERVATÓRIOS - DF SISTEMA COMPLETO DE MEDIÇÃO E CONTROLE DE NÍVEL ULTRASSÔNICO (SENSOR E CONVERSOR)</v>
      </c>
    </row>
    <row r="315" spans="1:9" ht="40.15" customHeight="1" x14ac:dyDescent="0.15">
      <c r="A315" s="88" t="s">
        <v>795</v>
      </c>
      <c r="B315" s="88" t="s">
        <v>142</v>
      </c>
      <c r="C315" s="88" t="s">
        <v>618</v>
      </c>
      <c r="D315" s="88" t="s">
        <v>17</v>
      </c>
      <c r="E315" s="88" t="s">
        <v>619</v>
      </c>
      <c r="F315" s="88" t="s">
        <v>18</v>
      </c>
      <c r="G315" s="88" t="s">
        <v>19</v>
      </c>
      <c r="H315" s="63" t="str" cm="1">
        <f t="array" ref="H315">IF(A315&lt;&gt;"",_xlfn.XLOOKUP(_xlfn.NUMBERVALUE(A315),_xlfn.NUMBERVALUE(Inventários[Tombamento]),Inventários[Processo - localização específica]),"")</f>
        <v>Cloro - elevatórias de injeção de cloro</v>
      </c>
      <c r="I315" s="1" t="str" cm="1">
        <f t="array" ref="I315">_xlfn.XLOOKUP(_xlfn.NUMBERVALUE(Carga[[#This Row],[Tombamento]]),_xlfn.NUMBERVALUE(Inventários[Tombamento]),Inventários[Descrição resumida do bem],"(A) Atenção Bem Não cadastrado")</f>
        <v>CONJUNTO MOTOBOMBA CENTRÍFUGA DE EIXO HORIZONTAL, PARA INJETOR DE CLORO</v>
      </c>
    </row>
    <row r="316" spans="1:9" ht="40.15" customHeight="1" x14ac:dyDescent="0.15">
      <c r="A316" s="88" t="s">
        <v>796</v>
      </c>
      <c r="B316" s="88" t="s">
        <v>142</v>
      </c>
      <c r="C316" s="88" t="s">
        <v>618</v>
      </c>
      <c r="D316" s="88" t="s">
        <v>17</v>
      </c>
      <c r="E316" s="88" t="s">
        <v>619</v>
      </c>
      <c r="F316" s="88" t="s">
        <v>18</v>
      </c>
      <c r="G316" s="88" t="s">
        <v>19</v>
      </c>
      <c r="H316" s="63" t="str" cm="1">
        <f t="array" ref="H316">IF(A316&lt;&gt;"",_xlfn.XLOOKUP(_xlfn.NUMBERVALUE(A316),_xlfn.NUMBERVALUE(Inventários[Tombamento]),Inventários[Processo - localização específica]),"")</f>
        <v>Cloro - elevatórias de injeção de cloro</v>
      </c>
      <c r="I316" s="1" t="str" cm="1">
        <f t="array" ref="I316">_xlfn.XLOOKUP(_xlfn.NUMBERVALUE(Carga[[#This Row],[Tombamento]]),_xlfn.NUMBERVALUE(Inventários[Tombamento]),Inventários[Descrição resumida do bem],"(A) Atenção Bem Não cadastrado")</f>
        <v>CONJUNTO MOTOBOMBA CENTRÍFUGA DE EIXO HORIZONTAL, PARA INJETOR DE CLORO</v>
      </c>
    </row>
    <row r="317" spans="1:9" ht="40.15" customHeight="1" x14ac:dyDescent="0.15">
      <c r="A317" s="88" t="s">
        <v>797</v>
      </c>
      <c r="B317" s="88" t="s">
        <v>1015</v>
      </c>
      <c r="C317" s="88" t="s">
        <v>618</v>
      </c>
      <c r="D317" s="88" t="s">
        <v>17</v>
      </c>
      <c r="E317" s="88" t="s">
        <v>619</v>
      </c>
      <c r="F317" s="88" t="s">
        <v>18</v>
      </c>
      <c r="G317" s="88" t="s">
        <v>19</v>
      </c>
      <c r="H317" s="63" t="str" cm="1">
        <f t="array" ref="H317">IF(A317&lt;&gt;"",_xlfn.XLOOKUP(_xlfn.NUMBERVALUE(A317),_xlfn.NUMBERVALUE(Inventários[Tombamento]),Inventários[Processo - localização específica]),"")</f>
        <v>Flotadores - compressores de ar e válvulas de drenagem Módulos 01/02</v>
      </c>
      <c r="I317" s="1" t="str" cm="1">
        <f t="array" ref="I317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300 MM)</v>
      </c>
    </row>
    <row r="318" spans="1:9" ht="40.15" customHeight="1" x14ac:dyDescent="0.15">
      <c r="A318" s="88" t="s">
        <v>798</v>
      </c>
      <c r="B318" s="88" t="s">
        <v>1015</v>
      </c>
      <c r="C318" s="88" t="s">
        <v>618</v>
      </c>
      <c r="D318" s="88" t="s">
        <v>17</v>
      </c>
      <c r="E318" s="88" t="s">
        <v>619</v>
      </c>
      <c r="F318" s="88" t="s">
        <v>18</v>
      </c>
      <c r="G318" s="88" t="s">
        <v>19</v>
      </c>
      <c r="H318" s="63" t="str" cm="1">
        <f t="array" ref="H318">IF(A318&lt;&gt;"",_xlfn.XLOOKUP(_xlfn.NUMBERVALUE(A318),_xlfn.NUMBERVALUE(Inventários[Tombamento]),Inventários[Processo - localização específica]),"")</f>
        <v>Flotadores - compressores de ar e válvulas de drenagem Módulos 01/02</v>
      </c>
      <c r="I318" s="1" t="str" cm="1">
        <f t="array" ref="I318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300 MM)</v>
      </c>
    </row>
    <row r="319" spans="1:9" ht="40.15" customHeight="1" x14ac:dyDescent="0.15">
      <c r="A319" s="88" t="s">
        <v>799</v>
      </c>
      <c r="B319" s="88" t="s">
        <v>1015</v>
      </c>
      <c r="C319" s="88" t="s">
        <v>618</v>
      </c>
      <c r="D319" s="88" t="s">
        <v>17</v>
      </c>
      <c r="E319" s="88" t="s">
        <v>619</v>
      </c>
      <c r="F319" s="88" t="s">
        <v>18</v>
      </c>
      <c r="G319" s="88" t="s">
        <v>19</v>
      </c>
      <c r="H319" s="63" t="str" cm="1">
        <f t="array" ref="H319">IF(A319&lt;&gt;"",_xlfn.XLOOKUP(_xlfn.NUMBERVALUE(A319),_xlfn.NUMBERVALUE(Inventários[Tombamento]),Inventários[Processo - localização específica]),"")</f>
        <v>Flotadores - compressores de ar e válvulas de drenagem Módulos 01/02</v>
      </c>
      <c r="I319" s="1" t="str" cm="1">
        <f t="array" ref="I319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300 MM)</v>
      </c>
    </row>
    <row r="320" spans="1:9" ht="40.15" customHeight="1" x14ac:dyDescent="0.15">
      <c r="A320" s="88" t="s">
        <v>800</v>
      </c>
      <c r="B320" s="88" t="s">
        <v>1015</v>
      </c>
      <c r="C320" s="88" t="s">
        <v>618</v>
      </c>
      <c r="D320" s="88" t="s">
        <v>17</v>
      </c>
      <c r="E320" s="88" t="s">
        <v>619</v>
      </c>
      <c r="F320" s="88" t="s">
        <v>18</v>
      </c>
      <c r="G320" s="88" t="s">
        <v>19</v>
      </c>
      <c r="H320" s="63" t="str" cm="1">
        <f t="array" ref="H320">IF(A320&lt;&gt;"",_xlfn.XLOOKUP(_xlfn.NUMBERVALUE(A320),_xlfn.NUMBERVALUE(Inventários[Tombamento]),Inventários[Processo - localização específica]),"")</f>
        <v>Flotadores - compressores de ar e válvulas de drenagem Módulos 01/02</v>
      </c>
      <c r="I320" s="1" t="str" cm="1">
        <f t="array" ref="I320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300 MM)</v>
      </c>
    </row>
    <row r="321" spans="1:9" ht="40.15" customHeight="1" x14ac:dyDescent="0.15">
      <c r="A321" s="88" t="s">
        <v>801</v>
      </c>
      <c r="B321" s="88" t="s">
        <v>144</v>
      </c>
      <c r="C321" s="88" t="s">
        <v>618</v>
      </c>
      <c r="D321" s="88" t="s">
        <v>17</v>
      </c>
      <c r="E321" s="88" t="s">
        <v>619</v>
      </c>
      <c r="F321" s="88" t="s">
        <v>18</v>
      </c>
      <c r="G321" s="88" t="s">
        <v>19</v>
      </c>
      <c r="H321" s="63" t="str" cm="1">
        <f t="array" ref="H321">IF(A321&lt;&gt;"",_xlfn.XLOOKUP(_xlfn.NUMBERVALUE(A321),_xlfn.NUMBERVALUE(Inventários[Tombamento]),Inventários[Processo - localização específica]),"")</f>
        <v>Filtro 01 - válvulas de ar, água filtrada, lavagem e drenagem</v>
      </c>
      <c r="I321" s="1" t="str" cm="1">
        <f t="array" ref="I321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MM).</v>
      </c>
    </row>
    <row r="322" spans="1:9" ht="40.15" customHeight="1" x14ac:dyDescent="0.15">
      <c r="A322" s="88" t="s">
        <v>802</v>
      </c>
      <c r="B322" s="88" t="s">
        <v>1016</v>
      </c>
      <c r="C322" s="88" t="s">
        <v>618</v>
      </c>
      <c r="D322" s="88" t="s">
        <v>17</v>
      </c>
      <c r="E322" s="88" t="s">
        <v>619</v>
      </c>
      <c r="F322" s="88" t="s">
        <v>18</v>
      </c>
      <c r="G322" s="88" t="s">
        <v>19</v>
      </c>
      <c r="H322" s="63" t="str" cm="1">
        <f t="array" ref="H322">IF(A322&lt;&gt;"",_xlfn.XLOOKUP(_xlfn.NUMBERVALUE(A322),_xlfn.NUMBERVALUE(Inventários[Tombamento]),Inventários[Processo - localização específica]),"")</f>
        <v>Filtro 01 - válvulas de ar, água filtrada, lavagem e drenagem</v>
      </c>
      <c r="I322" s="1" t="str" cm="1">
        <f t="array" ref="I322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23" spans="1:9" ht="40.15" customHeight="1" x14ac:dyDescent="0.15">
      <c r="A323" s="88" t="s">
        <v>803</v>
      </c>
      <c r="B323" s="88" t="s">
        <v>1016</v>
      </c>
      <c r="C323" s="88" t="s">
        <v>618</v>
      </c>
      <c r="D323" s="88" t="s">
        <v>17</v>
      </c>
      <c r="E323" s="88" t="s">
        <v>619</v>
      </c>
      <c r="F323" s="88" t="s">
        <v>18</v>
      </c>
      <c r="G323" s="88" t="s">
        <v>19</v>
      </c>
      <c r="H323" s="63" t="str" cm="1">
        <f t="array" ref="H323">IF(A323&lt;&gt;"",_xlfn.XLOOKUP(_xlfn.NUMBERVALUE(A323),_xlfn.NUMBERVALUE(Inventários[Tombamento]),Inventários[Processo - localização específica]),"")</f>
        <v>Filtro 01 - válvulas de ar, água filtrada, lavagem e drenagem</v>
      </c>
      <c r="I323" s="1" t="str" cm="1">
        <f t="array" ref="I323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24" spans="1:9" ht="40.15" customHeight="1" x14ac:dyDescent="0.15">
      <c r="A324" s="88" t="s">
        <v>804</v>
      </c>
      <c r="B324" s="88" t="s">
        <v>1016</v>
      </c>
      <c r="C324" s="88" t="s">
        <v>618</v>
      </c>
      <c r="D324" s="88" t="s">
        <v>17</v>
      </c>
      <c r="E324" s="88" t="s">
        <v>619</v>
      </c>
      <c r="F324" s="88" t="s">
        <v>18</v>
      </c>
      <c r="G324" s="88" t="s">
        <v>19</v>
      </c>
      <c r="H324" s="63" t="str" cm="1">
        <f t="array" ref="H324">IF(A324&lt;&gt;"",_xlfn.XLOOKUP(_xlfn.NUMBERVALUE(A324),_xlfn.NUMBERVALUE(Inventários[Tombamento]),Inventários[Processo - localização específica]),"")</f>
        <v>Filtro 01 - válvulas de ar, água filtrada, lavagem e drenagem</v>
      </c>
      <c r="I324" s="1" t="str" cm="1">
        <f t="array" ref="I324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25" spans="1:9" ht="40.15" customHeight="1" x14ac:dyDescent="0.15">
      <c r="A325" s="88" t="s">
        <v>805</v>
      </c>
      <c r="B325" s="88" t="s">
        <v>1016</v>
      </c>
      <c r="C325" s="88" t="s">
        <v>618</v>
      </c>
      <c r="D325" s="88" t="s">
        <v>17</v>
      </c>
      <c r="E325" s="88" t="s">
        <v>619</v>
      </c>
      <c r="F325" s="88" t="s">
        <v>18</v>
      </c>
      <c r="G325" s="88" t="s">
        <v>19</v>
      </c>
      <c r="H325" s="63" t="str" cm="1">
        <f t="array" ref="H325">IF(A325&lt;&gt;"",_xlfn.XLOOKUP(_xlfn.NUMBERVALUE(A325),_xlfn.NUMBERVALUE(Inventários[Tombamento]),Inventários[Processo - localização específica]),"")</f>
        <v>Filtro 02 -  válvulas de ar, água filtrada, lavagem e drenagem</v>
      </c>
      <c r="I325" s="1" t="str" cm="1">
        <f t="array" ref="I325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26" spans="1:9" ht="40.15" customHeight="1" x14ac:dyDescent="0.15">
      <c r="A326" s="88" t="s">
        <v>806</v>
      </c>
      <c r="B326" s="88" t="s">
        <v>1016</v>
      </c>
      <c r="C326" s="88" t="s">
        <v>618</v>
      </c>
      <c r="D326" s="88" t="s">
        <v>17</v>
      </c>
      <c r="E326" s="88" t="s">
        <v>619</v>
      </c>
      <c r="F326" s="88" t="s">
        <v>18</v>
      </c>
      <c r="G326" s="88" t="s">
        <v>19</v>
      </c>
      <c r="H326" s="63" t="str" cm="1">
        <f t="array" ref="H326">IF(A326&lt;&gt;"",_xlfn.XLOOKUP(_xlfn.NUMBERVALUE(A326),_xlfn.NUMBERVALUE(Inventários[Tombamento]),Inventários[Processo - localização específica]),"")</f>
        <v>Filtro 02 -  válvulas de ar, água filtrada, lavagem e drenagem</v>
      </c>
      <c r="I326" s="1" t="str" cm="1">
        <f t="array" ref="I326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27" spans="1:9" ht="30" customHeight="1" x14ac:dyDescent="0.15">
      <c r="A327" s="88" t="s">
        <v>807</v>
      </c>
      <c r="B327" s="88" t="s">
        <v>1016</v>
      </c>
      <c r="C327" s="88" t="s">
        <v>618</v>
      </c>
      <c r="D327" s="88" t="s">
        <v>17</v>
      </c>
      <c r="E327" s="88" t="s">
        <v>619</v>
      </c>
      <c r="F327" s="88" t="s">
        <v>18</v>
      </c>
      <c r="G327" s="88" t="s">
        <v>19</v>
      </c>
      <c r="H327" s="63" t="str" cm="1">
        <f t="array" ref="H327">IF(A327&lt;&gt;"",_xlfn.XLOOKUP(_xlfn.NUMBERVALUE(A327),_xlfn.NUMBERVALUE(Inventários[Tombamento]),Inventários[Processo - localização específica]),"")</f>
        <v>Filtro 02 -  válvulas de ar, água filtrada, lavagem e drenagem</v>
      </c>
      <c r="I327" s="1" t="str" cm="1">
        <f t="array" ref="I327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28" spans="1:9" ht="30" customHeight="1" x14ac:dyDescent="0.15">
      <c r="A328" s="88" t="s">
        <v>808</v>
      </c>
      <c r="B328" s="88" t="s">
        <v>1016</v>
      </c>
      <c r="C328" s="88" t="s">
        <v>618</v>
      </c>
      <c r="D328" s="88" t="s">
        <v>17</v>
      </c>
      <c r="E328" s="88" t="s">
        <v>619</v>
      </c>
      <c r="F328" s="88" t="s">
        <v>18</v>
      </c>
      <c r="G328" s="88" t="s">
        <v>19</v>
      </c>
      <c r="H328" s="63" t="str" cm="1">
        <f t="array" ref="H328">IF(A328&lt;&gt;"",_xlfn.XLOOKUP(_xlfn.NUMBERVALUE(A328),_xlfn.NUMBERVALUE(Inventários[Tombamento]),Inventários[Processo - localização específica]),"")</f>
        <v>Filtro 02 -  válvulas de ar, água filtrada, lavagem e drenagem</v>
      </c>
      <c r="I328" s="1" t="str" cm="1">
        <f t="array" ref="I328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29" spans="1:9" ht="30" customHeight="1" x14ac:dyDescent="0.15">
      <c r="A329" s="88" t="s">
        <v>809</v>
      </c>
      <c r="B329" s="88" t="s">
        <v>1016</v>
      </c>
      <c r="C329" s="88" t="s">
        <v>618</v>
      </c>
      <c r="D329" s="88" t="s">
        <v>17</v>
      </c>
      <c r="E329" s="88" t="s">
        <v>619</v>
      </c>
      <c r="F329" s="88" t="s">
        <v>18</v>
      </c>
      <c r="G329" s="88" t="s">
        <v>19</v>
      </c>
      <c r="H329" s="63" t="str" cm="1">
        <f t="array" ref="H329">IF(A329&lt;&gt;"",_xlfn.XLOOKUP(_xlfn.NUMBERVALUE(A329),_xlfn.NUMBERVALUE(Inventários[Tombamento]),Inventários[Processo - localização específica]),"")</f>
        <v>Filtro 03 -  válvulas de ar, água filtrada, lavagem e drenagem</v>
      </c>
      <c r="I329" s="1" t="str" cm="1">
        <f t="array" ref="I329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0" spans="1:9" ht="30" customHeight="1" x14ac:dyDescent="0.15">
      <c r="A330" s="88" t="s">
        <v>810</v>
      </c>
      <c r="B330" s="88" t="s">
        <v>1016</v>
      </c>
      <c r="C330" s="88" t="s">
        <v>618</v>
      </c>
      <c r="D330" s="88" t="s">
        <v>17</v>
      </c>
      <c r="E330" s="88" t="s">
        <v>619</v>
      </c>
      <c r="F330" s="88" t="s">
        <v>18</v>
      </c>
      <c r="G330" s="88" t="s">
        <v>19</v>
      </c>
      <c r="H330" s="63" t="str" cm="1">
        <f t="array" ref="H330">IF(A330&lt;&gt;"",_xlfn.XLOOKUP(_xlfn.NUMBERVALUE(A330),_xlfn.NUMBERVALUE(Inventários[Tombamento]),Inventários[Processo - localização específica]),"")</f>
        <v>Filtro 03 -  válvulas de ar, água filtrada, lavagem e drenagem</v>
      </c>
      <c r="I330" s="1" t="str" cm="1">
        <f t="array" ref="I330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1" spans="1:9" ht="30" customHeight="1" x14ac:dyDescent="0.15">
      <c r="A331" s="88" t="s">
        <v>811</v>
      </c>
      <c r="B331" s="88" t="s">
        <v>1016</v>
      </c>
      <c r="C331" s="88" t="s">
        <v>618</v>
      </c>
      <c r="D331" s="88" t="s">
        <v>17</v>
      </c>
      <c r="E331" s="88" t="s">
        <v>619</v>
      </c>
      <c r="F331" s="88" t="s">
        <v>18</v>
      </c>
      <c r="G331" s="88" t="s">
        <v>19</v>
      </c>
      <c r="H331" s="63" t="str" cm="1">
        <f t="array" ref="H331">IF(A331&lt;&gt;"",_xlfn.XLOOKUP(_xlfn.NUMBERVALUE(A331),_xlfn.NUMBERVALUE(Inventários[Tombamento]),Inventários[Processo - localização específica]),"")</f>
        <v>Filtro 03 -  válvulas de ar, água filtrada, lavagem e drenagem</v>
      </c>
      <c r="I331" s="1" t="str" cm="1">
        <f t="array" ref="I331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2" spans="1:9" ht="30" customHeight="1" x14ac:dyDescent="0.15">
      <c r="A332" s="88" t="s">
        <v>812</v>
      </c>
      <c r="B332" s="88" t="s">
        <v>1016</v>
      </c>
      <c r="C332" s="88" t="s">
        <v>618</v>
      </c>
      <c r="D332" s="88" t="s">
        <v>17</v>
      </c>
      <c r="E332" s="88" t="s">
        <v>619</v>
      </c>
      <c r="F332" s="88" t="s">
        <v>18</v>
      </c>
      <c r="G332" s="88" t="s">
        <v>19</v>
      </c>
      <c r="H332" s="63" t="str" cm="1">
        <f t="array" ref="H332">IF(A332&lt;&gt;"",_xlfn.XLOOKUP(_xlfn.NUMBERVALUE(A332),_xlfn.NUMBERVALUE(Inventários[Tombamento]),Inventários[Processo - localização específica]),"")</f>
        <v>Filtro 03 -  válvulas de ar, água filtrada, lavagem e drenagem</v>
      </c>
      <c r="I332" s="1" t="str" cm="1">
        <f t="array" ref="I332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3" spans="1:9" ht="30" customHeight="1" x14ac:dyDescent="0.15">
      <c r="A333" s="88" t="s">
        <v>813</v>
      </c>
      <c r="B333" s="88" t="s">
        <v>1016</v>
      </c>
      <c r="C333" s="88" t="s">
        <v>618</v>
      </c>
      <c r="D333" s="88" t="s">
        <v>17</v>
      </c>
      <c r="E333" s="88" t="s">
        <v>619</v>
      </c>
      <c r="F333" s="88" t="s">
        <v>18</v>
      </c>
      <c r="G333" s="88" t="s">
        <v>19</v>
      </c>
      <c r="H333" s="63" t="str" cm="1">
        <f t="array" ref="H333">IF(A333&lt;&gt;"",_xlfn.XLOOKUP(_xlfn.NUMBERVALUE(A333),_xlfn.NUMBERVALUE(Inventários[Tombamento]),Inventários[Processo - localização específica]),"")</f>
        <v>Filtro 04 -  válvulas de ar, água filtrada, lavagem e drenagem</v>
      </c>
      <c r="I333" s="1" t="str" cm="1">
        <f t="array" ref="I333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4" spans="1:9" ht="30" customHeight="1" x14ac:dyDescent="0.15">
      <c r="A334" s="88" t="s">
        <v>814</v>
      </c>
      <c r="B334" s="88" t="s">
        <v>1016</v>
      </c>
      <c r="C334" s="88" t="s">
        <v>618</v>
      </c>
      <c r="D334" s="88" t="s">
        <v>17</v>
      </c>
      <c r="E334" s="88" t="s">
        <v>619</v>
      </c>
      <c r="F334" s="88" t="s">
        <v>18</v>
      </c>
      <c r="G334" s="88" t="s">
        <v>19</v>
      </c>
      <c r="H334" s="63" t="str" cm="1">
        <f t="array" ref="H334">IF(A334&lt;&gt;"",_xlfn.XLOOKUP(_xlfn.NUMBERVALUE(A334),_xlfn.NUMBERVALUE(Inventários[Tombamento]),Inventários[Processo - localização específica]),"")</f>
        <v>Filtro 04 -  válvulas de ar, água filtrada, lavagem e drenagem</v>
      </c>
      <c r="I334" s="1" t="str" cm="1">
        <f t="array" ref="I334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5" spans="1:9" ht="30" customHeight="1" x14ac:dyDescent="0.15">
      <c r="A335" s="88" t="s">
        <v>815</v>
      </c>
      <c r="B335" s="88" t="s">
        <v>1016</v>
      </c>
      <c r="C335" s="88" t="s">
        <v>618</v>
      </c>
      <c r="D335" s="88" t="s">
        <v>17</v>
      </c>
      <c r="E335" s="88" t="s">
        <v>619</v>
      </c>
      <c r="F335" s="88" t="s">
        <v>18</v>
      </c>
      <c r="G335" s="88" t="s">
        <v>19</v>
      </c>
      <c r="H335" s="63" t="str" cm="1">
        <f t="array" ref="H335">IF(A335&lt;&gt;"",_xlfn.XLOOKUP(_xlfn.NUMBERVALUE(A335),_xlfn.NUMBERVALUE(Inventários[Tombamento]),Inventários[Processo - localização específica]),"")</f>
        <v>Filtro 04 -  válvulas de ar, água filtrada, lavagem e drenagem</v>
      </c>
      <c r="I335" s="1" t="str" cm="1">
        <f t="array" ref="I335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6" spans="1:9" ht="30" customHeight="1" x14ac:dyDescent="0.15">
      <c r="A336" s="88" t="s">
        <v>816</v>
      </c>
      <c r="B336" s="88" t="s">
        <v>1016</v>
      </c>
      <c r="C336" s="88" t="s">
        <v>618</v>
      </c>
      <c r="D336" s="88" t="s">
        <v>17</v>
      </c>
      <c r="E336" s="88" t="s">
        <v>619</v>
      </c>
      <c r="F336" s="88" t="s">
        <v>18</v>
      </c>
      <c r="G336" s="88" t="s">
        <v>19</v>
      </c>
      <c r="H336" s="63" t="str" cm="1">
        <f t="array" ref="H336">IF(A336&lt;&gt;"",_xlfn.XLOOKUP(_xlfn.NUMBERVALUE(A336),_xlfn.NUMBERVALUE(Inventários[Tombamento]),Inventários[Processo - localização específica]),"")</f>
        <v>Filtro 04 -  válvulas de ar, água filtrada, lavagem e drenagem</v>
      </c>
      <c r="I336" s="1" t="str" cm="1">
        <f t="array" ref="I336">_xlfn.XLOOKUP(_xlfn.NUMBERVALUE(Carga[[#This Row],[Tombamento]]),_xlfn.NUMBERVALUE(Inventários[Tombamento]),Inventários[Descrição resumida do bem],"(A) Atenção Bem Não cadastrado")</f>
        <v>VÁLVULA BORBOLETA DE FERRO FUNDIDO FLANGEADA COM ATUADOR ELÉTRICO ESPECIAL (CLASSE DE PRESSÃO: 10 KGF/CM² / DIÂMETRO DA SEÇÃO: 600 MM)</v>
      </c>
    </row>
    <row r="337" spans="1:9" ht="30" customHeight="1" x14ac:dyDescent="0.15">
      <c r="A337" s="88" t="s">
        <v>817</v>
      </c>
      <c r="B337" s="88" t="s">
        <v>1017</v>
      </c>
      <c r="C337" s="88" t="s">
        <v>618</v>
      </c>
      <c r="D337" s="88" t="s">
        <v>17</v>
      </c>
      <c r="E337" s="88" t="s">
        <v>619</v>
      </c>
      <c r="F337" s="88" t="s">
        <v>18</v>
      </c>
      <c r="G337" s="88" t="s">
        <v>19</v>
      </c>
      <c r="H337" s="63" t="str" cm="1">
        <f t="array" ref="H337">IF(A337&lt;&gt;"",_xlfn.XLOOKUP(_xlfn.NUMBERVALUE(A337),_xlfn.NUMBERVALUE(Inventários[Tombamento]),Inventários[Processo - localização específica]),"")</f>
        <v>Floculador 01 - turbinas e comportas</v>
      </c>
      <c r="I337" s="1" t="str" cm="1">
        <f t="array" ref="I337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38" spans="1:9" ht="30" customHeight="1" x14ac:dyDescent="0.15">
      <c r="A338" s="88" t="s">
        <v>818</v>
      </c>
      <c r="B338" s="88" t="s">
        <v>1017</v>
      </c>
      <c r="C338" s="88" t="s">
        <v>618</v>
      </c>
      <c r="D338" s="88" t="s">
        <v>17</v>
      </c>
      <c r="E338" s="88" t="s">
        <v>619</v>
      </c>
      <c r="F338" s="88" t="s">
        <v>18</v>
      </c>
      <c r="G338" s="88" t="s">
        <v>19</v>
      </c>
      <c r="H338" s="63" t="str" cm="1">
        <f t="array" ref="H338">IF(A338&lt;&gt;"",_xlfn.XLOOKUP(_xlfn.NUMBERVALUE(A338),_xlfn.NUMBERVALUE(Inventários[Tombamento]),Inventários[Processo - localização específica]),"")</f>
        <v>Floculador 01 - turbinas e comportas</v>
      </c>
      <c r="I338" s="1" t="str" cm="1">
        <f t="array" ref="I338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39" spans="1:9" ht="30" customHeight="1" x14ac:dyDescent="0.15">
      <c r="A339" s="88" t="s">
        <v>819</v>
      </c>
      <c r="B339" s="88" t="s">
        <v>1017</v>
      </c>
      <c r="C339" s="88" t="s">
        <v>618</v>
      </c>
      <c r="D339" s="88" t="s">
        <v>17</v>
      </c>
      <c r="E339" s="88" t="s">
        <v>619</v>
      </c>
      <c r="F339" s="88" t="s">
        <v>18</v>
      </c>
      <c r="G339" s="88" t="s">
        <v>19</v>
      </c>
      <c r="H339" s="63" t="str" cm="1">
        <f t="array" ref="H339">IF(A339&lt;&gt;"",_xlfn.XLOOKUP(_xlfn.NUMBERVALUE(A339),_xlfn.NUMBERVALUE(Inventários[Tombamento]),Inventários[Processo - localização específica]),"")</f>
        <v>Floculador 02 - turbinas e comportas</v>
      </c>
      <c r="I339" s="1" t="str" cm="1">
        <f t="array" ref="I339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0" spans="1:9" ht="30" customHeight="1" x14ac:dyDescent="0.15">
      <c r="A340" s="88" t="s">
        <v>820</v>
      </c>
      <c r="B340" s="88" t="s">
        <v>1017</v>
      </c>
      <c r="C340" s="88" t="s">
        <v>618</v>
      </c>
      <c r="D340" s="88" t="s">
        <v>17</v>
      </c>
      <c r="E340" s="88" t="s">
        <v>619</v>
      </c>
      <c r="F340" s="88" t="s">
        <v>18</v>
      </c>
      <c r="G340" s="88" t="s">
        <v>19</v>
      </c>
      <c r="H340" s="63" t="str" cm="1">
        <f t="array" ref="H340">IF(A340&lt;&gt;"",_xlfn.XLOOKUP(_xlfn.NUMBERVALUE(A340),_xlfn.NUMBERVALUE(Inventários[Tombamento]),Inventários[Processo - localização específica]),"")</f>
        <v>Floculador 02 - turbinas e comportas</v>
      </c>
      <c r="I340" s="1" t="str" cm="1">
        <f t="array" ref="I340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1" spans="1:9" ht="30" customHeight="1" x14ac:dyDescent="0.15">
      <c r="A341" s="88" t="s">
        <v>821</v>
      </c>
      <c r="B341" s="88" t="s">
        <v>1017</v>
      </c>
      <c r="C341" s="88" t="s">
        <v>618</v>
      </c>
      <c r="D341" s="88" t="s">
        <v>17</v>
      </c>
      <c r="E341" s="88" t="s">
        <v>619</v>
      </c>
      <c r="F341" s="88" t="s">
        <v>18</v>
      </c>
      <c r="G341" s="88" t="s">
        <v>19</v>
      </c>
      <c r="H341" s="63" t="str" cm="1">
        <f t="array" ref="H341">IF(A341&lt;&gt;"",_xlfn.XLOOKUP(_xlfn.NUMBERVALUE(A341),_xlfn.NUMBERVALUE(Inventários[Tombamento]),Inventários[Processo - localização específica]),"")</f>
        <v>Floculador 03 - turbinas e comportas</v>
      </c>
      <c r="I341" s="1" t="str" cm="1">
        <f t="array" ref="I341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2" spans="1:9" ht="30" customHeight="1" x14ac:dyDescent="0.15">
      <c r="A342" s="88" t="s">
        <v>822</v>
      </c>
      <c r="B342" s="88" t="s">
        <v>1017</v>
      </c>
      <c r="C342" s="88" t="s">
        <v>618</v>
      </c>
      <c r="D342" s="88" t="s">
        <v>17</v>
      </c>
      <c r="E342" s="88" t="s">
        <v>619</v>
      </c>
      <c r="F342" s="88" t="s">
        <v>18</v>
      </c>
      <c r="G342" s="88" t="s">
        <v>19</v>
      </c>
      <c r="H342" s="63" t="str" cm="1">
        <f t="array" ref="H342">IF(A342&lt;&gt;"",_xlfn.XLOOKUP(_xlfn.NUMBERVALUE(A342),_xlfn.NUMBERVALUE(Inventários[Tombamento]),Inventários[Processo - localização específica]),"")</f>
        <v>Floculador 03 - turbinas e comportas</v>
      </c>
      <c r="I342" s="1" t="str" cm="1">
        <f t="array" ref="I342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3" spans="1:9" ht="30" customHeight="1" x14ac:dyDescent="0.15">
      <c r="A343" s="88" t="s">
        <v>823</v>
      </c>
      <c r="B343" s="88" t="s">
        <v>1017</v>
      </c>
      <c r="C343" s="88" t="s">
        <v>618</v>
      </c>
      <c r="D343" s="88" t="s">
        <v>17</v>
      </c>
      <c r="E343" s="88" t="s">
        <v>619</v>
      </c>
      <c r="F343" s="88" t="s">
        <v>18</v>
      </c>
      <c r="G343" s="88" t="s">
        <v>19</v>
      </c>
      <c r="H343" s="63" t="str" cm="1">
        <f t="array" ref="H343">IF(A343&lt;&gt;"",_xlfn.XLOOKUP(_xlfn.NUMBERVALUE(A343),_xlfn.NUMBERVALUE(Inventários[Tombamento]),Inventários[Processo - localização específica]),"")</f>
        <v>Floculador 04 - turbinas e comportas</v>
      </c>
      <c r="I343" s="1" t="str" cm="1">
        <f t="array" ref="I343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4" spans="1:9" ht="30" customHeight="1" x14ac:dyDescent="0.15">
      <c r="A344" s="88" t="s">
        <v>824</v>
      </c>
      <c r="B344" s="88" t="s">
        <v>1017</v>
      </c>
      <c r="C344" s="88" t="s">
        <v>618</v>
      </c>
      <c r="D344" s="88" t="s">
        <v>17</v>
      </c>
      <c r="E344" s="88" t="s">
        <v>619</v>
      </c>
      <c r="F344" s="88" t="s">
        <v>18</v>
      </c>
      <c r="G344" s="88" t="s">
        <v>19</v>
      </c>
      <c r="H344" s="63" t="str" cm="1">
        <f t="array" ref="H344">IF(A344&lt;&gt;"",_xlfn.XLOOKUP(_xlfn.NUMBERVALUE(A344),_xlfn.NUMBERVALUE(Inventários[Tombamento]),Inventários[Processo - localização específica]),"")</f>
        <v>Floculador 04 - turbinas e comportas</v>
      </c>
      <c r="I344" s="1" t="str" cm="1">
        <f t="array" ref="I344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5" spans="1:9" ht="30" customHeight="1" x14ac:dyDescent="0.15">
      <c r="A345" s="88" t="s">
        <v>825</v>
      </c>
      <c r="B345" s="88" t="s">
        <v>1017</v>
      </c>
      <c r="C345" s="88" t="s">
        <v>618</v>
      </c>
      <c r="D345" s="88" t="s">
        <v>17</v>
      </c>
      <c r="E345" s="88" t="s">
        <v>619</v>
      </c>
      <c r="F345" s="88" t="s">
        <v>18</v>
      </c>
      <c r="G345" s="88" t="s">
        <v>19</v>
      </c>
      <c r="H345" s="63" t="str" cm="1">
        <f t="array" ref="H345">IF(A345&lt;&gt;"",_xlfn.XLOOKUP(_xlfn.NUMBERVALUE(A345),_xlfn.NUMBERVALUE(Inventários[Tombamento]),Inventários[Processo - localização específica]),"")</f>
        <v>Floculador 04 - turbinas e comportas</v>
      </c>
      <c r="I345" s="1" t="str" cm="1">
        <f t="array" ref="I345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6" spans="1:9" ht="30" customHeight="1" x14ac:dyDescent="0.15">
      <c r="A346" s="88" t="s">
        <v>826</v>
      </c>
      <c r="B346" s="88" t="s">
        <v>1017</v>
      </c>
      <c r="C346" s="88" t="s">
        <v>618</v>
      </c>
      <c r="D346" s="88" t="s">
        <v>17</v>
      </c>
      <c r="E346" s="88" t="s">
        <v>619</v>
      </c>
      <c r="F346" s="88" t="s">
        <v>18</v>
      </c>
      <c r="G346" s="88" t="s">
        <v>19</v>
      </c>
      <c r="H346" s="63" t="str" cm="1">
        <f t="array" ref="H346">IF(A346&lt;&gt;"",_xlfn.XLOOKUP(_xlfn.NUMBERVALUE(A346),_xlfn.NUMBERVALUE(Inventários[Tombamento]),Inventários[Processo - localização específica]),"")</f>
        <v>Floculador 04 - turbinas e comportas</v>
      </c>
      <c r="I346" s="1" t="str" cm="1">
        <f t="array" ref="I346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7" spans="1:9" ht="30" customHeight="1" x14ac:dyDescent="0.15">
      <c r="A347" s="88" t="s">
        <v>827</v>
      </c>
      <c r="B347" s="88" t="s">
        <v>1017</v>
      </c>
      <c r="C347" s="88" t="s">
        <v>618</v>
      </c>
      <c r="D347" s="88" t="s">
        <v>17</v>
      </c>
      <c r="E347" s="88" t="s">
        <v>619</v>
      </c>
      <c r="F347" s="88" t="s">
        <v>18</v>
      </c>
      <c r="G347" s="88" t="s">
        <v>19</v>
      </c>
      <c r="H347" s="63" t="str" cm="1">
        <f t="array" ref="H347">IF(A347&lt;&gt;"",_xlfn.XLOOKUP(_xlfn.NUMBERVALUE(A347),_xlfn.NUMBERVALUE(Inventários[Tombamento]),Inventários[Processo - localização específica]),"")</f>
        <v>Floculador 03 - turbinas e comportas</v>
      </c>
      <c r="I347" s="1" t="str" cm="1">
        <f t="array" ref="I347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8" spans="1:9" ht="30" customHeight="1" x14ac:dyDescent="0.15">
      <c r="A348" s="88" t="s">
        <v>828</v>
      </c>
      <c r="B348" s="88" t="s">
        <v>1017</v>
      </c>
      <c r="C348" s="88" t="s">
        <v>618</v>
      </c>
      <c r="D348" s="88" t="s">
        <v>17</v>
      </c>
      <c r="E348" s="88" t="s">
        <v>619</v>
      </c>
      <c r="F348" s="88" t="s">
        <v>18</v>
      </c>
      <c r="G348" s="88" t="s">
        <v>19</v>
      </c>
      <c r="H348" s="63" t="str" cm="1">
        <f t="array" ref="H348">IF(A348&lt;&gt;"",_xlfn.XLOOKUP(_xlfn.NUMBERVALUE(A348),_xlfn.NUMBERVALUE(Inventários[Tombamento]),Inventários[Processo - localização específica]),"")</f>
        <v>Floculador 03 - turbinas e comportas</v>
      </c>
      <c r="I348" s="1" t="str" cm="1">
        <f t="array" ref="I348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49" spans="1:9" ht="30" customHeight="1" x14ac:dyDescent="0.15">
      <c r="A349" s="88" t="s">
        <v>829</v>
      </c>
      <c r="B349" s="88" t="s">
        <v>1017</v>
      </c>
      <c r="C349" s="88" t="s">
        <v>618</v>
      </c>
      <c r="D349" s="88" t="s">
        <v>17</v>
      </c>
      <c r="E349" s="88" t="s">
        <v>619</v>
      </c>
      <c r="F349" s="88" t="s">
        <v>18</v>
      </c>
      <c r="G349" s="88" t="s">
        <v>19</v>
      </c>
      <c r="H349" s="63" t="str" cm="1">
        <f t="array" ref="H349">IF(A349&lt;&gt;"",_xlfn.XLOOKUP(_xlfn.NUMBERVALUE(A349),_xlfn.NUMBERVALUE(Inventários[Tombamento]),Inventários[Processo - localização específica]),"")</f>
        <v>Floculador 02 - turbinas e comportas</v>
      </c>
      <c r="I349" s="1" t="str" cm="1">
        <f t="array" ref="I349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50" spans="1:9" ht="30" customHeight="1" x14ac:dyDescent="0.15">
      <c r="A350" s="88" t="s">
        <v>830</v>
      </c>
      <c r="B350" s="88" t="s">
        <v>1017</v>
      </c>
      <c r="C350" s="88" t="s">
        <v>618</v>
      </c>
      <c r="D350" s="88" t="s">
        <v>17</v>
      </c>
      <c r="E350" s="88" t="s">
        <v>619</v>
      </c>
      <c r="F350" s="88" t="s">
        <v>18</v>
      </c>
      <c r="G350" s="88" t="s">
        <v>19</v>
      </c>
      <c r="H350" s="63" t="str" cm="1">
        <f t="array" ref="H350">IF(A350&lt;&gt;"",_xlfn.XLOOKUP(_xlfn.NUMBERVALUE(A350),_xlfn.NUMBERVALUE(Inventários[Tombamento]),Inventários[Processo - localização específica]),"")</f>
        <v>Floculador 01 - turbinas e comportas</v>
      </c>
      <c r="I350" s="1" t="str" cm="1">
        <f t="array" ref="I350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51" spans="1:9" ht="30" customHeight="1" x14ac:dyDescent="0.15">
      <c r="A351" s="88" t="s">
        <v>831</v>
      </c>
      <c r="B351" s="88" t="s">
        <v>1017</v>
      </c>
      <c r="C351" s="88" t="s">
        <v>618</v>
      </c>
      <c r="D351" s="88" t="s">
        <v>17</v>
      </c>
      <c r="E351" s="88" t="s">
        <v>619</v>
      </c>
      <c r="F351" s="88" t="s">
        <v>18</v>
      </c>
      <c r="G351" s="88" t="s">
        <v>19</v>
      </c>
      <c r="H351" s="63" t="str" cm="1">
        <f t="array" ref="H351">IF(A351&lt;&gt;"",_xlfn.XLOOKUP(_xlfn.NUMBERVALUE(A351),_xlfn.NUMBERVALUE(Inventários[Tombamento]),Inventários[Processo - localização específica]),"")</f>
        <v>Floculador 01 - turbinas e comportas</v>
      </c>
      <c r="I351" s="1" t="str" cm="1">
        <f t="array" ref="I351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52" spans="1:9" ht="30" customHeight="1" x14ac:dyDescent="0.15">
      <c r="A352" s="88" t="s">
        <v>832</v>
      </c>
      <c r="B352" s="88" t="s">
        <v>1017</v>
      </c>
      <c r="C352" s="88" t="s">
        <v>618</v>
      </c>
      <c r="D352" s="88" t="s">
        <v>17</v>
      </c>
      <c r="E352" s="88" t="s">
        <v>619</v>
      </c>
      <c r="F352" s="88" t="s">
        <v>18</v>
      </c>
      <c r="G352" s="88" t="s">
        <v>19</v>
      </c>
      <c r="H352" s="63" t="str" cm="1">
        <f t="array" ref="H352">IF(A352&lt;&gt;"",_xlfn.XLOOKUP(_xlfn.NUMBERVALUE(A352),_xlfn.NUMBERVALUE(Inventários[Tombamento]),Inventários[Processo - localização específica]),"")</f>
        <v>Floculador 02 - turbinas e comportas</v>
      </c>
      <c r="I352" s="1" t="str" cm="1">
        <f t="array" ref="I352">_xlfn.XLOOKUP(_xlfn.NUMBERVALUE(Carga[[#This Row],[Tombamento]]),_xlfn.NUMBERVALUE(Inventários[Tombamento]),Inventários[Descrição resumida do bem],"(A) Atenção Bem Não cadastrado")</f>
        <v>AGITADOR MECÂNICO DE EIXO VERTICAL, TIPO TURBINA, P/ CÂMARA DE FLOCULAÇÃO, COMPLETO. CONFORME ESPECIFICAÇÃO.</v>
      </c>
    </row>
    <row r="353" spans="1:9" ht="30" customHeight="1" x14ac:dyDescent="0.15">
      <c r="A353" s="88" t="s">
        <v>833</v>
      </c>
      <c r="B353" s="88" t="s">
        <v>1018</v>
      </c>
      <c r="C353" s="88" t="s">
        <v>618</v>
      </c>
      <c r="D353" s="88" t="s">
        <v>17</v>
      </c>
      <c r="E353" s="88" t="s">
        <v>619</v>
      </c>
      <c r="F353" s="88" t="s">
        <v>18</v>
      </c>
      <c r="G353" s="88" t="s">
        <v>19</v>
      </c>
      <c r="H353" s="63" t="str" cm="1">
        <f t="array" ref="H353">IF(A353&lt;&gt;"",_xlfn.XLOOKUP(_xlfn.NUMBERVALUE(A353),_xlfn.NUMBERVALUE(Inventários[Tombamento]),Inventários[Processo - localização específica]),"")</f>
        <v>Flotadores - elevatórias de água de serviço</v>
      </c>
      <c r="I353" s="1" t="str" cm="1">
        <f t="array" ref="I353">_xlfn.XLOOKUP(_xlfn.NUMBERVALUE(Carga[[#This Row],[Tombamento]]),_xlfn.NUMBERVALUE(Inventários[Tombamento]),Inventários[Descrição resumida do bem],"(A) Atenção Bem Não cadastrado")</f>
        <v>BOMBA CENTRÍFUGA DE EIXO HORIZONTAL PARA RESERVATÓRIO ELEVADO</v>
      </c>
    </row>
    <row r="354" spans="1:9" ht="30" customHeight="1" x14ac:dyDescent="0.15">
      <c r="A354" s="88" t="s">
        <v>834</v>
      </c>
      <c r="B354" s="88" t="s">
        <v>1018</v>
      </c>
      <c r="C354" s="88" t="s">
        <v>618</v>
      </c>
      <c r="D354" s="88" t="s">
        <v>17</v>
      </c>
      <c r="E354" s="88" t="s">
        <v>619</v>
      </c>
      <c r="F354" s="88" t="s">
        <v>18</v>
      </c>
      <c r="G354" s="88" t="s">
        <v>19</v>
      </c>
      <c r="H354" s="63" t="str" cm="1">
        <f t="array" ref="H354">IF(A354&lt;&gt;"",_xlfn.XLOOKUP(_xlfn.NUMBERVALUE(A354),_xlfn.NUMBERVALUE(Inventários[Tombamento]),Inventários[Processo - localização específica]),"")</f>
        <v>Flotadores - elevatórias de água de serviço</v>
      </c>
      <c r="I354" s="1" t="str" cm="1">
        <f t="array" ref="I354">_xlfn.XLOOKUP(_xlfn.NUMBERVALUE(Carga[[#This Row],[Tombamento]]),_xlfn.NUMBERVALUE(Inventários[Tombamento]),Inventários[Descrição resumida do bem],"(A) Atenção Bem Não cadastrado")</f>
        <v>BOMBA CENTRÍFUGA DE EIXO HORIZONTAL PARA RESERVATÓRIO ELEVADO</v>
      </c>
    </row>
    <row r="355" spans="1:9" ht="30" customHeight="1" x14ac:dyDescent="0.15">
      <c r="A355" s="88" t="s">
        <v>835</v>
      </c>
      <c r="B355" s="88" t="s">
        <v>1018</v>
      </c>
      <c r="C355" s="88" t="s">
        <v>618</v>
      </c>
      <c r="D355" s="88" t="s">
        <v>17</v>
      </c>
      <c r="E355" s="88" t="s">
        <v>619</v>
      </c>
      <c r="F355" s="88" t="s">
        <v>18</v>
      </c>
      <c r="G355" s="88" t="s">
        <v>19</v>
      </c>
      <c r="H355" s="63" t="str" cm="1">
        <f t="array" ref="H355">IF(A355&lt;&gt;"",_xlfn.XLOOKUP(_xlfn.NUMBERVALUE(A355),_xlfn.NUMBERVALUE(Inventários[Tombamento]),Inventários[Processo - localização específica]),"")</f>
        <v>TAPQ - elevatórias de água potável e amostragem</v>
      </c>
      <c r="I355" s="1" t="str" cm="1">
        <f t="array" ref="I355">_xlfn.XLOOKUP(_xlfn.NUMBERVALUE(Carga[[#This Row],[Tombamento]]),_xlfn.NUMBERVALUE(Inventários[Tombamento]),Inventários[Descrição resumida do bem],"(A) Atenção Bem Não cadastrado")</f>
        <v>BOMBA CENTRÍFUGA DE EIXO HORIZONTAL PARA RESERVATÓRIO ELEVADO</v>
      </c>
    </row>
    <row r="356" spans="1:9" ht="30" customHeight="1" x14ac:dyDescent="0.15">
      <c r="A356" s="88" t="s">
        <v>836</v>
      </c>
      <c r="B356" s="88" t="s">
        <v>1018</v>
      </c>
      <c r="C356" s="88" t="s">
        <v>618</v>
      </c>
      <c r="D356" s="88" t="s">
        <v>17</v>
      </c>
      <c r="E356" s="88" t="s">
        <v>619</v>
      </c>
      <c r="F356" s="88" t="s">
        <v>18</v>
      </c>
      <c r="G356" s="88" t="s">
        <v>19</v>
      </c>
      <c r="H356" s="63" t="str" cm="1">
        <f t="array" ref="H356">IF(A356&lt;&gt;"",_xlfn.XLOOKUP(_xlfn.NUMBERVALUE(A356),_xlfn.NUMBERVALUE(Inventários[Tombamento]),Inventários[Processo - localização específica]),"")</f>
        <v>TAPQ - elevatórias de água potável e amostragem</v>
      </c>
      <c r="I356" s="1" t="str" cm="1">
        <f t="array" ref="I356">_xlfn.XLOOKUP(_xlfn.NUMBERVALUE(Carga[[#This Row],[Tombamento]]),_xlfn.NUMBERVALUE(Inventários[Tombamento]),Inventários[Descrição resumida do bem],"(A) Atenção Bem Não cadastrado")</f>
        <v>BOMBA CENTRÍFUGA DE EIXO HORIZONTAL PARA RESERVATÓRIO ELEVADO</v>
      </c>
    </row>
    <row r="357" spans="1:9" ht="30" customHeight="1" x14ac:dyDescent="0.15">
      <c r="A357" s="88" t="s">
        <v>837</v>
      </c>
      <c r="B357" s="88" t="s">
        <v>1019</v>
      </c>
      <c r="C357" s="88" t="s">
        <v>618</v>
      </c>
      <c r="D357" s="88" t="s">
        <v>17</v>
      </c>
      <c r="E357" s="88" t="s">
        <v>619</v>
      </c>
      <c r="F357" s="88" t="s">
        <v>18</v>
      </c>
      <c r="G357" s="88" t="s">
        <v>19</v>
      </c>
      <c r="H357" s="63" t="str" cm="1">
        <f t="array" ref="H357">IF(A357&lt;&gt;"",_xlfn.XLOOKUP(_xlfn.NUMBERVALUE(A357),_xlfn.NUMBERVALUE(Inventários[Tombamento]),Inventários[Processo - localização específica]),"")</f>
        <v>Flotadores 01/02 - elevatórias de lodo flotado e válvulas</v>
      </c>
      <c r="I357" s="1" t="str" cm="1">
        <f t="array" ref="I357">_xlfn.XLOOKUP(_xlfn.NUMBERVALUE(Carga[[#This Row],[Tombamento]]),_xlfn.NUMBERVALUE(Inventários[Tombamento]),Inventários[Descrição resumida do bem],"(A) Atenção Bem Não cadastrado")</f>
        <v>BOMBA HELICOIDAL PARA O RECALQUE DO LODO FLOTADO, COMPLETA, CONFORME ESPECIFICAÇÃO</v>
      </c>
    </row>
    <row r="358" spans="1:9" ht="30" customHeight="1" x14ac:dyDescent="0.15">
      <c r="A358" s="88" t="s">
        <v>838</v>
      </c>
      <c r="B358" s="88" t="s">
        <v>1019</v>
      </c>
      <c r="C358" s="88" t="s">
        <v>618</v>
      </c>
      <c r="D358" s="88" t="s">
        <v>17</v>
      </c>
      <c r="E358" s="88" t="s">
        <v>619</v>
      </c>
      <c r="F358" s="88" t="s">
        <v>18</v>
      </c>
      <c r="G358" s="88" t="s">
        <v>19</v>
      </c>
      <c r="H358" s="63" t="str" cm="1">
        <f t="array" ref="H358">IF(A358&lt;&gt;"",_xlfn.XLOOKUP(_xlfn.NUMBERVALUE(A358),_xlfn.NUMBERVALUE(Inventários[Tombamento]),Inventários[Processo - localização específica]),"")</f>
        <v>Flotadores 01/02 - elevatórias de lodo flotado e válvulas</v>
      </c>
      <c r="I358" s="1" t="str" cm="1">
        <f t="array" ref="I358">_xlfn.XLOOKUP(_xlfn.NUMBERVALUE(Carga[[#This Row],[Tombamento]]),_xlfn.NUMBERVALUE(Inventários[Tombamento]),Inventários[Descrição resumida do bem],"(A) Atenção Bem Não cadastrado")</f>
        <v>BOMBA HELICOIDAL PARA O RECALQUE DO LODO FLOTADO, COMPLETA, CONFORME ESPECIFICAÇÃO</v>
      </c>
    </row>
    <row r="359" spans="1:9" ht="19.899999999999999" customHeight="1" x14ac:dyDescent="0.15">
      <c r="A359" s="88" t="s">
        <v>839</v>
      </c>
      <c r="B359" s="88" t="s">
        <v>1019</v>
      </c>
      <c r="C359" s="88" t="s">
        <v>618</v>
      </c>
      <c r="D359" s="88" t="s">
        <v>17</v>
      </c>
      <c r="E359" s="88" t="s">
        <v>619</v>
      </c>
      <c r="F359" s="88" t="s">
        <v>18</v>
      </c>
      <c r="G359" s="88" t="s">
        <v>19</v>
      </c>
      <c r="H359" s="63" t="str" cm="1">
        <f t="array" ref="H359">IF(A359&lt;&gt;"",_xlfn.XLOOKUP(_xlfn.NUMBERVALUE(A359),_xlfn.NUMBERVALUE(Inventários[Tombamento]),Inventários[Processo - localização específica]),"")</f>
        <v>Flotadores 03/04 - elevatórias de lodo flotado e válvulas</v>
      </c>
      <c r="I359" s="1" t="str" cm="1">
        <f t="array" ref="I359">_xlfn.XLOOKUP(_xlfn.NUMBERVALUE(Carga[[#This Row],[Tombamento]]),_xlfn.NUMBERVALUE(Inventários[Tombamento]),Inventários[Descrição resumida do bem],"(A) Atenção Bem Não cadastrado")</f>
        <v>BOMBA HELICOIDAL PARA O RECALQUE DO LODO FLOTADO, COMPLETA, CONFORME ESPECIFICAÇÃO</v>
      </c>
    </row>
    <row r="360" spans="1:9" ht="19.899999999999999" customHeight="1" x14ac:dyDescent="0.15">
      <c r="A360" s="88" t="s">
        <v>840</v>
      </c>
      <c r="B360" s="88" t="s">
        <v>1019</v>
      </c>
      <c r="C360" s="88" t="s">
        <v>618</v>
      </c>
      <c r="D360" s="88" t="s">
        <v>17</v>
      </c>
      <c r="E360" s="88" t="s">
        <v>619</v>
      </c>
      <c r="F360" s="88" t="s">
        <v>18</v>
      </c>
      <c r="G360" s="88" t="s">
        <v>19</v>
      </c>
      <c r="H360" s="63" t="str" cm="1">
        <f t="array" ref="H360">IF(A360&lt;&gt;"",_xlfn.XLOOKUP(_xlfn.NUMBERVALUE(A360),_xlfn.NUMBERVALUE(Inventários[Tombamento]),Inventários[Processo - localização específica]),"")</f>
        <v>Flotadores 03/04 - elevatórias de lodo flotado e válvulas</v>
      </c>
      <c r="I360" s="1" t="str" cm="1">
        <f t="array" ref="I360">_xlfn.XLOOKUP(_xlfn.NUMBERVALUE(Carga[[#This Row],[Tombamento]]),_xlfn.NUMBERVALUE(Inventários[Tombamento]),Inventários[Descrição resumida do bem],"(A) Atenção Bem Não cadastrado")</f>
        <v>BOMBA HELICOIDAL PARA O RECALQUE DO LODO FLOTADO, COMPLETA, CONFORME ESPECIFICAÇÃO</v>
      </c>
    </row>
    <row r="361" spans="1:9" ht="19.899999999999999" customHeight="1" x14ac:dyDescent="0.15">
      <c r="A361" s="88" t="s">
        <v>841</v>
      </c>
      <c r="B361" s="88" t="s">
        <v>1020</v>
      </c>
      <c r="C361" s="88" t="s">
        <v>618</v>
      </c>
      <c r="D361" s="88" t="s">
        <v>17</v>
      </c>
      <c r="E361" s="88" t="s">
        <v>619</v>
      </c>
      <c r="F361" s="88" t="s">
        <v>18</v>
      </c>
      <c r="G361" s="88" t="s">
        <v>19</v>
      </c>
      <c r="H361" s="63" t="str" cm="1">
        <f t="array" ref="H361">IF(A361&lt;&gt;"",_xlfn.XLOOKUP(_xlfn.NUMBERVALUE(A361),_xlfn.NUMBERVALUE(Inventários[Tombamento]),Inventários[Processo - localização específica]),"")</f>
        <v>Flotadores - compressores de ar e válvulas de drenagem Módulos 01/02</v>
      </c>
      <c r="I361" s="1" t="str" cm="1">
        <f t="array" ref="I361">_xlfn.XLOOKUP(_xlfn.NUMBERVALUE(Carga[[#This Row],[Tombamento]]),_xlfn.NUMBERVALUE(Inventários[Tombamento]),Inventários[Descrição resumida do bem],"(A) Atenção Bem Não cadastrado")</f>
        <v>COMPRESSOR PARA ALIMENTAÇÃO DO SATURADOR. COMPLETO, CONFORME ESPECIFICAÇÃO</v>
      </c>
    </row>
    <row r="362" spans="1:9" ht="19.899999999999999" customHeight="1" x14ac:dyDescent="0.15">
      <c r="A362" s="88" t="s">
        <v>842</v>
      </c>
      <c r="B362" s="88" t="s">
        <v>1020</v>
      </c>
      <c r="C362" s="88" t="s">
        <v>618</v>
      </c>
      <c r="D362" s="88" t="s">
        <v>17</v>
      </c>
      <c r="E362" s="88" t="s">
        <v>619</v>
      </c>
      <c r="F362" s="88" t="s">
        <v>18</v>
      </c>
      <c r="G362" s="88" t="s">
        <v>19</v>
      </c>
      <c r="H362" s="63" t="str" cm="1">
        <f t="array" ref="H362">IF(A362&lt;&gt;"",_xlfn.XLOOKUP(_xlfn.NUMBERVALUE(A362),_xlfn.NUMBERVALUE(Inventários[Tombamento]),Inventários[Processo - localização específica]),"")</f>
        <v>Flotadores - compressores de ar e válvulas de drenagem Módulos 01/02</v>
      </c>
      <c r="I362" s="1" t="str" cm="1">
        <f t="array" ref="I362">_xlfn.XLOOKUP(_xlfn.NUMBERVALUE(Carga[[#This Row],[Tombamento]]),_xlfn.NUMBERVALUE(Inventários[Tombamento]),Inventários[Descrição resumida do bem],"(A) Atenção Bem Não cadastrado")</f>
        <v>COMPRESSOR PARA ALIMENTAÇÃO DO SATURADOR. COMPLETO, CONFORME ESPECIFICAÇÃO</v>
      </c>
    </row>
    <row r="363" spans="1:9" ht="30" customHeight="1" x14ac:dyDescent="0.15">
      <c r="A363" s="88" t="s">
        <v>843</v>
      </c>
      <c r="B363" s="88" t="s">
        <v>1020</v>
      </c>
      <c r="C363" s="88" t="s">
        <v>618</v>
      </c>
      <c r="D363" s="88" t="s">
        <v>17</v>
      </c>
      <c r="E363" s="88" t="s">
        <v>619</v>
      </c>
      <c r="F363" s="88" t="s">
        <v>18</v>
      </c>
      <c r="G363" s="88" t="s">
        <v>19</v>
      </c>
      <c r="H363" s="63" t="str" cm="1">
        <f t="array" ref="H363">IF(A363&lt;&gt;"",_xlfn.XLOOKUP(_xlfn.NUMBERVALUE(A363),_xlfn.NUMBERVALUE(Inventários[Tombamento]),Inventários[Processo - localização específica]),"")</f>
        <v>Flotadores - compressores de ar e válvulas de drenagem Módulos 01/02</v>
      </c>
      <c r="I363" s="1" t="str" cm="1">
        <f t="array" ref="I363">_xlfn.XLOOKUP(_xlfn.NUMBERVALUE(Carga[[#This Row],[Tombamento]]),_xlfn.NUMBERVALUE(Inventários[Tombamento]),Inventários[Descrição resumida do bem],"(A) Atenção Bem Não cadastrado")</f>
        <v>COMPRESSOR PARA ALIMENTAÇÃO DO SATURADOR. COMPLETO, CONFORME ESPECIFICAÇÃO</v>
      </c>
    </row>
    <row r="364" spans="1:9" ht="30" customHeight="1" x14ac:dyDescent="0.15">
      <c r="A364" s="88" t="s">
        <v>844</v>
      </c>
      <c r="B364" s="88" t="s">
        <v>1021</v>
      </c>
      <c r="C364" s="88" t="s">
        <v>618</v>
      </c>
      <c r="D364" s="88" t="s">
        <v>17</v>
      </c>
      <c r="E364" s="88" t="s">
        <v>619</v>
      </c>
      <c r="F364" s="88" t="s">
        <v>18</v>
      </c>
      <c r="G364" s="88" t="s">
        <v>19</v>
      </c>
      <c r="H364" s="63" t="str" cm="1">
        <f t="array" ref="H364">IF(A364&lt;&gt;"",_xlfn.XLOOKUP(_xlfn.NUMBERVALUE(A364),_xlfn.NUMBERVALUE(Inventários[Tombamento]),Inventários[Processo - localização específica]),"")</f>
        <v>Flotadores - elevatórias de água saturada Módulos 03/04</v>
      </c>
      <c r="I364" s="1" t="str" cm="1">
        <f t="array" ref="I364">_xlfn.XLOOKUP(_xlfn.NUMBERVALUE(Carga[[#This Row],[Tombamento]]),_xlfn.NUMBERVALUE(Inventários[Tombamento]),Inventários[Descrição resumida do bem],"(A) Atenção Bem Não cadastrado")</f>
        <v>CONJUNTO MOTOR BOMBA PARA ALIMENTAÇÃO DO SATURADOR, COMPLETO, CONFORME ESPECIFICAÇÃO</v>
      </c>
    </row>
    <row r="365" spans="1:9" ht="30" customHeight="1" x14ac:dyDescent="0.15">
      <c r="A365" s="88" t="s">
        <v>845</v>
      </c>
      <c r="B365" s="88" t="s">
        <v>1021</v>
      </c>
      <c r="C365" s="88" t="s">
        <v>618</v>
      </c>
      <c r="D365" s="88" t="s">
        <v>17</v>
      </c>
      <c r="E365" s="88" t="s">
        <v>619</v>
      </c>
      <c r="F365" s="88" t="s">
        <v>18</v>
      </c>
      <c r="G365" s="88" t="s">
        <v>19</v>
      </c>
      <c r="H365" s="63" t="str" cm="1">
        <f t="array" ref="H365">IF(A365&lt;&gt;"",_xlfn.XLOOKUP(_xlfn.NUMBERVALUE(A365),_xlfn.NUMBERVALUE(Inventários[Tombamento]),Inventários[Processo - localização específica]),"")</f>
        <v>Flotadores - elevatórias de água saturada Módulos 03/04</v>
      </c>
      <c r="I365" s="1" t="str" cm="1">
        <f t="array" ref="I365">_xlfn.XLOOKUP(_xlfn.NUMBERVALUE(Carga[[#This Row],[Tombamento]]),_xlfn.NUMBERVALUE(Inventários[Tombamento]),Inventários[Descrição resumida do bem],"(A) Atenção Bem Não cadastrado")</f>
        <v>CONJUNTO MOTOR BOMBA PARA ALIMENTAÇÃO DO SATURADOR, COMPLETO, CONFORME ESPECIFICAÇÃO</v>
      </c>
    </row>
    <row r="366" spans="1:9" ht="30" customHeight="1" x14ac:dyDescent="0.15">
      <c r="A366" s="88" t="s">
        <v>846</v>
      </c>
      <c r="B366" s="88" t="s">
        <v>1021</v>
      </c>
      <c r="C366" s="88" t="s">
        <v>618</v>
      </c>
      <c r="D366" s="88" t="s">
        <v>17</v>
      </c>
      <c r="E366" s="88" t="s">
        <v>619</v>
      </c>
      <c r="F366" s="88" t="s">
        <v>18</v>
      </c>
      <c r="G366" s="88" t="s">
        <v>19</v>
      </c>
      <c r="H366" s="63" t="str" cm="1">
        <f t="array" ref="H366">IF(A366&lt;&gt;"",_xlfn.XLOOKUP(_xlfn.NUMBERVALUE(A366),_xlfn.NUMBERVALUE(Inventários[Tombamento]),Inventários[Processo - localização específica]),"")</f>
        <v>Flotadores - elevatórias de água saturada Módulos 03/04</v>
      </c>
      <c r="I366" s="1" t="str" cm="1">
        <f t="array" ref="I366">_xlfn.XLOOKUP(_xlfn.NUMBERVALUE(Carga[[#This Row],[Tombamento]]),_xlfn.NUMBERVALUE(Inventários[Tombamento]),Inventários[Descrição resumida do bem],"(A) Atenção Bem Não cadastrado")</f>
        <v>CONJUNTO MOTOR BOMBA PARA ALIMENTAÇÃO DO SATURADOR, COMPLETO, CONFORME ESPECIFICAÇÃO</v>
      </c>
    </row>
    <row r="367" spans="1:9" ht="40.15" customHeight="1" x14ac:dyDescent="0.15">
      <c r="A367" s="88" t="s">
        <v>847</v>
      </c>
      <c r="B367" s="88" t="s">
        <v>1021</v>
      </c>
      <c r="C367" s="88" t="s">
        <v>618</v>
      </c>
      <c r="D367" s="88" t="s">
        <v>17</v>
      </c>
      <c r="E367" s="88" t="s">
        <v>619</v>
      </c>
      <c r="F367" s="88" t="s">
        <v>18</v>
      </c>
      <c r="G367" s="88" t="s">
        <v>19</v>
      </c>
      <c r="H367" s="63" t="str" cm="1">
        <f t="array" ref="H367">IF(A367&lt;&gt;"",_xlfn.XLOOKUP(_xlfn.NUMBERVALUE(A367),_xlfn.NUMBERVALUE(Inventários[Tombamento]),Inventários[Processo - localização específica]),"")</f>
        <v>Flotadores - elevatórias de água saturada Módulos 03/04</v>
      </c>
      <c r="I367" s="1" t="str" cm="1">
        <f t="array" ref="I367">_xlfn.XLOOKUP(_xlfn.NUMBERVALUE(Carga[[#This Row],[Tombamento]]),_xlfn.NUMBERVALUE(Inventários[Tombamento]),Inventários[Descrição resumida do bem],"(A) Atenção Bem Não cadastrado")</f>
        <v>CONJUNTO MOTOR BOMBA PARA ALIMENTAÇÃO DO SATURADOR, COMPLETO, CONFORME ESPECIFICAÇÃO</v>
      </c>
    </row>
    <row r="368" spans="1:9" ht="40.15" customHeight="1" x14ac:dyDescent="0.15">
      <c r="A368" s="88" t="s">
        <v>848</v>
      </c>
      <c r="B368" s="88" t="s">
        <v>1021</v>
      </c>
      <c r="C368" s="88" t="s">
        <v>618</v>
      </c>
      <c r="D368" s="88" t="s">
        <v>17</v>
      </c>
      <c r="E368" s="88" t="s">
        <v>619</v>
      </c>
      <c r="F368" s="88" t="s">
        <v>18</v>
      </c>
      <c r="G368" s="88" t="s">
        <v>19</v>
      </c>
      <c r="H368" s="63" t="str" cm="1">
        <f t="array" ref="H368">IF(A368&lt;&gt;"",_xlfn.XLOOKUP(_xlfn.NUMBERVALUE(A368),_xlfn.NUMBERVALUE(Inventários[Tombamento]),Inventários[Processo - localização específica]),"")</f>
        <v>Flotadores - elevatórias de água saturada Módulos 03/04</v>
      </c>
      <c r="I368" s="1" t="str" cm="1">
        <f t="array" ref="I368">_xlfn.XLOOKUP(_xlfn.NUMBERVALUE(Carga[[#This Row],[Tombamento]]),_xlfn.NUMBERVALUE(Inventários[Tombamento]),Inventários[Descrição resumida do bem],"(A) Atenção Bem Não cadastrado")</f>
        <v>CONJUNTO MOTOR BOMBA PARA ALIMENTAÇÃO DO SATURADOR, COMPLETO, CONFORME ESPECIFICAÇÃO</v>
      </c>
    </row>
    <row r="369" spans="1:9" ht="40.15" customHeight="1" x14ac:dyDescent="0.15">
      <c r="A369" s="88" t="s">
        <v>849</v>
      </c>
      <c r="B369" s="88" t="s">
        <v>151</v>
      </c>
      <c r="C369" s="88" t="s">
        <v>618</v>
      </c>
      <c r="D369" s="88" t="s">
        <v>17</v>
      </c>
      <c r="E369" s="88" t="s">
        <v>619</v>
      </c>
      <c r="F369" s="88" t="s">
        <v>18</v>
      </c>
      <c r="G369" s="88" t="s">
        <v>19</v>
      </c>
      <c r="H369" s="63" t="str" cm="1">
        <f t="array" ref="H369">IF(A369&lt;&gt;"",_xlfn.XLOOKUP(_xlfn.NUMBERVALUE(A369),_xlfn.NUMBERVALUE(Inventários[Tombamento]),Inventários[Processo - localização específica]),"")</f>
        <v>Prédio - depósito de bens</v>
      </c>
      <c r="I369" s="1" t="str" cm="1">
        <f t="array" ref="I369">_xlfn.XLOOKUP(_xlfn.NUMBERVALUE(Carga[[#This Row],[Tombamento]]),_xlfn.NUMBERVALUE(Inventários[Tombamento]),Inventários[Descrição resumida do bem],"(A) Atenção Bem Não cadastrado")</f>
        <v xml:space="preserve">TALHA MANUAL MONOVIA - 2 TONELADAS </v>
      </c>
    </row>
    <row r="370" spans="1:9" ht="40.15" customHeight="1" x14ac:dyDescent="0.15">
      <c r="A370" s="88" t="s">
        <v>850</v>
      </c>
      <c r="B370" s="88" t="s">
        <v>152</v>
      </c>
      <c r="C370" s="88" t="s">
        <v>618</v>
      </c>
      <c r="D370" s="88" t="s">
        <v>17</v>
      </c>
      <c r="E370" s="88" t="s">
        <v>619</v>
      </c>
      <c r="F370" s="88" t="s">
        <v>18</v>
      </c>
      <c r="G370" s="88" t="s">
        <v>19</v>
      </c>
      <c r="H370" s="63" t="str" cm="1">
        <f t="array" ref="H370">IF(A370&lt;&gt;"",_xlfn.XLOOKUP(_xlfn.NUMBERVALUE(A370),_xlfn.NUMBERVALUE(Inventários[Tombamento]),Inventários[Processo - localização específica]),"")</f>
        <v>Prédio - depósito de bens</v>
      </c>
      <c r="I370" s="1" t="str" cm="1">
        <f t="array" ref="I370">_xlfn.XLOOKUP(_xlfn.NUMBERVALUE(Carga[[#This Row],[Tombamento]]),_xlfn.NUMBERVALUE(Inventários[Tombamento]),Inventários[Descrição resumida do bem],"(A) Atenção Bem Não cadastrado")</f>
        <v xml:space="preserve">TALHA MANUAL MONOVIA - 5 TONELADAS </v>
      </c>
    </row>
    <row r="371" spans="1:9" ht="30" customHeight="1" x14ac:dyDescent="0.15">
      <c r="A371" s="88" t="s">
        <v>851</v>
      </c>
      <c r="B371" s="88" t="s">
        <v>153</v>
      </c>
      <c r="C371" s="88" t="s">
        <v>618</v>
      </c>
      <c r="D371" s="88" t="s">
        <v>17</v>
      </c>
      <c r="E371" s="88" t="s">
        <v>619</v>
      </c>
      <c r="F371" s="88" t="s">
        <v>18</v>
      </c>
      <c r="G371" s="88" t="s">
        <v>19</v>
      </c>
      <c r="H371" s="63" t="str" cm="1">
        <f t="array" ref="H371">IF(A371&lt;&gt;"",_xlfn.XLOOKUP(_xlfn.NUMBERVALUE(A371),_xlfn.NUMBERVALUE(Inventários[Tombamento]),Inventários[Processo - localização específica]),"")</f>
        <v>Prédio - depósito de bens</v>
      </c>
      <c r="I371" s="1" t="str" cm="1">
        <f t="array" ref="I371">_xlfn.XLOOKUP(_xlfn.NUMBERVALUE(Carga[[#This Row],[Tombamento]]),_xlfn.NUMBERVALUE(Inventários[Tombamento]),Inventários[Descrição resumida do bem],"(A) Atenção Bem Não cadastrado")</f>
        <v xml:space="preserve">TALHA MANUAL MONOVIA - 3 TONELADAS </v>
      </c>
    </row>
    <row r="372" spans="1:9" ht="30" customHeight="1" x14ac:dyDescent="0.15">
      <c r="A372" s="88" t="s">
        <v>852</v>
      </c>
      <c r="B372" s="88" t="s">
        <v>154</v>
      </c>
      <c r="C372" s="88" t="s">
        <v>618</v>
      </c>
      <c r="D372" s="88" t="s">
        <v>17</v>
      </c>
      <c r="E372" s="88" t="s">
        <v>619</v>
      </c>
      <c r="F372" s="88" t="s">
        <v>18</v>
      </c>
      <c r="G372" s="88" t="s">
        <v>19</v>
      </c>
      <c r="H372" s="63" t="str" cm="1">
        <f t="array" ref="H372">IF(A372&lt;&gt;"",_xlfn.XLOOKUP(_xlfn.NUMBERVALUE(A372),_xlfn.NUMBERVALUE(Inventários[Tombamento]),Inventários[Processo - localização específica]),"")</f>
        <v>Cloro - sala dos evaporadores e dosadores</v>
      </c>
      <c r="I372" s="1" t="str" cm="1">
        <f t="array" ref="I372">_xlfn.XLOOKUP(_xlfn.NUMBERVALUE(Carga[[#This Row],[Tombamento]]),_xlfn.NUMBERVALUE(Inventários[Tombamento]),Inventários[Descrição resumida do bem],"(A) Atenção Bem Não cadastrado")</f>
        <v xml:space="preserve">DOSADOR DE CLORO COMPLETO </v>
      </c>
    </row>
    <row r="373" spans="1:9" ht="30" customHeight="1" x14ac:dyDescent="0.15">
      <c r="A373" s="88" t="s">
        <v>853</v>
      </c>
      <c r="B373" s="88" t="s">
        <v>1022</v>
      </c>
      <c r="C373" s="88" t="s">
        <v>618</v>
      </c>
      <c r="D373" s="88" t="s">
        <v>17</v>
      </c>
      <c r="E373" s="88" t="s">
        <v>619</v>
      </c>
      <c r="F373" s="88" t="s">
        <v>18</v>
      </c>
      <c r="G373" s="88" t="s">
        <v>19</v>
      </c>
      <c r="H373" s="63" t="str" cm="1">
        <f t="array" ref="H373">IF(A373&lt;&gt;"",_xlfn.XLOOKUP(_xlfn.NUMBERVALUE(A373),_xlfn.NUMBERVALUE(Inventários[Tombamento]),Inventários[Processo - localização específica]),"")</f>
        <v>Flotadores - medidores de vazão de água saturada Módulos 01/02</v>
      </c>
      <c r="I373" s="1" t="str" cm="1">
        <f t="array" ref="I373">_xlfn.XLOOKUP(_xlfn.NUMBERVALUE(Carga[[#This Row],[Tombamento]]),_xlfn.NUMBERVALUE(Inventários[Tombamento]),Inventários[Descrição resumida do bem],"(A) Atenção Bem Não cadastrado")</f>
        <v>MEDIDOR ELETROMAGNÉTICO DE VAZÃO, COM FLANGES Ø200MM</v>
      </c>
    </row>
    <row r="374" spans="1:9" ht="30" customHeight="1" x14ac:dyDescent="0.15">
      <c r="A374" s="88" t="s">
        <v>854</v>
      </c>
      <c r="B374" s="88" t="s">
        <v>1022</v>
      </c>
      <c r="C374" s="88" t="s">
        <v>618</v>
      </c>
      <c r="D374" s="88" t="s">
        <v>17</v>
      </c>
      <c r="E374" s="88" t="s">
        <v>619</v>
      </c>
      <c r="F374" s="88" t="s">
        <v>18</v>
      </c>
      <c r="G374" s="88" t="s">
        <v>19</v>
      </c>
      <c r="H374" s="63" t="str" cm="1">
        <f t="array" ref="H374">IF(A374&lt;&gt;"",_xlfn.XLOOKUP(_xlfn.NUMBERVALUE(A374),_xlfn.NUMBERVALUE(Inventários[Tombamento]),Inventários[Processo - localização específica]),"")</f>
        <v>Flotadores - medidores de vazão de água saturada Módulos 01/02</v>
      </c>
      <c r="I374" s="1" t="str" cm="1">
        <f t="array" ref="I374">_xlfn.XLOOKUP(_xlfn.NUMBERVALUE(Carga[[#This Row],[Tombamento]]),_xlfn.NUMBERVALUE(Inventários[Tombamento]),Inventários[Descrição resumida do bem],"(A) Atenção Bem Não cadastrado")</f>
        <v>MEDIDOR ELETROMAGNÉTICO DE VAZÃO, COM FLANGES Ø200MM</v>
      </c>
    </row>
    <row r="375" spans="1:9" ht="30" customHeight="1" x14ac:dyDescent="0.15">
      <c r="A375" s="88" t="s">
        <v>855</v>
      </c>
      <c r="B375" s="88" t="s">
        <v>1022</v>
      </c>
      <c r="C375" s="88" t="s">
        <v>618</v>
      </c>
      <c r="D375" s="88" t="s">
        <v>17</v>
      </c>
      <c r="E375" s="88" t="s">
        <v>619</v>
      </c>
      <c r="F375" s="88" t="s">
        <v>18</v>
      </c>
      <c r="G375" s="88" t="s">
        <v>19</v>
      </c>
      <c r="H375" s="63" t="str" cm="1">
        <f t="array" ref="H375">IF(A375&lt;&gt;"",_xlfn.XLOOKUP(_xlfn.NUMBERVALUE(A375),_xlfn.NUMBERVALUE(Inventários[Tombamento]),Inventários[Processo - localização específica]),"")</f>
        <v>Flotadores - medidores de vazão de água saturada Módulos 01/02</v>
      </c>
      <c r="I375" s="1" t="str" cm="1">
        <f t="array" ref="I375">_xlfn.XLOOKUP(_xlfn.NUMBERVALUE(Carga[[#This Row],[Tombamento]]),_xlfn.NUMBERVALUE(Inventários[Tombamento]),Inventários[Descrição resumida do bem],"(A) Atenção Bem Não cadastrado")</f>
        <v>MEDIDOR ELETROMAGNÉTICO DE VAZÃO, COM FLANGES Ø200MM</v>
      </c>
    </row>
    <row r="376" spans="1:9" ht="30" customHeight="1" x14ac:dyDescent="0.15">
      <c r="A376" s="88" t="s">
        <v>856</v>
      </c>
      <c r="B376" s="88" t="s">
        <v>1022</v>
      </c>
      <c r="C376" s="88" t="s">
        <v>618</v>
      </c>
      <c r="D376" s="88" t="s">
        <v>17</v>
      </c>
      <c r="E376" s="88" t="s">
        <v>619</v>
      </c>
      <c r="F376" s="88" t="s">
        <v>18</v>
      </c>
      <c r="G376" s="88" t="s">
        <v>19</v>
      </c>
      <c r="H376" s="63" t="str" cm="1">
        <f t="array" ref="H376">IF(A376&lt;&gt;"",_xlfn.XLOOKUP(_xlfn.NUMBERVALUE(A376),_xlfn.NUMBERVALUE(Inventários[Tombamento]),Inventários[Processo - localização específica]),"")</f>
        <v>Flotadores - medidores de vazão de água saturada Módulos 01/02</v>
      </c>
      <c r="I376" s="1" t="str" cm="1">
        <f t="array" ref="I376">_xlfn.XLOOKUP(_xlfn.NUMBERVALUE(Carga[[#This Row],[Tombamento]]),_xlfn.NUMBERVALUE(Inventários[Tombamento]),Inventários[Descrição resumida do bem],"(A) Atenção Bem Não cadastrado")</f>
        <v>MEDIDOR ELETROMAGNÉTICO DE VAZÃO, COM FLANGES Ø200MM</v>
      </c>
    </row>
    <row r="377" spans="1:9" ht="30" customHeight="1" x14ac:dyDescent="0.15">
      <c r="A377" s="88" t="s">
        <v>857</v>
      </c>
      <c r="B377" s="88" t="s">
        <v>1023</v>
      </c>
      <c r="C377" s="88" t="s">
        <v>618</v>
      </c>
      <c r="D377" s="88" t="s">
        <v>17</v>
      </c>
      <c r="E377" s="88" t="s">
        <v>619</v>
      </c>
      <c r="F377" s="88" t="s">
        <v>18</v>
      </c>
      <c r="G377" s="88" t="s">
        <v>19</v>
      </c>
      <c r="H377" s="63" t="str" cm="1">
        <f t="array" ref="H377">IF(A377&lt;&gt;"",_xlfn.XLOOKUP(_xlfn.NUMBERVALUE(A377),_xlfn.NUMBERVALUE(Inventários[Tombamento]),Inventários[Processo - localização específica]),"")</f>
        <v>Flotador 02 - removedor(es) de lodo</v>
      </c>
      <c r="I377" s="1" t="str" cm="1">
        <f t="array" ref="I377">_xlfn.XLOOKUP(_xlfn.NUMBERVALUE(Carga[[#This Row],[Tombamento]]),_xlfn.NUMBERVALUE(Inventários[Tombamento]),Inventários[Descrição resumida do bem],"(A) Atenção Bem Não cadastrado")</f>
        <v>REMOVEDOR MECÂNICO DE LODO FLOTADO, DO TIPO COM CORRENTES, PARA FLOTADOR RETANGULAR, COMPLETO COM "PRAIA" PARA RETIRADA DE LODO E VERTEDOR DE SAÍDA, CONFORME ES</v>
      </c>
    </row>
    <row r="378" spans="1:9" ht="30" customHeight="1" x14ac:dyDescent="0.15">
      <c r="A378" s="88" t="s">
        <v>858</v>
      </c>
      <c r="B378" s="88" t="s">
        <v>1023</v>
      </c>
      <c r="C378" s="88" t="s">
        <v>618</v>
      </c>
      <c r="D378" s="88" t="s">
        <v>17</v>
      </c>
      <c r="E378" s="88" t="s">
        <v>619</v>
      </c>
      <c r="F378" s="88" t="s">
        <v>18</v>
      </c>
      <c r="G378" s="88" t="s">
        <v>19</v>
      </c>
      <c r="H378" s="63" t="str" cm="1">
        <f t="array" ref="H378">IF(A378&lt;&gt;"",_xlfn.XLOOKUP(_xlfn.NUMBERVALUE(A378),_xlfn.NUMBERVALUE(Inventários[Tombamento]),Inventários[Processo - localização específica]),"")</f>
        <v>Flotador 03 - removedor(es) de lodo</v>
      </c>
      <c r="I378" s="1" t="str" cm="1">
        <f t="array" ref="I378">_xlfn.XLOOKUP(_xlfn.NUMBERVALUE(Carga[[#This Row],[Tombamento]]),_xlfn.NUMBERVALUE(Inventários[Tombamento]),Inventários[Descrição resumida do bem],"(A) Atenção Bem Não cadastrado")</f>
        <v>REMOVEDOR MECÂNICO DE LODO FLOTADO, DO TIPO COM CORRENTES, PARA FLOTADOR RETANGULAR, COMPLETO COM "PRAIA" PARA RETIRADA DE LODO E VERTEDOR DE SAÍDA, CONFORME ES</v>
      </c>
    </row>
    <row r="379" spans="1:9" ht="30" customHeight="1" x14ac:dyDescent="0.15">
      <c r="A379" s="88" t="s">
        <v>859</v>
      </c>
      <c r="B379" s="88" t="s">
        <v>1023</v>
      </c>
      <c r="C379" s="88" t="s">
        <v>618</v>
      </c>
      <c r="D379" s="88" t="s">
        <v>17</v>
      </c>
      <c r="E379" s="88" t="s">
        <v>619</v>
      </c>
      <c r="F379" s="88" t="s">
        <v>18</v>
      </c>
      <c r="G379" s="88" t="s">
        <v>19</v>
      </c>
      <c r="H379" s="63" t="str" cm="1">
        <f t="array" ref="H379">IF(A379&lt;&gt;"",_xlfn.XLOOKUP(_xlfn.NUMBERVALUE(A379),_xlfn.NUMBERVALUE(Inventários[Tombamento]),Inventários[Processo - localização específica]),"")</f>
        <v>Flotador 01 - removedor(es) de lodo</v>
      </c>
      <c r="I379" s="1" t="str" cm="1">
        <f t="array" ref="I379">_xlfn.XLOOKUP(_xlfn.NUMBERVALUE(Carga[[#This Row],[Tombamento]]),_xlfn.NUMBERVALUE(Inventários[Tombamento]),Inventários[Descrição resumida do bem],"(A) Atenção Bem Não cadastrado")</f>
        <v>REMOVEDOR MECÂNICO DE LODO FLOTADO, DO TIPO COM CORRENTES, PARA FLOTADOR RETANGULAR, COMPLETO COM "PRAIA" PARA RETIRADA DE LODO E VERTEDOR DE SAÍDA, CONFORME ES</v>
      </c>
    </row>
    <row r="380" spans="1:9" ht="30" customHeight="1" x14ac:dyDescent="0.15">
      <c r="A380" s="88" t="s">
        <v>860</v>
      </c>
      <c r="B380" s="88" t="s">
        <v>1023</v>
      </c>
      <c r="C380" s="88" t="s">
        <v>618</v>
      </c>
      <c r="D380" s="88" t="s">
        <v>17</v>
      </c>
      <c r="E380" s="88" t="s">
        <v>619</v>
      </c>
      <c r="F380" s="88" t="s">
        <v>18</v>
      </c>
      <c r="G380" s="88" t="s">
        <v>19</v>
      </c>
      <c r="H380" s="63" t="str" cm="1">
        <f t="array" ref="H380">IF(A380&lt;&gt;"",_xlfn.XLOOKUP(_xlfn.NUMBERVALUE(A380),_xlfn.NUMBERVALUE(Inventários[Tombamento]),Inventários[Processo - localização específica]),"")</f>
        <v>Flotador 04 - removedor(es) de lodo</v>
      </c>
      <c r="I380" s="1" t="str" cm="1">
        <f t="array" ref="I380">_xlfn.XLOOKUP(_xlfn.NUMBERVALUE(Carga[[#This Row],[Tombamento]]),_xlfn.NUMBERVALUE(Inventários[Tombamento]),Inventários[Descrição resumida do bem],"(A) Atenção Bem Não cadastrado")</f>
        <v>REMOVEDOR MECÂNICO DE LODO FLOTADO, DO TIPO COM CORRENTES, PARA FLOTADOR RETANGULAR, COMPLETO COM "PRAIA" PARA RETIRADA DE LODO E VERTEDOR DE SAÍDA, CONFORME ES</v>
      </c>
    </row>
    <row r="381" spans="1:9" ht="30" customHeight="1" x14ac:dyDescent="0.15">
      <c r="A381" s="88" t="s">
        <v>861</v>
      </c>
      <c r="B381" s="88" t="s">
        <v>1024</v>
      </c>
      <c r="C381" s="88" t="s">
        <v>618</v>
      </c>
      <c r="D381" s="88" t="s">
        <v>17</v>
      </c>
      <c r="E381" s="88" t="s">
        <v>619</v>
      </c>
      <c r="F381" s="88" t="s">
        <v>18</v>
      </c>
      <c r="G381" s="88" t="s">
        <v>19</v>
      </c>
      <c r="H381" s="63" t="str" cm="1">
        <f t="array" ref="H381">IF(A381&lt;&gt;"",_xlfn.XLOOKUP(_xlfn.NUMBERVALUE(A381),_xlfn.NUMBERVALUE(Inventários[Tombamento]),Inventários[Processo - localização específica]),"")</f>
        <v>Flotadores - compressores de ar e válvulas de drenagem Módulos 01/02</v>
      </c>
      <c r="I381" s="1" t="str" cm="1">
        <f t="array" ref="I381">_xlfn.XLOOKUP(_xlfn.NUMBERVALUE(Carga[[#This Row],[Tombamento]]),_xlfn.NUMBERVALUE(Inventários[Tombamento]),Inventários[Descrição resumida do bem],"(A) Atenção Bem Não cadastrado")</f>
        <v>SATURADOR PARA FLOTAÇÃO COM DIÂMETRO DE 1,50 M, COMPLETO, CONFORME ESPECIFICAÇÃO</v>
      </c>
    </row>
    <row r="382" spans="1:9" ht="30" customHeight="1" x14ac:dyDescent="0.15">
      <c r="A382" s="88" t="s">
        <v>862</v>
      </c>
      <c r="B382" s="88" t="s">
        <v>1024</v>
      </c>
      <c r="C382" s="88" t="s">
        <v>618</v>
      </c>
      <c r="D382" s="88" t="s">
        <v>17</v>
      </c>
      <c r="E382" s="88" t="s">
        <v>619</v>
      </c>
      <c r="F382" s="88" t="s">
        <v>18</v>
      </c>
      <c r="G382" s="88" t="s">
        <v>19</v>
      </c>
      <c r="H382" s="63" t="str" cm="1">
        <f t="array" ref="H382">IF(A382&lt;&gt;"",_xlfn.XLOOKUP(_xlfn.NUMBERVALUE(A382),_xlfn.NUMBERVALUE(Inventários[Tombamento]),Inventários[Processo - localização específica]),"")</f>
        <v>Flotadores - compressores de ar e válvulas de drenagem Módulos 01/02</v>
      </c>
      <c r="I382" s="1" t="str" cm="1">
        <f t="array" ref="I382">_xlfn.XLOOKUP(_xlfn.NUMBERVALUE(Carga[[#This Row],[Tombamento]]),_xlfn.NUMBERVALUE(Inventários[Tombamento]),Inventários[Descrição resumida do bem],"(A) Atenção Bem Não cadastrado")</f>
        <v>SATURADOR PARA FLOTAÇÃO COM DIÂMETRO DE 1,50 M, COMPLETO, CONFORME ESPECIFICAÇÃO</v>
      </c>
    </row>
    <row r="383" spans="1:9" ht="30" customHeight="1" x14ac:dyDescent="0.15">
      <c r="A383" s="88" t="s">
        <v>863</v>
      </c>
      <c r="B383" s="88" t="s">
        <v>1024</v>
      </c>
      <c r="C383" s="88" t="s">
        <v>618</v>
      </c>
      <c r="D383" s="88" t="s">
        <v>17</v>
      </c>
      <c r="E383" s="88" t="s">
        <v>619</v>
      </c>
      <c r="F383" s="88" t="s">
        <v>18</v>
      </c>
      <c r="G383" s="88" t="s">
        <v>19</v>
      </c>
      <c r="H383" s="63" t="str" cm="1">
        <f t="array" ref="H383">IF(A383&lt;&gt;"",_xlfn.XLOOKUP(_xlfn.NUMBERVALUE(A383),_xlfn.NUMBERVALUE(Inventários[Tombamento]),Inventários[Processo - localização específica]),"")</f>
        <v>Flotadores - compressores de ar e válvulas de drenagem Módulos 01/02</v>
      </c>
      <c r="I383" s="1" t="str" cm="1">
        <f t="array" ref="I383">_xlfn.XLOOKUP(_xlfn.NUMBERVALUE(Carga[[#This Row],[Tombamento]]),_xlfn.NUMBERVALUE(Inventários[Tombamento]),Inventários[Descrição resumida do bem],"(A) Atenção Bem Não cadastrado")</f>
        <v>SATURADOR PARA FLOTAÇÃO COM DIÂMETRO DE 1,50 M, COMPLETO, CONFORME ESPECIFICAÇÃO</v>
      </c>
    </row>
    <row r="384" spans="1:9" ht="30" customHeight="1" x14ac:dyDescent="0.15">
      <c r="A384" s="88" t="s">
        <v>864</v>
      </c>
      <c r="B384" s="88" t="s">
        <v>1024</v>
      </c>
      <c r="C384" s="88" t="s">
        <v>618</v>
      </c>
      <c r="D384" s="88" t="s">
        <v>17</v>
      </c>
      <c r="E384" s="88" t="s">
        <v>619</v>
      </c>
      <c r="F384" s="88" t="s">
        <v>18</v>
      </c>
      <c r="G384" s="88" t="s">
        <v>19</v>
      </c>
      <c r="H384" s="63" t="str" cm="1">
        <f t="array" ref="H384">IF(A384&lt;&gt;"",_xlfn.XLOOKUP(_xlfn.NUMBERVALUE(A384),_xlfn.NUMBERVALUE(Inventários[Tombamento]),Inventários[Processo - localização específica]),"")</f>
        <v>Flotadores - compressores de ar e válvulas de drenagem Módulos 01/02</v>
      </c>
      <c r="I384" s="1" t="str" cm="1">
        <f t="array" ref="I384">_xlfn.XLOOKUP(_xlfn.NUMBERVALUE(Carga[[#This Row],[Tombamento]]),_xlfn.NUMBERVALUE(Inventários[Tombamento]),Inventários[Descrição resumida do bem],"(A) Atenção Bem Não cadastrado")</f>
        <v>SATURADOR PARA FLOTAÇÃO COM DIÂMETRO DE 1,50 M, COMPLETO, CONFORME ESPECIFICAÇÃO</v>
      </c>
    </row>
    <row r="385" spans="1:9" ht="30" customHeight="1" x14ac:dyDescent="0.15">
      <c r="A385" s="88" t="s">
        <v>865</v>
      </c>
      <c r="B385" s="88" t="s">
        <v>1025</v>
      </c>
      <c r="C385" s="88" t="s">
        <v>618</v>
      </c>
      <c r="D385" s="88" t="s">
        <v>17</v>
      </c>
      <c r="E385" s="88" t="s">
        <v>619</v>
      </c>
      <c r="F385" s="88" t="s">
        <v>18</v>
      </c>
      <c r="G385" s="88" t="s">
        <v>19</v>
      </c>
      <c r="H385" s="63" t="str" cm="1">
        <f t="array" ref="H385">IF(A385&lt;&gt;"",_xlfn.XLOOKUP(_xlfn.NUMBERVALUE(A385),_xlfn.NUMBERVALUE(Inventários[Tombamento]),Inventários[Processo - localização específica]),"")</f>
        <v>Flotadores - compressores de ar e válvulas de drenagem Módulos 01/02</v>
      </c>
      <c r="I385" s="1" t="str" cm="1">
        <f t="array" ref="I385">_xlfn.XLOOKUP(_xlfn.NUMBERVALUE(Carga[[#This Row],[Tombamento]]),_xlfn.NUMBERVALUE(Inventários[Tombamento]),Inventários[Descrição resumida do bem],"(A) Atenção Bem Não cadastrado")</f>
        <v>SOPRADOR PARA LAVAGEM DOS FILTROS, COMPLETO, CONFORME ESPECIFICAÇÃO</v>
      </c>
    </row>
    <row r="386" spans="1:9" ht="30" customHeight="1" x14ac:dyDescent="0.15">
      <c r="A386" s="88" t="s">
        <v>866</v>
      </c>
      <c r="B386" s="88" t="s">
        <v>1025</v>
      </c>
      <c r="C386" s="88" t="s">
        <v>618</v>
      </c>
      <c r="D386" s="88" t="s">
        <v>17</v>
      </c>
      <c r="E386" s="88" t="s">
        <v>619</v>
      </c>
      <c r="F386" s="88" t="s">
        <v>18</v>
      </c>
      <c r="G386" s="88" t="s">
        <v>19</v>
      </c>
      <c r="H386" s="63" t="str" cm="1">
        <f t="array" ref="H386">IF(A386&lt;&gt;"",_xlfn.XLOOKUP(_xlfn.NUMBERVALUE(A386),_xlfn.NUMBERVALUE(Inventários[Tombamento]),Inventários[Processo - localização específica]),"")</f>
        <v>Flotadores - compressores de ar e válvulas de drenagem Módulos 01/02</v>
      </c>
      <c r="I386" s="1" t="str" cm="1">
        <f t="array" ref="I386">_xlfn.XLOOKUP(_xlfn.NUMBERVALUE(Carga[[#This Row],[Tombamento]]),_xlfn.NUMBERVALUE(Inventários[Tombamento]),Inventários[Descrição resumida do bem],"(A) Atenção Bem Não cadastrado")</f>
        <v>SOPRADOR PARA LAVAGEM DOS FILTROS, COMPLETO, CONFORME ESPECIFICAÇÃO</v>
      </c>
    </row>
    <row r="387" spans="1:9" ht="19.899999999999999" customHeight="1" x14ac:dyDescent="0.15">
      <c r="A387" s="88" t="s">
        <v>867</v>
      </c>
      <c r="B387" s="88" t="s">
        <v>1026</v>
      </c>
      <c r="C387" s="88" t="s">
        <v>618</v>
      </c>
      <c r="D387" s="88" t="s">
        <v>17</v>
      </c>
      <c r="E387" s="88" t="s">
        <v>619</v>
      </c>
      <c r="F387" s="88" t="s">
        <v>18</v>
      </c>
      <c r="G387" s="88" t="s">
        <v>19</v>
      </c>
      <c r="H387" s="63" t="str" cm="1">
        <f t="array" ref="H387">IF(A387&lt;&gt;"",_xlfn.XLOOKUP(_xlfn.NUMBERVALUE(A387),_xlfn.NUMBERVALUE(Inventários[Tombamento]),Inventários[Processo - localização específica]),"")</f>
        <v>Filtro 01 - válvulas de ar, água filtrada, lavagem e drenagem</v>
      </c>
      <c r="I387" s="1" t="str" cm="1">
        <f t="array" ref="I387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88" spans="1:9" ht="30" customHeight="1" x14ac:dyDescent="0.15">
      <c r="A388" s="88" t="s">
        <v>868</v>
      </c>
      <c r="B388" s="88" t="s">
        <v>1026</v>
      </c>
      <c r="C388" s="88" t="s">
        <v>618</v>
      </c>
      <c r="D388" s="88" t="s">
        <v>17</v>
      </c>
      <c r="E388" s="88" t="s">
        <v>619</v>
      </c>
      <c r="F388" s="88" t="s">
        <v>18</v>
      </c>
      <c r="G388" s="88" t="s">
        <v>19</v>
      </c>
      <c r="H388" s="63" t="str" cm="1">
        <f t="array" ref="H388">IF(A388&lt;&gt;"",_xlfn.XLOOKUP(_xlfn.NUMBERVALUE(A388),_xlfn.NUMBERVALUE(Inventários[Tombamento]),Inventários[Processo - localização específica]),"")</f>
        <v>Filtro 01 - válvulas de ar, água filtrada, lavagem e drenagem</v>
      </c>
      <c r="I388" s="1" t="str" cm="1">
        <f t="array" ref="I388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89" spans="1:9" ht="30" customHeight="1" x14ac:dyDescent="0.15">
      <c r="A389" s="88" t="s">
        <v>869</v>
      </c>
      <c r="B389" s="88" t="s">
        <v>1026</v>
      </c>
      <c r="C389" s="88" t="s">
        <v>618</v>
      </c>
      <c r="D389" s="88" t="s">
        <v>17</v>
      </c>
      <c r="E389" s="88" t="s">
        <v>619</v>
      </c>
      <c r="F389" s="88" t="s">
        <v>18</v>
      </c>
      <c r="G389" s="88" t="s">
        <v>19</v>
      </c>
      <c r="H389" s="63" t="str" cm="1">
        <f t="array" ref="H389">IF(A389&lt;&gt;"",_xlfn.XLOOKUP(_xlfn.NUMBERVALUE(A389),_xlfn.NUMBERVALUE(Inventários[Tombamento]),Inventários[Processo - localização específica]),"")</f>
        <v>Filtro 02 -  válvulas de ar, água filtrada, lavagem e drenagem</v>
      </c>
      <c r="I389" s="1" t="str" cm="1">
        <f t="array" ref="I389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90" spans="1:9" ht="30" customHeight="1" x14ac:dyDescent="0.15">
      <c r="A390" s="88" t="s">
        <v>870</v>
      </c>
      <c r="B390" s="88" t="s">
        <v>1026</v>
      </c>
      <c r="C390" s="88" t="s">
        <v>618</v>
      </c>
      <c r="D390" s="88" t="s">
        <v>17</v>
      </c>
      <c r="E390" s="88" t="s">
        <v>619</v>
      </c>
      <c r="F390" s="88" t="s">
        <v>18</v>
      </c>
      <c r="G390" s="88" t="s">
        <v>19</v>
      </c>
      <c r="H390" s="63" t="str" cm="1">
        <f t="array" ref="H390">IF(A390&lt;&gt;"",_xlfn.XLOOKUP(_xlfn.NUMBERVALUE(A390),_xlfn.NUMBERVALUE(Inventários[Tombamento]),Inventários[Processo - localização específica]),"")</f>
        <v>Filtro 02 -  válvulas de ar, água filtrada, lavagem e drenagem</v>
      </c>
      <c r="I390" s="1" t="str" cm="1">
        <f t="array" ref="I390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91" spans="1:9" ht="30" customHeight="1" x14ac:dyDescent="0.15">
      <c r="A391" s="88" t="s">
        <v>871</v>
      </c>
      <c r="B391" s="88" t="s">
        <v>1026</v>
      </c>
      <c r="C391" s="88" t="s">
        <v>618</v>
      </c>
      <c r="D391" s="88" t="s">
        <v>17</v>
      </c>
      <c r="E391" s="88" t="s">
        <v>619</v>
      </c>
      <c r="F391" s="88" t="s">
        <v>18</v>
      </c>
      <c r="G391" s="88" t="s">
        <v>19</v>
      </c>
      <c r="H391" s="63" t="str" cm="1">
        <f t="array" ref="H391">IF(A391&lt;&gt;"",_xlfn.XLOOKUP(_xlfn.NUMBERVALUE(A391),_xlfn.NUMBERVALUE(Inventários[Tombamento]),Inventários[Processo - localização específica]),"")</f>
        <v>Filtro 03 -  válvulas de ar, água filtrada, lavagem e drenagem</v>
      </c>
      <c r="I391" s="1" t="str" cm="1">
        <f t="array" ref="I391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92" spans="1:9" ht="30" customHeight="1" x14ac:dyDescent="0.15">
      <c r="A392" s="88" t="s">
        <v>872</v>
      </c>
      <c r="B392" s="88" t="s">
        <v>1026</v>
      </c>
      <c r="C392" s="88" t="s">
        <v>618</v>
      </c>
      <c r="D392" s="88" t="s">
        <v>17</v>
      </c>
      <c r="E392" s="88" t="s">
        <v>619</v>
      </c>
      <c r="F392" s="88" t="s">
        <v>18</v>
      </c>
      <c r="G392" s="88" t="s">
        <v>19</v>
      </c>
      <c r="H392" s="63" t="str" cm="1">
        <f t="array" ref="H392">IF(A392&lt;&gt;"",_xlfn.XLOOKUP(_xlfn.NUMBERVALUE(A392),_xlfn.NUMBERVALUE(Inventários[Tombamento]),Inventários[Processo - localização específica]),"")</f>
        <v>Filtro 03 -  válvulas de ar, água filtrada, lavagem e drenagem</v>
      </c>
      <c r="I392" s="1" t="str" cm="1">
        <f t="array" ref="I392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93" spans="1:9" ht="30" customHeight="1" x14ac:dyDescent="0.15">
      <c r="A393" s="88" t="s">
        <v>873</v>
      </c>
      <c r="B393" s="88" t="s">
        <v>1026</v>
      </c>
      <c r="C393" s="88" t="s">
        <v>618</v>
      </c>
      <c r="D393" s="88" t="s">
        <v>17</v>
      </c>
      <c r="E393" s="88" t="s">
        <v>619</v>
      </c>
      <c r="F393" s="88" t="s">
        <v>18</v>
      </c>
      <c r="G393" s="88" t="s">
        <v>19</v>
      </c>
      <c r="H393" s="63" t="str" cm="1">
        <f t="array" ref="H393">IF(A393&lt;&gt;"",_xlfn.XLOOKUP(_xlfn.NUMBERVALUE(A393),_xlfn.NUMBERVALUE(Inventários[Tombamento]),Inventários[Processo - localização específica]),"")</f>
        <v>Filtro 04 -  válvulas de ar, água filtrada, lavagem e drenagem</v>
      </c>
      <c r="I393" s="1" t="str" cm="1">
        <f t="array" ref="I393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94" spans="1:9" ht="19.899999999999999" customHeight="1" x14ac:dyDescent="0.15">
      <c r="A394" s="88" t="s">
        <v>874</v>
      </c>
      <c r="B394" s="88" t="s">
        <v>1026</v>
      </c>
      <c r="C394" s="88" t="s">
        <v>618</v>
      </c>
      <c r="D394" s="88" t="s">
        <v>17</v>
      </c>
      <c r="E394" s="88" t="s">
        <v>619</v>
      </c>
      <c r="F394" s="88" t="s">
        <v>18</v>
      </c>
      <c r="G394" s="88" t="s">
        <v>19</v>
      </c>
      <c r="H394" s="63" t="str" cm="1">
        <f t="array" ref="H394">IF(A394&lt;&gt;"",_xlfn.XLOOKUP(_xlfn.NUMBERVALUE(A394),_xlfn.NUMBERVALUE(Inventários[Tombamento]),Inventários[Processo - localização específica]),"")</f>
        <v>Filtro 04 -  válvulas de ar, água filtrada, lavagem e drenagem</v>
      </c>
      <c r="I394" s="1" t="str" cm="1">
        <f t="array" ref="I394">_xlfn.XLOOKUP(_xlfn.NUMBERVALUE(Carga[[#This Row],[Tombamento]]),_xlfn.NUMBERVALUE(Inventários[Tombamento]),Inventários[Descrição resumida do bem],"(A) Atenção Bem Não cadastrado")</f>
        <v>VÁLVULA BORBOLETA, COM ACIONAMENTO ELÉTRICO, COM FLANGES PN-10, COMPLETA - DIÂMETRO 200 MM</v>
      </c>
    </row>
    <row r="395" spans="1:9" ht="19.899999999999999" customHeight="1" x14ac:dyDescent="0.15">
      <c r="A395" s="88" t="s">
        <v>875</v>
      </c>
      <c r="B395" s="88" t="s">
        <v>1027</v>
      </c>
      <c r="C395" s="88" t="s">
        <v>618</v>
      </c>
      <c r="D395" s="88" t="s">
        <v>17</v>
      </c>
      <c r="E395" s="88" t="s">
        <v>619</v>
      </c>
      <c r="F395" s="88" t="s">
        <v>18</v>
      </c>
      <c r="G395" s="88" t="s">
        <v>19</v>
      </c>
      <c r="H395" s="63" t="str" cm="1">
        <f t="array" ref="H395">IF(A395&lt;&gt;"",_xlfn.XLOOKUP(_xlfn.NUMBERVALUE(A395),_xlfn.NUMBERVALUE(Inventários[Tombamento]),Inventários[Processo - localização específica]),"")</f>
        <v>TAPQ - elevatórias de água p/ lavagem de filtros</v>
      </c>
      <c r="I395" s="1" t="str" cm="1">
        <f t="array" ref="I395">_xlfn.XLOOKUP(_xlfn.NUMBERVALUE(Carga[[#This Row],[Tombamento]]),_xlfn.NUMBERVALUE(Inventários[Tombamento]),Inventários[Descrição resumida do bem],"(A) Atenção Bem Não cadastrado")</f>
        <v>CONJUNTO MOTOR BOMBA PARA LAVAGEM DOS FILTROS, COMPLETA, CONFORME ESPECIFICAÇÃO</v>
      </c>
    </row>
    <row r="396" spans="1:9" ht="19.899999999999999" customHeight="1" x14ac:dyDescent="0.15">
      <c r="A396" s="88" t="s">
        <v>876</v>
      </c>
      <c r="B396" s="88" t="s">
        <v>1027</v>
      </c>
      <c r="C396" s="88" t="s">
        <v>618</v>
      </c>
      <c r="D396" s="88" t="s">
        <v>17</v>
      </c>
      <c r="E396" s="88" t="s">
        <v>619</v>
      </c>
      <c r="F396" s="88" t="s">
        <v>18</v>
      </c>
      <c r="G396" s="88" t="s">
        <v>19</v>
      </c>
      <c r="H396" s="63" t="str" cm="1">
        <f t="array" ref="H396">IF(A396&lt;&gt;"",_xlfn.XLOOKUP(_xlfn.NUMBERVALUE(A396),_xlfn.NUMBERVALUE(Inventários[Tombamento]),Inventários[Processo - localização específica]),"")</f>
        <v>TAPQ - elevatórias de água p/ lavagem de filtros</v>
      </c>
      <c r="I396" s="1" t="str" cm="1">
        <f t="array" ref="I396">_xlfn.XLOOKUP(_xlfn.NUMBERVALUE(Carga[[#This Row],[Tombamento]]),_xlfn.NUMBERVALUE(Inventários[Tombamento]),Inventários[Descrição resumida do bem],"(A) Atenção Bem Não cadastrado")</f>
        <v>CONJUNTO MOTOR BOMBA PARA LAVAGEM DOS FILTROS, COMPLETA, CONFORME ESPECIFICAÇÃO</v>
      </c>
    </row>
    <row r="397" spans="1:9" ht="30" customHeight="1" x14ac:dyDescent="0.15">
      <c r="A397" s="88" t="s">
        <v>877</v>
      </c>
      <c r="B397" s="88" t="s">
        <v>152</v>
      </c>
      <c r="C397" s="88" t="s">
        <v>618</v>
      </c>
      <c r="D397" s="88" t="s">
        <v>17</v>
      </c>
      <c r="E397" s="88" t="s">
        <v>619</v>
      </c>
      <c r="F397" s="88" t="s">
        <v>18</v>
      </c>
      <c r="G397" s="88" t="s">
        <v>19</v>
      </c>
      <c r="H397" s="63" t="str" cm="1">
        <f t="array" ref="H397">IF(A397&lt;&gt;"",_xlfn.XLOOKUP(_xlfn.NUMBERVALUE(A397),_xlfn.NUMBERVALUE(Inventários[Tombamento]),Inventários[Processo - localização específica]),"")</f>
        <v>Prédio - depósito de bens</v>
      </c>
      <c r="I397" s="1" t="str" cm="1">
        <f t="array" ref="I397">_xlfn.XLOOKUP(_xlfn.NUMBERVALUE(Carga[[#This Row],[Tombamento]]),_xlfn.NUMBERVALUE(Inventários[Tombamento]),Inventários[Descrição resumida do bem],"(A) Atenção Bem Não cadastrado")</f>
        <v xml:space="preserve">TALHA MANUAL MONOVIA - 5 TONELADAS </v>
      </c>
    </row>
    <row r="398" spans="1:9" ht="30" customHeight="1" x14ac:dyDescent="0.15">
      <c r="A398" s="88" t="s">
        <v>878</v>
      </c>
      <c r="B398" s="88" t="s">
        <v>1028</v>
      </c>
      <c r="C398" s="88" t="s">
        <v>618</v>
      </c>
      <c r="D398" s="88" t="s">
        <v>17</v>
      </c>
      <c r="E398" s="88" t="s">
        <v>619</v>
      </c>
      <c r="F398" s="88" t="s">
        <v>18</v>
      </c>
      <c r="G398" s="88" t="s">
        <v>19</v>
      </c>
      <c r="H398" s="63" t="str" cm="1">
        <f t="array" ref="H398">IF(A398&lt;&gt;"",_xlfn.XLOOKUP(_xlfn.NUMBERVALUE(A398),_xlfn.NUMBERVALUE(Inventários[Tombamento]),Inventários[Processo - localização específica]),"")</f>
        <v>SDL - dosadoras de lodo adensado e polímero</v>
      </c>
      <c r="I398" s="1" t="str" cm="1">
        <f t="array" ref="I398">_xlfn.XLOOKUP(_xlfn.NUMBERVALUE(Carga[[#This Row],[Tombamento]]),_xlfn.NUMBERVALUE(Inventários[Tombamento]),Inventários[Descrição resumida do bem],"(A) Atenção Bem Não cadastrado")</f>
        <v>BOMBA HELICOIDAL PARA O RECALQUE DE LODO DO TANQUE DE LODO PARA CENTRÍFUGA, COMPLETA, CONFORME ESPECIFICAÇÃO</v>
      </c>
    </row>
    <row r="399" spans="1:9" ht="19.899999999999999" customHeight="1" x14ac:dyDescent="0.15">
      <c r="A399" s="88" t="s">
        <v>879</v>
      </c>
      <c r="B399" s="88" t="s">
        <v>1028</v>
      </c>
      <c r="C399" s="88" t="s">
        <v>618</v>
      </c>
      <c r="D399" s="88" t="s">
        <v>17</v>
      </c>
      <c r="E399" s="88" t="s">
        <v>619</v>
      </c>
      <c r="F399" s="88" t="s">
        <v>18</v>
      </c>
      <c r="G399" s="88" t="s">
        <v>19</v>
      </c>
      <c r="H399" s="63" t="str" cm="1">
        <f t="array" ref="H399">IF(A399&lt;&gt;"",_xlfn.XLOOKUP(_xlfn.NUMBERVALUE(A399),_xlfn.NUMBERVALUE(Inventários[Tombamento]),Inventários[Processo - localização específica]),"")</f>
        <v>SDL - dosadoras de lodo adensado e polímero</v>
      </c>
      <c r="I399" s="1" t="str" cm="1">
        <f t="array" ref="I399">_xlfn.XLOOKUP(_xlfn.NUMBERVALUE(Carga[[#This Row],[Tombamento]]),_xlfn.NUMBERVALUE(Inventários[Tombamento]),Inventários[Descrição resumida do bem],"(A) Atenção Bem Não cadastrado")</f>
        <v>BOMBA HELICOIDAL PARA O RECALQUE DE LODO DO TANQUE DE LODO PARA CENTRÍFUGA, COMPLETA, CONFORME ESPECIFICAÇÃO</v>
      </c>
    </row>
    <row r="400" spans="1:9" ht="19.899999999999999" customHeight="1" x14ac:dyDescent="0.15">
      <c r="A400" s="88" t="s">
        <v>880</v>
      </c>
      <c r="B400" s="88" t="s">
        <v>1029</v>
      </c>
      <c r="C400" s="88" t="s">
        <v>618</v>
      </c>
      <c r="D400" s="88" t="s">
        <v>17</v>
      </c>
      <c r="E400" s="88" t="s">
        <v>619</v>
      </c>
      <c r="F400" s="88" t="s">
        <v>18</v>
      </c>
      <c r="G400" s="88" t="s">
        <v>19</v>
      </c>
      <c r="H400" s="63" t="str" cm="1">
        <f t="array" ref="H400">IF(A400&lt;&gt;"",_xlfn.XLOOKUP(_xlfn.NUMBERVALUE(A400),_xlfn.NUMBERVALUE(Inventários[Tombamento]),Inventários[Processo - localização específica]),"")</f>
        <v>SDL - dosadoras de lodo adensado e polímero</v>
      </c>
      <c r="I400" s="1" t="str" cm="1">
        <f t="array" ref="I400">_xlfn.XLOOKUP(_xlfn.NUMBERVALUE(Carga[[#This Row],[Tombamento]]),_xlfn.NUMBERVALUE(Inventários[Tombamento]),Inventários[Descrição resumida do bem],"(A) Atenção Bem Não cadastrado")</f>
        <v>BOMBAS DOSADORAS PARA DOSAGEM DE SOLUÇÃO DE POLÍMERO, COMPLETA, CONFORME ESPECIFICAÇÃO</v>
      </c>
    </row>
    <row r="401" spans="1:9" ht="19.899999999999999" customHeight="1" x14ac:dyDescent="0.15">
      <c r="A401" s="88" t="s">
        <v>881</v>
      </c>
      <c r="B401" s="88" t="s">
        <v>1029</v>
      </c>
      <c r="C401" s="88" t="s">
        <v>618</v>
      </c>
      <c r="D401" s="88" t="s">
        <v>17</v>
      </c>
      <c r="E401" s="88" t="s">
        <v>619</v>
      </c>
      <c r="F401" s="88" t="s">
        <v>18</v>
      </c>
      <c r="G401" s="88" t="s">
        <v>19</v>
      </c>
      <c r="H401" s="63" t="str" cm="1">
        <f t="array" ref="H401">IF(A401&lt;&gt;"",_xlfn.XLOOKUP(_xlfn.NUMBERVALUE(A401),_xlfn.NUMBERVALUE(Inventários[Tombamento]),Inventários[Processo - localização específica]),"")</f>
        <v>SDL - dosadoras de lodo adensado e polímero</v>
      </c>
      <c r="I401" s="1" t="str" cm="1">
        <f t="array" ref="I401">_xlfn.XLOOKUP(_xlfn.NUMBERVALUE(Carga[[#This Row],[Tombamento]]),_xlfn.NUMBERVALUE(Inventários[Tombamento]),Inventários[Descrição resumida do bem],"(A) Atenção Bem Não cadastrado")</f>
        <v>BOMBAS DOSADORAS PARA DOSAGEM DE SOLUÇÃO DE POLÍMERO, COMPLETA, CONFORME ESPECIFICAÇÃO</v>
      </c>
    </row>
    <row r="402" spans="1:9" ht="19.899999999999999" customHeight="1" x14ac:dyDescent="0.15">
      <c r="A402" s="88" t="s">
        <v>882</v>
      </c>
      <c r="B402" s="88" t="s">
        <v>1030</v>
      </c>
      <c r="C402" s="88" t="s">
        <v>618</v>
      </c>
      <c r="D402" s="88" t="s">
        <v>17</v>
      </c>
      <c r="E402" s="88" t="s">
        <v>619</v>
      </c>
      <c r="F402" s="88" t="s">
        <v>18</v>
      </c>
      <c r="G402" s="88" t="s">
        <v>19</v>
      </c>
      <c r="H402" s="63" t="str" cm="1">
        <f t="array" ref="H402">IF(A402&lt;&gt;"",_xlfn.XLOOKUP(_xlfn.NUMBERVALUE(A402),_xlfn.NUMBERVALUE(Inventários[Tombamento]),Inventários[Processo - localização específica]),"")</f>
        <v>SDL - decanters e med. de nível do tanque de lodo adensado</v>
      </c>
      <c r="I402" s="1" t="str" cm="1">
        <f t="array" ref="I402">_xlfn.XLOOKUP(_xlfn.NUMBERVALUE(Carga[[#This Row],[Tombamento]]),_xlfn.NUMBERVALUE(Inventários[Tombamento]),Inventários[Descrição resumida do bem],"(A) Atenção Bem Não cadastrado")</f>
        <v>CENTRÍFUGA DO TIPO "DECANTER" PARA DESIDRATAÇÃO DE LODO, COMPLETA, CONFORME ESPECIFICAÇÃO</v>
      </c>
    </row>
    <row r="403" spans="1:9" ht="19.899999999999999" customHeight="1" x14ac:dyDescent="0.15">
      <c r="A403" s="88" t="s">
        <v>883</v>
      </c>
      <c r="B403" s="88" t="s">
        <v>1030</v>
      </c>
      <c r="C403" s="88" t="s">
        <v>618</v>
      </c>
      <c r="D403" s="88" t="s">
        <v>17</v>
      </c>
      <c r="E403" s="88" t="s">
        <v>619</v>
      </c>
      <c r="F403" s="88" t="s">
        <v>18</v>
      </c>
      <c r="G403" s="88" t="s">
        <v>19</v>
      </c>
      <c r="H403" s="63" t="str" cm="1">
        <f t="array" ref="H403">IF(A403&lt;&gt;"",_xlfn.XLOOKUP(_xlfn.NUMBERVALUE(A403),_xlfn.NUMBERVALUE(Inventários[Tombamento]),Inventários[Processo - localização específica]),"")</f>
        <v>SDL - decanters e med. de nível do tanque de lodo adensado</v>
      </c>
      <c r="I403" s="1" t="str" cm="1">
        <f t="array" ref="I403">_xlfn.XLOOKUP(_xlfn.NUMBERVALUE(Carga[[#This Row],[Tombamento]]),_xlfn.NUMBERVALUE(Inventários[Tombamento]),Inventários[Descrição resumida do bem],"(A) Atenção Bem Não cadastrado")</f>
        <v>CENTRÍFUGA DO TIPO "DECANTER" PARA DESIDRATAÇÃO DE LODO, COMPLETA, CONFORME ESPECIFICAÇÃO</v>
      </c>
    </row>
    <row r="404" spans="1:9" ht="19.899999999999999" customHeight="1" x14ac:dyDescent="0.15">
      <c r="A404" s="88" t="s">
        <v>884</v>
      </c>
      <c r="B404" s="88" t="s">
        <v>151</v>
      </c>
      <c r="C404" s="88" t="s">
        <v>618</v>
      </c>
      <c r="D404" s="88" t="s">
        <v>17</v>
      </c>
      <c r="E404" s="88" t="s">
        <v>619</v>
      </c>
      <c r="F404" s="88" t="s">
        <v>18</v>
      </c>
      <c r="G404" s="88" t="s">
        <v>19</v>
      </c>
      <c r="H404" s="63" t="str" cm="1">
        <f t="array" ref="H404">IF(A404&lt;&gt;"",_xlfn.XLOOKUP(_xlfn.NUMBERVALUE(A404),_xlfn.NUMBERVALUE(Inventários[Tombamento]),Inventários[Processo - localização específica]),"")</f>
        <v>Prédio - depósito de bens</v>
      </c>
      <c r="I404" s="1" t="str" cm="1">
        <f t="array" ref="I404">_xlfn.XLOOKUP(_xlfn.NUMBERVALUE(Carga[[#This Row],[Tombamento]]),_xlfn.NUMBERVALUE(Inventários[Tombamento]),Inventários[Descrição resumida do bem],"(A) Atenção Bem Não cadastrado")</f>
        <v xml:space="preserve">TALHA MANUAL MONOVIA - 2 TONELADAS </v>
      </c>
    </row>
    <row r="405" spans="1:9" ht="30" customHeight="1" x14ac:dyDescent="0.15">
      <c r="A405" s="88" t="s">
        <v>885</v>
      </c>
      <c r="B405" s="88" t="s">
        <v>151</v>
      </c>
      <c r="C405" s="88" t="s">
        <v>618</v>
      </c>
      <c r="D405" s="88" t="s">
        <v>17</v>
      </c>
      <c r="E405" s="88" t="s">
        <v>619</v>
      </c>
      <c r="F405" s="88" t="s">
        <v>18</v>
      </c>
      <c r="G405" s="88" t="s">
        <v>19</v>
      </c>
      <c r="H405" s="63" t="str" cm="1">
        <f t="array" ref="H405">IF(A405&lt;&gt;"",_xlfn.XLOOKUP(_xlfn.NUMBERVALUE(A405),_xlfn.NUMBERVALUE(Inventários[Tombamento]),Inventários[Processo - localização específica]),"")</f>
        <v>Prédio - depósito de bens</v>
      </c>
      <c r="I405" s="1" t="str" cm="1">
        <f t="array" ref="I405">_xlfn.XLOOKUP(_xlfn.NUMBERVALUE(Carga[[#This Row],[Tombamento]]),_xlfn.NUMBERVALUE(Inventários[Tombamento]),Inventários[Descrição resumida do bem],"(A) Atenção Bem Não cadastrado")</f>
        <v xml:space="preserve">TALHA MANUAL MONOVIA - 2 TONELADAS </v>
      </c>
    </row>
    <row r="406" spans="1:9" ht="19.899999999999999" customHeight="1" x14ac:dyDescent="0.15">
      <c r="A406" s="88" t="s">
        <v>886</v>
      </c>
      <c r="B406" s="88" t="s">
        <v>153</v>
      </c>
      <c r="C406" s="88" t="s">
        <v>618</v>
      </c>
      <c r="D406" s="88" t="s">
        <v>17</v>
      </c>
      <c r="E406" s="88" t="s">
        <v>619</v>
      </c>
      <c r="F406" s="88" t="s">
        <v>18</v>
      </c>
      <c r="G406" s="88" t="s">
        <v>19</v>
      </c>
      <c r="H406" s="63" t="str" cm="1">
        <f t="array" ref="H406">IF(A406&lt;&gt;"",_xlfn.XLOOKUP(_xlfn.NUMBERVALUE(A406),_xlfn.NUMBERVALUE(Inventários[Tombamento]),Inventários[Processo - localização específica]),"")</f>
        <v>Prédio - depósito de bens</v>
      </c>
      <c r="I406" s="1" t="str" cm="1">
        <f t="array" ref="I406">_xlfn.XLOOKUP(_xlfn.NUMBERVALUE(Carga[[#This Row],[Tombamento]]),_xlfn.NUMBERVALUE(Inventários[Tombamento]),Inventários[Descrição resumida do bem],"(A) Atenção Bem Não cadastrado")</f>
        <v xml:space="preserve">TALHA MANUAL MONOVIA - 3 TONELADAS </v>
      </c>
    </row>
    <row r="407" spans="1:9" ht="19.899999999999999" customHeight="1" x14ac:dyDescent="0.15">
      <c r="A407" s="88" t="s">
        <v>887</v>
      </c>
      <c r="B407" s="88" t="s">
        <v>1031</v>
      </c>
      <c r="C407" s="88" t="s">
        <v>618</v>
      </c>
      <c r="D407" s="88" t="s">
        <v>17</v>
      </c>
      <c r="E407" s="88" t="s">
        <v>619</v>
      </c>
      <c r="F407" s="88" t="s">
        <v>18</v>
      </c>
      <c r="G407" s="88" t="s">
        <v>19</v>
      </c>
      <c r="H407" s="63" t="str" cm="1">
        <f t="array" ref="H407">IF(A407&lt;&gt;"",_xlfn.XLOOKUP(_xlfn.NUMBERVALUE(A407),_xlfn.NUMBERVALUE(Inventários[Tombamento]),Inventários[Processo - localização específica]),"")</f>
        <v>SDL - dosadoras de lodo adensado e polímero</v>
      </c>
      <c r="I407" s="1" t="str" cm="1">
        <f t="array" ref="I407">_xlfn.XLOOKUP(_xlfn.NUMBERVALUE(Carga[[#This Row],[Tombamento]]),_xlfn.NUMBERVALUE(Inventários[Tombamento]),Inventários[Descrição resumida do bem],"(A) Atenção Bem Não cadastrado")</f>
        <v>EQUIPAMENTO PARA PREPARO DE SOLUÇÃO DE POLÍMEROS, COMPLETO, CONF. ESPECIFICAÇÃO</v>
      </c>
    </row>
    <row r="408" spans="1:9" ht="19.899999999999999" customHeight="1" x14ac:dyDescent="0.15">
      <c r="A408" s="88" t="s">
        <v>888</v>
      </c>
      <c r="B408" s="88" t="s">
        <v>1031</v>
      </c>
      <c r="C408" s="88" t="s">
        <v>618</v>
      </c>
      <c r="D408" s="88" t="s">
        <v>17</v>
      </c>
      <c r="E408" s="88" t="s">
        <v>619</v>
      </c>
      <c r="F408" s="88" t="s">
        <v>18</v>
      </c>
      <c r="G408" s="88" t="s">
        <v>19</v>
      </c>
      <c r="H408" s="63" t="str" cm="1">
        <f t="array" ref="H408">IF(A408&lt;&gt;"",_xlfn.XLOOKUP(_xlfn.NUMBERVALUE(A408),_xlfn.NUMBERVALUE(Inventários[Tombamento]),Inventários[Processo - localização específica]),"")</f>
        <v>SDL - dosadoras de lodo adensado e polímero</v>
      </c>
      <c r="I408" s="1" t="str" cm="1">
        <f t="array" ref="I408">_xlfn.XLOOKUP(_xlfn.NUMBERVALUE(Carga[[#This Row],[Tombamento]]),_xlfn.NUMBERVALUE(Inventários[Tombamento]),Inventários[Descrição resumida do bem],"(A) Atenção Bem Não cadastrado")</f>
        <v>EQUIPAMENTO PARA PREPARO DE SOLUÇÃO DE POLÍMEROS, COMPLETO, CONF. ESPECIFICAÇÃO</v>
      </c>
    </row>
    <row r="409" spans="1:9" ht="19.899999999999999" customHeight="1" x14ac:dyDescent="0.15">
      <c r="A409" s="88" t="s">
        <v>889</v>
      </c>
      <c r="B409" s="88" t="s">
        <v>1032</v>
      </c>
      <c r="C409" s="88" t="s">
        <v>618</v>
      </c>
      <c r="D409" s="88" t="s">
        <v>17</v>
      </c>
      <c r="E409" s="88" t="s">
        <v>619</v>
      </c>
      <c r="F409" s="88" t="s">
        <v>18</v>
      </c>
      <c r="G409" s="88" t="s">
        <v>19</v>
      </c>
      <c r="H409" s="63" t="str" cm="1">
        <f t="array" ref="H409">IF(A409&lt;&gt;"",_xlfn.XLOOKUP(_xlfn.NUMBERVALUE(A409),_xlfn.NUMBERVALUE(Inventários[Tombamento]),Inventários[Processo - localização específica]),"")</f>
        <v xml:space="preserve">Cloro - balanças, central de neutralização de gases e elevatória de resíduos </v>
      </c>
      <c r="I409" s="1" t="str" cm="1">
        <f t="array" ref="I409">_xlfn.XLOOKUP(_xlfn.NUMBERVALUE(Carga[[#This Row],[Tombamento]]),_xlfn.NUMBERVALUE(Inventários[Tombamento]),Inventários[Descrição resumida do bem],"(A) Atenção Bem Não cadastrado")</f>
        <v xml:space="preserve">	CONJUNTO MOTOR E BOMBA PERISTALTICA MODELO BREDEL- 65/6/2 EPDM/PP 20RPM 5,5KW</v>
      </c>
    </row>
    <row r="410" spans="1:9" ht="19.899999999999999" customHeight="1" x14ac:dyDescent="0.15">
      <c r="A410" s="88" t="s">
        <v>891</v>
      </c>
      <c r="B410" s="88" t="s">
        <v>165</v>
      </c>
      <c r="C410" s="88" t="s">
        <v>618</v>
      </c>
      <c r="D410" s="88" t="s">
        <v>17</v>
      </c>
      <c r="E410" s="88" t="s">
        <v>619</v>
      </c>
      <c r="F410" s="88" t="s">
        <v>18</v>
      </c>
      <c r="G410" s="88" t="s">
        <v>19</v>
      </c>
      <c r="H410" s="63" t="str" cm="1">
        <f t="array" ref="H410">IF(A410&lt;&gt;"",_xlfn.XLOOKUP(_xlfn.NUMBERVALUE(A410),_xlfn.NUMBERVALUE(Inventários[Tombamento]),Inventários[Processo - localização específica]),"")</f>
        <v xml:space="preserve">Cloro - balanças, central de neutralização de gases e elevatória de resíduos </v>
      </c>
      <c r="I410" s="1" t="str" cm="1">
        <f t="array" ref="I410">_xlfn.XLOOKUP(_xlfn.NUMBERVALUE(Carga[[#This Row],[Tombamento]]),_xlfn.NUMBERVALUE(Inventários[Tombamento]),Inventários[Descrição resumida do bem],"(A) Atenção Bem Não cadastrado")</f>
        <v>CONJUNTO MOTOR E BOMBA PERISTALTICA MODELO BREDEL- 65/6/2 EPDM/PP 20RPM 5,5KW</v>
      </c>
    </row>
    <row r="411" spans="1:9" ht="19.899999999999999" customHeight="1" x14ac:dyDescent="0.15">
      <c r="A411" s="88" t="s">
        <v>892</v>
      </c>
      <c r="B411" s="88" t="s">
        <v>166</v>
      </c>
      <c r="C411" s="88" t="s">
        <v>618</v>
      </c>
      <c r="D411" s="88" t="s">
        <v>17</v>
      </c>
      <c r="E411" s="88" t="s">
        <v>619</v>
      </c>
      <c r="F411" s="88" t="s">
        <v>18</v>
      </c>
      <c r="G411" s="88" t="s">
        <v>19</v>
      </c>
      <c r="H411" s="63" t="str" cm="1">
        <f t="array" ref="H411">IF(A411&lt;&gt;"",_xlfn.XLOOKUP(_xlfn.NUMBERVALUE(A411),_xlfn.NUMBERVALUE(Inventários[Tombamento]),Inventários[Processo - localização específica]),"")</f>
        <v>Tanque reciclo - elevatória, turbidimetro e med. de nível e vazão</v>
      </c>
      <c r="I411" s="1" t="str" cm="1">
        <f t="array" ref="I411">_xlfn.XLOOKUP(_xlfn.NUMBERVALUE(Carga[[#This Row],[Tombamento]]),_xlfn.NUMBERVALUE(Inventários[Tombamento]),Inventários[Descrição resumida do bem],"(A) Atenção Bem Não cadastrado")</f>
        <v>COMJUNTO MOTOR E BOMBA PERISTALTICA MODELO BREDEL- 65/6/2 EPDM/PP 20RPM 5,5KW</v>
      </c>
    </row>
    <row r="412" spans="1:9" ht="19.899999999999999" customHeight="1" x14ac:dyDescent="0.15">
      <c r="A412" s="88" t="s">
        <v>893</v>
      </c>
      <c r="B412" s="88" t="s">
        <v>165</v>
      </c>
      <c r="C412" s="88" t="s">
        <v>618</v>
      </c>
      <c r="D412" s="88" t="s">
        <v>17</v>
      </c>
      <c r="E412" s="88" t="s">
        <v>619</v>
      </c>
      <c r="F412" s="88" t="s">
        <v>18</v>
      </c>
      <c r="G412" s="88" t="s">
        <v>19</v>
      </c>
      <c r="H412" s="63" t="str" cm="1">
        <f t="array" ref="H412">IF(A412&lt;&gt;"",_xlfn.XLOOKUP(_xlfn.NUMBERVALUE(A412),_xlfn.NUMBERVALUE(Inventários[Tombamento]),Inventários[Processo - localização específica]),"")</f>
        <v>Tanque reciclo - elevatória, turbidimetro e med. de nível e vazão</v>
      </c>
      <c r="I412" s="1" t="str" cm="1">
        <f t="array" ref="I412">_xlfn.XLOOKUP(_xlfn.NUMBERVALUE(Carga[[#This Row],[Tombamento]]),_xlfn.NUMBERVALUE(Inventários[Tombamento]),Inventários[Descrição resumida do bem],"(A) Atenção Bem Não cadastrado")</f>
        <v>CONJUNTO MOTOR E BOMBA PERISTALTICA MODELO BREDEL- 65/6/2 EPDM/PP 20RPM 5,5KW</v>
      </c>
    </row>
    <row r="413" spans="1:9" ht="19.899999999999999" customHeight="1" x14ac:dyDescent="0.15">
      <c r="A413" s="88" t="s">
        <v>894</v>
      </c>
      <c r="B413" s="88" t="s">
        <v>167</v>
      </c>
      <c r="C413" s="88" t="s">
        <v>618</v>
      </c>
      <c r="D413" s="88" t="s">
        <v>17</v>
      </c>
      <c r="E413" s="88" t="s">
        <v>619</v>
      </c>
      <c r="F413" s="88" t="s">
        <v>18</v>
      </c>
      <c r="G413" s="88" t="s">
        <v>19</v>
      </c>
      <c r="H413" s="63" t="str" cm="1">
        <f t="array" ref="H413">IF(A413&lt;&gt;"",_xlfn.XLOOKUP(_xlfn.NUMBERVALUE(A413),_xlfn.NUMBERVALUE(Inventários[Tombamento]),Inventários[Processo - localização específica]),"")</f>
        <v>Cloro - sala dos evaporadores e dosadores</v>
      </c>
      <c r="I413" s="1" t="str" cm="1">
        <f t="array" ref="I413">_xlfn.XLOOKUP(_xlfn.NUMBERVALUE(Carga[[#This Row],[Tombamento]]),_xlfn.NUMBERVALUE(Inventários[Tombamento]),Inventários[Descrição resumida do bem],"(A) Atenção Bem Não cadastrado")</f>
        <v>DOSADOR DE CLORO COMPLETO</v>
      </c>
    </row>
    <row r="414" spans="1:9" ht="30" customHeight="1" x14ac:dyDescent="0.15">
      <c r="A414" s="88" t="s">
        <v>895</v>
      </c>
      <c r="B414" s="88" t="s">
        <v>154</v>
      </c>
      <c r="C414" s="88" t="s">
        <v>618</v>
      </c>
      <c r="D414" s="88" t="s">
        <v>17</v>
      </c>
      <c r="E414" s="88" t="s">
        <v>619</v>
      </c>
      <c r="F414" s="88" t="s">
        <v>18</v>
      </c>
      <c r="G414" s="88" t="s">
        <v>19</v>
      </c>
      <c r="H414" s="63" t="str" cm="1">
        <f t="array" ref="H414">IF(A414&lt;&gt;"",_xlfn.XLOOKUP(_xlfn.NUMBERVALUE(A414),_xlfn.NUMBERVALUE(Inventários[Tombamento]),Inventários[Processo - localização específica]),"")</f>
        <v>Cloro - sala dos evaporadores e dosadores</v>
      </c>
      <c r="I414" s="1" t="str" cm="1">
        <f t="array" ref="I414">_xlfn.XLOOKUP(_xlfn.NUMBERVALUE(Carga[[#This Row],[Tombamento]]),_xlfn.NUMBERVALUE(Inventários[Tombamento]),Inventários[Descrição resumida do bem],"(A) Atenção Bem Não cadastrado")</f>
        <v xml:space="preserve">DOSADOR DE CLORO COMPLETO </v>
      </c>
    </row>
    <row r="415" spans="1:9" ht="30" customHeight="1" x14ac:dyDescent="0.15">
      <c r="A415" s="88" t="s">
        <v>896</v>
      </c>
      <c r="B415" s="88" t="s">
        <v>1033</v>
      </c>
      <c r="C415" s="88" t="s">
        <v>618</v>
      </c>
      <c r="D415" s="88" t="s">
        <v>17</v>
      </c>
      <c r="E415" s="88" t="s">
        <v>619</v>
      </c>
      <c r="F415" s="88" t="s">
        <v>18</v>
      </c>
      <c r="G415" s="88" t="s">
        <v>19</v>
      </c>
      <c r="H415" s="63" t="str" cm="1">
        <f t="array" ref="H415">IF(A415&lt;&gt;"",_xlfn.XLOOKUP(_xlfn.NUMBERVALUE(A415),_xlfn.NUMBERVALUE(Inventários[Tombamento]),Inventários[Processo - localização específica]),"")</f>
        <v>SDL - decanters e med. de nível do tanque de lodo adensado</v>
      </c>
      <c r="I415" s="1" t="str" cm="1">
        <f t="array" ref="I415">_xlfn.XLOOKUP(_xlfn.NUMBERVALUE(Carga[[#This Row],[Tombamento]]),_xlfn.NUMBERVALUE(Inventários[Tombamento]),Inventários[Descrição resumida do bem],"(A) Atenção Bem Não cadastrado")</f>
        <v>MISTURADOR FLUTUANTE PARA TANQUE DE LODO FLOTADO, COMPLETO</v>
      </c>
    </row>
    <row r="416" spans="1:9" ht="30" customHeight="1" x14ac:dyDescent="0.15">
      <c r="A416" s="88" t="s">
        <v>897</v>
      </c>
      <c r="B416" s="88" t="s">
        <v>1034</v>
      </c>
      <c r="C416" s="88" t="s">
        <v>618</v>
      </c>
      <c r="D416" s="88" t="s">
        <v>17</v>
      </c>
      <c r="E416" s="88" t="s">
        <v>619</v>
      </c>
      <c r="F416" s="88" t="s">
        <v>18</v>
      </c>
      <c r="G416" s="88" t="s">
        <v>19</v>
      </c>
      <c r="H416" s="63" t="str" cm="1">
        <f t="array" ref="H416">IF(A416&lt;&gt;"",_xlfn.XLOOKUP(_xlfn.NUMBERVALUE(A416),_xlfn.NUMBERVALUE(Inventários[Tombamento]),Inventários[Processo - localização específica]),"")</f>
        <v xml:space="preserve">Cloro - balanças, central de neutralização de gases e elevatória de resíduos </v>
      </c>
      <c r="I416" s="1" t="str" cm="1">
        <f t="array" ref="I416">_xlfn.XLOOKUP(_xlfn.NUMBERVALUE(Carga[[#This Row],[Tombamento]]),_xlfn.NUMBERVALUE(Inventários[Tombamento]),Inventários[Descrição resumida do bem],"(A) Atenção Bem Não cadastrado")</f>
        <v>BALANÇA RODOVIÁRIA COMPLETA</v>
      </c>
    </row>
    <row r="417" spans="1:9" ht="19.899999999999999" customHeight="1" x14ac:dyDescent="0.15">
      <c r="A417" s="88" t="s">
        <v>898</v>
      </c>
      <c r="B417" s="88" t="s">
        <v>1034</v>
      </c>
      <c r="C417" s="88" t="s">
        <v>618</v>
      </c>
      <c r="D417" s="88" t="s">
        <v>17</v>
      </c>
      <c r="E417" s="88" t="s">
        <v>619</v>
      </c>
      <c r="F417" s="88" t="s">
        <v>18</v>
      </c>
      <c r="G417" s="88" t="s">
        <v>19</v>
      </c>
      <c r="H417" s="63" t="str" cm="1">
        <f t="array" ref="H417">IF(A417&lt;&gt;"",_xlfn.XLOOKUP(_xlfn.NUMBERVALUE(A417),_xlfn.NUMBERVALUE(Inventários[Tombamento]),Inventários[Processo - localização específica]),"")</f>
        <v xml:space="preserve">Cloro - balanças, central de neutralização de gases e elevatória de resíduos </v>
      </c>
      <c r="I417" s="1" t="str" cm="1">
        <f t="array" ref="I417">_xlfn.XLOOKUP(_xlfn.NUMBERVALUE(Carga[[#This Row],[Tombamento]]),_xlfn.NUMBERVALUE(Inventários[Tombamento]),Inventários[Descrição resumida do bem],"(A) Atenção Bem Não cadastrado")</f>
        <v>BALANÇA RODOVIÁRIA COMPLETA</v>
      </c>
    </row>
    <row r="418" spans="1:9" ht="30" customHeight="1" x14ac:dyDescent="0.15">
      <c r="A418" s="88" t="s">
        <v>899</v>
      </c>
      <c r="B418" s="88" t="s">
        <v>170</v>
      </c>
      <c r="C418" s="88" t="s">
        <v>618</v>
      </c>
      <c r="D418" s="88" t="s">
        <v>17</v>
      </c>
      <c r="E418" s="88" t="s">
        <v>619</v>
      </c>
      <c r="F418" s="88" t="s">
        <v>18</v>
      </c>
      <c r="G418" s="88" t="s">
        <v>19</v>
      </c>
      <c r="H418" s="63" t="str" cm="1">
        <f t="array" ref="H418">IF(A418&lt;&gt;"",_xlfn.XLOOKUP(_xlfn.NUMBERVALUE(A418),_xlfn.NUMBERVALUE(Inventários[Tombamento]),Inventários[Processo - localização específica]),"")</f>
        <v>Cloro - elevatórias de injeção de cloro</v>
      </c>
      <c r="I418" s="1" t="str" cm="1">
        <f t="array" ref="I418">_xlfn.XLOOKUP(_xlfn.NUMBERVALUE(Carga[[#This Row],[Tombamento]]),_xlfn.NUMBERVALUE(Inventários[Tombamento]),Inventários[Descrição resumida do bem],"(A) Atenção Bem Não cadastrado")</f>
        <v>CONJUNTO MOTOBOMBA PARA EJETORES, VÁLVULAS E ACESSÓRIOS DIVERSOS, PARA COMPLETAR O SISTEMA DE CLORAÇÃO</v>
      </c>
    </row>
    <row r="419" spans="1:9" ht="19.899999999999999" customHeight="1" x14ac:dyDescent="0.15">
      <c r="A419" s="88" t="s">
        <v>900</v>
      </c>
      <c r="B419" s="88" t="s">
        <v>170</v>
      </c>
      <c r="C419" s="88" t="s">
        <v>618</v>
      </c>
      <c r="D419" s="88" t="s">
        <v>17</v>
      </c>
      <c r="E419" s="88" t="s">
        <v>619</v>
      </c>
      <c r="F419" s="88" t="s">
        <v>18</v>
      </c>
      <c r="G419" s="88" t="s">
        <v>19</v>
      </c>
      <c r="H419" s="63" t="str" cm="1">
        <f t="array" ref="H419">IF(A419&lt;&gt;"",_xlfn.XLOOKUP(_xlfn.NUMBERVALUE(A419),_xlfn.NUMBERVALUE(Inventários[Tombamento]),Inventários[Processo - localização específica]),"")</f>
        <v>Cloro - elevatórias de injeção de cloro</v>
      </c>
      <c r="I419" s="1" t="str" cm="1">
        <f t="array" ref="I419">_xlfn.XLOOKUP(_xlfn.NUMBERVALUE(Carga[[#This Row],[Tombamento]]),_xlfn.NUMBERVALUE(Inventários[Tombamento]),Inventários[Descrição resumida do bem],"(A) Atenção Bem Não cadastrado")</f>
        <v>CONJUNTO MOTOBOMBA PARA EJETORES, VÁLVULAS E ACESSÓRIOS DIVERSOS, PARA COMPLETAR O SISTEMA DE CLORAÇÃO</v>
      </c>
    </row>
    <row r="420" spans="1:9" ht="19.899999999999999" customHeight="1" x14ac:dyDescent="0.15">
      <c r="A420" s="88" t="s">
        <v>901</v>
      </c>
      <c r="B420" s="88" t="s">
        <v>170</v>
      </c>
      <c r="C420" s="88" t="s">
        <v>618</v>
      </c>
      <c r="D420" s="88" t="s">
        <v>17</v>
      </c>
      <c r="E420" s="88" t="s">
        <v>619</v>
      </c>
      <c r="F420" s="88" t="s">
        <v>18</v>
      </c>
      <c r="G420" s="88" t="s">
        <v>19</v>
      </c>
      <c r="H420" s="63" t="str" cm="1">
        <f t="array" ref="H420">IF(A420&lt;&gt;"",_xlfn.XLOOKUP(_xlfn.NUMBERVALUE(A420),_xlfn.NUMBERVALUE(Inventários[Tombamento]),Inventários[Processo - localização específica]),"")</f>
        <v>Cloro - elevatórias de injeção de cloro</v>
      </c>
      <c r="I420" s="1" t="str" cm="1">
        <f t="array" ref="I420">_xlfn.XLOOKUP(_xlfn.NUMBERVALUE(Carga[[#This Row],[Tombamento]]),_xlfn.NUMBERVALUE(Inventários[Tombamento]),Inventários[Descrição resumida do bem],"(A) Atenção Bem Não cadastrado")</f>
        <v>CONJUNTO MOTOBOMBA PARA EJETORES, VÁLVULAS E ACESSÓRIOS DIVERSOS, PARA COMPLETAR O SISTEMA DE CLORAÇÃO</v>
      </c>
    </row>
    <row r="421" spans="1:9" ht="19.899999999999999" customHeight="1" x14ac:dyDescent="0.15">
      <c r="A421" s="88" t="s">
        <v>902</v>
      </c>
      <c r="B421" s="88" t="s">
        <v>170</v>
      </c>
      <c r="C421" s="88" t="s">
        <v>618</v>
      </c>
      <c r="D421" s="88" t="s">
        <v>17</v>
      </c>
      <c r="E421" s="88" t="s">
        <v>619</v>
      </c>
      <c r="F421" s="88" t="s">
        <v>18</v>
      </c>
      <c r="G421" s="88" t="s">
        <v>19</v>
      </c>
      <c r="H421" s="63" t="str" cm="1">
        <f t="array" ref="H421">IF(A421&lt;&gt;"",_xlfn.XLOOKUP(_xlfn.NUMBERVALUE(A421),_xlfn.NUMBERVALUE(Inventários[Tombamento]),Inventários[Processo - localização específica]),"")</f>
        <v>Cloro - elevatórias de injeção de cloro</v>
      </c>
      <c r="I421" s="1" t="str" cm="1">
        <f t="array" ref="I421">_xlfn.XLOOKUP(_xlfn.NUMBERVALUE(Carga[[#This Row],[Tombamento]]),_xlfn.NUMBERVALUE(Inventários[Tombamento]),Inventários[Descrição resumida do bem],"(A) Atenção Bem Não cadastrado")</f>
        <v>CONJUNTO MOTOBOMBA PARA EJETORES, VÁLVULAS E ACESSÓRIOS DIVERSOS, PARA COMPLETAR O SISTEMA DE CLORAÇÃO</v>
      </c>
    </row>
    <row r="422" spans="1:9" ht="19.899999999999999" customHeight="1" x14ac:dyDescent="0.15">
      <c r="A422" s="88" t="s">
        <v>903</v>
      </c>
      <c r="B422" s="88" t="s">
        <v>170</v>
      </c>
      <c r="C422" s="88" t="s">
        <v>618</v>
      </c>
      <c r="D422" s="88" t="s">
        <v>17</v>
      </c>
      <c r="E422" s="88" t="s">
        <v>619</v>
      </c>
      <c r="F422" s="88" t="s">
        <v>18</v>
      </c>
      <c r="G422" s="88" t="s">
        <v>19</v>
      </c>
      <c r="H422" s="63" t="str" cm="1">
        <f t="array" ref="H422">IF(A422&lt;&gt;"",_xlfn.XLOOKUP(_xlfn.NUMBERVALUE(A422),_xlfn.NUMBERVALUE(Inventários[Tombamento]),Inventários[Processo - localização específica]),"")</f>
        <v>Cloro - elevatórias de injeção de cloro</v>
      </c>
      <c r="I422" s="1" t="str" cm="1">
        <f t="array" ref="I422">_xlfn.XLOOKUP(_xlfn.NUMBERVALUE(Carga[[#This Row],[Tombamento]]),_xlfn.NUMBERVALUE(Inventários[Tombamento]),Inventários[Descrição resumida do bem],"(A) Atenção Bem Não cadastrado")</f>
        <v>CONJUNTO MOTOBOMBA PARA EJETORES, VÁLVULAS E ACESSÓRIOS DIVERSOS, PARA COMPLETAR O SISTEMA DE CLORAÇÃO</v>
      </c>
    </row>
    <row r="423" spans="1:9" ht="30" customHeight="1" x14ac:dyDescent="0.15">
      <c r="A423" s="88" t="s">
        <v>904</v>
      </c>
      <c r="B423" s="88" t="s">
        <v>170</v>
      </c>
      <c r="C423" s="88" t="s">
        <v>618</v>
      </c>
      <c r="D423" s="88" t="s">
        <v>17</v>
      </c>
      <c r="E423" s="88" t="s">
        <v>619</v>
      </c>
      <c r="F423" s="88" t="s">
        <v>18</v>
      </c>
      <c r="G423" s="88" t="s">
        <v>19</v>
      </c>
      <c r="H423" s="63" t="str" cm="1">
        <f t="array" ref="H423">IF(A423&lt;&gt;"",_xlfn.XLOOKUP(_xlfn.NUMBERVALUE(A423),_xlfn.NUMBERVALUE(Inventários[Tombamento]),Inventários[Processo - localização específica]),"")</f>
        <v>Cloro - elevatórias de injeção de cloro</v>
      </c>
      <c r="I423" s="1" t="str" cm="1">
        <f t="array" ref="I423">_xlfn.XLOOKUP(_xlfn.NUMBERVALUE(Carga[[#This Row],[Tombamento]]),_xlfn.NUMBERVALUE(Inventários[Tombamento]),Inventários[Descrição resumida do bem],"(A) Atenção Bem Não cadastrado")</f>
        <v>CONJUNTO MOTOBOMBA PARA EJETORES, VÁLVULAS E ACESSÓRIOS DIVERSOS, PARA COMPLETAR O SISTEMA DE CLORAÇÃO</v>
      </c>
    </row>
    <row r="424" spans="1:9" ht="30" customHeight="1" x14ac:dyDescent="0.15">
      <c r="A424" s="88" t="s">
        <v>905</v>
      </c>
      <c r="B424" s="88" t="s">
        <v>1035</v>
      </c>
      <c r="C424" s="88" t="s">
        <v>618</v>
      </c>
      <c r="D424" s="88" t="s">
        <v>17</v>
      </c>
      <c r="E424" s="88" t="s">
        <v>619</v>
      </c>
      <c r="F424" s="88" t="s">
        <v>18</v>
      </c>
      <c r="G424" s="88" t="s">
        <v>19</v>
      </c>
      <c r="H424" s="63" t="str" cm="1">
        <f t="array" ref="H424">IF(A424&lt;&gt;"",_xlfn.XLOOKUP(_xlfn.NUMBERVALUE(A424),_xlfn.NUMBERVALUE(Inventários[Tombamento]),Inventários[Processo - localização específica]),"")</f>
        <v>Cloro - sala dos evaporadores e dosadores</v>
      </c>
      <c r="I424" s="1" t="str" cm="1">
        <f t="array" ref="I424">_xlfn.XLOOKUP(_xlfn.NUMBERVALUE(Carga[[#This Row],[Tombamento]]),_xlfn.NUMBERVALUE(Inventários[Tombamento]),Inventários[Descrição resumida do bem],"(A) Atenção Bem Não cadastrado")</f>
        <v>DETECTOR DE CLORO PARA DOIS PONTOS,COMPLETO, CONFORME ESPECIFICAÇÃO</v>
      </c>
    </row>
    <row r="425" spans="1:9" ht="30" customHeight="1" x14ac:dyDescent="0.15">
      <c r="A425" s="88" t="s">
        <v>906</v>
      </c>
      <c r="B425" s="88" t="s">
        <v>1036</v>
      </c>
      <c r="C425" s="88" t="s">
        <v>618</v>
      </c>
      <c r="D425" s="88" t="s">
        <v>17</v>
      </c>
      <c r="E425" s="88" t="s">
        <v>619</v>
      </c>
      <c r="F425" s="88" t="s">
        <v>18</v>
      </c>
      <c r="G425" s="88" t="s">
        <v>19</v>
      </c>
      <c r="H425" s="63" t="str" cm="1">
        <f t="array" ref="H425">IF(A425&lt;&gt;"",_xlfn.XLOOKUP(_xlfn.NUMBERVALUE(A425),_xlfn.NUMBERVALUE(Inventários[Tombamento]),Inventários[Processo - localização específica]),"")</f>
        <v>Cloro - sala dos evaporadores e dosadores</v>
      </c>
      <c r="I425" s="1" t="str" cm="1">
        <f t="array" ref="I425">_xlfn.XLOOKUP(_xlfn.NUMBERVALUE(Carga[[#This Row],[Tombamento]]),_xlfn.NUMBERVALUE(Inventários[Tombamento]),Inventários[Descrição resumida do bem],"(A) Atenção Bem Não cadastrado")</f>
        <v>EVAPORADOR DE CLORO, COMPLETO, CONFORME ESPECIFICAÇÃO</v>
      </c>
    </row>
    <row r="426" spans="1:9" ht="30" customHeight="1" x14ac:dyDescent="0.15">
      <c r="A426" s="88" t="s">
        <v>907</v>
      </c>
      <c r="B426" s="88" t="s">
        <v>1037</v>
      </c>
      <c r="C426" s="88" t="s">
        <v>618</v>
      </c>
      <c r="D426" s="88" t="s">
        <v>17</v>
      </c>
      <c r="E426" s="88" t="s">
        <v>619</v>
      </c>
      <c r="F426" s="88" t="s">
        <v>18</v>
      </c>
      <c r="G426" s="88" t="s">
        <v>19</v>
      </c>
      <c r="H426" s="63" t="str" cm="1">
        <f t="array" ref="H426">IF(A426&lt;&gt;"",_xlfn.XLOOKUP(_xlfn.NUMBERVALUE(A426),_xlfn.NUMBERVALUE(Inventários[Tombamento]),Inventários[Processo - localização específica]),"")</f>
        <v>Cloro - sala dos evaporadores e dosadores</v>
      </c>
      <c r="I426" s="1" t="str" cm="1">
        <f t="array" ref="I426">_xlfn.XLOOKUP(_xlfn.NUMBERVALUE(Carga[[#This Row],[Tombamento]]),_xlfn.NUMBERVALUE(Inventários[Tombamento]),Inventários[Descrição resumida do bem],"(A) Atenção Bem Não cadastrado")</f>
        <v>EVAPORADOR DE CLORO, COMPLETOS, CONFORME ESPECIFICAÇÃO</v>
      </c>
    </row>
    <row r="427" spans="1:9" ht="30" customHeight="1" x14ac:dyDescent="0.15">
      <c r="A427" s="88" t="s">
        <v>908</v>
      </c>
      <c r="B427" s="88" t="s">
        <v>174</v>
      </c>
      <c r="C427" s="88" t="s">
        <v>618</v>
      </c>
      <c r="D427" s="88" t="s">
        <v>17</v>
      </c>
      <c r="E427" s="88" t="s">
        <v>619</v>
      </c>
      <c r="F427" s="88" t="s">
        <v>18</v>
      </c>
      <c r="G427" s="88" t="s">
        <v>19</v>
      </c>
      <c r="H427" s="63" t="str" cm="1">
        <f t="array" ref="H427">IF(A427&lt;&gt;"",_xlfn.XLOOKUP(_xlfn.NUMBERVALUE(A427),_xlfn.NUMBERVALUE(Inventários[Tombamento]),Inventários[Processo - localização específica]),"")</f>
        <v xml:space="preserve">Cloro - balanças, central de neutralização de gases e elevatória de resíduos </v>
      </c>
      <c r="I427" s="1" t="str" cm="1">
        <f t="array" ref="I427">_xlfn.XLOOKUP(_xlfn.NUMBERVALUE(Carga[[#This Row],[Tombamento]]),_xlfn.NUMBERVALUE(Inventários[Tombamento]),Inventários[Descrição resumida do bem],"(A) Atenção Bem Não cadastrado")</f>
        <v>SISTEMA NEUTRALIZADOR DE LAVAGEM DE GASES DA SALA DE CLORAÇÃO, COMPLETA, CONFORME ESPECIFICAÇÃO</v>
      </c>
    </row>
    <row r="428" spans="1:9" ht="19.899999999999999" customHeight="1" x14ac:dyDescent="0.15">
      <c r="A428" s="88" t="s">
        <v>909</v>
      </c>
      <c r="B428" s="88" t="s">
        <v>1038</v>
      </c>
      <c r="C428" s="88" t="s">
        <v>618</v>
      </c>
      <c r="D428" s="88" t="s">
        <v>17</v>
      </c>
      <c r="E428" s="88" t="s">
        <v>619</v>
      </c>
      <c r="F428" s="88" t="s">
        <v>18</v>
      </c>
      <c r="G428" s="88" t="s">
        <v>19</v>
      </c>
      <c r="H428" s="63" t="str" cm="1">
        <f t="array" ref="H428">IF(A428&lt;&gt;"",_xlfn.XLOOKUP(_xlfn.NUMBERVALUE(A428),_xlfn.NUMBERVALUE(Inventários[Tombamento]),Inventários[Processo - localização específica]),"")</f>
        <v xml:space="preserve">Cloro - balanças, central de neutralização de gases e elevatória de resíduos </v>
      </c>
      <c r="I428" s="1" t="str" cm="1">
        <f t="array" ref="I428">_xlfn.XLOOKUP(_xlfn.NUMBERVALUE(Carga[[#This Row],[Tombamento]]),_xlfn.NUMBERVALUE(Inventários[Tombamento]),Inventários[Descrição resumida do bem],"(A) Atenção Bem Não cadastrado")</f>
        <v>SISTEMA DE TROCA AUTOMÁTICA DE CARRETAS DE CLORO, COMPLETOS, CONFORME ESPECIFICAÇÃO</v>
      </c>
    </row>
    <row r="429" spans="1:9" ht="19.899999999999999" customHeight="1" x14ac:dyDescent="0.15">
      <c r="A429" s="88" t="s">
        <v>910</v>
      </c>
      <c r="B429" s="88" t="s">
        <v>176</v>
      </c>
      <c r="C429" s="88" t="s">
        <v>618</v>
      </c>
      <c r="D429" s="88" t="s">
        <v>17</v>
      </c>
      <c r="E429" s="88" t="s">
        <v>619</v>
      </c>
      <c r="F429" s="88" t="s">
        <v>18</v>
      </c>
      <c r="G429" s="88" t="s">
        <v>19</v>
      </c>
      <c r="H429" s="63" t="str" cm="1">
        <f t="array" ref="H429">IF(A429&lt;&gt;"",_xlfn.XLOOKUP(_xlfn.NUMBERVALUE(A429),_xlfn.NUMBERVALUE(Inventários[Tombamento]),Inventários[Processo - localização específica]),"")</f>
        <v>Prédio - depósito de bens</v>
      </c>
      <c r="I429" s="1" t="str" cm="1">
        <f t="array" ref="I429">_xlfn.XLOOKUP(_xlfn.NUMBERVALUE(Carga[[#This Row],[Tombamento]]),_xlfn.NUMBERVALUE(Inventários[Tombamento]),Inventários[Descrição resumida do bem],"(A) Atenção Bem Não cadastrado")</f>
        <v>CONJUNTO MOTOBOMBA DE TRANSFERÊNCIA PARA RECALQUE DE ÁCIDO FLUOSSILÍCICO.</v>
      </c>
    </row>
    <row r="430" spans="1:9" ht="30" customHeight="1" x14ac:dyDescent="0.15">
      <c r="A430" s="88" t="s">
        <v>911</v>
      </c>
      <c r="B430" s="88" t="s">
        <v>176</v>
      </c>
      <c r="C430" s="88" t="s">
        <v>618</v>
      </c>
      <c r="D430" s="88" t="s">
        <v>17</v>
      </c>
      <c r="E430" s="88" t="s">
        <v>619</v>
      </c>
      <c r="F430" s="88" t="s">
        <v>18</v>
      </c>
      <c r="G430" s="88" t="s">
        <v>19</v>
      </c>
      <c r="H430" s="63" t="str" cm="1">
        <f t="array" ref="H430">IF(A430&lt;&gt;"",_xlfn.XLOOKUP(_xlfn.NUMBERVALUE(A430),_xlfn.NUMBERVALUE(Inventários[Tombamento]),Inventários[Processo - localização específica]),"")</f>
        <v>Prédio - depósito de bens</v>
      </c>
      <c r="I430" s="1" t="str" cm="1">
        <f t="array" ref="I430">_xlfn.XLOOKUP(_xlfn.NUMBERVALUE(Carga[[#This Row],[Tombamento]]),_xlfn.NUMBERVALUE(Inventários[Tombamento]),Inventários[Descrição resumida do bem],"(A) Atenção Bem Não cadastrado")</f>
        <v>CONJUNTO MOTOBOMBA DE TRANSFERÊNCIA PARA RECALQUE DE ÁCIDO FLUOSSILÍCICO.</v>
      </c>
    </row>
    <row r="431" spans="1:9" ht="30" customHeight="1" x14ac:dyDescent="0.15">
      <c r="A431" s="88" t="s">
        <v>912</v>
      </c>
      <c r="B431" s="88" t="s">
        <v>177</v>
      </c>
      <c r="C431" s="88" t="s">
        <v>618</v>
      </c>
      <c r="D431" s="88" t="s">
        <v>17</v>
      </c>
      <c r="E431" s="88" t="s">
        <v>619</v>
      </c>
      <c r="F431" s="88" t="s">
        <v>18</v>
      </c>
      <c r="G431" s="88" t="s">
        <v>19</v>
      </c>
      <c r="H431" s="63" t="str" cm="1">
        <f t="array" ref="H431">IF(A431&lt;&gt;"",_xlfn.XLOOKUP(_xlfn.NUMBERVALUE(A431),_xlfn.NUMBERVALUE(Inventários[Tombamento]),Inventários[Processo - localização específica]),"")</f>
        <v>Coagulante - armazenamento e dosagem</v>
      </c>
      <c r="I431" s="1" t="str" cm="1">
        <f t="array" ref="I431">_xlfn.XLOOKUP(_xlfn.NUMBERVALUE(Carga[[#This Row],[Tombamento]]),_xlfn.NUMBERVALUE(Inventários[Tombamento]),Inventários[Descrição resumida do bem],"(A) Atenção Bem Não cadastrado")</f>
        <v>CONJUNTO MOTOBOMBA DE TRANSFERÊNCIA, PARA RECALQUE COAGULANTE.</v>
      </c>
    </row>
    <row r="432" spans="1:9" ht="30" customHeight="1" x14ac:dyDescent="0.15">
      <c r="A432" s="88" t="s">
        <v>913</v>
      </c>
      <c r="B432" s="88" t="s">
        <v>177</v>
      </c>
      <c r="C432" s="88" t="s">
        <v>618</v>
      </c>
      <c r="D432" s="88" t="s">
        <v>17</v>
      </c>
      <c r="E432" s="88" t="s">
        <v>619</v>
      </c>
      <c r="F432" s="88" t="s">
        <v>18</v>
      </c>
      <c r="G432" s="88" t="s">
        <v>19</v>
      </c>
      <c r="H432" s="63" t="str" cm="1">
        <f t="array" ref="H432">IF(A432&lt;&gt;"",_xlfn.XLOOKUP(_xlfn.NUMBERVALUE(A432),_xlfn.NUMBERVALUE(Inventários[Tombamento]),Inventários[Processo - localização específica]),"")</f>
        <v>Coagulante - armazenamento e dosagem</v>
      </c>
      <c r="I432" s="1" t="str" cm="1">
        <f t="array" ref="I432">_xlfn.XLOOKUP(_xlfn.NUMBERVALUE(Carga[[#This Row],[Tombamento]]),_xlfn.NUMBERVALUE(Inventários[Tombamento]),Inventários[Descrição resumida do bem],"(A) Atenção Bem Não cadastrado")</f>
        <v>CONJUNTO MOTOBOMBA DE TRANSFERÊNCIA, PARA RECALQUE COAGULANTE.</v>
      </c>
    </row>
    <row r="433" spans="1:9" ht="30" customHeight="1" x14ac:dyDescent="0.15">
      <c r="A433" s="88" t="s">
        <v>914</v>
      </c>
      <c r="B433" s="88" t="s">
        <v>1039</v>
      </c>
      <c r="C433" s="88" t="s">
        <v>618</v>
      </c>
      <c r="D433" s="88" t="s">
        <v>17</v>
      </c>
      <c r="E433" s="88" t="s">
        <v>619</v>
      </c>
      <c r="F433" s="88" t="s">
        <v>18</v>
      </c>
      <c r="G433" s="88" t="s">
        <v>19</v>
      </c>
      <c r="H433" s="63" t="str" cm="1">
        <f t="array" ref="H433">IF(A433&lt;&gt;"",_xlfn.XLOOKUP(_xlfn.NUMBERVALUE(A433),_xlfn.NUMBERVALUE(Inventários[Tombamento]),Inventários[Processo - localização específica]),"")</f>
        <v>Casa de química - preparo e dosagem de permanganato e polímero</v>
      </c>
      <c r="I433" s="1" t="str" cm="1">
        <f t="array" ref="I433">_xlfn.XLOOKUP(_xlfn.NUMBERVALUE(Carga[[#This Row],[Tombamento]]),_xlfn.NUMBERVALUE(Inventários[Tombamento]),Inventários[Descrição resumida do bem],"(A) Atenção Bem Não cadastrado")</f>
        <v>BOMBA DOSADORA DO TIPO DIAFRAGMA PARA DOSAGEM DE ÁCIDO FLUOSSILÍCICO, COMPLETA, CONFORME ESPECIFICAÇÃO</v>
      </c>
    </row>
    <row r="434" spans="1:9" ht="30" customHeight="1" x14ac:dyDescent="0.15">
      <c r="A434" s="88" t="s">
        <v>915</v>
      </c>
      <c r="B434" s="88" t="s">
        <v>1039</v>
      </c>
      <c r="C434" s="88" t="s">
        <v>618</v>
      </c>
      <c r="D434" s="88" t="s">
        <v>17</v>
      </c>
      <c r="E434" s="88" t="s">
        <v>619</v>
      </c>
      <c r="F434" s="88" t="s">
        <v>18</v>
      </c>
      <c r="G434" s="88" t="s">
        <v>19</v>
      </c>
      <c r="H434" s="63" t="str" cm="1">
        <f t="array" ref="H434">IF(A434&lt;&gt;"",_xlfn.XLOOKUP(_xlfn.NUMBERVALUE(A434),_xlfn.NUMBERVALUE(Inventários[Tombamento]),Inventários[Processo - localização específica]),"")</f>
        <v>Prédio - oficina</v>
      </c>
      <c r="I434" s="1" t="str" cm="1">
        <f t="array" ref="I434">_xlfn.XLOOKUP(_xlfn.NUMBERVALUE(Carga[[#This Row],[Tombamento]]),_xlfn.NUMBERVALUE(Inventários[Tombamento]),Inventários[Descrição resumida do bem],"(A) Atenção Bem Não cadastrado")</f>
        <v>BOMBA DOSADORA DO TIPO DIAFRAGMA PARA DOSAGEM DE ÁCIDO FLUOSSILÍCICO, COMPLETA, CONFORME ESPECIFICAÇÃO</v>
      </c>
    </row>
    <row r="435" spans="1:9" ht="30" customHeight="1" x14ac:dyDescent="0.15">
      <c r="A435" s="88" t="s">
        <v>916</v>
      </c>
      <c r="B435" s="88" t="s">
        <v>1040</v>
      </c>
      <c r="C435" s="88" t="s">
        <v>618</v>
      </c>
      <c r="D435" s="88" t="s">
        <v>17</v>
      </c>
      <c r="E435" s="88" t="s">
        <v>619</v>
      </c>
      <c r="F435" s="88" t="s">
        <v>18</v>
      </c>
      <c r="G435" s="88" t="s">
        <v>19</v>
      </c>
      <c r="H435" s="63" t="str" cm="1">
        <f t="array" ref="H435">IF(A435&lt;&gt;"",_xlfn.XLOOKUP(_xlfn.NUMBERVALUE(A435),_xlfn.NUMBERVALUE(Inventários[Tombamento]),Inventários[Processo - localização específica]),"")</f>
        <v>Prédio - depósito de bens</v>
      </c>
      <c r="I435" s="1" t="str" cm="1">
        <f t="array" ref="I435">_xlfn.XLOOKUP(_xlfn.NUMBERVALUE(Carga[[#This Row],[Tombamento]]),_xlfn.NUMBERVALUE(Inventários[Tombamento]),Inventários[Descrição resumida do bem],"(A) Atenção Bem Não cadastrado")</f>
        <v>BOMBA DOSADORA DO TIPO DIAFRAGMA PARA RECALQUE DE COAGULANTE, COMPLETA, CONFORME ESPECIFICAÇÃO</v>
      </c>
    </row>
    <row r="436" spans="1:9" ht="30" customHeight="1" x14ac:dyDescent="0.15">
      <c r="A436" s="88" t="s">
        <v>917</v>
      </c>
      <c r="B436" s="88" t="s">
        <v>1040</v>
      </c>
      <c r="C436" s="88" t="s">
        <v>618</v>
      </c>
      <c r="D436" s="88" t="s">
        <v>17</v>
      </c>
      <c r="E436" s="88" t="s">
        <v>619</v>
      </c>
      <c r="F436" s="88" t="s">
        <v>18</v>
      </c>
      <c r="G436" s="88" t="s">
        <v>19</v>
      </c>
      <c r="H436" s="63" t="str" cm="1">
        <f t="array" ref="H436">IF(A436&lt;&gt;"",_xlfn.XLOOKUP(_xlfn.NUMBERVALUE(A436),_xlfn.NUMBERVALUE(Inventários[Tombamento]),Inventários[Processo - localização específica]),"")</f>
        <v>Coagulante - armazenamento e dosagem</v>
      </c>
      <c r="I436" s="1" t="str" cm="1">
        <f t="array" ref="I436">_xlfn.XLOOKUP(_xlfn.NUMBERVALUE(Carga[[#This Row],[Tombamento]]),_xlfn.NUMBERVALUE(Inventários[Tombamento]),Inventários[Descrição resumida do bem],"(A) Atenção Bem Não cadastrado")</f>
        <v>BOMBA DOSADORA DO TIPO DIAFRAGMA PARA RECALQUE DE COAGULANTE, COMPLETA, CONFORME ESPECIFICAÇÃO</v>
      </c>
    </row>
    <row r="437" spans="1:9" ht="30" customHeight="1" x14ac:dyDescent="0.15">
      <c r="A437" s="88" t="s">
        <v>918</v>
      </c>
      <c r="B437" s="88" t="s">
        <v>1041</v>
      </c>
      <c r="C437" s="88" t="s">
        <v>618</v>
      </c>
      <c r="D437" s="88" t="s">
        <v>17</v>
      </c>
      <c r="E437" s="88" t="s">
        <v>619</v>
      </c>
      <c r="F437" s="88" t="s">
        <v>18</v>
      </c>
      <c r="G437" s="88" t="s">
        <v>19</v>
      </c>
      <c r="H437" s="63" t="str" cm="1">
        <f t="array" ref="H437">IF(A437&lt;&gt;"",_xlfn.XLOOKUP(_xlfn.NUMBERVALUE(A437),_xlfn.NUMBERVALUE(Inventários[Tombamento]),Inventários[Processo - localização específica]),"")</f>
        <v>Coagulante - armazenamento e dosagem</v>
      </c>
      <c r="I437" s="1" t="str" cm="1">
        <f t="array" ref="I437">_xlfn.XLOOKUP(_xlfn.NUMBERVALUE(Carga[[#This Row],[Tombamento]]),_xlfn.NUMBERVALUE(Inventários[Tombamento]),Inventários[Descrição resumida do bem],"(A) Atenção Bem Não cadastrado")</f>
        <v>BOMBA DOSADORA DO TIPO DIAFRAGMA, PARA DOSAGEM DE SOLUÇÃO DE PERMANGANATO, COMPLETA, CONFORME ESPECIFICAÇÃO</v>
      </c>
    </row>
    <row r="438" spans="1:9" ht="30" customHeight="1" x14ac:dyDescent="0.15">
      <c r="A438" s="88" t="s">
        <v>919</v>
      </c>
      <c r="B438" s="88" t="s">
        <v>181</v>
      </c>
      <c r="C438" s="88" t="s">
        <v>618</v>
      </c>
      <c r="D438" s="88" t="s">
        <v>17</v>
      </c>
      <c r="E438" s="88" t="s">
        <v>619</v>
      </c>
      <c r="F438" s="88" t="s">
        <v>18</v>
      </c>
      <c r="G438" s="88" t="s">
        <v>19</v>
      </c>
      <c r="H438" s="63" t="str" cm="1">
        <f t="array" ref="H438">IF(A438&lt;&gt;"",_xlfn.XLOOKUP(_xlfn.NUMBERVALUE(A438),_xlfn.NUMBERVALUE(Inventários[Tombamento]),Inventários[Processo - localização específica]),"")</f>
        <v>Casa de química - preparo e dosagem de permanganato e polímero</v>
      </c>
      <c r="I438" s="1" t="str" cm="1">
        <f t="array" ref="I438">_xlfn.XLOOKUP(_xlfn.NUMBERVALUE(Carga[[#This Row],[Tombamento]]),_xlfn.NUMBERVALUE(Inventários[Tombamento]),Inventários[Descrição resumida do bem],"(A) Atenção Bem Não cadastrado")</f>
        <v>BOMBA DOSADORA DO TIPO HELICOIDAL, PARA DOSAGEM DE SOLUÇÃO DE POLÍMERO.</v>
      </c>
    </row>
    <row r="439" spans="1:9" ht="30" customHeight="1" x14ac:dyDescent="0.15">
      <c r="A439" s="88" t="s">
        <v>920</v>
      </c>
      <c r="B439" s="88" t="s">
        <v>181</v>
      </c>
      <c r="C439" s="88" t="s">
        <v>618</v>
      </c>
      <c r="D439" s="88" t="s">
        <v>17</v>
      </c>
      <c r="E439" s="88" t="s">
        <v>619</v>
      </c>
      <c r="F439" s="88" t="s">
        <v>18</v>
      </c>
      <c r="G439" s="88" t="s">
        <v>19</v>
      </c>
      <c r="H439" s="63" t="str" cm="1">
        <f t="array" ref="H439">IF(A439&lt;&gt;"",_xlfn.XLOOKUP(_xlfn.NUMBERVALUE(A439),_xlfn.NUMBERVALUE(Inventários[Tombamento]),Inventários[Processo - localização específica]),"")</f>
        <v>Casa de química - preparo e dosagem de permanganato e polímero</v>
      </c>
      <c r="I439" s="1" t="str" cm="1">
        <f t="array" ref="I439">_xlfn.XLOOKUP(_xlfn.NUMBERVALUE(Carga[[#This Row],[Tombamento]]),_xlfn.NUMBERVALUE(Inventários[Tombamento]),Inventários[Descrição resumida do bem],"(A) Atenção Bem Não cadastrado")</f>
        <v>BOMBA DOSADORA DO TIPO HELICOIDAL, PARA DOSAGEM DE SOLUÇÃO DE POLÍMERO.</v>
      </c>
    </row>
    <row r="440" spans="1:9" ht="30" customHeight="1" x14ac:dyDescent="0.15">
      <c r="A440" s="88" t="s">
        <v>921</v>
      </c>
      <c r="B440" s="88" t="s">
        <v>1042</v>
      </c>
      <c r="C440" s="88" t="s">
        <v>618</v>
      </c>
      <c r="D440" s="88" t="s">
        <v>17</v>
      </c>
      <c r="E440" s="88" t="s">
        <v>619</v>
      </c>
      <c r="F440" s="88" t="s">
        <v>18</v>
      </c>
      <c r="G440" s="88" t="s">
        <v>19</v>
      </c>
      <c r="H440" s="63" t="str" cm="1">
        <f t="array" ref="H440">IF(A440&lt;&gt;"",_xlfn.XLOOKUP(_xlfn.NUMBERVALUE(A440),_xlfn.NUMBERVALUE(Inventários[Tombamento]),Inventários[Processo - localização específica]),"")</f>
        <v>Bloco hidráulico - analisadores d'água bruta</v>
      </c>
      <c r="I440" s="1" t="str" cm="1">
        <f t="array" ref="I440">_xlfn.XLOOKUP(_xlfn.NUMBERVALUE(Carga[[#This Row],[Tombamento]]),_xlfn.NUMBERVALUE(Inventários[Tombamento]),Inventários[Descrição resumida do bem],"(A) Atenção Bem Não cadastrado")</f>
        <v>BOMBAS PARA AMOSTRAGEM DE ÁGUA FLOTADA FILTRADA E ÁGUA TRATADA, COMPLETAS</v>
      </c>
    </row>
    <row r="441" spans="1:9" ht="30" customHeight="1" x14ac:dyDescent="0.15">
      <c r="A441" s="88" t="s">
        <v>922</v>
      </c>
      <c r="B441" s="88" t="s">
        <v>1043</v>
      </c>
      <c r="C441" s="88" t="s">
        <v>618</v>
      </c>
      <c r="D441" s="88" t="s">
        <v>17</v>
      </c>
      <c r="E441" s="88" t="s">
        <v>619</v>
      </c>
      <c r="F441" s="88" t="s">
        <v>18</v>
      </c>
      <c r="G441" s="88" t="s">
        <v>19</v>
      </c>
      <c r="H441" s="63" t="str" cm="1">
        <f t="array" ref="H441">IF(A441&lt;&gt;"",_xlfn.XLOOKUP(_xlfn.NUMBERVALUE(A441),_xlfn.NUMBERVALUE(Inventários[Tombamento]),Inventários[Processo - localização específica]),"")</f>
        <v>Bloco hidráulico - analisadores d'água bruta</v>
      </c>
      <c r="I441" s="1" t="str" cm="1">
        <f t="array" ref="I441">_xlfn.XLOOKUP(_xlfn.NUMBERVALUE(Carga[[#This Row],[Tombamento]]),_xlfn.NUMBERVALUE(Inventários[Tombamento]),Inventários[Descrição resumida do bem],"(A) Atenção Bem Não cadastrado")</f>
        <v>BOMBA PARA AMOSTRAGEM DE ÁGUA FLOTADA FILTRADA E ÁGUA TRATADA, COMPLETAS</v>
      </c>
    </row>
    <row r="442" spans="1:9" ht="30" customHeight="1" x14ac:dyDescent="0.15">
      <c r="A442" s="88" t="s">
        <v>923</v>
      </c>
      <c r="B442" s="88" t="s">
        <v>1043</v>
      </c>
      <c r="C442" s="88" t="s">
        <v>618</v>
      </c>
      <c r="D442" s="88" t="s">
        <v>17</v>
      </c>
      <c r="E442" s="88" t="s">
        <v>619</v>
      </c>
      <c r="F442" s="88" t="s">
        <v>18</v>
      </c>
      <c r="G442" s="88" t="s">
        <v>19</v>
      </c>
      <c r="H442" s="63" t="str" cm="1">
        <f t="array" ref="H442">IF(A442&lt;&gt;"",_xlfn.XLOOKUP(_xlfn.NUMBERVALUE(A442),_xlfn.NUMBERVALUE(Inventários[Tombamento]),Inventários[Processo - localização específica]),"")</f>
        <v>Prédio - depósito de bens</v>
      </c>
      <c r="I442" s="1" t="str" cm="1">
        <f t="array" ref="I442">_xlfn.XLOOKUP(_xlfn.NUMBERVALUE(Carga[[#This Row],[Tombamento]]),_xlfn.NUMBERVALUE(Inventários[Tombamento]),Inventários[Descrição resumida do bem],"(A) Atenção Bem Não cadastrado")</f>
        <v>BOMBA PARA AMOSTRAGEM DE ÁGUA FLOTADA FILTRADA E ÁGUA TRATADA, COMPLETAS</v>
      </c>
    </row>
    <row r="443" spans="1:9" ht="30" customHeight="1" x14ac:dyDescent="0.15">
      <c r="A443" s="88" t="s">
        <v>924</v>
      </c>
      <c r="B443" s="88" t="s">
        <v>1042</v>
      </c>
      <c r="C443" s="88" t="s">
        <v>618</v>
      </c>
      <c r="D443" s="88" t="s">
        <v>17</v>
      </c>
      <c r="E443" s="88" t="s">
        <v>619</v>
      </c>
      <c r="F443" s="88" t="s">
        <v>18</v>
      </c>
      <c r="G443" s="88" t="s">
        <v>19</v>
      </c>
      <c r="H443" s="63" t="str" cm="1">
        <f t="array" ref="H443">IF(A443&lt;&gt;"",_xlfn.XLOOKUP(_xlfn.NUMBERVALUE(A443),_xlfn.NUMBERVALUE(Inventários[Tombamento]),Inventários[Processo - localização específica]),"")</f>
        <v>Prédio - depósito de bens</v>
      </c>
      <c r="I443" s="1" t="str" cm="1">
        <f t="array" ref="I443">_xlfn.XLOOKUP(_xlfn.NUMBERVALUE(Carga[[#This Row],[Tombamento]]),_xlfn.NUMBERVALUE(Inventários[Tombamento]),Inventários[Descrição resumida do bem],"(A) Atenção Bem Não cadastrado")</f>
        <v>BOMBAS PARA AMOSTRAGEM DE ÁGUA FLOTADA FILTRADA E ÁGUA TRATADA, COMPLETAS</v>
      </c>
    </row>
    <row r="444" spans="1:9" ht="30" customHeight="1" x14ac:dyDescent="0.15">
      <c r="A444" s="88" t="s">
        <v>925</v>
      </c>
      <c r="B444" s="88" t="s">
        <v>1043</v>
      </c>
      <c r="C444" s="88" t="s">
        <v>618</v>
      </c>
      <c r="D444" s="88" t="s">
        <v>17</v>
      </c>
      <c r="E444" s="88" t="s">
        <v>619</v>
      </c>
      <c r="F444" s="88" t="s">
        <v>18</v>
      </c>
      <c r="G444" s="88" t="s">
        <v>19</v>
      </c>
      <c r="H444" s="63" t="str" cm="1">
        <f t="array" ref="H444">IF(A444&lt;&gt;"",_xlfn.XLOOKUP(_xlfn.NUMBERVALUE(A444),_xlfn.NUMBERVALUE(Inventários[Tombamento]),Inventários[Processo - localização específica]),"")</f>
        <v>Bloco hidráulico - analisadores d'água bruta</v>
      </c>
      <c r="I444" s="1" t="str" cm="1">
        <f t="array" ref="I444">_xlfn.XLOOKUP(_xlfn.NUMBERVALUE(Carga[[#This Row],[Tombamento]]),_xlfn.NUMBERVALUE(Inventários[Tombamento]),Inventários[Descrição resumida do bem],"(A) Atenção Bem Não cadastrado")</f>
        <v>BOMBA PARA AMOSTRAGEM DE ÁGUA FLOTADA FILTRADA E ÁGUA TRATADA, COMPLETAS</v>
      </c>
    </row>
    <row r="445" spans="1:9" ht="19.899999999999999" customHeight="1" x14ac:dyDescent="0.15">
      <c r="A445" s="88" t="s">
        <v>926</v>
      </c>
      <c r="B445" s="88" t="s">
        <v>1044</v>
      </c>
      <c r="C445" s="88" t="s">
        <v>618</v>
      </c>
      <c r="D445" s="88" t="s">
        <v>17</v>
      </c>
      <c r="E445" s="88" t="s">
        <v>619</v>
      </c>
      <c r="F445" s="88" t="s">
        <v>18</v>
      </c>
      <c r="G445" s="88" t="s">
        <v>19</v>
      </c>
      <c r="H445" s="63" t="str" cm="1">
        <f t="array" ref="H445">IF(A445&lt;&gt;"",_xlfn.XLOOKUP(_xlfn.NUMBERVALUE(A445),_xlfn.NUMBERVALUE(Inventários[Tombamento]),Inventários[Processo - localização específica]),"")</f>
        <v>Casa de química - preparo e dosagem de permanganato e polímero</v>
      </c>
      <c r="I445" s="1" t="str" cm="1">
        <f t="array" ref="I445">_xlfn.XLOOKUP(_xlfn.NUMBERVALUE(Carga[[#This Row],[Tombamento]]),_xlfn.NUMBERVALUE(Inventários[Tombamento]),Inventários[Descrição resumida do bem],"(A) Atenção Bem Não cadastrado")</f>
        <v>EQUIPAMENTO PARA PREPARO DE SOLUÇÃO DE PERMANGANATO , COMPLETO</v>
      </c>
    </row>
    <row r="446" spans="1:9" ht="19.899999999999999" customHeight="1" x14ac:dyDescent="0.15">
      <c r="A446" s="88" t="s">
        <v>927</v>
      </c>
      <c r="B446" s="88" t="s">
        <v>1044</v>
      </c>
      <c r="C446" s="88" t="s">
        <v>618</v>
      </c>
      <c r="D446" s="88" t="s">
        <v>17</v>
      </c>
      <c r="E446" s="88" t="s">
        <v>619</v>
      </c>
      <c r="F446" s="88" t="s">
        <v>18</v>
      </c>
      <c r="G446" s="88" t="s">
        <v>19</v>
      </c>
      <c r="H446" s="63" t="str" cm="1">
        <f t="array" ref="H446">IF(A446&lt;&gt;"",_xlfn.XLOOKUP(_xlfn.NUMBERVALUE(A446),_xlfn.NUMBERVALUE(Inventários[Tombamento]),Inventários[Processo - localização específica]),"")</f>
        <v>Casa de química - preparo e dosagem de permanganato e polímero</v>
      </c>
      <c r="I446" s="1" t="str" cm="1">
        <f t="array" ref="I446">_xlfn.XLOOKUP(_xlfn.NUMBERVALUE(Carga[[#This Row],[Tombamento]]),_xlfn.NUMBERVALUE(Inventários[Tombamento]),Inventários[Descrição resumida do bem],"(A) Atenção Bem Não cadastrado")</f>
        <v>EQUIPAMENTO PARA PREPARO DE SOLUÇÃO DE PERMANGANATO , COMPLETO</v>
      </c>
    </row>
    <row r="447" spans="1:9" ht="19.899999999999999" customHeight="1" x14ac:dyDescent="0.15">
      <c r="A447" s="88" t="s">
        <v>928</v>
      </c>
      <c r="B447" s="88" t="s">
        <v>1045</v>
      </c>
      <c r="C447" s="88" t="s">
        <v>618</v>
      </c>
      <c r="D447" s="88" t="s">
        <v>17</v>
      </c>
      <c r="E447" s="88" t="s">
        <v>619</v>
      </c>
      <c r="F447" s="88" t="s">
        <v>18</v>
      </c>
      <c r="G447" s="88" t="s">
        <v>19</v>
      </c>
      <c r="H447" s="63" t="str" cm="1">
        <f t="array" ref="H447">IF(A447&lt;&gt;"",_xlfn.XLOOKUP(_xlfn.NUMBERVALUE(A447),_xlfn.NUMBERVALUE(Inventários[Tombamento]),Inventários[Processo - localização específica]),"")</f>
        <v>Casa de química - preparo e dosagem de permanganato e polímero</v>
      </c>
      <c r="I447" s="1" t="str" cm="1">
        <f t="array" ref="I447">_xlfn.XLOOKUP(_xlfn.NUMBERVALUE(Carga[[#This Row],[Tombamento]]),_xlfn.NUMBERVALUE(Inventários[Tombamento]),Inventários[Descrição resumida do bem],"(A) Atenção Bem Não cadastrado")</f>
        <v>EQUIPAMENTO PARA PREPARO DE SOLUÇÃO DE POLÍMERO, COMPLETO</v>
      </c>
    </row>
    <row r="448" spans="1:9" ht="49.5" x14ac:dyDescent="0.15">
      <c r="A448" s="88" t="s">
        <v>929</v>
      </c>
      <c r="B448" s="88" t="s">
        <v>1045</v>
      </c>
      <c r="C448" s="88" t="s">
        <v>618</v>
      </c>
      <c r="D448" s="88" t="s">
        <v>17</v>
      </c>
      <c r="E448" s="88" t="s">
        <v>619</v>
      </c>
      <c r="F448" s="88" t="s">
        <v>18</v>
      </c>
      <c r="G448" s="88" t="s">
        <v>19</v>
      </c>
      <c r="H448" s="63" t="str" cm="1">
        <f t="array" ref="H448">IF(A448&lt;&gt;"",_xlfn.XLOOKUP(_xlfn.NUMBERVALUE(A448),_xlfn.NUMBERVALUE(Inventários[Tombamento]),Inventários[Processo - localização específica]),"")</f>
        <v>Casa de química - preparo e dosagem de permanganato e polímero</v>
      </c>
      <c r="I448" s="1" t="str" cm="1">
        <f t="array" ref="I448">_xlfn.XLOOKUP(_xlfn.NUMBERVALUE(Carga[[#This Row],[Tombamento]]),_xlfn.NUMBERVALUE(Inventários[Tombamento]),Inventários[Descrição resumida do bem],"(A) Atenção Bem Não cadastrado")</f>
        <v>EQUIPAMENTO PARA PREPARO DE SOLUÇÃO DE POLÍMERO, COMPLETO</v>
      </c>
    </row>
    <row r="449" spans="1:9" ht="88.5" x14ac:dyDescent="0.15">
      <c r="A449" s="88" t="s">
        <v>930</v>
      </c>
      <c r="B449" s="88" t="s">
        <v>1046</v>
      </c>
      <c r="C449" s="88" t="s">
        <v>618</v>
      </c>
      <c r="D449" s="88" t="s">
        <v>17</v>
      </c>
      <c r="E449" s="88" t="s">
        <v>619</v>
      </c>
      <c r="F449" s="88" t="s">
        <v>18</v>
      </c>
      <c r="G449" s="88" t="s">
        <v>19</v>
      </c>
      <c r="H449" s="63" t="str" cm="1">
        <f t="array" ref="H449">IF(A449&lt;&gt;"",_xlfn.XLOOKUP(_xlfn.NUMBERVALUE(A449),_xlfn.NUMBERVALUE(Inventários[Tombamento]),Inventários[Processo - localização específica]),"")</f>
        <v>Prédio - depósito de bens</v>
      </c>
      <c r="I449" s="1" t="str" cm="1">
        <f t="array" ref="I449">_xlfn.XLOOKUP(_xlfn.NUMBERVALUE(Carga[[#This Row],[Tombamento]]),_xlfn.NUMBERVALUE(Inventários[Tombamento]),Inventários[Descrição resumida do bem],"(A) Atenção Bem Não cadastrado")</f>
        <v>BALANÇA RODOVIÁRIA COMPLETA, CONFORME ESPECIFICAÇÕES TÉCNICAS - FORNECIMENTO, MONTAGEM E INSTALAÇÃO</v>
      </c>
    </row>
    <row r="450" spans="1:9" ht="78.75" x14ac:dyDescent="0.15">
      <c r="A450" s="88" t="s">
        <v>931</v>
      </c>
      <c r="B450" s="88" t="s">
        <v>1047</v>
      </c>
      <c r="C450" s="88" t="s">
        <v>618</v>
      </c>
      <c r="D450" s="88" t="s">
        <v>17</v>
      </c>
      <c r="E450" s="88" t="s">
        <v>619</v>
      </c>
      <c r="F450" s="88" t="s">
        <v>18</v>
      </c>
      <c r="G450" s="88" t="s">
        <v>19</v>
      </c>
      <c r="H450" s="63" t="str" cm="1">
        <f t="array" ref="H450">IF(A450&lt;&gt;"",_xlfn.XLOOKUP(_xlfn.NUMBERVALUE(A450),_xlfn.NUMBERVALUE(Inventários[Tombamento]),Inventários[Processo - localização específica]),"")</f>
        <v>Tanque reciclo - elevatória, turbidimetro e med. de nível e vazão</v>
      </c>
      <c r="I450" s="1" t="str" cm="1">
        <f t="array" ref="I450">_xlfn.XLOOKUP(_xlfn.NUMBERVALUE(Carga[[#This Row],[Tombamento]]),_xlfn.NUMBERVALUE(Inventários[Tombamento]),Inventários[Descrição resumida do bem],"(A) Atenção Bem Não cadastrado")</f>
        <v>CONJUNTO MOTOR BOMBA PARA RECIRCULAÇÃO DA ÁGUA DE LAVAGEM DOS FILTROS, COMPLETO, CONFORME ESPECIFICAÇÃO</v>
      </c>
    </row>
    <row r="451" spans="1:9" ht="78.75" x14ac:dyDescent="0.15">
      <c r="A451" s="88" t="s">
        <v>932</v>
      </c>
      <c r="B451" s="88" t="s">
        <v>1047</v>
      </c>
      <c r="C451" s="88" t="s">
        <v>618</v>
      </c>
      <c r="D451" s="88" t="s">
        <v>17</v>
      </c>
      <c r="E451" s="88" t="s">
        <v>619</v>
      </c>
      <c r="F451" s="88" t="s">
        <v>18</v>
      </c>
      <c r="G451" s="88" t="s">
        <v>19</v>
      </c>
      <c r="H451" s="63" t="str" cm="1">
        <f t="array" ref="H451">IF(A451&lt;&gt;"",_xlfn.XLOOKUP(_xlfn.NUMBERVALUE(A451),_xlfn.NUMBERVALUE(Inventários[Tombamento]),Inventários[Processo - localização específica]),"")</f>
        <v>Tanque reciclo - elevatória, turbidimetro e med. de nível e vazão</v>
      </c>
      <c r="I451" s="1" t="str" cm="1">
        <f t="array" ref="I451">_xlfn.XLOOKUP(_xlfn.NUMBERVALUE(Carga[[#This Row],[Tombamento]]),_xlfn.NUMBERVALUE(Inventários[Tombamento]),Inventários[Descrição resumida do bem],"(A) Atenção Bem Não cadastrado")</f>
        <v>CONJUNTO MOTOR BOMBA PARA RECIRCULAÇÃO DA ÁGUA DE LAVAGEM DOS FILTROS, COMPLETO, CONFORME ESPECIFICAÇÃO</v>
      </c>
    </row>
    <row r="452" spans="1:9" ht="78.75" x14ac:dyDescent="0.15">
      <c r="A452" s="88" t="s">
        <v>933</v>
      </c>
      <c r="B452" s="88" t="s">
        <v>1047</v>
      </c>
      <c r="C452" s="88" t="s">
        <v>618</v>
      </c>
      <c r="D452" s="88" t="s">
        <v>17</v>
      </c>
      <c r="E452" s="88" t="s">
        <v>619</v>
      </c>
      <c r="F452" s="88" t="s">
        <v>18</v>
      </c>
      <c r="G452" s="88" t="s">
        <v>19</v>
      </c>
      <c r="H452" s="63" t="str" cm="1">
        <f t="array" ref="H452">IF(A452&lt;&gt;"",_xlfn.XLOOKUP(_xlfn.NUMBERVALUE(A452),_xlfn.NUMBERVALUE(Inventários[Tombamento]),Inventários[Processo - localização específica]),"")</f>
        <v>Tanque reciclo - elevatória, turbidimetro e med. de nível e vazão</v>
      </c>
      <c r="I452" s="1" t="str" cm="1">
        <f t="array" ref="I452">_xlfn.XLOOKUP(_xlfn.NUMBERVALUE(Carga[[#This Row],[Tombamento]]),_xlfn.NUMBERVALUE(Inventários[Tombamento]),Inventários[Descrição resumida do bem],"(A) Atenção Bem Não cadastrado")</f>
        <v>CONJUNTO MOTOR BOMBA PARA RECIRCULAÇÃO DA ÁGUA DE LAVAGEM DOS FILTROS, COMPLETO, CONFORME ESPECIFICAÇÃO</v>
      </c>
    </row>
    <row r="453" spans="1:9" ht="69" x14ac:dyDescent="0.15">
      <c r="A453" s="88" t="s">
        <v>934</v>
      </c>
      <c r="B453" s="88" t="s">
        <v>1048</v>
      </c>
      <c r="C453" s="88" t="s">
        <v>618</v>
      </c>
      <c r="D453" s="88" t="s">
        <v>17</v>
      </c>
      <c r="E453" s="88" t="s">
        <v>619</v>
      </c>
      <c r="F453" s="88" t="s">
        <v>18</v>
      </c>
      <c r="G453" s="88" t="s">
        <v>19</v>
      </c>
      <c r="H453" s="63" t="str" cm="1">
        <f t="array" ref="H453">IF(A453&lt;&gt;"",_xlfn.XLOOKUP(_xlfn.NUMBERVALUE(A453),_xlfn.NUMBERVALUE(Inventários[Tombamento]),Inventários[Processo - localização específica]),"")</f>
        <v>Tanque reciclo - elevatória, turbidimetro e med. de nível e vazão</v>
      </c>
      <c r="I453" s="1" t="str" cm="1">
        <f t="array" ref="I453">_xlfn.XLOOKUP(_xlfn.NUMBERVALUE(Carga[[#This Row],[Tombamento]]),_xlfn.NUMBERVALUE(Inventários[Tombamento]),Inventários[Descrição resumida do bem],"(A) Atenção Bem Não cadastrado")</f>
        <v>MISTURADOR FLUTUANTE PARA TANQUE DE ÁGUA DE LAVAGEM DOS FILTROS, COMPLETO, CONFORME ESPECIFICAÇÃO</v>
      </c>
    </row>
    <row r="454" spans="1:9" ht="69" x14ac:dyDescent="0.15">
      <c r="A454" s="88" t="s">
        <v>935</v>
      </c>
      <c r="B454" s="88" t="s">
        <v>1048</v>
      </c>
      <c r="C454" s="88" t="s">
        <v>618</v>
      </c>
      <c r="D454" s="88" t="s">
        <v>17</v>
      </c>
      <c r="E454" s="88" t="s">
        <v>619</v>
      </c>
      <c r="F454" s="88" t="s">
        <v>18</v>
      </c>
      <c r="G454" s="88" t="s">
        <v>19</v>
      </c>
      <c r="H454" s="63" t="str" cm="1">
        <f t="array" ref="H454">IF(A454&lt;&gt;"",_xlfn.XLOOKUP(_xlfn.NUMBERVALUE(A454),_xlfn.NUMBERVALUE(Inventários[Tombamento]),Inventários[Processo - localização específica]),"")</f>
        <v>Tanque reciclo - elevatória, turbidimetro e med. de nível e vazão</v>
      </c>
      <c r="I454" s="1" t="str" cm="1">
        <f t="array" ref="I454">_xlfn.XLOOKUP(_xlfn.NUMBERVALUE(Carga[[#This Row],[Tombamento]]),_xlfn.NUMBERVALUE(Inventários[Tombamento]),Inventários[Descrição resumida do bem],"(A) Atenção Bem Não cadastrado")</f>
        <v>MISTURADOR FLUTUANTE PARA TANQUE DE ÁGUA DE LAVAGEM DOS FILTROS, COMPLETO, CONFORME ESPECIFICAÇÃO</v>
      </c>
    </row>
    <row r="455" spans="1:9" ht="20.25" x14ac:dyDescent="0.15">
      <c r="A455" s="88" t="s">
        <v>936</v>
      </c>
      <c r="B455" s="88" t="s">
        <v>268</v>
      </c>
      <c r="C455" s="88" t="s">
        <v>618</v>
      </c>
      <c r="D455" s="88" t="s">
        <v>17</v>
      </c>
      <c r="E455" s="88" t="s">
        <v>619</v>
      </c>
      <c r="F455" s="88" t="s">
        <v>18</v>
      </c>
      <c r="G455" s="88" t="s">
        <v>19</v>
      </c>
      <c r="H455" s="63" t="str" cm="1">
        <f t="array" ref="H455">IF(A455&lt;&gt;"",_xlfn.XLOOKUP(_xlfn.NUMBERVALUE(A455),_xlfn.NUMBERVALUE(Inventários[Tombamento]),Inventários[Processo - localização específica]),"")</f>
        <v>Prédio - gerência</v>
      </c>
      <c r="I455" s="1" t="str" cm="1">
        <f t="array" ref="I455">_xlfn.XLOOKUP(_xlfn.NUMBERVALUE(Carga[[#This Row],[Tombamento]]),_xlfn.NUMBERVALUE(Inventários[Tombamento]),Inventários[Descrição resumida do bem],"(A) Atenção Bem Não cadastrado")</f>
        <v>PROJETOR PROJETOR ACER X1323 WHP</v>
      </c>
    </row>
    <row r="456" spans="1:9" ht="88.5" x14ac:dyDescent="0.15">
      <c r="A456" s="88" t="s">
        <v>937</v>
      </c>
      <c r="B456" s="88" t="s">
        <v>435</v>
      </c>
      <c r="C456" s="88" t="s">
        <v>618</v>
      </c>
      <c r="D456" s="88" t="s">
        <v>17</v>
      </c>
      <c r="E456" s="88" t="s">
        <v>619</v>
      </c>
      <c r="F456" s="88" t="s">
        <v>18</v>
      </c>
      <c r="G456" s="88" t="s">
        <v>19</v>
      </c>
      <c r="H456" s="63" t="str" cm="1">
        <f t="array" ref="H456">IF(A456&lt;&gt;"",_xlfn.XLOOKUP(_xlfn.NUMBERVALUE(A456),_xlfn.NUMBERVALUE(Inventários[Tombamento]),Inventários[Processo - localização específica]),"")</f>
        <v>RAP - válvulas de água tratada (entrada e saída) e med. de vazão</v>
      </c>
      <c r="I456" s="1" t="str" cm="1">
        <f t="array" ref="I456">_xlfn.XLOOKUP(_xlfn.NUMBERVALUE(Carga[[#This Row],[Tombamento]]),_xlfn.NUMBERVALUE(Inventários[Tombamento]),Inventários[Descrição resumida do bem],"(A) Atenção Bem Não cadastrado")</f>
        <v>MEDIDOR DE VAZÃO ULTRASSÔNICO DO TIPO CLAMP-ON E CONVERSOR ANALÓGICO PROFIBUS - LOCALIZADO NA ENTRADA DO RAP.VLG.001.</v>
      </c>
    </row>
    <row r="457" spans="1:9" ht="78.75" x14ac:dyDescent="0.15">
      <c r="A457" s="88" t="s">
        <v>938</v>
      </c>
      <c r="B457" s="88" t="s">
        <v>436</v>
      </c>
      <c r="C457" s="88" t="s">
        <v>618</v>
      </c>
      <c r="D457" s="88" t="s">
        <v>17</v>
      </c>
      <c r="E457" s="88" t="s">
        <v>619</v>
      </c>
      <c r="F457" s="88" t="s">
        <v>18</v>
      </c>
      <c r="G457" s="88" t="s">
        <v>19</v>
      </c>
      <c r="H457" s="63" t="str" cm="1">
        <f t="array" ref="H457">IF(A457&lt;&gt;"",_xlfn.XLOOKUP(_xlfn.NUMBERVALUE(A457),_xlfn.NUMBERVALUE(Inventários[Tombamento]),Inventários[Processo - localização específica]),"")</f>
        <v>EAT - casa de máquinas e  med. de vazão</v>
      </c>
      <c r="I457" s="1" t="str" cm="1">
        <f t="array" ref="I457">_xlfn.XLOOKUP(_xlfn.NUMBERVALUE(Carga[[#This Row],[Tombamento]]),_xlfn.NUMBERVALUE(Inventários[Tombamento]),Inventários[Descrição resumida do bem],"(A) Atenção Bem Não cadastrado")</f>
        <v>MEDIDOR DE VAZÃO ULTRASSÔNICO DO TIPO CLAMP-ON E CONVERSOR ANALÓGICO PROFIBUS - LOCALIZADO NA EAT.VLG.001.</v>
      </c>
    </row>
    <row r="458" spans="1:9" ht="59.25" x14ac:dyDescent="0.15">
      <c r="A458" s="88" t="s">
        <v>939</v>
      </c>
      <c r="B458" s="88" t="s">
        <v>610</v>
      </c>
      <c r="C458" s="88" t="s">
        <v>618</v>
      </c>
      <c r="D458" s="88" t="s">
        <v>17</v>
      </c>
      <c r="E458" s="88" t="s">
        <v>619</v>
      </c>
      <c r="F458" s="88" t="s">
        <v>18</v>
      </c>
      <c r="G458" s="88" t="s">
        <v>19</v>
      </c>
      <c r="H458" s="63" t="str" cm="1">
        <f t="array" ref="H458">IF(A458&lt;&gt;"",_xlfn.XLOOKUP(_xlfn.NUMBERVALUE(A458),_xlfn.NUMBERVALUE(Inventários[Tombamento]),Inventários[Processo - localização específica]),"")</f>
        <v>Guarita principal - balança</v>
      </c>
      <c r="I458" s="1" t="str" cm="1">
        <f t="array" ref="I458">_xlfn.XLOOKUP(_xlfn.NUMBERVALUE(Carga[[#This Row],[Tombamento]]),_xlfn.NUMBERVALUE(Inventários[Tombamento]),Inventários[Descrição resumida do bem],"(A) Atenção Bem Não cadastrado")</f>
        <v>AR CONDICIONADO INVERTER (UNIDADE CONDENSADORA/EVAPORADORA) SPRINGER MIDEA9000BTUS</v>
      </c>
    </row>
    <row r="459" spans="1:9" ht="59.25" x14ac:dyDescent="0.15">
      <c r="A459" s="88" t="s">
        <v>940</v>
      </c>
      <c r="B459" s="88" t="s">
        <v>610</v>
      </c>
      <c r="C459" s="88" t="s">
        <v>618</v>
      </c>
      <c r="D459" s="88" t="s">
        <v>17</v>
      </c>
      <c r="E459" s="88" t="s">
        <v>619</v>
      </c>
      <c r="F459" s="88" t="s">
        <v>18</v>
      </c>
      <c r="G459" s="88" t="s">
        <v>19</v>
      </c>
      <c r="H459" s="63" t="str" cm="1">
        <f t="array" ref="H459">IF(A459&lt;&gt;"",_xlfn.XLOOKUP(_xlfn.NUMBERVALUE(A459),_xlfn.NUMBERVALUE(Inventários[Tombamento]),Inventários[Processo - localização específica]),"")</f>
        <v>Prédio - servidor</v>
      </c>
      <c r="I459" s="1" t="str" cm="1">
        <f t="array" ref="I459">_xlfn.XLOOKUP(_xlfn.NUMBERVALUE(Carga[[#This Row],[Tombamento]]),_xlfn.NUMBERVALUE(Inventários[Tombamento]),Inventários[Descrição resumida do bem],"(A) Atenção Bem Não cadastrado")</f>
        <v>AR CONDICIONADO INVERTER (UNIDADE CONDENSADORA/EVAPORADORA) SPRINGER MIDEA9000BTUS</v>
      </c>
    </row>
    <row r="460" spans="1:9" ht="59.25" x14ac:dyDescent="0.15">
      <c r="A460" s="88" t="s">
        <v>941</v>
      </c>
      <c r="B460" s="88" t="s">
        <v>610</v>
      </c>
      <c r="C460" s="88" t="s">
        <v>618</v>
      </c>
      <c r="D460" s="88" t="s">
        <v>17</v>
      </c>
      <c r="E460" s="88" t="s">
        <v>619</v>
      </c>
      <c r="F460" s="88" t="s">
        <v>18</v>
      </c>
      <c r="G460" s="88" t="s">
        <v>19</v>
      </c>
      <c r="H460" s="63" t="str" cm="1">
        <f t="array" ref="H460">IF(A460&lt;&gt;"",_xlfn.XLOOKUP(_xlfn.NUMBERVALUE(A460),_xlfn.NUMBERVALUE(Inventários[Tombamento]),Inventários[Processo - localização específica]),"")</f>
        <v>Prédio - maquiagem</v>
      </c>
      <c r="I460" s="1" t="str" cm="1">
        <f t="array" ref="I460">_xlfn.XLOOKUP(_xlfn.NUMBERVALUE(Carga[[#This Row],[Tombamento]]),_xlfn.NUMBERVALUE(Inventários[Tombamento]),Inventários[Descrição resumida do bem],"(A) Atenção Bem Não cadastrado")</f>
        <v>AR CONDICIONADO INVERTER (UNIDADE CONDENSADORA/EVAPORADORA) SPRINGER MIDEA9000BTUS</v>
      </c>
    </row>
    <row r="461" spans="1:9" ht="59.25" x14ac:dyDescent="0.15">
      <c r="A461" s="88" t="s">
        <v>942</v>
      </c>
      <c r="B461" s="88" t="s">
        <v>1049</v>
      </c>
      <c r="C461" s="88" t="s">
        <v>618</v>
      </c>
      <c r="D461" s="88" t="s">
        <v>17</v>
      </c>
      <c r="E461" s="88" t="s">
        <v>619</v>
      </c>
      <c r="F461" s="88" t="s">
        <v>18</v>
      </c>
      <c r="G461" s="88" t="s">
        <v>19</v>
      </c>
      <c r="H461" s="63" t="str" cm="1">
        <f t="array" ref="H461">IF(A461&lt;&gt;"",_xlfn.XLOOKUP(_xlfn.NUMBERVALUE(A461),_xlfn.NUMBERVALUE(Inventários[Tombamento]),Inventários[Processo - localização específica]),"")</f>
        <v>Prédio - gerência</v>
      </c>
      <c r="I461" s="1" t="str" cm="1">
        <f t="array" ref="I461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2" spans="1:9" ht="59.25" x14ac:dyDescent="0.15">
      <c r="A462" s="88" t="s">
        <v>943</v>
      </c>
      <c r="B462" s="88" t="s">
        <v>1049</v>
      </c>
      <c r="C462" s="88" t="s">
        <v>618</v>
      </c>
      <c r="D462" s="88" t="s">
        <v>17</v>
      </c>
      <c r="E462" s="88" t="s">
        <v>619</v>
      </c>
      <c r="F462" s="88" t="s">
        <v>18</v>
      </c>
      <c r="G462" s="88" t="s">
        <v>19</v>
      </c>
      <c r="H462" s="63" t="str" cm="1">
        <f t="array" ref="H462">IF(A462&lt;&gt;"",_xlfn.XLOOKUP(_xlfn.NUMBERVALUE(A462),_xlfn.NUMBERVALUE(Inventários[Tombamento]),Inventários[Processo - localização específica]),"")</f>
        <v>Prédio - apoio à operação</v>
      </c>
      <c r="I462" s="1" t="str" cm="1">
        <f t="array" ref="I462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3" spans="1:9" ht="59.25" x14ac:dyDescent="0.15">
      <c r="A463" s="88" t="s">
        <v>944</v>
      </c>
      <c r="B463" s="88" t="s">
        <v>1049</v>
      </c>
      <c r="C463" s="88" t="s">
        <v>618</v>
      </c>
      <c r="D463" s="88" t="s">
        <v>17</v>
      </c>
      <c r="E463" s="88" t="s">
        <v>619</v>
      </c>
      <c r="F463" s="88" t="s">
        <v>18</v>
      </c>
      <c r="G463" s="88" t="s">
        <v>19</v>
      </c>
      <c r="H463" s="63" t="str" cm="1">
        <f t="array" ref="H463">IF(A463&lt;&gt;"",_xlfn.XLOOKUP(_xlfn.NUMBERVALUE(A463),_xlfn.NUMBERVALUE(Inventários[Tombamento]),Inventários[Processo - localização específica]),"")</f>
        <v>Prédio - apoio à operação</v>
      </c>
      <c r="I463" s="1" t="str" cm="1">
        <f t="array" ref="I463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4" spans="1:9" ht="59.25" x14ac:dyDescent="0.15">
      <c r="A464" s="88" t="s">
        <v>945</v>
      </c>
      <c r="B464" s="88" t="s">
        <v>1049</v>
      </c>
      <c r="C464" s="88" t="s">
        <v>618</v>
      </c>
      <c r="D464" s="88" t="s">
        <v>17</v>
      </c>
      <c r="E464" s="88" t="s">
        <v>619</v>
      </c>
      <c r="F464" s="88" t="s">
        <v>18</v>
      </c>
      <c r="G464" s="88" t="s">
        <v>19</v>
      </c>
      <c r="H464" s="63" t="str" cm="1">
        <f t="array" ref="H464">IF(A464&lt;&gt;"",_xlfn.XLOOKUP(_xlfn.NUMBERVALUE(A464),_xlfn.NUMBERVALUE(Inventários[Tombamento]),Inventários[Processo - localização específica]),"")</f>
        <v>Prédio - apoio à operação</v>
      </c>
      <c r="I464" s="1" t="str" cm="1">
        <f t="array" ref="I464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5" spans="1:9" ht="59.25" x14ac:dyDescent="0.15">
      <c r="A465" s="88" t="s">
        <v>946</v>
      </c>
      <c r="B465" s="88" t="s">
        <v>1049</v>
      </c>
      <c r="C465" s="88" t="s">
        <v>618</v>
      </c>
      <c r="D465" s="88" t="s">
        <v>17</v>
      </c>
      <c r="E465" s="88" t="s">
        <v>619</v>
      </c>
      <c r="F465" s="88" t="s">
        <v>18</v>
      </c>
      <c r="G465" s="88" t="s">
        <v>19</v>
      </c>
      <c r="H465" s="63" t="str" cm="1">
        <f t="array" ref="H465">IF(A465&lt;&gt;"",_xlfn.XLOOKUP(_xlfn.NUMBERVALUE(A465),_xlfn.NUMBERVALUE(Inventários[Tombamento]),Inventários[Processo - localização específica]),"")</f>
        <v>Prédio - laboratório</v>
      </c>
      <c r="I465" s="1" t="str" cm="1">
        <f t="array" ref="I465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6" spans="1:9" ht="59.25" x14ac:dyDescent="0.15">
      <c r="A466" s="88" t="s">
        <v>947</v>
      </c>
      <c r="B466" s="88" t="s">
        <v>1049</v>
      </c>
      <c r="C466" s="88" t="s">
        <v>618</v>
      </c>
      <c r="D466" s="88" t="s">
        <v>17</v>
      </c>
      <c r="E466" s="88" t="s">
        <v>619</v>
      </c>
      <c r="F466" s="88" t="s">
        <v>18</v>
      </c>
      <c r="G466" s="88" t="s">
        <v>19</v>
      </c>
      <c r="H466" s="63" t="str" cm="1">
        <f t="array" ref="H466">IF(A466&lt;&gt;"",_xlfn.XLOOKUP(_xlfn.NUMBERVALUE(A466),_xlfn.NUMBERVALUE(Inventários[Tombamento]),Inventários[Processo - localização específica]),"")</f>
        <v>Prédio - laboratório</v>
      </c>
      <c r="I466" s="1" t="str" cm="1">
        <f t="array" ref="I466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7" spans="1:9" ht="59.25" x14ac:dyDescent="0.15">
      <c r="A467" s="88" t="s">
        <v>948</v>
      </c>
      <c r="B467" s="88" t="s">
        <v>1049</v>
      </c>
      <c r="C467" s="88" t="s">
        <v>618</v>
      </c>
      <c r="D467" s="88" t="s">
        <v>17</v>
      </c>
      <c r="E467" s="88" t="s">
        <v>619</v>
      </c>
      <c r="F467" s="88" t="s">
        <v>18</v>
      </c>
      <c r="G467" s="88" t="s">
        <v>19</v>
      </c>
      <c r="H467" s="63" t="str" cm="1">
        <f t="array" ref="H467">IF(A467&lt;&gt;"",_xlfn.XLOOKUP(_xlfn.NUMBERVALUE(A467),_xlfn.NUMBERVALUE(Inventários[Tombamento]),Inventários[Processo - localização específica]),"")</f>
        <v>Prédio - laboratório</v>
      </c>
      <c r="I467" s="1" t="str" cm="1">
        <f t="array" ref="I467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8" spans="1:9" ht="59.25" x14ac:dyDescent="0.15">
      <c r="A468" s="88" t="s">
        <v>949</v>
      </c>
      <c r="B468" s="88" t="s">
        <v>1049</v>
      </c>
      <c r="C468" s="88" t="s">
        <v>618</v>
      </c>
      <c r="D468" s="88" t="s">
        <v>17</v>
      </c>
      <c r="E468" s="88" t="s">
        <v>619</v>
      </c>
      <c r="F468" s="88" t="s">
        <v>18</v>
      </c>
      <c r="G468" s="88" t="s">
        <v>19</v>
      </c>
      <c r="H468" s="63" t="str" cm="1">
        <f t="array" ref="H468">IF(A468&lt;&gt;"",_xlfn.XLOOKUP(_xlfn.NUMBERVALUE(A468),_xlfn.NUMBERVALUE(Inventários[Tombamento]),Inventários[Processo - localização específica]),"")</f>
        <v>Prédio - laboratório</v>
      </c>
      <c r="I468" s="1" t="str" cm="1">
        <f t="array" ref="I468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69" spans="1:9" ht="59.25" x14ac:dyDescent="0.15">
      <c r="A469" s="88" t="s">
        <v>950</v>
      </c>
      <c r="B469" s="88" t="s">
        <v>1049</v>
      </c>
      <c r="C469" s="88" t="s">
        <v>618</v>
      </c>
      <c r="D469" s="88" t="s">
        <v>17</v>
      </c>
      <c r="E469" s="88" t="s">
        <v>619</v>
      </c>
      <c r="F469" s="88" t="s">
        <v>18</v>
      </c>
      <c r="G469" s="88" t="s">
        <v>19</v>
      </c>
      <c r="H469" s="63" t="str" cm="1">
        <f t="array" ref="H469">IF(A469&lt;&gt;"",_xlfn.XLOOKUP(_xlfn.NUMBERVALUE(A469),_xlfn.NUMBERVALUE(Inventários[Tombamento]),Inventários[Processo - localização específica]),"")</f>
        <v>Prédio - copa térreo</v>
      </c>
      <c r="I469" s="1" t="str" cm="1">
        <f t="array" ref="I469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70" spans="1:9" ht="59.25" x14ac:dyDescent="0.15">
      <c r="A470" s="88" t="s">
        <v>951</v>
      </c>
      <c r="B470" s="88" t="s">
        <v>1049</v>
      </c>
      <c r="C470" s="88" t="s">
        <v>618</v>
      </c>
      <c r="D470" s="88" t="s">
        <v>17</v>
      </c>
      <c r="E470" s="88" t="s">
        <v>619</v>
      </c>
      <c r="F470" s="88" t="s">
        <v>18</v>
      </c>
      <c r="G470" s="88" t="s">
        <v>19</v>
      </c>
      <c r="H470" s="63" t="str" cm="1">
        <f t="array" ref="H470">IF(A470&lt;&gt;"",_xlfn.XLOOKUP(_xlfn.NUMBERVALUE(A470),_xlfn.NUMBERVALUE(Inventários[Tombamento]),Inventários[Processo - localização específica]),"")</f>
        <v>Prédio - automação</v>
      </c>
      <c r="I470" s="1" t="str" cm="1">
        <f t="array" ref="I470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71" spans="1:9" ht="59.25" x14ac:dyDescent="0.15">
      <c r="A471" s="88" t="s">
        <v>952</v>
      </c>
      <c r="B471" s="88" t="s">
        <v>1049</v>
      </c>
      <c r="C471" s="88" t="s">
        <v>618</v>
      </c>
      <c r="D471" s="88" t="s">
        <v>17</v>
      </c>
      <c r="E471" s="88" t="s">
        <v>619</v>
      </c>
      <c r="F471" s="88" t="s">
        <v>18</v>
      </c>
      <c r="G471" s="88" t="s">
        <v>19</v>
      </c>
      <c r="H471" s="63" t="str" cm="1">
        <f t="array" ref="H471">IF(A471&lt;&gt;"",_xlfn.XLOOKUP(_xlfn.NUMBERVALUE(A471),_xlfn.NUMBERVALUE(Inventários[Tombamento]),Inventários[Processo - localização específica]),"")</f>
        <v>Prédio - elétrica</v>
      </c>
      <c r="I471" s="1" t="str" cm="1">
        <f t="array" ref="I471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72" spans="1:9" ht="59.25" x14ac:dyDescent="0.15">
      <c r="A472" s="88" t="s">
        <v>953</v>
      </c>
      <c r="B472" s="88" t="s">
        <v>1049</v>
      </c>
      <c r="C472" s="88" t="s">
        <v>618</v>
      </c>
      <c r="D472" s="88" t="s">
        <v>17</v>
      </c>
      <c r="E472" s="88" t="s">
        <v>619</v>
      </c>
      <c r="F472" s="88" t="s">
        <v>18</v>
      </c>
      <c r="G472" s="88" t="s">
        <v>19</v>
      </c>
      <c r="H472" s="63" t="str" cm="1">
        <f t="array" ref="H472">IF(A472&lt;&gt;"",_xlfn.XLOOKUP(_xlfn.NUMBERVALUE(A472),_xlfn.NUMBERVALUE(Inventários[Tombamento]),Inventários[Processo - localização específica]),"")</f>
        <v>Prédio - coordenador</v>
      </c>
      <c r="I472" s="1" t="str" cm="1">
        <f t="array" ref="I472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73" spans="1:9" ht="59.25" x14ac:dyDescent="0.15">
      <c r="A473" s="88" t="s">
        <v>954</v>
      </c>
      <c r="B473" s="88" t="s">
        <v>1049</v>
      </c>
      <c r="C473" s="88" t="s">
        <v>618</v>
      </c>
      <c r="D473" s="88" t="s">
        <v>17</v>
      </c>
      <c r="E473" s="88" t="s">
        <v>619</v>
      </c>
      <c r="F473" s="88" t="s">
        <v>18</v>
      </c>
      <c r="G473" s="88" t="s">
        <v>19</v>
      </c>
      <c r="H473" s="63" t="str" cm="1">
        <f t="array" ref="H473">IF(A473&lt;&gt;"",_xlfn.XLOOKUP(_xlfn.NUMBERVALUE(A473),_xlfn.NUMBERVALUE(Inventários[Tombamento]),Inventários[Processo - localização específica]),"")</f>
        <v>Prédio - secretaria</v>
      </c>
      <c r="I473" s="1" t="str" cm="1">
        <f t="array" ref="I473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74" spans="1:9" ht="59.25" x14ac:dyDescent="0.15">
      <c r="A474" s="88" t="s">
        <v>955</v>
      </c>
      <c r="B474" s="88" t="s">
        <v>1049</v>
      </c>
      <c r="C474" s="88" t="s">
        <v>618</v>
      </c>
      <c r="D474" s="88" t="s">
        <v>17</v>
      </c>
      <c r="E474" s="88" t="s">
        <v>619</v>
      </c>
      <c r="F474" s="88" t="s">
        <v>18</v>
      </c>
      <c r="G474" s="88" t="s">
        <v>19</v>
      </c>
      <c r="H474" s="63" t="str" cm="1">
        <f t="array" ref="H474">IF(A474&lt;&gt;"",_xlfn.XLOOKUP(_xlfn.NUMBERVALUE(A474),_xlfn.NUMBERVALUE(Inventários[Tombamento]),Inventários[Processo - localização específica]),"")</f>
        <v>Prédio - gerência</v>
      </c>
      <c r="I474" s="1" t="str" cm="1">
        <f t="array" ref="I474">_xlfn.XLOOKUP(_xlfn.NUMBERVALUE(Carga[[#This Row],[Tombamento]]),_xlfn.NUMBERVALUE(Inventários[Tombamento]),Inventários[Descrição resumida do bem],"(A) Atenção Bem Não cadastrado")</f>
        <v>AR CONDICIONADO INVERTER (UNIDADE CONDENSADORA/EVAPORADORA) SPRINGER MIDEA18000BTUS</v>
      </c>
    </row>
    <row r="475" spans="1:9" ht="59.25" x14ac:dyDescent="0.15">
      <c r="A475" s="88" t="s">
        <v>956</v>
      </c>
      <c r="B475" s="88" t="s">
        <v>1050</v>
      </c>
      <c r="C475" s="88" t="s">
        <v>618</v>
      </c>
      <c r="D475" s="88" t="s">
        <v>17</v>
      </c>
      <c r="E475" s="88" t="s">
        <v>619</v>
      </c>
      <c r="F475" s="88" t="s">
        <v>18</v>
      </c>
      <c r="G475" s="88" t="s">
        <v>19</v>
      </c>
      <c r="H475" s="63" t="str" cm="1">
        <f t="array" ref="H475">IF(A475&lt;&gt;"",_xlfn.XLOOKUP(_xlfn.NUMBERVALUE(A475),_xlfn.NUMBERVALUE(Inventários[Tombamento]),Inventários[Processo - localização específica]),"")</f>
        <v>Prédio - operação</v>
      </c>
      <c r="I475" s="1" t="str" cm="1">
        <f t="array" ref="I475">_xlfn.XLOOKUP(_xlfn.NUMBERVALUE(Carga[[#This Row],[Tombamento]]),_xlfn.NUMBERVALUE(Inventários[Tombamento]),Inventários[Descrição resumida do bem],"(A) Atenção Bem Não cadastrado")</f>
        <v>AR CONDICIONADO INVERTER (UNIDADE CONDENSADORA/EVAPORADORA) SPRINGER MIDEA24000BTUS</v>
      </c>
    </row>
    <row r="476" spans="1:9" ht="49.5" x14ac:dyDescent="0.15">
      <c r="A476" s="88" t="s">
        <v>957</v>
      </c>
      <c r="B476" s="88" t="s">
        <v>613</v>
      </c>
      <c r="C476" s="88" t="s">
        <v>618</v>
      </c>
      <c r="D476" s="88" t="s">
        <v>17</v>
      </c>
      <c r="E476" s="88" t="s">
        <v>619</v>
      </c>
      <c r="F476" s="88" t="s">
        <v>18</v>
      </c>
      <c r="G476" s="88" t="s">
        <v>19</v>
      </c>
      <c r="H476" s="63" t="str" cm="1">
        <f t="array" ref="H476">IF(A476&lt;&gt;"",_xlfn.XLOOKUP(_xlfn.NUMBERVALUE(A476),_xlfn.NUMBERVALUE(Inventários[Tombamento]),Inventários[Processo - localização específica]),"")</f>
        <v>Prédio - auditório</v>
      </c>
      <c r="I476" s="1" t="str" cm="1">
        <f t="array" ref="I476">_xlfn.XLOOKUP(_xlfn.NUMBERVALUE(Carga[[#This Row],[Tombamento]]),_xlfn.NUMBERVALUE(Inventários[Tombamento]),Inventários[Descrição resumida do bem],"(A) Atenção Bem Não cadastrado")</f>
        <v>AR CONDICIONADO INVERTER (UNIDADE CONDENSADORA/EVAPORADORA) ELGIN 36000BTUS</v>
      </c>
    </row>
    <row r="477" spans="1:9" ht="49.5" x14ac:dyDescent="0.15">
      <c r="A477" s="88" t="s">
        <v>958</v>
      </c>
      <c r="B477" s="88" t="s">
        <v>613</v>
      </c>
      <c r="C477" s="88" t="s">
        <v>618</v>
      </c>
      <c r="D477" s="88" t="s">
        <v>17</v>
      </c>
      <c r="E477" s="88" t="s">
        <v>619</v>
      </c>
      <c r="F477" s="88" t="s">
        <v>18</v>
      </c>
      <c r="G477" s="88" t="s">
        <v>19</v>
      </c>
      <c r="H477" s="63" t="str" cm="1">
        <f t="array" ref="H477">IF(A477&lt;&gt;"",_xlfn.XLOOKUP(_xlfn.NUMBERVALUE(A477),_xlfn.NUMBERVALUE(Inventários[Tombamento]),Inventários[Processo - localização específica]),"")</f>
        <v>Prédio - auditório</v>
      </c>
      <c r="I477" s="1" t="str" cm="1">
        <f t="array" ref="I477">_xlfn.XLOOKUP(_xlfn.NUMBERVALUE(Carga[[#This Row],[Tombamento]]),_xlfn.NUMBERVALUE(Inventários[Tombamento]),Inventários[Descrição resumida do bem],"(A) Atenção Bem Não cadastrado")</f>
        <v>AR CONDICIONADO INVERTER (UNIDADE CONDENSADORA/EVAPORADORA) ELGIN 36000BTUS</v>
      </c>
    </row>
    <row r="478" spans="1:9" ht="49.5" x14ac:dyDescent="0.15">
      <c r="A478" s="88" t="s">
        <v>959</v>
      </c>
      <c r="B478" s="88" t="s">
        <v>613</v>
      </c>
      <c r="C478" s="88" t="s">
        <v>618</v>
      </c>
      <c r="D478" s="88" t="s">
        <v>17</v>
      </c>
      <c r="E478" s="88" t="s">
        <v>619</v>
      </c>
      <c r="F478" s="88" t="s">
        <v>18</v>
      </c>
      <c r="G478" s="88" t="s">
        <v>19</v>
      </c>
      <c r="H478" s="63" t="str" cm="1">
        <f t="array" ref="H478">IF(A478&lt;&gt;"",_xlfn.XLOOKUP(_xlfn.NUMBERVALUE(A478),_xlfn.NUMBERVALUE(Inventários[Tombamento]),Inventários[Processo - localização específica]),"")</f>
        <v>Prédio - auditório</v>
      </c>
      <c r="I478" s="1" t="str" cm="1">
        <f t="array" ref="I478">_xlfn.XLOOKUP(_xlfn.NUMBERVALUE(Carga[[#This Row],[Tombamento]]),_xlfn.NUMBERVALUE(Inventários[Tombamento]),Inventários[Descrição resumida do bem],"(A) Atenção Bem Não cadastrado")</f>
        <v>AR CONDICIONADO INVERTER (UNIDADE CONDENSADORA/EVAPORADORA) ELGIN 36000BTUS</v>
      </c>
    </row>
    <row r="479" spans="1:9" ht="49.5" x14ac:dyDescent="0.15">
      <c r="A479" s="88" t="s">
        <v>960</v>
      </c>
      <c r="B479" s="88" t="s">
        <v>613</v>
      </c>
      <c r="C479" s="88" t="s">
        <v>618</v>
      </c>
      <c r="D479" s="88" t="s">
        <v>17</v>
      </c>
      <c r="E479" s="88" t="s">
        <v>619</v>
      </c>
      <c r="F479" s="88" t="s">
        <v>18</v>
      </c>
      <c r="G479" s="88" t="s">
        <v>19</v>
      </c>
      <c r="H479" s="63" t="str" cm="1">
        <f t="array" ref="H479">IF(A479&lt;&gt;"",_xlfn.XLOOKUP(_xlfn.NUMBERVALUE(A479),_xlfn.NUMBERVALUE(Inventários[Tombamento]),Inventários[Processo - localização específica]),"")</f>
        <v xml:space="preserve">Prédio - copa </v>
      </c>
      <c r="I479" s="1" t="str" cm="1">
        <f t="array" ref="I479">_xlfn.XLOOKUP(_xlfn.NUMBERVALUE(Carga[[#This Row],[Tombamento]]),_xlfn.NUMBERVALUE(Inventários[Tombamento]),Inventários[Descrição resumida do bem],"(A) Atenção Bem Não cadastrado")</f>
        <v>AR CONDICIONADO INVERTER (UNIDADE CONDENSADORA/EVAPORADORA) ELGIN 36000BTUS</v>
      </c>
    </row>
    <row r="480" spans="1:9" ht="59.25" x14ac:dyDescent="0.15">
      <c r="A480" s="88" t="s">
        <v>961</v>
      </c>
      <c r="B480" s="88" t="s">
        <v>1050</v>
      </c>
      <c r="C480" s="88" t="s">
        <v>618</v>
      </c>
      <c r="D480" s="88" t="s">
        <v>17</v>
      </c>
      <c r="E480" s="88" t="s">
        <v>619</v>
      </c>
      <c r="F480" s="88" t="s">
        <v>18</v>
      </c>
      <c r="G480" s="88" t="s">
        <v>19</v>
      </c>
      <c r="H480" s="63" t="str" cm="1">
        <f t="array" ref="H480">IF(A480&lt;&gt;"",_xlfn.XLOOKUP(_xlfn.NUMBERVALUE(A480),_xlfn.NUMBERVALUE(Inventários[Tombamento]),Inventários[Processo - localização específica]),"")</f>
        <v>Prédio - operação</v>
      </c>
      <c r="I480" s="1" t="str" cm="1">
        <f t="array" ref="I480">_xlfn.XLOOKUP(_xlfn.NUMBERVALUE(Carga[[#This Row],[Tombamento]]),_xlfn.NUMBERVALUE(Inventários[Tombamento]),Inventários[Descrição resumida do bem],"(A) Atenção Bem Não cadastrado")</f>
        <v>AR CONDICIONADO INVERTER (UNIDADE CONDENSADORA/EVAPORADORA) SPRINGER MIDEA24000BTUS</v>
      </c>
    </row>
    <row r="481" spans="1:9" ht="59.25" x14ac:dyDescent="0.15">
      <c r="A481" s="88" t="s">
        <v>962</v>
      </c>
      <c r="B481" s="88" t="s">
        <v>1050</v>
      </c>
      <c r="C481" s="88" t="s">
        <v>618</v>
      </c>
      <c r="D481" s="88" t="s">
        <v>17</v>
      </c>
      <c r="E481" s="88" t="s">
        <v>619</v>
      </c>
      <c r="F481" s="88" t="s">
        <v>18</v>
      </c>
      <c r="G481" s="88" t="s">
        <v>19</v>
      </c>
      <c r="H481" s="63" t="str" cm="1">
        <f t="array" ref="H481">IF(A481&lt;&gt;"",_xlfn.XLOOKUP(_xlfn.NUMBERVALUE(A481),_xlfn.NUMBERVALUE(Inventários[Tombamento]),Inventários[Processo - localização específica]),"")</f>
        <v>Prédio - operação</v>
      </c>
      <c r="I481" s="1" t="str" cm="1">
        <f t="array" ref="I481">_xlfn.XLOOKUP(_xlfn.NUMBERVALUE(Carga[[#This Row],[Tombamento]]),_xlfn.NUMBERVALUE(Inventários[Tombamento]),Inventários[Descrição resumida do bem],"(A) Atenção Bem Não cadastrado")</f>
        <v>AR CONDICIONADO INVERTER (UNIDADE CONDENSADORA/EVAPORADORA) SPRINGER MIDEA24000BTUS</v>
      </c>
    </row>
    <row r="482" spans="1:9" ht="59.25" x14ac:dyDescent="0.15">
      <c r="A482" s="88" t="s">
        <v>963</v>
      </c>
      <c r="B482" s="88" t="s">
        <v>1050</v>
      </c>
      <c r="C482" s="88" t="s">
        <v>618</v>
      </c>
      <c r="D482" s="88" t="s">
        <v>17</v>
      </c>
      <c r="E482" s="88" t="s">
        <v>619</v>
      </c>
      <c r="F482" s="88" t="s">
        <v>18</v>
      </c>
      <c r="G482" s="88" t="s">
        <v>19</v>
      </c>
      <c r="H482" s="63" t="str" cm="1">
        <f t="array" ref="H482">IF(A482&lt;&gt;"",_xlfn.XLOOKUP(_xlfn.NUMBERVALUE(A482),_xlfn.NUMBERVALUE(Inventários[Tombamento]),Inventários[Processo - localização específica]),"")</f>
        <v>Prédio - operação</v>
      </c>
      <c r="I482" s="1" t="str" cm="1">
        <f t="array" ref="I482">_xlfn.XLOOKUP(_xlfn.NUMBERVALUE(Carga[[#This Row],[Tombamento]]),_xlfn.NUMBERVALUE(Inventários[Tombamento]),Inventários[Descrição resumida do bem],"(A) Atenção Bem Não cadastrado")</f>
        <v>AR CONDICIONADO INVERTER (UNIDADE CONDENSADORA/EVAPORADORA) SPRINGER MIDEA24000BTUS</v>
      </c>
    </row>
    <row r="483" spans="1:9" ht="59.25" x14ac:dyDescent="0.15">
      <c r="A483" s="88" t="s">
        <v>964</v>
      </c>
      <c r="B483" s="88" t="s">
        <v>1050</v>
      </c>
      <c r="C483" s="88" t="s">
        <v>618</v>
      </c>
      <c r="D483" s="88" t="s">
        <v>17</v>
      </c>
      <c r="E483" s="88" t="s">
        <v>619</v>
      </c>
      <c r="F483" s="88" t="s">
        <v>18</v>
      </c>
      <c r="G483" s="88" t="s">
        <v>19</v>
      </c>
      <c r="H483" s="63" t="str" cm="1">
        <f t="array" ref="H483">IF(A483&lt;&gt;"",_xlfn.XLOOKUP(_xlfn.NUMBERVALUE(A483),_xlfn.NUMBERVALUE(Inventários[Tombamento]),Inventários[Processo - localização específica]),"")</f>
        <v>EAT - sala painel view</v>
      </c>
      <c r="I483" s="1" t="str" cm="1">
        <f t="array" ref="I483">_xlfn.XLOOKUP(_xlfn.NUMBERVALUE(Carga[[#This Row],[Tombamento]]),_xlfn.NUMBERVALUE(Inventários[Tombamento]),Inventários[Descrição resumida do bem],"(A) Atenção Bem Não cadastrado")</f>
        <v>AR CONDICIONADO INVERTER (UNIDADE CONDENSADORA/EVAPORADORA) SPRINGER MIDEA24000BTUS</v>
      </c>
    </row>
    <row r="484" spans="1:9" ht="30" x14ac:dyDescent="0.15">
      <c r="A484" s="88" t="s">
        <v>466</v>
      </c>
      <c r="B484" s="88" t="s">
        <v>1051</v>
      </c>
      <c r="C484" s="88" t="s">
        <v>618</v>
      </c>
      <c r="D484" s="88" t="s">
        <v>17</v>
      </c>
      <c r="E484" s="88" t="s">
        <v>619</v>
      </c>
      <c r="F484" s="88" t="s">
        <v>18</v>
      </c>
      <c r="G484" s="88" t="s">
        <v>19</v>
      </c>
      <c r="H484" s="63" t="str" cm="1">
        <f t="array" ref="H484">IF(A484&lt;&gt;"",_xlfn.XLOOKUP(_xlfn.NUMBERVALUE(A484),_xlfn.NUMBERVALUE(Inventários[Tombamento]),Inventários[Processo - localização específica]),"")</f>
        <v>TAPQ - elevatórias de água potável e amostragem</v>
      </c>
      <c r="I484" s="1" t="str" cm="1">
        <f t="array" ref="I484">_xlfn.XLOOKUP(_xlfn.NUMBERVALUE(Carga[[#This Row],[Tombamento]]),_xlfn.NUMBERVALUE(Inventários[Tombamento]),Inventários[Descrição resumida do bem],"(A) Atenção Bem Não cadastrado")</f>
        <v>MEDIDOR DE NÍVEL</v>
      </c>
    </row>
    <row r="485" spans="1:9" ht="30" x14ac:dyDescent="0.15">
      <c r="A485" s="88" t="s">
        <v>468</v>
      </c>
      <c r="B485" s="88" t="s">
        <v>1051</v>
      </c>
      <c r="C485" s="88" t="s">
        <v>618</v>
      </c>
      <c r="D485" s="88" t="s">
        <v>17</v>
      </c>
      <c r="E485" s="88" t="s">
        <v>619</v>
      </c>
      <c r="F485" s="88" t="s">
        <v>18</v>
      </c>
      <c r="G485" s="88" t="s">
        <v>19</v>
      </c>
      <c r="H485" s="63" t="str" cm="1">
        <f t="array" ref="H485">IF(A485&lt;&gt;"",_xlfn.XLOOKUP(_xlfn.NUMBERVALUE(A485),_xlfn.NUMBERVALUE(Inventários[Tombamento]),Inventários[Processo - localização específica]),"")</f>
        <v>TAPQ - elevatórias de água potável e amostragem</v>
      </c>
      <c r="I485" s="1" t="str" cm="1">
        <f t="array" ref="I485">_xlfn.XLOOKUP(_xlfn.NUMBERVALUE(Carga[[#This Row],[Tombamento]]),_xlfn.NUMBERVALUE(Inventários[Tombamento]),Inventários[Descrição resumida do bem],"(A) Atenção Bem Não cadastrado")</f>
        <v>MEDIDOR DE NÍVEL</v>
      </c>
    </row>
    <row r="486" spans="1:9" ht="30" x14ac:dyDescent="0.15">
      <c r="A486" s="88" t="s">
        <v>469</v>
      </c>
      <c r="B486" s="88" t="s">
        <v>1052</v>
      </c>
      <c r="C486" s="88" t="s">
        <v>618</v>
      </c>
      <c r="D486" s="88" t="s">
        <v>17</v>
      </c>
      <c r="E486" s="88" t="s">
        <v>619</v>
      </c>
      <c r="F486" s="88" t="s">
        <v>18</v>
      </c>
      <c r="G486" s="88" t="s">
        <v>19</v>
      </c>
      <c r="H486" s="63" t="str" cm="1">
        <f t="array" ref="H486">IF(A486&lt;&gt;"",_xlfn.XLOOKUP(_xlfn.NUMBERVALUE(A486),_xlfn.NUMBERVALUE(Inventários[Tombamento]),Inventários[Processo - localização específica]),"")</f>
        <v>Flotador 01 - removedor(es) de lodo</v>
      </c>
      <c r="I486" s="1" t="str" cm="1">
        <f t="array" ref="I486">_xlfn.XLOOKUP(_xlfn.NUMBERVALUE(Carga[[#This Row],[Tombamento]]),_xlfn.NUMBERVALUE(Inventários[Tombamento]),Inventários[Descrição resumida do bem],"(A) Atenção Bem Não cadastrado")</f>
        <v>MEDIDOR DE TURBIDEZ</v>
      </c>
    </row>
    <row r="487" spans="1:9" ht="30" x14ac:dyDescent="0.15">
      <c r="A487" s="88" t="s">
        <v>471</v>
      </c>
      <c r="B487" s="88" t="s">
        <v>1052</v>
      </c>
      <c r="C487" s="88" t="s">
        <v>618</v>
      </c>
      <c r="D487" s="88" t="s">
        <v>17</v>
      </c>
      <c r="E487" s="88" t="s">
        <v>619</v>
      </c>
      <c r="F487" s="88" t="s">
        <v>18</v>
      </c>
      <c r="G487" s="88" t="s">
        <v>19</v>
      </c>
      <c r="H487" s="63" t="str" cm="1">
        <f t="array" ref="H487">IF(A487&lt;&gt;"",_xlfn.XLOOKUP(_xlfn.NUMBERVALUE(A487),_xlfn.NUMBERVALUE(Inventários[Tombamento]),Inventários[Processo - localização específica]),"")</f>
        <v>Flotador 03 - removedor(es) de lodo</v>
      </c>
      <c r="I487" s="1" t="str" cm="1">
        <f t="array" ref="I487">_xlfn.XLOOKUP(_xlfn.NUMBERVALUE(Carga[[#This Row],[Tombamento]]),_xlfn.NUMBERVALUE(Inventários[Tombamento]),Inventários[Descrição resumida do bem],"(A) Atenção Bem Não cadastrado")</f>
        <v>MEDIDOR DE TURBIDEZ</v>
      </c>
    </row>
    <row r="488" spans="1:9" ht="30" x14ac:dyDescent="0.15">
      <c r="A488" s="88" t="s">
        <v>472</v>
      </c>
      <c r="B488" s="88" t="s">
        <v>1052</v>
      </c>
      <c r="C488" s="88" t="s">
        <v>618</v>
      </c>
      <c r="D488" s="88" t="s">
        <v>17</v>
      </c>
      <c r="E488" s="88" t="s">
        <v>619</v>
      </c>
      <c r="F488" s="88" t="s">
        <v>18</v>
      </c>
      <c r="G488" s="88" t="s">
        <v>19</v>
      </c>
      <c r="H488" s="63" t="str" cm="1">
        <f t="array" ref="H488">IF(A488&lt;&gt;"",_xlfn.XLOOKUP(_xlfn.NUMBERVALUE(A488),_xlfn.NUMBERVALUE(Inventários[Tombamento]),Inventários[Processo - localização específica]),"")</f>
        <v>Flotador 04 - removedor(es) de lodo</v>
      </c>
      <c r="I488" s="1" t="str" cm="1">
        <f t="array" ref="I488">_xlfn.XLOOKUP(_xlfn.NUMBERVALUE(Carga[[#This Row],[Tombamento]]),_xlfn.NUMBERVALUE(Inventários[Tombamento]),Inventários[Descrição resumida do bem],"(A) Atenção Bem Não cadastrado")</f>
        <v>MEDIDOR DE TURBIDEZ</v>
      </c>
    </row>
    <row r="489" spans="1:9" ht="30" x14ac:dyDescent="0.15">
      <c r="A489" s="88" t="s">
        <v>473</v>
      </c>
      <c r="B489" s="88" t="s">
        <v>1052</v>
      </c>
      <c r="C489" s="88" t="s">
        <v>618</v>
      </c>
      <c r="D489" s="88" t="s">
        <v>17</v>
      </c>
      <c r="E489" s="88" t="s">
        <v>619</v>
      </c>
      <c r="F489" s="88" t="s">
        <v>18</v>
      </c>
      <c r="G489" s="88" t="s">
        <v>19</v>
      </c>
      <c r="H489" s="63" t="str" cm="1">
        <f t="array" ref="H489">IF(A489&lt;&gt;"",_xlfn.XLOOKUP(_xlfn.NUMBERVALUE(A489),_xlfn.NUMBERVALUE(Inventários[Tombamento]),Inventários[Processo - localização específica]),"")</f>
        <v>Flotador 02 - removedor(es) de lodo</v>
      </c>
      <c r="I489" s="1" t="str" cm="1">
        <f t="array" ref="I489">_xlfn.XLOOKUP(_xlfn.NUMBERVALUE(Carga[[#This Row],[Tombamento]]),_xlfn.NUMBERVALUE(Inventários[Tombamento]),Inventários[Descrição resumida do bem],"(A) Atenção Bem Não cadastrado")</f>
        <v>MEDIDOR DE TURBIDEZ</v>
      </c>
    </row>
    <row r="490" spans="1:9" ht="39.75" x14ac:dyDescent="0.15">
      <c r="A490" s="88" t="s">
        <v>474</v>
      </c>
      <c r="B490" s="88" t="s">
        <v>1053</v>
      </c>
      <c r="C490" s="88" t="s">
        <v>618</v>
      </c>
      <c r="D490" s="88" t="s">
        <v>17</v>
      </c>
      <c r="E490" s="88" t="s">
        <v>619</v>
      </c>
      <c r="F490" s="88" t="s">
        <v>18</v>
      </c>
      <c r="G490" s="88" t="s">
        <v>19</v>
      </c>
      <c r="H490" s="63" t="str" cm="1">
        <f t="array" ref="H490">IF(A490&lt;&gt;"",_xlfn.XLOOKUP(_xlfn.NUMBERVALUE(A490),_xlfn.NUMBERVALUE(Inventários[Tombamento]),Inventários[Processo - localização específica]),"")</f>
        <v>Flotadores - elevatórias de água saturada Módulos 01/02</v>
      </c>
      <c r="I490" s="1" t="str" cm="1">
        <f t="array" ref="I490">_xlfn.XLOOKUP(_xlfn.NUMBERVALUE(Carga[[#This Row],[Tombamento]]),_xlfn.NUMBERVALUE(Inventários[Tombamento]),Inventários[Descrição resumida do bem],"(A) Atenção Bem Não cadastrado")</f>
        <v>MEDIDOR DE PRESSÃO</v>
      </c>
    </row>
    <row r="491" spans="1:9" ht="39.75" x14ac:dyDescent="0.15">
      <c r="A491" s="88" t="s">
        <v>476</v>
      </c>
      <c r="B491" s="88" t="s">
        <v>1053</v>
      </c>
      <c r="C491" s="88" t="s">
        <v>618</v>
      </c>
      <c r="D491" s="88" t="s">
        <v>17</v>
      </c>
      <c r="E491" s="88" t="s">
        <v>619</v>
      </c>
      <c r="F491" s="88" t="s">
        <v>18</v>
      </c>
      <c r="G491" s="88" t="s">
        <v>19</v>
      </c>
      <c r="H491" s="63" t="str" cm="1">
        <f t="array" ref="H491">IF(A491&lt;&gt;"",_xlfn.XLOOKUP(_xlfn.NUMBERVALUE(A491),_xlfn.NUMBERVALUE(Inventários[Tombamento]),Inventários[Processo - localização específica]),"")</f>
        <v>Flotadores - elevatórias de água saturada Módulos 01/02</v>
      </c>
      <c r="I491" s="1" t="str" cm="1">
        <f t="array" ref="I491">_xlfn.XLOOKUP(_xlfn.NUMBERVALUE(Carga[[#This Row],[Tombamento]]),_xlfn.NUMBERVALUE(Inventários[Tombamento]),Inventários[Descrição resumida do bem],"(A) Atenção Bem Não cadastrado")</f>
        <v>MEDIDOR DE PRESSÃO</v>
      </c>
    </row>
    <row r="492" spans="1:9" ht="39.75" x14ac:dyDescent="0.15">
      <c r="A492" s="88" t="s">
        <v>477</v>
      </c>
      <c r="B492" s="88" t="s">
        <v>1053</v>
      </c>
      <c r="C492" s="88" t="s">
        <v>618</v>
      </c>
      <c r="D492" s="88" t="s">
        <v>17</v>
      </c>
      <c r="E492" s="88" t="s">
        <v>619</v>
      </c>
      <c r="F492" s="88" t="s">
        <v>18</v>
      </c>
      <c r="G492" s="88" t="s">
        <v>19</v>
      </c>
      <c r="H492" s="63" t="str" cm="1">
        <f t="array" ref="H492">IF(A492&lt;&gt;"",_xlfn.XLOOKUP(_xlfn.NUMBERVALUE(A492),_xlfn.NUMBERVALUE(Inventários[Tombamento]),Inventários[Processo - localização específica]),"")</f>
        <v>Flotadores - elevatórias de água saturada Módulos 01/02</v>
      </c>
      <c r="I492" s="1" t="str" cm="1">
        <f t="array" ref="I492">_xlfn.XLOOKUP(_xlfn.NUMBERVALUE(Carga[[#This Row],[Tombamento]]),_xlfn.NUMBERVALUE(Inventários[Tombamento]),Inventários[Descrição resumida do bem],"(A) Atenção Bem Não cadastrado")</f>
        <v>MEDIDOR DE PRESSÃO</v>
      </c>
    </row>
    <row r="493" spans="1:9" ht="39.75" x14ac:dyDescent="0.15">
      <c r="A493" s="88" t="s">
        <v>478</v>
      </c>
      <c r="B493" s="88" t="s">
        <v>1053</v>
      </c>
      <c r="C493" s="88" t="s">
        <v>618</v>
      </c>
      <c r="D493" s="88" t="s">
        <v>17</v>
      </c>
      <c r="E493" s="88" t="s">
        <v>619</v>
      </c>
      <c r="F493" s="88" t="s">
        <v>18</v>
      </c>
      <c r="G493" s="88" t="s">
        <v>19</v>
      </c>
      <c r="H493" s="63" t="str" cm="1">
        <f t="array" ref="H493">IF(A493&lt;&gt;"",_xlfn.XLOOKUP(_xlfn.NUMBERVALUE(A493),_xlfn.NUMBERVALUE(Inventários[Tombamento]),Inventários[Processo - localização específica]),"")</f>
        <v>Flotadores - elevatórias de água saturada Módulos 01/02</v>
      </c>
      <c r="I493" s="1" t="str" cm="1">
        <f t="array" ref="I493">_xlfn.XLOOKUP(_xlfn.NUMBERVALUE(Carga[[#This Row],[Tombamento]]),_xlfn.NUMBERVALUE(Inventários[Tombamento]),Inventários[Descrição resumida do bem],"(A) Atenção Bem Não cadastrado")</f>
        <v>MEDIDOR DE PRESSÃO</v>
      </c>
    </row>
    <row r="494" spans="1:9" ht="39.75" x14ac:dyDescent="0.15">
      <c r="A494" s="88" t="s">
        <v>479</v>
      </c>
      <c r="B494" s="88" t="s">
        <v>1053</v>
      </c>
      <c r="C494" s="88" t="s">
        <v>618</v>
      </c>
      <c r="D494" s="88" t="s">
        <v>17</v>
      </c>
      <c r="E494" s="88" t="s">
        <v>619</v>
      </c>
      <c r="F494" s="88" t="s">
        <v>18</v>
      </c>
      <c r="G494" s="88" t="s">
        <v>19</v>
      </c>
      <c r="H494" s="63" t="str" cm="1">
        <f t="array" ref="H494">IF(A494&lt;&gt;"",_xlfn.XLOOKUP(_xlfn.NUMBERVALUE(A494),_xlfn.NUMBERVALUE(Inventários[Tombamento]),Inventários[Processo - localização específica]),"")</f>
        <v>Flotadores - elevatórias de água saturada Módulos 01/02</v>
      </c>
      <c r="I494" s="1" t="str" cm="1">
        <f t="array" ref="I494">_xlfn.XLOOKUP(_xlfn.NUMBERVALUE(Carga[[#This Row],[Tombamento]]),_xlfn.NUMBERVALUE(Inventários[Tombamento]),Inventários[Descrição resumida do bem],"(A) Atenção Bem Não cadastrado")</f>
        <v>MEDIDOR DE PRESSÃO</v>
      </c>
    </row>
    <row r="495" spans="1:9" ht="39.75" x14ac:dyDescent="0.15">
      <c r="A495" s="88" t="s">
        <v>480</v>
      </c>
      <c r="B495" s="88" t="s">
        <v>481</v>
      </c>
      <c r="C495" s="88" t="s">
        <v>618</v>
      </c>
      <c r="D495" s="88" t="s">
        <v>17</v>
      </c>
      <c r="E495" s="88" t="s">
        <v>619</v>
      </c>
      <c r="F495" s="88" t="s">
        <v>18</v>
      </c>
      <c r="G495" s="88" t="s">
        <v>19</v>
      </c>
      <c r="H495" s="63" t="str" cm="1">
        <f t="array" ref="H495">IF(A495&lt;&gt;"",_xlfn.XLOOKUP(_xlfn.NUMBERVALUE(A495),_xlfn.NUMBERVALUE(Inventários[Tombamento]),Inventários[Processo - localização específica]),"")</f>
        <v>Filtro 02 -  válvulas de ar, água filtrada, lavagem e drenagem</v>
      </c>
      <c r="I495" s="1" t="str" cm="1">
        <f t="array" ref="I495">_xlfn.XLOOKUP(_xlfn.NUMBERVALUE(Carga[[#This Row],[Tombamento]]),_xlfn.NUMBERVALUE(Inventários[Tombamento]),Inventários[Descrição resumida do bem],"(A) Atenção Bem Não cadastrado")</f>
        <v>ATUADOR ELETRICO, MARCA: COESTER, MODELO CSR12M, N° DE SÉRIE 29497.</v>
      </c>
    </row>
    <row r="496" spans="1:9" ht="39.75" x14ac:dyDescent="0.15">
      <c r="A496" s="88" t="s">
        <v>482</v>
      </c>
      <c r="B496" s="88" t="s">
        <v>483</v>
      </c>
      <c r="C496" s="88" t="s">
        <v>618</v>
      </c>
      <c r="D496" s="88" t="s">
        <v>17</v>
      </c>
      <c r="E496" s="88" t="s">
        <v>619</v>
      </c>
      <c r="F496" s="88" t="s">
        <v>18</v>
      </c>
      <c r="G496" s="88" t="s">
        <v>19</v>
      </c>
      <c r="H496" s="63" t="str" cm="1">
        <f t="array" ref="H496">IF(A496&lt;&gt;"",_xlfn.XLOOKUP(_xlfn.NUMBERVALUE(A496),_xlfn.NUMBERVALUE(Inventários[Tombamento]),Inventários[Processo - localização específica]),"")</f>
        <v>Filtro 03 -  válvulas de ar, água filtrada, lavagem e drenagem</v>
      </c>
      <c r="I496" s="1" t="str" cm="1">
        <f t="array" ref="I496">_xlfn.XLOOKUP(_xlfn.NUMBERVALUE(Carga[[#This Row],[Tombamento]]),_xlfn.NUMBERVALUE(Inventários[Tombamento]),Inventários[Descrição resumida do bem],"(A) Atenção Bem Não cadastrado")</f>
        <v>ATUADOR ELETRICO MARCA: COESTER, MODELO: CSR12M, N° DE SÉRIE: 29499.</v>
      </c>
    </row>
    <row r="497" spans="1:9" ht="39.75" x14ac:dyDescent="0.15">
      <c r="A497" s="88" t="s">
        <v>484</v>
      </c>
      <c r="B497" s="88" t="s">
        <v>485</v>
      </c>
      <c r="C497" s="88" t="s">
        <v>618</v>
      </c>
      <c r="D497" s="88" t="s">
        <v>17</v>
      </c>
      <c r="E497" s="88" t="s">
        <v>619</v>
      </c>
      <c r="F497" s="88" t="s">
        <v>18</v>
      </c>
      <c r="G497" s="88" t="s">
        <v>19</v>
      </c>
      <c r="H497" s="63" t="str" cm="1">
        <f t="array" ref="H497">IF(A497&lt;&gt;"",_xlfn.XLOOKUP(_xlfn.NUMBERVALUE(A497),_xlfn.NUMBERVALUE(Inventários[Tombamento]),Inventários[Processo - localização específica]),"")</f>
        <v>Filtro 04 -  válvulas de ar, água filtrada, lavagem e drenagem</v>
      </c>
      <c r="I497" s="1" t="str" cm="1">
        <f t="array" ref="I497">_xlfn.XLOOKUP(_xlfn.NUMBERVALUE(Carga[[#This Row],[Tombamento]]),_xlfn.NUMBERVALUE(Inventários[Tombamento]),Inventários[Descrição resumida do bem],"(A) Atenção Bem Não cadastrado")</f>
        <v>ATUADOR ELETRICO, MARCA: COESTER, MODELO: CSR12M, N° DE SÉRIE: 29501.</v>
      </c>
    </row>
    <row r="498" spans="1:9" ht="39.75" x14ac:dyDescent="0.15">
      <c r="A498" s="88" t="s">
        <v>486</v>
      </c>
      <c r="B498" s="88" t="s">
        <v>487</v>
      </c>
      <c r="C498" s="88" t="s">
        <v>618</v>
      </c>
      <c r="D498" s="88" t="s">
        <v>17</v>
      </c>
      <c r="E498" s="88" t="s">
        <v>619</v>
      </c>
      <c r="F498" s="88" t="s">
        <v>18</v>
      </c>
      <c r="G498" s="88" t="s">
        <v>19</v>
      </c>
      <c r="H498" s="63" t="str" cm="1">
        <f t="array" ref="H498">IF(A498&lt;&gt;"",_xlfn.XLOOKUP(_xlfn.NUMBERVALUE(A498),_xlfn.NUMBERVALUE(Inventários[Tombamento]),Inventários[Processo - localização específica]),"")</f>
        <v>Filtro 01 - válvulas de ar, água filtrada, lavagem e drenagem</v>
      </c>
      <c r="I498" s="1" t="str" cm="1">
        <f t="array" ref="I498">_xlfn.XLOOKUP(_xlfn.NUMBERVALUE(Carga[[#This Row],[Tombamento]]),_xlfn.NUMBERVALUE(Inventários[Tombamento]),Inventários[Descrição resumida do bem],"(A) Atenção Bem Não cadastrado")</f>
        <v>ATUADOR ELETRICO, MARCA: COESTER, MODELO: CSR12M, N° DE SÉRIE: 29495.</v>
      </c>
    </row>
    <row r="499" spans="1:9" ht="39.75" x14ac:dyDescent="0.15">
      <c r="A499" s="88" t="s">
        <v>488</v>
      </c>
      <c r="B499" s="88" t="s">
        <v>489</v>
      </c>
      <c r="C499" s="88" t="s">
        <v>618</v>
      </c>
      <c r="D499" s="88" t="s">
        <v>17</v>
      </c>
      <c r="E499" s="88" t="s">
        <v>619</v>
      </c>
      <c r="F499" s="88" t="s">
        <v>18</v>
      </c>
      <c r="G499" s="88" t="s">
        <v>19</v>
      </c>
      <c r="H499" s="63" t="str" cm="1">
        <f t="array" ref="H499">IF(A499&lt;&gt;"",_xlfn.XLOOKUP(_xlfn.NUMBERVALUE(A499),_xlfn.NUMBERVALUE(Inventários[Tombamento]),Inventários[Processo - localização específica]),"")</f>
        <v>Filtro 01 - válvulas de ar, água filtrada, lavagem e drenagem</v>
      </c>
      <c r="I499" s="1" t="str" cm="1">
        <f t="array" ref="I499">_xlfn.XLOOKUP(_xlfn.NUMBERVALUE(Carga[[#This Row],[Tombamento]]),_xlfn.NUMBERVALUE(Inventários[Tombamento]),Inventários[Descrição resumida do bem],"(A) Atenção Bem Não cadastrado")</f>
        <v>ATUADOR ELETRICO, MARCA: COESTER, MODELO: CSR12M, N° DE SÉRIE: 29494.</v>
      </c>
    </row>
    <row r="500" spans="1:9" ht="39.75" x14ac:dyDescent="0.15">
      <c r="A500" s="88" t="s">
        <v>490</v>
      </c>
      <c r="B500" s="88" t="s">
        <v>491</v>
      </c>
      <c r="C500" s="88" t="s">
        <v>618</v>
      </c>
      <c r="D500" s="88" t="s">
        <v>17</v>
      </c>
      <c r="E500" s="88" t="s">
        <v>619</v>
      </c>
      <c r="F500" s="88" t="s">
        <v>18</v>
      </c>
      <c r="G500" s="88" t="s">
        <v>19</v>
      </c>
      <c r="H500" s="63" t="str" cm="1">
        <f t="array" ref="H500">IF(A500&lt;&gt;"",_xlfn.XLOOKUP(_xlfn.NUMBERVALUE(A500),_xlfn.NUMBERVALUE(Inventários[Tombamento]),Inventários[Processo - localização específica]),"")</f>
        <v>Filtro 02 -  válvulas de ar, água filtrada, lavagem e drenagem</v>
      </c>
      <c r="I500" s="1" t="str" cm="1">
        <f t="array" ref="I500">_xlfn.XLOOKUP(_xlfn.NUMBERVALUE(Carga[[#This Row],[Tombamento]]),_xlfn.NUMBERVALUE(Inventários[Tombamento]),Inventários[Descrição resumida do bem],"(A) Atenção Bem Não cadastrado")</f>
        <v>ATUADOR ELETRICO, MARCA: COESTER, MODELO: CSR12M. N° DE SÉRIE: 29496.</v>
      </c>
    </row>
    <row r="501" spans="1:9" ht="39.75" x14ac:dyDescent="0.15">
      <c r="A501" s="88" t="s">
        <v>492</v>
      </c>
      <c r="B501" s="88" t="s">
        <v>493</v>
      </c>
      <c r="C501" s="88" t="s">
        <v>618</v>
      </c>
      <c r="D501" s="88" t="s">
        <v>17</v>
      </c>
      <c r="E501" s="88" t="s">
        <v>619</v>
      </c>
      <c r="F501" s="88" t="s">
        <v>18</v>
      </c>
      <c r="G501" s="88" t="s">
        <v>19</v>
      </c>
      <c r="H501" s="63" t="str" cm="1">
        <f t="array" ref="H501">IF(A501&lt;&gt;"",_xlfn.XLOOKUP(_xlfn.NUMBERVALUE(A501),_xlfn.NUMBERVALUE(Inventários[Tombamento]),Inventários[Processo - localização específica]),"")</f>
        <v>Filtro 03 -  válvulas de ar, água filtrada, lavagem e drenagem</v>
      </c>
      <c r="I501" s="1" t="str" cm="1">
        <f t="array" ref="I501">_xlfn.XLOOKUP(_xlfn.NUMBERVALUE(Carga[[#This Row],[Tombamento]]),_xlfn.NUMBERVALUE(Inventários[Tombamento]),Inventários[Descrição resumida do bem],"(A) Atenção Bem Não cadastrado")</f>
        <v>ATUADOR ELETRICO, MARCA: COESTER, MODELO: CSR12M, N° DE SÉRIE: 29498.</v>
      </c>
    </row>
    <row r="502" spans="1:9" ht="39.75" x14ac:dyDescent="0.15">
      <c r="A502" s="88" t="s">
        <v>494</v>
      </c>
      <c r="B502" s="88" t="s">
        <v>495</v>
      </c>
      <c r="C502" s="88" t="s">
        <v>618</v>
      </c>
      <c r="D502" s="88" t="s">
        <v>17</v>
      </c>
      <c r="E502" s="88" t="s">
        <v>619</v>
      </c>
      <c r="F502" s="88" t="s">
        <v>18</v>
      </c>
      <c r="G502" s="88" t="s">
        <v>19</v>
      </c>
      <c r="H502" s="63" t="str" cm="1">
        <f t="array" ref="H502">IF(A502&lt;&gt;"",_xlfn.XLOOKUP(_xlfn.NUMBERVALUE(A502),_xlfn.NUMBERVALUE(Inventários[Tombamento]),Inventários[Processo - localização específica]),"")</f>
        <v>Filtro 04 -  válvulas de ar, água filtrada, lavagem e drenagem</v>
      </c>
      <c r="I502" s="1" t="str" cm="1">
        <f t="array" ref="I502">_xlfn.XLOOKUP(_xlfn.NUMBERVALUE(Carga[[#This Row],[Tombamento]]),_xlfn.NUMBERVALUE(Inventários[Tombamento]),Inventários[Descrição resumida do bem],"(A) Atenção Bem Não cadastrado")</f>
        <v>ATUADOR ELETRICO, MARCA: COESTER, MODELO: CSR12M, N° DE SÉRIE: 29500.</v>
      </c>
    </row>
    <row r="503" spans="1:9" ht="39.75" x14ac:dyDescent="0.15">
      <c r="A503" s="88" t="s">
        <v>496</v>
      </c>
      <c r="B503" s="88" t="s">
        <v>497</v>
      </c>
      <c r="C503" s="88" t="s">
        <v>618</v>
      </c>
      <c r="D503" s="88" t="s">
        <v>17</v>
      </c>
      <c r="E503" s="88" t="s">
        <v>619</v>
      </c>
      <c r="F503" s="88" t="s">
        <v>18</v>
      </c>
      <c r="G503" s="88" t="s">
        <v>19</v>
      </c>
      <c r="H503" s="63" t="str" cm="1">
        <f t="array" ref="H503">IF(A503&lt;&gt;"",_xlfn.XLOOKUP(_xlfn.NUMBERVALUE(A503),_xlfn.NUMBERVALUE(Inventários[Tombamento]),Inventários[Processo - localização específica]),"")</f>
        <v>Flotadores 01/02 - elevatórias de lodo flotado e válvulas</v>
      </c>
      <c r="I503" s="1" t="str" cm="1">
        <f t="array" ref="I503">_xlfn.XLOOKUP(_xlfn.NUMBERVALUE(Carga[[#This Row],[Tombamento]]),_xlfn.NUMBERVALUE(Inventários[Tombamento]),Inventários[Descrição resumida do bem],"(A) Atenção Bem Não cadastrado")</f>
        <v>ATUADOR ELETRICO, MARCA: COESTER, MODELO: CSR12M, N° DE SÉRIE: 29503.</v>
      </c>
    </row>
    <row r="504" spans="1:9" ht="39.75" x14ac:dyDescent="0.15">
      <c r="A504" s="88" t="s">
        <v>498</v>
      </c>
      <c r="B504" s="88" t="s">
        <v>499</v>
      </c>
      <c r="C504" s="88" t="s">
        <v>618</v>
      </c>
      <c r="D504" s="88" t="s">
        <v>17</v>
      </c>
      <c r="E504" s="88" t="s">
        <v>619</v>
      </c>
      <c r="F504" s="88" t="s">
        <v>18</v>
      </c>
      <c r="G504" s="88" t="s">
        <v>19</v>
      </c>
      <c r="H504" s="63" t="str" cm="1">
        <f t="array" ref="H504">IF(A504&lt;&gt;"",_xlfn.XLOOKUP(_xlfn.NUMBERVALUE(A504),_xlfn.NUMBERVALUE(Inventários[Tombamento]),Inventários[Processo - localização específica]),"")</f>
        <v>Flotadores 01/02 - elevatórias de lodo flotado e válvulas</v>
      </c>
      <c r="I504" s="1" t="str" cm="1">
        <f t="array" ref="I504">_xlfn.XLOOKUP(_xlfn.NUMBERVALUE(Carga[[#This Row],[Tombamento]]),_xlfn.NUMBERVALUE(Inventários[Tombamento]),Inventários[Descrição resumida do bem],"(A) Atenção Bem Não cadastrado")</f>
        <v>ATUADOR ELETRICO, MARCA: COESTER, MODELO: CSR12M, N° DE SÉRIE: 29502.</v>
      </c>
    </row>
    <row r="505" spans="1:9" ht="30" x14ac:dyDescent="0.15">
      <c r="A505" s="88" t="s">
        <v>500</v>
      </c>
      <c r="B505" s="88" t="s">
        <v>501</v>
      </c>
      <c r="C505" s="88" t="s">
        <v>618</v>
      </c>
      <c r="D505" s="88" t="s">
        <v>17</v>
      </c>
      <c r="E505" s="88" t="s">
        <v>619</v>
      </c>
      <c r="F505" s="88" t="s">
        <v>18</v>
      </c>
      <c r="G505" s="88" t="s">
        <v>19</v>
      </c>
      <c r="H505" s="63" t="str" cm="1">
        <f t="array" ref="H505">IF(A505&lt;&gt;"",_xlfn.XLOOKUP(_xlfn.NUMBERVALUE(A505),_xlfn.NUMBERVALUE(Inventários[Tombamento]),Inventários[Processo - localização específica]),"")</f>
        <v>TAPQ - atuadores das comportas de entrada e saída</v>
      </c>
      <c r="I505" s="1" t="str" cm="1">
        <f t="array" ref="I505">_xlfn.XLOOKUP(_xlfn.NUMBERVALUE(Carga[[#This Row],[Tombamento]]),_xlfn.NUMBERVALUE(Inventários[Tombamento]),Inventários[Descrição resumida do bem],"(A) Atenção Bem Não cadastrado")</f>
        <v>ATUADOR ELETRICO, MARCA COESTER, N° DE SÉRIE: 29436</v>
      </c>
    </row>
    <row r="506" spans="1:9" ht="30" x14ac:dyDescent="0.15">
      <c r="A506" s="88" t="s">
        <v>502</v>
      </c>
      <c r="B506" s="88" t="s">
        <v>503</v>
      </c>
      <c r="C506" s="88" t="s">
        <v>618</v>
      </c>
      <c r="D506" s="88" t="s">
        <v>17</v>
      </c>
      <c r="E506" s="88" t="s">
        <v>619</v>
      </c>
      <c r="F506" s="88" t="s">
        <v>18</v>
      </c>
      <c r="G506" s="88" t="s">
        <v>19</v>
      </c>
      <c r="H506" s="63" t="str" cm="1">
        <f t="array" ref="H506">IF(A506&lt;&gt;"",_xlfn.XLOOKUP(_xlfn.NUMBERVALUE(A506),_xlfn.NUMBERVALUE(Inventários[Tombamento]),Inventários[Processo - localização específica]),"")</f>
        <v>TAPQ - atuadores das comportas de entrada e saída</v>
      </c>
      <c r="I506" s="1" t="str" cm="1">
        <f t="array" ref="I506">_xlfn.XLOOKUP(_xlfn.NUMBERVALUE(Carga[[#This Row],[Tombamento]]),_xlfn.NUMBERVALUE(Inventários[Tombamento]),Inventários[Descrição resumida do bem],"(A) Atenção Bem Não cadastrado")</f>
        <v>ATUADOR ELETRICO, MARCA: COESTER, N° DE SÉRIE: 29437</v>
      </c>
    </row>
    <row r="507" spans="1:9" ht="30" x14ac:dyDescent="0.15">
      <c r="A507" s="88" t="s">
        <v>504</v>
      </c>
      <c r="B507" s="88" t="s">
        <v>505</v>
      </c>
      <c r="C507" s="88" t="s">
        <v>618</v>
      </c>
      <c r="D507" s="88" t="s">
        <v>17</v>
      </c>
      <c r="E507" s="88" t="s">
        <v>619</v>
      </c>
      <c r="F507" s="88" t="s">
        <v>18</v>
      </c>
      <c r="G507" s="88" t="s">
        <v>19</v>
      </c>
      <c r="H507" s="63" t="str" cm="1">
        <f t="array" ref="H507">IF(A507&lt;&gt;"",_xlfn.XLOOKUP(_xlfn.NUMBERVALUE(A507),_xlfn.NUMBERVALUE(Inventários[Tombamento]),Inventários[Processo - localização específica]),"")</f>
        <v>Floculador 07 - turbinas e comportas</v>
      </c>
      <c r="I507" s="1" t="str" cm="1">
        <f t="array" ref="I507">_xlfn.XLOOKUP(_xlfn.NUMBERVALUE(Carga[[#This Row],[Tombamento]]),_xlfn.NUMBERVALUE(Inventários[Tombamento]),Inventários[Descrição resumida do bem],"(A) Atenção Bem Não cadastrado")</f>
        <v>PAINEL ELÉTRICO COMPORTAS.</v>
      </c>
    </row>
    <row r="508" spans="1:9" ht="49.5" x14ac:dyDescent="0.15">
      <c r="A508" s="88" t="s">
        <v>506</v>
      </c>
      <c r="B508" s="88" t="s">
        <v>507</v>
      </c>
      <c r="C508" s="88" t="s">
        <v>618</v>
      </c>
      <c r="D508" s="88" t="s">
        <v>17</v>
      </c>
      <c r="E508" s="88" t="s">
        <v>619</v>
      </c>
      <c r="F508" s="88" t="s">
        <v>18</v>
      </c>
      <c r="G508" s="88" t="s">
        <v>19</v>
      </c>
      <c r="H508" s="63" t="str" cm="1">
        <f t="array" ref="H508">IF(A508&lt;&gt;"",_xlfn.XLOOKUP(_xlfn.NUMBERVALUE(A508),_xlfn.NUMBERVALUE(Inventários[Tombamento]),Inventários[Processo - localização específica]),"")</f>
        <v>Floculador 05 - turbinas e comportas</v>
      </c>
      <c r="I508" s="1" t="str" cm="1">
        <f t="array" ref="I508">_xlfn.XLOOKUP(_xlfn.NUMBERVALUE(Carga[[#This Row],[Tombamento]]),_xlfn.NUMBERVALUE(Inventários[Tombamento]),Inventários[Descrição resumida do bem],"(A) Atenção Bem Não cadastrado")</f>
        <v>PAINEL ELÉTRICO COMPORTAS - COM-301-5, COM 301-6, COM 302-5 E COM 302-5</v>
      </c>
    </row>
    <row r="509" spans="1:9" ht="59.25" x14ac:dyDescent="0.15">
      <c r="A509" s="88" t="s">
        <v>508</v>
      </c>
      <c r="B509" s="88" t="s">
        <v>509</v>
      </c>
      <c r="C509" s="88" t="s">
        <v>618</v>
      </c>
      <c r="D509" s="88" t="s">
        <v>17</v>
      </c>
      <c r="E509" s="88" t="s">
        <v>619</v>
      </c>
      <c r="F509" s="88" t="s">
        <v>18</v>
      </c>
      <c r="G509" s="88" t="s">
        <v>19</v>
      </c>
      <c r="H509" s="63" t="str" cm="1">
        <f t="array" ref="H509">IF(A509&lt;&gt;"",_xlfn.XLOOKUP(_xlfn.NUMBERVALUE(A509),_xlfn.NUMBERVALUE(Inventários[Tombamento]),Inventários[Processo - localização específica]),"")</f>
        <v>Subestação 02 - próximo ao SDL</v>
      </c>
      <c r="I509" s="1" t="str" cm="1">
        <f t="array" ref="I509">_xlfn.XLOOKUP(_xlfn.NUMBERVALUE(Carga[[#This Row],[Tombamento]]),_xlfn.NUMBERVALUE(Inventários[Tombamento]),Inventários[Descrição resumida do bem],"(A) Atenção Bem Não cadastrado")</f>
        <v>BANCO AUTOMATICO DE CAPACITOR - HANAMEC - 250KVAR - LOCALIZADO NA SUBESTAÇÃO 02 DA ETA.COR.001</v>
      </c>
    </row>
    <row r="510" spans="1:9" ht="59.25" x14ac:dyDescent="0.15">
      <c r="A510" s="88" t="s">
        <v>510</v>
      </c>
      <c r="B510" s="88" t="s">
        <v>511</v>
      </c>
      <c r="C510" s="88" t="s">
        <v>618</v>
      </c>
      <c r="D510" s="88" t="s">
        <v>17</v>
      </c>
      <c r="E510" s="88" t="s">
        <v>619</v>
      </c>
      <c r="F510" s="88" t="s">
        <v>18</v>
      </c>
      <c r="G510" s="88" t="s">
        <v>19</v>
      </c>
      <c r="H510" s="63" t="str" cm="1">
        <f t="array" ref="H510">IF(A510&lt;&gt;"",_xlfn.XLOOKUP(_xlfn.NUMBERVALUE(A510),_xlfn.NUMBERVALUE(Inventários[Tombamento]),Inventários[Processo - localização específica]),"")</f>
        <v>Subestação 01 - próximo ao bloco hidraúlico</v>
      </c>
      <c r="I510" s="1" t="str" cm="1">
        <f t="array" ref="I510">_xlfn.XLOOKUP(_xlfn.NUMBERVALUE(Carga[[#This Row],[Tombamento]]),_xlfn.NUMBERVALUE(Inventários[Tombamento]),Inventários[Descrição resumida do bem],"(A) Atenção Bem Não cadastrado")</f>
        <v>BANCO AUTOMATICO DE CAPACITOR - HANAMEC - 450KVAR - LOCALIZADO NA SUBESTAÇÃO 01 DA ETA.COR.001</v>
      </c>
    </row>
    <row r="511" spans="1:9" ht="39.75" x14ac:dyDescent="0.15">
      <c r="A511" s="88" t="s">
        <v>512</v>
      </c>
      <c r="B511" s="88" t="s">
        <v>513</v>
      </c>
      <c r="C511" s="88" t="s">
        <v>618</v>
      </c>
      <c r="D511" s="88" t="s">
        <v>17</v>
      </c>
      <c r="E511" s="88" t="s">
        <v>619</v>
      </c>
      <c r="F511" s="88" t="s">
        <v>18</v>
      </c>
      <c r="G511" s="88" t="s">
        <v>19</v>
      </c>
      <c r="H511" s="63" t="str" cm="1">
        <f t="array" ref="H511">IF(A511&lt;&gt;"",_xlfn.XLOOKUP(_xlfn.NUMBERVALUE(A511),_xlfn.NUMBERVALUE(Inventários[Tombamento]),Inventários[Processo - localização específica]),"")</f>
        <v>Filtro 03 - turbidimetro e med. taxa de filtração</v>
      </c>
      <c r="I511" s="1" t="str" cm="1">
        <f t="array" ref="I511">_xlfn.XLOOKUP(_xlfn.NUMBERVALUE(Carga[[#This Row],[Tombamento]]),_xlfn.NUMBERVALUE(Inventários[Tombamento]),Inventários[Descrição resumida do bem],"(A) Atenção Bem Não cadastrado")</f>
        <v>MEDIDOR DE PH/TURBIDEZ</v>
      </c>
    </row>
    <row r="512" spans="1:9" ht="39.75" x14ac:dyDescent="0.15">
      <c r="A512" s="88" t="s">
        <v>514</v>
      </c>
      <c r="B512" s="88" t="s">
        <v>513</v>
      </c>
      <c r="C512" s="88" t="s">
        <v>618</v>
      </c>
      <c r="D512" s="88" t="s">
        <v>17</v>
      </c>
      <c r="E512" s="88" t="s">
        <v>619</v>
      </c>
      <c r="F512" s="88" t="s">
        <v>18</v>
      </c>
      <c r="G512" s="88" t="s">
        <v>19</v>
      </c>
      <c r="H512" s="63" t="str" cm="1">
        <f t="array" ref="H512">IF(A512&lt;&gt;"",_xlfn.XLOOKUP(_xlfn.NUMBERVALUE(A512),_xlfn.NUMBERVALUE(Inventários[Tombamento]),Inventários[Processo - localização específica]),"")</f>
        <v>Filtro 02 - turbidimetro e med. taxa de filtração</v>
      </c>
      <c r="I512" s="1" t="str" cm="1">
        <f t="array" ref="I512">_xlfn.XLOOKUP(_xlfn.NUMBERVALUE(Carga[[#This Row],[Tombamento]]),_xlfn.NUMBERVALUE(Inventários[Tombamento]),Inventários[Descrição resumida do bem],"(A) Atenção Bem Não cadastrado")</f>
        <v>MEDIDOR DE PH/TURBIDEZ</v>
      </c>
    </row>
    <row r="513" spans="1:9" ht="39.75" x14ac:dyDescent="0.15">
      <c r="A513" s="88" t="s">
        <v>515</v>
      </c>
      <c r="B513" s="88" t="s">
        <v>513</v>
      </c>
      <c r="C513" s="88" t="s">
        <v>618</v>
      </c>
      <c r="D513" s="88" t="s">
        <v>17</v>
      </c>
      <c r="E513" s="88" t="s">
        <v>619</v>
      </c>
      <c r="F513" s="88" t="s">
        <v>18</v>
      </c>
      <c r="G513" s="88" t="s">
        <v>19</v>
      </c>
      <c r="H513" s="63" t="str" cm="1">
        <f t="array" ref="H513">IF(A513&lt;&gt;"",_xlfn.XLOOKUP(_xlfn.NUMBERVALUE(A513),_xlfn.NUMBERVALUE(Inventários[Tombamento]),Inventários[Processo - localização específica]),"")</f>
        <v>Filtro 01 - turbidimetro e med. taxa de filtração</v>
      </c>
      <c r="I513" s="1" t="str" cm="1">
        <f t="array" ref="I513">_xlfn.XLOOKUP(_xlfn.NUMBERVALUE(Carga[[#This Row],[Tombamento]]),_xlfn.NUMBERVALUE(Inventários[Tombamento]),Inventários[Descrição resumida do bem],"(A) Atenção Bem Não cadastrado")</f>
        <v>MEDIDOR DE PH/TURBIDEZ</v>
      </c>
    </row>
    <row r="514" spans="1:9" ht="30" x14ac:dyDescent="0.15">
      <c r="A514" s="88" t="s">
        <v>516</v>
      </c>
      <c r="B514" s="88" t="s">
        <v>513</v>
      </c>
      <c r="C514" s="88" t="s">
        <v>618</v>
      </c>
      <c r="D514" s="88" t="s">
        <v>17</v>
      </c>
      <c r="E514" s="88" t="s">
        <v>619</v>
      </c>
      <c r="F514" s="88" t="s">
        <v>18</v>
      </c>
      <c r="G514" s="88" t="s">
        <v>19</v>
      </c>
      <c r="H514" s="63" t="str" cm="1">
        <f t="array" ref="H514">IF(A514&lt;&gt;"",_xlfn.XLOOKUP(_xlfn.NUMBERVALUE(A514),_xlfn.NUMBERVALUE(Inventários[Tombamento]),Inventários[Processo - localização específica]),"")</f>
        <v>TAPQ - elevatórias de água potável e amostragem</v>
      </c>
      <c r="I514" s="1" t="str" cm="1">
        <f t="array" ref="I514">_xlfn.XLOOKUP(_xlfn.NUMBERVALUE(Carga[[#This Row],[Tombamento]]),_xlfn.NUMBERVALUE(Inventários[Tombamento]),Inventários[Descrição resumida do bem],"(A) Atenção Bem Não cadastrado")</f>
        <v>MEDIDOR DE PH/TURBIDEZ</v>
      </c>
    </row>
    <row r="515" spans="1:9" ht="39.75" x14ac:dyDescent="0.15">
      <c r="A515" s="88" t="s">
        <v>517</v>
      </c>
      <c r="B515" s="88" t="s">
        <v>518</v>
      </c>
      <c r="C515" s="88" t="s">
        <v>618</v>
      </c>
      <c r="D515" s="88" t="s">
        <v>17</v>
      </c>
      <c r="E515" s="88" t="s">
        <v>619</v>
      </c>
      <c r="F515" s="88" t="s">
        <v>18</v>
      </c>
      <c r="G515" s="88" t="s">
        <v>19</v>
      </c>
      <c r="H515" s="63" t="str" cm="1">
        <f t="array" ref="H515">IF(A515&lt;&gt;"",_xlfn.XLOOKUP(_xlfn.NUMBERVALUE(A515),_xlfn.NUMBERVALUE(Inventários[Tombamento]),Inventários[Processo - localização específica]),"")</f>
        <v>Coagulante - armazenamento e dosagem</v>
      </c>
      <c r="I515" s="1" t="str" cm="1">
        <f t="array" ref="I515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16" spans="1:9" ht="39.75" x14ac:dyDescent="0.15">
      <c r="A516" s="88" t="s">
        <v>519</v>
      </c>
      <c r="B516" s="88" t="s">
        <v>518</v>
      </c>
      <c r="C516" s="88" t="s">
        <v>618</v>
      </c>
      <c r="D516" s="88" t="s">
        <v>17</v>
      </c>
      <c r="E516" s="88" t="s">
        <v>619</v>
      </c>
      <c r="F516" s="88" t="s">
        <v>18</v>
      </c>
      <c r="G516" s="88" t="s">
        <v>19</v>
      </c>
      <c r="H516" s="63" t="str" cm="1">
        <f t="array" ref="H516">IF(A516&lt;&gt;"",_xlfn.XLOOKUP(_xlfn.NUMBERVALUE(A516),_xlfn.NUMBERVALUE(Inventários[Tombamento]),Inventários[Processo - localização específica]),"")</f>
        <v>Coagulante - armazenamento e dosagem</v>
      </c>
      <c r="I516" s="1" t="str" cm="1">
        <f t="array" ref="I516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17" spans="1:9" ht="39.75" x14ac:dyDescent="0.15">
      <c r="A517" s="88" t="s">
        <v>520</v>
      </c>
      <c r="B517" s="88" t="s">
        <v>518</v>
      </c>
      <c r="C517" s="88" t="s">
        <v>618</v>
      </c>
      <c r="D517" s="88" t="s">
        <v>17</v>
      </c>
      <c r="E517" s="88" t="s">
        <v>619</v>
      </c>
      <c r="F517" s="88" t="s">
        <v>18</v>
      </c>
      <c r="G517" s="88" t="s">
        <v>19</v>
      </c>
      <c r="H517" s="63" t="str" cm="1">
        <f t="array" ref="H517">IF(A517&lt;&gt;"",_xlfn.XLOOKUP(_xlfn.NUMBERVALUE(A517),_xlfn.NUMBERVALUE(Inventários[Tombamento]),Inventários[Processo - localização específica]),"")</f>
        <v>Coagulante - armazenamento e dosagem</v>
      </c>
      <c r="I517" s="1" t="str" cm="1">
        <f t="array" ref="I517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18" spans="1:9" ht="39.75" x14ac:dyDescent="0.15">
      <c r="A518" s="88" t="s">
        <v>521</v>
      </c>
      <c r="B518" s="88" t="s">
        <v>518</v>
      </c>
      <c r="C518" s="88" t="s">
        <v>618</v>
      </c>
      <c r="D518" s="88" t="s">
        <v>17</v>
      </c>
      <c r="E518" s="88" t="s">
        <v>619</v>
      </c>
      <c r="F518" s="88" t="s">
        <v>18</v>
      </c>
      <c r="G518" s="88" t="s">
        <v>19</v>
      </c>
      <c r="H518" s="63" t="str" cm="1">
        <f t="array" ref="H518">IF(A518&lt;&gt;"",_xlfn.XLOOKUP(_xlfn.NUMBERVALUE(A518),_xlfn.NUMBERVALUE(Inventários[Tombamento]),Inventários[Processo - localização específica]),"")</f>
        <v>Coagulante - armazenamento e dosagem</v>
      </c>
      <c r="I518" s="1" t="str" cm="1">
        <f t="array" ref="I518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19" spans="1:9" ht="39.75" x14ac:dyDescent="0.15">
      <c r="A519" s="88" t="s">
        <v>522</v>
      </c>
      <c r="B519" s="88" t="s">
        <v>518</v>
      </c>
      <c r="C519" s="88" t="s">
        <v>618</v>
      </c>
      <c r="D519" s="88" t="s">
        <v>17</v>
      </c>
      <c r="E519" s="88" t="s">
        <v>619</v>
      </c>
      <c r="F519" s="88" t="s">
        <v>18</v>
      </c>
      <c r="G519" s="88" t="s">
        <v>19</v>
      </c>
      <c r="H519" s="63" t="str" cm="1">
        <f t="array" ref="H519">IF(A519&lt;&gt;"",_xlfn.XLOOKUP(_xlfn.NUMBERVALUE(A519),_xlfn.NUMBERVALUE(Inventários[Tombamento]),Inventários[Processo - localização específica]),"")</f>
        <v>Casa de química - preparo e dosagem de permanganato e polímero</v>
      </c>
      <c r="I519" s="1" t="str" cm="1">
        <f t="array" ref="I519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0" spans="1:9" ht="39.75" x14ac:dyDescent="0.15">
      <c r="A520" s="88" t="s">
        <v>523</v>
      </c>
      <c r="B520" s="88" t="s">
        <v>518</v>
      </c>
      <c r="C520" s="88" t="s">
        <v>618</v>
      </c>
      <c r="D520" s="88" t="s">
        <v>17</v>
      </c>
      <c r="E520" s="88" t="s">
        <v>619</v>
      </c>
      <c r="F520" s="88" t="s">
        <v>18</v>
      </c>
      <c r="G520" s="88" t="s">
        <v>19</v>
      </c>
      <c r="H520" s="63" t="str" cm="1">
        <f t="array" ref="H520">IF(A520&lt;&gt;"",_xlfn.XLOOKUP(_xlfn.NUMBERVALUE(A520),_xlfn.NUMBERVALUE(Inventários[Tombamento]),Inventários[Processo - localização específica]),"")</f>
        <v>Casa de química - preparo e dosagem de permanganato e polímero</v>
      </c>
      <c r="I520" s="1" t="str" cm="1">
        <f t="array" ref="I520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1" spans="1:9" ht="39.75" x14ac:dyDescent="0.15">
      <c r="A521" s="88" t="s">
        <v>524</v>
      </c>
      <c r="B521" s="88" t="s">
        <v>518</v>
      </c>
      <c r="C521" s="88" t="s">
        <v>618</v>
      </c>
      <c r="D521" s="88" t="s">
        <v>17</v>
      </c>
      <c r="E521" s="88" t="s">
        <v>619</v>
      </c>
      <c r="F521" s="88" t="s">
        <v>18</v>
      </c>
      <c r="G521" s="88" t="s">
        <v>19</v>
      </c>
      <c r="H521" s="63" t="str" cm="1">
        <f t="array" ref="H521">IF(A521&lt;&gt;"",_xlfn.XLOOKUP(_xlfn.NUMBERVALUE(A521),_xlfn.NUMBERVALUE(Inventários[Tombamento]),Inventários[Processo - localização específica]),"")</f>
        <v>Carvão - armazenamento e dosagem</v>
      </c>
      <c r="I521" s="1" t="str" cm="1">
        <f t="array" ref="I521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2" spans="1:9" ht="39.75" x14ac:dyDescent="0.15">
      <c r="A522" s="88" t="s">
        <v>525</v>
      </c>
      <c r="B522" s="88" t="s">
        <v>518</v>
      </c>
      <c r="C522" s="88" t="s">
        <v>618</v>
      </c>
      <c r="D522" s="88" t="s">
        <v>17</v>
      </c>
      <c r="E522" s="88" t="s">
        <v>619</v>
      </c>
      <c r="F522" s="88" t="s">
        <v>18</v>
      </c>
      <c r="G522" s="88" t="s">
        <v>19</v>
      </c>
      <c r="H522" s="63" t="str" cm="1">
        <f t="array" ref="H522">IF(A522&lt;&gt;"",_xlfn.XLOOKUP(_xlfn.NUMBERVALUE(A522),_xlfn.NUMBERVALUE(Inventários[Tombamento]),Inventários[Processo - localização específica]),"")</f>
        <v>Carvão - armazenamento e dosagem</v>
      </c>
      <c r="I522" s="1" t="str" cm="1">
        <f t="array" ref="I522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3" spans="1:9" ht="39.75" x14ac:dyDescent="0.15">
      <c r="A523" s="88" t="s">
        <v>526</v>
      </c>
      <c r="B523" s="88" t="s">
        <v>518</v>
      </c>
      <c r="C523" s="88" t="s">
        <v>618</v>
      </c>
      <c r="D523" s="88" t="s">
        <v>17</v>
      </c>
      <c r="E523" s="88" t="s">
        <v>619</v>
      </c>
      <c r="F523" s="88" t="s">
        <v>18</v>
      </c>
      <c r="G523" s="88" t="s">
        <v>19</v>
      </c>
      <c r="H523" s="63" t="str" cm="1">
        <f t="array" ref="H523">IF(A523&lt;&gt;"",_xlfn.XLOOKUP(_xlfn.NUMBERVALUE(A523),_xlfn.NUMBERVALUE(Inventários[Tombamento]),Inventários[Processo - localização específica]),"")</f>
        <v>Carvão - armazenamento e dosagem</v>
      </c>
      <c r="I523" s="1" t="str" cm="1">
        <f t="array" ref="I523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4" spans="1:9" ht="39.75" x14ac:dyDescent="0.15">
      <c r="A524" s="88" t="s">
        <v>527</v>
      </c>
      <c r="B524" s="88" t="s">
        <v>518</v>
      </c>
      <c r="C524" s="88" t="s">
        <v>618</v>
      </c>
      <c r="D524" s="88" t="s">
        <v>17</v>
      </c>
      <c r="E524" s="88" t="s">
        <v>619</v>
      </c>
      <c r="F524" s="88" t="s">
        <v>18</v>
      </c>
      <c r="G524" s="88" t="s">
        <v>19</v>
      </c>
      <c r="H524" s="63" t="str" cm="1">
        <f t="array" ref="H524">IF(A524&lt;&gt;"",_xlfn.XLOOKUP(_xlfn.NUMBERVALUE(A524),_xlfn.NUMBERVALUE(Inventários[Tombamento]),Inventários[Processo - localização específica]),"")</f>
        <v>Carvão - armazenamento e dosagem</v>
      </c>
      <c r="I524" s="1" t="str" cm="1">
        <f t="array" ref="I524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5" spans="1:9" ht="39.75" x14ac:dyDescent="0.15">
      <c r="A525" s="88" t="s">
        <v>528</v>
      </c>
      <c r="B525" s="88" t="s">
        <v>518</v>
      </c>
      <c r="C525" s="88" t="s">
        <v>618</v>
      </c>
      <c r="D525" s="88" t="s">
        <v>17</v>
      </c>
      <c r="E525" s="88" t="s">
        <v>619</v>
      </c>
      <c r="F525" s="88" t="s">
        <v>18</v>
      </c>
      <c r="G525" s="88" t="s">
        <v>19</v>
      </c>
      <c r="H525" s="63" t="str" cm="1">
        <f t="array" ref="H525">IF(A525&lt;&gt;"",_xlfn.XLOOKUP(_xlfn.NUMBERVALUE(A525),_xlfn.NUMBERVALUE(Inventários[Tombamento]),Inventários[Processo - localização específica]),"")</f>
        <v>Prédio - depósito de bens</v>
      </c>
      <c r="I525" s="1" t="str" cm="1">
        <f t="array" ref="I525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6" spans="1:9" ht="39.75" x14ac:dyDescent="0.15">
      <c r="A526" s="88" t="s">
        <v>529</v>
      </c>
      <c r="B526" s="88" t="s">
        <v>518</v>
      </c>
      <c r="C526" s="88" t="s">
        <v>618</v>
      </c>
      <c r="D526" s="88" t="s">
        <v>17</v>
      </c>
      <c r="E526" s="88" t="s">
        <v>619</v>
      </c>
      <c r="F526" s="88" t="s">
        <v>18</v>
      </c>
      <c r="G526" s="88" t="s">
        <v>19</v>
      </c>
      <c r="H526" s="63" t="str" cm="1">
        <f t="array" ref="H526">IF(A526&lt;&gt;"",_xlfn.XLOOKUP(_xlfn.NUMBERVALUE(A526),_xlfn.NUMBERVALUE(Inventários[Tombamento]),Inventários[Processo - localização específica]),"")</f>
        <v>Prédio - depósito de bens</v>
      </c>
      <c r="I526" s="1" t="str" cm="1">
        <f t="array" ref="I526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7" spans="1:9" ht="39.75" x14ac:dyDescent="0.15">
      <c r="A527" s="88" t="s">
        <v>530</v>
      </c>
      <c r="B527" s="88" t="s">
        <v>518</v>
      </c>
      <c r="C527" s="88" t="s">
        <v>618</v>
      </c>
      <c r="D527" s="88" t="s">
        <v>17</v>
      </c>
      <c r="E527" s="88" t="s">
        <v>619</v>
      </c>
      <c r="F527" s="88" t="s">
        <v>18</v>
      </c>
      <c r="G527" s="88" t="s">
        <v>19</v>
      </c>
      <c r="H527" s="63" t="str" cm="1">
        <f t="array" ref="H527">IF(A527&lt;&gt;"",_xlfn.XLOOKUP(_xlfn.NUMBERVALUE(A527),_xlfn.NUMBERVALUE(Inventários[Tombamento]),Inventários[Processo - localização específica]),"")</f>
        <v>SDL - dosadoras de lodo adensado e polímero</v>
      </c>
      <c r="I527" s="1" t="str" cm="1">
        <f t="array" ref="I527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8" spans="1:9" ht="39.75" x14ac:dyDescent="0.15">
      <c r="A528" s="88" t="s">
        <v>531</v>
      </c>
      <c r="B528" s="88" t="s">
        <v>518</v>
      </c>
      <c r="C528" s="88" t="s">
        <v>618</v>
      </c>
      <c r="D528" s="88" t="s">
        <v>17</v>
      </c>
      <c r="E528" s="88" t="s">
        <v>619</v>
      </c>
      <c r="F528" s="88" t="s">
        <v>18</v>
      </c>
      <c r="G528" s="88" t="s">
        <v>19</v>
      </c>
      <c r="H528" s="63" t="str" cm="1">
        <f t="array" ref="H528">IF(A528&lt;&gt;"",_xlfn.XLOOKUP(_xlfn.NUMBERVALUE(A528),_xlfn.NUMBERVALUE(Inventários[Tombamento]),Inventários[Processo - localização específica]),"")</f>
        <v>SDL - dosadoras de lodo adensado e polímero</v>
      </c>
      <c r="I528" s="1" t="str" cm="1">
        <f t="array" ref="I528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29" spans="1:9" ht="39.75" x14ac:dyDescent="0.15">
      <c r="A529" s="88" t="s">
        <v>532</v>
      </c>
      <c r="B529" s="88" t="s">
        <v>518</v>
      </c>
      <c r="C529" s="88" t="s">
        <v>618</v>
      </c>
      <c r="D529" s="88" t="s">
        <v>17</v>
      </c>
      <c r="E529" s="88" t="s">
        <v>619</v>
      </c>
      <c r="F529" s="88" t="s">
        <v>18</v>
      </c>
      <c r="G529" s="88" t="s">
        <v>19</v>
      </c>
      <c r="H529" s="63" t="str" cm="1">
        <f t="array" ref="H529">IF(A529&lt;&gt;"",_xlfn.XLOOKUP(_xlfn.NUMBERVALUE(A529),_xlfn.NUMBERVALUE(Inventários[Tombamento]),Inventários[Processo - localização específica]),"")</f>
        <v>SDL - dosadoras de lodo adensado e polímero</v>
      </c>
      <c r="I529" s="1" t="str" cm="1">
        <f t="array" ref="I529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30" spans="1:9" ht="39.75" x14ac:dyDescent="0.15">
      <c r="A530" s="88" t="s">
        <v>533</v>
      </c>
      <c r="B530" s="88" t="s">
        <v>518</v>
      </c>
      <c r="C530" s="88" t="s">
        <v>618</v>
      </c>
      <c r="D530" s="88" t="s">
        <v>17</v>
      </c>
      <c r="E530" s="88" t="s">
        <v>619</v>
      </c>
      <c r="F530" s="88" t="s">
        <v>18</v>
      </c>
      <c r="G530" s="88" t="s">
        <v>19</v>
      </c>
      <c r="H530" s="63" t="str" cm="1">
        <f t="array" ref="H530">IF(A530&lt;&gt;"",_xlfn.XLOOKUP(_xlfn.NUMBERVALUE(A530),_xlfn.NUMBERVALUE(Inventários[Tombamento]),Inventários[Processo - localização específica]),"")</f>
        <v>SDL - dosadoras de lodo adensado e polímero</v>
      </c>
      <c r="I530" s="1" t="str" cm="1">
        <f t="array" ref="I530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31" spans="1:9" ht="39.75" x14ac:dyDescent="0.15">
      <c r="A531" s="88" t="s">
        <v>534</v>
      </c>
      <c r="B531" s="88" t="s">
        <v>518</v>
      </c>
      <c r="C531" s="88" t="s">
        <v>618</v>
      </c>
      <c r="D531" s="88" t="s">
        <v>17</v>
      </c>
      <c r="E531" s="88" t="s">
        <v>619</v>
      </c>
      <c r="F531" s="88" t="s">
        <v>18</v>
      </c>
      <c r="G531" s="88" t="s">
        <v>19</v>
      </c>
      <c r="H531" s="63" t="str" cm="1">
        <f t="array" ref="H531">IF(A531&lt;&gt;"",_xlfn.XLOOKUP(_xlfn.NUMBERVALUE(A531),_xlfn.NUMBERVALUE(Inventários[Tombamento]),Inventários[Processo - localização específica]),"")</f>
        <v>SDL - dosadoras de lodo adensado e polímero</v>
      </c>
      <c r="I531" s="1" t="str" cm="1">
        <f t="array" ref="I531">_xlfn.XLOOKUP(_xlfn.NUMBERVALUE(Carga[[#This Row],[Tombamento]]),_xlfn.NUMBERVALUE(Inventários[Tombamento]),Inventários[Descrição resumida do bem],"(A) Atenção Bem Não cadastrado")</f>
        <v>VÁLVULAS MOTORIZADAS SISTEMA DE DOSAGEM.</v>
      </c>
    </row>
    <row r="532" spans="1:9" ht="78.75" x14ac:dyDescent="0.15">
      <c r="A532" s="88" t="s">
        <v>535</v>
      </c>
      <c r="B532" s="88" t="s">
        <v>536</v>
      </c>
      <c r="C532" s="88" t="s">
        <v>618</v>
      </c>
      <c r="D532" s="88" t="s">
        <v>17</v>
      </c>
      <c r="E532" s="88" t="s">
        <v>619</v>
      </c>
      <c r="F532" s="88" t="s">
        <v>18</v>
      </c>
      <c r="G532" s="88" t="s">
        <v>19</v>
      </c>
      <c r="H532" s="63" t="str" cm="1">
        <f t="array" ref="H532">IF(A532&lt;&gt;"",_xlfn.XLOOKUP(_xlfn.NUMBERVALUE(A532),_xlfn.NUMBERVALUE(Inventários[Tombamento]),Inventários[Processo - localização específica]),"")</f>
        <v>Casa de química - armazenamento e dosagem de cal em suspensão</v>
      </c>
      <c r="I532" s="1" t="str" cm="1">
        <f t="array" ref="I532">_xlfn.XLOOKUP(_xlfn.NUMBERVALUE(Carga[[#This Row],[Tombamento]]),_xlfn.NUMBERVALUE(Inventários[Tombamento]),Inventários[Descrição resumida do bem],"(A) Atenção Bem Não cadastrado")</f>
        <v>MEDIDOR DE VAZÃO (MARCA SIEMENS MODELO MAG 6000) - N° DE ORDEM: 7ME69201AA101AA0. N° DE SÉRIE: N1MD215135. FIT-700</v>
      </c>
    </row>
    <row r="533" spans="1:9" ht="78.75" x14ac:dyDescent="0.15">
      <c r="A533" s="88" t="s">
        <v>537</v>
      </c>
      <c r="B533" s="88" t="s">
        <v>538</v>
      </c>
      <c r="C533" s="88" t="s">
        <v>618</v>
      </c>
      <c r="D533" s="88" t="s">
        <v>17</v>
      </c>
      <c r="E533" s="88" t="s">
        <v>619</v>
      </c>
      <c r="F533" s="88" t="s">
        <v>18</v>
      </c>
      <c r="G533" s="88" t="s">
        <v>19</v>
      </c>
      <c r="H533" s="63" t="str" cm="1">
        <f t="array" ref="H533">IF(A533&lt;&gt;"",_xlfn.XLOOKUP(_xlfn.NUMBERVALUE(A533),_xlfn.NUMBERVALUE(Inventários[Tombamento]),Inventários[Processo - localização específica]),"")</f>
        <v>Casa de química - armazenamento e dosagem de cal em suspensão</v>
      </c>
      <c r="I533" s="1" t="str" cm="1">
        <f t="array" ref="I533">_xlfn.XLOOKUP(_xlfn.NUMBERVALUE(Carga[[#This Row],[Tombamento]]),_xlfn.NUMBERVALUE(Inventários[Tombamento]),Inventários[Descrição resumida do bem],"(A) Atenção Bem Não cadastrado")</f>
        <v>MEDIDOR DE VAZÃO (MARCA SIEMENS MODELO MAG 6000). N° DE ORDEM: 7ME69201AA101AA0. N° DE SÉRIE: N1MD215114. FIT-900</v>
      </c>
    </row>
    <row r="534" spans="1:9" ht="69" x14ac:dyDescent="0.15">
      <c r="A534" s="88" t="s">
        <v>539</v>
      </c>
      <c r="B534" s="88" t="s">
        <v>1054</v>
      </c>
      <c r="C534" s="88" t="s">
        <v>618</v>
      </c>
      <c r="D534" s="88" t="s">
        <v>17</v>
      </c>
      <c r="E534" s="88" t="s">
        <v>619</v>
      </c>
      <c r="F534" s="88" t="s">
        <v>18</v>
      </c>
      <c r="G534" s="88" t="s">
        <v>19</v>
      </c>
      <c r="H534" s="63" t="str" cm="1">
        <f t="array" ref="H534">IF(A534&lt;&gt;"",_xlfn.XLOOKUP(_xlfn.NUMBERVALUE(A534),_xlfn.NUMBERVALUE(Inventários[Tombamento]),Inventários[Processo - localização específica]),"")</f>
        <v>Carvão - armazenamento e dosagem</v>
      </c>
      <c r="I534" s="1" t="str" cm="1">
        <f t="array" ref="I534">_xlfn.XLOOKUP(_xlfn.NUMBERVALUE(Carga[[#This Row],[Tombamento]]),_xlfn.NUMBERVALUE(Inventários[Tombamento]),Inventários[Descrição resumida do bem],"(A) Atenção Bem Não cadastrado")</f>
        <v xml:space="preserve">MEDIDOR DE VAZÃO (MARCA SIEMENS MODELO MAG 6000). N DE ORDEM: 7ME69201AA101AA0. N° DE SÉRIE: N1MD215156. 					</v>
      </c>
    </row>
    <row r="535" spans="1:9" ht="69" x14ac:dyDescent="0.15">
      <c r="A535" s="88" t="s">
        <v>540</v>
      </c>
      <c r="B535" s="88" t="s">
        <v>541</v>
      </c>
      <c r="C535" s="88" t="s">
        <v>618</v>
      </c>
      <c r="D535" s="88" t="s">
        <v>17</v>
      </c>
      <c r="E535" s="88" t="s">
        <v>619</v>
      </c>
      <c r="F535" s="88" t="s">
        <v>18</v>
      </c>
      <c r="G535" s="88" t="s">
        <v>19</v>
      </c>
      <c r="H535" s="63" t="str" cm="1">
        <f t="array" ref="H535">IF(A535&lt;&gt;"",_xlfn.XLOOKUP(_xlfn.NUMBERVALUE(A535),_xlfn.NUMBERVALUE(Inventários[Tombamento]),Inventários[Processo - localização específica]),"")</f>
        <v xml:space="preserve">Filtro 08 - comportas </v>
      </c>
      <c r="I535" s="1" t="str" cm="1">
        <f t="array" ref="I535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60NM CSR6T N/S 31398.</v>
      </c>
    </row>
    <row r="536" spans="1:9" ht="49.5" x14ac:dyDescent="0.15">
      <c r="A536" s="88" t="s">
        <v>542</v>
      </c>
      <c r="B536" s="88" t="s">
        <v>543</v>
      </c>
      <c r="C536" s="88" t="s">
        <v>618</v>
      </c>
      <c r="D536" s="88" t="s">
        <v>17</v>
      </c>
      <c r="E536" s="88" t="s">
        <v>619</v>
      </c>
      <c r="F536" s="88" t="s">
        <v>18</v>
      </c>
      <c r="G536" s="88" t="s">
        <v>19</v>
      </c>
      <c r="H536" s="63" t="str" cm="1">
        <f t="array" ref="H536">IF(A536&lt;&gt;"",_xlfn.XLOOKUP(_xlfn.NUMBERVALUE(A536),_xlfn.NUMBERVALUE(Inventários[Tombamento]),Inventários[Processo - localização específica]),"")</f>
        <v>Prédio - operação</v>
      </c>
      <c r="I536" s="1" t="str" cm="1">
        <f t="array" ref="I536">_xlfn.XLOOKUP(_xlfn.NUMBERVALUE(Carga[[#This Row],[Tombamento]]),_xlfn.NUMBERVALUE(Inventários[Tombamento]),Inventários[Descrição resumida do bem],"(A) Atenção Bem Não cadastrado")</f>
        <v>ESTAÇÃO DE OPERAÇÃO, MODELO: SIMATIC RAC PC ; FABRICANTE SIEMENS.</v>
      </c>
    </row>
    <row r="537" spans="1:9" ht="69" x14ac:dyDescent="0.15">
      <c r="A537" s="88" t="s">
        <v>544</v>
      </c>
      <c r="B537" s="88" t="s">
        <v>545</v>
      </c>
      <c r="C537" s="88" t="s">
        <v>618</v>
      </c>
      <c r="D537" s="88" t="s">
        <v>17</v>
      </c>
      <c r="E537" s="88" t="s">
        <v>619</v>
      </c>
      <c r="F537" s="88" t="s">
        <v>18</v>
      </c>
      <c r="G537" s="88" t="s">
        <v>19</v>
      </c>
      <c r="H537" s="63" t="str" cm="1">
        <f t="array" ref="H537">IF(A537&lt;&gt;"",_xlfn.XLOOKUP(_xlfn.NUMBERVALUE(A537),_xlfn.NUMBERVALUE(Inventários[Tombamento]),Inventários[Processo - localização específica]),"")</f>
        <v xml:space="preserve">Filtro 08 - comportas </v>
      </c>
      <c r="I537" s="1" t="str" cm="1">
        <f t="array" ref="I537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120NM CSR12M N/S 3140S.</v>
      </c>
    </row>
    <row r="538" spans="1:9" ht="69" x14ac:dyDescent="0.15">
      <c r="A538" s="88" t="s">
        <v>546</v>
      </c>
      <c r="B538" s="88" t="s">
        <v>1055</v>
      </c>
      <c r="C538" s="88" t="s">
        <v>618</v>
      </c>
      <c r="D538" s="88" t="s">
        <v>17</v>
      </c>
      <c r="E538" s="88" t="s">
        <v>619</v>
      </c>
      <c r="F538" s="88" t="s">
        <v>18</v>
      </c>
      <c r="G538" s="88" t="s">
        <v>19</v>
      </c>
      <c r="H538" s="63" t="str" cm="1">
        <f t="array" ref="H538">IF(A538&lt;&gt;"",_xlfn.XLOOKUP(_xlfn.NUMBERVALUE(A538),_xlfn.NUMBERVALUE(Inventários[Tombamento]),Inventários[Processo - localização específica]),"")</f>
        <v xml:space="preserve">Filtro 07 - comportas </v>
      </c>
      <c r="I538" s="1" t="str" cm="1">
        <f t="array" ref="I538">_xlfn.XLOOKUP(_xlfn.NUMBERVALUE(Carga[[#This Row],[Tombamento]]),_xlfn.NUMBERVALUE(Inventários[Tombamento]),Inventários[Descrição resumida do bem],"(A) Atenção Bem Não cadastrado")</f>
        <v xml:space="preserve">ATUADOR ELÉTRICO MULTI-VOLTA, INTELIGENTE, COM COMUNICAÇÃO VIA REDE ETHERNET, TORQUE ATÉ 120NM CSR12M N/S 31402.					</v>
      </c>
    </row>
    <row r="539" spans="1:9" ht="69" x14ac:dyDescent="0.15">
      <c r="A539" s="88" t="s">
        <v>547</v>
      </c>
      <c r="B539" s="88" t="s">
        <v>548</v>
      </c>
      <c r="C539" s="88" t="s">
        <v>618</v>
      </c>
      <c r="D539" s="88" t="s">
        <v>17</v>
      </c>
      <c r="E539" s="88" t="s">
        <v>619</v>
      </c>
      <c r="F539" s="88" t="s">
        <v>18</v>
      </c>
      <c r="G539" s="88" t="s">
        <v>19</v>
      </c>
      <c r="H539" s="63" t="str" cm="1">
        <f t="array" ref="H539">IF(A539&lt;&gt;"",_xlfn.XLOOKUP(_xlfn.NUMBERVALUE(A539),_xlfn.NUMBERVALUE(Inventários[Tombamento]),Inventários[Processo - localização específica]),"")</f>
        <v xml:space="preserve">Filtro 07 - comportas </v>
      </c>
      <c r="I539" s="1" t="str" cm="1">
        <f t="array" ref="I539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60NM CSR6T N/S 31401.</v>
      </c>
    </row>
    <row r="540" spans="1:9" ht="69" x14ac:dyDescent="0.15">
      <c r="A540" s="88" t="s">
        <v>549</v>
      </c>
      <c r="B540" s="88" t="s">
        <v>550</v>
      </c>
      <c r="C540" s="88" t="s">
        <v>618</v>
      </c>
      <c r="D540" s="88" t="s">
        <v>17</v>
      </c>
      <c r="E540" s="88" t="s">
        <v>619</v>
      </c>
      <c r="F540" s="88" t="s">
        <v>18</v>
      </c>
      <c r="G540" s="88" t="s">
        <v>19</v>
      </c>
      <c r="H540" s="63" t="str" cm="1">
        <f t="array" ref="H540">IF(A540&lt;&gt;"",_xlfn.XLOOKUP(_xlfn.NUMBERVALUE(A540),_xlfn.NUMBERVALUE(Inventários[Tombamento]),Inventários[Processo - localização específica]),"")</f>
        <v xml:space="preserve">Filtro 06 - comportas </v>
      </c>
      <c r="I540" s="1" t="str" cm="1">
        <f t="array" ref="I540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120NM CSR12M N/S 31403.</v>
      </c>
    </row>
    <row r="541" spans="1:9" ht="69" x14ac:dyDescent="0.15">
      <c r="A541" s="88" t="s">
        <v>551</v>
      </c>
      <c r="B541" s="88" t="s">
        <v>552</v>
      </c>
      <c r="C541" s="88" t="s">
        <v>618</v>
      </c>
      <c r="D541" s="88" t="s">
        <v>17</v>
      </c>
      <c r="E541" s="88" t="s">
        <v>619</v>
      </c>
      <c r="F541" s="88" t="s">
        <v>18</v>
      </c>
      <c r="G541" s="88" t="s">
        <v>19</v>
      </c>
      <c r="H541" s="63" t="str" cm="1">
        <f t="array" ref="H541">IF(A541&lt;&gt;"",_xlfn.XLOOKUP(_xlfn.NUMBERVALUE(A541),_xlfn.NUMBERVALUE(Inventários[Tombamento]),Inventários[Processo - localização específica]),"")</f>
        <v xml:space="preserve">Filtro 06 - comportas </v>
      </c>
      <c r="I541" s="1" t="str" cm="1">
        <f t="array" ref="I541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60NM CSR6T N/S 31400.</v>
      </c>
    </row>
    <row r="542" spans="1:9" ht="69" x14ac:dyDescent="0.15">
      <c r="A542" s="88" t="s">
        <v>553</v>
      </c>
      <c r="B542" s="88" t="s">
        <v>554</v>
      </c>
      <c r="C542" s="88" t="s">
        <v>618</v>
      </c>
      <c r="D542" s="88" t="s">
        <v>17</v>
      </c>
      <c r="E542" s="88" t="s">
        <v>619</v>
      </c>
      <c r="F542" s="88" t="s">
        <v>18</v>
      </c>
      <c r="G542" s="88" t="s">
        <v>19</v>
      </c>
      <c r="H542" s="63" t="str" cm="1">
        <f t="array" ref="H542">IF(A542&lt;&gt;"",_xlfn.XLOOKUP(_xlfn.NUMBERVALUE(A542),_xlfn.NUMBERVALUE(Inventários[Tombamento]),Inventários[Processo - localização específica]),"")</f>
        <v xml:space="preserve">Filtro 05 - comportas </v>
      </c>
      <c r="I542" s="1" t="str" cm="1">
        <f t="array" ref="I542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120NM CSR12M N/S 31404.</v>
      </c>
    </row>
    <row r="543" spans="1:9" ht="69" x14ac:dyDescent="0.15">
      <c r="A543" s="88" t="s">
        <v>555</v>
      </c>
      <c r="B543" s="88" t="s">
        <v>556</v>
      </c>
      <c r="C543" s="88" t="s">
        <v>618</v>
      </c>
      <c r="D543" s="88" t="s">
        <v>17</v>
      </c>
      <c r="E543" s="88" t="s">
        <v>619</v>
      </c>
      <c r="F543" s="88" t="s">
        <v>18</v>
      </c>
      <c r="G543" s="88" t="s">
        <v>19</v>
      </c>
      <c r="H543" s="63" t="str" cm="1">
        <f t="array" ref="H543">IF(A543&lt;&gt;"",_xlfn.XLOOKUP(_xlfn.NUMBERVALUE(A543),_xlfn.NUMBERVALUE(Inventários[Tombamento]),Inventários[Processo - localização específica]),"")</f>
        <v xml:space="preserve">Filtro 05 - comportas </v>
      </c>
      <c r="I543" s="1" t="str" cm="1">
        <f t="array" ref="I543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60NM CSR6T N/S 31399.</v>
      </c>
    </row>
    <row r="544" spans="1:9" ht="69" x14ac:dyDescent="0.15">
      <c r="A544" s="88" t="s">
        <v>557</v>
      </c>
      <c r="B544" s="88" t="s">
        <v>558</v>
      </c>
      <c r="C544" s="88" t="s">
        <v>618</v>
      </c>
      <c r="D544" s="88" t="s">
        <v>17</v>
      </c>
      <c r="E544" s="88" t="s">
        <v>619</v>
      </c>
      <c r="F544" s="88" t="s">
        <v>18</v>
      </c>
      <c r="G544" s="88" t="s">
        <v>19</v>
      </c>
      <c r="H544" s="63" t="str" cm="1">
        <f t="array" ref="H544">IF(A544&lt;&gt;"",_xlfn.XLOOKUP(_xlfn.NUMBERVALUE(A544),_xlfn.NUMBERVALUE(Inventários[Tombamento]),Inventários[Processo - localização específica]),"")</f>
        <v xml:space="preserve">Filtro 04 - comportas </v>
      </c>
      <c r="I544" s="1" t="str" cm="1">
        <f t="array" ref="I544">_xlfn.XLOOKUP(_xlfn.NUMBERVALUE(Carga[[#This Row],[Tombamento]]),_xlfn.NUMBERVALUE(Inventários[Tombamento]),Inventários[Descrição resumida do bem],"(A) Atenção Bem Não cadastrado")</f>
        <v>ATUADOR ELÉTRICO MULTI-VOLTA, INTELIGENTE, COM COMUNICAÇÃO VIA REDE ETHERNET, TORQUE ATÉ 250NM CSR25M N/S 29493.</v>
      </c>
    </row>
    <row r="545" spans="1:9" ht="108" x14ac:dyDescent="0.15">
      <c r="A545" s="88" t="s">
        <v>559</v>
      </c>
      <c r="B545" s="88" t="s">
        <v>560</v>
      </c>
      <c r="C545" s="88" t="s">
        <v>618</v>
      </c>
      <c r="D545" s="88" t="s">
        <v>17</v>
      </c>
      <c r="E545" s="88" t="s">
        <v>619</v>
      </c>
      <c r="F545" s="88" t="s">
        <v>18</v>
      </c>
      <c r="G545" s="88" t="s">
        <v>19</v>
      </c>
      <c r="H545" s="63" t="str" cm="1">
        <f t="array" ref="H545">IF(A545&lt;&gt;"",_xlfn.XLOOKUP(_xlfn.NUMBERVALUE(A545),_xlfn.NUMBERVALUE(Inventários[Tombamento]),Inventários[Processo - localização específica]),"")</f>
        <v>Subestação 01 - próximo ao bloco hidraúlico</v>
      </c>
      <c r="I545" s="1" t="str" cm="1">
        <f t="array" ref="I545">_xlfn.XLOOKUP(_xlfn.NUMBERVALUE(Carga[[#This Row],[Tombamento]]),_xlfn.NUMBERVALUE(Inventários[Tombamento]),Inventários[Descrição resumida do bem],"(A) Atenção Bem Não cadastrado")</f>
        <v>QUADRO DE DISTRIBUIÇÃO GERAL 01 - QUADRO DE FORÇA COMPLETO COM DISJUNTOR DE ENTRADA DE 3200A, 5 COLUNAS, DISJUNTORES DE DISTRIBUIÇÃO, MEDIDOR DE ENERGIA E DEMAI</v>
      </c>
    </row>
    <row r="546" spans="1:9" ht="117.75" x14ac:dyDescent="0.15">
      <c r="A546" s="88" t="s">
        <v>561</v>
      </c>
      <c r="B546" s="88" t="s">
        <v>1056</v>
      </c>
      <c r="C546" s="88" t="s">
        <v>618</v>
      </c>
      <c r="D546" s="88" t="s">
        <v>17</v>
      </c>
      <c r="E546" s="88" t="s">
        <v>619</v>
      </c>
      <c r="F546" s="88" t="s">
        <v>18</v>
      </c>
      <c r="G546" s="88" t="s">
        <v>19</v>
      </c>
      <c r="H546" s="63" t="str" cm="1">
        <f t="array" ref="H546">IF(A546&lt;&gt;"",_xlfn.XLOOKUP(_xlfn.NUMBERVALUE(A546),_xlfn.NUMBERVALUE(Inventários[Tombamento]),Inventários[Processo - localização específica]),"")</f>
        <v>Subestação 01 - próximo ao bloco hidraúlico</v>
      </c>
      <c r="I546" s="1" t="str" cm="1">
        <f t="array" ref="I546">_xlfn.XLOOKUP(_xlfn.NUMBERVALUE(Carga[[#This Row],[Tombamento]]),_xlfn.NUMBERVALUE(Inventários[Tombamento]),Inventários[Descrição resumida do bem],"(A) Atenção Bem Não cadastrado")</f>
        <v>QUADRO DE EMERGÊNCIA 01 - QUADRO DE FORÇA COMPLETO COM DISJUNTOR DE ENTRADA DE 2000A, 4 COLUNAS, DISJUNTORES DE DISTRIBUIÇÃO, MEDIDOR DE ENERGIA E DEMAIS EQUIPA</v>
      </c>
    </row>
    <row r="547" spans="1:9" ht="117.75" x14ac:dyDescent="0.15">
      <c r="A547" s="88" t="s">
        <v>563</v>
      </c>
      <c r="B547" s="88" t="s">
        <v>564</v>
      </c>
      <c r="C547" s="88" t="s">
        <v>618</v>
      </c>
      <c r="D547" s="88" t="s">
        <v>17</v>
      </c>
      <c r="E547" s="88" t="s">
        <v>619</v>
      </c>
      <c r="F547" s="88" t="s">
        <v>18</v>
      </c>
      <c r="G547" s="88" t="s">
        <v>19</v>
      </c>
      <c r="H547" s="63" t="str" cm="1">
        <f t="array" ref="H547">IF(A547&lt;&gt;"",_xlfn.XLOOKUP(_xlfn.NUMBERVALUE(A547),_xlfn.NUMBERVALUE(Inventários[Tombamento]),Inventários[Processo - localização específica]),"")</f>
        <v>Subestação 01 - próximo ao bloco hidraúlico</v>
      </c>
      <c r="I547" s="1" t="str" cm="1">
        <f t="array" ref="I547">_xlfn.XLOOKUP(_xlfn.NUMBERVALUE(Carga[[#This Row],[Tombamento]]),_xlfn.NUMBERVALUE(Inventários[Tombamento]),Inventários[Descrição resumida do bem],"(A) Atenção Bem Não cadastrado")</f>
        <v>BANCO DE CAPACITORES 4Q2 - QUADRO DE EMERGÊNCIA 02 - QUADRO DE FORÇA COMPLETO COM DISJUNTOR DE ENTRADA, 2 COLUNAS, DISJUNTORES DE DISTRIBUIÇÃO, MEDIDOR DE ENERG</v>
      </c>
    </row>
    <row r="548" spans="1:9" ht="108" x14ac:dyDescent="0.15">
      <c r="A548" s="88" t="s">
        <v>565</v>
      </c>
      <c r="B548" s="88" t="s">
        <v>566</v>
      </c>
      <c r="C548" s="88" t="s">
        <v>618</v>
      </c>
      <c r="D548" s="88" t="s">
        <v>17</v>
      </c>
      <c r="E548" s="88" t="s">
        <v>619</v>
      </c>
      <c r="F548" s="88" t="s">
        <v>18</v>
      </c>
      <c r="G548" s="88" t="s">
        <v>19</v>
      </c>
      <c r="H548" s="63" t="str" cm="1">
        <f t="array" ref="H548">IF(A548&lt;&gt;"",_xlfn.XLOOKUP(_xlfn.NUMBERVALUE(A548),_xlfn.NUMBERVALUE(Inventários[Tombamento]),Inventários[Processo - localização específica]),"")</f>
        <v>Subestação 01 - próximo ao bloco hidraúlico</v>
      </c>
      <c r="I548" s="1" t="str" cm="1">
        <f t="array" ref="I548">_xlfn.XLOOKUP(_xlfn.NUMBERVALUE(Carga[[#This Row],[Tombamento]]),_xlfn.NUMBERVALUE(Inventários[Tombamento]),Inventários[Descrição resumida do bem],"(A) Atenção Bem Não cadastrado")</f>
        <v>QUADRO DE DISTRIBUIÇÃO GERAL 02 - QUADRO DE FORÇA COMPLETO COM DISJUNTOR DE ENTRADA DE 2000A, 3 COLUNAS, DISJUNTORES DE DISTRIBUIÇÃO, MEDIDOR DE ENERGIA E DEMAI</v>
      </c>
    </row>
    <row r="549" spans="1:9" ht="59.25" x14ac:dyDescent="0.15">
      <c r="A549" s="88" t="s">
        <v>567</v>
      </c>
      <c r="B549" s="88" t="s">
        <v>1057</v>
      </c>
      <c r="C549" s="88" t="s">
        <v>618</v>
      </c>
      <c r="D549" s="88" t="s">
        <v>17</v>
      </c>
      <c r="E549" s="88" t="s">
        <v>619</v>
      </c>
      <c r="F549" s="88" t="s">
        <v>18</v>
      </c>
      <c r="G549" s="88" t="s">
        <v>19</v>
      </c>
      <c r="H549" s="63" t="str" cm="1">
        <f t="array" ref="H549">IF(A549&lt;&gt;"",_xlfn.XLOOKUP(_xlfn.NUMBERVALUE(A549),_xlfn.NUMBERVALUE(Inventários[Tombamento]),Inventários[Processo - localização específica]),"")</f>
        <v xml:space="preserve">Filtro 04 - comportas </v>
      </c>
      <c r="I549" s="1" t="str" cm="1">
        <f t="array" ref="I549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0" spans="1:9" ht="59.25" x14ac:dyDescent="0.15">
      <c r="A550" s="88" t="s">
        <v>569</v>
      </c>
      <c r="B550" s="88" t="s">
        <v>1057</v>
      </c>
      <c r="C550" s="88" t="s">
        <v>618</v>
      </c>
      <c r="D550" s="88" t="s">
        <v>17</v>
      </c>
      <c r="E550" s="88" t="s">
        <v>619</v>
      </c>
      <c r="F550" s="88" t="s">
        <v>18</v>
      </c>
      <c r="G550" s="88" t="s">
        <v>19</v>
      </c>
      <c r="H550" s="63" t="str" cm="1">
        <f t="array" ref="H550">IF(A550&lt;&gt;"",_xlfn.XLOOKUP(_xlfn.NUMBERVALUE(A550),_xlfn.NUMBERVALUE(Inventários[Tombamento]),Inventários[Processo - localização específica]),"")</f>
        <v xml:space="preserve">Filtro 04 - comportas </v>
      </c>
      <c r="I550" s="1" t="str" cm="1">
        <f t="array" ref="I550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1" spans="1:9" ht="59.25" x14ac:dyDescent="0.15">
      <c r="A551" s="88" t="s">
        <v>570</v>
      </c>
      <c r="B551" s="88" t="s">
        <v>1057</v>
      </c>
      <c r="C551" s="88" t="s">
        <v>618</v>
      </c>
      <c r="D551" s="88" t="s">
        <v>17</v>
      </c>
      <c r="E551" s="88" t="s">
        <v>619</v>
      </c>
      <c r="F551" s="88" t="s">
        <v>18</v>
      </c>
      <c r="G551" s="88" t="s">
        <v>19</v>
      </c>
      <c r="H551" s="63" t="str" cm="1">
        <f t="array" ref="H551">IF(A551&lt;&gt;"",_xlfn.XLOOKUP(_xlfn.NUMBERVALUE(A551),_xlfn.NUMBERVALUE(Inventários[Tombamento]),Inventários[Processo - localização específica]),"")</f>
        <v xml:space="preserve">Filtro 03 - comportas </v>
      </c>
      <c r="I551" s="1" t="str" cm="1">
        <f t="array" ref="I551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2" spans="1:9" ht="59.25" x14ac:dyDescent="0.15">
      <c r="A552" s="88" t="s">
        <v>571</v>
      </c>
      <c r="B552" s="88" t="s">
        <v>1057</v>
      </c>
      <c r="C552" s="88" t="s">
        <v>618</v>
      </c>
      <c r="D552" s="88" t="s">
        <v>17</v>
      </c>
      <c r="E552" s="88" t="s">
        <v>619</v>
      </c>
      <c r="F552" s="88" t="s">
        <v>18</v>
      </c>
      <c r="G552" s="88" t="s">
        <v>19</v>
      </c>
      <c r="H552" s="63" t="str" cm="1">
        <f t="array" ref="H552">IF(A552&lt;&gt;"",_xlfn.XLOOKUP(_xlfn.NUMBERVALUE(A552),_xlfn.NUMBERVALUE(Inventários[Tombamento]),Inventários[Processo - localização específica]),"")</f>
        <v xml:space="preserve">Filtro 03 - comportas </v>
      </c>
      <c r="I552" s="1" t="str" cm="1">
        <f t="array" ref="I552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3" spans="1:9" ht="59.25" x14ac:dyDescent="0.15">
      <c r="A553" s="88" t="s">
        <v>572</v>
      </c>
      <c r="B553" s="88" t="s">
        <v>1057</v>
      </c>
      <c r="C553" s="88" t="s">
        <v>618</v>
      </c>
      <c r="D553" s="88" t="s">
        <v>17</v>
      </c>
      <c r="E553" s="88" t="s">
        <v>619</v>
      </c>
      <c r="F553" s="88" t="s">
        <v>18</v>
      </c>
      <c r="G553" s="88" t="s">
        <v>19</v>
      </c>
      <c r="H553" s="63" t="str" cm="1">
        <f t="array" ref="H553">IF(A553&lt;&gt;"",_xlfn.XLOOKUP(_xlfn.NUMBERVALUE(A553),_xlfn.NUMBERVALUE(Inventários[Tombamento]),Inventários[Processo - localização específica]),"")</f>
        <v xml:space="preserve">Filtro 02 - comportas </v>
      </c>
      <c r="I553" s="1" t="str" cm="1">
        <f t="array" ref="I553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4" spans="1:9" ht="59.25" x14ac:dyDescent="0.15">
      <c r="A554" s="88" t="s">
        <v>573</v>
      </c>
      <c r="B554" s="88" t="s">
        <v>1057</v>
      </c>
      <c r="C554" s="88" t="s">
        <v>618</v>
      </c>
      <c r="D554" s="88" t="s">
        <v>17</v>
      </c>
      <c r="E554" s="88" t="s">
        <v>619</v>
      </c>
      <c r="F554" s="88" t="s">
        <v>18</v>
      </c>
      <c r="G554" s="88" t="s">
        <v>19</v>
      </c>
      <c r="H554" s="63" t="str" cm="1">
        <f t="array" ref="H554">IF(A554&lt;&gt;"",_xlfn.XLOOKUP(_xlfn.NUMBERVALUE(A554),_xlfn.NUMBERVALUE(Inventários[Tombamento]),Inventários[Processo - localização específica]),"")</f>
        <v xml:space="preserve">Filtro 02 - comportas </v>
      </c>
      <c r="I554" s="1" t="str" cm="1">
        <f t="array" ref="I554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5" spans="1:9" ht="59.25" x14ac:dyDescent="0.15">
      <c r="A555" s="88" t="s">
        <v>574</v>
      </c>
      <c r="B555" s="88" t="s">
        <v>1057</v>
      </c>
      <c r="C555" s="88" t="s">
        <v>618</v>
      </c>
      <c r="D555" s="88" t="s">
        <v>17</v>
      </c>
      <c r="E555" s="88" t="s">
        <v>619</v>
      </c>
      <c r="F555" s="88" t="s">
        <v>18</v>
      </c>
      <c r="G555" s="88" t="s">
        <v>19</v>
      </c>
      <c r="H555" s="63" t="str" cm="1">
        <f t="array" ref="H555">IF(A555&lt;&gt;"",_xlfn.XLOOKUP(_xlfn.NUMBERVALUE(A555),_xlfn.NUMBERVALUE(Inventários[Tombamento]),Inventários[Processo - localização específica]),"")</f>
        <v xml:space="preserve">Filtro 01 - comportas </v>
      </c>
      <c r="I555" s="1" t="str" cm="1">
        <f t="array" ref="I555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6" spans="1:9" ht="59.25" x14ac:dyDescent="0.15">
      <c r="A556" s="88" t="s">
        <v>575</v>
      </c>
      <c r="B556" s="88" t="s">
        <v>1057</v>
      </c>
      <c r="C556" s="88" t="s">
        <v>618</v>
      </c>
      <c r="D556" s="88" t="s">
        <v>17</v>
      </c>
      <c r="E556" s="88" t="s">
        <v>619</v>
      </c>
      <c r="F556" s="88" t="s">
        <v>18</v>
      </c>
      <c r="G556" s="88" t="s">
        <v>19</v>
      </c>
      <c r="H556" s="63" t="str" cm="1">
        <f t="array" ref="H556">IF(A556&lt;&gt;"",_xlfn.XLOOKUP(_xlfn.NUMBERVALUE(A556),_xlfn.NUMBERVALUE(Inventários[Tombamento]),Inventários[Processo - localização específica]),"")</f>
        <v xml:space="preserve">Filtro 01 - comportas </v>
      </c>
      <c r="I556" s="1" t="str" cm="1">
        <f t="array" ref="I556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1000 MM)</v>
      </c>
    </row>
    <row r="557" spans="1:9" ht="59.25" x14ac:dyDescent="0.15">
      <c r="A557" s="88" t="s">
        <v>576</v>
      </c>
      <c r="B557" s="88" t="s">
        <v>1058</v>
      </c>
      <c r="C557" s="88" t="s">
        <v>618</v>
      </c>
      <c r="D557" s="88" t="s">
        <v>17</v>
      </c>
      <c r="E557" s="88" t="s">
        <v>619</v>
      </c>
      <c r="F557" s="88" t="s">
        <v>18</v>
      </c>
      <c r="G557" s="88" t="s">
        <v>19</v>
      </c>
      <c r="H557" s="63" t="str" cm="1">
        <f t="array" ref="H557">IF(A557&lt;&gt;"",_xlfn.XLOOKUP(_xlfn.NUMBERVALUE(A557),_xlfn.NUMBERVALUE(Inventários[Tombamento]),Inventários[Processo - localização específica]),"")</f>
        <v>Floculador 04 - turbinas e comportas</v>
      </c>
      <c r="I557" s="1" t="str" cm="1">
        <f t="array" ref="I557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900 MM)</v>
      </c>
    </row>
    <row r="558" spans="1:9" ht="59.25" x14ac:dyDescent="0.15">
      <c r="A558" s="88" t="s">
        <v>578</v>
      </c>
      <c r="B558" s="88" t="s">
        <v>1058</v>
      </c>
      <c r="C558" s="88" t="s">
        <v>618</v>
      </c>
      <c r="D558" s="88" t="s">
        <v>17</v>
      </c>
      <c r="E558" s="88" t="s">
        <v>619</v>
      </c>
      <c r="F558" s="88" t="s">
        <v>18</v>
      </c>
      <c r="G558" s="88" t="s">
        <v>19</v>
      </c>
      <c r="H558" s="63" t="str" cm="1">
        <f t="array" ref="H558">IF(A558&lt;&gt;"",_xlfn.XLOOKUP(_xlfn.NUMBERVALUE(A558),_xlfn.NUMBERVALUE(Inventários[Tombamento]),Inventários[Processo - localização específica]),"")</f>
        <v>Floculador 04 - turbinas e comportas</v>
      </c>
      <c r="I558" s="1" t="str" cm="1">
        <f t="array" ref="I558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900 MM)</v>
      </c>
    </row>
    <row r="559" spans="1:9" ht="59.25" x14ac:dyDescent="0.15">
      <c r="A559" s="88" t="s">
        <v>579</v>
      </c>
      <c r="B559" s="88" t="s">
        <v>1058</v>
      </c>
      <c r="C559" s="88" t="s">
        <v>618</v>
      </c>
      <c r="D559" s="88" t="s">
        <v>17</v>
      </c>
      <c r="E559" s="88" t="s">
        <v>619</v>
      </c>
      <c r="F559" s="88" t="s">
        <v>18</v>
      </c>
      <c r="G559" s="88" t="s">
        <v>19</v>
      </c>
      <c r="H559" s="63" t="str" cm="1">
        <f t="array" ref="H559">IF(A559&lt;&gt;"",_xlfn.XLOOKUP(_xlfn.NUMBERVALUE(A559),_xlfn.NUMBERVALUE(Inventários[Tombamento]),Inventários[Processo - localização específica]),"")</f>
        <v>Floculador 03 - turbinas e comportas</v>
      </c>
      <c r="I559" s="1" t="str" cm="1">
        <f t="array" ref="I559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900 MM)</v>
      </c>
    </row>
    <row r="560" spans="1:9" ht="59.25" x14ac:dyDescent="0.15">
      <c r="A560" s="88" t="s">
        <v>580</v>
      </c>
      <c r="B560" s="88" t="s">
        <v>1058</v>
      </c>
      <c r="C560" s="88" t="s">
        <v>618</v>
      </c>
      <c r="D560" s="88" t="s">
        <v>17</v>
      </c>
      <c r="E560" s="88" t="s">
        <v>619</v>
      </c>
      <c r="F560" s="88" t="s">
        <v>18</v>
      </c>
      <c r="G560" s="88" t="s">
        <v>19</v>
      </c>
      <c r="H560" s="63" t="str" cm="1">
        <f t="array" ref="H560">IF(A560&lt;&gt;"",_xlfn.XLOOKUP(_xlfn.NUMBERVALUE(A560),_xlfn.NUMBERVALUE(Inventários[Tombamento]),Inventários[Processo - localização específica]),"")</f>
        <v>Floculador 03 - turbinas e comportas</v>
      </c>
      <c r="I560" s="1" t="str" cm="1">
        <f t="array" ref="I560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900 MM)</v>
      </c>
    </row>
    <row r="561" spans="1:9" ht="59.25" x14ac:dyDescent="0.15">
      <c r="A561" s="88" t="s">
        <v>581</v>
      </c>
      <c r="B561" s="88" t="s">
        <v>1059</v>
      </c>
      <c r="C561" s="88" t="s">
        <v>618</v>
      </c>
      <c r="D561" s="88" t="s">
        <v>17</v>
      </c>
      <c r="E561" s="88" t="s">
        <v>619</v>
      </c>
      <c r="F561" s="88" t="s">
        <v>18</v>
      </c>
      <c r="G561" s="88" t="s">
        <v>19</v>
      </c>
      <c r="H561" s="63" t="str" cm="1">
        <f t="array" ref="H561">IF(A561&lt;&gt;"",_xlfn.XLOOKUP(_xlfn.NUMBERVALUE(A561),_xlfn.NUMBERVALUE(Inventários[Tombamento]),Inventários[Processo - localização específica]),"")</f>
        <v>Floculador 02 - turbinas e comportas</v>
      </c>
      <c r="I561" s="1" t="str" cm="1">
        <f t="array" ref="I561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700 MM)</v>
      </c>
    </row>
    <row r="562" spans="1:9" ht="59.25" x14ac:dyDescent="0.15">
      <c r="A562" s="88" t="s">
        <v>583</v>
      </c>
      <c r="B562" s="88" t="s">
        <v>1059</v>
      </c>
      <c r="C562" s="88" t="s">
        <v>618</v>
      </c>
      <c r="D562" s="88" t="s">
        <v>17</v>
      </c>
      <c r="E562" s="88" t="s">
        <v>619</v>
      </c>
      <c r="F562" s="88" t="s">
        <v>18</v>
      </c>
      <c r="G562" s="88" t="s">
        <v>19</v>
      </c>
      <c r="H562" s="63" t="str" cm="1">
        <f t="array" ref="H562">IF(A562&lt;&gt;"",_xlfn.XLOOKUP(_xlfn.NUMBERVALUE(A562),_xlfn.NUMBERVALUE(Inventários[Tombamento]),Inventários[Processo - localização específica]),"")</f>
        <v>Floculador 02 - turbinas e comportas</v>
      </c>
      <c r="I562" s="1" t="str" cm="1">
        <f t="array" ref="I562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700 MM)</v>
      </c>
    </row>
    <row r="563" spans="1:9" ht="59.25" x14ac:dyDescent="0.15">
      <c r="A563" s="88" t="s">
        <v>584</v>
      </c>
      <c r="B563" s="88" t="s">
        <v>1059</v>
      </c>
      <c r="C563" s="88" t="s">
        <v>618</v>
      </c>
      <c r="D563" s="88" t="s">
        <v>17</v>
      </c>
      <c r="E563" s="88" t="s">
        <v>619</v>
      </c>
      <c r="F563" s="88" t="s">
        <v>18</v>
      </c>
      <c r="G563" s="88" t="s">
        <v>19</v>
      </c>
      <c r="H563" s="63" t="str" cm="1">
        <f t="array" ref="H563">IF(A563&lt;&gt;"",_xlfn.XLOOKUP(_xlfn.NUMBERVALUE(A563),_xlfn.NUMBERVALUE(Inventários[Tombamento]),Inventários[Processo - localização específica]),"")</f>
        <v>Floculador 01 - turbinas e comportas</v>
      </c>
      <c r="I563" s="1" t="str" cm="1">
        <f t="array" ref="I563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700 MM)</v>
      </c>
    </row>
    <row r="564" spans="1:9" ht="59.25" x14ac:dyDescent="0.15">
      <c r="A564" s="88" t="s">
        <v>585</v>
      </c>
      <c r="B564" s="88" t="s">
        <v>1059</v>
      </c>
      <c r="C564" s="88" t="s">
        <v>618</v>
      </c>
      <c r="D564" s="88" t="s">
        <v>17</v>
      </c>
      <c r="E564" s="88" t="s">
        <v>619</v>
      </c>
      <c r="F564" s="88" t="s">
        <v>18</v>
      </c>
      <c r="G564" s="88" t="s">
        <v>19</v>
      </c>
      <c r="H564" s="63" t="str" cm="1">
        <f t="array" ref="H564">IF(A564&lt;&gt;"",_xlfn.XLOOKUP(_xlfn.NUMBERVALUE(A564),_xlfn.NUMBERVALUE(Inventários[Tombamento]),Inventários[Processo - localização específica]),"")</f>
        <v>Floculador 01 - turbinas e comportas</v>
      </c>
      <c r="I564" s="1" t="str" cm="1">
        <f t="array" ref="I564">_xlfn.XLOOKUP(_xlfn.NUMBERVALUE(Carga[[#This Row],[Tombamento]]),_xlfn.NUMBERVALUE(Inventários[Tombamento]),Inventários[Descrição resumida do bem],"(A) Atenção Bem Não cadastrado")</f>
        <v>COMPORTA QUADRADA DE FERRO FUNDIDO DÚCTIL COM SENTIDO DUPLO DE FLUXO (DIÂMETRO DA SEÇÃO: 700 MM)</v>
      </c>
    </row>
    <row r="565" spans="1:9" ht="30" x14ac:dyDescent="0.15">
      <c r="A565" s="88" t="s">
        <v>586</v>
      </c>
      <c r="B565" s="88" t="s">
        <v>1060</v>
      </c>
      <c r="C565" s="88" t="s">
        <v>618</v>
      </c>
      <c r="D565" s="88" t="s">
        <v>17</v>
      </c>
      <c r="E565" s="88" t="s">
        <v>619</v>
      </c>
      <c r="F565" s="88" t="s">
        <v>18</v>
      </c>
      <c r="G565" s="88" t="s">
        <v>19</v>
      </c>
      <c r="H565" s="63" t="str" cm="1">
        <f t="array" ref="H565">IF(A565&lt;&gt;"",_xlfn.XLOOKUP(_xlfn.NUMBERVALUE(A565),_xlfn.NUMBERVALUE(Inventários[Tombamento]),Inventários[Processo - localização específica]),"")</f>
        <v>Prédio - operação</v>
      </c>
      <c r="I565" s="1" t="str" cm="1">
        <f t="array" ref="I565">_xlfn.XLOOKUP(_xlfn.NUMBERVALUE(Carga[[#This Row],[Tombamento]]),_xlfn.NUMBERVALUE(Inventários[Tombamento]),Inventários[Descrição resumida do bem],"(A) Atenção Bem Não cadastrado")</f>
        <v>SWITCH COM 24 PORTAS, CONFORME ESPECIFICAÇÕES.</v>
      </c>
    </row>
    <row r="566" spans="1:9" ht="49.5" x14ac:dyDescent="0.15">
      <c r="A566" s="88" t="s">
        <v>588</v>
      </c>
      <c r="B566" s="88" t="s">
        <v>589</v>
      </c>
      <c r="C566" s="88" t="s">
        <v>618</v>
      </c>
      <c r="D566" s="88" t="s">
        <v>17</v>
      </c>
      <c r="E566" s="88" t="s">
        <v>619</v>
      </c>
      <c r="F566" s="88" t="s">
        <v>18</v>
      </c>
      <c r="G566" s="88" t="s">
        <v>19</v>
      </c>
      <c r="H566" s="1" t="str" cm="1">
        <f t="array" ref="H566">IF(A566&lt;&gt;"",_xlfn.XLOOKUP(_xlfn.NUMBERVALUE(A566),_xlfn.NUMBERVALUE(Inventários[Tombamento]),Inventários[Processo - localização específica]),"")</f>
        <v>EAT - sala de cubículo</v>
      </c>
      <c r="I566" s="1" t="str" cm="1">
        <f t="array" ref="I566">_xlfn.XLOOKUP(_xlfn.NUMBERVALUE(Carga[[#This Row],[Tombamento]]),_xlfn.NUMBERVALUE(Inventários[Tombamento]),Inventários[Descrição resumida do bem],"(A) Atenção Bem Não cadastrado")</f>
        <v>QUADRO DE DISTRIBUIÇÃO DE ENERGIA DO GERADOR DE FORÇA EM B.T</v>
      </c>
    </row>
    <row r="567" spans="1:9" ht="30" x14ac:dyDescent="0.15">
      <c r="A567" s="88" t="s">
        <v>590</v>
      </c>
      <c r="B567" s="88" t="s">
        <v>591</v>
      </c>
      <c r="C567" s="88" t="s">
        <v>618</v>
      </c>
      <c r="D567" s="88" t="s">
        <v>17</v>
      </c>
      <c r="E567" s="88" t="s">
        <v>619</v>
      </c>
      <c r="F567" s="88" t="s">
        <v>18</v>
      </c>
      <c r="G567" s="88" t="s">
        <v>19</v>
      </c>
      <c r="H567" s="1" t="str" cm="1">
        <f t="array" ref="H567">IF(A567&lt;&gt;"",_xlfn.XLOOKUP(_xlfn.NUMBERVALUE(A567),_xlfn.NUMBERVALUE(Inventários[Tombamento]),Inventários[Processo - localização específica]),"")</f>
        <v>EAT - sala de cubículo</v>
      </c>
      <c r="I567" s="1" t="str" cm="1">
        <f t="array" ref="I567">_xlfn.XLOOKUP(_xlfn.NUMBERVALUE(Carga[[#This Row],[Tombamento]]),_xlfn.NUMBERVALUE(Inventários[Tombamento]),Inventários[Descrição resumida do bem],"(A) Atenção Bem Não cadastrado")</f>
        <v>QUADRO DE FORÇA, LUZ E DISTRIBUIÇÃO DO NO-BREAK</v>
      </c>
    </row>
    <row r="568" spans="1:9" ht="59.25" x14ac:dyDescent="0.15">
      <c r="A568" s="88" t="s">
        <v>592</v>
      </c>
      <c r="B568" s="88" t="s">
        <v>593</v>
      </c>
      <c r="C568" s="88" t="s">
        <v>618</v>
      </c>
      <c r="D568" s="88" t="s">
        <v>17</v>
      </c>
      <c r="E568" s="88" t="s">
        <v>619</v>
      </c>
      <c r="F568" s="88" t="s">
        <v>18</v>
      </c>
      <c r="G568" s="88" t="s">
        <v>19</v>
      </c>
      <c r="H568" s="1" t="str" cm="1">
        <f t="array" ref="H568">IF(A568&lt;&gt;"",_xlfn.XLOOKUP(_xlfn.NUMBERVALUE(A568),_xlfn.NUMBERVALUE(Inventários[Tombamento]),Inventários[Processo - localização específica]),"")</f>
        <v>EAT - sala de cubículo</v>
      </c>
      <c r="I568" s="1" t="str" cm="1">
        <f t="array" ref="I568">_xlfn.XLOOKUP(_xlfn.NUMBERVALUE(Carga[[#This Row],[Tombamento]]),_xlfn.NUMBERVALUE(Inventários[Tombamento]),Inventários[Descrição resumida do bem],"(A) Atenção Bem Não cadastrado")</f>
        <v>QUADRO DE FORÇA, COMANDO E CONTROLE, INCLUINDO DISJUNTORES, MEDIDOR</v>
      </c>
    </row>
    <row r="569" spans="1:9" ht="20.25" x14ac:dyDescent="0.15">
      <c r="A569" s="88" t="s">
        <v>594</v>
      </c>
      <c r="B569" s="88" t="s">
        <v>595</v>
      </c>
      <c r="C569" s="88" t="s">
        <v>618</v>
      </c>
      <c r="D569" s="88" t="s">
        <v>17</v>
      </c>
      <c r="E569" s="88" t="s">
        <v>619</v>
      </c>
      <c r="F569" s="88" t="s">
        <v>18</v>
      </c>
      <c r="G569" s="88" t="s">
        <v>19</v>
      </c>
      <c r="H569" s="1" t="str" cm="1">
        <f t="array" ref="H569">IF(A569&lt;&gt;"",_xlfn.XLOOKUP(_xlfn.NUMBERVALUE(A569),_xlfn.NUMBERVALUE(Inventários[Tombamento]),Inventários[Processo - localização específica]),"")</f>
        <v>EAT - sala de cubículo</v>
      </c>
      <c r="I569" s="1" t="str" cm="1">
        <f t="array" ref="I569">_xlfn.XLOOKUP(_xlfn.NUMBERVALUE(Carga[[#This Row],[Tombamento]]),_xlfn.NUMBERVALUE(Inventários[Tombamento]),Inventários[Descrição resumida do bem],"(A) Atenção Bem Não cadastrado")</f>
        <v xml:space="preserve"> QUADRO DE FORÇA</v>
      </c>
    </row>
    <row r="570" spans="1:9" ht="20.25" x14ac:dyDescent="0.15">
      <c r="A570" s="88" t="s">
        <v>602</v>
      </c>
      <c r="B570" s="88" t="s">
        <v>1061</v>
      </c>
      <c r="C570" s="88" t="s">
        <v>618</v>
      </c>
      <c r="D570" s="88" t="s">
        <v>17</v>
      </c>
      <c r="E570" s="88" t="s">
        <v>619</v>
      </c>
      <c r="F570" s="88" t="s">
        <v>18</v>
      </c>
      <c r="G570" s="88" t="s">
        <v>19</v>
      </c>
      <c r="H570" s="1" t="str" cm="1">
        <f t="array" ref="H570">IF(A570&lt;&gt;"",_xlfn.XLOOKUP(_xlfn.NUMBERVALUE(A570),_xlfn.NUMBERVALUE(Inventários[Tombamento]),Inventários[Processo - localização específica]),"")</f>
        <v>Prédio - depósito de bens</v>
      </c>
      <c r="I570" s="1" t="str" cm="1">
        <f t="array" ref="I570">_xlfn.XLOOKUP(_xlfn.NUMBERVALUE(Carga[[#This Row],[Tombamento]]),_xlfn.NUMBERVALUE(Inventários[Tombamento]),Inventários[Descrição resumida do bem],"(A) Atenção Bem Não cadastrado")</f>
        <v xml:space="preserve"> MEDIDOR DE TURBIDEZ TU5300SC</v>
      </c>
    </row>
    <row r="571" spans="1:9" ht="20.25" x14ac:dyDescent="0.15">
      <c r="A571" s="88" t="s">
        <v>604</v>
      </c>
      <c r="B571" s="88" t="s">
        <v>1061</v>
      </c>
      <c r="C571" s="88" t="s">
        <v>618</v>
      </c>
      <c r="D571" s="88" t="s">
        <v>17</v>
      </c>
      <c r="E571" s="88" t="s">
        <v>619</v>
      </c>
      <c r="F571" s="88" t="s">
        <v>18</v>
      </c>
      <c r="G571" s="88" t="s">
        <v>19</v>
      </c>
      <c r="H571" s="1" t="str" cm="1">
        <f t="array" ref="H571">IF(A571&lt;&gt;"",_xlfn.XLOOKUP(_xlfn.NUMBERVALUE(A571),_xlfn.NUMBERVALUE(Inventários[Tombamento]),Inventários[Processo - localização específica]),"")</f>
        <v>Prédio - depósito de bens</v>
      </c>
      <c r="I571" s="1" t="str" cm="1">
        <f t="array" ref="I571">_xlfn.XLOOKUP(_xlfn.NUMBERVALUE(Carga[[#This Row],[Tombamento]]),_xlfn.NUMBERVALUE(Inventários[Tombamento]),Inventários[Descrição resumida do bem],"(A) Atenção Bem Não cadastrado")</f>
        <v xml:space="preserve"> MEDIDOR DE TURBIDEZ TU5300SC</v>
      </c>
    </row>
    <row r="572" spans="1:9" ht="20.25" x14ac:dyDescent="0.15">
      <c r="A572" s="88" t="s">
        <v>605</v>
      </c>
      <c r="B572" s="88" t="s">
        <v>1061</v>
      </c>
      <c r="C572" s="88" t="s">
        <v>618</v>
      </c>
      <c r="D572" s="88" t="s">
        <v>17</v>
      </c>
      <c r="E572" s="88" t="s">
        <v>619</v>
      </c>
      <c r="F572" s="88" t="s">
        <v>18</v>
      </c>
      <c r="G572" s="88" t="s">
        <v>19</v>
      </c>
      <c r="H572" s="1" t="str" cm="1">
        <f t="array" ref="H572">IF(A572&lt;&gt;"",_xlfn.XLOOKUP(_xlfn.NUMBERVALUE(A572),_xlfn.NUMBERVALUE(Inventários[Tombamento]),Inventários[Processo - localização específica]),"")</f>
        <v>Prédio - depósito de bens</v>
      </c>
      <c r="I572" s="1" t="str" cm="1">
        <f t="array" ref="I572">_xlfn.XLOOKUP(_xlfn.NUMBERVALUE(Carga[[#This Row],[Tombamento]]),_xlfn.NUMBERVALUE(Inventários[Tombamento]),Inventários[Descrição resumida do bem],"(A) Atenção Bem Não cadastrado")</f>
        <v xml:space="preserve"> MEDIDOR DE TURBIDEZ TU5300SC</v>
      </c>
    </row>
    <row r="573" spans="1:9" ht="20.25" x14ac:dyDescent="0.15">
      <c r="A573" s="88" t="s">
        <v>606</v>
      </c>
      <c r="B573" s="88" t="s">
        <v>1061</v>
      </c>
      <c r="C573" s="88" t="s">
        <v>618</v>
      </c>
      <c r="D573" s="88" t="s">
        <v>17</v>
      </c>
      <c r="E573" s="88" t="s">
        <v>619</v>
      </c>
      <c r="F573" s="88" t="s">
        <v>18</v>
      </c>
      <c r="G573" s="88" t="s">
        <v>19</v>
      </c>
      <c r="H573" s="1" t="str" cm="1">
        <f t="array" ref="H573">IF(A573&lt;&gt;"",_xlfn.XLOOKUP(_xlfn.NUMBERVALUE(A573),_xlfn.NUMBERVALUE(Inventários[Tombamento]),Inventários[Processo - localização específica]),"")</f>
        <v>Prédio - depósito de bens</v>
      </c>
      <c r="I573" s="1" t="str" cm="1">
        <f t="array" ref="I573">_xlfn.XLOOKUP(_xlfn.NUMBERVALUE(Carga[[#This Row],[Tombamento]]),_xlfn.NUMBERVALUE(Inventários[Tombamento]),Inventários[Descrição resumida do bem],"(A) Atenção Bem Não cadastrado")</f>
        <v xml:space="preserve"> MEDIDOR DE TURBIDEZ TU5300SC</v>
      </c>
    </row>
    <row r="574" spans="1:9" ht="30" x14ac:dyDescent="0.15">
      <c r="A574" s="88" t="s">
        <v>979</v>
      </c>
      <c r="B574" s="88" t="s">
        <v>980</v>
      </c>
      <c r="C574" s="88" t="s">
        <v>618</v>
      </c>
      <c r="D574" s="88" t="s">
        <v>17</v>
      </c>
      <c r="E574" s="88" t="s">
        <v>619</v>
      </c>
      <c r="F574" s="88" t="s">
        <v>18</v>
      </c>
      <c r="G574" s="88" t="s">
        <v>19</v>
      </c>
      <c r="H574" s="1" t="str" cm="1">
        <f t="array" ref="H574">IF(A574&lt;&gt;"",_xlfn.XLOOKUP(_xlfn.NUMBERVALUE(A574),_xlfn.NUMBERVALUE(Inventários[Tombamento]),Inventários[Processo - localização específica]),"")</f>
        <v>Bloco hidráulico - analisadores d'água bruta</v>
      </c>
      <c r="I574" s="1" t="str" cm="1">
        <f t="array" ref="I574">_xlfn.XLOOKUP(_xlfn.NUMBERVALUE(Carga[[#This Row],[Tombamento]]),_xlfn.NUMBERVALUE(Inventários[Tombamento]),Inventários[Descrição resumida do bem],"(A) Atenção Bem Não cadastrado")</f>
        <v xml:space="preserve"> MEDIDOR DE VAZÃO MARCA NIVUS - Nº/S 2224NF61514</v>
      </c>
    </row>
    <row r="575" spans="1:9" ht="30" x14ac:dyDescent="0.15">
      <c r="A575" s="89" t="s">
        <v>1062</v>
      </c>
      <c r="B575" s="88" t="s">
        <v>1063</v>
      </c>
      <c r="C575" s="88" t="s">
        <v>618</v>
      </c>
      <c r="D575" s="88" t="s">
        <v>17</v>
      </c>
      <c r="E575" s="88" t="s">
        <v>619</v>
      </c>
      <c r="F575" s="88" t="s">
        <v>18</v>
      </c>
      <c r="G575" s="88" t="s">
        <v>19</v>
      </c>
      <c r="H575" s="90" t="str" cm="1">
        <f t="array" ref="H575">IF(A575&lt;&gt;"",_xlfn.XLOOKUP(_xlfn.NUMBERVALUE(A575),_xlfn.NUMBERVALUE(Inventários[Tombamento]),Inventários[Processo - localização específica]),"")</f>
        <v>Bloco hidráulico - analisadores d'água bruta</v>
      </c>
      <c r="I575" s="90" t="str" cm="1">
        <f t="array" ref="I575">_xlfn.XLOOKUP(_xlfn.NUMBERVALUE(Carga[[#This Row],[Tombamento]]),_xlfn.NUMBERVALUE(Inventários[Tombamento]),Inventários[Descrição resumida do bem],"(A) Atenção Bem Não cadastrado")</f>
        <v xml:space="preserve">ANALISADOR DE CARGA </v>
      </c>
    </row>
  </sheetData>
  <mergeCells count="6">
    <mergeCell ref="A6:G6"/>
    <mergeCell ref="A1:E1"/>
    <mergeCell ref="A2:E2"/>
    <mergeCell ref="A3:E3"/>
    <mergeCell ref="A4:G4"/>
    <mergeCell ref="A5:G5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8C5-39CA-420B-8EFD-855BA661C649}">
  <sheetPr codeName="Planilha3"/>
  <dimension ref="A1:R572"/>
  <sheetViews>
    <sheetView tabSelected="1" workbookViewId="0">
      <selection activeCell="Q42" sqref="Q42"/>
    </sheetView>
  </sheetViews>
  <sheetFormatPr defaultRowHeight="12.75" x14ac:dyDescent="0.15"/>
  <cols>
    <col min="1" max="1" width="17.6640625" bestFit="1" customWidth="1"/>
    <col min="2" max="2" width="39.10546875" hidden="1" customWidth="1"/>
    <col min="3" max="3" width="34.7890625" bestFit="1" customWidth="1"/>
    <col min="4" max="4" width="15.77734375" hidden="1" customWidth="1"/>
    <col min="5" max="5" width="20.6328125" hidden="1" customWidth="1"/>
    <col min="6" max="6" width="26.8359375" hidden="1" customWidth="1"/>
    <col min="7" max="7" width="23.05859375" hidden="1" customWidth="1"/>
    <col min="8" max="8" width="33.578125" hidden="1" customWidth="1"/>
    <col min="9" max="9" width="16.71875" customWidth="1"/>
    <col min="10" max="10" width="34.38671875" bestFit="1" customWidth="1"/>
    <col min="11" max="11" width="24.00390625" style="60" hidden="1" customWidth="1"/>
    <col min="12" max="12" width="37.21875" hidden="1" customWidth="1"/>
    <col min="13" max="13" width="15.640625" style="60" hidden="1" customWidth="1"/>
    <col min="14" max="14" width="27.9140625" hidden="1" customWidth="1"/>
    <col min="15" max="15" width="17.52734375" style="81" hidden="1" customWidth="1"/>
    <col min="16" max="16" width="17.39453125" style="79" hidden="1" customWidth="1"/>
    <col min="17" max="18" width="17.39453125" style="79" customWidth="1"/>
  </cols>
  <sheetData>
    <row r="1" spans="1:18" ht="19.149999999999999" customHeight="1" x14ac:dyDescent="0.15">
      <c r="A1" s="102" t="s">
        <v>986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87"/>
      <c r="R1" s="87"/>
    </row>
    <row r="2" spans="1:18" ht="18" customHeight="1" x14ac:dyDescent="0.15">
      <c r="A2" s="102" t="s">
        <v>1066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87"/>
      <c r="R2" s="87"/>
    </row>
    <row r="3" spans="1:18" ht="18.600000000000001" customHeight="1" x14ac:dyDescent="0.15">
      <c r="A3" s="102" t="s">
        <v>1067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87"/>
      <c r="R3" s="87"/>
    </row>
    <row r="4" spans="1:18" ht="25.15" customHeight="1" x14ac:dyDescent="0.15">
      <c r="A4" s="49" t="s">
        <v>9</v>
      </c>
      <c r="B4" s="50" t="s">
        <v>204</v>
      </c>
      <c r="C4" s="51" t="s">
        <v>202</v>
      </c>
      <c r="D4" s="51" t="s">
        <v>464</v>
      </c>
      <c r="E4" s="52" t="s">
        <v>192</v>
      </c>
      <c r="F4" s="52" t="s">
        <v>195</v>
      </c>
      <c r="G4" s="52" t="s">
        <v>198</v>
      </c>
      <c r="H4" s="52" t="s">
        <v>200</v>
      </c>
      <c r="I4" s="52" t="s">
        <v>208</v>
      </c>
      <c r="J4" s="53" t="s">
        <v>209</v>
      </c>
      <c r="K4" s="59" t="s">
        <v>607</v>
      </c>
      <c r="L4" s="54" t="s">
        <v>967</v>
      </c>
      <c r="M4" s="59" t="s">
        <v>993</v>
      </c>
      <c r="N4" s="85" t="s">
        <v>992</v>
      </c>
      <c r="O4" s="59" t="s">
        <v>984</v>
      </c>
      <c r="P4" s="54" t="s">
        <v>983</v>
      </c>
      <c r="Q4" s="85" t="s">
        <v>1064</v>
      </c>
      <c r="R4" s="85" t="s">
        <v>1065</v>
      </c>
    </row>
    <row r="5" spans="1:18" ht="25.5" x14ac:dyDescent="0.35">
      <c r="A5" s="48">
        <v>63918</v>
      </c>
      <c r="B5" s="47" t="str" cm="1">
        <f t="array" ref="B5">IF(A5&lt;&gt;"",_xlfn.XLOOKUP(_xlfn.NUMBERVALUE(A5),_xlfn.NUMBERVALUE(Carga[Tombamento]),Carga[Descrição do Bem]),"")</f>
        <v>POLTRONA POLTRONA PARA POSTO DE TRABALHO GERENCIA</v>
      </c>
      <c r="C5" s="39" t="str">
        <f>MID(B5,9,50)</f>
        <v xml:space="preserve"> POLTRONA PARA POSTO DE TRABALHO GERENCIA</v>
      </c>
      <c r="E5" s="42" t="s">
        <v>205</v>
      </c>
      <c r="F5" s="41" t="s">
        <v>196</v>
      </c>
      <c r="G5" s="41" t="s">
        <v>199</v>
      </c>
      <c r="H5" s="41" t="s">
        <v>201</v>
      </c>
      <c r="I5" s="41" t="s">
        <v>36</v>
      </c>
      <c r="J5" s="40" t="s">
        <v>81</v>
      </c>
      <c r="K5" s="60">
        <v>45422</v>
      </c>
      <c r="O5" s="82">
        <v>45560</v>
      </c>
      <c r="Q5" s="96"/>
    </row>
    <row r="6" spans="1:18" ht="25.5" x14ac:dyDescent="0.35">
      <c r="A6" s="48">
        <v>63919</v>
      </c>
      <c r="B6" s="39" t="str" cm="1">
        <f t="array" ref="B6">IF(A6&lt;&gt;"",_xlfn.XLOOKUP(_xlfn.NUMBERVALUE(A6),_xlfn.NUMBERVALUE(Carga[Tombamento]),Carga[Descrição do Bem]),"")</f>
        <v>POLTRONA POLTRONA PARA POSTO DE TRABALHO GERENCIA</v>
      </c>
      <c r="C6" s="39" t="str">
        <f t="shared" ref="C6:C38" si="0">MID(B6,9,50)</f>
        <v xml:space="preserve"> POLTRONA PARA POSTO DE TRABALHO GERENCIA</v>
      </c>
      <c r="E6" s="42" t="s">
        <v>205</v>
      </c>
      <c r="F6" s="43" t="s">
        <v>197</v>
      </c>
      <c r="G6" s="43" t="s">
        <v>199</v>
      </c>
      <c r="H6" s="41" t="s">
        <v>201</v>
      </c>
      <c r="I6" s="43" t="s">
        <v>36</v>
      </c>
      <c r="J6" s="40" t="s">
        <v>77</v>
      </c>
      <c r="K6" s="60">
        <v>45422</v>
      </c>
      <c r="O6" s="82">
        <v>45560</v>
      </c>
      <c r="Q6" s="96"/>
    </row>
    <row r="7" spans="1:18" ht="25.5" x14ac:dyDescent="0.35">
      <c r="A7" s="48">
        <v>63920</v>
      </c>
      <c r="B7" s="39" t="str" cm="1">
        <f t="array" ref="B7">IF(A7&lt;&gt;"",_xlfn.XLOOKUP(_xlfn.NUMBERVALUE(A7),_xlfn.NUMBERVALUE(Carga[Tombamento]),Carga[Descrição do Bem]),"")</f>
        <v>POLTRONA POLTRONA PARA POSTO DE TRABALHO GERENCIA</v>
      </c>
      <c r="C7" s="39" t="str">
        <f t="shared" si="0"/>
        <v xml:space="preserve"> POLTRONA PARA POSTO DE TRABALHO GERENCIA</v>
      </c>
      <c r="E7" s="42" t="s">
        <v>205</v>
      </c>
      <c r="F7" s="41" t="s">
        <v>197</v>
      </c>
      <c r="G7" s="41" t="s">
        <v>199</v>
      </c>
      <c r="H7" s="41" t="s">
        <v>201</v>
      </c>
      <c r="I7" s="41" t="s">
        <v>36</v>
      </c>
      <c r="J7" s="40" t="s">
        <v>76</v>
      </c>
      <c r="K7" s="60">
        <v>45422</v>
      </c>
      <c r="M7" s="60">
        <v>45712</v>
      </c>
      <c r="O7" s="82">
        <v>45558</v>
      </c>
      <c r="Q7" s="96"/>
    </row>
    <row r="8" spans="1:18" ht="25.5" x14ac:dyDescent="0.35">
      <c r="A8" s="48">
        <v>63934</v>
      </c>
      <c r="B8" s="39" t="str" cm="1">
        <f t="array" ref="B8">IF(A8&lt;&gt;"",_xlfn.XLOOKUP(_xlfn.NUMBERVALUE(A8),_xlfn.NUMBERVALUE(Carga[Tombamento]),Carga[Descrição do Bem]),"")</f>
        <v>POLTRONA POLTRONA PARA INTERLOCUTOR REUNIÃO</v>
      </c>
      <c r="C8" s="39" t="str">
        <f t="shared" si="0"/>
        <v xml:space="preserve"> POLTRONA PARA INTERLOCUTOR REUNIÃO</v>
      </c>
      <c r="E8" s="42" t="s">
        <v>205</v>
      </c>
      <c r="F8" s="43" t="s">
        <v>197</v>
      </c>
      <c r="G8" s="43" t="s">
        <v>199</v>
      </c>
      <c r="H8" s="41" t="s">
        <v>201</v>
      </c>
      <c r="I8" s="43" t="s">
        <v>36</v>
      </c>
      <c r="J8" s="40" t="s">
        <v>80</v>
      </c>
      <c r="K8" s="60">
        <v>45422</v>
      </c>
      <c r="O8" s="82">
        <v>45560</v>
      </c>
      <c r="Q8" s="96"/>
    </row>
    <row r="9" spans="1:18" ht="25.5" x14ac:dyDescent="0.35">
      <c r="A9" s="48">
        <v>63935</v>
      </c>
      <c r="B9" s="39" t="str" cm="1">
        <f t="array" ref="B9">IF(A9&lt;&gt;"",_xlfn.XLOOKUP(_xlfn.NUMBERVALUE(A9),_xlfn.NUMBERVALUE(Carga[Tombamento]),Carga[Descrição do Bem]),"")</f>
        <v>POLTRONA POLTRONA PARA INTERLOCUTOR REUNIÃO</v>
      </c>
      <c r="C9" s="39" t="str">
        <f t="shared" si="0"/>
        <v xml:space="preserve"> POLTRONA PARA INTERLOCUTOR REUNIÃO</v>
      </c>
      <c r="E9" s="42" t="s">
        <v>205</v>
      </c>
      <c r="F9" s="41" t="s">
        <v>197</v>
      </c>
      <c r="G9" s="41" t="s">
        <v>199</v>
      </c>
      <c r="H9" s="41" t="s">
        <v>201</v>
      </c>
      <c r="I9" s="41" t="s">
        <v>36</v>
      </c>
      <c r="J9" s="40" t="s">
        <v>76</v>
      </c>
      <c r="K9" s="60">
        <v>45422</v>
      </c>
      <c r="M9" s="60">
        <v>45712</v>
      </c>
      <c r="O9" s="82">
        <v>45558</v>
      </c>
      <c r="Q9" s="96"/>
    </row>
    <row r="10" spans="1:18" ht="25.5" x14ac:dyDescent="0.35">
      <c r="A10" s="48">
        <v>63936</v>
      </c>
      <c r="B10" s="39" t="str" cm="1">
        <f t="array" ref="B10">IF(A10&lt;&gt;"",_xlfn.XLOOKUP(_xlfn.NUMBERVALUE(A10),_xlfn.NUMBERVALUE(Carga[Tombamento]),Carga[Descrição do Bem]),"")</f>
        <v>POLTRONA POLTRONA PARA INTERLOCUTOR REUNIÃO</v>
      </c>
      <c r="C10" s="39" t="str">
        <f t="shared" si="0"/>
        <v xml:space="preserve"> POLTRONA PARA INTERLOCUTOR REUNIÃO</v>
      </c>
      <c r="E10" s="42" t="s">
        <v>205</v>
      </c>
      <c r="F10" s="43" t="s">
        <v>197</v>
      </c>
      <c r="G10" s="43" t="s">
        <v>199</v>
      </c>
      <c r="H10" s="41" t="s">
        <v>201</v>
      </c>
      <c r="I10" s="43" t="s">
        <v>36</v>
      </c>
      <c r="J10" s="40" t="s">
        <v>981</v>
      </c>
      <c r="K10" s="60">
        <v>45422</v>
      </c>
      <c r="O10" s="82">
        <v>45558</v>
      </c>
      <c r="Q10" s="96"/>
    </row>
    <row r="11" spans="1:18" ht="25.5" x14ac:dyDescent="0.35">
      <c r="A11" s="48">
        <v>63937</v>
      </c>
      <c r="B11" s="39" t="str" cm="1">
        <f t="array" ref="B11">IF(A11&lt;&gt;"",_xlfn.XLOOKUP(_xlfn.NUMBERVALUE(A11),_xlfn.NUMBERVALUE(Carga[Tombamento]),Carga[Descrição do Bem]),"")</f>
        <v>POLTRONA POLTRONA PARA INTERLOCUTOR REUNIÃO</v>
      </c>
      <c r="C11" s="39" t="str">
        <f t="shared" si="0"/>
        <v xml:space="preserve"> POLTRONA PARA INTERLOCUTOR REUNIÃO</v>
      </c>
      <c r="E11" s="42" t="s">
        <v>205</v>
      </c>
      <c r="F11" s="41" t="s">
        <v>197</v>
      </c>
      <c r="G11" s="41" t="s">
        <v>199</v>
      </c>
      <c r="H11" s="41" t="s">
        <v>201</v>
      </c>
      <c r="I11" s="41" t="s">
        <v>36</v>
      </c>
      <c r="J11" s="40" t="s">
        <v>76</v>
      </c>
      <c r="K11" s="60">
        <v>45422</v>
      </c>
      <c r="M11" s="60">
        <v>45712</v>
      </c>
      <c r="O11" s="82">
        <v>45558</v>
      </c>
      <c r="Q11" s="96"/>
    </row>
    <row r="12" spans="1:18" ht="25.5" x14ac:dyDescent="0.35">
      <c r="A12" s="48">
        <v>63938</v>
      </c>
      <c r="B12" s="39" t="str" cm="1">
        <f t="array" ref="B12">IF(A12&lt;&gt;"",_xlfn.XLOOKUP(_xlfn.NUMBERVALUE(A12),_xlfn.NUMBERVALUE(Carga[Tombamento]),Carga[Descrição do Bem]),"")</f>
        <v>POLTRONA POLTRONA PARA INTERLOCUTOR REUNIÃO</v>
      </c>
      <c r="C12" s="39" t="str">
        <f t="shared" si="0"/>
        <v xml:space="preserve"> POLTRONA PARA INTERLOCUTOR REUNIÃO</v>
      </c>
      <c r="E12" s="42" t="s">
        <v>205</v>
      </c>
      <c r="F12" s="43" t="s">
        <v>207</v>
      </c>
      <c r="G12" s="43" t="s">
        <v>199</v>
      </c>
      <c r="H12" s="41" t="s">
        <v>201</v>
      </c>
      <c r="I12" s="43" t="s">
        <v>36</v>
      </c>
      <c r="J12" s="40" t="s">
        <v>212</v>
      </c>
      <c r="K12" s="60">
        <v>45422</v>
      </c>
      <c r="O12" s="82">
        <v>45560</v>
      </c>
      <c r="Q12" s="96"/>
    </row>
    <row r="13" spans="1:18" ht="25.5" x14ac:dyDescent="0.35">
      <c r="A13" s="48">
        <v>63939</v>
      </c>
      <c r="B13" s="39" t="str" cm="1">
        <f t="array" ref="B13">IF(A13&lt;&gt;"",_xlfn.XLOOKUP(_xlfn.NUMBERVALUE(A13),_xlfn.NUMBERVALUE(Carga[Tombamento]),Carga[Descrição do Bem]),"")</f>
        <v>POLTRONA POLTRONA PARA INTERLOCUTOR REUNIÃO</v>
      </c>
      <c r="C13" s="39" t="str">
        <f t="shared" si="0"/>
        <v xml:space="preserve"> POLTRONA PARA INTERLOCUTOR REUNIÃO</v>
      </c>
      <c r="E13" s="42" t="s">
        <v>205</v>
      </c>
      <c r="F13" s="41" t="s">
        <v>197</v>
      </c>
      <c r="G13" s="41" t="s">
        <v>199</v>
      </c>
      <c r="H13" s="41" t="s">
        <v>201</v>
      </c>
      <c r="I13" s="41" t="s">
        <v>36</v>
      </c>
      <c r="J13" s="40" t="s">
        <v>76</v>
      </c>
      <c r="K13" s="60">
        <v>45422</v>
      </c>
      <c r="M13" s="60">
        <v>45712</v>
      </c>
      <c r="O13" s="82">
        <v>45558</v>
      </c>
      <c r="Q13" s="96"/>
    </row>
    <row r="14" spans="1:18" ht="25.5" x14ac:dyDescent="0.35">
      <c r="A14" s="48">
        <v>63940</v>
      </c>
      <c r="B14" s="39" t="str" cm="1">
        <f t="array" ref="B14">IF(A14&lt;&gt;"",_xlfn.XLOOKUP(_xlfn.NUMBERVALUE(A14),_xlfn.NUMBERVALUE(Carga[Tombamento]),Carga[Descrição do Bem]),"")</f>
        <v>POLTRONA POLTRONA PARA INTERLOCUTOR REUNIÃO</v>
      </c>
      <c r="C14" s="39" t="str">
        <f t="shared" si="0"/>
        <v xml:space="preserve"> POLTRONA PARA INTERLOCUTOR REUNIÃO</v>
      </c>
      <c r="E14" s="42" t="s">
        <v>205</v>
      </c>
      <c r="F14" s="43" t="s">
        <v>197</v>
      </c>
      <c r="G14" s="43" t="s">
        <v>199</v>
      </c>
      <c r="H14" s="41" t="s">
        <v>201</v>
      </c>
      <c r="I14" s="43" t="s">
        <v>36</v>
      </c>
      <c r="J14" s="40" t="s">
        <v>76</v>
      </c>
      <c r="K14" s="60">
        <v>45422</v>
      </c>
      <c r="M14" s="60">
        <v>45712</v>
      </c>
      <c r="O14" s="82">
        <v>45558</v>
      </c>
      <c r="Q14" s="96"/>
    </row>
    <row r="15" spans="1:18" ht="25.5" x14ac:dyDescent="0.35">
      <c r="A15" s="48">
        <v>63942</v>
      </c>
      <c r="B15" s="39" t="str" cm="1">
        <f t="array" ref="B15">IF(A15&lt;&gt;"",_xlfn.XLOOKUP(_xlfn.NUMBERVALUE(A15),_xlfn.NUMBERVALUE(Carga[Tombamento]),Carga[Descrição do Bem]),"")</f>
        <v>POLTRONA POLTRONA PARA INTERLOCUTOR REUNIÃO</v>
      </c>
      <c r="C15" s="39" t="str">
        <f t="shared" si="0"/>
        <v xml:space="preserve"> POLTRONA PARA INTERLOCUTOR REUNIÃO</v>
      </c>
      <c r="E15" s="42" t="s">
        <v>205</v>
      </c>
      <c r="F15" s="41" t="s">
        <v>197</v>
      </c>
      <c r="G15" s="41" t="s">
        <v>199</v>
      </c>
      <c r="H15" s="41" t="s">
        <v>201</v>
      </c>
      <c r="I15" s="41" t="s">
        <v>36</v>
      </c>
      <c r="J15" s="40" t="s">
        <v>76</v>
      </c>
      <c r="K15" s="60">
        <v>45422</v>
      </c>
      <c r="M15" s="60">
        <v>45712</v>
      </c>
      <c r="O15" s="82">
        <v>45558</v>
      </c>
      <c r="Q15" s="96"/>
    </row>
    <row r="16" spans="1:18" ht="25.5" x14ac:dyDescent="0.35">
      <c r="A16" s="48">
        <v>63943</v>
      </c>
      <c r="B16" s="39" t="str" cm="1">
        <f t="array" ref="B16">IF(A16&lt;&gt;"",_xlfn.XLOOKUP(_xlfn.NUMBERVALUE(A16),_xlfn.NUMBERVALUE(Carga[Tombamento]),Carga[Descrição do Bem]),"")</f>
        <v>POLTRONA POLTRONA PARA INTERLOCUTOR REUNIÃO</v>
      </c>
      <c r="C16" s="39" t="str">
        <f t="shared" si="0"/>
        <v xml:space="preserve"> POLTRONA PARA INTERLOCUTOR REUNIÃO</v>
      </c>
      <c r="E16" s="42" t="s">
        <v>205</v>
      </c>
      <c r="F16" s="43" t="s">
        <v>197</v>
      </c>
      <c r="G16" s="43" t="s">
        <v>199</v>
      </c>
      <c r="H16" s="41" t="s">
        <v>201</v>
      </c>
      <c r="I16" s="43" t="s">
        <v>36</v>
      </c>
      <c r="J16" s="40" t="s">
        <v>76</v>
      </c>
      <c r="K16" s="60">
        <v>45422</v>
      </c>
      <c r="M16" s="60">
        <v>45712</v>
      </c>
      <c r="O16" s="82">
        <v>45558</v>
      </c>
      <c r="Q16" s="96"/>
    </row>
    <row r="17" spans="1:17" ht="25.5" x14ac:dyDescent="0.35">
      <c r="A17" s="48">
        <v>63944</v>
      </c>
      <c r="B17" s="39" t="str" cm="1">
        <f t="array" ref="B17">IF(A17&lt;&gt;"",_xlfn.XLOOKUP(_xlfn.NUMBERVALUE(A17),_xlfn.NUMBERVALUE(Carga[Tombamento]),Carga[Descrição do Bem]),"")</f>
        <v>POLTRONA POLTRONA PARA INTERLOCUTOR REUNIÃO</v>
      </c>
      <c r="C17" s="39" t="str">
        <f t="shared" si="0"/>
        <v xml:space="preserve"> POLTRONA PARA INTERLOCUTOR REUNIÃO</v>
      </c>
      <c r="E17" s="42" t="s">
        <v>205</v>
      </c>
      <c r="F17" s="41" t="s">
        <v>197</v>
      </c>
      <c r="G17" s="41" t="s">
        <v>199</v>
      </c>
      <c r="H17" s="41" t="s">
        <v>201</v>
      </c>
      <c r="I17" s="41" t="s">
        <v>36</v>
      </c>
      <c r="J17" s="40" t="s">
        <v>76</v>
      </c>
      <c r="K17" s="60">
        <v>45422</v>
      </c>
      <c r="M17" s="60">
        <v>45712</v>
      </c>
      <c r="O17" s="82">
        <v>45558</v>
      </c>
      <c r="Q17" s="96"/>
    </row>
    <row r="18" spans="1:17" ht="25.5" x14ac:dyDescent="0.35">
      <c r="A18" s="48">
        <v>63945</v>
      </c>
      <c r="B18" s="39" t="str" cm="1">
        <f t="array" ref="B18">IF(A18&lt;&gt;"",_xlfn.XLOOKUP(_xlfn.NUMBERVALUE(A18),_xlfn.NUMBERVALUE(Carga[Tombamento]),Carga[Descrição do Bem]),"")</f>
        <v>POLTRONA POLTRONA PARA INTERLOCUTOR REUNIÃO</v>
      </c>
      <c r="C18" s="39" t="str">
        <f t="shared" si="0"/>
        <v xml:space="preserve"> POLTRONA PARA INTERLOCUTOR REUNIÃO</v>
      </c>
      <c r="E18" s="42" t="s">
        <v>205</v>
      </c>
      <c r="F18" s="43" t="s">
        <v>197</v>
      </c>
      <c r="G18" s="43" t="s">
        <v>199</v>
      </c>
      <c r="H18" s="41" t="s">
        <v>201</v>
      </c>
      <c r="I18" s="43" t="s">
        <v>36</v>
      </c>
      <c r="J18" s="40" t="s">
        <v>80</v>
      </c>
      <c r="K18" s="60">
        <v>45422</v>
      </c>
      <c r="O18" s="82">
        <v>45560</v>
      </c>
      <c r="Q18" s="96"/>
    </row>
    <row r="19" spans="1:17" ht="25.5" x14ac:dyDescent="0.35">
      <c r="A19" s="48">
        <v>63946</v>
      </c>
      <c r="B19" s="39" t="str" cm="1">
        <f t="array" ref="B19">IF(A19&lt;&gt;"",_xlfn.XLOOKUP(_xlfn.NUMBERVALUE(A19),_xlfn.NUMBERVALUE(Carga[Tombamento]),Carga[Descrição do Bem]),"")</f>
        <v>POLTRONA POLTRONA PARA INTERLOCUTOR REUNIÃO</v>
      </c>
      <c r="C19" s="39" t="str">
        <f t="shared" si="0"/>
        <v xml:space="preserve"> POLTRONA PARA INTERLOCUTOR REUNIÃO</v>
      </c>
      <c r="E19" s="42" t="s">
        <v>205</v>
      </c>
      <c r="F19" s="41" t="s">
        <v>197</v>
      </c>
      <c r="G19" s="41" t="s">
        <v>199</v>
      </c>
      <c r="H19" s="41" t="s">
        <v>201</v>
      </c>
      <c r="I19" s="41" t="s">
        <v>36</v>
      </c>
      <c r="J19" s="40" t="s">
        <v>76</v>
      </c>
      <c r="K19" s="60">
        <v>45422</v>
      </c>
      <c r="M19" s="60">
        <v>45712</v>
      </c>
      <c r="O19" s="82">
        <v>45558</v>
      </c>
      <c r="Q19" s="96"/>
    </row>
    <row r="20" spans="1:17" ht="25.5" x14ac:dyDescent="0.35">
      <c r="A20" s="48">
        <v>63948</v>
      </c>
      <c r="B20" s="39" t="str" cm="1">
        <f t="array" ref="B20">IF(A20&lt;&gt;"",_xlfn.XLOOKUP(_xlfn.NUMBERVALUE(A20),_xlfn.NUMBERVALUE(Carga[Tombamento]),Carga[Descrição do Bem]),"")</f>
        <v>POLTRONA POLTRONA PARA INTERLOCUTOR REUNIÃO</v>
      </c>
      <c r="C20" s="39" t="str">
        <f t="shared" si="0"/>
        <v xml:space="preserve"> POLTRONA PARA INTERLOCUTOR REUNIÃO</v>
      </c>
      <c r="E20" s="42" t="s">
        <v>205</v>
      </c>
      <c r="F20" s="43" t="s">
        <v>197</v>
      </c>
      <c r="G20" s="43" t="s">
        <v>199</v>
      </c>
      <c r="H20" s="41" t="s">
        <v>201</v>
      </c>
      <c r="I20" s="43" t="s">
        <v>36</v>
      </c>
      <c r="J20" s="40" t="s">
        <v>76</v>
      </c>
      <c r="K20" s="60">
        <v>45422</v>
      </c>
      <c r="M20" s="60">
        <v>45712</v>
      </c>
      <c r="O20" s="82">
        <v>45558</v>
      </c>
      <c r="Q20" s="96"/>
    </row>
    <row r="21" spans="1:17" ht="25.5" x14ac:dyDescent="0.35">
      <c r="A21" s="48">
        <v>63949</v>
      </c>
      <c r="B21" s="39" t="str" cm="1">
        <f t="array" ref="B21">IF(A21&lt;&gt;"",_xlfn.XLOOKUP(_xlfn.NUMBERVALUE(A21),_xlfn.NUMBERVALUE(Carga[Tombamento]),Carga[Descrição do Bem]),"")</f>
        <v>POLTRONA POLTRONA PARA INTERLOCUTOR REUNIÃO</v>
      </c>
      <c r="C21" s="39" t="str">
        <f t="shared" si="0"/>
        <v xml:space="preserve"> POLTRONA PARA INTERLOCUTOR REUNIÃO</v>
      </c>
      <c r="E21" s="42" t="s">
        <v>205</v>
      </c>
      <c r="F21" s="41" t="s">
        <v>197</v>
      </c>
      <c r="G21" s="41" t="s">
        <v>199</v>
      </c>
      <c r="H21" s="41" t="s">
        <v>201</v>
      </c>
      <c r="I21" s="41" t="s">
        <v>36</v>
      </c>
      <c r="J21" s="40" t="s">
        <v>981</v>
      </c>
      <c r="K21" s="60">
        <v>45422</v>
      </c>
      <c r="O21" s="82">
        <v>45558</v>
      </c>
      <c r="Q21" s="96"/>
    </row>
    <row r="22" spans="1:17" ht="25.5" x14ac:dyDescent="0.35">
      <c r="A22" s="48">
        <v>63950</v>
      </c>
      <c r="B22" s="39" t="str" cm="1">
        <f t="array" ref="B22">IF(A22&lt;&gt;"",_xlfn.XLOOKUP(_xlfn.NUMBERVALUE(A22),_xlfn.NUMBERVALUE(Carga[Tombamento]),Carga[Descrição do Bem]),"")</f>
        <v>POLTRONA POLTRONA PARA INTERLOCUTOR REUNIÃO</v>
      </c>
      <c r="C22" s="39" t="str">
        <f t="shared" si="0"/>
        <v xml:space="preserve"> POLTRONA PARA INTERLOCUTOR REUNIÃO</v>
      </c>
      <c r="E22" s="42" t="s">
        <v>205</v>
      </c>
      <c r="F22" s="43" t="s">
        <v>197</v>
      </c>
      <c r="G22" s="43" t="s">
        <v>199</v>
      </c>
      <c r="H22" s="41" t="s">
        <v>201</v>
      </c>
      <c r="I22" s="43" t="s">
        <v>36</v>
      </c>
      <c r="J22" s="40" t="s">
        <v>76</v>
      </c>
      <c r="K22" s="60">
        <v>45422</v>
      </c>
      <c r="M22" s="60">
        <v>45712</v>
      </c>
      <c r="O22" s="82">
        <v>45558</v>
      </c>
      <c r="Q22" s="96"/>
    </row>
    <row r="23" spans="1:17" ht="25.5" x14ac:dyDescent="0.35">
      <c r="A23" s="48">
        <v>67499</v>
      </c>
      <c r="B23" s="39" t="str" cm="1">
        <f t="array" ref="B23">IF(A23&lt;&gt;"",_xlfn.XLOOKUP(_xlfn.NUMBERVALUE(A23),_xlfn.NUMBERVALUE(Carga[Tombamento]),Carga[Descrição do Bem]),"")</f>
        <v>MESA MESA REUNIÃO OVAL 12 LUGARES</v>
      </c>
      <c r="C23" s="39" t="str">
        <f>MID(B23,5,50)</f>
        <v xml:space="preserve"> MESA REUNIÃO OVAL 12 LUGARES</v>
      </c>
      <c r="E23" s="42" t="s">
        <v>205</v>
      </c>
      <c r="F23" s="41" t="s">
        <v>197</v>
      </c>
      <c r="G23" s="41" t="s">
        <v>199</v>
      </c>
      <c r="H23" s="41" t="s">
        <v>201</v>
      </c>
      <c r="I23" s="41" t="s">
        <v>36</v>
      </c>
      <c r="J23" s="40" t="s">
        <v>76</v>
      </c>
      <c r="K23" s="60">
        <v>45422</v>
      </c>
      <c r="M23" s="60">
        <v>45712</v>
      </c>
      <c r="O23" s="82">
        <v>45558</v>
      </c>
      <c r="Q23" s="96"/>
    </row>
    <row r="24" spans="1:17" ht="25.5" x14ac:dyDescent="0.35">
      <c r="A24" s="48">
        <v>67507</v>
      </c>
      <c r="B24" s="39" t="str" cm="1">
        <f t="array" ref="B24">IF(A24&lt;&gt;"",_xlfn.XLOOKUP(_xlfn.NUMBERVALUE(A24),_xlfn.NUMBERVALUE(Carga[Tombamento]),Carga[Descrição do Bem]),"")</f>
        <v>ARMÁRIO ARMARIO MEDIO</v>
      </c>
      <c r="C24" s="39" t="str">
        <f t="shared" si="0"/>
        <v>ARMARIO MEDIO</v>
      </c>
      <c r="E24" s="42" t="s">
        <v>205</v>
      </c>
      <c r="F24" s="43" t="s">
        <v>197</v>
      </c>
      <c r="G24" s="43" t="s">
        <v>199</v>
      </c>
      <c r="H24" s="41" t="s">
        <v>201</v>
      </c>
      <c r="I24" s="43" t="s">
        <v>36</v>
      </c>
      <c r="J24" s="40" t="s">
        <v>212</v>
      </c>
      <c r="K24" s="60">
        <v>45422</v>
      </c>
      <c r="O24" s="82">
        <v>45560</v>
      </c>
      <c r="Q24" s="96"/>
    </row>
    <row r="25" spans="1:17" ht="25.5" x14ac:dyDescent="0.35">
      <c r="A25" s="48">
        <v>67509</v>
      </c>
      <c r="B25" s="39" t="str" cm="1">
        <f t="array" ref="B25">IF(A25&lt;&gt;"",_xlfn.XLOOKUP(_xlfn.NUMBERVALUE(A25),_xlfn.NUMBERVALUE(Carga[Tombamento]),Carga[Descrição do Bem]),"")</f>
        <v>ARMÁRIO ARMARIO MEDIO</v>
      </c>
      <c r="C25" s="39" t="str">
        <f t="shared" si="0"/>
        <v>ARMARIO MEDIO</v>
      </c>
      <c r="E25" s="42" t="s">
        <v>205</v>
      </c>
      <c r="F25" s="41" t="s">
        <v>197</v>
      </c>
      <c r="G25" s="41" t="s">
        <v>199</v>
      </c>
      <c r="H25" s="41" t="s">
        <v>201</v>
      </c>
      <c r="I25" s="41" t="s">
        <v>36</v>
      </c>
      <c r="J25" s="40" t="s">
        <v>78</v>
      </c>
      <c r="K25" s="60">
        <v>45422</v>
      </c>
      <c r="M25" s="60">
        <v>45712</v>
      </c>
      <c r="O25" s="82">
        <v>45558</v>
      </c>
      <c r="Q25" s="96"/>
    </row>
    <row r="26" spans="1:17" ht="25.5" x14ac:dyDescent="0.35">
      <c r="A26" s="48">
        <v>67510</v>
      </c>
      <c r="B26" s="39" t="str" cm="1">
        <f t="array" ref="B26">IF(A26&lt;&gt;"",_xlfn.XLOOKUP(_xlfn.NUMBERVALUE(A26),_xlfn.NUMBERVALUE(Carga[Tombamento]),Carga[Descrição do Bem]),"")</f>
        <v>ARMÁRIO ARMARIO MEDIO</v>
      </c>
      <c r="C26" s="39" t="str">
        <f t="shared" si="0"/>
        <v>ARMARIO MEDIO</v>
      </c>
      <c r="E26" s="42" t="s">
        <v>205</v>
      </c>
      <c r="F26" s="43" t="s">
        <v>207</v>
      </c>
      <c r="G26" s="43" t="s">
        <v>199</v>
      </c>
      <c r="H26" s="41" t="s">
        <v>201</v>
      </c>
      <c r="I26" s="43" t="s">
        <v>36</v>
      </c>
      <c r="J26" s="40" t="s">
        <v>81</v>
      </c>
      <c r="K26" s="60">
        <v>45422</v>
      </c>
      <c r="O26" s="82">
        <v>45560</v>
      </c>
      <c r="Q26" s="96"/>
    </row>
    <row r="27" spans="1:17" ht="25.5" x14ac:dyDescent="0.35">
      <c r="A27" s="48">
        <v>67511</v>
      </c>
      <c r="B27" s="39" t="str" cm="1">
        <f t="array" ref="B27">IF(A27&lt;&gt;"",_xlfn.XLOOKUP(_xlfn.NUMBERVALUE(A27),_xlfn.NUMBERVALUE(Carga[Tombamento]),Carga[Descrição do Bem]),"")</f>
        <v>ARMÁRIO ARMARIO MEDIO</v>
      </c>
      <c r="C27" s="39" t="str">
        <f t="shared" si="0"/>
        <v>ARMARIO MEDIO</v>
      </c>
      <c r="E27" s="42" t="s">
        <v>205</v>
      </c>
      <c r="F27" s="41" t="s">
        <v>207</v>
      </c>
      <c r="G27" s="41" t="s">
        <v>199</v>
      </c>
      <c r="H27" s="41" t="s">
        <v>201</v>
      </c>
      <c r="I27" s="41" t="s">
        <v>36</v>
      </c>
      <c r="J27" s="40" t="s">
        <v>210</v>
      </c>
      <c r="K27" s="60">
        <v>45422</v>
      </c>
      <c r="O27" s="82">
        <v>45560</v>
      </c>
      <c r="Q27" s="96"/>
    </row>
    <row r="28" spans="1:17" ht="25.5" x14ac:dyDescent="0.35">
      <c r="A28" s="48">
        <v>67512</v>
      </c>
      <c r="B28" s="39" t="str" cm="1">
        <f t="array" ref="B28">IF(A28&lt;&gt;"",_xlfn.XLOOKUP(_xlfn.NUMBERVALUE(A28),_xlfn.NUMBERVALUE(Carga[Tombamento]),Carga[Descrição do Bem]),"")</f>
        <v>ARMÁRIO ARMARIO MEDIO</v>
      </c>
      <c r="C28" s="39" t="str">
        <f t="shared" si="0"/>
        <v>ARMARIO MEDIO</v>
      </c>
      <c r="E28" s="42" t="s">
        <v>205</v>
      </c>
      <c r="F28" s="43" t="s">
        <v>197</v>
      </c>
      <c r="G28" s="43" t="s">
        <v>199</v>
      </c>
      <c r="H28" s="41" t="s">
        <v>201</v>
      </c>
      <c r="I28" s="43" t="s">
        <v>36</v>
      </c>
      <c r="J28" s="40" t="s">
        <v>80</v>
      </c>
      <c r="K28" s="60">
        <v>45422</v>
      </c>
      <c r="O28" s="82">
        <v>45560</v>
      </c>
      <c r="Q28" s="96"/>
    </row>
    <row r="29" spans="1:17" ht="25.5" x14ac:dyDescent="0.35">
      <c r="A29" s="48">
        <v>67513</v>
      </c>
      <c r="B29" s="39" t="str" cm="1">
        <f t="array" ref="B29">IF(A29&lt;&gt;"",_xlfn.XLOOKUP(_xlfn.NUMBERVALUE(A29),_xlfn.NUMBERVALUE(Carga[Tombamento]),Carga[Descrição do Bem]),"")</f>
        <v>ARMÁRIO ARMARIO MEDIO</v>
      </c>
      <c r="C29" s="39" t="str">
        <f t="shared" si="0"/>
        <v>ARMARIO MEDIO</v>
      </c>
      <c r="E29" s="42" t="s">
        <v>205</v>
      </c>
      <c r="F29" s="41" t="s">
        <v>197</v>
      </c>
      <c r="G29" s="41" t="s">
        <v>199</v>
      </c>
      <c r="H29" s="41" t="s">
        <v>201</v>
      </c>
      <c r="I29" s="41" t="s">
        <v>36</v>
      </c>
      <c r="J29" s="40" t="s">
        <v>76</v>
      </c>
      <c r="K29" s="60">
        <v>45422</v>
      </c>
      <c r="M29" s="60">
        <v>45712</v>
      </c>
      <c r="O29" s="82">
        <v>45558</v>
      </c>
      <c r="Q29" s="96"/>
    </row>
    <row r="30" spans="1:17" ht="25.5" x14ac:dyDescent="0.35">
      <c r="A30" s="48">
        <v>67515</v>
      </c>
      <c r="B30" s="39" t="str" cm="1">
        <f t="array" ref="B30">IF(A30&lt;&gt;"",_xlfn.XLOOKUP(_xlfn.NUMBERVALUE(A30),_xlfn.NUMBERVALUE(Carga[Tombamento]),Carga[Descrição do Bem]),"")</f>
        <v>ARMÁRIO ARMARIO MEDIO</v>
      </c>
      <c r="C30" s="39" t="str">
        <f t="shared" si="0"/>
        <v>ARMARIO MEDIO</v>
      </c>
      <c r="E30" s="42" t="s">
        <v>205</v>
      </c>
      <c r="F30" s="43" t="s">
        <v>197</v>
      </c>
      <c r="G30" s="43" t="s">
        <v>199</v>
      </c>
      <c r="H30" s="41" t="s">
        <v>201</v>
      </c>
      <c r="I30" s="43" t="s">
        <v>36</v>
      </c>
      <c r="J30" s="40" t="s">
        <v>79</v>
      </c>
      <c r="K30" s="60">
        <v>45422</v>
      </c>
      <c r="O30" s="82">
        <v>45560</v>
      </c>
      <c r="Q30" s="96"/>
    </row>
    <row r="31" spans="1:17" ht="25.5" x14ac:dyDescent="0.35">
      <c r="A31" s="48">
        <v>67545</v>
      </c>
      <c r="B31" s="39" t="str" cm="1">
        <f t="array" ref="B31">IF(A31&lt;&gt;"",_xlfn.XLOOKUP(_xlfn.NUMBERVALUE(A31),_xlfn.NUMBERVALUE(Carga[Tombamento]),Carga[Descrição do Bem]),"")</f>
        <v>POLTRONA POLTRONA PARA POSTO DE TRABALHO GERENCIAL</v>
      </c>
      <c r="C31" s="39" t="str">
        <f t="shared" si="0"/>
        <v xml:space="preserve"> POLTRONA PARA POSTO DE TRABALHO GERENCIAL</v>
      </c>
      <c r="E31" s="42" t="s">
        <v>205</v>
      </c>
      <c r="F31" s="41" t="s">
        <v>197</v>
      </c>
      <c r="G31" s="41" t="s">
        <v>199</v>
      </c>
      <c r="H31" s="41" t="s">
        <v>201</v>
      </c>
      <c r="I31" s="41" t="s">
        <v>36</v>
      </c>
      <c r="J31" s="40" t="s">
        <v>79</v>
      </c>
      <c r="K31" s="60">
        <v>45422</v>
      </c>
      <c r="O31" s="82">
        <v>45560</v>
      </c>
      <c r="Q31" s="96"/>
    </row>
    <row r="32" spans="1:17" ht="25.5" x14ac:dyDescent="0.35">
      <c r="A32" s="48">
        <v>67546</v>
      </c>
      <c r="B32" s="39" t="str" cm="1">
        <f t="array" ref="B32">IF(A32&lt;&gt;"",_xlfn.XLOOKUP(_xlfn.NUMBERVALUE(A32),_xlfn.NUMBERVALUE(Carga[Tombamento]),Carga[Descrição do Bem]),"")</f>
        <v>POLTRONA POLTRONA PARA POSTO DE TRABALHO GERENCIAL</v>
      </c>
      <c r="C32" s="39" t="str">
        <f t="shared" si="0"/>
        <v xml:space="preserve"> POLTRONA PARA POSTO DE TRABALHO GERENCIAL</v>
      </c>
      <c r="E32" s="42" t="s">
        <v>205</v>
      </c>
      <c r="F32" s="43" t="s">
        <v>207</v>
      </c>
      <c r="G32" s="43" t="s">
        <v>199</v>
      </c>
      <c r="H32" s="41" t="s">
        <v>201</v>
      </c>
      <c r="I32" s="43" t="s">
        <v>36</v>
      </c>
      <c r="J32" s="40" t="s">
        <v>81</v>
      </c>
      <c r="K32" s="60">
        <v>45422</v>
      </c>
      <c r="O32" s="82">
        <v>45560</v>
      </c>
      <c r="Q32" s="96"/>
    </row>
    <row r="33" spans="1:18" ht="25.5" x14ac:dyDescent="0.35">
      <c r="A33" s="48">
        <v>67547</v>
      </c>
      <c r="B33" s="39" t="str" cm="1">
        <f t="array" ref="B33">IF(A33&lt;&gt;"",_xlfn.XLOOKUP(_xlfn.NUMBERVALUE(A33),_xlfn.NUMBERVALUE(Carga[Tombamento]),Carga[Descrição do Bem]),"")</f>
        <v>POLTRONA POLTRONA PARA POSTO DE TRABALHO GERENCIAL</v>
      </c>
      <c r="C33" s="39" t="str">
        <f t="shared" si="0"/>
        <v xml:space="preserve"> POLTRONA PARA POSTO DE TRABALHO GERENCIAL</v>
      </c>
      <c r="E33" s="42" t="s">
        <v>205</v>
      </c>
      <c r="F33" s="41" t="s">
        <v>197</v>
      </c>
      <c r="G33" s="41" t="s">
        <v>199</v>
      </c>
      <c r="H33" s="41" t="s">
        <v>201</v>
      </c>
      <c r="I33" s="41" t="s">
        <v>36</v>
      </c>
      <c r="J33" s="40" t="s">
        <v>80</v>
      </c>
      <c r="K33" s="60">
        <v>45422</v>
      </c>
      <c r="O33" s="82">
        <v>45560</v>
      </c>
      <c r="Q33" s="96"/>
    </row>
    <row r="34" spans="1:18" ht="25.5" x14ac:dyDescent="0.35">
      <c r="A34" s="48">
        <v>67549</v>
      </c>
      <c r="B34" s="39" t="str" cm="1">
        <f t="array" ref="B34">IF(A34&lt;&gt;"",_xlfn.XLOOKUP(_xlfn.NUMBERVALUE(A34),_xlfn.NUMBERVALUE(Carga[Tombamento]),Carga[Descrição do Bem]),"")</f>
        <v>POLTRONA POLTRONA PARA POSTO DE TRABALHO GERENCIAL</v>
      </c>
      <c r="C34" s="39" t="str">
        <f t="shared" si="0"/>
        <v xml:space="preserve"> POLTRONA PARA POSTO DE TRABALHO GERENCIAL</v>
      </c>
      <c r="E34" s="42" t="s">
        <v>205</v>
      </c>
      <c r="F34" s="43" t="s">
        <v>197</v>
      </c>
      <c r="G34" s="43" t="s">
        <v>199</v>
      </c>
      <c r="H34" s="41" t="s">
        <v>201</v>
      </c>
      <c r="I34" s="43" t="s">
        <v>36</v>
      </c>
      <c r="J34" s="40" t="s">
        <v>78</v>
      </c>
      <c r="K34" s="60">
        <v>45422</v>
      </c>
      <c r="M34" s="60">
        <v>45712</v>
      </c>
      <c r="O34" s="82">
        <v>45558</v>
      </c>
      <c r="Q34" s="96"/>
    </row>
    <row r="35" spans="1:18" ht="25.5" x14ac:dyDescent="0.35">
      <c r="A35" s="48">
        <v>67550</v>
      </c>
      <c r="B35" s="39" t="str" cm="1">
        <f t="array" ref="B35">IF(A35&lt;&gt;"",_xlfn.XLOOKUP(_xlfn.NUMBERVALUE(A35),_xlfn.NUMBERVALUE(Carga[Tombamento]),Carga[Descrição do Bem]),"")</f>
        <v>POLTRONA POLTRONA PARA POSTO DE TRABALHO GERENCIAL</v>
      </c>
      <c r="C35" s="39" t="str">
        <f t="shared" si="0"/>
        <v xml:space="preserve"> POLTRONA PARA POSTO DE TRABALHO GERENCIAL</v>
      </c>
      <c r="E35" s="42" t="s">
        <v>205</v>
      </c>
      <c r="F35" s="41" t="s">
        <v>197</v>
      </c>
      <c r="G35" s="41" t="s">
        <v>199</v>
      </c>
      <c r="H35" s="41" t="s">
        <v>201</v>
      </c>
      <c r="I35" s="41" t="s">
        <v>36</v>
      </c>
      <c r="J35" s="40" t="s">
        <v>79</v>
      </c>
      <c r="K35" s="60">
        <v>45422</v>
      </c>
      <c r="O35" s="82">
        <v>45560</v>
      </c>
      <c r="Q35" s="96"/>
    </row>
    <row r="36" spans="1:18" ht="25.5" x14ac:dyDescent="0.35">
      <c r="A36" s="48">
        <v>67551</v>
      </c>
      <c r="B36" s="39" t="str" cm="1">
        <f t="array" ref="B36">IF(A36&lt;&gt;"",_xlfn.XLOOKUP(_xlfn.NUMBERVALUE(A36),_xlfn.NUMBERVALUE(Carga[Tombamento]),Carga[Descrição do Bem]),"")</f>
        <v>POLTRONA POLTRONA PARA POSTO DE TRABALHO GERENCIAL</v>
      </c>
      <c r="C36" s="39" t="str">
        <f t="shared" si="0"/>
        <v xml:space="preserve"> POLTRONA PARA POSTO DE TRABALHO GERENCIAL</v>
      </c>
      <c r="E36" s="42" t="s">
        <v>205</v>
      </c>
      <c r="F36" s="43" t="s">
        <v>197</v>
      </c>
      <c r="G36" s="43" t="s">
        <v>199</v>
      </c>
      <c r="H36" s="41" t="s">
        <v>201</v>
      </c>
      <c r="I36" s="43" t="s">
        <v>36</v>
      </c>
      <c r="J36" s="40" t="s">
        <v>212</v>
      </c>
      <c r="K36" s="60">
        <v>45422</v>
      </c>
      <c r="O36" s="82">
        <v>45560</v>
      </c>
      <c r="Q36" s="96"/>
    </row>
    <row r="37" spans="1:18" ht="25.5" x14ac:dyDescent="0.35">
      <c r="A37" s="48">
        <v>67552</v>
      </c>
      <c r="B37" s="39" t="str" cm="1">
        <f t="array" ref="B37">IF(A37&lt;&gt;"",_xlfn.XLOOKUP(_xlfn.NUMBERVALUE(A37),_xlfn.NUMBERVALUE(Carga[Tombamento]),Carga[Descrição do Bem]),"")</f>
        <v>POLTRONA POLTRONA PARA POSTO DE TRABALHO GERENCIAL</v>
      </c>
      <c r="C37" s="39" t="str">
        <f t="shared" si="0"/>
        <v xml:space="preserve"> POLTRONA PARA POSTO DE TRABALHO GERENCIAL</v>
      </c>
      <c r="E37" s="42" t="s">
        <v>205</v>
      </c>
      <c r="F37" s="41" t="s">
        <v>197</v>
      </c>
      <c r="G37" s="41" t="s">
        <v>199</v>
      </c>
      <c r="H37" s="41" t="s">
        <v>201</v>
      </c>
      <c r="I37" s="41" t="s">
        <v>36</v>
      </c>
      <c r="J37" s="40" t="s">
        <v>80</v>
      </c>
      <c r="K37" s="60">
        <v>45422</v>
      </c>
      <c r="O37" s="82">
        <v>45560</v>
      </c>
      <c r="Q37" s="96"/>
    </row>
    <row r="38" spans="1:18" ht="25.5" x14ac:dyDescent="0.35">
      <c r="A38" s="48">
        <v>67553</v>
      </c>
      <c r="B38" s="39" t="str" cm="1">
        <f t="array" ref="B38">IF(A38&lt;&gt;"",_xlfn.XLOOKUP(_xlfn.NUMBERVALUE(A38),_xlfn.NUMBERVALUE(Carga[Tombamento]),Carga[Descrição do Bem]),"")</f>
        <v>POLTRONA POLTRONA PARA POSTO DE TRABALHO GERENCIAL</v>
      </c>
      <c r="C38" s="39" t="str">
        <f t="shared" si="0"/>
        <v xml:space="preserve"> POLTRONA PARA POSTO DE TRABALHO GERENCIAL</v>
      </c>
      <c r="E38" s="42" t="s">
        <v>205</v>
      </c>
      <c r="F38" s="43" t="s">
        <v>197</v>
      </c>
      <c r="G38" s="43" t="s">
        <v>199</v>
      </c>
      <c r="H38" s="41" t="s">
        <v>201</v>
      </c>
      <c r="I38" s="43" t="s">
        <v>36</v>
      </c>
      <c r="J38" s="40" t="s">
        <v>79</v>
      </c>
      <c r="K38" s="60">
        <v>45422</v>
      </c>
      <c r="O38" s="82">
        <v>45560</v>
      </c>
      <c r="Q38" s="96"/>
    </row>
    <row r="39" spans="1:18" ht="25.5" x14ac:dyDescent="0.35">
      <c r="A39" s="48">
        <v>67622</v>
      </c>
      <c r="B39" s="39" t="str" cm="1">
        <f t="array" ref="B39">IF(A39&lt;&gt;"",_xlfn.XLOOKUP(_xlfn.NUMBERVALUE(A39),_xlfn.NUMBERVALUE(Carga[Tombamento]),Carga[Descrição do Bem]),"")</f>
        <v xml:space="preserve">ESTAÇÃO DE TRABALHO ESTAÇÃO PENINSULAR EM ?L? 01 LUGAR (1800X1600X730MM) </v>
      </c>
      <c r="C39" s="39" t="str">
        <f>MID(B39,1,50)</f>
        <v>ESTAÇÃO DE TRABALHO ESTAÇÃO PENINSULAR EM ?L? 01 L</v>
      </c>
      <c r="E39" s="42" t="s">
        <v>205</v>
      </c>
      <c r="F39" s="41" t="s">
        <v>207</v>
      </c>
      <c r="G39" s="41" t="s">
        <v>199</v>
      </c>
      <c r="H39" s="41" t="s">
        <v>201</v>
      </c>
      <c r="I39" s="41" t="s">
        <v>36</v>
      </c>
      <c r="J39" s="40" t="s">
        <v>76</v>
      </c>
      <c r="K39" s="60">
        <v>45422</v>
      </c>
      <c r="M39" s="60">
        <v>45712</v>
      </c>
      <c r="O39" s="82">
        <v>45558</v>
      </c>
      <c r="Q39" s="96"/>
    </row>
    <row r="40" spans="1:18" ht="25.5" x14ac:dyDescent="0.35">
      <c r="A40" s="48">
        <v>67623</v>
      </c>
      <c r="B40" s="39" t="str" cm="1">
        <f t="array" ref="B40">IF(A40&lt;&gt;"",_xlfn.XLOOKUP(_xlfn.NUMBERVALUE(A40),_xlfn.NUMBERVALUE(Carga[Tombamento]),Carga[Descrição do Bem]),"")</f>
        <v xml:space="preserve">ESTAÇÃO DE TRABALHO ESTAÇÃO PENINSULAR EM ?L? 01 LUGAR (1800X1600X730MM) </v>
      </c>
      <c r="C40" s="39" t="str">
        <f>MID(B40,1,50)</f>
        <v>ESTAÇÃO DE TRABALHO ESTAÇÃO PENINSULAR EM ?L? 01 L</v>
      </c>
      <c r="E40" s="42" t="s">
        <v>205</v>
      </c>
      <c r="F40" s="43" t="s">
        <v>197</v>
      </c>
      <c r="G40" s="43" t="s">
        <v>199</v>
      </c>
      <c r="H40" s="41" t="s">
        <v>201</v>
      </c>
      <c r="I40" s="43" t="s">
        <v>36</v>
      </c>
      <c r="J40" s="40" t="s">
        <v>79</v>
      </c>
      <c r="K40" s="60">
        <v>45422</v>
      </c>
      <c r="O40" s="82">
        <v>45560</v>
      </c>
      <c r="Q40" s="96"/>
    </row>
    <row r="41" spans="1:18" ht="25.5" x14ac:dyDescent="0.35">
      <c r="A41" s="48">
        <v>67654</v>
      </c>
      <c r="B41" s="39" t="str" cm="1">
        <f t="array" ref="B41">IF(A41&lt;&gt;"",_xlfn.XLOOKUP(_xlfn.NUMBERVALUE(A41),_xlfn.NUMBERVALUE(Carga[Tombamento]),Carga[Descrição do Bem]),"")</f>
        <v>GAVETEIRO GAVETEIRO VOLANTE 630X400X500MM</v>
      </c>
      <c r="C41" s="39" t="str">
        <f>MID(B41,10,50)</f>
        <v xml:space="preserve"> GAVETEIRO VOLANTE 630X400X500MM</v>
      </c>
      <c r="E41" s="42" t="s">
        <v>205</v>
      </c>
      <c r="F41" s="41" t="s">
        <v>197</v>
      </c>
      <c r="G41" s="41" t="s">
        <v>199</v>
      </c>
      <c r="H41" s="41" t="s">
        <v>201</v>
      </c>
      <c r="I41" s="41" t="s">
        <v>36</v>
      </c>
      <c r="J41" s="40" t="s">
        <v>79</v>
      </c>
      <c r="K41" s="60">
        <v>45422</v>
      </c>
      <c r="O41" s="82">
        <v>45560</v>
      </c>
      <c r="Q41" s="96"/>
    </row>
    <row r="42" spans="1:18" ht="25.5" x14ac:dyDescent="0.35">
      <c r="A42" s="48">
        <v>67655</v>
      </c>
      <c r="B42" s="39" t="str" cm="1">
        <f t="array" ref="B42">IF(A42&lt;&gt;"",_xlfn.XLOOKUP(_xlfn.NUMBERVALUE(A42),_xlfn.NUMBERVALUE(Carga[Tombamento]),Carga[Descrição do Bem]),"")</f>
        <v>GAVETEIRO GAVETEIRO VOLANTE 630X400X500MM</v>
      </c>
      <c r="C42" s="39" t="str">
        <f t="shared" ref="C42:C43" si="1">MID(B42,10,50)</f>
        <v xml:space="preserve"> GAVETEIRO VOLANTE 630X400X500MM</v>
      </c>
      <c r="E42" s="42" t="s">
        <v>205</v>
      </c>
      <c r="F42" s="43" t="s">
        <v>197</v>
      </c>
      <c r="G42" s="43" t="s">
        <v>199</v>
      </c>
      <c r="H42" s="41" t="s">
        <v>201</v>
      </c>
      <c r="I42" s="43" t="s">
        <v>36</v>
      </c>
      <c r="J42" s="40" t="s">
        <v>76</v>
      </c>
      <c r="K42" s="60">
        <v>45422</v>
      </c>
      <c r="M42" s="60">
        <v>45712</v>
      </c>
      <c r="O42" s="82">
        <v>45558</v>
      </c>
      <c r="Q42" s="96">
        <v>45853</v>
      </c>
      <c r="R42" s="80" t="s">
        <v>1068</v>
      </c>
    </row>
    <row r="43" spans="1:18" ht="25.5" x14ac:dyDescent="0.35">
      <c r="A43" s="48">
        <v>67656</v>
      </c>
      <c r="B43" s="39" t="str" cm="1">
        <f t="array" ref="B43">IF(A43&lt;&gt;"",_xlfn.XLOOKUP(_xlfn.NUMBERVALUE(A43),_xlfn.NUMBERVALUE(Carga[Tombamento]),Carga[Descrição do Bem]),"")</f>
        <v>GAVETEIRO GAVETEIRO VOLANTE 630X400X500MM</v>
      </c>
      <c r="C43" s="39" t="str">
        <f t="shared" si="1"/>
        <v xml:space="preserve"> GAVETEIRO VOLANTE 630X400X500MM</v>
      </c>
      <c r="E43" s="42" t="s">
        <v>205</v>
      </c>
      <c r="F43" s="41" t="s">
        <v>197</v>
      </c>
      <c r="G43" s="41" t="s">
        <v>199</v>
      </c>
      <c r="H43" s="41" t="s">
        <v>201</v>
      </c>
      <c r="I43" s="41" t="s">
        <v>36</v>
      </c>
      <c r="J43" s="40" t="s">
        <v>212</v>
      </c>
      <c r="K43" s="60">
        <v>45422</v>
      </c>
      <c r="O43" s="82">
        <v>45560</v>
      </c>
      <c r="Q43" s="96"/>
    </row>
    <row r="44" spans="1:18" ht="25.5" x14ac:dyDescent="0.35">
      <c r="A44" s="48">
        <v>67662</v>
      </c>
      <c r="B44" s="39" t="str" cm="1">
        <f t="array" ref="B44">IF(A44&lt;&gt;"",_xlfn.XLOOKUP(_xlfn.NUMBERVALUE(A44),_xlfn.NUMBERVALUE(Carga[Tombamento]),Carga[Descrição do Bem]),"")</f>
        <v>MESA MESA RETANGULAR (1400X600MM)</v>
      </c>
      <c r="C44" s="39" t="str">
        <f>MID(B44,5,50)</f>
        <v xml:space="preserve"> MESA RETANGULAR (1400X600MM)</v>
      </c>
      <c r="E44" s="42" t="s">
        <v>205</v>
      </c>
      <c r="F44" s="43" t="s">
        <v>197</v>
      </c>
      <c r="G44" s="43" t="s">
        <v>199</v>
      </c>
      <c r="H44" s="41" t="s">
        <v>201</v>
      </c>
      <c r="I44" s="43" t="s">
        <v>36</v>
      </c>
      <c r="J44" s="40" t="s">
        <v>80</v>
      </c>
      <c r="K44" s="60">
        <v>45422</v>
      </c>
      <c r="O44" s="82">
        <v>45560</v>
      </c>
      <c r="Q44" s="96"/>
    </row>
    <row r="45" spans="1:18" ht="25.5" x14ac:dyDescent="0.35">
      <c r="A45" s="48">
        <v>67663</v>
      </c>
      <c r="B45" s="39" t="str" cm="1">
        <f t="array" ref="B45">IF(A45&lt;&gt;"",_xlfn.XLOOKUP(_xlfn.NUMBERVALUE(A45),_xlfn.NUMBERVALUE(Carga[Tombamento]),Carga[Descrição do Bem]),"")</f>
        <v>MESA MESA RETANGULAR (1400X600MM)</v>
      </c>
      <c r="C45" s="39" t="str">
        <f t="shared" ref="C45:C48" si="2">MID(B45,5,50)</f>
        <v xml:space="preserve"> MESA RETANGULAR (1400X600MM)</v>
      </c>
      <c r="E45" s="42" t="s">
        <v>205</v>
      </c>
      <c r="F45" s="41" t="s">
        <v>197</v>
      </c>
      <c r="G45" s="41" t="s">
        <v>199</v>
      </c>
      <c r="H45" s="41" t="s">
        <v>201</v>
      </c>
      <c r="I45" s="41" t="s">
        <v>36</v>
      </c>
      <c r="J45" s="40" t="s">
        <v>79</v>
      </c>
      <c r="K45" s="60">
        <v>45422</v>
      </c>
      <c r="O45" s="82">
        <v>45560</v>
      </c>
      <c r="Q45" s="96"/>
    </row>
    <row r="46" spans="1:18" ht="25.5" x14ac:dyDescent="0.35">
      <c r="A46" s="48">
        <v>67664</v>
      </c>
      <c r="B46" s="39" t="str" cm="1">
        <f t="array" ref="B46">IF(A46&lt;&gt;"",_xlfn.XLOOKUP(_xlfn.NUMBERVALUE(A46),_xlfn.NUMBERVALUE(Carga[Tombamento]),Carga[Descrição do Bem]),"")</f>
        <v>MESA MESA RETANGULAR (1400X600MM)</v>
      </c>
      <c r="C46" s="39" t="str">
        <f t="shared" si="2"/>
        <v xml:space="preserve"> MESA RETANGULAR (1400X600MM)</v>
      </c>
      <c r="E46" s="42" t="s">
        <v>205</v>
      </c>
      <c r="F46" s="43" t="s">
        <v>197</v>
      </c>
      <c r="G46" s="43" t="s">
        <v>199</v>
      </c>
      <c r="H46" s="41" t="s">
        <v>201</v>
      </c>
      <c r="I46" s="43" t="s">
        <v>36</v>
      </c>
      <c r="J46" s="40" t="s">
        <v>79</v>
      </c>
      <c r="K46" s="60">
        <v>45422</v>
      </c>
      <c r="O46" s="82">
        <v>45560</v>
      </c>
      <c r="Q46" s="96"/>
    </row>
    <row r="47" spans="1:18" ht="25.5" x14ac:dyDescent="0.35">
      <c r="A47" s="48">
        <v>67665</v>
      </c>
      <c r="B47" s="39" t="str" cm="1">
        <f t="array" ref="B47">IF(A47&lt;&gt;"",_xlfn.XLOOKUP(_xlfn.NUMBERVALUE(A47),_xlfn.NUMBERVALUE(Carga[Tombamento]),Carga[Descrição do Bem]),"")</f>
        <v>MESA MESA RETANGULAR (1400X600MM)</v>
      </c>
      <c r="C47" s="39" t="str">
        <f t="shared" si="2"/>
        <v xml:space="preserve"> MESA RETANGULAR (1400X600MM)</v>
      </c>
      <c r="E47" s="42" t="s">
        <v>205</v>
      </c>
      <c r="F47" s="41" t="s">
        <v>197</v>
      </c>
      <c r="G47" s="41" t="s">
        <v>199</v>
      </c>
      <c r="H47" s="41" t="s">
        <v>201</v>
      </c>
      <c r="I47" s="41" t="s">
        <v>36</v>
      </c>
      <c r="J47" s="40" t="s">
        <v>81</v>
      </c>
      <c r="K47" s="60">
        <v>45422</v>
      </c>
      <c r="O47" s="82">
        <v>45560</v>
      </c>
      <c r="Q47" s="96"/>
    </row>
    <row r="48" spans="1:18" ht="25.5" x14ac:dyDescent="0.35">
      <c r="A48" s="48">
        <v>67666</v>
      </c>
      <c r="B48" s="39" t="str" cm="1">
        <f t="array" ref="B48">IF(A48&lt;&gt;"",_xlfn.XLOOKUP(_xlfn.NUMBERVALUE(A48),_xlfn.NUMBERVALUE(Carga[Tombamento]),Carga[Descrição do Bem]),"")</f>
        <v>MESA MESA RETANGULAR (1400X600MM)</v>
      </c>
      <c r="C48" s="39" t="str">
        <f t="shared" si="2"/>
        <v xml:space="preserve"> MESA RETANGULAR (1400X600MM)</v>
      </c>
      <c r="D48" s="5"/>
      <c r="E48" s="42" t="s">
        <v>205</v>
      </c>
      <c r="F48" s="43" t="s">
        <v>207</v>
      </c>
      <c r="G48" s="43" t="s">
        <v>199</v>
      </c>
      <c r="H48" s="41" t="s">
        <v>201</v>
      </c>
      <c r="I48" s="43" t="s">
        <v>36</v>
      </c>
      <c r="J48" s="40" t="s">
        <v>81</v>
      </c>
      <c r="K48" s="60">
        <v>45422</v>
      </c>
      <c r="O48" s="82">
        <v>45560</v>
      </c>
      <c r="Q48" s="96"/>
    </row>
    <row r="49" spans="1:17" ht="41.25" x14ac:dyDescent="0.35">
      <c r="A49" s="48">
        <v>69124</v>
      </c>
      <c r="B49" s="39" t="str" cm="1">
        <f t="array" ref="B49">IF(A49&lt;&gt;"",_xlfn.XLOOKUP(_xlfn.NUMBERVALUE(A49),_xlfn.NUMBERVALUE(Carga[Tombamento]),Carga[Descrição do Bem]),"")</f>
        <v>ESTAÇÃO DE RECALQUE - ÁGUA - DF CONJUNTO MOTO-BOMBA DO TIPO CENTRIFUGA HORIZONTAL. 4500 CV, 1200 RPM, 60HZ. EQUIPAMENTO INSTALADO NA EAT.VLG.001</v>
      </c>
      <c r="C49" s="39" t="str">
        <f>MID(B49,33,75)</f>
        <v>CONJUNTO MOTO-BOMBA DO TIPO CENTRIFUGA HORIZONTAL. 4500 CV, 1200 RPM, 60HZ.</v>
      </c>
      <c r="E49" s="42" t="s">
        <v>193</v>
      </c>
      <c r="F49" s="41" t="s">
        <v>196</v>
      </c>
      <c r="G49" s="41" t="s">
        <v>199</v>
      </c>
      <c r="H49" s="41" t="s">
        <v>201</v>
      </c>
      <c r="I49" s="41" t="s">
        <v>74</v>
      </c>
      <c r="J49" s="40" t="s">
        <v>257</v>
      </c>
      <c r="K49" s="60">
        <v>45421</v>
      </c>
      <c r="O49" s="82">
        <v>45555</v>
      </c>
      <c r="Q49" s="96"/>
    </row>
    <row r="50" spans="1:17" ht="41.25" x14ac:dyDescent="0.35">
      <c r="A50" s="48">
        <v>69125</v>
      </c>
      <c r="B50" s="39" t="str" cm="1">
        <f t="array" ref="B50">IF(A50&lt;&gt;"",_xlfn.XLOOKUP(_xlfn.NUMBERVALUE(A50),_xlfn.NUMBERVALUE(Carga[Tombamento]),Carga[Descrição do Bem]),"")</f>
        <v>ESTAÇÃO DE RECALQUE - ÁGUA - DF CONJUNTO MOTO-BOMBA DO TIPO CENTRIFUGA HORIZONTAL. 4500CV, 1200RPM E 60HZ EQUIPAMENTO INSTALADO NA EAT.VLG.001</v>
      </c>
      <c r="C50" s="39" t="str">
        <f t="shared" ref="C50:C51" si="3">MID(B50,33,75)</f>
        <v>CONJUNTO MOTO-BOMBA DO TIPO CENTRIFUGA HORIZONTAL. 4500CV, 1200RPM E 60HZ E</v>
      </c>
      <c r="E50" s="42" t="s">
        <v>193</v>
      </c>
      <c r="F50" s="43" t="s">
        <v>196</v>
      </c>
      <c r="G50" s="43" t="s">
        <v>199</v>
      </c>
      <c r="H50" s="41" t="s">
        <v>201</v>
      </c>
      <c r="I50" s="43" t="s">
        <v>74</v>
      </c>
      <c r="J50" s="40" t="s">
        <v>257</v>
      </c>
      <c r="K50" s="60">
        <v>45421</v>
      </c>
      <c r="O50" s="82">
        <v>45555</v>
      </c>
      <c r="Q50" s="96"/>
    </row>
    <row r="51" spans="1:17" ht="41.25" x14ac:dyDescent="0.35">
      <c r="A51" s="48">
        <v>69126</v>
      </c>
      <c r="B51" s="39" t="str" cm="1">
        <f t="array" ref="B51">IF(A51&lt;&gt;"",_xlfn.XLOOKUP(_xlfn.NUMBERVALUE(A51),_xlfn.NUMBERVALUE(Carga[Tombamento]),Carga[Descrição do Bem]),"")</f>
        <v>ESTAÇÃO DE RECALQUE - ÁGUA - DF CONJUNTO MOTO-BOMBA DO TIPO CENTRIFUGA HORIZONTAL. 4500CV, 1200RPM E 60HZ WEB SULZER. EQUIPAMENTO INSTALADO NA EAT.VLG.001</v>
      </c>
      <c r="C51" s="39" t="str">
        <f t="shared" si="3"/>
        <v>CONJUNTO MOTO-BOMBA DO TIPO CENTRIFUGA HORIZONTAL. 4500CV, 1200RPM E 60HZ W</v>
      </c>
      <c r="E51" s="42" t="s">
        <v>193</v>
      </c>
      <c r="F51" s="41" t="s">
        <v>196</v>
      </c>
      <c r="G51" s="41" t="s">
        <v>199</v>
      </c>
      <c r="H51" s="41" t="s">
        <v>201</v>
      </c>
      <c r="I51" s="41" t="s">
        <v>74</v>
      </c>
      <c r="J51" s="40" t="s">
        <v>257</v>
      </c>
      <c r="K51" s="60">
        <v>45421</v>
      </c>
      <c r="O51" s="82">
        <v>45555</v>
      </c>
      <c r="Q51" s="96"/>
    </row>
    <row r="52" spans="1:17" ht="32.25" x14ac:dyDescent="0.35">
      <c r="A52" s="48">
        <v>74924</v>
      </c>
      <c r="B52" s="39" t="str" cm="1">
        <f t="array" ref="B52">IF(A52&lt;&gt;"",_xlfn.XLOOKUP(_xlfn.NUMBERVALUE(A52),_xlfn.NUMBERVALUE(Carga[Tombamento]),Carga[Descrição do Bem]),"")</f>
        <v>ESTAÇÃO DE TRATAMENTO DE ÁGUA - VALPARAISO/GO MEDIDOR DE NÍVEL ULTRA-SÔNICO( SONDA, TRANSMISSOR E PROGRAMADOR)</v>
      </c>
      <c r="C52" s="39" t="str">
        <f>MID(B52,47,75)</f>
        <v>MEDIDOR DE NÍVEL ULTRA-SÔNICO( SONDA, TRANSMISSOR E PROGRAMADOR)</v>
      </c>
      <c r="E52" s="42" t="s">
        <v>194</v>
      </c>
      <c r="F52" s="43" t="s">
        <v>197</v>
      </c>
      <c r="G52" s="44" t="s">
        <v>199</v>
      </c>
      <c r="H52" s="41" t="s">
        <v>201</v>
      </c>
      <c r="I52" s="43" t="s">
        <v>54</v>
      </c>
      <c r="J52" s="40" t="s">
        <v>239</v>
      </c>
      <c r="K52" s="60">
        <v>45421</v>
      </c>
      <c r="O52" s="82">
        <v>45562</v>
      </c>
      <c r="Q52" s="96"/>
    </row>
    <row r="53" spans="1:17" ht="50.25" x14ac:dyDescent="0.35">
      <c r="A53" s="48">
        <v>75735</v>
      </c>
      <c r="B53" s="39" t="str" cm="1">
        <f t="array" ref="B53">IF(A53&lt;&gt;"",_xlfn.XLOOKUP(_xlfn.NUMBERVALUE(A53),_xlfn.NUMBERVALUE(Carga[Tombamento]),Carga[Descrição do Bem]),"")</f>
        <v>ESTAÇÃO DE RECALQUE - ÁGUA - DF ATUADOR ELÉTRICO INTELIGENTE PARA VÁLVULA , 1/4 DE VOLTA, MOTOR 380VAC/60HZ, IP68, TORQUE DE SAÍDA MÁXIMO DE 1000NM, REDUTOR E MÓDULO DE COMUNICAÇÃO</v>
      </c>
      <c r="C53" s="39" t="str">
        <f>MID(B53,33,150)</f>
        <v>ATUADOR ELÉTRICO INTELIGENTE PARA VÁLVULA , 1/4 DE VOLTA, MOTOR 380VAC/60HZ, IP68, TORQUE DE SAÍDA MÁXIMO DE 1000NM, REDUTOR E MÓDULO DE COMUNICAÇÃO</v>
      </c>
      <c r="E53" s="42" t="s">
        <v>193</v>
      </c>
      <c r="F53" s="41" t="s">
        <v>196</v>
      </c>
      <c r="G53" s="41" t="s">
        <v>199</v>
      </c>
      <c r="H53" s="41" t="s">
        <v>201</v>
      </c>
      <c r="I53" s="41" t="s">
        <v>74</v>
      </c>
      <c r="J53" s="40" t="s">
        <v>257</v>
      </c>
      <c r="K53" s="60">
        <v>45421</v>
      </c>
      <c r="O53" s="82">
        <v>45555</v>
      </c>
      <c r="Q53" s="96"/>
    </row>
    <row r="54" spans="1:17" ht="50.25" x14ac:dyDescent="0.35">
      <c r="A54" s="48">
        <v>75736</v>
      </c>
      <c r="B54" s="39" t="str" cm="1">
        <f t="array" ref="B54">IF(A54&lt;&gt;"",_xlfn.XLOOKUP(_xlfn.NUMBERVALUE(A54),_xlfn.NUMBERVALUE(Carga[Tombamento]),Carga[Descrição do Bem]),"")</f>
        <v>ESTAÇÃO DE RECALQUE - ÁGUA - DF ATUADOR ELÉTRICO INTELIGENTE PARA VÁLVULA , 1/4 DE VOLTA, MOTOR 380VAC/60HZ, IP68, TORQUE DE SAÍDA MÁXIMO DE 1000NM, REDUTOR E MÓDULO DE COMUNICAÇÃO</v>
      </c>
      <c r="C54" s="39" t="str">
        <f t="shared" ref="C54:C65" si="4">MID(B54,33,150)</f>
        <v>ATUADOR ELÉTRICO INTELIGENTE PARA VÁLVULA , 1/4 DE VOLTA, MOTOR 380VAC/60HZ, IP68, TORQUE DE SAÍDA MÁXIMO DE 1000NM, REDUTOR E MÓDULO DE COMUNICAÇÃO</v>
      </c>
      <c r="E54" s="42" t="s">
        <v>193</v>
      </c>
      <c r="F54" s="43" t="s">
        <v>196</v>
      </c>
      <c r="G54" s="43" t="s">
        <v>199</v>
      </c>
      <c r="H54" s="41" t="s">
        <v>201</v>
      </c>
      <c r="I54" s="43" t="s">
        <v>74</v>
      </c>
      <c r="J54" s="40" t="s">
        <v>257</v>
      </c>
      <c r="K54" s="60">
        <v>45421</v>
      </c>
      <c r="O54" s="82">
        <v>45555</v>
      </c>
      <c r="Q54" s="96"/>
    </row>
    <row r="55" spans="1:17" ht="50.25" x14ac:dyDescent="0.35">
      <c r="A55" s="48">
        <v>75737</v>
      </c>
      <c r="B55" s="39" t="str" cm="1">
        <f t="array" ref="B55">IF(A55&lt;&gt;"",_xlfn.XLOOKUP(_xlfn.NUMBERVALUE(A55),_xlfn.NUMBERVALUE(Carga[Tombamento]),Carga[Descrição do Bem]),"")</f>
        <v>ESTAÇÃO DE RECALQUE - ÁGUA - DF ATUADOR ELÉTRICO INTELIGENTE PARA VÁLVULA , 1/4 DE VOLTA, MOTOR 380VAC/60HZ, IP68, TORQUE DE SAÍDA MÁXIMO DE 1000NM, REDUTOR E MÓDULO DE COMUNICAÇÃO</v>
      </c>
      <c r="C55" s="39" t="str">
        <f t="shared" si="4"/>
        <v>ATUADOR ELÉTRICO INTELIGENTE PARA VÁLVULA , 1/4 DE VOLTA, MOTOR 380VAC/60HZ, IP68, TORQUE DE SAÍDA MÁXIMO DE 1000NM, REDUTOR E MÓDULO DE COMUNICAÇÃO</v>
      </c>
      <c r="E55" s="42" t="s">
        <v>193</v>
      </c>
      <c r="F55" s="41" t="s">
        <v>196</v>
      </c>
      <c r="G55" s="41" t="s">
        <v>199</v>
      </c>
      <c r="H55" s="41" t="s">
        <v>201</v>
      </c>
      <c r="I55" s="41" t="s">
        <v>74</v>
      </c>
      <c r="J55" s="40" t="s">
        <v>257</v>
      </c>
      <c r="K55" s="60">
        <v>45421</v>
      </c>
      <c r="O55" s="82">
        <v>45555</v>
      </c>
      <c r="Q55" s="96"/>
    </row>
    <row r="56" spans="1:17" ht="50.25" x14ac:dyDescent="0.35">
      <c r="A56" s="48">
        <v>75738</v>
      </c>
      <c r="B56" s="39" t="str" cm="1">
        <f t="array" ref="B56">IF(A56&lt;&gt;"",_xlfn.XLOOKUP(_xlfn.NUMBERVALUE(A56),_xlfn.NUMBERVALUE(Carga[Tombamento]),Carga[Descrição do Bem]),"")</f>
        <v>ESTAÇÃO DE RECALQUE - ÁGUA - DF ATUADOR ELÉTRICO INTELIGENTE PARA VÁLVULA , 1/4 DE VOLTA, MOTOR 380VAC/60HZ, IP68, TORQUE DE SAÍDA MÁXIMO DE 1000NM, REDUTOR E MÓDULO DE COMUNICAÇÃO</v>
      </c>
      <c r="C56" s="39" t="str">
        <f t="shared" si="4"/>
        <v>ATUADOR ELÉTRICO INTELIGENTE PARA VÁLVULA , 1/4 DE VOLTA, MOTOR 380VAC/60HZ, IP68, TORQUE DE SAÍDA MÁXIMO DE 1000NM, REDUTOR E MÓDULO DE COMUNICAÇÃO</v>
      </c>
      <c r="E56" s="42" t="s">
        <v>193</v>
      </c>
      <c r="F56" s="43" t="s">
        <v>196</v>
      </c>
      <c r="G56" s="43" t="s">
        <v>199</v>
      </c>
      <c r="H56" s="41" t="s">
        <v>201</v>
      </c>
      <c r="I56" s="43" t="s">
        <v>74</v>
      </c>
      <c r="J56" s="40" t="s">
        <v>257</v>
      </c>
      <c r="K56" s="60">
        <v>45421</v>
      </c>
      <c r="O56" s="82">
        <v>45555</v>
      </c>
      <c r="Q56" s="96"/>
    </row>
    <row r="57" spans="1:17" ht="50.25" x14ac:dyDescent="0.35">
      <c r="A57" s="48">
        <v>75739</v>
      </c>
      <c r="B57" s="39" t="str" cm="1">
        <f t="array" ref="B57">IF(A57&lt;&gt;"",_xlfn.XLOOKUP(_xlfn.NUMBERVALUE(A57),_xlfn.NUMBERVALUE(Carga[Tombamento]),Carga[Descrição do Bem]),"")</f>
        <v>ESTAÇÃO DE RECALQUE - ÁGUA - DF ATUADOR ELÉTRICO INTELIGENTE PARA VÁLVULA , 1/4 DE VOLTA, MOTOR 380VAC/60HZ, IP68, TORQUE DE SAÍDA MÁXIMO DE 1000NM, REDUTOR E MÓDULO DE COMUNICAÇÃO</v>
      </c>
      <c r="C57" s="39" t="str">
        <f t="shared" si="4"/>
        <v>ATUADOR ELÉTRICO INTELIGENTE PARA VÁLVULA , 1/4 DE VOLTA, MOTOR 380VAC/60HZ, IP68, TORQUE DE SAÍDA MÁXIMO DE 1000NM, REDUTOR E MÓDULO DE COMUNICAÇÃO</v>
      </c>
      <c r="E57" s="42" t="s">
        <v>193</v>
      </c>
      <c r="F57" s="41" t="s">
        <v>196</v>
      </c>
      <c r="G57" s="41" t="s">
        <v>199</v>
      </c>
      <c r="H57" s="41" t="s">
        <v>201</v>
      </c>
      <c r="I57" s="41" t="s">
        <v>74</v>
      </c>
      <c r="J57" s="40" t="s">
        <v>257</v>
      </c>
      <c r="K57" s="60">
        <v>45421</v>
      </c>
      <c r="O57" s="82">
        <v>45555</v>
      </c>
      <c r="Q57" s="96"/>
    </row>
    <row r="58" spans="1:17" ht="50.25" x14ac:dyDescent="0.35">
      <c r="A58" s="48">
        <v>75740</v>
      </c>
      <c r="B58" s="39" t="str" cm="1">
        <f t="array" ref="B58">IF(A58&lt;&gt;"",_xlfn.XLOOKUP(_xlfn.NUMBERVALUE(A58),_xlfn.NUMBERVALUE(Carga[Tombamento]),Carga[Descrição do Bem]),"")</f>
        <v>ESTAÇÃO DE RECALQUE - ÁGUA - DF PONTE ROLANTE DUPLA VIGA CAPACIDADE DE 20 T INCLUINDO TALHA ELÉTRICA DE 20 T, TRILHO DE ROLAMENTO, COMPRIMENTO DE 20 M, VÃO DE  20 M E ALTURA DE ELEVAÇÃO DE 10 M.</v>
      </c>
      <c r="C58" s="39" t="str">
        <f t="shared" si="4"/>
        <v>PONTE ROLANTE DUPLA VIGA CAPACIDADE DE 20 T INCLUINDO TALHA ELÉTRICA DE 20 T, TRILHO DE ROLAMENTO, COMPRIMENTO DE 20 M, VÃO DE  20 M E ALTURA DE ELEVA</v>
      </c>
      <c r="E58" s="42" t="s">
        <v>193</v>
      </c>
      <c r="F58" s="43" t="s">
        <v>196</v>
      </c>
      <c r="G58" s="43" t="s">
        <v>199</v>
      </c>
      <c r="H58" s="41" t="s">
        <v>201</v>
      </c>
      <c r="I58" s="43" t="s">
        <v>74</v>
      </c>
      <c r="J58" s="40" t="s">
        <v>115</v>
      </c>
      <c r="K58" s="60">
        <v>45421</v>
      </c>
      <c r="O58" s="82">
        <v>45555</v>
      </c>
      <c r="Q58" s="96"/>
    </row>
    <row r="59" spans="1:17" ht="50.25" x14ac:dyDescent="0.35">
      <c r="A59" s="48">
        <v>75741</v>
      </c>
      <c r="B59" s="39" t="str" cm="1">
        <f t="array" ref="B59">IF(A59&lt;&gt;"",_xlfn.XLOOKUP(_xlfn.NUMBERVALUE(A59),_xlfn.NUMBERVALUE(Carga[Tombamento]),Carga[Descrição do Bem]),"")</f>
        <v>ESTAÇÃO DE RECALQUE - ÁGUA - DF CONJUNTO MOTO-BOMBA SUBMERSSÍVEL , COM VEDAÇÃO POR SELO MECÂNICO, ACOPLADA A MOTOR ELÉTRICO TRIFÁSICO DE 2 HP, 4 PÓLOS, 1750 RPM, 60HZ, 380 V. PONTO DE OPERAÇÃO [Q=10,0 X H=8,5 MCA]</v>
      </c>
      <c r="C59" s="39" t="str">
        <f t="shared" si="4"/>
        <v>CONJUNTO MOTO-BOMBA SUBMERSSÍVEL , COM VEDAÇÃO POR SELO MECÂNICO, ACOPLADA A MOTOR ELÉTRICO TRIFÁSICO DE 2 HP, 4 PÓLOS, 1750 RPM, 60HZ, 380 V. PONTO D</v>
      </c>
      <c r="E59" s="42" t="s">
        <v>193</v>
      </c>
      <c r="F59" s="41" t="s">
        <v>196</v>
      </c>
      <c r="G59" s="41" t="s">
        <v>199</v>
      </c>
      <c r="H59" s="41" t="s">
        <v>201</v>
      </c>
      <c r="I59" s="41" t="s">
        <v>74</v>
      </c>
      <c r="J59" s="40" t="s">
        <v>270</v>
      </c>
      <c r="K59" s="60">
        <v>45421</v>
      </c>
      <c r="O59" s="82">
        <v>45555</v>
      </c>
      <c r="Q59" s="96"/>
    </row>
    <row r="60" spans="1:17" ht="50.25" x14ac:dyDescent="0.35">
      <c r="A60" s="48">
        <v>75742</v>
      </c>
      <c r="B60" s="39" t="str" cm="1">
        <f t="array" ref="B60">IF(A60&lt;&gt;"",_xlfn.XLOOKUP(_xlfn.NUMBERVALUE(A60),_xlfn.NUMBERVALUE(Carga[Tombamento]),Carga[Descrição do Bem]),"")</f>
        <v>ESTAÇÃO DE RECALQUE - ÁGUA - DF CONJUNTO MOTO-BOMBA SUBMERSSÍVEL , COM VEDAÇÃO POR SELO MECÂNICO, ACOPLADA A MOTOR ELÉTRICO TRIFÁSICO DE 2 HP, 4 PÓLOS, 1750 RPM, 60HZ, 380 V. PONTO DE OPERAÇÃO [Q=10,0 X H=8,5 MCA]</v>
      </c>
      <c r="C60" s="39" t="str">
        <f t="shared" si="4"/>
        <v>CONJUNTO MOTO-BOMBA SUBMERSSÍVEL , COM VEDAÇÃO POR SELO MECÂNICO, ACOPLADA A MOTOR ELÉTRICO TRIFÁSICO DE 2 HP, 4 PÓLOS, 1750 RPM, 60HZ, 380 V. PONTO D</v>
      </c>
      <c r="E60" s="42" t="s">
        <v>193</v>
      </c>
      <c r="F60" s="43" t="s">
        <v>196</v>
      </c>
      <c r="G60" s="43" t="s">
        <v>199</v>
      </c>
      <c r="H60" s="41" t="s">
        <v>201</v>
      </c>
      <c r="I60" s="43" t="s">
        <v>74</v>
      </c>
      <c r="J60" s="40" t="s">
        <v>270</v>
      </c>
      <c r="K60" s="60">
        <v>45421</v>
      </c>
      <c r="O60" s="82">
        <v>45555</v>
      </c>
      <c r="Q60" s="96"/>
    </row>
    <row r="61" spans="1:17" ht="50.25" x14ac:dyDescent="0.35">
      <c r="A61" s="48">
        <v>75743</v>
      </c>
      <c r="B61" s="39" t="str" cm="1">
        <f t="array" ref="B61">IF(A61&lt;&gt;"",_xlfn.XLOOKUP(_xlfn.NUMBERVALUE(A61),_xlfn.NUMBERVALUE(Carga[Tombamento]),Carga[Descrição do Bem]),"")</f>
        <v>ESTAÇÃO DE RECALQUE - ÁGUA - DF CONJUNTO MOTO-BOMBA SUBMERSSÍVEL , COM VEDAÇÃO POR SELO MECÂNICO, ACOPLADA A MOTOR ELÉTRICO TRIFÁSICO DE 2 HP, 4 PÓLOS, 1750 RPM, 60HZ, 380 V. PONTO DE OPERAÇÃO [Q=10,0 X H=8,5 MCA]</v>
      </c>
      <c r="C61" s="39" t="str">
        <f t="shared" si="4"/>
        <v>CONJUNTO MOTO-BOMBA SUBMERSSÍVEL , COM VEDAÇÃO POR SELO MECÂNICO, ACOPLADA A MOTOR ELÉTRICO TRIFÁSICO DE 2 HP, 4 PÓLOS, 1750 RPM, 60HZ, 380 V. PONTO D</v>
      </c>
      <c r="E61" s="42" t="s">
        <v>193</v>
      </c>
      <c r="F61" s="41" t="s">
        <v>196</v>
      </c>
      <c r="G61" s="41" t="s">
        <v>199</v>
      </c>
      <c r="H61" s="41" t="s">
        <v>201</v>
      </c>
      <c r="I61" s="41" t="s">
        <v>74</v>
      </c>
      <c r="J61" s="40" t="s">
        <v>270</v>
      </c>
      <c r="K61" s="60">
        <v>45421</v>
      </c>
      <c r="O61" s="82">
        <v>45555</v>
      </c>
      <c r="Q61" s="96"/>
    </row>
    <row r="62" spans="1:17" ht="50.25" x14ac:dyDescent="0.35">
      <c r="A62" s="48">
        <v>75744</v>
      </c>
      <c r="B62" s="39" t="str" cm="1">
        <f t="array" ref="B62">IF(A62&lt;&gt;"",_xlfn.XLOOKUP(_xlfn.NUMBERVALUE(A62),_xlfn.NUMBERVALUE(Carga[Tombamento]),Carga[Descrição do Bem]),"")</f>
        <v>ESTAÇÃO DE RECALQUE - ÁGUA - DF CONJUNTO MOTO-BOMBA SUBMERSSÍVEL , COM VEDAÇÃO POR SELO MECÂNICO, ACOPLADA A MOTOR ELÉTRICO TRIFÁSICO DE 2 HP, 4 PÓLOS, 1750 RPM, 60HZ, 380 V. PONTO DE OPERAÇÃO [Q=10,0 X H=8,5 MCA]</v>
      </c>
      <c r="C62" s="39" t="str">
        <f t="shared" si="4"/>
        <v>CONJUNTO MOTO-BOMBA SUBMERSSÍVEL , COM VEDAÇÃO POR SELO MECÂNICO, ACOPLADA A MOTOR ELÉTRICO TRIFÁSICO DE 2 HP, 4 PÓLOS, 1750 RPM, 60HZ, 380 V. PONTO D</v>
      </c>
      <c r="E62" s="42" t="s">
        <v>193</v>
      </c>
      <c r="F62" s="43" t="s">
        <v>196</v>
      </c>
      <c r="G62" s="43" t="s">
        <v>199</v>
      </c>
      <c r="H62" s="41" t="s">
        <v>201</v>
      </c>
      <c r="I62" s="43" t="s">
        <v>74</v>
      </c>
      <c r="J62" s="40" t="s">
        <v>269</v>
      </c>
      <c r="K62" s="60">
        <v>45421</v>
      </c>
      <c r="O62" s="82">
        <v>45555</v>
      </c>
      <c r="Q62" s="96"/>
    </row>
    <row r="63" spans="1:17" ht="50.25" x14ac:dyDescent="0.35">
      <c r="A63" s="48">
        <v>75745</v>
      </c>
      <c r="B63" s="39" t="str" cm="1">
        <f t="array" ref="B63">IF(A63&lt;&gt;"",_xlfn.XLOOKUP(_xlfn.NUMBERVALUE(A63),_xlfn.NUMBERVALUE(Carga[Tombamento]),Carga[Descrição do Bem]),"")</f>
        <v>ESTAÇÃO DE RECALQUE - ÁGUA - DF CONJUNTO MOTO-BOMBA SUBMERSSÍVEL , COM VEDAÇÃO POR SELO MECÂNICO, ACOPLADA A MOTOR ELÉTRICO TRIFÁSICO DE 2 HP, 4 PÓLOS, 1750 RPM, 60HZ, 380 V. PONTO DE OPERAÇÃO [Q=10,0 X H=8,5 MCA]</v>
      </c>
      <c r="C63" s="39" t="str">
        <f t="shared" si="4"/>
        <v>CONJUNTO MOTO-BOMBA SUBMERSSÍVEL , COM VEDAÇÃO POR SELO MECÂNICO, ACOPLADA A MOTOR ELÉTRICO TRIFÁSICO DE 2 HP, 4 PÓLOS, 1750 RPM, 60HZ, 380 V. PONTO D</v>
      </c>
      <c r="E63" s="42" t="s">
        <v>193</v>
      </c>
      <c r="F63" s="41" t="s">
        <v>196</v>
      </c>
      <c r="G63" s="41" t="s">
        <v>199</v>
      </c>
      <c r="H63" s="41" t="s">
        <v>201</v>
      </c>
      <c r="I63" s="41" t="s">
        <v>74</v>
      </c>
      <c r="J63" s="40" t="s">
        <v>269</v>
      </c>
      <c r="K63" s="60">
        <v>45421</v>
      </c>
      <c r="O63" s="82">
        <v>45555</v>
      </c>
      <c r="Q63" s="96"/>
    </row>
    <row r="64" spans="1:17" ht="87" x14ac:dyDescent="0.35">
      <c r="A64" s="48">
        <v>75746</v>
      </c>
      <c r="B64" s="39" t="str" cm="1">
        <f t="array" ref="B64">IF(A64&lt;&gt;"",_xlfn.XLOOKUP(_xlfn.NUMBERVALUE(A64),_xlfn.NUMBERVALUE(Carga[Tombamento]),Carga[Descrição do Bem]),"")</f>
        <v>ESTAÇÃO DE RECALQUE - ÁGUA - DF QA REMOTA: RACK REMOTO COMPLETO INCLUÍNDO RACKS , MÓDULOS DE E/S, FONTES, MÓDULOS DE COMUNICAÇÃO,PROTETORES, TRANCEIVERS E TODOS OS EQUIPAMENTOS AUXILIARES, 3 UNIDADES - SWITCH INDUSTRIAL GERENCIÁVEL LAYER 2 (STRATIX 5700), EQUIPAMENTO ESTE QUE TEM 16 PORTAS METÁLICAS + 4 PORTAS DE FIBRA + 2 PORTAS METÁLICAS GIGA E SWITCH GERENCIÁVEL.</v>
      </c>
      <c r="C64" s="39" t="str">
        <f t="shared" si="4"/>
        <v>QA REMOTA: RACK REMOTO COMPLETO INCLUÍNDO RACKS , MÓDULOS DE E/S, FONTES, MÓDULOS DE COMUNICAÇÃO,PROTETORES, TRANCEIVERS E TODOS OS EQUIPAMENTOS AUXIL</v>
      </c>
      <c r="E64" s="42" t="s">
        <v>193</v>
      </c>
      <c r="F64" s="43" t="s">
        <v>196</v>
      </c>
      <c r="G64" s="43" t="s">
        <v>199</v>
      </c>
      <c r="H64" s="41" t="s">
        <v>201</v>
      </c>
      <c r="I64" s="43" t="s">
        <v>74</v>
      </c>
      <c r="J64" s="40" t="s">
        <v>63</v>
      </c>
      <c r="K64" s="60">
        <v>45421</v>
      </c>
      <c r="O64" s="82">
        <v>45565</v>
      </c>
      <c r="Q64" s="96"/>
    </row>
    <row r="65" spans="1:17" ht="87" x14ac:dyDescent="0.35">
      <c r="A65" s="48">
        <v>75789</v>
      </c>
      <c r="B65" s="39" t="str" cm="1">
        <f t="array" ref="B65">IF(A65&lt;&gt;"",_xlfn.XLOOKUP(_xlfn.NUMBERVALUE(A65),_xlfn.NUMBERVALUE(Carga[Tombamento]),Carga[Descrição do Bem]),"")</f>
        <v>ESTAÇÃO DE RECALQUE - ÁGUA - DF QUADRO CLP - QUADRO DE FORÇA, COMANDO E CONTROLE, COMPLETO INCLUINDO DISJUNTORES, PROTETORES DE SURTO, IHM 12 E DEMAIS EQUIPAMENTOS AUXILIARES, PARA ABRIGAR CLP E RACK REMOTO, SWITCH INDUSTRIAL GERENCIÁVEL LAYER 3 COM 10 PORTAS, SWITCH INDUSTRIAL GERENCIÁVEL LAYER 2 COM 10 PORTAS, CPUS E EQUIPAMENTOS DE AUTOMAÇÃO.</v>
      </c>
      <c r="C65" s="39" t="str">
        <f t="shared" si="4"/>
        <v>QUADRO CLP - QUADRO DE FORÇA, COMANDO E CONTROLE, COMPLETO INCLUINDO DISJUNTORES, PROTETORES DE SURTO, IHM 12 E DEMAIS EQUIPAMENTOS AUXILIARES, PARA A</v>
      </c>
      <c r="D65" s="5"/>
      <c r="E65" s="42" t="s">
        <v>193</v>
      </c>
      <c r="F65" s="41" t="s">
        <v>196</v>
      </c>
      <c r="G65" s="41" t="s">
        <v>199</v>
      </c>
      <c r="H65" s="41" t="s">
        <v>201</v>
      </c>
      <c r="I65" s="41" t="s">
        <v>74</v>
      </c>
      <c r="J65" s="40" t="s">
        <v>64</v>
      </c>
      <c r="K65" s="60">
        <v>45421</v>
      </c>
      <c r="O65" s="82">
        <v>45555</v>
      </c>
      <c r="Q65" s="96"/>
    </row>
    <row r="66" spans="1:17" ht="25.5" x14ac:dyDescent="0.35">
      <c r="A66" s="48">
        <v>76364</v>
      </c>
      <c r="B66" s="39" t="str" cm="1">
        <f t="array" ref="B66">IF(A66&lt;&gt;"",_xlfn.XLOOKUP(_xlfn.NUMBERVALUE(A66),_xlfn.NUMBERVALUE(Carga[Tombamento]),Carga[Descrição do Bem]),"")</f>
        <v>NOTEBOOK MAQ AUT HP PB640G8 I5-1145G7 14 16GB/512 ACOMPANHA WINDOWS 11 PR</v>
      </c>
      <c r="C66" s="39" t="str">
        <f>MID(B66,1,50)</f>
        <v xml:space="preserve">NOTEBOOK MAQ AUT HP PB640G8 I5-1145G7 14 16GB/512 </v>
      </c>
      <c r="D66" s="5"/>
      <c r="E66" s="42" t="s">
        <v>205</v>
      </c>
      <c r="F66" s="43" t="s">
        <v>207</v>
      </c>
      <c r="G66" s="43" t="s">
        <v>199</v>
      </c>
      <c r="H66" s="41" t="s">
        <v>201</v>
      </c>
      <c r="I66" s="43" t="s">
        <v>36</v>
      </c>
      <c r="J66" s="40" t="s">
        <v>76</v>
      </c>
      <c r="K66" s="60">
        <v>45422</v>
      </c>
      <c r="M66" s="60">
        <v>45712</v>
      </c>
      <c r="O66" s="82">
        <v>45558</v>
      </c>
      <c r="Q66" s="96"/>
    </row>
    <row r="67" spans="1:17" ht="41.25" x14ac:dyDescent="0.35">
      <c r="A67" s="48">
        <v>76572</v>
      </c>
      <c r="B67" s="39" t="str" cm="1">
        <f t="array" ref="B67">IF(A67&lt;&gt;"",_xlfn.XLOOKUP(_xlfn.NUMBERVALUE(A67),_xlfn.NUMBERVALUE(Carga[Tombamento]),Carga[Descrição do Bem]),"")</f>
        <v>RESERVATÓRIOS - DF VÁLVULA BORBOLETA DE FERRO FUNDIDO FLANGEADA COM ATUADOR ELÉTRICO ESPECIAL (CLASSE DE PRESSÃO: 10 KGF/CM² / DIÂMETRO DA SEÇÃO: 800 MM)</v>
      </c>
      <c r="C67" s="39" t="str">
        <f>MID(B67,20,50)</f>
        <v>VÁLVULA BORBOLETA DE FERRO FUNDIDO FLANGEADA COM A</v>
      </c>
      <c r="E67" s="42" t="s">
        <v>203</v>
      </c>
      <c r="F67" s="41" t="s">
        <v>206</v>
      </c>
      <c r="G67" s="41" t="s">
        <v>199</v>
      </c>
      <c r="H67" s="41" t="s">
        <v>201</v>
      </c>
      <c r="I67" s="41" t="s">
        <v>73</v>
      </c>
      <c r="J67" s="40" t="s">
        <v>67</v>
      </c>
      <c r="K67" s="60">
        <v>45421</v>
      </c>
      <c r="O67" s="82">
        <v>45565</v>
      </c>
      <c r="Q67" s="96"/>
    </row>
    <row r="68" spans="1:17" ht="50.25" x14ac:dyDescent="0.35">
      <c r="A68" s="48">
        <v>76573</v>
      </c>
      <c r="B68" s="39" t="str" cm="1">
        <f t="array" ref="B68">IF(A68&lt;&gt;"",_xlfn.XLOOKUP(_xlfn.NUMBERVALUE(A68),_xlfn.NUMBERVALUE(Carga[Tombamento]),Carga[Descrição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68" s="39" t="str">
        <f>MID(B68,47,160)</f>
        <v>FLOCULADOR MECÂNICO DE EIXO VERTICAL COM TURBINA DE FLUXO AXIAL, ALTURA ÚTIL DE 3,60 M, POTÊNCIA DE 2 KW, INSTALADOS EM 4 FLOCULADORES, COM 4 CÂMARAS, CADA</v>
      </c>
      <c r="E68" s="42" t="s">
        <v>194</v>
      </c>
      <c r="F68" s="43" t="s">
        <v>207</v>
      </c>
      <c r="G68" s="43" t="s">
        <v>199</v>
      </c>
      <c r="H68" s="41" t="s">
        <v>201</v>
      </c>
      <c r="I68" s="43" t="s">
        <v>52</v>
      </c>
      <c r="J68" s="40" t="s">
        <v>229</v>
      </c>
      <c r="K68" s="60">
        <v>45422</v>
      </c>
      <c r="O68" s="82">
        <v>45558</v>
      </c>
      <c r="Q68" s="96"/>
    </row>
    <row r="69" spans="1:17" ht="50.25" x14ac:dyDescent="0.35">
      <c r="A69" s="48">
        <v>76574</v>
      </c>
      <c r="B69" s="39" t="str" cm="1">
        <f t="array" ref="B69">IF(A69&lt;&gt;"",_xlfn.XLOOKUP(_xlfn.NUMBERVALUE(A69),_xlfn.NUMBERVALUE(Carga[Tombamento]),Carga[Descrição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69" s="39" t="str">
        <f t="shared" ref="C69:C132" si="5">MID(B69,47,160)</f>
        <v>FLOCULADOR MECÂNICO DE EIXO VERTICAL COM TURBINA DE FLUXO AXIAL, ALTURA ÚTIL DE 3,60 M, POTÊNCIA DE 2 KW, INSTALADOS EM 4 FLOCULADORES, COM 4 CÂMARAS, CADA</v>
      </c>
      <c r="E69" s="42" t="s">
        <v>194</v>
      </c>
      <c r="F69" s="41" t="s">
        <v>197</v>
      </c>
      <c r="G69" s="41" t="s">
        <v>199</v>
      </c>
      <c r="H69" s="41" t="s">
        <v>201</v>
      </c>
      <c r="I69" s="41" t="s">
        <v>52</v>
      </c>
      <c r="J69" s="40" t="s">
        <v>229</v>
      </c>
      <c r="K69" s="60">
        <v>45422</v>
      </c>
      <c r="O69" s="82">
        <v>45558</v>
      </c>
      <c r="Q69" s="96"/>
    </row>
    <row r="70" spans="1:17" ht="50.25" x14ac:dyDescent="0.35">
      <c r="A70" s="48">
        <v>76575</v>
      </c>
      <c r="B70" s="39" t="str" cm="1">
        <f t="array" ref="B70">IF(A70&lt;&gt;"",_xlfn.XLOOKUP(_xlfn.NUMBERVALUE(A70),_xlfn.NUMBERVALUE(Carga[Tombamento]),Carga[Descrição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0" s="39" t="str">
        <f t="shared" si="5"/>
        <v>FLOCULADOR MECÂNICO DE EIXO VERTICAL COM TURBINA DE FLUXO AXIAL, ALTURA ÚTIL DE 3,60 M, POTÊNCIA DE 2 KW, INSTALADOS EM 4 FLOCULADORES, COM 4 CÂMARAS, CADA</v>
      </c>
      <c r="E70" s="42" t="s">
        <v>194</v>
      </c>
      <c r="F70" s="43" t="s">
        <v>197</v>
      </c>
      <c r="G70" s="43" t="s">
        <v>199</v>
      </c>
      <c r="H70" s="41" t="s">
        <v>201</v>
      </c>
      <c r="I70" s="43" t="s">
        <v>52</v>
      </c>
      <c r="J70" s="40" t="s">
        <v>230</v>
      </c>
      <c r="K70" s="60">
        <v>45422</v>
      </c>
      <c r="O70" s="82">
        <v>45558</v>
      </c>
      <c r="Q70" s="96"/>
    </row>
    <row r="71" spans="1:17" ht="50.25" x14ac:dyDescent="0.35">
      <c r="A71" s="48">
        <v>76576</v>
      </c>
      <c r="B71" s="39" t="str" cm="1">
        <f t="array" ref="B71">IF(A71&lt;&gt;"",_xlfn.XLOOKUP(_xlfn.NUMBERVALUE(A71),_xlfn.NUMBERVALUE(Carga[Tombamento]),Carga[Descrição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1" s="39" t="str">
        <f t="shared" si="5"/>
        <v>FLOCULADOR MECÂNICO DE EIXO VERTICAL COM TURBINA DE FLUXO AXIAL, ALTURA ÚTIL DE 3,60 M, POTÊNCIA DE 2 KW, INSTALADOS EM 4 FLOCULADORES, COM 4 CÂMARAS, CADA</v>
      </c>
      <c r="E71" s="42" t="s">
        <v>194</v>
      </c>
      <c r="F71" s="41" t="s">
        <v>197</v>
      </c>
      <c r="G71" s="41" t="s">
        <v>199</v>
      </c>
      <c r="H71" s="41" t="s">
        <v>201</v>
      </c>
      <c r="I71" s="41" t="s">
        <v>52</v>
      </c>
      <c r="J71" s="40" t="s">
        <v>230</v>
      </c>
      <c r="K71" s="60">
        <v>45422</v>
      </c>
      <c r="O71" s="82">
        <v>45558</v>
      </c>
      <c r="Q71" s="96"/>
    </row>
    <row r="72" spans="1:17" ht="50.25" x14ac:dyDescent="0.35">
      <c r="A72" s="48">
        <v>76577</v>
      </c>
      <c r="B72" s="39" t="str" cm="1">
        <f t="array" ref="B72">IF(A72&lt;&gt;"",_xlfn.XLOOKUP(_xlfn.NUMBERVALUE(A72),_xlfn.NUMBERVALUE(Carga[Tombamento]),Carga[Descrição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2" s="39" t="str">
        <f t="shared" si="5"/>
        <v>FLOCULADOR MECÂNICO DE EIXO VERTICAL COM TURBINA DE FLUXO AXIAL, ALTURA ÚTIL DE 3,60 M, POTÊNCIA DE 2 KW, INSTALADOS EM 4 FLOCULADORES, COM 4 CÂMARAS, CADA</v>
      </c>
      <c r="E72" s="42" t="s">
        <v>194</v>
      </c>
      <c r="F72" s="43" t="s">
        <v>207</v>
      </c>
      <c r="G72" s="43" t="s">
        <v>199</v>
      </c>
      <c r="H72" s="41" t="s">
        <v>201</v>
      </c>
      <c r="I72" s="43" t="s">
        <v>52</v>
      </c>
      <c r="J72" s="40" t="s">
        <v>231</v>
      </c>
      <c r="K72" s="60">
        <v>45422</v>
      </c>
      <c r="O72" s="82">
        <v>45558</v>
      </c>
      <c r="Q72" s="96"/>
    </row>
    <row r="73" spans="1:17" ht="50.25" x14ac:dyDescent="0.35">
      <c r="A73" s="48">
        <v>76578</v>
      </c>
      <c r="B73" s="39" t="str" cm="1">
        <f t="array" ref="B73">IF(A73&lt;&gt;"",_xlfn.XLOOKUP(_xlfn.NUMBERVALUE(A73),_xlfn.NUMBERVALUE(Carga[Tombamento]),Carga[Descrição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3" s="39" t="str">
        <f t="shared" si="5"/>
        <v>FLOCULADOR MECÂNICO DE EIXO VERTICAL COM TURBINA DE FLUXO AXIAL, ALTURA ÚTIL DE 3,60 M, POTÊNCIA DE 2 KW, INSTALADOS EM 4 FLOCULADORES, COM 4 CÂMARAS, CADA</v>
      </c>
      <c r="E73" s="42" t="s">
        <v>194</v>
      </c>
      <c r="F73" s="41" t="s">
        <v>207</v>
      </c>
      <c r="G73" s="41" t="s">
        <v>199</v>
      </c>
      <c r="H73" s="41" t="s">
        <v>201</v>
      </c>
      <c r="I73" s="41" t="s">
        <v>52</v>
      </c>
      <c r="J73" s="40" t="s">
        <v>231</v>
      </c>
      <c r="K73" s="60">
        <v>45422</v>
      </c>
      <c r="O73" s="82">
        <v>45558</v>
      </c>
      <c r="Q73" s="96"/>
    </row>
    <row r="74" spans="1:17" ht="50.25" x14ac:dyDescent="0.35">
      <c r="A74" s="48">
        <v>76579</v>
      </c>
      <c r="B74" s="39" t="str" cm="1">
        <f t="array" ref="B74">IF(A74&lt;&gt;"",_xlfn.XLOOKUP(_xlfn.NUMBERVALUE(A74),_xlfn.NUMBERVALUE(Carga[Tombamento]),Carga[Descrição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4" s="39" t="str">
        <f t="shared" si="5"/>
        <v>FLOCULADOR MECÂNICO DE EIXO VERTICAL COM TURBINA DE FLUXO AXIAL, ALTURA ÚTIL DE 3,60 M, POTÊNCIA DE 2 KW, INSTALADOS EM 4 FLOCULADORES, COM 4 CÂMARAS, CADA</v>
      </c>
      <c r="E74" s="42" t="s">
        <v>194</v>
      </c>
      <c r="F74" s="43" t="s">
        <v>207</v>
      </c>
      <c r="G74" s="43" t="s">
        <v>199</v>
      </c>
      <c r="H74" s="41" t="s">
        <v>201</v>
      </c>
      <c r="I74" s="43" t="s">
        <v>52</v>
      </c>
      <c r="J74" s="40" t="s">
        <v>229</v>
      </c>
      <c r="K74" s="60">
        <v>45422</v>
      </c>
      <c r="O74" s="82">
        <v>45558</v>
      </c>
      <c r="Q74" s="96"/>
    </row>
    <row r="75" spans="1:17" ht="50.25" x14ac:dyDescent="0.35">
      <c r="A75" s="48">
        <v>76580</v>
      </c>
      <c r="B75" s="39" t="str" cm="1">
        <f t="array" ref="B75">IF(A75&lt;&gt;"",_xlfn.XLOOKUP(_xlfn.NUMBERVALUE(A75),_xlfn.NUMBERVALUE(Carga[Tombamento]),Carga[Descrição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5" s="39" t="str">
        <f t="shared" si="5"/>
        <v>FLOCULADOR MECÂNICO DE EIXO VERTICAL COM TURBINA DE FLUXO AXIAL, ALTURA ÚTIL DE 3,60 M, POTÊNCIA DE 2 KW, INSTALADOS EM 4 FLOCULADORES, COM 4 CÂMARAS, CADA</v>
      </c>
      <c r="E75" s="42" t="s">
        <v>194</v>
      </c>
      <c r="F75" s="41" t="s">
        <v>207</v>
      </c>
      <c r="G75" s="41" t="s">
        <v>199</v>
      </c>
      <c r="H75" s="41" t="s">
        <v>201</v>
      </c>
      <c r="I75" s="41" t="s">
        <v>52</v>
      </c>
      <c r="J75" s="40" t="s">
        <v>229</v>
      </c>
      <c r="K75" s="60">
        <v>45422</v>
      </c>
      <c r="O75" s="82">
        <v>45558</v>
      </c>
      <c r="Q75" s="96"/>
    </row>
    <row r="76" spans="1:17" ht="50.25" x14ac:dyDescent="0.35">
      <c r="A76" s="48">
        <v>76581</v>
      </c>
      <c r="B76" s="39" t="str" cm="1">
        <f t="array" ref="B76">IF(A76&lt;&gt;"",_xlfn.XLOOKUP(_xlfn.NUMBERVALUE(A76),_xlfn.NUMBERVALUE(Carga[Tombamento]),Carga[Descrição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6" s="39" t="str">
        <f t="shared" si="5"/>
        <v>FLOCULADOR MECÂNICO DE EIXO VERTICAL COM TURBINA DE FLUXO AXIAL, ALTURA ÚTIL DE 3,60 M, POTÊNCIA DE 2 KW, INSTALADOS EM 4 FLOCULADORES, COM 4 CÂMARAS, CADA</v>
      </c>
      <c r="E76" s="42" t="s">
        <v>194</v>
      </c>
      <c r="F76" s="43" t="s">
        <v>207</v>
      </c>
      <c r="G76" s="43" t="s">
        <v>199</v>
      </c>
      <c r="H76" s="41" t="s">
        <v>201</v>
      </c>
      <c r="I76" s="43" t="s">
        <v>52</v>
      </c>
      <c r="J76" s="40" t="s">
        <v>230</v>
      </c>
      <c r="K76" s="60">
        <v>45422</v>
      </c>
      <c r="O76" s="82">
        <v>45558</v>
      </c>
      <c r="Q76" s="96"/>
    </row>
    <row r="77" spans="1:17" ht="50.25" x14ac:dyDescent="0.35">
      <c r="A77" s="48">
        <v>76582</v>
      </c>
      <c r="B77" s="39" t="str" cm="1">
        <f t="array" ref="B77">IF(A77&lt;&gt;"",_xlfn.XLOOKUP(_xlfn.NUMBERVALUE(A77),_xlfn.NUMBERVALUE(Carga[Tombamento]),Carga[Descrição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7" s="39" t="str">
        <f t="shared" si="5"/>
        <v>FLOCULADOR MECÂNICO DE EIXO VERTICAL COM TURBINA DE FLUXO AXIAL, ALTURA ÚTIL DE 3,60 M, POTÊNCIA DE 2 KW, INSTALADOS EM 4 FLOCULADORES, COM 4 CÂMARAS, CADA</v>
      </c>
      <c r="E77" s="42" t="s">
        <v>194</v>
      </c>
      <c r="F77" s="41" t="s">
        <v>197</v>
      </c>
      <c r="G77" s="41" t="s">
        <v>199</v>
      </c>
      <c r="H77" s="41" t="s">
        <v>201</v>
      </c>
      <c r="I77" s="41" t="s">
        <v>52</v>
      </c>
      <c r="J77" s="40" t="s">
        <v>230</v>
      </c>
      <c r="K77" s="60">
        <v>45422</v>
      </c>
      <c r="O77" s="82">
        <v>45558</v>
      </c>
      <c r="Q77" s="96"/>
    </row>
    <row r="78" spans="1:17" ht="50.25" x14ac:dyDescent="0.35">
      <c r="A78" s="48">
        <v>76583</v>
      </c>
      <c r="B78" s="39" t="str" cm="1">
        <f t="array" ref="B78">IF(A78&lt;&gt;"",_xlfn.XLOOKUP(_xlfn.NUMBERVALUE(A78),_xlfn.NUMBERVALUE(Carga[Tombamento]),Carga[Descrição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8" s="39" t="str">
        <f t="shared" si="5"/>
        <v>FLOCULADOR MECÂNICO DE EIXO VERTICAL COM TURBINA DE FLUXO AXIAL, ALTURA ÚTIL DE 3,60 M, POTÊNCIA DE 2 KW, INSTALADOS EM 4 FLOCULADORES, COM 4 CÂMARAS, CADA</v>
      </c>
      <c r="E78" s="42" t="s">
        <v>194</v>
      </c>
      <c r="F78" s="43" t="s">
        <v>207</v>
      </c>
      <c r="G78" s="43" t="s">
        <v>199</v>
      </c>
      <c r="H78" s="41" t="s">
        <v>201</v>
      </c>
      <c r="I78" s="43" t="s">
        <v>52</v>
      </c>
      <c r="J78" s="40" t="s">
        <v>231</v>
      </c>
      <c r="K78" s="60">
        <v>45422</v>
      </c>
      <c r="O78" s="82">
        <v>45558</v>
      </c>
      <c r="Q78" s="96"/>
    </row>
    <row r="79" spans="1:17" ht="50.25" x14ac:dyDescent="0.35">
      <c r="A79" s="48">
        <v>76584</v>
      </c>
      <c r="B79" s="39" t="str" cm="1">
        <f t="array" ref="B79">IF(A79&lt;&gt;"",_xlfn.XLOOKUP(_xlfn.NUMBERVALUE(A79),_xlfn.NUMBERVALUE(Carga[Tombamento]),Carga[Descrição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79" s="39" t="str">
        <f t="shared" si="5"/>
        <v>FLOCULADOR MECÂNICO DE EIXO VERTICAL COM TURBINA DE FLUXO AXIAL, ALTURA ÚTIL DE 3,60 M, POTÊNCIA DE 2 KW, INSTALADOS EM 4 FLOCULADORES, COM 4 CÂMARAS, CADA</v>
      </c>
      <c r="E79" s="42" t="s">
        <v>194</v>
      </c>
      <c r="F79" s="41" t="s">
        <v>197</v>
      </c>
      <c r="G79" s="41" t="s">
        <v>199</v>
      </c>
      <c r="H79" s="41" t="s">
        <v>201</v>
      </c>
      <c r="I79" s="41" t="s">
        <v>52</v>
      </c>
      <c r="J79" s="40" t="s">
        <v>231</v>
      </c>
      <c r="K79" s="60">
        <v>45422</v>
      </c>
      <c r="O79" s="82">
        <v>45558</v>
      </c>
      <c r="Q79" s="96"/>
    </row>
    <row r="80" spans="1:17" ht="50.25" x14ac:dyDescent="0.35">
      <c r="A80" s="48">
        <v>76585</v>
      </c>
      <c r="B80" s="39" t="str" cm="1">
        <f t="array" ref="B80">IF(A80&lt;&gt;"",_xlfn.XLOOKUP(_xlfn.NUMBERVALUE(A80),_xlfn.NUMBERVALUE(Carga[Tombamento]),Carga[Descrição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80" s="39" t="str">
        <f t="shared" si="5"/>
        <v>FLOCULADOR MECÂNICO DE EIXO VERTICAL COM TURBINA DE FLUXO AXIAL, ALTURA ÚTIL DE 3,60 M, POTÊNCIA DE 2 KW, INSTALADOS EM 4 FLOCULADORES, COM 4 CÂMARAS, CADA</v>
      </c>
      <c r="E80" s="42" t="s">
        <v>194</v>
      </c>
      <c r="F80" s="43" t="s">
        <v>207</v>
      </c>
      <c r="G80" s="43" t="s">
        <v>199</v>
      </c>
      <c r="H80" s="41" t="s">
        <v>201</v>
      </c>
      <c r="I80" s="43" t="s">
        <v>52</v>
      </c>
      <c r="J80" s="40" t="s">
        <v>232</v>
      </c>
      <c r="K80" s="60">
        <v>45422</v>
      </c>
      <c r="O80" s="82">
        <v>45558</v>
      </c>
      <c r="Q80" s="96"/>
    </row>
    <row r="81" spans="1:17" ht="50.25" x14ac:dyDescent="0.35">
      <c r="A81" s="48">
        <v>76586</v>
      </c>
      <c r="B81" s="39" t="str" cm="1">
        <f t="array" ref="B81">IF(A81&lt;&gt;"",_xlfn.XLOOKUP(_xlfn.NUMBERVALUE(A81),_xlfn.NUMBERVALUE(Carga[Tombamento]),Carga[Descrição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81" s="39" t="str">
        <f t="shared" si="5"/>
        <v>FLOCULADOR MECÂNICO DE EIXO VERTICAL COM TURBINA DE FLUXO AXIAL, ALTURA ÚTIL DE 3,60 M, POTÊNCIA DE 2 KW, INSTALADOS EM 4 FLOCULADORES, COM 4 CÂMARAS, CADA</v>
      </c>
      <c r="E81" s="42" t="s">
        <v>194</v>
      </c>
      <c r="F81" s="41" t="s">
        <v>197</v>
      </c>
      <c r="G81" s="41" t="s">
        <v>199</v>
      </c>
      <c r="H81" s="41" t="s">
        <v>201</v>
      </c>
      <c r="I81" s="41" t="s">
        <v>52</v>
      </c>
      <c r="J81" s="40" t="s">
        <v>232</v>
      </c>
      <c r="K81" s="60">
        <v>45422</v>
      </c>
      <c r="O81" s="82">
        <v>45558</v>
      </c>
      <c r="Q81" s="96"/>
    </row>
    <row r="82" spans="1:17" ht="50.25" x14ac:dyDescent="0.35">
      <c r="A82" s="48">
        <v>76587</v>
      </c>
      <c r="B82" s="39" t="str" cm="1">
        <f t="array" ref="B82">IF(A82&lt;&gt;"",_xlfn.XLOOKUP(_xlfn.NUMBERVALUE(A82),_xlfn.NUMBERVALUE(Carga[Tombamento]),Carga[Descrição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82" s="39" t="str">
        <f t="shared" si="5"/>
        <v>FLOCULADOR MECÂNICO DE EIXO VERTICAL COM TURBINA DE FLUXO AXIAL, ALTURA ÚTIL DE 3,60 M, POTÊNCIA DE 2 KW, INSTALADOS EM 4 FLOCULADORES, COM 4 CÂMARAS, CADA</v>
      </c>
      <c r="E82" s="42" t="s">
        <v>194</v>
      </c>
      <c r="F82" s="43" t="s">
        <v>207</v>
      </c>
      <c r="G82" s="43" t="s">
        <v>199</v>
      </c>
      <c r="H82" s="41" t="s">
        <v>201</v>
      </c>
      <c r="I82" s="43" t="s">
        <v>52</v>
      </c>
      <c r="J82" s="40" t="s">
        <v>232</v>
      </c>
      <c r="K82" s="60">
        <v>45422</v>
      </c>
      <c r="O82" s="82">
        <v>45558</v>
      </c>
      <c r="Q82" s="96"/>
    </row>
    <row r="83" spans="1:17" ht="50.25" x14ac:dyDescent="0.35">
      <c r="A83" s="48">
        <v>76588</v>
      </c>
      <c r="B83" s="39" t="str" cm="1">
        <f t="array" ref="B83">IF(A83&lt;&gt;"",_xlfn.XLOOKUP(_xlfn.NUMBERVALUE(A83),_xlfn.NUMBERVALUE(Carga[Tombamento]),Carga[Descrição do Bem]),"")</f>
        <v>ESTAÇÃO DE TRATAMENTO DE ÁGUA - VALPARAISO/GO FLOCULADOR MECÂNICO DE EIXO VERTICAL COM TURBINA DE FLUXO AXIAL, ALTURA ÚTIL DE 3,60 M, POTÊNCIA DE 2 KW, INSTALADOS EM 4 FLOCULADORES, COM 4 CÂMARAS, CADA</v>
      </c>
      <c r="C83" s="39" t="str">
        <f t="shared" si="5"/>
        <v>FLOCULADOR MECÂNICO DE EIXO VERTICAL COM TURBINA DE FLUXO AXIAL, ALTURA ÚTIL DE 3,60 M, POTÊNCIA DE 2 KW, INSTALADOS EM 4 FLOCULADORES, COM 4 CÂMARAS, CADA</v>
      </c>
      <c r="E83" s="42" t="s">
        <v>194</v>
      </c>
      <c r="F83" s="41" t="s">
        <v>207</v>
      </c>
      <c r="G83" s="41" t="s">
        <v>199</v>
      </c>
      <c r="H83" s="41" t="s">
        <v>201</v>
      </c>
      <c r="I83" s="41" t="s">
        <v>52</v>
      </c>
      <c r="J83" s="40" t="s">
        <v>232</v>
      </c>
      <c r="K83" s="60">
        <v>45422</v>
      </c>
      <c r="O83" s="82">
        <v>45558</v>
      </c>
      <c r="Q83" s="96"/>
    </row>
    <row r="84" spans="1:17" ht="41.25" x14ac:dyDescent="0.35">
      <c r="A84" s="48">
        <v>76589</v>
      </c>
      <c r="B84" s="39" t="str" cm="1">
        <f t="array" ref="B84">IF(A84&lt;&gt;"",_xlfn.XLOOKUP(_xlfn.NUMBERVALUE(A84),_xlfn.NUMBERVALUE(Carga[Tombamento]),Carga[Descrição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84" s="39" t="str">
        <f t="shared" si="5"/>
        <v>REMOVEDOR MECÂNICO DE LODO FLOTADO, COMPRIMENTO DE 14,00 M, LARGURA DE 10,80 M E POTÊNCIA (MÁX.) DE 1 KW PARA  4 FLOTADORES</v>
      </c>
      <c r="E84" s="42" t="s">
        <v>194</v>
      </c>
      <c r="F84" s="43" t="s">
        <v>207</v>
      </c>
      <c r="G84" s="43" t="s">
        <v>199</v>
      </c>
      <c r="H84" s="41" t="s">
        <v>201</v>
      </c>
      <c r="I84" s="43" t="s">
        <v>53</v>
      </c>
      <c r="J84" s="40" t="s">
        <v>256</v>
      </c>
      <c r="K84" s="60">
        <v>45422</v>
      </c>
      <c r="O84" s="82">
        <v>45558</v>
      </c>
      <c r="Q84" s="96"/>
    </row>
    <row r="85" spans="1:17" ht="41.25" x14ac:dyDescent="0.35">
      <c r="A85" s="48">
        <v>76590</v>
      </c>
      <c r="B85" s="39" t="str" cm="1">
        <f t="array" ref="B85">IF(A85&lt;&gt;"",_xlfn.XLOOKUP(_xlfn.NUMBERVALUE(A85),_xlfn.NUMBERVALUE(Carga[Tombamento]),Carga[Descrição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85" s="39" t="str">
        <f t="shared" si="5"/>
        <v>REMOVEDOR MECÂNICO DE LODO FLOTADO, COMPRIMENTO DE 14,00 M, LARGURA DE 10,80 M E POTÊNCIA (MÁX.) DE 1 KW PARA  4 FLOTADORES</v>
      </c>
      <c r="E85" s="42" t="s">
        <v>194</v>
      </c>
      <c r="F85" s="41" t="s">
        <v>207</v>
      </c>
      <c r="G85" s="41" t="s">
        <v>199</v>
      </c>
      <c r="H85" s="41" t="s">
        <v>201</v>
      </c>
      <c r="I85" s="41" t="s">
        <v>53</v>
      </c>
      <c r="J85" s="40" t="s">
        <v>256</v>
      </c>
      <c r="K85" s="60">
        <v>45422</v>
      </c>
      <c r="O85" s="82">
        <v>45558</v>
      </c>
      <c r="Q85" s="96"/>
    </row>
    <row r="86" spans="1:17" ht="41.25" x14ac:dyDescent="0.35">
      <c r="A86" s="48">
        <v>76591</v>
      </c>
      <c r="B86" s="39" t="str" cm="1">
        <f t="array" ref="B86">IF(A86&lt;&gt;"",_xlfn.XLOOKUP(_xlfn.NUMBERVALUE(A86),_xlfn.NUMBERVALUE(Carga[Tombamento]),Carga[Descrição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86" s="39" t="str">
        <f t="shared" si="5"/>
        <v>REMOVEDOR MECÂNICO DE LODO FLOTADO, COMPRIMENTO DE 14,00 M, LARGURA DE 10,80 M E POTÊNCIA (MÁX.) DE 1 KW PARA  4 FLOTADORES</v>
      </c>
      <c r="E86" s="42" t="s">
        <v>194</v>
      </c>
      <c r="F86" s="43" t="s">
        <v>207</v>
      </c>
      <c r="G86" s="43" t="s">
        <v>199</v>
      </c>
      <c r="H86" s="41" t="s">
        <v>201</v>
      </c>
      <c r="I86" s="43" t="s">
        <v>53</v>
      </c>
      <c r="J86" s="40" t="s">
        <v>256</v>
      </c>
      <c r="K86" s="60">
        <v>45422</v>
      </c>
      <c r="O86" s="82">
        <v>45558</v>
      </c>
      <c r="Q86" s="96"/>
    </row>
    <row r="87" spans="1:17" ht="41.25" x14ac:dyDescent="0.35">
      <c r="A87" s="48">
        <v>76592</v>
      </c>
      <c r="B87" s="39" t="str" cm="1">
        <f t="array" ref="B87">IF(A87&lt;&gt;"",_xlfn.XLOOKUP(_xlfn.NUMBERVALUE(A87),_xlfn.NUMBERVALUE(Carga[Tombamento]),Carga[Descrição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87" s="39" t="str">
        <f t="shared" si="5"/>
        <v>REMOVEDOR MECÂNICO DE LODO FLOTADO, COMPRIMENTO DE 14,00 M, LARGURA DE 10,80 M E POTÊNCIA (MÁX.) DE 1 KW PARA  4 FLOTADORES</v>
      </c>
      <c r="E87" s="42" t="s">
        <v>194</v>
      </c>
      <c r="F87" s="41" t="s">
        <v>207</v>
      </c>
      <c r="G87" s="41" t="s">
        <v>199</v>
      </c>
      <c r="H87" s="41" t="s">
        <v>201</v>
      </c>
      <c r="I87" s="41" t="s">
        <v>53</v>
      </c>
      <c r="J87" s="40" t="s">
        <v>255</v>
      </c>
      <c r="K87" s="60">
        <v>45422</v>
      </c>
      <c r="O87" s="82">
        <v>45558</v>
      </c>
      <c r="Q87" s="96"/>
    </row>
    <row r="88" spans="1:17" ht="41.25" x14ac:dyDescent="0.35">
      <c r="A88" s="48">
        <v>76593</v>
      </c>
      <c r="B88" s="39" t="str" cm="1">
        <f t="array" ref="B88">IF(A88&lt;&gt;"",_xlfn.XLOOKUP(_xlfn.NUMBERVALUE(A88),_xlfn.NUMBERVALUE(Carga[Tombamento]),Carga[Descrição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88" s="39" t="str">
        <f t="shared" si="5"/>
        <v>REMOVEDOR MECÂNICO DE LODO FLOTADO, COMPRIMENTO DE 14,00 M, LARGURA DE 10,80 M E POTÊNCIA (MÁX.) DE 1 KW PARA  4 FLOTADORES</v>
      </c>
      <c r="E88" s="42" t="s">
        <v>194</v>
      </c>
      <c r="F88" s="43" t="s">
        <v>197</v>
      </c>
      <c r="G88" s="43" t="s">
        <v>199</v>
      </c>
      <c r="H88" s="41" t="s">
        <v>201</v>
      </c>
      <c r="I88" s="43" t="s">
        <v>53</v>
      </c>
      <c r="J88" s="40" t="s">
        <v>255</v>
      </c>
      <c r="K88" s="60">
        <v>45422</v>
      </c>
      <c r="O88" s="82">
        <v>45558</v>
      </c>
      <c r="Q88" s="96"/>
    </row>
    <row r="89" spans="1:17" ht="41.25" x14ac:dyDescent="0.35">
      <c r="A89" s="48">
        <v>76594</v>
      </c>
      <c r="B89" s="39" t="str" cm="1">
        <f t="array" ref="B89">IF(A89&lt;&gt;"",_xlfn.XLOOKUP(_xlfn.NUMBERVALUE(A89),_xlfn.NUMBERVALUE(Carga[Tombamento]),Carga[Descrição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89" s="39" t="str">
        <f t="shared" si="5"/>
        <v>REMOVEDOR MECÂNICO DE LODO FLOTADO, COMPRIMENTO DE 14,00 M, LARGURA DE 10,80 M E POTÊNCIA (MÁX.) DE 1 KW PARA  4 FLOTADORES</v>
      </c>
      <c r="E89" s="42" t="s">
        <v>194</v>
      </c>
      <c r="F89" s="41" t="s">
        <v>207</v>
      </c>
      <c r="G89" s="41" t="s">
        <v>199</v>
      </c>
      <c r="H89" s="41" t="s">
        <v>201</v>
      </c>
      <c r="I89" s="41" t="s">
        <v>53</v>
      </c>
      <c r="J89" s="40" t="s">
        <v>255</v>
      </c>
      <c r="K89" s="60">
        <v>45422</v>
      </c>
      <c r="O89" s="82">
        <v>45558</v>
      </c>
      <c r="Q89" s="96"/>
    </row>
    <row r="90" spans="1:17" ht="41.25" x14ac:dyDescent="0.35">
      <c r="A90" s="48">
        <v>76595</v>
      </c>
      <c r="B90" s="39" t="str" cm="1">
        <f t="array" ref="B90">IF(A90&lt;&gt;"",_xlfn.XLOOKUP(_xlfn.NUMBERVALUE(A90),_xlfn.NUMBERVALUE(Carga[Tombamento]),Carga[Descrição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90" s="39" t="str">
        <f t="shared" si="5"/>
        <v>REMOVEDOR MECÂNICO DE LODO FLOTADO, COMPRIMENTO DE 14,00 M, LARGURA DE 10,80 M E POTÊNCIA (MÁX.) DE 1 KW PARA  4 FLOTADORES</v>
      </c>
      <c r="E90" s="42" t="s">
        <v>194</v>
      </c>
      <c r="F90" s="43" t="s">
        <v>207</v>
      </c>
      <c r="G90" s="43" t="s">
        <v>199</v>
      </c>
      <c r="H90" s="41" t="s">
        <v>201</v>
      </c>
      <c r="I90" s="43" t="s">
        <v>53</v>
      </c>
      <c r="J90" s="40" t="s">
        <v>253</v>
      </c>
      <c r="K90" s="60">
        <v>45422</v>
      </c>
      <c r="O90" s="82">
        <v>45558</v>
      </c>
      <c r="Q90" s="96"/>
    </row>
    <row r="91" spans="1:17" ht="41.25" x14ac:dyDescent="0.35">
      <c r="A91" s="48">
        <v>76596</v>
      </c>
      <c r="B91" s="39" t="str" cm="1">
        <f t="array" ref="B91">IF(A91&lt;&gt;"",_xlfn.XLOOKUP(_xlfn.NUMBERVALUE(A91),_xlfn.NUMBERVALUE(Carga[Tombamento]),Carga[Descrição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91" s="39" t="str">
        <f t="shared" si="5"/>
        <v>REMOVEDOR MECÂNICO DE LODO FLOTADO, COMPRIMENTO DE 14,00 M, LARGURA DE 10,80 M E POTÊNCIA (MÁX.) DE 1 KW PARA  4 FLOTADORES</v>
      </c>
      <c r="E91" s="42" t="s">
        <v>194</v>
      </c>
      <c r="F91" s="41" t="s">
        <v>207</v>
      </c>
      <c r="G91" s="41" t="s">
        <v>199</v>
      </c>
      <c r="H91" s="41" t="s">
        <v>201</v>
      </c>
      <c r="I91" s="41" t="s">
        <v>53</v>
      </c>
      <c r="J91" s="40" t="s">
        <v>253</v>
      </c>
      <c r="K91" s="60">
        <v>45422</v>
      </c>
      <c r="O91" s="82">
        <v>45558</v>
      </c>
      <c r="Q91" s="96"/>
    </row>
    <row r="92" spans="1:17" ht="41.25" x14ac:dyDescent="0.35">
      <c r="A92" s="48">
        <v>76597</v>
      </c>
      <c r="B92" s="39" t="str" cm="1">
        <f t="array" ref="B92">IF(A92&lt;&gt;"",_xlfn.XLOOKUP(_xlfn.NUMBERVALUE(A92),_xlfn.NUMBERVALUE(Carga[Tombamento]),Carga[Descrição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92" s="39" t="str">
        <f t="shared" si="5"/>
        <v>REMOVEDOR MECÂNICO DE LODO FLOTADO, COMPRIMENTO DE 14,00 M, LARGURA DE 10,80 M E POTÊNCIA (MÁX.) DE 1 KW PARA  4 FLOTADORES</v>
      </c>
      <c r="E92" s="42" t="s">
        <v>194</v>
      </c>
      <c r="F92" s="43" t="s">
        <v>207</v>
      </c>
      <c r="G92" s="43" t="s">
        <v>199</v>
      </c>
      <c r="H92" s="41" t="s">
        <v>201</v>
      </c>
      <c r="I92" s="43" t="s">
        <v>53</v>
      </c>
      <c r="J92" s="40" t="s">
        <v>254</v>
      </c>
      <c r="K92" s="60">
        <v>45422</v>
      </c>
      <c r="O92" s="82">
        <v>45558</v>
      </c>
      <c r="Q92" s="96"/>
    </row>
    <row r="93" spans="1:17" ht="41.25" x14ac:dyDescent="0.35">
      <c r="A93" s="48">
        <v>76598</v>
      </c>
      <c r="B93" s="39" t="str" cm="1">
        <f t="array" ref="B93">IF(A93&lt;&gt;"",_xlfn.XLOOKUP(_xlfn.NUMBERVALUE(A93),_xlfn.NUMBERVALUE(Carga[Tombamento]),Carga[Descrição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93" s="39" t="str">
        <f t="shared" si="5"/>
        <v>REMOVEDOR MECÂNICO DE LODO FLOTADO, COMPRIMENTO DE 14,00 M, LARGURA DE 10,80 M E POTÊNCIA (MÁX.) DE 1 KW PARA  4 FLOTADORES</v>
      </c>
      <c r="E93" s="42" t="s">
        <v>194</v>
      </c>
      <c r="F93" s="41" t="s">
        <v>197</v>
      </c>
      <c r="G93" s="41" t="s">
        <v>199</v>
      </c>
      <c r="H93" s="41" t="s">
        <v>201</v>
      </c>
      <c r="I93" s="41" t="s">
        <v>53</v>
      </c>
      <c r="J93" s="40" t="s">
        <v>254</v>
      </c>
      <c r="K93" s="60">
        <v>45422</v>
      </c>
      <c r="O93" s="82">
        <v>45558</v>
      </c>
      <c r="Q93" s="96"/>
    </row>
    <row r="94" spans="1:17" ht="41.25" x14ac:dyDescent="0.35">
      <c r="A94" s="48">
        <v>76599</v>
      </c>
      <c r="B94" s="39" t="str" cm="1">
        <f t="array" ref="B94">IF(A94&lt;&gt;"",_xlfn.XLOOKUP(_xlfn.NUMBERVALUE(A94),_xlfn.NUMBERVALUE(Carga[Tombamento]),Carga[Descrição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94" s="39" t="str">
        <f t="shared" si="5"/>
        <v>REMOVEDOR MECÂNICO DE LODO FLOTADO, COMPRIMENTO DE 14,00 M, LARGURA DE 10,80 M E POTÊNCIA (MÁX.) DE 1 KW PARA  4 FLOTADORES</v>
      </c>
      <c r="E94" s="42" t="s">
        <v>194</v>
      </c>
      <c r="F94" s="43" t="s">
        <v>197</v>
      </c>
      <c r="G94" s="43" t="s">
        <v>199</v>
      </c>
      <c r="H94" s="41" t="s">
        <v>201</v>
      </c>
      <c r="I94" s="43" t="s">
        <v>53</v>
      </c>
      <c r="J94" s="40" t="s">
        <v>254</v>
      </c>
      <c r="K94" s="60">
        <v>45422</v>
      </c>
      <c r="O94" s="82">
        <v>45558</v>
      </c>
      <c r="Q94" s="96"/>
    </row>
    <row r="95" spans="1:17" ht="41.25" x14ac:dyDescent="0.35">
      <c r="A95" s="48">
        <v>76600</v>
      </c>
      <c r="B95" s="39" t="str" cm="1">
        <f t="array" ref="B95">IF(A95&lt;&gt;"",_xlfn.XLOOKUP(_xlfn.NUMBERVALUE(A95),_xlfn.NUMBERVALUE(Carga[Tombamento]),Carga[Descrição do Bem]),"")</f>
        <v>ESTAÇÃO DE TRATAMENTO DE ÁGUA - VALPARAISO/GO REMOVEDOR MECÂNICO DE LODO FLOTADO, COMPRIMENTO DE 14,00 M, LARGURA DE 10,80 M E POTÊNCIA (MÁX.) DE 1 KW PARA  4 FLOTADORES</v>
      </c>
      <c r="C95" s="39" t="str">
        <f t="shared" si="5"/>
        <v>REMOVEDOR MECÂNICO DE LODO FLOTADO, COMPRIMENTO DE 14,00 M, LARGURA DE 10,80 M E POTÊNCIA (MÁX.) DE 1 KW PARA  4 FLOTADORES</v>
      </c>
      <c r="E95" s="42" t="s">
        <v>194</v>
      </c>
      <c r="F95" s="41" t="s">
        <v>197</v>
      </c>
      <c r="G95" s="41" t="s">
        <v>199</v>
      </c>
      <c r="H95" s="41" t="s">
        <v>201</v>
      </c>
      <c r="I95" s="41" t="s">
        <v>53</v>
      </c>
      <c r="J95" s="40" t="s">
        <v>253</v>
      </c>
      <c r="K95" s="60">
        <v>45422</v>
      </c>
      <c r="O95" s="82">
        <v>45558</v>
      </c>
      <c r="Q95" s="96"/>
    </row>
    <row r="96" spans="1:17" ht="69" x14ac:dyDescent="0.35">
      <c r="A96" s="48">
        <v>76601</v>
      </c>
      <c r="B96" s="39" t="str" cm="1">
        <f t="array" ref="B96">IF(A96&lt;&gt;"",_xlfn.XLOOKUP(_xlfn.NUMBERVALUE(A96),_xlfn.NUMBERVALUE(Carga[Tombamento]),Carga[Descrição do Bem]),"")</f>
        <v>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</v>
      </c>
      <c r="C96" s="39" t="str">
        <f t="shared" si="5"/>
        <v>CONJUNTO MOTO-COMPRESSOR, PARA INJEÇÃO DE AR SISTEMA DE SATURAÇÃO DOS FLOTADORES, DO TIPO PISTÕES COM RESERVATÓRIO, PARA A VAZÃO NOMINAL (PCM): 40, NÍVEL MÁXIMO</v>
      </c>
      <c r="E96" s="42" t="s">
        <v>194</v>
      </c>
      <c r="F96" s="43" t="s">
        <v>197</v>
      </c>
      <c r="G96" s="43" t="s">
        <v>199</v>
      </c>
      <c r="H96" s="41" t="s">
        <v>201</v>
      </c>
      <c r="I96" s="43" t="s">
        <v>53</v>
      </c>
      <c r="J96" s="40" t="s">
        <v>261</v>
      </c>
      <c r="K96" s="60">
        <v>45421</v>
      </c>
      <c r="O96" s="82">
        <v>45553</v>
      </c>
      <c r="Q96" s="96"/>
    </row>
    <row r="97" spans="1:17" ht="69" x14ac:dyDescent="0.35">
      <c r="A97" s="48">
        <v>76602</v>
      </c>
      <c r="B97" s="39" t="str" cm="1">
        <f t="array" ref="B97">IF(A97&lt;&gt;"",_xlfn.XLOOKUP(_xlfn.NUMBERVALUE(A97),_xlfn.NUMBERVALUE(Carga[Tombamento]),Carga[Descrição do Bem]),"")</f>
        <v>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</v>
      </c>
      <c r="C97" s="39" t="str">
        <f t="shared" si="5"/>
        <v>CONJUNTO MOTO-COMPRESSOR, PARA INJEÇÃO DE AR SISTEMA DE SATURAÇÃO DOS FLOTADORES, DO TIPO PISTÕES COM RESERVATÓRIO, PARA A VAZÃO NOMINAL (PCM): 40, NÍVEL MÁXIMO</v>
      </c>
      <c r="E97" s="42" t="s">
        <v>194</v>
      </c>
      <c r="F97" s="41" t="s">
        <v>197</v>
      </c>
      <c r="G97" s="41" t="s">
        <v>199</v>
      </c>
      <c r="H97" s="41" t="s">
        <v>201</v>
      </c>
      <c r="I97" s="41" t="s">
        <v>53</v>
      </c>
      <c r="J97" s="40" t="s">
        <v>261</v>
      </c>
      <c r="K97" s="60">
        <v>45421</v>
      </c>
      <c r="O97" s="82">
        <v>45553</v>
      </c>
      <c r="Q97" s="96"/>
    </row>
    <row r="98" spans="1:17" ht="69" x14ac:dyDescent="0.35">
      <c r="A98" s="48">
        <v>76603</v>
      </c>
      <c r="B98" s="39" t="str" cm="1">
        <f t="array" ref="B98">IF(A98&lt;&gt;"",_xlfn.XLOOKUP(_xlfn.NUMBERVALUE(A98),_xlfn.NUMBERVALUE(Carga[Tombamento]),Carga[Descrição do Bem]),"")</f>
        <v>ESTAÇÃO DE TRATAMENTO DE ÁGUA - VALPARAISO/GO CONJUNTO MOTO-COMPRESSOR, PARA INJEÇÃO DE AR SISTEMA DE SATURAÇÃO DOS FLOTADORES, DO TIPO PISTÕES COM RESERVATÓRIO, PARA A VAZÃO NOMINAL (PCM): 40, NÍVEL MÁXIMO DE RUÍDO DE 84 ± 2 DB, 3 CILINDROS, 2 ESTÁGIOS, 4 PÓLOS, COM POTÊNCIA NOMINAL DO MOTOR DE  10 CV</v>
      </c>
      <c r="C98" s="39" t="str">
        <f t="shared" si="5"/>
        <v>CONJUNTO MOTO-COMPRESSOR, PARA INJEÇÃO DE AR SISTEMA DE SATURAÇÃO DOS FLOTADORES, DO TIPO PISTÕES COM RESERVATÓRIO, PARA A VAZÃO NOMINAL (PCM): 40, NÍVEL MÁXIMO</v>
      </c>
      <c r="E98" s="42" t="s">
        <v>194</v>
      </c>
      <c r="F98" s="43" t="s">
        <v>197</v>
      </c>
      <c r="G98" s="43" t="s">
        <v>199</v>
      </c>
      <c r="H98" s="41" t="s">
        <v>201</v>
      </c>
      <c r="I98" s="43" t="s">
        <v>53</v>
      </c>
      <c r="J98" s="40" t="s">
        <v>261</v>
      </c>
      <c r="K98" s="60">
        <v>45421</v>
      </c>
      <c r="O98" s="82">
        <v>45553</v>
      </c>
      <c r="Q98" s="96"/>
    </row>
    <row r="99" spans="1:17" ht="50.25" x14ac:dyDescent="0.35">
      <c r="A99" s="48">
        <v>76604</v>
      </c>
      <c r="B99" s="39" t="str" cm="1">
        <f t="array" ref="B99">IF(A99&lt;&gt;"",_xlfn.XLOOKUP(_xlfn.NUMBERVALUE(A99),_xlfn.NUMBERVALUE(Carga[Tombamento]),Carga[Descrição do Bem]),"")</f>
        <v>ESTAÇÃO DE TRATAMENTO DE ÁGUA - VALPARAISO/GO MEDIDOR DE VAZÃO ELETROMAGNÉTICO, PARA TRABALHO COM VAZÃO OPERACIONAL ENTRE 30 E 45 L/S, COM DIÂMETRO NOMINAL DE 200 MM, CONEXÕES POR FLANGE  DO TIPO DIN 2501 / EN 1092-1</v>
      </c>
      <c r="C99" s="39" t="str">
        <f t="shared" si="5"/>
        <v>MEDIDOR DE VAZÃO ELETROMAGNÉTICO, PARA TRABALHO COM VAZÃO OPERACIONAL ENTRE 30 E 45 L/S, COM DIÂMETRO NOMINAL DE 200 MM, CONEXÕES POR FLANGE  DO TIPO DIN 2501 /</v>
      </c>
      <c r="E99" s="42" t="s">
        <v>194</v>
      </c>
      <c r="F99" s="41" t="s">
        <v>197</v>
      </c>
      <c r="G99" s="41" t="s">
        <v>199</v>
      </c>
      <c r="H99" s="41" t="s">
        <v>201</v>
      </c>
      <c r="I99" s="41" t="s">
        <v>53</v>
      </c>
      <c r="J99" s="40" t="s">
        <v>248</v>
      </c>
      <c r="K99" s="60">
        <v>45421</v>
      </c>
      <c r="O99" s="82">
        <v>45553</v>
      </c>
      <c r="Q99" s="96"/>
    </row>
    <row r="100" spans="1:17" ht="50.25" x14ac:dyDescent="0.35">
      <c r="A100" s="48">
        <v>76605</v>
      </c>
      <c r="B100" s="39" t="str" cm="1">
        <f t="array" ref="B100">IF(A100&lt;&gt;"",_xlfn.XLOOKUP(_xlfn.NUMBERVALUE(A100),_xlfn.NUMBERVALUE(Carga[Tombamento]),Carga[Descrição do Bem]),"")</f>
        <v>ESTAÇÃO DE TRATAMENTO DE ÁGUA - VALPARAISO/GO MEDIDOR DE VAZÃO ELETROMAGNÉTICO, PARA TRABALHO COM VAZÃO OPERACIONAL ENTRE 30 E 45 L/S, COM DIÂMETRO NOMINAL DE 200 MM, CONEXÕES POR FLANGE  DO TIPO DIN 2501 / EN 1092-1</v>
      </c>
      <c r="C100" s="39" t="str">
        <f t="shared" si="5"/>
        <v>MEDIDOR DE VAZÃO ELETROMAGNÉTICO, PARA TRABALHO COM VAZÃO OPERACIONAL ENTRE 30 E 45 L/S, COM DIÂMETRO NOMINAL DE 200 MM, CONEXÕES POR FLANGE  DO TIPO DIN 2501 /</v>
      </c>
      <c r="E100" s="42" t="s">
        <v>194</v>
      </c>
      <c r="F100" s="43" t="s">
        <v>197</v>
      </c>
      <c r="G100" s="43" t="s">
        <v>199</v>
      </c>
      <c r="H100" s="41" t="s">
        <v>201</v>
      </c>
      <c r="I100" s="43" t="s">
        <v>53</v>
      </c>
      <c r="J100" s="40" t="s">
        <v>248</v>
      </c>
      <c r="K100" s="60">
        <v>45421</v>
      </c>
      <c r="O100" s="82">
        <v>45553</v>
      </c>
      <c r="Q100" s="96"/>
    </row>
    <row r="101" spans="1:17" ht="50.25" x14ac:dyDescent="0.35">
      <c r="A101" s="48">
        <v>76606</v>
      </c>
      <c r="B101" s="39" t="str" cm="1">
        <f t="array" ref="B101">IF(A101&lt;&gt;"",_xlfn.XLOOKUP(_xlfn.NUMBERVALUE(A101),_xlfn.NUMBERVALUE(Carga[Tombamento]),Carga[Descrição do Bem]),"")</f>
        <v>ESTAÇÃO DE TRATAMENTO DE ÁGUA - VALPARAISO/GO MEDIDOR DE VAZÃO ELETROMAGNÉTICO, PARA TRABALHO COM VAZÃO OPERACIONAL ENTRE 30 E 45 L/S, COM DIÂMETRO NOMINAL DE 200 MM, CONEXÕES POR FLANGE  DO TIPO DIN 2501 / EN 1092-1</v>
      </c>
      <c r="C101" s="39" t="str">
        <f t="shared" si="5"/>
        <v>MEDIDOR DE VAZÃO ELETROMAGNÉTICO, PARA TRABALHO COM VAZÃO OPERACIONAL ENTRE 30 E 45 L/S, COM DIÂMETRO NOMINAL DE 200 MM, CONEXÕES POR FLANGE  DO TIPO DIN 2501 /</v>
      </c>
      <c r="E101" s="42" t="s">
        <v>194</v>
      </c>
      <c r="F101" s="41" t="s">
        <v>197</v>
      </c>
      <c r="G101" s="41" t="s">
        <v>199</v>
      </c>
      <c r="H101" s="41" t="s">
        <v>201</v>
      </c>
      <c r="I101" s="41" t="s">
        <v>53</v>
      </c>
      <c r="J101" s="40" t="s">
        <v>248</v>
      </c>
      <c r="K101" s="60">
        <v>45421</v>
      </c>
      <c r="O101" s="82">
        <v>45553</v>
      </c>
      <c r="Q101" s="96"/>
    </row>
    <row r="102" spans="1:17" ht="50.25" x14ac:dyDescent="0.35">
      <c r="A102" s="48">
        <v>76607</v>
      </c>
      <c r="B102" s="39" t="str" cm="1">
        <f t="array" ref="B102">IF(A102&lt;&gt;"",_xlfn.XLOOKUP(_xlfn.NUMBERVALUE(A102),_xlfn.NUMBERVALUE(Carga[Tombamento]),Carga[Descrição do Bem]),"")</f>
        <v>ESTAÇÃO DE TRATAMENTO DE ÁGUA - VALPARAISO/GO MEDIDOR DE VAZÃO ELETROMAGNÉTICO, PARA TRABALHO COM VAZÃO OPERACIONAL ENTRE 30 E 45 L/S, COM DIÂMETRO NOMINAL DE 200 MM, CONEXÕES POR FLANGE  DO TIPO DIN 2501 / EN 1092-1</v>
      </c>
      <c r="C102" s="39" t="str">
        <f t="shared" si="5"/>
        <v>MEDIDOR DE VAZÃO ELETROMAGNÉTICO, PARA TRABALHO COM VAZÃO OPERACIONAL ENTRE 30 E 45 L/S, COM DIÂMETRO NOMINAL DE 200 MM, CONEXÕES POR FLANGE  DO TIPO DIN 2501 /</v>
      </c>
      <c r="E102" s="42" t="s">
        <v>194</v>
      </c>
      <c r="F102" s="43" t="s">
        <v>197</v>
      </c>
      <c r="G102" s="43" t="s">
        <v>199</v>
      </c>
      <c r="H102" s="41" t="s">
        <v>201</v>
      </c>
      <c r="I102" s="43" t="s">
        <v>53</v>
      </c>
      <c r="J102" s="40" t="s">
        <v>248</v>
      </c>
      <c r="K102" s="60">
        <v>45421</v>
      </c>
      <c r="O102" s="82">
        <v>45553</v>
      </c>
      <c r="Q102" s="96"/>
    </row>
    <row r="103" spans="1:17" ht="50.25" x14ac:dyDescent="0.35">
      <c r="A103" s="48">
        <v>76608</v>
      </c>
      <c r="B103" s="39" t="str" cm="1">
        <f t="array" ref="B103">IF(A103&lt;&gt;"",_xlfn.XLOOKUP(_xlfn.NUMBERVALUE(A103),_xlfn.NUMBERVALUE(Carga[Tombamento]),Carga[Descrição do Bem]),"")</f>
        <v>ESTAÇÃO DE TRATAMENTO DE ÁGUA - VALPARAISO/GO CONJUNTO MOTOR-BOMBA, DO TIPO CENTRÍFUGA, HORIZONTAL,  VAZÃO 40.8 L/S,  ALTURA MANOMÉTRICA DE 75,84 MCA, POTÊNCIA NOMINAL DE 55 CV.</v>
      </c>
      <c r="C103" s="39" t="str">
        <f t="shared" si="5"/>
        <v>CONJUNTO MOTOR-BOMBA, DO TIPO CENTRÍFUGA, HORIZONTAL,  VAZÃO 40.8 L/S,  ALTURA MANOMÉTRICA DE 75,84 MCA, POTÊNCIA NOMINAL DE 55 CV.</v>
      </c>
      <c r="E103" s="42" t="s">
        <v>194</v>
      </c>
      <c r="F103" s="41" t="s">
        <v>197</v>
      </c>
      <c r="G103" s="41" t="s">
        <v>199</v>
      </c>
      <c r="H103" s="41" t="s">
        <v>201</v>
      </c>
      <c r="I103" s="41" t="s">
        <v>53</v>
      </c>
      <c r="J103" s="40" t="s">
        <v>216</v>
      </c>
      <c r="K103" s="60">
        <v>45421</v>
      </c>
      <c r="O103" s="82">
        <v>45553</v>
      </c>
      <c r="Q103" s="96"/>
    </row>
    <row r="104" spans="1:17" ht="50.25" x14ac:dyDescent="0.35">
      <c r="A104" s="48">
        <v>76609</v>
      </c>
      <c r="B104" s="39" t="str" cm="1">
        <f t="array" ref="B104">IF(A104&lt;&gt;"",_xlfn.XLOOKUP(_xlfn.NUMBERVALUE(A104),_xlfn.NUMBERVALUE(Carga[Tombamento]),Carga[Descrição do Bem]),"")</f>
        <v>ESTAÇÃO DE TRATAMENTO DE ÁGUA - VALPARAISO/GO CONJUNTO MOTOR-BOMBA, DO TIPO CENTRÍFUGA, HORIZONTAL,  VAZÃO 40.8 L/S,  ALTURA MANOMÉTRICA DE 75,84 MCA, POTÊNCIA NOMINAL DE 55 CV.</v>
      </c>
      <c r="C104" s="39" t="str">
        <f t="shared" si="5"/>
        <v>CONJUNTO MOTOR-BOMBA, DO TIPO CENTRÍFUGA, HORIZONTAL,  VAZÃO 40.8 L/S,  ALTURA MANOMÉTRICA DE 75,84 MCA, POTÊNCIA NOMINAL DE 55 CV.</v>
      </c>
      <c r="E104" s="42" t="s">
        <v>194</v>
      </c>
      <c r="F104" s="43" t="s">
        <v>197</v>
      </c>
      <c r="G104" s="43" t="s">
        <v>199</v>
      </c>
      <c r="H104" s="41" t="s">
        <v>201</v>
      </c>
      <c r="I104" s="43" t="s">
        <v>53</v>
      </c>
      <c r="J104" s="40" t="s">
        <v>216</v>
      </c>
      <c r="K104" s="60">
        <v>45421</v>
      </c>
      <c r="O104" s="82">
        <v>45553</v>
      </c>
      <c r="Q104" s="96"/>
    </row>
    <row r="105" spans="1:17" ht="50.25" x14ac:dyDescent="0.35">
      <c r="A105" s="48">
        <v>76610</v>
      </c>
      <c r="B105" s="39" t="str" cm="1">
        <f t="array" ref="B105">IF(A105&lt;&gt;"",_xlfn.XLOOKUP(_xlfn.NUMBERVALUE(A105),_xlfn.NUMBERVALUE(Carga[Tombamento]),Carga[Descrição do Bem]),"")</f>
        <v>ESTAÇÃO DE TRATAMENTO DE ÁGUA - VALPARAISO/GO CONJUNTO MOTOR-BOMBA, DO TIPO CENTRÍFUGA, HORIZONTAL,  VAZÃO 40.8 L/S,  ALTURA MANOMÉTRICA DE 75,84 MCA, POTÊNCIA NOMINAL DE 55 CV.</v>
      </c>
      <c r="C105" s="39" t="str">
        <f t="shared" si="5"/>
        <v>CONJUNTO MOTOR-BOMBA, DO TIPO CENTRÍFUGA, HORIZONTAL,  VAZÃO 40.8 L/S,  ALTURA MANOMÉTRICA DE 75,84 MCA, POTÊNCIA NOMINAL DE 55 CV.</v>
      </c>
      <c r="E105" s="42" t="s">
        <v>194</v>
      </c>
      <c r="F105" s="41" t="s">
        <v>196</v>
      </c>
      <c r="G105" s="41" t="s">
        <v>199</v>
      </c>
      <c r="H105" s="41" t="s">
        <v>201</v>
      </c>
      <c r="I105" s="41" t="s">
        <v>53</v>
      </c>
      <c r="J105" s="40" t="s">
        <v>216</v>
      </c>
      <c r="K105" s="60">
        <v>45421</v>
      </c>
      <c r="O105" s="82">
        <v>45553</v>
      </c>
      <c r="Q105" s="96"/>
    </row>
    <row r="106" spans="1:17" ht="50.25" x14ac:dyDescent="0.35">
      <c r="A106" s="48">
        <v>76611</v>
      </c>
      <c r="B106" s="39" t="str" cm="1">
        <f t="array" ref="B106">IF(A106&lt;&gt;"",_xlfn.XLOOKUP(_xlfn.NUMBERVALUE(A106),_xlfn.NUMBERVALUE(Carga[Tombamento]),Carga[Descrição do Bem]),"")</f>
        <v>ESTAÇÃO DE TRATAMENTO DE ÁGUA - VALPARAISO/GO CONJUNTO MOTOR-BOMBA, DO TIPO CENTRÍFUGA, HORIZONTAL,  VAZÃO 40.8 L/S,  ALTURA MANOMÉTRICA DE 75,84 MCA, POTÊNCIA NOMINAL DE 55 CV.</v>
      </c>
      <c r="C106" s="39" t="str">
        <f t="shared" si="5"/>
        <v>CONJUNTO MOTOR-BOMBA, DO TIPO CENTRÍFUGA, HORIZONTAL,  VAZÃO 40.8 L/S,  ALTURA MANOMÉTRICA DE 75,84 MCA, POTÊNCIA NOMINAL DE 55 CV.</v>
      </c>
      <c r="E106" s="42" t="s">
        <v>194</v>
      </c>
      <c r="F106" s="43" t="s">
        <v>196</v>
      </c>
      <c r="G106" s="43" t="s">
        <v>199</v>
      </c>
      <c r="H106" s="41" t="s">
        <v>201</v>
      </c>
      <c r="I106" s="43" t="s">
        <v>53</v>
      </c>
      <c r="J106" s="40" t="s">
        <v>216</v>
      </c>
      <c r="K106" s="60">
        <v>45421</v>
      </c>
      <c r="O106" s="82">
        <v>45553</v>
      </c>
      <c r="Q106" s="96"/>
    </row>
    <row r="107" spans="1:17" ht="50.25" x14ac:dyDescent="0.35">
      <c r="A107" s="48">
        <v>76612</v>
      </c>
      <c r="B107" s="39" t="str" cm="1">
        <f t="array" ref="B107">IF(A107&lt;&gt;"",_xlfn.XLOOKUP(_xlfn.NUMBERVALUE(A107),_xlfn.NUMBERVALUE(Carga[Tombamento]),Carga[Descrição do Bem]),"")</f>
        <v>ESTAÇÃO DE TRATAMENTO DE ÁGUA - VALPARAISO/GO CONJUNTO MOTOR-BOMBA, DO TIPO CENTRÍFUGA, HORIZONTAL,  VAZÃO 40.8 L/S,  ALTURA MANOMÉTRICA DE 75,84 MCA, POTÊNCIA NOMINAL DE 55 CV.</v>
      </c>
      <c r="C107" s="39" t="str">
        <f t="shared" si="5"/>
        <v>CONJUNTO MOTOR-BOMBA, DO TIPO CENTRÍFUGA, HORIZONTAL,  VAZÃO 40.8 L/S,  ALTURA MANOMÉTRICA DE 75,84 MCA, POTÊNCIA NOMINAL DE 55 CV.</v>
      </c>
      <c r="E107" s="42" t="s">
        <v>194</v>
      </c>
      <c r="F107" s="41" t="s">
        <v>196</v>
      </c>
      <c r="G107" s="41" t="s">
        <v>199</v>
      </c>
      <c r="H107" s="41" t="s">
        <v>201</v>
      </c>
      <c r="I107" s="41" t="s">
        <v>53</v>
      </c>
      <c r="J107" s="40" t="s">
        <v>216</v>
      </c>
      <c r="K107" s="60">
        <v>45421</v>
      </c>
      <c r="O107" s="82">
        <v>45553</v>
      </c>
      <c r="Q107" s="96"/>
    </row>
    <row r="108" spans="1:17" ht="50.25" x14ac:dyDescent="0.35">
      <c r="A108" s="48">
        <v>76613</v>
      </c>
      <c r="B108" s="39" t="str" cm="1">
        <f t="array" ref="B108">IF(A108&lt;&gt;"",_xlfn.XLOOKUP(_xlfn.NUMBERVALUE(A108),_xlfn.NUMBERVALUE(Carga[Tombamento]),Carga[Descrição do Bem]),"")</f>
        <v>ESTAÇÃO DE TRATAMENTO DE ÁGUA - VALPARAISO/GO CONJUNTO MOTOR-BOMBA, DO TIPO HELICOIDAL, HORIZONTAL,  VAZÃO 1,38 L/S,  ALTURA MANOMÉTRICA DE 10 MCA, POTÊNCIA NOMINAL DE 2,5 KW</v>
      </c>
      <c r="C108" s="39" t="str">
        <f t="shared" si="5"/>
        <v>CONJUNTO MOTOR-BOMBA, DO TIPO HELICOIDAL, HORIZONTAL,  VAZÃO 1,38 L/S,  ALTURA MANOMÉTRICA DE 10 MCA, POTÊNCIA NOMINAL DE 2,5 KW</v>
      </c>
      <c r="E108" s="42" t="s">
        <v>194</v>
      </c>
      <c r="F108" s="43" t="s">
        <v>196</v>
      </c>
      <c r="G108" s="43" t="s">
        <v>199</v>
      </c>
      <c r="H108" s="41" t="s">
        <v>201</v>
      </c>
      <c r="I108" s="43" t="s">
        <v>53</v>
      </c>
      <c r="J108" s="40" t="s">
        <v>246</v>
      </c>
      <c r="K108" s="60">
        <v>45421</v>
      </c>
      <c r="O108" s="82">
        <v>45555</v>
      </c>
      <c r="Q108" s="96"/>
    </row>
    <row r="109" spans="1:17" ht="50.25" x14ac:dyDescent="0.35">
      <c r="A109" s="48">
        <v>76614</v>
      </c>
      <c r="B109" s="39" t="str" cm="1">
        <f t="array" ref="B109">IF(A109&lt;&gt;"",_xlfn.XLOOKUP(_xlfn.NUMBERVALUE(A109),_xlfn.NUMBERVALUE(Carga[Tombamento]),Carga[Descrição do Bem]),"")</f>
        <v>ESTAÇÃO DE TRATAMENTO DE ÁGUA - VALPARAISO/GO CONJUNTO MOTOR-BOMBA, DO TIPO HELICOIDAL, HORIZONTAL,  VAZÃO 1,38 L/S,  ALTURA MANOMÉTRICA DE 10 MCA, POTÊNCIA NOMINAL DE 2,5 KW</v>
      </c>
      <c r="C109" s="39" t="str">
        <f t="shared" si="5"/>
        <v>CONJUNTO MOTOR-BOMBA, DO TIPO HELICOIDAL, HORIZONTAL,  VAZÃO 1,38 L/S,  ALTURA MANOMÉTRICA DE 10 MCA, POTÊNCIA NOMINAL DE 2,5 KW</v>
      </c>
      <c r="E109" s="42" t="s">
        <v>194</v>
      </c>
      <c r="F109" s="41" t="s">
        <v>196</v>
      </c>
      <c r="G109" s="41" t="s">
        <v>199</v>
      </c>
      <c r="H109" s="41" t="s">
        <v>201</v>
      </c>
      <c r="I109" s="41" t="s">
        <v>53</v>
      </c>
      <c r="J109" s="40" t="s">
        <v>246</v>
      </c>
      <c r="K109" s="60">
        <v>45421</v>
      </c>
      <c r="O109" s="82">
        <v>45555</v>
      </c>
      <c r="Q109" s="96"/>
    </row>
    <row r="110" spans="1:17" ht="50.25" x14ac:dyDescent="0.35">
      <c r="A110" s="48">
        <v>76615</v>
      </c>
      <c r="B110" s="39" t="str" cm="1">
        <f t="array" ref="B110">IF(A110&lt;&gt;"",_xlfn.XLOOKUP(_xlfn.NUMBERVALUE(A110),_xlfn.NUMBERVALUE(Carga[Tombamento]),Carga[Descrição do Bem]),"")</f>
        <v>ESTAÇÃO DE TRATAMENTO DE ÁGUA - VALPARAISO/GO CONJUNTO MOTOR-BOMBA, DO TIPO HELICOIDAL, HORIZONTAL,  VAZÃO 1,38 L/S,  ALTURA MANOMÉTRICA DE 10 MCA, POTÊNCIA NOMINAL DE 2,5 KW</v>
      </c>
      <c r="C110" s="39" t="str">
        <f t="shared" si="5"/>
        <v>CONJUNTO MOTOR-BOMBA, DO TIPO HELICOIDAL, HORIZONTAL,  VAZÃO 1,38 L/S,  ALTURA MANOMÉTRICA DE 10 MCA, POTÊNCIA NOMINAL DE 2,5 KW</v>
      </c>
      <c r="E110" s="42" t="s">
        <v>194</v>
      </c>
      <c r="F110" s="43" t="s">
        <v>197</v>
      </c>
      <c r="G110" s="43" t="s">
        <v>199</v>
      </c>
      <c r="H110" s="41" t="s">
        <v>201</v>
      </c>
      <c r="I110" s="43" t="s">
        <v>53</v>
      </c>
      <c r="J110" s="40" t="s">
        <v>245</v>
      </c>
      <c r="K110" s="60">
        <v>45421</v>
      </c>
      <c r="O110" s="82">
        <v>45555</v>
      </c>
      <c r="Q110" s="96"/>
    </row>
    <row r="111" spans="1:17" ht="50.25" x14ac:dyDescent="0.35">
      <c r="A111" s="48">
        <v>76616</v>
      </c>
      <c r="B111" s="39" t="str" cm="1">
        <f t="array" ref="B111">IF(A111&lt;&gt;"",_xlfn.XLOOKUP(_xlfn.NUMBERVALUE(A111),_xlfn.NUMBERVALUE(Carga[Tombamento]),Carga[Descrição do Bem]),"")</f>
        <v>ESTAÇÃO DE TRATAMENTO DE ÁGUA - VALPARAISO/GO CONJUNTO MOTOR-BOMBA, DO TIPO HELICOIDAL, HORIZONTAL,  VAZÃO 1,38 L/S,  ALTURA MANOMÉTRICA DE 10 MCA, POTÊNCIA NOMINAL DE 2,5 KW</v>
      </c>
      <c r="C111" s="39" t="str">
        <f t="shared" si="5"/>
        <v>CONJUNTO MOTOR-BOMBA, DO TIPO HELICOIDAL, HORIZONTAL,  VAZÃO 1,38 L/S,  ALTURA MANOMÉTRICA DE 10 MCA, POTÊNCIA NOMINAL DE 2,5 KW</v>
      </c>
      <c r="E111" s="42" t="s">
        <v>194</v>
      </c>
      <c r="F111" s="41" t="s">
        <v>197</v>
      </c>
      <c r="G111" s="41" t="s">
        <v>199</v>
      </c>
      <c r="H111" s="41" t="s">
        <v>201</v>
      </c>
      <c r="I111" s="41" t="s">
        <v>53</v>
      </c>
      <c r="J111" s="40" t="s">
        <v>245</v>
      </c>
      <c r="K111" s="60">
        <v>45421</v>
      </c>
      <c r="O111" s="82">
        <v>45555</v>
      </c>
      <c r="Q111" s="96"/>
    </row>
    <row r="112" spans="1:17" ht="50.25" x14ac:dyDescent="0.35">
      <c r="A112" s="48">
        <v>76617</v>
      </c>
      <c r="B112" s="39" t="str" cm="1">
        <f t="array" ref="B112">IF(A112&lt;&gt;"",_xlfn.XLOOKUP(_xlfn.NUMBERVALUE(A112),_xlfn.NUMBERVALUE(Carga[Tombamento]),Carga[Descrição do Bem]),"")</f>
        <v>ESTAÇÃO DE TRATAMENTO DE ÁGUA - VALPARAISO/GO COMPORTA INOX AISI 304, ACIONAMENTO ATRAVÉS DE ATUADOR ELÉTRICO, MEDIDAS DO CANAL: 0,7M (H) X 0,7M (L), MEDIDAS DA COMPORTA: 0,94M (H) X 0,94M (L), ALTURA TOTAL: 5,02 M</v>
      </c>
      <c r="C112" s="39" t="str">
        <f t="shared" si="5"/>
        <v>COMPORTA INOX AISI 304, ACIONAMENTO ATRAVÉS DE ATUADOR ELÉTRICO, MEDIDAS DO CANAL: 0,7M (H) X 0,7M (L), MEDIDAS DA COMPORTA: 0,94M (H) X 0,94M (L), ALTURA TOTAL</v>
      </c>
      <c r="E112" s="42" t="s">
        <v>194</v>
      </c>
      <c r="F112" s="43" t="s">
        <v>197</v>
      </c>
      <c r="G112" s="43" t="s">
        <v>199</v>
      </c>
      <c r="H112" s="41" t="s">
        <v>201</v>
      </c>
      <c r="I112" s="43" t="s">
        <v>54</v>
      </c>
      <c r="J112" s="40" t="s">
        <v>225</v>
      </c>
      <c r="K112" s="60">
        <v>45422</v>
      </c>
      <c r="O112" s="82">
        <v>45558</v>
      </c>
      <c r="Q112" s="96"/>
    </row>
    <row r="113" spans="1:17" ht="50.25" x14ac:dyDescent="0.35">
      <c r="A113" s="48">
        <v>76618</v>
      </c>
      <c r="B113" s="39" t="str" cm="1">
        <f t="array" ref="B113">IF(A113&lt;&gt;"",_xlfn.XLOOKUP(_xlfn.NUMBERVALUE(A113),_xlfn.NUMBERVALUE(Carga[Tombamento]),Carga[Descrição do Bem]),"")</f>
        <v>ESTAÇÃO DE TRATAMENTO DE ÁGUA - VALPARAISO/GO COMPORTA INOX AISI 304, ACIONAMENTO ATRAVÉS DE ATUADOR ELÉTRICO, MEDIDAS DO CANAL: 0,7M (H) X 0,7M (L), MEDIDAS DA COMPORTA: 0,94M (H) X 0,94M (L), ALTURA TOTAL: 5,02 M</v>
      </c>
      <c r="C113" s="39" t="str">
        <f t="shared" si="5"/>
        <v>COMPORTA INOX AISI 304, ACIONAMENTO ATRAVÉS DE ATUADOR ELÉTRICO, MEDIDAS DO CANAL: 0,7M (H) X 0,7M (L), MEDIDAS DA COMPORTA: 0,94M (H) X 0,94M (L), ALTURA TOTAL</v>
      </c>
      <c r="E113" s="42" t="s">
        <v>194</v>
      </c>
      <c r="F113" s="41" t="s">
        <v>207</v>
      </c>
      <c r="G113" s="41" t="s">
        <v>199</v>
      </c>
      <c r="H113" s="41" t="s">
        <v>201</v>
      </c>
      <c r="I113" s="41" t="s">
        <v>54</v>
      </c>
      <c r="J113" s="40" t="s">
        <v>224</v>
      </c>
      <c r="K113" s="60">
        <v>45422</v>
      </c>
      <c r="O113" s="82">
        <v>45558</v>
      </c>
      <c r="Q113" s="96"/>
    </row>
    <row r="114" spans="1:17" ht="50.25" x14ac:dyDescent="0.35">
      <c r="A114" s="48">
        <v>76619</v>
      </c>
      <c r="B114" s="39" t="str" cm="1">
        <f t="array" ref="B114">IF(A114&lt;&gt;"",_xlfn.XLOOKUP(_xlfn.NUMBERVALUE(A114),_xlfn.NUMBERVALUE(Carga[Tombamento]),Carga[Descrição do Bem]),"")</f>
        <v>ESTAÇÃO DE TRATAMENTO DE ÁGUA - VALPARAISO/GO COMPORTA INOX AISI 304, ACIONAMENTO ATRAVÉS DE ATUADOR ELÉTRICO, MEDIDAS DO CANAL: 0,7M (H) X 0,7M (L), MEDIDAS DA COMPORTA: 0,94M (H) X 0,94M (L), ALTURA TOTAL: 5,02 M</v>
      </c>
      <c r="C114" s="39" t="str">
        <f t="shared" si="5"/>
        <v>COMPORTA INOX AISI 304, ACIONAMENTO ATRAVÉS DE ATUADOR ELÉTRICO, MEDIDAS DO CANAL: 0,7M (H) X 0,7M (L), MEDIDAS DA COMPORTA: 0,94M (H) X 0,94M (L), ALTURA TOTAL</v>
      </c>
      <c r="E114" s="42" t="s">
        <v>194</v>
      </c>
      <c r="F114" s="43" t="s">
        <v>197</v>
      </c>
      <c r="G114" s="43" t="s">
        <v>199</v>
      </c>
      <c r="H114" s="41" t="s">
        <v>201</v>
      </c>
      <c r="I114" s="43" t="s">
        <v>54</v>
      </c>
      <c r="J114" s="40" t="s">
        <v>223</v>
      </c>
      <c r="K114" s="60">
        <v>45422</v>
      </c>
      <c r="O114" s="82">
        <v>45558</v>
      </c>
      <c r="Q114" s="96"/>
    </row>
    <row r="115" spans="1:17" ht="50.25" x14ac:dyDescent="0.35">
      <c r="A115" s="48">
        <v>76620</v>
      </c>
      <c r="B115" s="39" t="str" cm="1">
        <f t="array" ref="B115">IF(A115&lt;&gt;"",_xlfn.XLOOKUP(_xlfn.NUMBERVALUE(A115),_xlfn.NUMBERVALUE(Carga[Tombamento]),Carga[Descrição do Bem]),"")</f>
        <v>ESTAÇÃO DE TRATAMENTO DE ÁGUA - VALPARAISO/GO COMPORTA INOX AISI 304, ACIONAMENTO ATRAVÉS DE ATUADOR ELÉTRICO, MEDIDAS DO CANAL: 0,7M (H) X 0,7M (L), MEDIDAS DA COMPORTA: 0,94M (H) X 0,94M (L), ALTURA TOTAL: 5,02 M</v>
      </c>
      <c r="C115" s="39" t="str">
        <f t="shared" si="5"/>
        <v>COMPORTA INOX AISI 304, ACIONAMENTO ATRAVÉS DE ATUADOR ELÉTRICO, MEDIDAS DO CANAL: 0,7M (H) X 0,7M (L), MEDIDAS DA COMPORTA: 0,94M (H) X 0,94M (L), ALTURA TOTAL</v>
      </c>
      <c r="E115" s="42" t="s">
        <v>194</v>
      </c>
      <c r="F115" s="41" t="s">
        <v>197</v>
      </c>
      <c r="G115" s="41" t="s">
        <v>199</v>
      </c>
      <c r="H115" s="41" t="s">
        <v>201</v>
      </c>
      <c r="I115" s="41" t="s">
        <v>54</v>
      </c>
      <c r="J115" s="40" t="s">
        <v>222</v>
      </c>
      <c r="K115" s="60">
        <v>45422</v>
      </c>
      <c r="O115" s="82">
        <v>45558</v>
      </c>
      <c r="Q115" s="96"/>
    </row>
    <row r="116" spans="1:17" ht="60" x14ac:dyDescent="0.35">
      <c r="A116" s="48">
        <v>76621</v>
      </c>
      <c r="B116" s="39" t="str" cm="1">
        <f t="array" ref="B116">IF(A116&lt;&gt;"",_xlfn.XLOOKUP(_xlfn.NUMBERVALUE(A116),_xlfn.NUMBERVALUE(Carga[Tombamento]),Carga[Descrição do Bem]),"")</f>
        <v>ESTAÇÃO DE TRATAMENTO DE ÁGUA - VALPARAISO/GO COMPORTA INOX AISI 304, ACIONAMENTO ATRAVÉS DE ATUADOR ELÉTRICO, MEDIDAS DO CANAL: 0,9M (H) X 0,9M (L), MEDIDAS DA COMPORTA: 1,14M (H) X 1,14M (L), ALTURA TOTAL: 3,15 M, PRESSÃO (N/M²): 30901,5.</v>
      </c>
      <c r="C116" s="39" t="str">
        <f t="shared" si="5"/>
        <v>COMPORTA INOX AISI 304, ACIONAMENTO ATRAVÉS DE ATUADOR ELÉTRICO, MEDIDAS DO CANAL: 0,9M (H) X 0,9M (L), MEDIDAS DA COMPORTA: 1,14M (H) X 1,14M (L), ALTURA TOTAL</v>
      </c>
      <c r="E116" s="42" t="s">
        <v>194</v>
      </c>
      <c r="F116" s="43" t="s">
        <v>197</v>
      </c>
      <c r="G116" s="43" t="s">
        <v>199</v>
      </c>
      <c r="H116" s="41" t="s">
        <v>201</v>
      </c>
      <c r="I116" s="43" t="s">
        <v>54</v>
      </c>
      <c r="J116" s="40" t="s">
        <v>222</v>
      </c>
      <c r="K116" s="60">
        <v>45422</v>
      </c>
      <c r="O116" s="82">
        <v>45558</v>
      </c>
      <c r="Q116" s="96"/>
    </row>
    <row r="117" spans="1:17" ht="60" x14ac:dyDescent="0.35">
      <c r="A117" s="48">
        <v>76622</v>
      </c>
      <c r="B117" s="39" t="str" cm="1">
        <f t="array" ref="B117">IF(A117&lt;&gt;"",_xlfn.XLOOKUP(_xlfn.NUMBERVALUE(A117),_xlfn.NUMBERVALUE(Carga[Tombamento]),Carga[Descrição do Bem]),"")</f>
        <v>ESTAÇÃO DE TRATAMENTO DE ÁGUA - VALPARAISO/GO COMPORTA INOX AISI 304, ACIONAMENTO ATRAVÉS DE ATUADOR ELÉTRICO, MEDIDAS DO CANAL: 0,9M (H) X 0,9M (L), MEDIDAS DA COMPORTA: 1,14M (H) X 1,14M (L), ALTURA TOTAL: 3,15 M, PRESSÃO (N/M²): 30901,5.</v>
      </c>
      <c r="C117" s="39" t="str">
        <f t="shared" si="5"/>
        <v>COMPORTA INOX AISI 304, ACIONAMENTO ATRAVÉS DE ATUADOR ELÉTRICO, MEDIDAS DO CANAL: 0,9M (H) X 0,9M (L), MEDIDAS DA COMPORTA: 1,14M (H) X 1,14M (L), ALTURA TOTAL</v>
      </c>
      <c r="E117" s="42" t="s">
        <v>194</v>
      </c>
      <c r="F117" s="41" t="s">
        <v>197</v>
      </c>
      <c r="G117" s="41" t="s">
        <v>199</v>
      </c>
      <c r="H117" s="41" t="s">
        <v>201</v>
      </c>
      <c r="I117" s="41" t="s">
        <v>54</v>
      </c>
      <c r="J117" s="40" t="s">
        <v>223</v>
      </c>
      <c r="K117" s="60">
        <v>45422</v>
      </c>
      <c r="O117" s="82">
        <v>45558</v>
      </c>
      <c r="Q117" s="96"/>
    </row>
    <row r="118" spans="1:17" ht="60" x14ac:dyDescent="0.35">
      <c r="A118" s="48">
        <v>76623</v>
      </c>
      <c r="B118" s="39" t="str" cm="1">
        <f t="array" ref="B118">IF(A118&lt;&gt;"",_xlfn.XLOOKUP(_xlfn.NUMBERVALUE(A118),_xlfn.NUMBERVALUE(Carga[Tombamento]),Carga[Descrição do Bem]),"")</f>
        <v>ESTAÇÃO DE TRATAMENTO DE ÁGUA - VALPARAISO/GO COMPORTA INOX AISI 304, ACIONAMENTO ATRAVÉS DE ATUADOR ELÉTRICO, MEDIDAS DO CANAL: 0,9M (H) X 0,9M (L), MEDIDAS DA COMPORTA: 1,14M (H) X 1,14M (L), ALTURA TOTAL: 3,15 M, PRESSÃO (N/M²): 30901,5.</v>
      </c>
      <c r="C118" s="39" t="str">
        <f t="shared" si="5"/>
        <v>COMPORTA INOX AISI 304, ACIONAMENTO ATRAVÉS DE ATUADOR ELÉTRICO, MEDIDAS DO CANAL: 0,9M (H) X 0,9M (L), MEDIDAS DA COMPORTA: 1,14M (H) X 1,14M (L), ALTURA TOTAL</v>
      </c>
      <c r="E118" s="42" t="s">
        <v>194</v>
      </c>
      <c r="F118" s="43" t="s">
        <v>197</v>
      </c>
      <c r="G118" s="43" t="s">
        <v>199</v>
      </c>
      <c r="H118" s="41" t="s">
        <v>201</v>
      </c>
      <c r="I118" s="43" t="s">
        <v>54</v>
      </c>
      <c r="J118" s="40" t="s">
        <v>224</v>
      </c>
      <c r="K118" s="60">
        <v>45422</v>
      </c>
      <c r="O118" s="82">
        <v>45558</v>
      </c>
      <c r="Q118" s="96"/>
    </row>
    <row r="119" spans="1:17" ht="60" x14ac:dyDescent="0.35">
      <c r="A119" s="48">
        <v>76624</v>
      </c>
      <c r="B119" s="39" t="str" cm="1">
        <f t="array" ref="B119">IF(A119&lt;&gt;"",_xlfn.XLOOKUP(_xlfn.NUMBERVALUE(A119),_xlfn.NUMBERVALUE(Carga[Tombamento]),Carga[Descrição do Bem]),"")</f>
        <v>ESTAÇÃO DE TRATAMENTO DE ÁGUA - VALPARAISO/GO COMPORTA INOX AISI 304, ACIONAMENTO ATRAVÉS DE ATUADOR ELÉTRICO, MEDIDAS DO CANAL: 0,9M (H) X 0,9M (L), MEDIDAS DA COMPORTA: 1,14M (H) X 1,14M (L), ALTURA TOTAL: 3,15 M, PRESSÃO (N/M²): 30901,5.</v>
      </c>
      <c r="C119" s="39" t="str">
        <f t="shared" si="5"/>
        <v>COMPORTA INOX AISI 304, ACIONAMENTO ATRAVÉS DE ATUADOR ELÉTRICO, MEDIDAS DO CANAL: 0,9M (H) X 0,9M (L), MEDIDAS DA COMPORTA: 1,14M (H) X 1,14M (L), ALTURA TOTAL</v>
      </c>
      <c r="E119" s="42" t="s">
        <v>194</v>
      </c>
      <c r="F119" s="41" t="s">
        <v>197</v>
      </c>
      <c r="G119" s="41" t="s">
        <v>199</v>
      </c>
      <c r="H119" s="41" t="s">
        <v>201</v>
      </c>
      <c r="I119" s="41" t="s">
        <v>54</v>
      </c>
      <c r="J119" s="40" t="s">
        <v>225</v>
      </c>
      <c r="K119" s="60">
        <v>45422</v>
      </c>
      <c r="O119" s="82">
        <v>45558</v>
      </c>
      <c r="Q119" s="96"/>
    </row>
    <row r="120" spans="1:17" ht="60" x14ac:dyDescent="0.35">
      <c r="A120" s="48">
        <v>76625</v>
      </c>
      <c r="B120" s="39" t="str" cm="1">
        <f t="array" ref="B120">IF(A120&lt;&gt;"",_xlfn.XLOOKUP(_xlfn.NUMBERVALUE(A120),_xlfn.NUMBERVALUE(Carga[Tombamento]),Carga[Descrição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0" s="39" t="str">
        <f t="shared" si="5"/>
        <v>COMPORTA CONSTRUÍDA EM INOX AISI 304, ACIONAMENTO ATRAVÉS DE ATUADOR ELÉTRICO, MEDIDAS DO CANAL: 0,52M (H) X 1,2M (L), MEDIDAS DA COMPORTA: 0,84M (H) X 1,34M (L</v>
      </c>
      <c r="E120" s="42" t="s">
        <v>194</v>
      </c>
      <c r="F120" s="43" t="s">
        <v>197</v>
      </c>
      <c r="G120" s="43" t="s">
        <v>199</v>
      </c>
      <c r="H120" s="41" t="s">
        <v>201</v>
      </c>
      <c r="I120" s="43" t="s">
        <v>52</v>
      </c>
      <c r="J120" s="40" t="s">
        <v>232</v>
      </c>
      <c r="K120" s="60">
        <v>45422</v>
      </c>
      <c r="O120" s="82">
        <v>45558</v>
      </c>
      <c r="Q120" s="96"/>
    </row>
    <row r="121" spans="1:17" ht="60" x14ac:dyDescent="0.35">
      <c r="A121" s="48">
        <v>76626</v>
      </c>
      <c r="B121" s="39" t="str" cm="1">
        <f t="array" ref="B121">IF(A121&lt;&gt;"",_xlfn.XLOOKUP(_xlfn.NUMBERVALUE(A121),_xlfn.NUMBERVALUE(Carga[Tombamento]),Carga[Descrição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1" s="39" t="str">
        <f t="shared" si="5"/>
        <v>COMPORTA CONSTRUÍDA EM INOX AISI 304, ACIONAMENTO ATRAVÉS DE ATUADOR ELÉTRICO, MEDIDAS DO CANAL: 0,52M (H) X 1,2M (L), MEDIDAS DA COMPORTA: 0,84M (H) X 1,34M (L</v>
      </c>
      <c r="E121" s="42" t="s">
        <v>194</v>
      </c>
      <c r="F121" s="41" t="s">
        <v>197</v>
      </c>
      <c r="G121" s="41" t="s">
        <v>199</v>
      </c>
      <c r="H121" s="41" t="s">
        <v>201</v>
      </c>
      <c r="I121" s="41" t="s">
        <v>52</v>
      </c>
      <c r="J121" s="40" t="s">
        <v>232</v>
      </c>
      <c r="K121" s="60">
        <v>45422</v>
      </c>
      <c r="O121" s="82">
        <v>45558</v>
      </c>
      <c r="Q121" s="96"/>
    </row>
    <row r="122" spans="1:17" ht="60" x14ac:dyDescent="0.35">
      <c r="A122" s="48">
        <v>76627</v>
      </c>
      <c r="B122" s="39" t="str" cm="1">
        <f t="array" ref="B122">IF(A122&lt;&gt;"",_xlfn.XLOOKUP(_xlfn.NUMBERVALUE(A122),_xlfn.NUMBERVALUE(Carga[Tombamento]),Carga[Descrição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2" s="39" t="str">
        <f t="shared" si="5"/>
        <v>COMPORTA CONSTRUÍDA EM INOX AISI 304, ACIONAMENTO ATRAVÉS DE ATUADOR ELÉTRICO, MEDIDAS DO CANAL: 0,52M (H) X 1,2M (L), MEDIDAS DA COMPORTA: 0,84M (H) X 1,34M (L</v>
      </c>
      <c r="E122" s="42" t="s">
        <v>194</v>
      </c>
      <c r="F122" s="43" t="s">
        <v>197</v>
      </c>
      <c r="G122" s="43" t="s">
        <v>199</v>
      </c>
      <c r="H122" s="41" t="s">
        <v>201</v>
      </c>
      <c r="I122" s="43" t="s">
        <v>52</v>
      </c>
      <c r="J122" s="40" t="s">
        <v>231</v>
      </c>
      <c r="K122" s="60">
        <v>45422</v>
      </c>
      <c r="O122" s="82">
        <v>45558</v>
      </c>
      <c r="Q122" s="96"/>
    </row>
    <row r="123" spans="1:17" ht="60" x14ac:dyDescent="0.35">
      <c r="A123" s="48">
        <v>76628</v>
      </c>
      <c r="B123" s="39" t="str" cm="1">
        <f t="array" ref="B123">IF(A123&lt;&gt;"",_xlfn.XLOOKUP(_xlfn.NUMBERVALUE(A123),_xlfn.NUMBERVALUE(Carga[Tombamento]),Carga[Descrição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3" s="39" t="str">
        <f t="shared" si="5"/>
        <v>COMPORTA CONSTRUÍDA EM INOX AISI 304, ACIONAMENTO ATRAVÉS DE ATUADOR ELÉTRICO, MEDIDAS DO CANAL: 0,52M (H) X 1,2M (L), MEDIDAS DA COMPORTA: 0,84M (H) X 1,34M (L</v>
      </c>
      <c r="E123" s="42" t="s">
        <v>194</v>
      </c>
      <c r="F123" s="41" t="s">
        <v>197</v>
      </c>
      <c r="G123" s="41" t="s">
        <v>199</v>
      </c>
      <c r="H123" s="41" t="s">
        <v>201</v>
      </c>
      <c r="I123" s="41" t="s">
        <v>52</v>
      </c>
      <c r="J123" s="40" t="s">
        <v>231</v>
      </c>
      <c r="K123" s="60">
        <v>45422</v>
      </c>
      <c r="O123" s="82">
        <v>45558</v>
      </c>
      <c r="Q123" s="96"/>
    </row>
    <row r="124" spans="1:17" ht="60" x14ac:dyDescent="0.35">
      <c r="A124" s="48">
        <v>76629</v>
      </c>
      <c r="B124" s="39" t="str" cm="1">
        <f t="array" ref="B124">IF(A124&lt;&gt;"",_xlfn.XLOOKUP(_xlfn.NUMBERVALUE(A124),_xlfn.NUMBERVALUE(Carga[Tombamento]),Carga[Descrição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4" s="39" t="str">
        <f t="shared" si="5"/>
        <v>COMPORTA CONSTRUÍDA EM INOX AISI 304, ACIONAMENTO ATRAVÉS DE ATUADOR ELÉTRICO, MEDIDAS DO CANAL: 0,52M (H) X 1,2M (L), MEDIDAS DA COMPORTA: 0,84M (H) X 1,34M (L</v>
      </c>
      <c r="E124" s="42" t="s">
        <v>194</v>
      </c>
      <c r="F124" s="43" t="s">
        <v>197</v>
      </c>
      <c r="G124" s="43" t="s">
        <v>199</v>
      </c>
      <c r="H124" s="41" t="s">
        <v>201</v>
      </c>
      <c r="I124" s="43" t="s">
        <v>52</v>
      </c>
      <c r="J124" s="40" t="s">
        <v>230</v>
      </c>
      <c r="K124" s="60">
        <v>45422</v>
      </c>
      <c r="O124" s="82">
        <v>45558</v>
      </c>
      <c r="Q124" s="96"/>
    </row>
    <row r="125" spans="1:17" ht="60" x14ac:dyDescent="0.35">
      <c r="A125" s="48">
        <v>76630</v>
      </c>
      <c r="B125" s="39" t="str" cm="1">
        <f t="array" ref="B125">IF(A125&lt;&gt;"",_xlfn.XLOOKUP(_xlfn.NUMBERVALUE(A125),_xlfn.NUMBERVALUE(Carga[Tombamento]),Carga[Descrição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5" s="39" t="str">
        <f t="shared" si="5"/>
        <v>COMPORTA CONSTRUÍDA EM INOX AISI 304, ACIONAMENTO ATRAVÉS DE ATUADOR ELÉTRICO, MEDIDAS DO CANAL: 0,52M (H) X 1,2M (L), MEDIDAS DA COMPORTA: 0,84M (H) X 1,34M (L</v>
      </c>
      <c r="E125" s="42" t="s">
        <v>194</v>
      </c>
      <c r="F125" s="41" t="s">
        <v>197</v>
      </c>
      <c r="G125" s="41" t="s">
        <v>199</v>
      </c>
      <c r="H125" s="41" t="s">
        <v>201</v>
      </c>
      <c r="I125" s="41" t="s">
        <v>52</v>
      </c>
      <c r="J125" s="40" t="s">
        <v>230</v>
      </c>
      <c r="K125" s="60">
        <v>45422</v>
      </c>
      <c r="O125" s="82">
        <v>45558</v>
      </c>
      <c r="Q125" s="96"/>
    </row>
    <row r="126" spans="1:17" ht="60" x14ac:dyDescent="0.35">
      <c r="A126" s="48">
        <v>76631</v>
      </c>
      <c r="B126" s="39" t="str" cm="1">
        <f t="array" ref="B126">IF(A126&lt;&gt;"",_xlfn.XLOOKUP(_xlfn.NUMBERVALUE(A126),_xlfn.NUMBERVALUE(Carga[Tombamento]),Carga[Descrição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6" s="39" t="str">
        <f t="shared" si="5"/>
        <v>COMPORTA CONSTRUÍDA EM INOX AISI 304, ACIONAMENTO ATRAVÉS DE ATUADOR ELÉTRICO, MEDIDAS DO CANAL: 0,52M (H) X 1,2M (L), MEDIDAS DA COMPORTA: 0,84M (H) X 1,34M (L</v>
      </c>
      <c r="E126" s="42" t="s">
        <v>194</v>
      </c>
      <c r="F126" s="43" t="s">
        <v>197</v>
      </c>
      <c r="G126" s="43" t="s">
        <v>199</v>
      </c>
      <c r="H126" s="41" t="s">
        <v>201</v>
      </c>
      <c r="I126" s="43" t="s">
        <v>52</v>
      </c>
      <c r="J126" s="40" t="s">
        <v>229</v>
      </c>
      <c r="K126" s="60">
        <v>45422</v>
      </c>
      <c r="O126" s="82">
        <v>45558</v>
      </c>
      <c r="Q126" s="96"/>
    </row>
    <row r="127" spans="1:17" ht="60" x14ac:dyDescent="0.35">
      <c r="A127" s="48">
        <v>76632</v>
      </c>
      <c r="B127" s="39" t="str" cm="1">
        <f t="array" ref="B127">IF(A127&lt;&gt;"",_xlfn.XLOOKUP(_xlfn.NUMBERVALUE(A127),_xlfn.NUMBERVALUE(Carga[Tombamento]),Carga[Descrição do Bem]),"")</f>
        <v>ESTAÇÃO DE TRATAMENTO DE ÁGUA - VALPARAISO/GO COMPORTA CONSTRUÍDA EM INOX AISI 304, ACIONAMENTO ATRAVÉS DE ATUADOR ELÉTRICO, MEDIDAS DO CANAL: 0,52M (H) X 1,2M (L), MEDIDAS DA COMPORTA: 0,84M (H) X 1,34M (L), ALTURA TOTAL: 0,84 M</v>
      </c>
      <c r="C127" s="39" t="str">
        <f t="shared" si="5"/>
        <v>COMPORTA CONSTRUÍDA EM INOX AISI 304, ACIONAMENTO ATRAVÉS DE ATUADOR ELÉTRICO, MEDIDAS DO CANAL: 0,52M (H) X 1,2M (L), MEDIDAS DA COMPORTA: 0,84M (H) X 1,34M (L</v>
      </c>
      <c r="E127" s="42" t="s">
        <v>194</v>
      </c>
      <c r="F127" s="41" t="s">
        <v>197</v>
      </c>
      <c r="G127" s="41" t="s">
        <v>199</v>
      </c>
      <c r="H127" s="41" t="s">
        <v>201</v>
      </c>
      <c r="I127" s="41" t="s">
        <v>52</v>
      </c>
      <c r="J127" s="40" t="s">
        <v>229</v>
      </c>
      <c r="K127" s="60">
        <v>45422</v>
      </c>
      <c r="O127" s="82">
        <v>45558</v>
      </c>
      <c r="Q127" s="96"/>
    </row>
    <row r="128" spans="1:17" ht="50.25" x14ac:dyDescent="0.35">
      <c r="A128" s="48">
        <v>76633</v>
      </c>
      <c r="B128" s="39" t="str" cm="1">
        <f t="array" ref="B128">IF(A128&lt;&gt;"",_xlfn.XLOOKUP(_xlfn.NUMBERVALUE(A128),_xlfn.NUMBERVALUE(Carga[Tombamento]),Carga[Descrição do Bem]),"")</f>
        <v>ESTAÇÃO DE TRATAMENTO DE ÁGUA - VALPARAISO/GO TALHA DE ACIONAMENTO MANUAL COM CORRENTE, ROLDANA E SISTEMA DE IÇAMENTO VIA GANCHO COM TRAVA, COM CAPACIDADE DE 0,5 TON. E ALTURA DE ELEVAÇÃO DE 4,20M.</v>
      </c>
      <c r="C128" s="39" t="str">
        <f t="shared" si="5"/>
        <v>TALHA DE ACIONAMENTO MANUAL COM CORRENTE, ROLDANA E SISTEMA DE IÇAMENTO VIA GANCHO COM TRAVA, COM CAPACIDADE DE 0,5 TON. E ALTURA DE ELEVAÇÃO DE 4,20M.</v>
      </c>
      <c r="E128" s="42" t="s">
        <v>194</v>
      </c>
      <c r="F128" s="43" t="s">
        <v>197</v>
      </c>
      <c r="G128" s="43" t="s">
        <v>199</v>
      </c>
      <c r="H128" s="41" t="s">
        <v>201</v>
      </c>
      <c r="I128" s="43" t="s">
        <v>36</v>
      </c>
      <c r="J128" s="40" t="s">
        <v>981</v>
      </c>
      <c r="K128" s="60">
        <v>45422</v>
      </c>
      <c r="O128" s="82">
        <v>45560</v>
      </c>
      <c r="Q128" s="96"/>
    </row>
    <row r="129" spans="1:17" ht="32.25" x14ac:dyDescent="0.35">
      <c r="A129" s="48">
        <v>76635</v>
      </c>
      <c r="B129" s="39" t="str" cm="1">
        <f t="array" ref="B129">IF(A129&lt;&gt;"",_xlfn.XLOOKUP(_xlfn.NUMBERVALUE(A129),_xlfn.NUMBERVALUE(Carga[Tombamento]),Carga[Descrição do Bem]),"")</f>
        <v>ESTAÇÃO DE TRATAMENTO DE ÁGUA - VALPARAISO/GO VÁLVULA BORBOLETA AWWA / EIXO LIVRE, DN 600MM, ACIONAMENTO ELÉTRICO</v>
      </c>
      <c r="C129" s="39" t="str">
        <f t="shared" si="5"/>
        <v>VÁLVULA BORBOLETA AWWA / EIXO LIVRE, DN 600MM, ACIONAMENTO ELÉTRICO</v>
      </c>
      <c r="E129" s="42" t="s">
        <v>194</v>
      </c>
      <c r="F129" s="41" t="s">
        <v>197</v>
      </c>
      <c r="G129" s="41" t="s">
        <v>199</v>
      </c>
      <c r="H129" s="41" t="s">
        <v>201</v>
      </c>
      <c r="I129" s="41" t="s">
        <v>54</v>
      </c>
      <c r="J129" s="40" t="s">
        <v>276</v>
      </c>
      <c r="K129" s="60">
        <v>45421</v>
      </c>
      <c r="O129" s="82">
        <v>45562</v>
      </c>
      <c r="Q129" s="96"/>
    </row>
    <row r="130" spans="1:17" ht="32.25" x14ac:dyDescent="0.35">
      <c r="A130" s="48">
        <v>76636</v>
      </c>
      <c r="B130" s="39" t="str" cm="1">
        <f t="array" ref="B130">IF(A130&lt;&gt;"",_xlfn.XLOOKUP(_xlfn.NUMBERVALUE(A130),_xlfn.NUMBERVALUE(Carga[Tombamento]),Carga[Descrição do Bem]),"")</f>
        <v>ESTAÇÃO DE TRATAMENTO DE ÁGUA - VALPARAISO/GO VÁLVULA BORBOLETA AWWA / EIXO LIVRE, DN 600MM, ACIONAMENTO ELÉTRICO</v>
      </c>
      <c r="C130" s="39" t="str">
        <f t="shared" si="5"/>
        <v>VÁLVULA BORBOLETA AWWA / EIXO LIVRE, DN 600MM, ACIONAMENTO ELÉTRICO</v>
      </c>
      <c r="E130" s="42" t="s">
        <v>194</v>
      </c>
      <c r="F130" s="43" t="s">
        <v>197</v>
      </c>
      <c r="G130" s="43" t="s">
        <v>199</v>
      </c>
      <c r="H130" s="41" t="s">
        <v>201</v>
      </c>
      <c r="I130" s="43" t="s">
        <v>54</v>
      </c>
      <c r="J130" s="40" t="s">
        <v>276</v>
      </c>
      <c r="K130" s="60">
        <v>45421</v>
      </c>
      <c r="O130" s="82">
        <v>45562</v>
      </c>
      <c r="Q130" s="96"/>
    </row>
    <row r="131" spans="1:17" ht="32.25" x14ac:dyDescent="0.35">
      <c r="A131" s="48">
        <v>76637</v>
      </c>
      <c r="B131" s="39" t="str" cm="1">
        <f t="array" ref="B131">IF(A131&lt;&gt;"",_xlfn.XLOOKUP(_xlfn.NUMBERVALUE(A131),_xlfn.NUMBERVALUE(Carga[Tombamento]),Carga[Descrição do Bem]),"")</f>
        <v>ESTAÇÃO DE TRATAMENTO DE ÁGUA - VALPARAISO/GO VÁLVULA BORBOLETA AWWA / EIXO LIVRE, DN 600MM, ACIONAMENTO ELÉTRICO</v>
      </c>
      <c r="C131" s="39" t="str">
        <f t="shared" si="5"/>
        <v>VÁLVULA BORBOLETA AWWA / EIXO LIVRE, DN 600MM, ACIONAMENTO ELÉTRICO</v>
      </c>
      <c r="E131" s="42" t="s">
        <v>194</v>
      </c>
      <c r="F131" s="41" t="s">
        <v>197</v>
      </c>
      <c r="G131" s="41" t="s">
        <v>199</v>
      </c>
      <c r="H131" s="41" t="s">
        <v>201</v>
      </c>
      <c r="I131" s="41" t="s">
        <v>54</v>
      </c>
      <c r="J131" s="40" t="s">
        <v>276</v>
      </c>
      <c r="K131" s="60">
        <v>45421</v>
      </c>
      <c r="O131" s="82">
        <v>45562</v>
      </c>
      <c r="Q131" s="96"/>
    </row>
    <row r="132" spans="1:17" ht="32.25" x14ac:dyDescent="0.35">
      <c r="A132" s="48">
        <v>76638</v>
      </c>
      <c r="B132" s="39" t="str" cm="1">
        <f t="array" ref="B132">IF(A132&lt;&gt;"",_xlfn.XLOOKUP(_xlfn.NUMBERVALUE(A132),_xlfn.NUMBERVALUE(Carga[Tombamento]),Carga[Descrição do Bem]),"")</f>
        <v>ESTAÇÃO DE TRATAMENTO DE ÁGUA - VALPARAISO/GO VÁLVULA BORBOLETA AWWA / EIXO LIVRE, DN 600MM, ACIONAMENTO ELÉTRICO</v>
      </c>
      <c r="C132" s="39" t="str">
        <f t="shared" si="5"/>
        <v>VÁLVULA BORBOLETA AWWA / EIXO LIVRE, DN 600MM, ACIONAMENTO ELÉTRICO</v>
      </c>
      <c r="E132" s="42" t="s">
        <v>194</v>
      </c>
      <c r="F132" s="43" t="s">
        <v>197</v>
      </c>
      <c r="G132" s="43" t="s">
        <v>199</v>
      </c>
      <c r="H132" s="41" t="s">
        <v>201</v>
      </c>
      <c r="I132" s="43" t="s">
        <v>54</v>
      </c>
      <c r="J132" s="40" t="s">
        <v>276</v>
      </c>
      <c r="K132" s="60">
        <v>45421</v>
      </c>
      <c r="O132" s="82">
        <v>45562</v>
      </c>
      <c r="Q132" s="96"/>
    </row>
    <row r="133" spans="1:17" ht="32.25" x14ac:dyDescent="0.35">
      <c r="A133" s="48">
        <v>76639</v>
      </c>
      <c r="B133" s="39" t="str" cm="1">
        <f t="array" ref="B133">IF(A133&lt;&gt;"",_xlfn.XLOOKUP(_xlfn.NUMBERVALUE(A133),_xlfn.NUMBERVALUE(Carga[Tombamento]),Carga[Descrição do Bem]),"")</f>
        <v>ESTAÇÃO DE TRATAMENTO DE ÁGUA - VALPARAISO/GO VÁLVULA BORBOLETA AWWA / EIXO LIVRE, DN 600MM, ACIONAMENTO ELÉTRICO</v>
      </c>
      <c r="C133" s="39" t="str">
        <f t="shared" ref="C133:C172" si="6">MID(B133,47,160)</f>
        <v>VÁLVULA BORBOLETA AWWA / EIXO LIVRE, DN 600MM, ACIONAMENTO ELÉTRICO</v>
      </c>
      <c r="E133" s="42" t="s">
        <v>194</v>
      </c>
      <c r="F133" s="41" t="s">
        <v>197</v>
      </c>
      <c r="G133" s="41" t="s">
        <v>199</v>
      </c>
      <c r="H133" s="41" t="s">
        <v>201</v>
      </c>
      <c r="I133" s="41" t="s">
        <v>54</v>
      </c>
      <c r="J133" s="40" t="s">
        <v>277</v>
      </c>
      <c r="K133" s="60">
        <v>45421</v>
      </c>
      <c r="O133" s="82">
        <v>45562</v>
      </c>
      <c r="Q133" s="96"/>
    </row>
    <row r="134" spans="1:17" ht="32.25" x14ac:dyDescent="0.35">
      <c r="A134" s="48">
        <v>76640</v>
      </c>
      <c r="B134" s="39" t="str" cm="1">
        <f t="array" ref="B134">IF(A134&lt;&gt;"",_xlfn.XLOOKUP(_xlfn.NUMBERVALUE(A134),_xlfn.NUMBERVALUE(Carga[Tombamento]),Carga[Descrição do Bem]),"")</f>
        <v>ESTAÇÃO DE TRATAMENTO DE ÁGUA - VALPARAISO/GO VÁLVULA BORBOLETA AWWA / EIXO LIVRE, DN 600MM, ACIONAMENTO ELÉTRICO</v>
      </c>
      <c r="C134" s="39" t="str">
        <f t="shared" si="6"/>
        <v>VÁLVULA BORBOLETA AWWA / EIXO LIVRE, DN 600MM, ACIONAMENTO ELÉTRICO</v>
      </c>
      <c r="E134" s="42" t="s">
        <v>194</v>
      </c>
      <c r="F134" s="43" t="s">
        <v>197</v>
      </c>
      <c r="G134" s="43" t="s">
        <v>199</v>
      </c>
      <c r="H134" s="41" t="s">
        <v>201</v>
      </c>
      <c r="I134" s="43" t="s">
        <v>54</v>
      </c>
      <c r="J134" s="40" t="s">
        <v>277</v>
      </c>
      <c r="K134" s="60">
        <v>45421</v>
      </c>
      <c r="O134" s="82">
        <v>45562</v>
      </c>
      <c r="Q134" s="96"/>
    </row>
    <row r="135" spans="1:17" ht="32.25" x14ac:dyDescent="0.35">
      <c r="A135" s="48">
        <v>76641</v>
      </c>
      <c r="B135" s="39" t="str" cm="1">
        <f t="array" ref="B135">IF(A135&lt;&gt;"",_xlfn.XLOOKUP(_xlfn.NUMBERVALUE(A135),_xlfn.NUMBERVALUE(Carga[Tombamento]),Carga[Descrição do Bem]),"")</f>
        <v>ESTAÇÃO DE TRATAMENTO DE ÁGUA - VALPARAISO/GO VÁLVULA BORBOLETA AWWA / EIXO LIVRE, DN 600MM, ACIONAMENTO ELÉTRICO</v>
      </c>
      <c r="C135" s="39" t="str">
        <f t="shared" si="6"/>
        <v>VÁLVULA BORBOLETA AWWA / EIXO LIVRE, DN 600MM, ACIONAMENTO ELÉTRICO</v>
      </c>
      <c r="E135" s="42" t="s">
        <v>194</v>
      </c>
      <c r="F135" s="41" t="s">
        <v>197</v>
      </c>
      <c r="G135" s="41" t="s">
        <v>199</v>
      </c>
      <c r="H135" s="41" t="s">
        <v>201</v>
      </c>
      <c r="I135" s="41" t="s">
        <v>54</v>
      </c>
      <c r="J135" s="40" t="s">
        <v>277</v>
      </c>
      <c r="K135" s="60">
        <v>45421</v>
      </c>
      <c r="O135" s="82">
        <v>45565</v>
      </c>
      <c r="Q135" s="96"/>
    </row>
    <row r="136" spans="1:17" ht="32.25" x14ac:dyDescent="0.35">
      <c r="A136" s="48">
        <v>76642</v>
      </c>
      <c r="B136" s="39" t="str" cm="1">
        <f t="array" ref="B136">IF(A136&lt;&gt;"",_xlfn.XLOOKUP(_xlfn.NUMBERVALUE(A136),_xlfn.NUMBERVALUE(Carga[Tombamento]),Carga[Descrição do Bem]),"")</f>
        <v>ESTAÇÃO DE TRATAMENTO DE ÁGUA - VALPARAISO/GO VÁLVULA BORBOLETA AWWA / EIXO LIVRE, DN 600MM, ACIONAMENTO ELÉTRICO</v>
      </c>
      <c r="C136" s="39" t="str">
        <f t="shared" si="6"/>
        <v>VÁLVULA BORBOLETA AWWA / EIXO LIVRE, DN 600MM, ACIONAMENTO ELÉTRICO</v>
      </c>
      <c r="E136" s="42" t="s">
        <v>194</v>
      </c>
      <c r="F136" s="43" t="s">
        <v>197</v>
      </c>
      <c r="G136" s="43" t="s">
        <v>199</v>
      </c>
      <c r="H136" s="41" t="s">
        <v>201</v>
      </c>
      <c r="I136" s="43" t="s">
        <v>54</v>
      </c>
      <c r="J136" s="40" t="s">
        <v>277</v>
      </c>
      <c r="K136" s="60">
        <v>45421</v>
      </c>
      <c r="O136" s="82">
        <v>45562</v>
      </c>
      <c r="Q136" s="96"/>
    </row>
    <row r="137" spans="1:17" ht="32.25" x14ac:dyDescent="0.35">
      <c r="A137" s="48">
        <v>76643</v>
      </c>
      <c r="B137" s="39" t="str" cm="1">
        <f t="array" ref="B137">IF(A137&lt;&gt;"",_xlfn.XLOOKUP(_xlfn.NUMBERVALUE(A137),_xlfn.NUMBERVALUE(Carga[Tombamento]),Carga[Descrição do Bem]),"")</f>
        <v>ESTAÇÃO DE TRATAMENTO DE ÁGUA - VALPARAISO/GO VÁLVULA BORBOLETA AWWA / EIXO LIVRE, DN 600MM, ACIONAMENTO ELÉTRICO</v>
      </c>
      <c r="C137" s="39" t="str">
        <f t="shared" si="6"/>
        <v>VÁLVULA BORBOLETA AWWA / EIXO LIVRE, DN 600MM, ACIONAMENTO ELÉTRICO</v>
      </c>
      <c r="E137" s="42" t="s">
        <v>194</v>
      </c>
      <c r="F137" s="41" t="s">
        <v>197</v>
      </c>
      <c r="G137" s="41" t="s">
        <v>199</v>
      </c>
      <c r="H137" s="41" t="s">
        <v>201</v>
      </c>
      <c r="I137" s="41" t="s">
        <v>54</v>
      </c>
      <c r="J137" s="40" t="s">
        <v>278</v>
      </c>
      <c r="K137" s="60">
        <v>45421</v>
      </c>
      <c r="O137" s="82">
        <v>45562</v>
      </c>
      <c r="Q137" s="96"/>
    </row>
    <row r="138" spans="1:17" ht="32.25" x14ac:dyDescent="0.35">
      <c r="A138" s="48">
        <v>76644</v>
      </c>
      <c r="B138" s="39" t="str" cm="1">
        <f t="array" ref="B138">IF(A138&lt;&gt;"",_xlfn.XLOOKUP(_xlfn.NUMBERVALUE(A138),_xlfn.NUMBERVALUE(Carga[Tombamento]),Carga[Descrição do Bem]),"")</f>
        <v>ESTAÇÃO DE TRATAMENTO DE ÁGUA - VALPARAISO/GO VÁLVULA BORBOLETA AWWA / EIXO LIVRE, DN 600MM, ACIONAMENTO ELÉTRICO</v>
      </c>
      <c r="C138" s="39" t="str">
        <f t="shared" si="6"/>
        <v>VÁLVULA BORBOLETA AWWA / EIXO LIVRE, DN 600MM, ACIONAMENTO ELÉTRICO</v>
      </c>
      <c r="E138" s="42" t="s">
        <v>194</v>
      </c>
      <c r="F138" s="43" t="s">
        <v>197</v>
      </c>
      <c r="G138" s="43" t="s">
        <v>199</v>
      </c>
      <c r="H138" s="41" t="s">
        <v>201</v>
      </c>
      <c r="I138" s="43" t="s">
        <v>54</v>
      </c>
      <c r="J138" s="40" t="s">
        <v>278</v>
      </c>
      <c r="K138" s="60">
        <v>45421</v>
      </c>
      <c r="O138" s="82">
        <v>45562</v>
      </c>
      <c r="Q138" s="96"/>
    </row>
    <row r="139" spans="1:17" ht="32.25" x14ac:dyDescent="0.35">
      <c r="A139" s="48">
        <v>76645</v>
      </c>
      <c r="B139" s="39" t="str" cm="1">
        <f t="array" ref="B139">IF(A139&lt;&gt;"",_xlfn.XLOOKUP(_xlfn.NUMBERVALUE(A139),_xlfn.NUMBERVALUE(Carga[Tombamento]),Carga[Descrição do Bem]),"")</f>
        <v>ESTAÇÃO DE TRATAMENTO DE ÁGUA - VALPARAISO/GO VÁLVULA BORBOLETA AWWA / EIXO LIVRE, DN 600MM, ACIONAMENTO ELÉTRICO</v>
      </c>
      <c r="C139" s="39" t="str">
        <f t="shared" si="6"/>
        <v>VÁLVULA BORBOLETA AWWA / EIXO LIVRE, DN 600MM, ACIONAMENTO ELÉTRICO</v>
      </c>
      <c r="E139" s="42" t="s">
        <v>194</v>
      </c>
      <c r="F139" s="41" t="s">
        <v>197</v>
      </c>
      <c r="G139" s="41" t="s">
        <v>199</v>
      </c>
      <c r="H139" s="41" t="s">
        <v>201</v>
      </c>
      <c r="I139" s="41" t="s">
        <v>54</v>
      </c>
      <c r="J139" s="40" t="s">
        <v>278</v>
      </c>
      <c r="K139" s="60">
        <v>45421</v>
      </c>
      <c r="O139" s="82">
        <v>45562</v>
      </c>
      <c r="Q139" s="96"/>
    </row>
    <row r="140" spans="1:17" ht="32.25" x14ac:dyDescent="0.35">
      <c r="A140" s="48">
        <v>76646</v>
      </c>
      <c r="B140" s="39" t="str" cm="1">
        <f t="array" ref="B140">IF(A140&lt;&gt;"",_xlfn.XLOOKUP(_xlfn.NUMBERVALUE(A140),_xlfn.NUMBERVALUE(Carga[Tombamento]),Carga[Descrição do Bem]),"")</f>
        <v>ESTAÇÃO DE TRATAMENTO DE ÁGUA - VALPARAISO/GO VÁLVULA BORBOLETA AWWA / EIXO LIVRE, DN 600MM, ACIONAMENTO ELÉTRICO</v>
      </c>
      <c r="C140" s="39" t="str">
        <f t="shared" si="6"/>
        <v>VÁLVULA BORBOLETA AWWA / EIXO LIVRE, DN 600MM, ACIONAMENTO ELÉTRICO</v>
      </c>
      <c r="E140" s="42" t="s">
        <v>194</v>
      </c>
      <c r="F140" s="43" t="s">
        <v>197</v>
      </c>
      <c r="G140" s="43" t="s">
        <v>199</v>
      </c>
      <c r="H140" s="41" t="s">
        <v>201</v>
      </c>
      <c r="I140" s="43" t="s">
        <v>54</v>
      </c>
      <c r="J140" s="40" t="s">
        <v>278</v>
      </c>
      <c r="K140" s="60">
        <v>45421</v>
      </c>
      <c r="O140" s="82">
        <v>45562</v>
      </c>
      <c r="Q140" s="96"/>
    </row>
    <row r="141" spans="1:17" ht="32.25" x14ac:dyDescent="0.35">
      <c r="A141" s="48">
        <v>76647</v>
      </c>
      <c r="B141" s="39" t="str" cm="1">
        <f t="array" ref="B141">IF(A141&lt;&gt;"",_xlfn.XLOOKUP(_xlfn.NUMBERVALUE(A141),_xlfn.NUMBERVALUE(Carga[Tombamento]),Carga[Descrição do Bem]),"")</f>
        <v>ESTAÇÃO DE TRATAMENTO DE ÁGUA - VALPARAISO/GO VÁLVULA BORBOLETA AWWA / EIXO LIVRE, DN 600MM, ACIONAMENTO ELÉTRICO</v>
      </c>
      <c r="C141" s="39" t="str">
        <f t="shared" si="6"/>
        <v>VÁLVULA BORBOLETA AWWA / EIXO LIVRE, DN 600MM, ACIONAMENTO ELÉTRICO</v>
      </c>
      <c r="E141" s="42" t="s">
        <v>194</v>
      </c>
      <c r="F141" s="41" t="s">
        <v>197</v>
      </c>
      <c r="G141" s="41" t="s">
        <v>199</v>
      </c>
      <c r="H141" s="41" t="s">
        <v>201</v>
      </c>
      <c r="I141" s="41" t="s">
        <v>54</v>
      </c>
      <c r="J141" s="40" t="s">
        <v>279</v>
      </c>
      <c r="K141" s="60">
        <v>45421</v>
      </c>
      <c r="O141" s="82">
        <v>45562</v>
      </c>
      <c r="Q141" s="96"/>
    </row>
    <row r="142" spans="1:17" ht="32.25" x14ac:dyDescent="0.35">
      <c r="A142" s="48">
        <v>76648</v>
      </c>
      <c r="B142" s="39" t="str" cm="1">
        <f t="array" ref="B142">IF(A142&lt;&gt;"",_xlfn.XLOOKUP(_xlfn.NUMBERVALUE(A142),_xlfn.NUMBERVALUE(Carga[Tombamento]),Carga[Descrição do Bem]),"")</f>
        <v>ESTAÇÃO DE TRATAMENTO DE ÁGUA - VALPARAISO/GO VÁLVULA BORBOLETA AWWA / EIXO LIVRE, DN 600MM, ACIONAMENTO ELÉTRICO</v>
      </c>
      <c r="C142" s="39" t="str">
        <f t="shared" si="6"/>
        <v>VÁLVULA BORBOLETA AWWA / EIXO LIVRE, DN 600MM, ACIONAMENTO ELÉTRICO</v>
      </c>
      <c r="E142" s="42" t="s">
        <v>194</v>
      </c>
      <c r="F142" s="43" t="s">
        <v>197</v>
      </c>
      <c r="G142" s="43" t="s">
        <v>199</v>
      </c>
      <c r="H142" s="41" t="s">
        <v>201</v>
      </c>
      <c r="I142" s="43" t="s">
        <v>54</v>
      </c>
      <c r="J142" s="40" t="s">
        <v>279</v>
      </c>
      <c r="K142" s="60">
        <v>45421</v>
      </c>
      <c r="O142" s="82">
        <v>45562</v>
      </c>
      <c r="Q142" s="96"/>
    </row>
    <row r="143" spans="1:17" ht="32.25" x14ac:dyDescent="0.35">
      <c r="A143" s="48">
        <v>76649</v>
      </c>
      <c r="B143" s="39" t="str" cm="1">
        <f t="array" ref="B143">IF(A143&lt;&gt;"",_xlfn.XLOOKUP(_xlfn.NUMBERVALUE(A143),_xlfn.NUMBERVALUE(Carga[Tombamento]),Carga[Descrição do Bem]),"")</f>
        <v>ESTAÇÃO DE TRATAMENTO DE ÁGUA - VALPARAISO/GO VÁLVULA BORBOLETA AWWA / EIXO LIVRE, DN 600MM, ACIONAMENTO ELÉTRICO</v>
      </c>
      <c r="C143" s="39" t="str">
        <f t="shared" si="6"/>
        <v>VÁLVULA BORBOLETA AWWA / EIXO LIVRE, DN 600MM, ACIONAMENTO ELÉTRICO</v>
      </c>
      <c r="E143" s="42" t="s">
        <v>194</v>
      </c>
      <c r="F143" s="41" t="s">
        <v>197</v>
      </c>
      <c r="G143" s="41" t="s">
        <v>199</v>
      </c>
      <c r="H143" s="41" t="s">
        <v>201</v>
      </c>
      <c r="I143" s="41" t="s">
        <v>54</v>
      </c>
      <c r="J143" s="40" t="s">
        <v>279</v>
      </c>
      <c r="K143" s="60">
        <v>45421</v>
      </c>
      <c r="O143" s="82">
        <v>45562</v>
      </c>
      <c r="Q143" s="96"/>
    </row>
    <row r="144" spans="1:17" ht="32.25" x14ac:dyDescent="0.35">
      <c r="A144" s="48">
        <v>76650</v>
      </c>
      <c r="B144" s="39" t="str" cm="1">
        <f t="array" ref="B144">IF(A144&lt;&gt;"",_xlfn.XLOOKUP(_xlfn.NUMBERVALUE(A144),_xlfn.NUMBERVALUE(Carga[Tombamento]),Carga[Descrição do Bem]),"")</f>
        <v>ESTAÇÃO DE TRATAMENTO DE ÁGUA - VALPARAISO/GO VÁLVULA BORBOLETA AWWA / EIXO LIVRE, DN 600MM, ACIONAMENTO ELÉTRICO</v>
      </c>
      <c r="C144" s="39" t="str">
        <f t="shared" si="6"/>
        <v>VÁLVULA BORBOLETA AWWA / EIXO LIVRE, DN 600MM, ACIONAMENTO ELÉTRICO</v>
      </c>
      <c r="E144" s="42" t="s">
        <v>194</v>
      </c>
      <c r="F144" s="43" t="s">
        <v>197</v>
      </c>
      <c r="G144" s="43" t="s">
        <v>199</v>
      </c>
      <c r="H144" s="41" t="s">
        <v>201</v>
      </c>
      <c r="I144" s="43" t="s">
        <v>54</v>
      </c>
      <c r="J144" s="40" t="s">
        <v>279</v>
      </c>
      <c r="K144" s="60">
        <v>45421</v>
      </c>
      <c r="O144" s="82">
        <v>45562</v>
      </c>
      <c r="Q144" s="96"/>
    </row>
    <row r="145" spans="1:17" ht="32.25" x14ac:dyDescent="0.35">
      <c r="A145" s="48">
        <v>76651</v>
      </c>
      <c r="B145" s="39" t="str" cm="1">
        <f t="array" ref="B145">IF(A145&lt;&gt;"",_xlfn.XLOOKUP(_xlfn.NUMBERVALUE(A145),_xlfn.NUMBERVALUE(Carga[Tombamento]),Carga[Descrição do Bem]),"")</f>
        <v>ESTAÇÃO DE TRATAMENTO DE ÁGUA - VALPARAISO/GO VÁLVULA BORBOLETA AWWA / EIXO LIVRE, DN 200MM, ACIONAMENTO ELÉTRICO</v>
      </c>
      <c r="C145" s="39" t="str">
        <f t="shared" si="6"/>
        <v>VÁLVULA BORBOLETA AWWA / EIXO LIVRE, DN 200MM, ACIONAMENTO ELÉTRICO</v>
      </c>
      <c r="E145" s="42" t="s">
        <v>194</v>
      </c>
      <c r="F145" s="41" t="s">
        <v>197</v>
      </c>
      <c r="G145" s="41" t="s">
        <v>199</v>
      </c>
      <c r="H145" s="41" t="s">
        <v>201</v>
      </c>
      <c r="I145" s="41" t="s">
        <v>54</v>
      </c>
      <c r="J145" s="40" t="s">
        <v>276</v>
      </c>
      <c r="K145" s="60">
        <v>45421</v>
      </c>
      <c r="O145" s="82">
        <v>45565</v>
      </c>
      <c r="Q145" s="96"/>
    </row>
    <row r="146" spans="1:17" ht="32.25" x14ac:dyDescent="0.35">
      <c r="A146" s="48">
        <v>76652</v>
      </c>
      <c r="B146" s="39" t="str" cm="1">
        <f t="array" ref="B146">IF(A146&lt;&gt;"",_xlfn.XLOOKUP(_xlfn.NUMBERVALUE(A146),_xlfn.NUMBERVALUE(Carga[Tombamento]),Carga[Descrição do Bem]),"")</f>
        <v>ESTAÇÃO DE TRATAMENTO DE ÁGUA - VALPARAISO/GO VÁLVULA BORBOLETA AWWA / EIXO LIVRE, DN 200MM, ACIONAMENTO ELÉTRICO</v>
      </c>
      <c r="C146" s="39" t="str">
        <f t="shared" si="6"/>
        <v>VÁLVULA BORBOLETA AWWA / EIXO LIVRE, DN 200MM, ACIONAMENTO ELÉTRICO</v>
      </c>
      <c r="E146" s="42" t="s">
        <v>194</v>
      </c>
      <c r="F146" s="43" t="s">
        <v>197</v>
      </c>
      <c r="G146" s="43" t="s">
        <v>199</v>
      </c>
      <c r="H146" s="41" t="s">
        <v>201</v>
      </c>
      <c r="I146" s="43" t="s">
        <v>54</v>
      </c>
      <c r="J146" s="40" t="s">
        <v>276</v>
      </c>
      <c r="K146" s="60">
        <v>45421</v>
      </c>
      <c r="O146" s="82">
        <v>45565</v>
      </c>
      <c r="Q146" s="96"/>
    </row>
    <row r="147" spans="1:17" ht="32.25" x14ac:dyDescent="0.35">
      <c r="A147" s="48">
        <v>76653</v>
      </c>
      <c r="B147" s="39" t="str" cm="1">
        <f t="array" ref="B147">IF(A147&lt;&gt;"",_xlfn.XLOOKUP(_xlfn.NUMBERVALUE(A147),_xlfn.NUMBERVALUE(Carga[Tombamento]),Carga[Descrição do Bem]),"")</f>
        <v>ESTAÇÃO DE TRATAMENTO DE ÁGUA - VALPARAISO/GO VÁLVULA BORBOLETA AWWA / EIXO LIVRE, DN 200MM, ACIONAMENTO ELÉTRICO</v>
      </c>
      <c r="C147" s="39" t="str">
        <f t="shared" si="6"/>
        <v>VÁLVULA BORBOLETA AWWA / EIXO LIVRE, DN 200MM, ACIONAMENTO ELÉTRICO</v>
      </c>
      <c r="E147" s="42" t="s">
        <v>194</v>
      </c>
      <c r="F147" s="41" t="s">
        <v>197</v>
      </c>
      <c r="G147" s="41" t="s">
        <v>199</v>
      </c>
      <c r="H147" s="41" t="s">
        <v>201</v>
      </c>
      <c r="I147" s="41" t="s">
        <v>54</v>
      </c>
      <c r="J147" s="40" t="s">
        <v>277</v>
      </c>
      <c r="K147" s="60">
        <v>45421</v>
      </c>
      <c r="O147" s="82">
        <v>45565</v>
      </c>
      <c r="Q147" s="96"/>
    </row>
    <row r="148" spans="1:17" ht="32.25" x14ac:dyDescent="0.35">
      <c r="A148" s="48">
        <v>76654</v>
      </c>
      <c r="B148" s="39" t="str" cm="1">
        <f t="array" ref="B148">IF(A148&lt;&gt;"",_xlfn.XLOOKUP(_xlfn.NUMBERVALUE(A148),_xlfn.NUMBERVALUE(Carga[Tombamento]),Carga[Descrição do Bem]),"")</f>
        <v>ESTAÇÃO DE TRATAMENTO DE ÁGUA - VALPARAISO/GO VÁLVULA BORBOLETA AWWA / EIXO LIVRE, DN 200MM, ACIONAMENTO ELÉTRICO</v>
      </c>
      <c r="C148" s="39" t="str">
        <f t="shared" si="6"/>
        <v>VÁLVULA BORBOLETA AWWA / EIXO LIVRE, DN 200MM, ACIONAMENTO ELÉTRICO</v>
      </c>
      <c r="E148" s="42" t="s">
        <v>194</v>
      </c>
      <c r="F148" s="43" t="s">
        <v>197</v>
      </c>
      <c r="G148" s="43" t="s">
        <v>199</v>
      </c>
      <c r="H148" s="41" t="s">
        <v>201</v>
      </c>
      <c r="I148" s="43" t="s">
        <v>54</v>
      </c>
      <c r="J148" s="40" t="s">
        <v>277</v>
      </c>
      <c r="K148" s="60">
        <v>45421</v>
      </c>
      <c r="O148" s="82">
        <v>45562</v>
      </c>
      <c r="Q148" s="96"/>
    </row>
    <row r="149" spans="1:17" ht="32.25" x14ac:dyDescent="0.35">
      <c r="A149" s="48">
        <v>76655</v>
      </c>
      <c r="B149" s="39" t="str" cm="1">
        <f t="array" ref="B149">IF(A149&lt;&gt;"",_xlfn.XLOOKUP(_xlfn.NUMBERVALUE(A149),_xlfn.NUMBERVALUE(Carga[Tombamento]),Carga[Descrição do Bem]),"")</f>
        <v>ESTAÇÃO DE TRATAMENTO DE ÁGUA - VALPARAISO/GO VÁLVULA BORBOLETA AWWA / EIXO LIVRE, DN 200MM, ACIONAMENTO ELÉTRICO</v>
      </c>
      <c r="C149" s="39" t="str">
        <f t="shared" si="6"/>
        <v>VÁLVULA BORBOLETA AWWA / EIXO LIVRE, DN 200MM, ACIONAMENTO ELÉTRICO</v>
      </c>
      <c r="E149" s="42" t="s">
        <v>194</v>
      </c>
      <c r="F149" s="41" t="s">
        <v>197</v>
      </c>
      <c r="G149" s="41" t="s">
        <v>199</v>
      </c>
      <c r="H149" s="41" t="s">
        <v>201</v>
      </c>
      <c r="I149" s="41" t="s">
        <v>54</v>
      </c>
      <c r="J149" s="40" t="s">
        <v>278</v>
      </c>
      <c r="K149" s="60">
        <v>45421</v>
      </c>
      <c r="O149" s="82">
        <v>45565</v>
      </c>
      <c r="Q149" s="96"/>
    </row>
    <row r="150" spans="1:17" ht="32.25" x14ac:dyDescent="0.35">
      <c r="A150" s="48">
        <v>76656</v>
      </c>
      <c r="B150" s="39" t="str" cm="1">
        <f t="array" ref="B150">IF(A150&lt;&gt;"",_xlfn.XLOOKUP(_xlfn.NUMBERVALUE(A150),_xlfn.NUMBERVALUE(Carga[Tombamento]),Carga[Descrição do Bem]),"")</f>
        <v>ESTAÇÃO DE TRATAMENTO DE ÁGUA - VALPARAISO/GO VÁLVULA BORBOLETA AWWA / EIXO LIVRE, DN 200MM, ACIONAMENTO ELÉTRICO</v>
      </c>
      <c r="C150" s="39" t="str">
        <f t="shared" si="6"/>
        <v>VÁLVULA BORBOLETA AWWA / EIXO LIVRE, DN 200MM, ACIONAMENTO ELÉTRICO</v>
      </c>
      <c r="E150" s="42" t="s">
        <v>194</v>
      </c>
      <c r="F150" s="43" t="s">
        <v>197</v>
      </c>
      <c r="G150" s="43" t="s">
        <v>199</v>
      </c>
      <c r="H150" s="41" t="s">
        <v>201</v>
      </c>
      <c r="I150" s="43" t="s">
        <v>54</v>
      </c>
      <c r="J150" s="40" t="s">
        <v>278</v>
      </c>
      <c r="K150" s="60">
        <v>45421</v>
      </c>
      <c r="O150" s="82">
        <v>45565</v>
      </c>
      <c r="Q150" s="96"/>
    </row>
    <row r="151" spans="1:17" ht="32.25" x14ac:dyDescent="0.35">
      <c r="A151" s="48">
        <v>76657</v>
      </c>
      <c r="B151" s="39" t="str" cm="1">
        <f t="array" ref="B151">IF(A151&lt;&gt;"",_xlfn.XLOOKUP(_xlfn.NUMBERVALUE(A151),_xlfn.NUMBERVALUE(Carga[Tombamento]),Carga[Descrição do Bem]),"")</f>
        <v>ESTAÇÃO DE TRATAMENTO DE ÁGUA - VALPARAISO/GO VÁLVULA BORBOLETA AWWA / EIXO LIVRE, DN 200MM, ACIONAMENTO ELÉTRICO</v>
      </c>
      <c r="C151" s="39" t="str">
        <f t="shared" si="6"/>
        <v>VÁLVULA BORBOLETA AWWA / EIXO LIVRE, DN 200MM, ACIONAMENTO ELÉTRICO</v>
      </c>
      <c r="E151" s="42" t="s">
        <v>194</v>
      </c>
      <c r="F151" s="41" t="s">
        <v>197</v>
      </c>
      <c r="G151" s="41" t="s">
        <v>199</v>
      </c>
      <c r="H151" s="41" t="s">
        <v>201</v>
      </c>
      <c r="I151" s="41" t="s">
        <v>54</v>
      </c>
      <c r="J151" s="40" t="s">
        <v>279</v>
      </c>
      <c r="K151" s="60">
        <v>45421</v>
      </c>
      <c r="O151" s="82">
        <v>45565</v>
      </c>
      <c r="Q151" s="96"/>
    </row>
    <row r="152" spans="1:17" ht="32.25" x14ac:dyDescent="0.35">
      <c r="A152" s="48">
        <v>76658</v>
      </c>
      <c r="B152" s="39" t="str" cm="1">
        <f t="array" ref="B152">IF(A152&lt;&gt;"",_xlfn.XLOOKUP(_xlfn.NUMBERVALUE(A152),_xlfn.NUMBERVALUE(Carga[Tombamento]),Carga[Descrição do Bem]),"")</f>
        <v>ESTAÇÃO DE TRATAMENTO DE ÁGUA - VALPARAISO/GO VÁLVULA BORBOLETA AWWA / EIXO LIVRE, DN 200MM, ACIONAMENTO ELÉTRICO</v>
      </c>
      <c r="C152" s="39" t="str">
        <f t="shared" si="6"/>
        <v>VÁLVULA BORBOLETA AWWA / EIXO LIVRE, DN 200MM, ACIONAMENTO ELÉTRICO</v>
      </c>
      <c r="E152" s="42" t="s">
        <v>194</v>
      </c>
      <c r="F152" s="43" t="s">
        <v>197</v>
      </c>
      <c r="G152" s="43" t="s">
        <v>199</v>
      </c>
      <c r="H152" s="41" t="s">
        <v>201</v>
      </c>
      <c r="I152" s="43" t="s">
        <v>54</v>
      </c>
      <c r="J152" s="40" t="s">
        <v>279</v>
      </c>
      <c r="K152" s="60">
        <v>45421</v>
      </c>
      <c r="O152" s="82">
        <v>45565</v>
      </c>
      <c r="Q152" s="96"/>
    </row>
    <row r="153" spans="1:17" ht="32.25" x14ac:dyDescent="0.35">
      <c r="A153" s="48">
        <v>76659</v>
      </c>
      <c r="B153" s="39" t="str" cm="1">
        <f t="array" ref="B153">IF(A153&lt;&gt;"",_xlfn.XLOOKUP(_xlfn.NUMBERVALUE(A153),_xlfn.NUMBERVALUE(Carga[Tombamento]),Carga[Descrição do Bem]),"")</f>
        <v>ESTAÇÃO DE TRATAMENTO DE ÁGUA - VALPARAISO/GO VÁLVULA, TIPO BORBOLETA AWWA / EIXO LIVRE, DN 300MM, ACIONAMENTO ELÉTRICO</v>
      </c>
      <c r="C153" s="39" t="str">
        <f t="shared" si="6"/>
        <v>VÁLVULA, TIPO BORBOLETA AWWA / EIXO LIVRE, DN 300MM, ACIONAMENTO ELÉTRICO</v>
      </c>
      <c r="E153" s="42" t="s">
        <v>194</v>
      </c>
      <c r="F153" s="41" t="s">
        <v>197</v>
      </c>
      <c r="G153" s="41" t="s">
        <v>199</v>
      </c>
      <c r="H153" s="41" t="s">
        <v>201</v>
      </c>
      <c r="I153" s="41" t="s">
        <v>53</v>
      </c>
      <c r="J153" s="40" t="s">
        <v>261</v>
      </c>
      <c r="K153" s="60">
        <v>45421</v>
      </c>
      <c r="O153" s="82">
        <v>45553</v>
      </c>
      <c r="Q153" s="96"/>
    </row>
    <row r="154" spans="1:17" ht="32.25" x14ac:dyDescent="0.35">
      <c r="A154" s="48">
        <v>76660</v>
      </c>
      <c r="B154" s="39" t="str" cm="1">
        <f t="array" ref="B154">IF(A154&lt;&gt;"",_xlfn.XLOOKUP(_xlfn.NUMBERVALUE(A154),_xlfn.NUMBERVALUE(Carga[Tombamento]),Carga[Descrição do Bem]),"")</f>
        <v>ESTAÇÃO DE TRATAMENTO DE ÁGUA - VALPARAISO/GO VÁLVULA, TIPO BORBOLETA AWWA / EIXO LIVRE, DN 300MM, ACIONAMENTO ELÉTRICO</v>
      </c>
      <c r="C154" s="39" t="str">
        <f t="shared" si="6"/>
        <v>VÁLVULA, TIPO BORBOLETA AWWA / EIXO LIVRE, DN 300MM, ACIONAMENTO ELÉTRICO</v>
      </c>
      <c r="E154" s="42" t="s">
        <v>194</v>
      </c>
      <c r="F154" s="43" t="s">
        <v>197</v>
      </c>
      <c r="G154" s="43" t="s">
        <v>199</v>
      </c>
      <c r="H154" s="41" t="s">
        <v>201</v>
      </c>
      <c r="I154" s="43" t="s">
        <v>53</v>
      </c>
      <c r="J154" s="40" t="s">
        <v>261</v>
      </c>
      <c r="K154" s="60">
        <v>45421</v>
      </c>
      <c r="O154" s="82">
        <v>45553</v>
      </c>
      <c r="Q154" s="96"/>
    </row>
    <row r="155" spans="1:17" ht="32.25" x14ac:dyDescent="0.35">
      <c r="A155" s="48">
        <v>76661</v>
      </c>
      <c r="B155" s="39" t="str" cm="1">
        <f t="array" ref="B155">IF(A155&lt;&gt;"",_xlfn.XLOOKUP(_xlfn.NUMBERVALUE(A155),_xlfn.NUMBERVALUE(Carga[Tombamento]),Carga[Descrição do Bem]),"")</f>
        <v>ESTAÇÃO DE TRATAMENTO DE ÁGUA - VALPARAISO/GO VÁLVULA, TIPO BORBOLETA AWWA / EIXO LIVRE, DN 300MM, ACIONAMENTO ELÉTRICO</v>
      </c>
      <c r="C155" s="39" t="str">
        <f t="shared" si="6"/>
        <v>VÁLVULA, TIPO BORBOLETA AWWA / EIXO LIVRE, DN 300MM, ACIONAMENTO ELÉTRICO</v>
      </c>
      <c r="E155" s="42" t="s">
        <v>194</v>
      </c>
      <c r="F155" s="41" t="s">
        <v>197</v>
      </c>
      <c r="G155" s="41" t="s">
        <v>199</v>
      </c>
      <c r="H155" s="41" t="s">
        <v>201</v>
      </c>
      <c r="I155" s="41" t="s">
        <v>53</v>
      </c>
      <c r="J155" s="40" t="s">
        <v>261</v>
      </c>
      <c r="K155" s="60">
        <v>45421</v>
      </c>
      <c r="O155" s="82">
        <v>45553</v>
      </c>
      <c r="Q155" s="96"/>
    </row>
    <row r="156" spans="1:17" ht="32.25" x14ac:dyDescent="0.35">
      <c r="A156" s="48">
        <v>76662</v>
      </c>
      <c r="B156" s="39" t="str" cm="1">
        <f t="array" ref="B156">IF(A156&lt;&gt;"",_xlfn.XLOOKUP(_xlfn.NUMBERVALUE(A156),_xlfn.NUMBERVALUE(Carga[Tombamento]),Carga[Descrição do Bem]),"")</f>
        <v>ESTAÇÃO DE TRATAMENTO DE ÁGUA - VALPARAISO/GO VÁLVULA, TIPO BORBOLETA AWWA / EIXO LIVRE, DN 300MM, ACIONAMENTO ELÉTRICO</v>
      </c>
      <c r="C156" s="39" t="str">
        <f t="shared" si="6"/>
        <v>VÁLVULA, TIPO BORBOLETA AWWA / EIXO LIVRE, DN 300MM, ACIONAMENTO ELÉTRICO</v>
      </c>
      <c r="E156" s="42" t="s">
        <v>194</v>
      </c>
      <c r="F156" s="43" t="s">
        <v>197</v>
      </c>
      <c r="G156" s="43" t="s">
        <v>199</v>
      </c>
      <c r="H156" s="41" t="s">
        <v>201</v>
      </c>
      <c r="I156" s="43" t="s">
        <v>53</v>
      </c>
      <c r="J156" s="40" t="s">
        <v>261</v>
      </c>
      <c r="K156" s="60">
        <v>45421</v>
      </c>
      <c r="O156" s="82">
        <v>45553</v>
      </c>
      <c r="Q156" s="96"/>
    </row>
    <row r="157" spans="1:17" ht="32.25" x14ac:dyDescent="0.35">
      <c r="A157" s="48">
        <v>76663</v>
      </c>
      <c r="B157" s="39" t="str" cm="1">
        <f t="array" ref="B157">IF(A157&lt;&gt;"",_xlfn.XLOOKUP(_xlfn.NUMBERVALUE(A157),_xlfn.NUMBERVALUE(Carga[Tombamento]),Carga[Descrição do Bem]),"")</f>
        <v>ESTAÇÃO DE TRATAMENTO DE ÁGUA - VALPARAISO/GO VÁLVULA DE GAVETA COM VOLANTE, DN 100MM, ACIONAMENTO ELÉTRICO</v>
      </c>
      <c r="C157" s="39" t="str">
        <f t="shared" si="6"/>
        <v>VÁLVULA DE GAVETA COM VOLANTE, DN 100MM, ACIONAMENTO ELÉTRICO</v>
      </c>
      <c r="E157" s="42" t="s">
        <v>194</v>
      </c>
      <c r="F157" s="41" t="s">
        <v>197</v>
      </c>
      <c r="G157" s="41" t="s">
        <v>199</v>
      </c>
      <c r="H157" s="41" t="s">
        <v>201</v>
      </c>
      <c r="I157" s="41" t="s">
        <v>54</v>
      </c>
      <c r="J157" s="40" t="s">
        <v>279</v>
      </c>
      <c r="K157" s="60">
        <v>45421</v>
      </c>
      <c r="O157" s="82">
        <v>45562</v>
      </c>
      <c r="Q157" s="96"/>
    </row>
    <row r="158" spans="1:17" ht="32.25" x14ac:dyDescent="0.35">
      <c r="A158" s="48">
        <v>76664</v>
      </c>
      <c r="B158" s="39" t="str" cm="1">
        <f t="array" ref="B158">IF(A158&lt;&gt;"",_xlfn.XLOOKUP(_xlfn.NUMBERVALUE(A158),_xlfn.NUMBERVALUE(Carga[Tombamento]),Carga[Descrição do Bem]),"")</f>
        <v>ESTAÇÃO DE TRATAMENTO DE ÁGUA - VALPARAISO/GO VÁLVULA DE GAVETA COM VOLANTE, DN 100MM, ACIONAMENTO ELÉTRICO</v>
      </c>
      <c r="C158" s="39" t="str">
        <f t="shared" si="6"/>
        <v>VÁLVULA DE GAVETA COM VOLANTE, DN 100MM, ACIONAMENTO ELÉTRICO</v>
      </c>
      <c r="E158" s="42" t="s">
        <v>194</v>
      </c>
      <c r="F158" s="43" t="s">
        <v>197</v>
      </c>
      <c r="G158" s="43" t="s">
        <v>199</v>
      </c>
      <c r="H158" s="41" t="s">
        <v>201</v>
      </c>
      <c r="I158" s="43" t="s">
        <v>54</v>
      </c>
      <c r="J158" s="40" t="s">
        <v>279</v>
      </c>
      <c r="K158" s="60">
        <v>45421</v>
      </c>
      <c r="O158" s="82">
        <v>45565</v>
      </c>
      <c r="Q158" s="96"/>
    </row>
    <row r="159" spans="1:17" ht="32.25" x14ac:dyDescent="0.35">
      <c r="A159" s="48">
        <v>76665</v>
      </c>
      <c r="B159" s="39" t="str" cm="1">
        <f t="array" ref="B159">IF(A159&lt;&gt;"",_xlfn.XLOOKUP(_xlfn.NUMBERVALUE(A159),_xlfn.NUMBERVALUE(Carga[Tombamento]),Carga[Descrição do Bem]),"")</f>
        <v>ESTAÇÃO DE TRATAMENTO DE ÁGUA - VALPARAISO/GO VÁLVULA DE GAVETA COM VOLANTE, DN 100MM, ACIONAMENTO ELÉTRICO</v>
      </c>
      <c r="C159" s="39" t="str">
        <f t="shared" si="6"/>
        <v>VÁLVULA DE GAVETA COM VOLANTE, DN 100MM, ACIONAMENTO ELÉTRICO</v>
      </c>
      <c r="E159" s="42" t="s">
        <v>194</v>
      </c>
      <c r="F159" s="41" t="s">
        <v>197</v>
      </c>
      <c r="G159" s="41" t="s">
        <v>199</v>
      </c>
      <c r="H159" s="41" t="s">
        <v>201</v>
      </c>
      <c r="I159" s="41" t="s">
        <v>54</v>
      </c>
      <c r="J159" s="40" t="s">
        <v>278</v>
      </c>
      <c r="K159" s="60">
        <v>45421</v>
      </c>
      <c r="O159" s="82">
        <v>45562</v>
      </c>
      <c r="Q159" s="96"/>
    </row>
    <row r="160" spans="1:17" ht="32.25" x14ac:dyDescent="0.35">
      <c r="A160" s="48">
        <v>76666</v>
      </c>
      <c r="B160" s="39" t="str" cm="1">
        <f t="array" ref="B160">IF(A160&lt;&gt;"",_xlfn.XLOOKUP(_xlfn.NUMBERVALUE(A160),_xlfn.NUMBERVALUE(Carga[Tombamento]),Carga[Descrição do Bem]),"")</f>
        <v>ESTAÇÃO DE TRATAMENTO DE ÁGUA - VALPARAISO/GO VÁLVULA DE GAVETA COM VOLANTE, DN 100MM, ACIONAMENTO ELÉTRICO</v>
      </c>
      <c r="C160" s="39" t="str">
        <f t="shared" si="6"/>
        <v>VÁLVULA DE GAVETA COM VOLANTE, DN 100MM, ACIONAMENTO ELÉTRICO</v>
      </c>
      <c r="E160" s="42" t="s">
        <v>194</v>
      </c>
      <c r="F160" s="43" t="s">
        <v>197</v>
      </c>
      <c r="G160" s="43" t="s">
        <v>199</v>
      </c>
      <c r="H160" s="41" t="s">
        <v>201</v>
      </c>
      <c r="I160" s="43" t="s">
        <v>54</v>
      </c>
      <c r="J160" s="40" t="s">
        <v>278</v>
      </c>
      <c r="K160" s="60">
        <v>45421</v>
      </c>
      <c r="O160" s="82">
        <v>45565</v>
      </c>
      <c r="Q160" s="96"/>
    </row>
    <row r="161" spans="1:17" ht="32.25" x14ac:dyDescent="0.35">
      <c r="A161" s="48">
        <v>76667</v>
      </c>
      <c r="B161" s="39" t="str" cm="1">
        <f t="array" ref="B161">IF(A161&lt;&gt;"",_xlfn.XLOOKUP(_xlfn.NUMBERVALUE(A161),_xlfn.NUMBERVALUE(Carga[Tombamento]),Carga[Descrição do Bem]),"")</f>
        <v>ESTAÇÃO DE TRATAMENTO DE ÁGUA - VALPARAISO/GO VÁLVULA DE GAVETA COM VOLANTE, DN 100MM, ACIONAMENTO ELÉTRICO</v>
      </c>
      <c r="C161" s="39" t="str">
        <f t="shared" si="6"/>
        <v>VÁLVULA DE GAVETA COM VOLANTE, DN 100MM, ACIONAMENTO ELÉTRICO</v>
      </c>
      <c r="E161" s="42" t="s">
        <v>194</v>
      </c>
      <c r="F161" s="41" t="s">
        <v>197</v>
      </c>
      <c r="G161" s="41" t="s">
        <v>199</v>
      </c>
      <c r="H161" s="41" t="s">
        <v>201</v>
      </c>
      <c r="I161" s="41" t="s">
        <v>54</v>
      </c>
      <c r="J161" s="40" t="s">
        <v>277</v>
      </c>
      <c r="K161" s="60">
        <v>45421</v>
      </c>
      <c r="O161" s="82">
        <v>45562</v>
      </c>
      <c r="Q161" s="96"/>
    </row>
    <row r="162" spans="1:17" ht="32.25" x14ac:dyDescent="0.35">
      <c r="A162" s="48">
        <v>76668</v>
      </c>
      <c r="B162" s="39" t="str" cm="1">
        <f t="array" ref="B162">IF(A162&lt;&gt;"",_xlfn.XLOOKUP(_xlfn.NUMBERVALUE(A162),_xlfn.NUMBERVALUE(Carga[Tombamento]),Carga[Descrição do Bem]),"")</f>
        <v>ESTAÇÃO DE TRATAMENTO DE ÁGUA - VALPARAISO/GO VÁLVULA DE GAVETA COM VOLANTE, DN 100MM, ACIONAMENTO ELÉTRICO</v>
      </c>
      <c r="C162" s="39" t="str">
        <f t="shared" si="6"/>
        <v>VÁLVULA DE GAVETA COM VOLANTE, DN 100MM, ACIONAMENTO ELÉTRICO</v>
      </c>
      <c r="E162" s="42" t="s">
        <v>194</v>
      </c>
      <c r="F162" s="43" t="s">
        <v>197</v>
      </c>
      <c r="G162" s="43" t="s">
        <v>199</v>
      </c>
      <c r="H162" s="41" t="s">
        <v>201</v>
      </c>
      <c r="I162" s="43" t="s">
        <v>54</v>
      </c>
      <c r="J162" s="40" t="s">
        <v>277</v>
      </c>
      <c r="K162" s="60">
        <v>45421</v>
      </c>
      <c r="O162" s="82">
        <v>45565</v>
      </c>
      <c r="Q162" s="96"/>
    </row>
    <row r="163" spans="1:17" ht="32.25" x14ac:dyDescent="0.35">
      <c r="A163" s="48">
        <v>76669</v>
      </c>
      <c r="B163" s="39" t="str" cm="1">
        <f t="array" ref="B163">IF(A163&lt;&gt;"",_xlfn.XLOOKUP(_xlfn.NUMBERVALUE(A163),_xlfn.NUMBERVALUE(Carga[Tombamento]),Carga[Descrição do Bem]),"")</f>
        <v>ESTAÇÃO DE TRATAMENTO DE ÁGUA - VALPARAISO/GO VÁLVULA DE GAVETA COM VOLANTE, DN 100MM, ACIONAMENTO ELÉTRICO</v>
      </c>
      <c r="C163" s="39" t="str">
        <f t="shared" si="6"/>
        <v>VÁLVULA DE GAVETA COM VOLANTE, DN 100MM, ACIONAMENTO ELÉTRICO</v>
      </c>
      <c r="E163" s="42" t="s">
        <v>194</v>
      </c>
      <c r="F163" s="41" t="s">
        <v>197</v>
      </c>
      <c r="G163" s="41" t="s">
        <v>199</v>
      </c>
      <c r="H163" s="41" t="s">
        <v>201</v>
      </c>
      <c r="I163" s="41" t="s">
        <v>54</v>
      </c>
      <c r="J163" s="40" t="s">
        <v>276</v>
      </c>
      <c r="K163" s="60">
        <v>45421</v>
      </c>
      <c r="O163" s="82">
        <v>45562</v>
      </c>
      <c r="Q163" s="96"/>
    </row>
    <row r="164" spans="1:17" ht="32.25" x14ac:dyDescent="0.35">
      <c r="A164" s="48">
        <v>76670</v>
      </c>
      <c r="B164" s="39" t="str" cm="1">
        <f t="array" ref="B164">IF(A164&lt;&gt;"",_xlfn.XLOOKUP(_xlfn.NUMBERVALUE(A164),_xlfn.NUMBERVALUE(Carga[Tombamento]),Carga[Descrição do Bem]),"")</f>
        <v>ESTAÇÃO DE TRATAMENTO DE ÁGUA - VALPARAISO/GO VÁLVULA DE GAVETA COM VOLANTE, DN 100MM, ACIONAMENTO ELÉTRICO</v>
      </c>
      <c r="C164" s="39" t="str">
        <f t="shared" si="6"/>
        <v>VÁLVULA DE GAVETA COM VOLANTE, DN 100MM, ACIONAMENTO ELÉTRICO</v>
      </c>
      <c r="E164" s="42" t="s">
        <v>194</v>
      </c>
      <c r="F164" s="43" t="s">
        <v>197</v>
      </c>
      <c r="G164" s="43" t="s">
        <v>199</v>
      </c>
      <c r="H164" s="41" t="s">
        <v>201</v>
      </c>
      <c r="I164" s="43" t="s">
        <v>54</v>
      </c>
      <c r="J164" s="40" t="s">
        <v>276</v>
      </c>
      <c r="K164" s="60">
        <v>45421</v>
      </c>
      <c r="O164" s="82">
        <v>45565</v>
      </c>
      <c r="Q164" s="96"/>
    </row>
    <row r="165" spans="1:17" ht="32.25" x14ac:dyDescent="0.35">
      <c r="A165" s="48">
        <v>76671</v>
      </c>
      <c r="B165" s="39" t="str" cm="1">
        <f t="array" ref="B165">IF(A165&lt;&gt;"",_xlfn.XLOOKUP(_xlfn.NUMBERVALUE(A165),_xlfn.NUMBERVALUE(Carga[Tombamento]),Carga[Descrição do Bem]),"")</f>
        <v>ESTAÇÃO DE TRATAMENTO DE ÁGUA - VALPARAISO/GO VÁLVULA DE GAVETA COM VOLANTE, DN 200MM, ACIONAMENTO ELÉTRICO</v>
      </c>
      <c r="C165" s="39" t="str">
        <f t="shared" si="6"/>
        <v>VÁLVULA DE GAVETA COM VOLANTE, DN 200MM, ACIONAMENTO ELÉTRICO</v>
      </c>
      <c r="E165" s="42" t="s">
        <v>194</v>
      </c>
      <c r="F165" s="41" t="s">
        <v>197</v>
      </c>
      <c r="G165" s="41" t="s">
        <v>199</v>
      </c>
      <c r="H165" s="41" t="s">
        <v>201</v>
      </c>
      <c r="I165" s="41" t="s">
        <v>53</v>
      </c>
      <c r="J165" s="40" t="s">
        <v>217</v>
      </c>
      <c r="K165" s="60">
        <v>45421</v>
      </c>
      <c r="O165" s="82">
        <v>45553</v>
      </c>
      <c r="Q165" s="96"/>
    </row>
    <row r="166" spans="1:17" ht="32.25" x14ac:dyDescent="0.35">
      <c r="A166" s="48">
        <v>76672</v>
      </c>
      <c r="B166" s="39" t="str" cm="1">
        <f t="array" ref="B166">IF(A166&lt;&gt;"",_xlfn.XLOOKUP(_xlfn.NUMBERVALUE(A166),_xlfn.NUMBERVALUE(Carga[Tombamento]),Carga[Descrição do Bem]),"")</f>
        <v>ESTAÇÃO DE TRATAMENTO DE ÁGUA - VALPARAISO/GO VÁLVULA DE GAVETA COM VOLANTE, DN 200MM, ACIONAMENTO ELÉTRICO</v>
      </c>
      <c r="C166" s="39" t="str">
        <f t="shared" si="6"/>
        <v>VÁLVULA DE GAVETA COM VOLANTE, DN 200MM, ACIONAMENTO ELÉTRICO</v>
      </c>
      <c r="E166" s="42" t="s">
        <v>194</v>
      </c>
      <c r="F166" s="43" t="s">
        <v>197</v>
      </c>
      <c r="G166" s="43" t="s">
        <v>199</v>
      </c>
      <c r="H166" s="41" t="s">
        <v>201</v>
      </c>
      <c r="I166" s="43" t="s">
        <v>53</v>
      </c>
      <c r="J166" s="40" t="s">
        <v>217</v>
      </c>
      <c r="K166" s="60">
        <v>45421</v>
      </c>
      <c r="O166" s="82">
        <v>45553</v>
      </c>
      <c r="Q166" s="96"/>
    </row>
    <row r="167" spans="1:17" ht="32.25" x14ac:dyDescent="0.35">
      <c r="A167" s="48">
        <v>76673</v>
      </c>
      <c r="B167" s="39" t="str" cm="1">
        <f t="array" ref="B167">IF(A167&lt;&gt;"",_xlfn.XLOOKUP(_xlfn.NUMBERVALUE(A167),_xlfn.NUMBERVALUE(Carga[Tombamento]),Carga[Descrição do Bem]),"")</f>
        <v>ESTAÇÃO DE TRATAMENTO DE ÁGUA - VALPARAISO/GO VÁLVULA DE GAVETA COM VOLANTE, DN 200MM, ACIONAMENTO ELÉTRICO</v>
      </c>
      <c r="C167" s="39" t="str">
        <f t="shared" si="6"/>
        <v>VÁLVULA DE GAVETA COM VOLANTE, DN 200MM, ACIONAMENTO ELÉTRICO</v>
      </c>
      <c r="E167" s="42" t="s">
        <v>194</v>
      </c>
      <c r="F167" s="41" t="s">
        <v>197</v>
      </c>
      <c r="G167" s="41" t="s">
        <v>199</v>
      </c>
      <c r="H167" s="41" t="s">
        <v>201</v>
      </c>
      <c r="I167" s="41" t="s">
        <v>53</v>
      </c>
      <c r="J167" s="40" t="s">
        <v>217</v>
      </c>
      <c r="K167" s="60">
        <v>45421</v>
      </c>
      <c r="O167" s="82">
        <v>45553</v>
      </c>
      <c r="Q167" s="96"/>
    </row>
    <row r="168" spans="1:17" ht="32.25" x14ac:dyDescent="0.35">
      <c r="A168" s="48">
        <v>76674</v>
      </c>
      <c r="B168" s="39" t="str" cm="1">
        <f t="array" ref="B168">IF(A168&lt;&gt;"",_xlfn.XLOOKUP(_xlfn.NUMBERVALUE(A168),_xlfn.NUMBERVALUE(Carga[Tombamento]),Carga[Descrição do Bem]),"")</f>
        <v>ESTAÇÃO DE TRATAMENTO DE ÁGUA - VALPARAISO/GO VÁLVULA DE GAVETA COM VOLANTE, DN 200MM, ACIONAMENTO ELÉTRICO</v>
      </c>
      <c r="C168" s="39" t="str">
        <f t="shared" si="6"/>
        <v>VÁLVULA DE GAVETA COM VOLANTE, DN 200MM, ACIONAMENTO ELÉTRICO</v>
      </c>
      <c r="E168" s="42" t="s">
        <v>194</v>
      </c>
      <c r="F168" s="43" t="s">
        <v>197</v>
      </c>
      <c r="G168" s="43" t="s">
        <v>199</v>
      </c>
      <c r="H168" s="41" t="s">
        <v>201</v>
      </c>
      <c r="I168" s="43" t="s">
        <v>53</v>
      </c>
      <c r="J168" s="40" t="s">
        <v>217</v>
      </c>
      <c r="K168" s="60">
        <v>45421</v>
      </c>
      <c r="O168" s="82">
        <v>45553</v>
      </c>
      <c r="Q168" s="96"/>
    </row>
    <row r="169" spans="1:17" ht="50.25" x14ac:dyDescent="0.35">
      <c r="A169" s="48">
        <v>76675</v>
      </c>
      <c r="B169" s="39" t="str" cm="1">
        <f t="array" ref="B169">IF(A169&lt;&gt;"",_xlfn.XLOOKUP(_xlfn.NUMBERVALUE(A169),_xlfn.NUMBERVALUE(Carga[Tombamento]),Carga[Descrição do Bem]),"")</f>
        <v xml:space="preserve">ESTAÇÃO DE TRATAMENTO DE ÁGUA - VALPARAISO/GO TANQUE DE SATURAÇÃO, EM AÇO CARBONO, DIÂMETRO DE 1.600 MM, ALTURA CILÍNDRICA 1.000 MM, FABRICADO EM ASTM A-516 GR 70, PRESSÃO DE OPERAÇÃO MÁXIMA  DE 7 KG/CM² </v>
      </c>
      <c r="C169" s="39" t="str">
        <f t="shared" si="6"/>
        <v xml:space="preserve">TANQUE DE SATURAÇÃO, EM AÇO CARBONO, DIÂMETRO DE 1.600 MM, ALTURA CILÍNDRICA 1.000 MM, FABRICADO EM ASTM A-516 GR 70, PRESSÃO DE OPERAÇÃO MÁXIMA  DE 7 KG/CM² </v>
      </c>
      <c r="E169" s="42" t="s">
        <v>194</v>
      </c>
      <c r="F169" s="41" t="s">
        <v>197</v>
      </c>
      <c r="G169" s="41" t="s">
        <v>199</v>
      </c>
      <c r="H169" s="41" t="s">
        <v>201</v>
      </c>
      <c r="I169" s="41" t="s">
        <v>53</v>
      </c>
      <c r="J169" s="40" t="s">
        <v>261</v>
      </c>
      <c r="K169" s="60">
        <v>45421</v>
      </c>
      <c r="O169" s="82">
        <v>45553</v>
      </c>
      <c r="Q169" s="96"/>
    </row>
    <row r="170" spans="1:17" ht="50.25" x14ac:dyDescent="0.35">
      <c r="A170" s="48">
        <v>76676</v>
      </c>
      <c r="B170" s="39" t="str" cm="1">
        <f t="array" ref="B170">IF(A170&lt;&gt;"",_xlfn.XLOOKUP(_xlfn.NUMBERVALUE(A170),_xlfn.NUMBERVALUE(Carga[Tombamento]),Carga[Descrição do Bem]),"")</f>
        <v xml:space="preserve">ESTAÇÃO DE TRATAMENTO DE ÁGUA - VALPARAISO/GO TANQUE DE SATURAÇÃO, EM AÇO CARBONO, DIÂMETRO DE 1.600 MM, ALTURA CILÍNDRICA 1.000 MM, FABRICADO EM ASTM A-516 GR 70, PRESSÃO DE OPERAÇÃO MÁXIMA  DE 7 KG/CM² </v>
      </c>
      <c r="C170" s="39" t="str">
        <f t="shared" si="6"/>
        <v xml:space="preserve">TANQUE DE SATURAÇÃO, EM AÇO CARBONO, DIÂMETRO DE 1.600 MM, ALTURA CILÍNDRICA 1.000 MM, FABRICADO EM ASTM A-516 GR 70, PRESSÃO DE OPERAÇÃO MÁXIMA  DE 7 KG/CM² </v>
      </c>
      <c r="E170" s="42" t="s">
        <v>194</v>
      </c>
      <c r="F170" s="43" t="s">
        <v>197</v>
      </c>
      <c r="G170" s="43" t="s">
        <v>199</v>
      </c>
      <c r="H170" s="41" t="s">
        <v>201</v>
      </c>
      <c r="I170" s="43" t="s">
        <v>53</v>
      </c>
      <c r="J170" s="40" t="s">
        <v>261</v>
      </c>
      <c r="K170" s="60">
        <v>45421</v>
      </c>
      <c r="O170" s="82">
        <v>45553</v>
      </c>
      <c r="Q170" s="96"/>
    </row>
    <row r="171" spans="1:17" ht="50.25" x14ac:dyDescent="0.35">
      <c r="A171" s="48">
        <v>76677</v>
      </c>
      <c r="B171" s="39" t="str" cm="1">
        <f t="array" ref="B171">IF(A171&lt;&gt;"",_xlfn.XLOOKUP(_xlfn.NUMBERVALUE(A171),_xlfn.NUMBERVALUE(Carga[Tombamento]),Carga[Descrição do Bem]),"")</f>
        <v xml:space="preserve">ESTAÇÃO DE TRATAMENTO DE ÁGUA - VALPARAISO/GO TANQUE DE SATURAÇÃO, EM AÇO CARBONO, DIÂMETRO DE 1.600 MM, ALTURA CILÍNDRICA 1.000 MM, FABRICADO EM ASTM A-516 GR 70, PRESSÃO DE OPERAÇÃO MÁXIMA  DE 7 KG/CM² </v>
      </c>
      <c r="C171" s="39" t="str">
        <f t="shared" si="6"/>
        <v xml:space="preserve">TANQUE DE SATURAÇÃO, EM AÇO CARBONO, DIÂMETRO DE 1.600 MM, ALTURA CILÍNDRICA 1.000 MM, FABRICADO EM ASTM A-516 GR 70, PRESSÃO DE OPERAÇÃO MÁXIMA  DE 7 KG/CM² </v>
      </c>
      <c r="E171" s="42" t="s">
        <v>194</v>
      </c>
      <c r="F171" s="41" t="s">
        <v>197</v>
      </c>
      <c r="G171" s="41" t="s">
        <v>199</v>
      </c>
      <c r="H171" s="41" t="s">
        <v>201</v>
      </c>
      <c r="I171" s="41" t="s">
        <v>53</v>
      </c>
      <c r="J171" s="40" t="s">
        <v>261</v>
      </c>
      <c r="K171" s="60">
        <v>45421</v>
      </c>
      <c r="O171" s="82">
        <v>45553</v>
      </c>
      <c r="Q171" s="96"/>
    </row>
    <row r="172" spans="1:17" ht="50.25" x14ac:dyDescent="0.35">
      <c r="A172" s="48">
        <v>76678</v>
      </c>
      <c r="B172" s="39" t="str" cm="1">
        <f t="array" ref="B172">IF(A172&lt;&gt;"",_xlfn.XLOOKUP(_xlfn.NUMBERVALUE(A172),_xlfn.NUMBERVALUE(Carga[Tombamento]),Carga[Descrição do Bem]),"")</f>
        <v xml:space="preserve">ESTAÇÃO DE TRATAMENTO DE ÁGUA - VALPARAISO/GO TANQUE DE SATURAÇÃO, EM AÇO CARBONO, DIÂMETRO DE 1.600 MM, ALTURA CILÍNDRICA 1.000 MM, FABRICADO EM ASTM A-516 GR 70, PRESSÃO DE OPERAÇÃO MÁXIMA  DE 7 KG/CM² </v>
      </c>
      <c r="C172" s="39" t="str">
        <f t="shared" si="6"/>
        <v xml:space="preserve">TANQUE DE SATURAÇÃO, EM AÇO CARBONO, DIÂMETRO DE 1.600 MM, ALTURA CILÍNDRICA 1.000 MM, FABRICADO EM ASTM A-516 GR 70, PRESSÃO DE OPERAÇÃO MÁXIMA  DE 7 KG/CM² </v>
      </c>
      <c r="D172" s="5"/>
      <c r="E172" s="42" t="s">
        <v>194</v>
      </c>
      <c r="F172" s="43" t="s">
        <v>197</v>
      </c>
      <c r="G172" s="43" t="s">
        <v>199</v>
      </c>
      <c r="H172" s="41" t="s">
        <v>201</v>
      </c>
      <c r="I172" s="43" t="s">
        <v>53</v>
      </c>
      <c r="J172" s="40" t="s">
        <v>261</v>
      </c>
      <c r="K172" s="60">
        <v>45421</v>
      </c>
      <c r="O172" s="82">
        <v>45553</v>
      </c>
      <c r="Q172" s="96"/>
    </row>
    <row r="173" spans="1:17" ht="32.25" x14ac:dyDescent="0.35">
      <c r="A173" s="48">
        <v>76679</v>
      </c>
      <c r="B173" s="39" t="str" cm="1">
        <f t="array" ref="B173">IF(A173&lt;&gt;"",_xlfn.XLOOKUP(_xlfn.NUMBERVALUE(A173),_xlfn.NUMBERVALUE(Carga[Tombamento]),Carga[Descrição do Bem]),"")</f>
        <v>RESERVATÓRIOS - DF VALVULAS BORBOLETA BI EXCENTRICA, DN 2000 PN 10 C/ ATUADORES ELÉTRICOS INTELIGENTES - MARCA : VCW/VBS</v>
      </c>
      <c r="C173" s="39" t="str">
        <f>MID(B173,1,150)</f>
        <v>RESERVATÓRIOS - DF VALVULAS BORBOLETA BI EXCENTRICA, DN 2000 PN 10 C/ ATUADORES ELÉTRICOS INTELIGENTES - MARCA : VCW/VBS</v>
      </c>
      <c r="D173" s="5"/>
      <c r="E173" s="42" t="s">
        <v>203</v>
      </c>
      <c r="F173" s="41" t="s">
        <v>206</v>
      </c>
      <c r="G173" s="41" t="s">
        <v>199</v>
      </c>
      <c r="H173" s="41" t="s">
        <v>201</v>
      </c>
      <c r="I173" s="41" t="s">
        <v>73</v>
      </c>
      <c r="J173" s="40" t="s">
        <v>67</v>
      </c>
      <c r="K173" s="60">
        <v>45421</v>
      </c>
      <c r="O173" s="82">
        <v>45565</v>
      </c>
      <c r="Q173" s="96"/>
    </row>
    <row r="174" spans="1:17" ht="32.25" x14ac:dyDescent="0.35">
      <c r="A174" s="48">
        <v>76680</v>
      </c>
      <c r="B174" s="39" t="str" cm="1">
        <f t="array" ref="B174">IF(A174&lt;&gt;"",_xlfn.XLOOKUP(_xlfn.NUMBERVALUE(A174),_xlfn.NUMBERVALUE(Carga[Tombamento]),Carga[Descrição do Bem]),"")</f>
        <v>RESERVATÓRIOS - DF VALVULA BORBOLETA BI EXCENTRICA, DN 2000 PN 10 C/ ATUADORES ELÉTRICOS INTELIGENTES - MARCA : VCW/VBS</v>
      </c>
      <c r="C174" s="39" t="str">
        <f t="shared" ref="C174:C178" si="7">MID(B174,1,150)</f>
        <v>RESERVATÓRIOS - DF VALVULA BORBOLETA BI EXCENTRICA, DN 2000 PN 10 C/ ATUADORES ELÉTRICOS INTELIGENTES - MARCA : VCW/VBS</v>
      </c>
      <c r="E174" s="42" t="s">
        <v>203</v>
      </c>
      <c r="F174" s="43" t="s">
        <v>206</v>
      </c>
      <c r="G174" s="43" t="s">
        <v>199</v>
      </c>
      <c r="H174" s="41" t="s">
        <v>201</v>
      </c>
      <c r="I174" s="43" t="s">
        <v>73</v>
      </c>
      <c r="J174" s="40" t="s">
        <v>67</v>
      </c>
      <c r="K174" s="60">
        <v>45421</v>
      </c>
      <c r="O174" s="82">
        <v>45565</v>
      </c>
      <c r="Q174" s="96"/>
    </row>
    <row r="175" spans="1:17" ht="32.25" x14ac:dyDescent="0.35">
      <c r="A175" s="48">
        <v>76681</v>
      </c>
      <c r="B175" s="39" t="str" cm="1">
        <f t="array" ref="B175">IF(A175&lt;&gt;"",_xlfn.XLOOKUP(_xlfn.NUMBERVALUE(A175),_xlfn.NUMBERVALUE(Carga[Tombamento]),Carga[Descrição do Bem]),"")</f>
        <v>RESERVATÓRIOS - DF VALVULAS BORBOLETA BI EXCENTRICA, DN 1200 PN 10 C/ ATUADORES ELÉTRICOS INTELIGENTES - MARCA: VCW/VBS</v>
      </c>
      <c r="C175" s="39" t="str">
        <f t="shared" si="7"/>
        <v>RESERVATÓRIOS - DF VALVULAS BORBOLETA BI EXCENTRICA, DN 1200 PN 10 C/ ATUADORES ELÉTRICOS INTELIGENTES - MARCA: VCW/VBS</v>
      </c>
      <c r="E175" s="42" t="s">
        <v>203</v>
      </c>
      <c r="F175" s="41" t="s">
        <v>206</v>
      </c>
      <c r="G175" s="41" t="s">
        <v>199</v>
      </c>
      <c r="H175" s="41" t="s">
        <v>201</v>
      </c>
      <c r="I175" s="41" t="s">
        <v>73</v>
      </c>
      <c r="J175" s="40" t="s">
        <v>66</v>
      </c>
      <c r="K175" s="60">
        <v>45421</v>
      </c>
      <c r="O175" s="82">
        <v>45555</v>
      </c>
      <c r="Q175" s="96"/>
    </row>
    <row r="176" spans="1:17" ht="32.25" x14ac:dyDescent="0.35">
      <c r="A176" s="48">
        <v>76682</v>
      </c>
      <c r="B176" s="39" t="str" cm="1">
        <f t="array" ref="B176">IF(A176&lt;&gt;"",_xlfn.XLOOKUP(_xlfn.NUMBERVALUE(A176),_xlfn.NUMBERVALUE(Carga[Tombamento]),Carga[Descrição do Bem]),"")</f>
        <v xml:space="preserve">RESERVATÓRIOS - DF VALVULA BORBOLETA BI EXCENTRICA, DN 1200 PN 10 C/ ATUADORES ELÉTRICOS INTELIGENTES - MARCA : VCW/VBS </v>
      </c>
      <c r="C176" s="39" t="str">
        <f t="shared" si="7"/>
        <v xml:space="preserve">RESERVATÓRIOS - DF VALVULA BORBOLETA BI EXCENTRICA, DN 1200 PN 10 C/ ATUADORES ELÉTRICOS INTELIGENTES - MARCA : VCW/VBS </v>
      </c>
      <c r="E176" s="42" t="s">
        <v>203</v>
      </c>
      <c r="F176" s="43" t="s">
        <v>206</v>
      </c>
      <c r="G176" s="43" t="s">
        <v>199</v>
      </c>
      <c r="H176" s="41" t="s">
        <v>201</v>
      </c>
      <c r="I176" s="43" t="s">
        <v>73</v>
      </c>
      <c r="J176" s="40" t="s">
        <v>66</v>
      </c>
      <c r="K176" s="60">
        <v>45421</v>
      </c>
      <c r="O176" s="82">
        <v>45555</v>
      </c>
      <c r="Q176" s="96"/>
    </row>
    <row r="177" spans="1:17" ht="32.25" x14ac:dyDescent="0.35">
      <c r="A177" s="48">
        <v>76683</v>
      </c>
      <c r="B177" s="39" t="str" cm="1">
        <f t="array" ref="B177">IF(A177&lt;&gt;"",_xlfn.XLOOKUP(_xlfn.NUMBERVALUE(A177),_xlfn.NUMBERVALUE(Carga[Tombamento]),Carga[Descrição do Bem]),"")</f>
        <v>RESERVATÓRIOS - DF SISTEMA COMPLETO DE MEDIÇÃO E CONTROLE DE NÍVEL ULTRASSÔNICO (SENSOR E CONVERSOR)</v>
      </c>
      <c r="C177" s="39" t="str">
        <f t="shared" si="7"/>
        <v>RESERVATÓRIOS - DF SISTEMA COMPLETO DE MEDIÇÃO E CONTROLE DE NÍVEL ULTRASSÔNICO (SENSOR E CONVERSOR)</v>
      </c>
      <c r="E177" s="42" t="s">
        <v>203</v>
      </c>
      <c r="F177" s="41" t="s">
        <v>206</v>
      </c>
      <c r="G177" s="41" t="s">
        <v>199</v>
      </c>
      <c r="H177" s="41" t="s">
        <v>201</v>
      </c>
      <c r="I177" s="41" t="s">
        <v>73</v>
      </c>
      <c r="J177" s="40" t="s">
        <v>59</v>
      </c>
      <c r="K177" s="60">
        <v>45421</v>
      </c>
      <c r="O177" s="82">
        <v>45555</v>
      </c>
      <c r="Q177" s="96"/>
    </row>
    <row r="178" spans="1:17" ht="32.25" x14ac:dyDescent="0.35">
      <c r="A178" s="48">
        <v>76684</v>
      </c>
      <c r="B178" s="39" t="str" cm="1">
        <f t="array" ref="B178">IF(A178&lt;&gt;"",_xlfn.XLOOKUP(_xlfn.NUMBERVALUE(A178),_xlfn.NUMBERVALUE(Carga[Tombamento]),Carga[Descrição do Bem]),"")</f>
        <v>RESERVATÓRIOS - DF SISTEMA COMPLETO DE MEDIÇÃO E CONTROLE DE NÍVEL ULTRASSÔNICO (SENSOR E CONVERSOR)</v>
      </c>
      <c r="C178" s="39" t="str">
        <f t="shared" si="7"/>
        <v>RESERVATÓRIOS - DF SISTEMA COMPLETO DE MEDIÇÃO E CONTROLE DE NÍVEL ULTRASSÔNICO (SENSOR E CONVERSOR)</v>
      </c>
      <c r="D178" s="5"/>
      <c r="E178" s="42" t="s">
        <v>203</v>
      </c>
      <c r="F178" s="43" t="s">
        <v>197</v>
      </c>
      <c r="G178" s="43" t="s">
        <v>199</v>
      </c>
      <c r="H178" s="41" t="s">
        <v>201</v>
      </c>
      <c r="I178" s="43" t="s">
        <v>73</v>
      </c>
      <c r="J178" s="40" t="s">
        <v>59</v>
      </c>
      <c r="K178" s="60">
        <v>45421</v>
      </c>
      <c r="O178" s="82">
        <v>45555</v>
      </c>
      <c r="Q178" s="96"/>
    </row>
    <row r="179" spans="1:17" ht="32.25" x14ac:dyDescent="0.35">
      <c r="A179" s="48">
        <v>77648</v>
      </c>
      <c r="B179" s="39" t="str" cm="1">
        <f t="array" ref="B179">IF(A179&lt;&gt;"",_xlfn.XLOOKUP(_xlfn.NUMBERVALUE(A179),_xlfn.NUMBERVALUE(Carga[Tombamento]),Carga[Descrição do Bem]),"")</f>
        <v>ESTAÇÃO DE TRATAMENTO DE ÁGUA - VALPARAISO/GO CONJUNTO MOTOBOMBA CENTRÍFUGA DE EIXO HORIZONTAL, PARA INJETOR DE CLORO</v>
      </c>
      <c r="C179" s="39" t="str">
        <f>MID(B179,47,160)</f>
        <v>CONJUNTO MOTOBOMBA CENTRÍFUGA DE EIXO HORIZONTAL, PARA INJETOR DE CLORO</v>
      </c>
      <c r="D179" s="5"/>
      <c r="E179" s="42" t="s">
        <v>194</v>
      </c>
      <c r="F179" s="41" t="s">
        <v>197</v>
      </c>
      <c r="G179" s="41" t="s">
        <v>199</v>
      </c>
      <c r="H179" s="41" t="s">
        <v>201</v>
      </c>
      <c r="I179" s="41" t="s">
        <v>56</v>
      </c>
      <c r="J179" s="40" t="s">
        <v>60</v>
      </c>
      <c r="K179" s="60">
        <v>45422</v>
      </c>
      <c r="O179" s="82">
        <v>45555</v>
      </c>
      <c r="Q179" s="96"/>
    </row>
    <row r="180" spans="1:17" ht="32.25" x14ac:dyDescent="0.35">
      <c r="A180" s="48">
        <v>77649</v>
      </c>
      <c r="B180" s="39" t="str" cm="1">
        <f t="array" ref="B180">IF(A180&lt;&gt;"",_xlfn.XLOOKUP(_xlfn.NUMBERVALUE(A180),_xlfn.NUMBERVALUE(Carga[Tombamento]),Carga[Descrição do Bem]),"")</f>
        <v>ESTAÇÃO DE TRATAMENTO DE ÁGUA - VALPARAISO/GO CONJUNTO MOTOBOMBA CENTRÍFUGA DE EIXO HORIZONTAL, PARA INJETOR DE CLORO</v>
      </c>
      <c r="C180" s="39" t="str">
        <f t="shared" ref="C180:C243" si="8">MID(B180,47,160)</f>
        <v>CONJUNTO MOTOBOMBA CENTRÍFUGA DE EIXO HORIZONTAL, PARA INJETOR DE CLORO</v>
      </c>
      <c r="E180" s="42" t="s">
        <v>194</v>
      </c>
      <c r="F180" s="43" t="s">
        <v>197</v>
      </c>
      <c r="G180" s="43" t="s">
        <v>199</v>
      </c>
      <c r="H180" s="41" t="s">
        <v>201</v>
      </c>
      <c r="I180" s="43" t="s">
        <v>56</v>
      </c>
      <c r="J180" s="40" t="s">
        <v>60</v>
      </c>
      <c r="K180" s="60">
        <v>45422</v>
      </c>
      <c r="O180" s="82">
        <v>45555</v>
      </c>
      <c r="Q180" s="96"/>
    </row>
    <row r="181" spans="1:17" ht="50.25" x14ac:dyDescent="0.35">
      <c r="A181" s="48">
        <v>77650</v>
      </c>
      <c r="B181" s="39" t="str" cm="1">
        <f t="array" ref="B181">IF(A181&lt;&gt;"",_xlfn.XLOOKUP(_xlfn.NUMBERVALUE(A181),_xlfn.NUMBERVALUE(Carga[Tombamento]),Carga[Descrição do Bem]),"")</f>
        <v>ESTAÇÃO DE TRATAMENTO DE ÁGUA - VALPARAISO/GO VÁLVULA BORBOLETA DE FERRO FUNDIDO FLANGEADA COM ATUADOR ELÉTRICO ESPECIAL (CLASSE DE PRESSÃO: 10 KGF/CM² / DIÂMETRO DA SEÇÃO: 300 MM)</v>
      </c>
      <c r="C181" s="39" t="str">
        <f t="shared" si="8"/>
        <v>VÁLVULA BORBOLETA DE FERRO FUNDIDO FLANGEADA COM ATUADOR ELÉTRICO ESPECIAL (CLASSE DE PRESSÃO: 10 KGF/CM² / DIÂMETRO DA SEÇÃO: 300 MM)</v>
      </c>
      <c r="E181" s="42" t="s">
        <v>194</v>
      </c>
      <c r="F181" s="41" t="s">
        <v>197</v>
      </c>
      <c r="G181" s="41" t="s">
        <v>199</v>
      </c>
      <c r="H181" s="41" t="s">
        <v>201</v>
      </c>
      <c r="I181" s="41" t="s">
        <v>53</v>
      </c>
      <c r="J181" s="40" t="s">
        <v>260</v>
      </c>
      <c r="K181" s="60">
        <v>45421</v>
      </c>
      <c r="O181" s="82">
        <v>45553</v>
      </c>
      <c r="Q181" s="96"/>
    </row>
    <row r="182" spans="1:17" ht="50.25" x14ac:dyDescent="0.35">
      <c r="A182" s="48">
        <v>77651</v>
      </c>
      <c r="B182" s="39" t="str" cm="1">
        <f t="array" ref="B182">IF(A182&lt;&gt;"",_xlfn.XLOOKUP(_xlfn.NUMBERVALUE(A182),_xlfn.NUMBERVALUE(Carga[Tombamento]),Carga[Descrição do Bem]),"")</f>
        <v>ESTAÇÃO DE TRATAMENTO DE ÁGUA - VALPARAISO/GO VÁLVULA BORBOLETA DE FERRO FUNDIDO FLANGEADA COM ATUADOR ELÉTRICO ESPECIAL (CLASSE DE PRESSÃO: 10 KGF/CM² / DIÂMETRO DA SEÇÃO: 300 MM)</v>
      </c>
      <c r="C182" s="39" t="str">
        <f t="shared" si="8"/>
        <v>VÁLVULA BORBOLETA DE FERRO FUNDIDO FLANGEADA COM ATUADOR ELÉTRICO ESPECIAL (CLASSE DE PRESSÃO: 10 KGF/CM² / DIÂMETRO DA SEÇÃO: 300 MM)</v>
      </c>
      <c r="E182" s="42" t="s">
        <v>194</v>
      </c>
      <c r="F182" s="43" t="s">
        <v>197</v>
      </c>
      <c r="G182" s="43" t="s">
        <v>199</v>
      </c>
      <c r="H182" s="41" t="s">
        <v>201</v>
      </c>
      <c r="I182" s="43" t="s">
        <v>53</v>
      </c>
      <c r="J182" s="40" t="s">
        <v>260</v>
      </c>
      <c r="K182" s="60">
        <v>45421</v>
      </c>
      <c r="O182" s="82">
        <v>45553</v>
      </c>
      <c r="Q182" s="96"/>
    </row>
    <row r="183" spans="1:17" ht="50.25" x14ac:dyDescent="0.35">
      <c r="A183" s="48">
        <v>77652</v>
      </c>
      <c r="B183" s="39" t="str" cm="1">
        <f t="array" ref="B183">IF(A183&lt;&gt;"",_xlfn.XLOOKUP(_xlfn.NUMBERVALUE(A183),_xlfn.NUMBERVALUE(Carga[Tombamento]),Carga[Descrição do Bem]),"")</f>
        <v>ESTAÇÃO DE TRATAMENTO DE ÁGUA - VALPARAISO/GO VÁLVULA BORBOLETA DE FERRO FUNDIDO FLANGEADA COM ATUADOR ELÉTRICO ESPECIAL (CLASSE DE PRESSÃO: 10 KGF/CM² / DIÂMETRO DA SEÇÃO: 300 MM)</v>
      </c>
      <c r="C183" s="39" t="str">
        <f t="shared" si="8"/>
        <v>VÁLVULA BORBOLETA DE FERRO FUNDIDO FLANGEADA COM ATUADOR ELÉTRICO ESPECIAL (CLASSE DE PRESSÃO: 10 KGF/CM² / DIÂMETRO DA SEÇÃO: 300 MM)</v>
      </c>
      <c r="E183" s="42" t="s">
        <v>194</v>
      </c>
      <c r="F183" s="41" t="s">
        <v>197</v>
      </c>
      <c r="G183" s="41" t="s">
        <v>199</v>
      </c>
      <c r="H183" s="41" t="s">
        <v>201</v>
      </c>
      <c r="I183" s="41" t="s">
        <v>53</v>
      </c>
      <c r="J183" s="40" t="s">
        <v>260</v>
      </c>
      <c r="K183" s="60">
        <v>45421</v>
      </c>
      <c r="O183" s="82">
        <v>45553</v>
      </c>
      <c r="Q183" s="96"/>
    </row>
    <row r="184" spans="1:17" ht="50.25" x14ac:dyDescent="0.35">
      <c r="A184" s="48">
        <v>77653</v>
      </c>
      <c r="B184" s="39" t="str" cm="1">
        <f t="array" ref="B184">IF(A184&lt;&gt;"",_xlfn.XLOOKUP(_xlfn.NUMBERVALUE(A184),_xlfn.NUMBERVALUE(Carga[Tombamento]),Carga[Descrição do Bem]),"")</f>
        <v>ESTAÇÃO DE TRATAMENTO DE ÁGUA - VALPARAISO/GO VÁLVULA BORBOLETA DE FERRO FUNDIDO FLANGEADA COM ATUADOR ELÉTRICO ESPECIAL (CLASSE DE PRESSÃO: 10 KGF/CM² / DIÂMETRO DA SEÇÃO: 300 MM)</v>
      </c>
      <c r="C184" s="39" t="str">
        <f t="shared" si="8"/>
        <v>VÁLVULA BORBOLETA DE FERRO FUNDIDO FLANGEADA COM ATUADOR ELÉTRICO ESPECIAL (CLASSE DE PRESSÃO: 10 KGF/CM² / DIÂMETRO DA SEÇÃO: 300 MM)</v>
      </c>
      <c r="E184" s="42" t="s">
        <v>194</v>
      </c>
      <c r="F184" s="43" t="s">
        <v>197</v>
      </c>
      <c r="G184" s="43" t="s">
        <v>199</v>
      </c>
      <c r="H184" s="41" t="s">
        <v>201</v>
      </c>
      <c r="I184" s="43" t="s">
        <v>53</v>
      </c>
      <c r="J184" s="40" t="s">
        <v>260</v>
      </c>
      <c r="K184" s="60">
        <v>45421</v>
      </c>
      <c r="O184" s="82">
        <v>45553</v>
      </c>
      <c r="Q184" s="96"/>
    </row>
    <row r="185" spans="1:17" ht="50.25" x14ac:dyDescent="0.35">
      <c r="A185" s="48">
        <v>77654</v>
      </c>
      <c r="B185" s="39" t="str" cm="1">
        <f t="array" ref="B185">IF(A185&lt;&gt;"",_xlfn.XLOOKUP(_xlfn.NUMBERVALUE(A185),_xlfn.NUMBERVALUE(Carga[Tombamento]),Carga[Descrição do Bem]),"")</f>
        <v>ESTAÇÃO DE TRATAMENTO DE ÁGUA - VALPARAISO/GO VÁLVULA BORBOLETA DE FERRO FUNDIDO FLANGEADA COM ATUADOR ELÉTRICO ESPECIAL (CLASSE DE PRESSÃO: 10 KGF/CM² / DIÂMETRO DA SEÇÃO: 600 MM).</v>
      </c>
      <c r="C185" s="39" t="str">
        <f t="shared" si="8"/>
        <v>VÁLVULA BORBOLETA DE FERRO FUNDIDO FLANGEADA COM ATUADOR ELÉTRICO ESPECIAL (CLASSE DE PRESSÃO: 10 KGF/CM² / DIÂMETRO DA SEÇÃO: 600 MM).</v>
      </c>
      <c r="E185" s="42" t="s">
        <v>194</v>
      </c>
      <c r="F185" s="41" t="s">
        <v>197</v>
      </c>
      <c r="G185" s="41" t="s">
        <v>199</v>
      </c>
      <c r="H185" s="41" t="s">
        <v>201</v>
      </c>
      <c r="I185" s="41" t="s">
        <v>54</v>
      </c>
      <c r="J185" s="40" t="s">
        <v>272</v>
      </c>
      <c r="K185" s="60">
        <v>45421</v>
      </c>
      <c r="O185" s="82">
        <v>45558</v>
      </c>
      <c r="Q185" s="96"/>
    </row>
    <row r="186" spans="1:17" ht="50.25" x14ac:dyDescent="0.35">
      <c r="A186" s="48">
        <v>77655</v>
      </c>
      <c r="B186" s="39" t="str" cm="1">
        <f t="array" ref="B186">IF(A186&lt;&gt;"",_xlfn.XLOOKUP(_xlfn.NUMBERVALUE(A186),_xlfn.NUMBERVALUE(Carga[Tombamento]),Carga[Descrição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86" s="39" t="str">
        <f t="shared" si="8"/>
        <v>VÁLVULA BORBOLETA DE FERRO FUNDIDO FLANGEADA COM ATUADOR ELÉTRICO ESPECIAL (CLASSE DE PRESSÃO: 10 KGF/CM² / DIÂMETRO DA SEÇÃO: 600 MM)</v>
      </c>
      <c r="E186" s="42" t="s">
        <v>194</v>
      </c>
      <c r="F186" s="43" t="s">
        <v>197</v>
      </c>
      <c r="G186" s="43" t="s">
        <v>199</v>
      </c>
      <c r="H186" s="41" t="s">
        <v>201</v>
      </c>
      <c r="I186" s="43" t="s">
        <v>54</v>
      </c>
      <c r="J186" s="40" t="s">
        <v>272</v>
      </c>
      <c r="K186" s="60">
        <v>45421</v>
      </c>
      <c r="O186" s="82">
        <v>45558</v>
      </c>
      <c r="Q186" s="96"/>
    </row>
    <row r="187" spans="1:17" ht="50.25" x14ac:dyDescent="0.35">
      <c r="A187" s="48">
        <v>77656</v>
      </c>
      <c r="B187" s="39" t="str" cm="1">
        <f t="array" ref="B187">IF(A187&lt;&gt;"",_xlfn.XLOOKUP(_xlfn.NUMBERVALUE(A187),_xlfn.NUMBERVALUE(Carga[Tombamento]),Carga[Descrição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87" s="39" t="str">
        <f t="shared" si="8"/>
        <v>VÁLVULA BORBOLETA DE FERRO FUNDIDO FLANGEADA COM ATUADOR ELÉTRICO ESPECIAL (CLASSE DE PRESSÃO: 10 KGF/CM² / DIÂMETRO DA SEÇÃO: 600 MM)</v>
      </c>
      <c r="E187" s="42" t="s">
        <v>194</v>
      </c>
      <c r="F187" s="41" t="s">
        <v>197</v>
      </c>
      <c r="G187" s="41" t="s">
        <v>199</v>
      </c>
      <c r="H187" s="41" t="s">
        <v>201</v>
      </c>
      <c r="I187" s="41" t="s">
        <v>54</v>
      </c>
      <c r="J187" s="40" t="s">
        <v>272</v>
      </c>
      <c r="K187" s="60">
        <v>45421</v>
      </c>
      <c r="O187" s="82">
        <v>45558</v>
      </c>
      <c r="Q187" s="96"/>
    </row>
    <row r="188" spans="1:17" ht="50.25" x14ac:dyDescent="0.35">
      <c r="A188" s="48">
        <v>77657</v>
      </c>
      <c r="B188" s="39" t="str" cm="1">
        <f t="array" ref="B188">IF(A188&lt;&gt;"",_xlfn.XLOOKUP(_xlfn.NUMBERVALUE(A188),_xlfn.NUMBERVALUE(Carga[Tombamento]),Carga[Descrição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88" s="39" t="str">
        <f t="shared" si="8"/>
        <v>VÁLVULA BORBOLETA DE FERRO FUNDIDO FLANGEADA COM ATUADOR ELÉTRICO ESPECIAL (CLASSE DE PRESSÃO: 10 KGF/CM² / DIÂMETRO DA SEÇÃO: 600 MM)</v>
      </c>
      <c r="E188" s="42" t="s">
        <v>194</v>
      </c>
      <c r="F188" s="43" t="s">
        <v>197</v>
      </c>
      <c r="G188" s="43" t="s">
        <v>199</v>
      </c>
      <c r="H188" s="41" t="s">
        <v>201</v>
      </c>
      <c r="I188" s="43" t="s">
        <v>54</v>
      </c>
      <c r="J188" s="40" t="s">
        <v>272</v>
      </c>
      <c r="K188" s="60">
        <v>45421</v>
      </c>
      <c r="O188" s="82">
        <v>45558</v>
      </c>
      <c r="Q188" s="96"/>
    </row>
    <row r="189" spans="1:17" ht="50.25" x14ac:dyDescent="0.35">
      <c r="A189" s="48">
        <v>77658</v>
      </c>
      <c r="B189" s="39" t="str" cm="1">
        <f t="array" ref="B189">IF(A189&lt;&gt;"",_xlfn.XLOOKUP(_xlfn.NUMBERVALUE(A189),_xlfn.NUMBERVALUE(Carga[Tombamento]),Carga[Descrição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89" s="39" t="str">
        <f t="shared" si="8"/>
        <v>VÁLVULA BORBOLETA DE FERRO FUNDIDO FLANGEADA COM ATUADOR ELÉTRICO ESPECIAL (CLASSE DE PRESSÃO: 10 KGF/CM² / DIÂMETRO DA SEÇÃO: 600 MM)</v>
      </c>
      <c r="E189" s="42" t="s">
        <v>194</v>
      </c>
      <c r="F189" s="41" t="s">
        <v>197</v>
      </c>
      <c r="G189" s="41" t="s">
        <v>199</v>
      </c>
      <c r="H189" s="41" t="s">
        <v>201</v>
      </c>
      <c r="I189" s="41" t="s">
        <v>54</v>
      </c>
      <c r="J189" s="40" t="s">
        <v>273</v>
      </c>
      <c r="K189" s="60">
        <v>45421</v>
      </c>
      <c r="O189" s="82">
        <v>45558</v>
      </c>
      <c r="Q189" s="96"/>
    </row>
    <row r="190" spans="1:17" ht="50.25" x14ac:dyDescent="0.35">
      <c r="A190" s="48">
        <v>77659</v>
      </c>
      <c r="B190" s="39" t="str" cm="1">
        <f t="array" ref="B190">IF(A190&lt;&gt;"",_xlfn.XLOOKUP(_xlfn.NUMBERVALUE(A190),_xlfn.NUMBERVALUE(Carga[Tombamento]),Carga[Descrição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0" s="39" t="str">
        <f t="shared" si="8"/>
        <v>VÁLVULA BORBOLETA DE FERRO FUNDIDO FLANGEADA COM ATUADOR ELÉTRICO ESPECIAL (CLASSE DE PRESSÃO: 10 KGF/CM² / DIÂMETRO DA SEÇÃO: 600 MM)</v>
      </c>
      <c r="E190" s="42" t="s">
        <v>194</v>
      </c>
      <c r="F190" s="43" t="s">
        <v>197</v>
      </c>
      <c r="G190" s="43" t="s">
        <v>199</v>
      </c>
      <c r="H190" s="41" t="s">
        <v>201</v>
      </c>
      <c r="I190" s="43" t="s">
        <v>54</v>
      </c>
      <c r="J190" s="40" t="s">
        <v>273</v>
      </c>
      <c r="K190" s="60">
        <v>45421</v>
      </c>
      <c r="O190" s="82">
        <v>45558</v>
      </c>
      <c r="Q190" s="96"/>
    </row>
    <row r="191" spans="1:17" ht="50.25" x14ac:dyDescent="0.35">
      <c r="A191" s="48">
        <v>77660</v>
      </c>
      <c r="B191" s="39" t="str" cm="1">
        <f t="array" ref="B191">IF(A191&lt;&gt;"",_xlfn.XLOOKUP(_xlfn.NUMBERVALUE(A191),_xlfn.NUMBERVALUE(Carga[Tombamento]),Carga[Descrição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1" s="39" t="str">
        <f t="shared" si="8"/>
        <v>VÁLVULA BORBOLETA DE FERRO FUNDIDO FLANGEADA COM ATUADOR ELÉTRICO ESPECIAL (CLASSE DE PRESSÃO: 10 KGF/CM² / DIÂMETRO DA SEÇÃO: 600 MM)</v>
      </c>
      <c r="E191" s="42" t="s">
        <v>194</v>
      </c>
      <c r="F191" s="41" t="s">
        <v>197</v>
      </c>
      <c r="G191" s="41" t="s">
        <v>199</v>
      </c>
      <c r="H191" s="41" t="s">
        <v>201</v>
      </c>
      <c r="I191" s="41" t="s">
        <v>54</v>
      </c>
      <c r="J191" s="40" t="s">
        <v>273</v>
      </c>
      <c r="K191" s="60">
        <v>45421</v>
      </c>
      <c r="O191" s="82">
        <v>45558</v>
      </c>
      <c r="Q191" s="96"/>
    </row>
    <row r="192" spans="1:17" ht="50.25" x14ac:dyDescent="0.35">
      <c r="A192" s="48">
        <v>77661</v>
      </c>
      <c r="B192" s="39" t="str" cm="1">
        <f t="array" ref="B192">IF(A192&lt;&gt;"",_xlfn.XLOOKUP(_xlfn.NUMBERVALUE(A192),_xlfn.NUMBERVALUE(Carga[Tombamento]),Carga[Descrição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2" s="39" t="str">
        <f t="shared" si="8"/>
        <v>VÁLVULA BORBOLETA DE FERRO FUNDIDO FLANGEADA COM ATUADOR ELÉTRICO ESPECIAL (CLASSE DE PRESSÃO: 10 KGF/CM² / DIÂMETRO DA SEÇÃO: 600 MM)</v>
      </c>
      <c r="E192" s="42" t="s">
        <v>194</v>
      </c>
      <c r="F192" s="43" t="s">
        <v>197</v>
      </c>
      <c r="G192" s="43" t="s">
        <v>199</v>
      </c>
      <c r="H192" s="41" t="s">
        <v>201</v>
      </c>
      <c r="I192" s="43" t="s">
        <v>54</v>
      </c>
      <c r="J192" s="40" t="s">
        <v>273</v>
      </c>
      <c r="K192" s="60">
        <v>45421</v>
      </c>
      <c r="O192" s="82">
        <v>45558</v>
      </c>
      <c r="Q192" s="96"/>
    </row>
    <row r="193" spans="1:17" ht="50.25" x14ac:dyDescent="0.35">
      <c r="A193" s="48">
        <v>77662</v>
      </c>
      <c r="B193" s="39" t="str" cm="1">
        <f t="array" ref="B193">IF(A193&lt;&gt;"",_xlfn.XLOOKUP(_xlfn.NUMBERVALUE(A193),_xlfn.NUMBERVALUE(Carga[Tombamento]),Carga[Descrição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3" s="39" t="str">
        <f t="shared" si="8"/>
        <v>VÁLVULA BORBOLETA DE FERRO FUNDIDO FLANGEADA COM ATUADOR ELÉTRICO ESPECIAL (CLASSE DE PRESSÃO: 10 KGF/CM² / DIÂMETRO DA SEÇÃO: 600 MM)</v>
      </c>
      <c r="E193" s="42" t="s">
        <v>194</v>
      </c>
      <c r="F193" s="41" t="s">
        <v>197</v>
      </c>
      <c r="G193" s="41" t="s">
        <v>199</v>
      </c>
      <c r="H193" s="41" t="s">
        <v>201</v>
      </c>
      <c r="I193" s="41" t="s">
        <v>54</v>
      </c>
      <c r="J193" s="40" t="s">
        <v>274</v>
      </c>
      <c r="K193" s="60">
        <v>45421</v>
      </c>
      <c r="O193" s="82">
        <v>45558</v>
      </c>
      <c r="Q193" s="96"/>
    </row>
    <row r="194" spans="1:17" ht="50.25" x14ac:dyDescent="0.35">
      <c r="A194" s="48">
        <v>77663</v>
      </c>
      <c r="B194" s="39" t="str" cm="1">
        <f t="array" ref="B194">IF(A194&lt;&gt;"",_xlfn.XLOOKUP(_xlfn.NUMBERVALUE(A194),_xlfn.NUMBERVALUE(Carga[Tombamento]),Carga[Descrição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4" s="39" t="str">
        <f t="shared" si="8"/>
        <v>VÁLVULA BORBOLETA DE FERRO FUNDIDO FLANGEADA COM ATUADOR ELÉTRICO ESPECIAL (CLASSE DE PRESSÃO: 10 KGF/CM² / DIÂMETRO DA SEÇÃO: 600 MM)</v>
      </c>
      <c r="E194" s="42" t="s">
        <v>194</v>
      </c>
      <c r="F194" s="43" t="s">
        <v>197</v>
      </c>
      <c r="G194" s="43" t="s">
        <v>199</v>
      </c>
      <c r="H194" s="41" t="s">
        <v>201</v>
      </c>
      <c r="I194" s="43" t="s">
        <v>54</v>
      </c>
      <c r="J194" s="40" t="s">
        <v>274</v>
      </c>
      <c r="K194" s="60">
        <v>45421</v>
      </c>
      <c r="O194" s="82">
        <v>45558</v>
      </c>
      <c r="Q194" s="96"/>
    </row>
    <row r="195" spans="1:17" ht="50.25" x14ac:dyDescent="0.35">
      <c r="A195" s="48">
        <v>77664</v>
      </c>
      <c r="B195" s="39" t="str" cm="1">
        <f t="array" ref="B195">IF(A195&lt;&gt;"",_xlfn.XLOOKUP(_xlfn.NUMBERVALUE(A195),_xlfn.NUMBERVALUE(Carga[Tombamento]),Carga[Descrição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5" s="39" t="str">
        <f t="shared" si="8"/>
        <v>VÁLVULA BORBOLETA DE FERRO FUNDIDO FLANGEADA COM ATUADOR ELÉTRICO ESPECIAL (CLASSE DE PRESSÃO: 10 KGF/CM² / DIÂMETRO DA SEÇÃO: 600 MM)</v>
      </c>
      <c r="E195" s="42" t="s">
        <v>194</v>
      </c>
      <c r="F195" s="41" t="s">
        <v>197</v>
      </c>
      <c r="G195" s="41" t="s">
        <v>199</v>
      </c>
      <c r="H195" s="41" t="s">
        <v>201</v>
      </c>
      <c r="I195" s="41" t="s">
        <v>54</v>
      </c>
      <c r="J195" s="40" t="s">
        <v>274</v>
      </c>
      <c r="K195" s="60">
        <v>45421</v>
      </c>
      <c r="O195" s="82">
        <v>45558</v>
      </c>
      <c r="Q195" s="96"/>
    </row>
    <row r="196" spans="1:17" ht="50.25" x14ac:dyDescent="0.35">
      <c r="A196" s="48">
        <v>77665</v>
      </c>
      <c r="B196" s="39" t="str" cm="1">
        <f t="array" ref="B196">IF(A196&lt;&gt;"",_xlfn.XLOOKUP(_xlfn.NUMBERVALUE(A196),_xlfn.NUMBERVALUE(Carga[Tombamento]),Carga[Descrição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6" s="39" t="str">
        <f t="shared" si="8"/>
        <v>VÁLVULA BORBOLETA DE FERRO FUNDIDO FLANGEADA COM ATUADOR ELÉTRICO ESPECIAL (CLASSE DE PRESSÃO: 10 KGF/CM² / DIÂMETRO DA SEÇÃO: 600 MM)</v>
      </c>
      <c r="E196" s="42" t="s">
        <v>194</v>
      </c>
      <c r="F196" s="43" t="s">
        <v>197</v>
      </c>
      <c r="G196" s="43" t="s">
        <v>199</v>
      </c>
      <c r="H196" s="41" t="s">
        <v>201</v>
      </c>
      <c r="I196" s="43" t="s">
        <v>54</v>
      </c>
      <c r="J196" s="40" t="s">
        <v>274</v>
      </c>
      <c r="K196" s="60">
        <v>45421</v>
      </c>
      <c r="O196" s="82">
        <v>45558</v>
      </c>
      <c r="Q196" s="96"/>
    </row>
    <row r="197" spans="1:17" ht="50.25" x14ac:dyDescent="0.35">
      <c r="A197" s="48">
        <v>77666</v>
      </c>
      <c r="B197" s="39" t="str" cm="1">
        <f t="array" ref="B197">IF(A197&lt;&gt;"",_xlfn.XLOOKUP(_xlfn.NUMBERVALUE(A197),_xlfn.NUMBERVALUE(Carga[Tombamento]),Carga[Descrição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7" s="39" t="str">
        <f t="shared" si="8"/>
        <v>VÁLVULA BORBOLETA DE FERRO FUNDIDO FLANGEADA COM ATUADOR ELÉTRICO ESPECIAL (CLASSE DE PRESSÃO: 10 KGF/CM² / DIÂMETRO DA SEÇÃO: 600 MM)</v>
      </c>
      <c r="E197" s="42" t="s">
        <v>194</v>
      </c>
      <c r="F197" s="41" t="s">
        <v>197</v>
      </c>
      <c r="G197" s="41" t="s">
        <v>199</v>
      </c>
      <c r="H197" s="41" t="s">
        <v>201</v>
      </c>
      <c r="I197" s="41" t="s">
        <v>54</v>
      </c>
      <c r="J197" s="40" t="s">
        <v>275</v>
      </c>
      <c r="K197" s="60">
        <v>45421</v>
      </c>
      <c r="O197" s="82">
        <v>45562</v>
      </c>
      <c r="Q197" s="96"/>
    </row>
    <row r="198" spans="1:17" ht="50.25" x14ac:dyDescent="0.35">
      <c r="A198" s="48">
        <v>77667</v>
      </c>
      <c r="B198" s="39" t="str" cm="1">
        <f t="array" ref="B198">IF(A198&lt;&gt;"",_xlfn.XLOOKUP(_xlfn.NUMBERVALUE(A198),_xlfn.NUMBERVALUE(Carga[Tombamento]),Carga[Descrição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8" s="39" t="str">
        <f t="shared" si="8"/>
        <v>VÁLVULA BORBOLETA DE FERRO FUNDIDO FLANGEADA COM ATUADOR ELÉTRICO ESPECIAL (CLASSE DE PRESSÃO: 10 KGF/CM² / DIÂMETRO DA SEÇÃO: 600 MM)</v>
      </c>
      <c r="E198" s="42" t="s">
        <v>194</v>
      </c>
      <c r="F198" s="43" t="s">
        <v>197</v>
      </c>
      <c r="G198" s="43" t="s">
        <v>199</v>
      </c>
      <c r="H198" s="41" t="s">
        <v>201</v>
      </c>
      <c r="I198" s="43" t="s">
        <v>54</v>
      </c>
      <c r="J198" s="40" t="s">
        <v>275</v>
      </c>
      <c r="K198" s="60">
        <v>45421</v>
      </c>
      <c r="O198" s="82">
        <v>45562</v>
      </c>
      <c r="Q198" s="96"/>
    </row>
    <row r="199" spans="1:17" ht="50.25" x14ac:dyDescent="0.35">
      <c r="A199" s="48">
        <v>77668</v>
      </c>
      <c r="B199" s="39" t="str" cm="1">
        <f t="array" ref="B199">IF(A199&lt;&gt;"",_xlfn.XLOOKUP(_xlfn.NUMBERVALUE(A199),_xlfn.NUMBERVALUE(Carga[Tombamento]),Carga[Descrição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199" s="39" t="str">
        <f t="shared" si="8"/>
        <v>VÁLVULA BORBOLETA DE FERRO FUNDIDO FLANGEADA COM ATUADOR ELÉTRICO ESPECIAL (CLASSE DE PRESSÃO: 10 KGF/CM² / DIÂMETRO DA SEÇÃO: 600 MM)</v>
      </c>
      <c r="E199" s="42" t="s">
        <v>194</v>
      </c>
      <c r="F199" s="41" t="s">
        <v>197</v>
      </c>
      <c r="G199" s="41" t="s">
        <v>199</v>
      </c>
      <c r="H199" s="41" t="s">
        <v>201</v>
      </c>
      <c r="I199" s="41" t="s">
        <v>54</v>
      </c>
      <c r="J199" s="40" t="s">
        <v>275</v>
      </c>
      <c r="K199" s="60">
        <v>45421</v>
      </c>
      <c r="O199" s="82">
        <v>45562</v>
      </c>
      <c r="Q199" s="96"/>
    </row>
    <row r="200" spans="1:17" ht="50.25" x14ac:dyDescent="0.35">
      <c r="A200" s="48">
        <v>77669</v>
      </c>
      <c r="B200" s="39" t="str" cm="1">
        <f t="array" ref="B200">IF(A200&lt;&gt;"",_xlfn.XLOOKUP(_xlfn.NUMBERVALUE(A200),_xlfn.NUMBERVALUE(Carga[Tombamento]),Carga[Descrição do Bem]),"")</f>
        <v>ESTAÇÃO DE TRATAMENTO DE ÁGUA - VALPARAISO/GO VÁLVULA BORBOLETA DE FERRO FUNDIDO FLANGEADA COM ATUADOR ELÉTRICO ESPECIAL (CLASSE DE PRESSÃO: 10 KGF/CM² / DIÂMETRO DA SEÇÃO: 600 MM)</v>
      </c>
      <c r="C200" s="39" t="str">
        <f t="shared" si="8"/>
        <v>VÁLVULA BORBOLETA DE FERRO FUNDIDO FLANGEADA COM ATUADOR ELÉTRICO ESPECIAL (CLASSE DE PRESSÃO: 10 KGF/CM² / DIÂMETRO DA SEÇÃO: 600 MM)</v>
      </c>
      <c r="E200" s="42" t="s">
        <v>194</v>
      </c>
      <c r="F200" s="43" t="s">
        <v>197</v>
      </c>
      <c r="G200" s="43" t="s">
        <v>199</v>
      </c>
      <c r="H200" s="41" t="s">
        <v>201</v>
      </c>
      <c r="I200" s="43" t="s">
        <v>54</v>
      </c>
      <c r="J200" s="40" t="s">
        <v>275</v>
      </c>
      <c r="K200" s="60">
        <v>45421</v>
      </c>
      <c r="O200" s="82">
        <v>45562</v>
      </c>
      <c r="Q200" s="96"/>
    </row>
    <row r="201" spans="1:17" ht="41.25" x14ac:dyDescent="0.35">
      <c r="A201" s="48">
        <v>77670</v>
      </c>
      <c r="B201" s="39" t="str" cm="1">
        <f t="array" ref="B201">IF(A201&lt;&gt;"",_xlfn.XLOOKUP(_xlfn.NUMBERVALUE(A201),_xlfn.NUMBERVALUE(Carga[Tombamento]),Carga[Descrição do Bem]),"")</f>
        <v>ESTAÇÃO DE TRATAMENTO DE ÁGUA - VALPARAISO/GO AGITADOR MECÂNICO DE EIXO VERTICAL, TIPO TURBINA, P/ CÂMARA DE FLOCULAÇÃO, COMPLETO. CONFORME ESPECIFICAÇÃO.</v>
      </c>
      <c r="C201" s="39" t="str">
        <f t="shared" si="8"/>
        <v>AGITADOR MECÂNICO DE EIXO VERTICAL, TIPO TURBINA, P/ CÂMARA DE FLOCULAÇÃO, COMPLETO. CONFORME ESPECIFICAÇÃO.</v>
      </c>
      <c r="E201" s="42" t="s">
        <v>194</v>
      </c>
      <c r="F201" s="41" t="s">
        <v>197</v>
      </c>
      <c r="G201" s="41" t="s">
        <v>199</v>
      </c>
      <c r="H201" s="41" t="s">
        <v>201</v>
      </c>
      <c r="I201" s="41" t="s">
        <v>52</v>
      </c>
      <c r="J201" s="40" t="s">
        <v>226</v>
      </c>
      <c r="K201" s="60">
        <v>45422</v>
      </c>
      <c r="O201" s="82">
        <v>45558</v>
      </c>
      <c r="Q201" s="96"/>
    </row>
    <row r="202" spans="1:17" ht="41.25" x14ac:dyDescent="0.35">
      <c r="A202" s="48">
        <v>77671</v>
      </c>
      <c r="B202" s="39" t="str" cm="1">
        <f t="array" ref="B202">IF(A202&lt;&gt;"",_xlfn.XLOOKUP(_xlfn.NUMBERVALUE(A202),_xlfn.NUMBERVALUE(Carga[Tombamento]),Carga[Descrição do Bem]),"")</f>
        <v>ESTAÇÃO DE TRATAMENTO DE ÁGUA - VALPARAISO/GO AGITADOR MECÂNICO DE EIXO VERTICAL, TIPO TURBINA, P/ CÂMARA DE FLOCULAÇÃO, COMPLETO. CONFORME ESPECIFICAÇÃO.</v>
      </c>
      <c r="C202" s="39" t="str">
        <f t="shared" si="8"/>
        <v>AGITADOR MECÂNICO DE EIXO VERTICAL, TIPO TURBINA, P/ CÂMARA DE FLOCULAÇÃO, COMPLETO. CONFORME ESPECIFICAÇÃO.</v>
      </c>
      <c r="E202" s="42" t="s">
        <v>194</v>
      </c>
      <c r="F202" s="43" t="s">
        <v>197</v>
      </c>
      <c r="G202" s="43" t="s">
        <v>199</v>
      </c>
      <c r="H202" s="41" t="s">
        <v>201</v>
      </c>
      <c r="I202" s="43" t="s">
        <v>52</v>
      </c>
      <c r="J202" s="40" t="s">
        <v>226</v>
      </c>
      <c r="K202" s="60">
        <v>45422</v>
      </c>
      <c r="O202" s="82">
        <v>45558</v>
      </c>
      <c r="Q202" s="96"/>
    </row>
    <row r="203" spans="1:17" ht="41.25" x14ac:dyDescent="0.35">
      <c r="A203" s="48">
        <v>77672</v>
      </c>
      <c r="B203" s="39" t="str" cm="1">
        <f t="array" ref="B203">IF(A203&lt;&gt;"",_xlfn.XLOOKUP(_xlfn.NUMBERVALUE(A203),_xlfn.NUMBERVALUE(Carga[Tombamento]),Carga[Descrição do Bem]),"")</f>
        <v>ESTAÇÃO DE TRATAMENTO DE ÁGUA - VALPARAISO/GO AGITADOR MECÂNICO DE EIXO VERTICAL, TIPO TURBINA, P/ CÂMARA DE FLOCULAÇÃO, COMPLETO. CONFORME ESPECIFICAÇÃO.</v>
      </c>
      <c r="C203" s="39" t="str">
        <f t="shared" si="8"/>
        <v>AGITADOR MECÂNICO DE EIXO VERTICAL, TIPO TURBINA, P/ CÂMARA DE FLOCULAÇÃO, COMPLETO. CONFORME ESPECIFICAÇÃO.</v>
      </c>
      <c r="E203" s="42" t="s">
        <v>194</v>
      </c>
      <c r="F203" s="41" t="s">
        <v>197</v>
      </c>
      <c r="G203" s="41" t="s">
        <v>199</v>
      </c>
      <c r="H203" s="41" t="s">
        <v>201</v>
      </c>
      <c r="I203" s="41" t="s">
        <v>52</v>
      </c>
      <c r="J203" s="40" t="s">
        <v>227</v>
      </c>
      <c r="K203" s="60">
        <v>45422</v>
      </c>
      <c r="O203" s="82">
        <v>45558</v>
      </c>
      <c r="Q203" s="96"/>
    </row>
    <row r="204" spans="1:17" ht="41.25" x14ac:dyDescent="0.35">
      <c r="A204" s="48">
        <v>77673</v>
      </c>
      <c r="B204" s="39" t="str" cm="1">
        <f t="array" ref="B204">IF(A204&lt;&gt;"",_xlfn.XLOOKUP(_xlfn.NUMBERVALUE(A204),_xlfn.NUMBERVALUE(Carga[Tombamento]),Carga[Descrição do Bem]),"")</f>
        <v>ESTAÇÃO DE TRATAMENTO DE ÁGUA - VALPARAISO/GO AGITADOR MECÂNICO DE EIXO VERTICAL, TIPO TURBINA, P/ CÂMARA DE FLOCULAÇÃO, COMPLETO. CONFORME ESPECIFICAÇÃO.</v>
      </c>
      <c r="C204" s="39" t="str">
        <f t="shared" si="8"/>
        <v>AGITADOR MECÂNICO DE EIXO VERTICAL, TIPO TURBINA, P/ CÂMARA DE FLOCULAÇÃO, COMPLETO. CONFORME ESPECIFICAÇÃO.</v>
      </c>
      <c r="E204" s="42" t="s">
        <v>194</v>
      </c>
      <c r="F204" s="43" t="s">
        <v>197</v>
      </c>
      <c r="G204" s="43" t="s">
        <v>199</v>
      </c>
      <c r="H204" s="41" t="s">
        <v>201</v>
      </c>
      <c r="I204" s="43" t="s">
        <v>52</v>
      </c>
      <c r="J204" s="40" t="s">
        <v>227</v>
      </c>
      <c r="K204" s="60">
        <v>45422</v>
      </c>
      <c r="O204" s="82">
        <v>45558</v>
      </c>
      <c r="Q204" s="96"/>
    </row>
    <row r="205" spans="1:17" ht="41.25" x14ac:dyDescent="0.35">
      <c r="A205" s="48">
        <v>77674</v>
      </c>
      <c r="B205" s="39" t="str" cm="1">
        <f t="array" ref="B205">IF(A205&lt;&gt;"",_xlfn.XLOOKUP(_xlfn.NUMBERVALUE(A205),_xlfn.NUMBERVALUE(Carga[Tombamento]),Carga[Descrição do Bem]),"")</f>
        <v>ESTAÇÃO DE TRATAMENTO DE ÁGUA - VALPARAISO/GO AGITADOR MECÂNICO DE EIXO VERTICAL, TIPO TURBINA, P/ CÂMARA DE FLOCULAÇÃO, COMPLETO. CONFORME ESPECIFICAÇÃO.</v>
      </c>
      <c r="C205" s="39" t="str">
        <f t="shared" si="8"/>
        <v>AGITADOR MECÂNICO DE EIXO VERTICAL, TIPO TURBINA, P/ CÂMARA DE FLOCULAÇÃO, COMPLETO. CONFORME ESPECIFICAÇÃO.</v>
      </c>
      <c r="E205" s="42" t="s">
        <v>194</v>
      </c>
      <c r="F205" s="41" t="s">
        <v>197</v>
      </c>
      <c r="G205" s="41" t="s">
        <v>199</v>
      </c>
      <c r="H205" s="41" t="s">
        <v>201</v>
      </c>
      <c r="I205" s="41" t="s">
        <v>52</v>
      </c>
      <c r="J205" s="40" t="s">
        <v>228</v>
      </c>
      <c r="K205" s="60">
        <v>45422</v>
      </c>
      <c r="O205" s="82">
        <v>45558</v>
      </c>
      <c r="Q205" s="96"/>
    </row>
    <row r="206" spans="1:17" ht="41.25" x14ac:dyDescent="0.35">
      <c r="A206" s="48">
        <v>77675</v>
      </c>
      <c r="B206" s="39" t="str" cm="1">
        <f t="array" ref="B206">IF(A206&lt;&gt;"",_xlfn.XLOOKUP(_xlfn.NUMBERVALUE(A206),_xlfn.NUMBERVALUE(Carga[Tombamento]),Carga[Descrição do Bem]),"")</f>
        <v>ESTAÇÃO DE TRATAMENTO DE ÁGUA - VALPARAISO/GO AGITADOR MECÂNICO DE EIXO VERTICAL, TIPO TURBINA, P/ CÂMARA DE FLOCULAÇÃO, COMPLETO. CONFORME ESPECIFICAÇÃO.</v>
      </c>
      <c r="C206" s="39" t="str">
        <f t="shared" si="8"/>
        <v>AGITADOR MECÂNICO DE EIXO VERTICAL, TIPO TURBINA, P/ CÂMARA DE FLOCULAÇÃO, COMPLETO. CONFORME ESPECIFICAÇÃO.</v>
      </c>
      <c r="E206" s="42" t="s">
        <v>194</v>
      </c>
      <c r="F206" s="43" t="s">
        <v>197</v>
      </c>
      <c r="G206" s="43" t="s">
        <v>199</v>
      </c>
      <c r="H206" s="41" t="s">
        <v>201</v>
      </c>
      <c r="I206" s="43" t="s">
        <v>52</v>
      </c>
      <c r="J206" s="40" t="s">
        <v>228</v>
      </c>
      <c r="K206" s="60">
        <v>45422</v>
      </c>
      <c r="O206" s="82">
        <v>45558</v>
      </c>
      <c r="Q206" s="96"/>
    </row>
    <row r="207" spans="1:17" ht="41.25" x14ac:dyDescent="0.35">
      <c r="A207" s="48">
        <v>77676</v>
      </c>
      <c r="B207" s="39" t="str" cm="1">
        <f t="array" ref="B207">IF(A207&lt;&gt;"",_xlfn.XLOOKUP(_xlfn.NUMBERVALUE(A207),_xlfn.NUMBERVALUE(Carga[Tombamento]),Carga[Descrição do Bem]),"")</f>
        <v>ESTAÇÃO DE TRATAMENTO DE ÁGUA - VALPARAISO/GO AGITADOR MECÂNICO DE EIXO VERTICAL, TIPO TURBINA, P/ CÂMARA DE FLOCULAÇÃO, COMPLETO. CONFORME ESPECIFICAÇÃO.</v>
      </c>
      <c r="C207" s="39" t="str">
        <f t="shared" si="8"/>
        <v>AGITADOR MECÂNICO DE EIXO VERTICAL, TIPO TURBINA, P/ CÂMARA DE FLOCULAÇÃO, COMPLETO. CONFORME ESPECIFICAÇÃO.</v>
      </c>
      <c r="E207" s="42" t="s">
        <v>194</v>
      </c>
      <c r="F207" s="41" t="s">
        <v>197</v>
      </c>
      <c r="G207" s="41" t="s">
        <v>199</v>
      </c>
      <c r="H207" s="41" t="s">
        <v>201</v>
      </c>
      <c r="I207" s="41" t="s">
        <v>52</v>
      </c>
      <c r="J207" s="40" t="s">
        <v>262</v>
      </c>
      <c r="K207" s="60">
        <v>45422</v>
      </c>
      <c r="O207" s="82">
        <v>45558</v>
      </c>
      <c r="Q207" s="96"/>
    </row>
    <row r="208" spans="1:17" ht="41.25" x14ac:dyDescent="0.35">
      <c r="A208" s="48">
        <v>77677</v>
      </c>
      <c r="B208" s="39" t="str" cm="1">
        <f t="array" ref="B208">IF(A208&lt;&gt;"",_xlfn.XLOOKUP(_xlfn.NUMBERVALUE(A208),_xlfn.NUMBERVALUE(Carga[Tombamento]),Carga[Descrição do Bem]),"")</f>
        <v>ESTAÇÃO DE TRATAMENTO DE ÁGUA - VALPARAISO/GO AGITADOR MECÂNICO DE EIXO VERTICAL, TIPO TURBINA, P/ CÂMARA DE FLOCULAÇÃO, COMPLETO. CONFORME ESPECIFICAÇÃO.</v>
      </c>
      <c r="C208" s="39" t="str">
        <f t="shared" si="8"/>
        <v>AGITADOR MECÂNICO DE EIXO VERTICAL, TIPO TURBINA, P/ CÂMARA DE FLOCULAÇÃO, COMPLETO. CONFORME ESPECIFICAÇÃO.</v>
      </c>
      <c r="E208" s="42" t="s">
        <v>194</v>
      </c>
      <c r="F208" s="43" t="s">
        <v>197</v>
      </c>
      <c r="G208" s="43" t="s">
        <v>199</v>
      </c>
      <c r="H208" s="41" t="s">
        <v>201</v>
      </c>
      <c r="I208" s="43" t="s">
        <v>52</v>
      </c>
      <c r="J208" s="40" t="s">
        <v>262</v>
      </c>
      <c r="K208" s="60">
        <v>45422</v>
      </c>
      <c r="O208" s="82">
        <v>45558</v>
      </c>
      <c r="Q208" s="96"/>
    </row>
    <row r="209" spans="1:18" ht="41.25" x14ac:dyDescent="0.35">
      <c r="A209" s="48">
        <v>77678</v>
      </c>
      <c r="B209" s="39" t="str" cm="1">
        <f t="array" ref="B209">IF(A209&lt;&gt;"",_xlfn.XLOOKUP(_xlfn.NUMBERVALUE(A209),_xlfn.NUMBERVALUE(Carga[Tombamento]),Carga[Descrição do Bem]),"")</f>
        <v>ESTAÇÃO DE TRATAMENTO DE ÁGUA - VALPARAISO/GO AGITADOR MECÂNICO DE EIXO VERTICAL, TIPO TURBINA, P/ CÂMARA DE FLOCULAÇÃO, COMPLETO. CONFORME ESPECIFICAÇÃO.</v>
      </c>
      <c r="C209" s="39" t="str">
        <f t="shared" si="8"/>
        <v>AGITADOR MECÂNICO DE EIXO VERTICAL, TIPO TURBINA, P/ CÂMARA DE FLOCULAÇÃO, COMPLETO. CONFORME ESPECIFICAÇÃO.</v>
      </c>
      <c r="E209" s="42" t="s">
        <v>194</v>
      </c>
      <c r="F209" s="41" t="s">
        <v>197</v>
      </c>
      <c r="G209" s="41" t="s">
        <v>199</v>
      </c>
      <c r="H209" s="41" t="s">
        <v>201</v>
      </c>
      <c r="I209" s="41" t="s">
        <v>52</v>
      </c>
      <c r="J209" s="40" t="s">
        <v>262</v>
      </c>
      <c r="K209" s="60">
        <v>45422</v>
      </c>
      <c r="O209" s="82">
        <v>45558</v>
      </c>
      <c r="Q209" s="96"/>
    </row>
    <row r="210" spans="1:18" ht="41.25" x14ac:dyDescent="0.35">
      <c r="A210" s="48">
        <v>77679</v>
      </c>
      <c r="B210" s="39" t="str" cm="1">
        <f t="array" ref="B210">IF(A210&lt;&gt;"",_xlfn.XLOOKUP(_xlfn.NUMBERVALUE(A210),_xlfn.NUMBERVALUE(Carga[Tombamento]),Carga[Descrição do Bem]),"")</f>
        <v>ESTAÇÃO DE TRATAMENTO DE ÁGUA - VALPARAISO/GO AGITADOR MECÂNICO DE EIXO VERTICAL, TIPO TURBINA, P/ CÂMARA DE FLOCULAÇÃO, COMPLETO. CONFORME ESPECIFICAÇÃO.</v>
      </c>
      <c r="C210" s="39" t="str">
        <f t="shared" si="8"/>
        <v>AGITADOR MECÂNICO DE EIXO VERTICAL, TIPO TURBINA, P/ CÂMARA DE FLOCULAÇÃO, COMPLETO. CONFORME ESPECIFICAÇÃO.</v>
      </c>
      <c r="E210" s="42" t="s">
        <v>194</v>
      </c>
      <c r="F210" s="43" t="s">
        <v>197</v>
      </c>
      <c r="G210" s="43" t="s">
        <v>199</v>
      </c>
      <c r="H210" s="41" t="s">
        <v>201</v>
      </c>
      <c r="I210" s="43" t="s">
        <v>52</v>
      </c>
      <c r="J210" s="40" t="s">
        <v>262</v>
      </c>
      <c r="K210" s="60">
        <v>45422</v>
      </c>
      <c r="O210" s="82">
        <v>45558</v>
      </c>
      <c r="Q210" s="96"/>
    </row>
    <row r="211" spans="1:18" ht="41.25" x14ac:dyDescent="0.35">
      <c r="A211" s="48">
        <v>77680</v>
      </c>
      <c r="B211" s="39" t="str" cm="1">
        <f t="array" ref="B211">IF(A211&lt;&gt;"",_xlfn.XLOOKUP(_xlfn.NUMBERVALUE(A211),_xlfn.NUMBERVALUE(Carga[Tombamento]),Carga[Descrição do Bem]),"")</f>
        <v>ESTAÇÃO DE TRATAMENTO DE ÁGUA - VALPARAISO/GO AGITADOR MECÂNICO DE EIXO VERTICAL, TIPO TURBINA, P/ CÂMARA DE FLOCULAÇÃO, COMPLETO. CONFORME ESPECIFICAÇÃO.</v>
      </c>
      <c r="C211" s="39" t="str">
        <f t="shared" si="8"/>
        <v>AGITADOR MECÂNICO DE EIXO VERTICAL, TIPO TURBINA, P/ CÂMARA DE FLOCULAÇÃO, COMPLETO. CONFORME ESPECIFICAÇÃO.</v>
      </c>
      <c r="E211" s="42" t="s">
        <v>194</v>
      </c>
      <c r="F211" s="41" t="s">
        <v>197</v>
      </c>
      <c r="G211" s="41" t="s">
        <v>199</v>
      </c>
      <c r="H211" s="41" t="s">
        <v>201</v>
      </c>
      <c r="I211" s="41" t="s">
        <v>52</v>
      </c>
      <c r="J211" s="40" t="s">
        <v>228</v>
      </c>
      <c r="K211" s="60">
        <v>45422</v>
      </c>
      <c r="O211" s="82">
        <v>45558</v>
      </c>
      <c r="Q211" s="96"/>
    </row>
    <row r="212" spans="1:18" ht="49.5" x14ac:dyDescent="0.35">
      <c r="A212" s="48">
        <v>77681</v>
      </c>
      <c r="B212" s="39" t="str" cm="1">
        <f t="array" ref="B212">IF(A212&lt;&gt;"",_xlfn.XLOOKUP(_xlfn.NUMBERVALUE(A212),_xlfn.NUMBERVALUE(Carga[Tombamento]),Carga[Descrição do Bem]),"")</f>
        <v>ESTAÇÃO DE TRATAMENTO DE ÁGUA - VALPARAISO/GO AGITADOR MECÂNICO DE EIXO VERTICAL, TIPO TURBINA, P/ CÂMARA DE FLOCULAÇÃO, COMPLETO. CONFORME ESPECIFICAÇÃO.</v>
      </c>
      <c r="C212" s="39" t="str">
        <f t="shared" si="8"/>
        <v>AGITADOR MECÂNICO DE EIXO VERTICAL, TIPO TURBINA, P/ CÂMARA DE FLOCULAÇÃO, COMPLETO. CONFORME ESPECIFICAÇÃO.</v>
      </c>
      <c r="E212" s="42" t="s">
        <v>194</v>
      </c>
      <c r="F212" s="43" t="s">
        <v>197</v>
      </c>
      <c r="G212" s="43" t="s">
        <v>199</v>
      </c>
      <c r="H212" s="41" t="s">
        <v>201</v>
      </c>
      <c r="I212" s="43" t="s">
        <v>52</v>
      </c>
      <c r="J212" s="40" t="s">
        <v>228</v>
      </c>
      <c r="K212" s="60">
        <v>45422</v>
      </c>
      <c r="L212" s="61" t="s">
        <v>608</v>
      </c>
      <c r="M212" s="86"/>
      <c r="N212" s="61"/>
      <c r="O212" s="82">
        <v>45558</v>
      </c>
      <c r="P212" s="80" t="s">
        <v>989</v>
      </c>
      <c r="Q212" s="97"/>
      <c r="R212" s="80"/>
    </row>
    <row r="213" spans="1:18" ht="41.25" x14ac:dyDescent="0.35">
      <c r="A213" s="48">
        <v>77682</v>
      </c>
      <c r="B213" s="39" t="str" cm="1">
        <f t="array" ref="B213">IF(A213&lt;&gt;"",_xlfn.XLOOKUP(_xlfn.NUMBERVALUE(A213),_xlfn.NUMBERVALUE(Carga[Tombamento]),Carga[Descrição do Bem]),"")</f>
        <v>ESTAÇÃO DE TRATAMENTO DE ÁGUA - VALPARAISO/GO AGITADOR MECÂNICO DE EIXO VERTICAL, TIPO TURBINA, P/ CÂMARA DE FLOCULAÇÃO, COMPLETO. CONFORME ESPECIFICAÇÃO.</v>
      </c>
      <c r="C213" s="39" t="str">
        <f t="shared" si="8"/>
        <v>AGITADOR MECÂNICO DE EIXO VERTICAL, TIPO TURBINA, P/ CÂMARA DE FLOCULAÇÃO, COMPLETO. CONFORME ESPECIFICAÇÃO.</v>
      </c>
      <c r="E213" s="42" t="s">
        <v>194</v>
      </c>
      <c r="F213" s="41" t="s">
        <v>197</v>
      </c>
      <c r="G213" s="41" t="s">
        <v>199</v>
      </c>
      <c r="H213" s="41" t="s">
        <v>201</v>
      </c>
      <c r="I213" s="41" t="s">
        <v>52</v>
      </c>
      <c r="J213" s="40" t="s">
        <v>227</v>
      </c>
      <c r="K213" s="60">
        <v>45422</v>
      </c>
      <c r="O213" s="82">
        <v>45558</v>
      </c>
      <c r="Q213" s="96"/>
    </row>
    <row r="214" spans="1:18" ht="41.25" x14ac:dyDescent="0.35">
      <c r="A214" s="48">
        <v>77683</v>
      </c>
      <c r="B214" s="39" t="str" cm="1">
        <f t="array" ref="B214">IF(A214&lt;&gt;"",_xlfn.XLOOKUP(_xlfn.NUMBERVALUE(A214),_xlfn.NUMBERVALUE(Carga[Tombamento]),Carga[Descrição do Bem]),"")</f>
        <v>ESTAÇÃO DE TRATAMENTO DE ÁGUA - VALPARAISO/GO AGITADOR MECÂNICO DE EIXO VERTICAL, TIPO TURBINA, P/ CÂMARA DE FLOCULAÇÃO, COMPLETO. CONFORME ESPECIFICAÇÃO.</v>
      </c>
      <c r="C214" s="39" t="str">
        <f t="shared" si="8"/>
        <v>AGITADOR MECÂNICO DE EIXO VERTICAL, TIPO TURBINA, P/ CÂMARA DE FLOCULAÇÃO, COMPLETO. CONFORME ESPECIFICAÇÃO.</v>
      </c>
      <c r="E214" s="42" t="s">
        <v>194</v>
      </c>
      <c r="F214" s="43" t="s">
        <v>197</v>
      </c>
      <c r="G214" s="43" t="s">
        <v>199</v>
      </c>
      <c r="H214" s="41" t="s">
        <v>201</v>
      </c>
      <c r="I214" s="43" t="s">
        <v>52</v>
      </c>
      <c r="J214" s="40" t="s">
        <v>226</v>
      </c>
      <c r="K214" s="60">
        <v>45422</v>
      </c>
      <c r="O214" s="82">
        <v>45558</v>
      </c>
      <c r="Q214" s="96"/>
    </row>
    <row r="215" spans="1:18" ht="41.25" x14ac:dyDescent="0.35">
      <c r="A215" s="48">
        <v>77684</v>
      </c>
      <c r="B215" s="39" t="str" cm="1">
        <f t="array" ref="B215">IF(A215&lt;&gt;"",_xlfn.XLOOKUP(_xlfn.NUMBERVALUE(A215),_xlfn.NUMBERVALUE(Carga[Tombamento]),Carga[Descrição do Bem]),"")</f>
        <v>ESTAÇÃO DE TRATAMENTO DE ÁGUA - VALPARAISO/GO AGITADOR MECÂNICO DE EIXO VERTICAL, TIPO TURBINA, P/ CÂMARA DE FLOCULAÇÃO, COMPLETO. CONFORME ESPECIFICAÇÃO.</v>
      </c>
      <c r="C215" s="39" t="str">
        <f t="shared" si="8"/>
        <v>AGITADOR MECÂNICO DE EIXO VERTICAL, TIPO TURBINA, P/ CÂMARA DE FLOCULAÇÃO, COMPLETO. CONFORME ESPECIFICAÇÃO.</v>
      </c>
      <c r="E215" s="42" t="s">
        <v>194</v>
      </c>
      <c r="F215" s="41" t="s">
        <v>197</v>
      </c>
      <c r="G215" s="41" t="s">
        <v>199</v>
      </c>
      <c r="H215" s="41" t="s">
        <v>201</v>
      </c>
      <c r="I215" s="41" t="s">
        <v>52</v>
      </c>
      <c r="J215" s="40" t="s">
        <v>226</v>
      </c>
      <c r="K215" s="60">
        <v>45422</v>
      </c>
      <c r="O215" s="82">
        <v>45558</v>
      </c>
      <c r="Q215" s="96"/>
    </row>
    <row r="216" spans="1:18" ht="41.25" x14ac:dyDescent="0.35">
      <c r="A216" s="48">
        <v>77685</v>
      </c>
      <c r="B216" s="39" t="str" cm="1">
        <f t="array" ref="B216">IF(A216&lt;&gt;"",_xlfn.XLOOKUP(_xlfn.NUMBERVALUE(A216),_xlfn.NUMBERVALUE(Carga[Tombamento]),Carga[Descrição do Bem]),"")</f>
        <v>ESTAÇÃO DE TRATAMENTO DE ÁGUA - VALPARAISO/GO AGITADOR MECÂNICO DE EIXO VERTICAL, TIPO TURBINA, P/ CÂMARA DE FLOCULAÇÃO, COMPLETO. CONFORME ESPECIFICAÇÃO.</v>
      </c>
      <c r="C216" s="39" t="str">
        <f t="shared" si="8"/>
        <v>AGITADOR MECÂNICO DE EIXO VERTICAL, TIPO TURBINA, P/ CÂMARA DE FLOCULAÇÃO, COMPLETO. CONFORME ESPECIFICAÇÃO.</v>
      </c>
      <c r="E216" s="42" t="s">
        <v>194</v>
      </c>
      <c r="F216" s="43" t="s">
        <v>197</v>
      </c>
      <c r="G216" s="43" t="s">
        <v>199</v>
      </c>
      <c r="H216" s="41" t="s">
        <v>201</v>
      </c>
      <c r="I216" s="43" t="s">
        <v>52</v>
      </c>
      <c r="J216" s="40" t="s">
        <v>227</v>
      </c>
      <c r="K216" s="60">
        <v>45422</v>
      </c>
      <c r="O216" s="82">
        <v>45558</v>
      </c>
      <c r="Q216" s="96"/>
    </row>
    <row r="217" spans="1:18" ht="32.25" x14ac:dyDescent="0.35">
      <c r="A217" s="48">
        <v>77686</v>
      </c>
      <c r="B217" s="39" t="str" cm="1">
        <f t="array" ref="B217">IF(A217&lt;&gt;"",_xlfn.XLOOKUP(_xlfn.NUMBERVALUE(A217),_xlfn.NUMBERVALUE(Carga[Tombamento]),Carga[Descrição do Bem]),"")</f>
        <v>ESTAÇÃO DE TRATAMENTO DE ÁGUA - VALPARAISO/GO BOMBA CENTRÍFUGA DE EIXO HORIZONTAL PARA RESERVATÓRIO ELEVADO</v>
      </c>
      <c r="C217" s="39" t="str">
        <f t="shared" si="8"/>
        <v>BOMBA CENTRÍFUGA DE EIXO HORIZONTAL PARA RESERVATÓRIO ELEVADO</v>
      </c>
      <c r="E217" s="42" t="s">
        <v>194</v>
      </c>
      <c r="F217" s="41" t="s">
        <v>197</v>
      </c>
      <c r="G217" s="41" t="s">
        <v>199</v>
      </c>
      <c r="H217" s="41" t="s">
        <v>201</v>
      </c>
      <c r="I217" s="41" t="s">
        <v>53</v>
      </c>
      <c r="J217" s="40" t="s">
        <v>72</v>
      </c>
      <c r="K217" s="60">
        <v>45421</v>
      </c>
      <c r="O217" s="82">
        <v>45553</v>
      </c>
      <c r="Q217" s="96"/>
    </row>
    <row r="218" spans="1:18" ht="32.25" x14ac:dyDescent="0.35">
      <c r="A218" s="48">
        <v>77687</v>
      </c>
      <c r="B218" s="39" t="str" cm="1">
        <f t="array" ref="B218">IF(A218&lt;&gt;"",_xlfn.XLOOKUP(_xlfn.NUMBERVALUE(A218),_xlfn.NUMBERVALUE(Carga[Tombamento]),Carga[Descrição do Bem]),"")</f>
        <v>ESTAÇÃO DE TRATAMENTO DE ÁGUA - VALPARAISO/GO BOMBA CENTRÍFUGA DE EIXO HORIZONTAL PARA RESERVATÓRIO ELEVADO</v>
      </c>
      <c r="C218" s="39" t="str">
        <f t="shared" si="8"/>
        <v>BOMBA CENTRÍFUGA DE EIXO HORIZONTAL PARA RESERVATÓRIO ELEVADO</v>
      </c>
      <c r="E218" s="42" t="s">
        <v>194</v>
      </c>
      <c r="F218" s="43" t="s">
        <v>197</v>
      </c>
      <c r="G218" s="43" t="s">
        <v>199</v>
      </c>
      <c r="H218" s="41" t="s">
        <v>201</v>
      </c>
      <c r="I218" s="43" t="s">
        <v>53</v>
      </c>
      <c r="J218" s="40" t="s">
        <v>72</v>
      </c>
      <c r="K218" s="60">
        <v>45421</v>
      </c>
      <c r="O218" s="82">
        <v>45553</v>
      </c>
      <c r="Q218" s="96"/>
    </row>
    <row r="219" spans="1:18" ht="32.25" x14ac:dyDescent="0.35">
      <c r="A219" s="48">
        <v>77688</v>
      </c>
      <c r="B219" s="39" t="str" cm="1">
        <f t="array" ref="B219">IF(A219&lt;&gt;"",_xlfn.XLOOKUP(_xlfn.NUMBERVALUE(A219),_xlfn.NUMBERVALUE(Carga[Tombamento]),Carga[Descrição do Bem]),"")</f>
        <v>ESTAÇÃO DE TRATAMENTO DE ÁGUA - VALPARAISO/GO BOMBA CENTRÍFUGA DE EIXO HORIZONTAL PARA RESERVATÓRIO ELEVADO</v>
      </c>
      <c r="C219" s="39" t="str">
        <f t="shared" si="8"/>
        <v>BOMBA CENTRÍFUGA DE EIXO HORIZONTAL PARA RESERVATÓRIO ELEVADO</v>
      </c>
      <c r="E219" s="42" t="s">
        <v>194</v>
      </c>
      <c r="F219" s="41" t="s">
        <v>197</v>
      </c>
      <c r="G219" s="41" t="s">
        <v>199</v>
      </c>
      <c r="H219" s="41" t="s">
        <v>201</v>
      </c>
      <c r="I219" s="41" t="s">
        <v>38</v>
      </c>
      <c r="J219" s="40" t="s">
        <v>259</v>
      </c>
      <c r="K219" s="60">
        <v>45421</v>
      </c>
      <c r="O219" s="82">
        <v>45555</v>
      </c>
      <c r="Q219" s="96"/>
    </row>
    <row r="220" spans="1:18" ht="32.25" x14ac:dyDescent="0.35">
      <c r="A220" s="48">
        <v>77689</v>
      </c>
      <c r="B220" s="39" t="str" cm="1">
        <f t="array" ref="B220">IF(A220&lt;&gt;"",_xlfn.XLOOKUP(_xlfn.NUMBERVALUE(A220),_xlfn.NUMBERVALUE(Carga[Tombamento]),Carga[Descrição do Bem]),"")</f>
        <v>ESTAÇÃO DE TRATAMENTO DE ÁGUA - VALPARAISO/GO BOMBA CENTRÍFUGA DE EIXO HORIZONTAL PARA RESERVATÓRIO ELEVADO</v>
      </c>
      <c r="C220" s="39" t="str">
        <f t="shared" si="8"/>
        <v>BOMBA CENTRÍFUGA DE EIXO HORIZONTAL PARA RESERVATÓRIO ELEVADO</v>
      </c>
      <c r="E220" s="42" t="s">
        <v>194</v>
      </c>
      <c r="F220" s="43" t="s">
        <v>197</v>
      </c>
      <c r="G220" s="43" t="s">
        <v>199</v>
      </c>
      <c r="H220" s="41" t="s">
        <v>201</v>
      </c>
      <c r="I220" s="43" t="s">
        <v>38</v>
      </c>
      <c r="J220" s="40" t="s">
        <v>259</v>
      </c>
      <c r="K220" s="60">
        <v>45421</v>
      </c>
      <c r="O220" s="82">
        <v>45555</v>
      </c>
      <c r="Q220" s="96"/>
    </row>
    <row r="221" spans="1:18" ht="32.25" x14ac:dyDescent="0.35">
      <c r="A221" s="48">
        <v>77690</v>
      </c>
      <c r="B221" s="39" t="str" cm="1">
        <f t="array" ref="B221">IF(A221&lt;&gt;"",_xlfn.XLOOKUP(_xlfn.NUMBERVALUE(A221),_xlfn.NUMBERVALUE(Carga[Tombamento]),Carga[Descrição do Bem]),"")</f>
        <v>ESTAÇÃO DE TRATAMENTO DE ÁGUA - VALPARAISO/GO BOMBA HELICOIDAL PARA O RECALQUE DO LODO FLOTADO, COMPLETA, CONFORME ESPECIFICAÇÃO</v>
      </c>
      <c r="C221" s="39" t="str">
        <f t="shared" si="8"/>
        <v>BOMBA HELICOIDAL PARA O RECALQUE DO LODO FLOTADO, COMPLETA, CONFORME ESPECIFICAÇÃO</v>
      </c>
      <c r="E221" s="42" t="s">
        <v>194</v>
      </c>
      <c r="F221" s="41" t="s">
        <v>197</v>
      </c>
      <c r="G221" s="41" t="s">
        <v>199</v>
      </c>
      <c r="H221" s="41" t="s">
        <v>201</v>
      </c>
      <c r="I221" s="41" t="s">
        <v>53</v>
      </c>
      <c r="J221" s="40" t="s">
        <v>243</v>
      </c>
      <c r="K221" s="60">
        <v>45421</v>
      </c>
      <c r="O221" s="82">
        <v>45555</v>
      </c>
      <c r="Q221" s="96"/>
    </row>
    <row r="222" spans="1:18" ht="32.25" x14ac:dyDescent="0.35">
      <c r="A222" s="48">
        <v>77691</v>
      </c>
      <c r="B222" s="39" t="str" cm="1">
        <f t="array" ref="B222">IF(A222&lt;&gt;"",_xlfn.XLOOKUP(_xlfn.NUMBERVALUE(A222),_xlfn.NUMBERVALUE(Carga[Tombamento]),Carga[Descrição do Bem]),"")</f>
        <v>ESTAÇÃO DE TRATAMENTO DE ÁGUA - VALPARAISO/GO BOMBA HELICOIDAL PARA O RECALQUE DO LODO FLOTADO, COMPLETA, CONFORME ESPECIFICAÇÃO</v>
      </c>
      <c r="C222" s="39" t="str">
        <f t="shared" si="8"/>
        <v>BOMBA HELICOIDAL PARA O RECALQUE DO LODO FLOTADO, COMPLETA, CONFORME ESPECIFICAÇÃO</v>
      </c>
      <c r="E222" s="42" t="s">
        <v>194</v>
      </c>
      <c r="F222" s="43" t="s">
        <v>197</v>
      </c>
      <c r="G222" s="43" t="s">
        <v>199</v>
      </c>
      <c r="H222" s="41" t="s">
        <v>201</v>
      </c>
      <c r="I222" s="43" t="s">
        <v>53</v>
      </c>
      <c r="J222" s="40" t="s">
        <v>243</v>
      </c>
      <c r="K222" s="60">
        <v>45421</v>
      </c>
      <c r="O222" s="82">
        <v>45555</v>
      </c>
      <c r="Q222" s="96"/>
    </row>
    <row r="223" spans="1:18" ht="32.25" x14ac:dyDescent="0.35">
      <c r="A223" s="48">
        <v>77692</v>
      </c>
      <c r="B223" s="39" t="str" cm="1">
        <f t="array" ref="B223">IF(A223&lt;&gt;"",_xlfn.XLOOKUP(_xlfn.NUMBERVALUE(A223),_xlfn.NUMBERVALUE(Carga[Tombamento]),Carga[Descrição do Bem]),"")</f>
        <v>ESTAÇÃO DE TRATAMENTO DE ÁGUA - VALPARAISO/GO BOMBA HELICOIDAL PARA O RECALQUE DO LODO FLOTADO, COMPLETA, CONFORME ESPECIFICAÇÃO</v>
      </c>
      <c r="C223" s="39" t="str">
        <f t="shared" si="8"/>
        <v>BOMBA HELICOIDAL PARA O RECALQUE DO LODO FLOTADO, COMPLETA, CONFORME ESPECIFICAÇÃO</v>
      </c>
      <c r="E223" s="42" t="s">
        <v>194</v>
      </c>
      <c r="F223" s="41" t="s">
        <v>197</v>
      </c>
      <c r="G223" s="41" t="s">
        <v>199</v>
      </c>
      <c r="H223" s="41" t="s">
        <v>201</v>
      </c>
      <c r="I223" s="41" t="s">
        <v>53</v>
      </c>
      <c r="J223" s="40" t="s">
        <v>244</v>
      </c>
      <c r="K223" s="60">
        <v>45421</v>
      </c>
      <c r="O223" s="82">
        <v>45555</v>
      </c>
      <c r="Q223" s="96"/>
    </row>
    <row r="224" spans="1:18" ht="32.25" x14ac:dyDescent="0.35">
      <c r="A224" s="48">
        <v>77693</v>
      </c>
      <c r="B224" s="39" t="str" cm="1">
        <f t="array" ref="B224">IF(A224&lt;&gt;"",_xlfn.XLOOKUP(_xlfn.NUMBERVALUE(A224),_xlfn.NUMBERVALUE(Carga[Tombamento]),Carga[Descrição do Bem]),"")</f>
        <v>ESTAÇÃO DE TRATAMENTO DE ÁGUA - VALPARAISO/GO BOMBA HELICOIDAL PARA O RECALQUE DO LODO FLOTADO, COMPLETA, CONFORME ESPECIFICAÇÃO</v>
      </c>
      <c r="C224" s="39" t="str">
        <f t="shared" si="8"/>
        <v>BOMBA HELICOIDAL PARA O RECALQUE DO LODO FLOTADO, COMPLETA, CONFORME ESPECIFICAÇÃO</v>
      </c>
      <c r="E224" s="42" t="s">
        <v>194</v>
      </c>
      <c r="F224" s="43" t="s">
        <v>197</v>
      </c>
      <c r="G224" s="43" t="s">
        <v>199</v>
      </c>
      <c r="H224" s="41" t="s">
        <v>201</v>
      </c>
      <c r="I224" s="43" t="s">
        <v>53</v>
      </c>
      <c r="J224" s="40" t="s">
        <v>244</v>
      </c>
      <c r="K224" s="60">
        <v>45421</v>
      </c>
      <c r="O224" s="82">
        <v>45555</v>
      </c>
      <c r="Q224" s="96"/>
    </row>
    <row r="225" spans="1:17" ht="41.25" x14ac:dyDescent="0.35">
      <c r="A225" s="48">
        <v>77694</v>
      </c>
      <c r="B225" s="39" t="str" cm="1">
        <f t="array" ref="B225">IF(A225&lt;&gt;"",_xlfn.XLOOKUP(_xlfn.NUMBERVALUE(A225),_xlfn.NUMBERVALUE(Carga[Tombamento]),Carga[Descrição do Bem]),"")</f>
        <v>ESTAÇÃO DE TRATAMENTO DE ÁGUA - VALPARAISO/GO COMPRESSOR PARA ALIMENTAÇÃO DO SATURADOR. COMPLETO, CONFORME ESPECIFICAÇÃO</v>
      </c>
      <c r="C225" s="39" t="str">
        <f t="shared" si="8"/>
        <v>COMPRESSOR PARA ALIMENTAÇÃO DO SATURADOR. COMPLETO, CONFORME ESPECIFICAÇÃO</v>
      </c>
      <c r="E225" s="42" t="s">
        <v>194</v>
      </c>
      <c r="F225" s="41" t="s">
        <v>197</v>
      </c>
      <c r="G225" s="41" t="s">
        <v>199</v>
      </c>
      <c r="H225" s="41" t="s">
        <v>201</v>
      </c>
      <c r="I225" s="41" t="s">
        <v>53</v>
      </c>
      <c r="J225" s="40" t="s">
        <v>260</v>
      </c>
      <c r="K225" s="60">
        <v>45421</v>
      </c>
      <c r="O225" s="82">
        <v>45553</v>
      </c>
      <c r="Q225" s="96"/>
    </row>
    <row r="226" spans="1:17" ht="41.25" x14ac:dyDescent="0.35">
      <c r="A226" s="48">
        <v>77695</v>
      </c>
      <c r="B226" s="39" t="str" cm="1">
        <f t="array" ref="B226">IF(A226&lt;&gt;"",_xlfn.XLOOKUP(_xlfn.NUMBERVALUE(A226),_xlfn.NUMBERVALUE(Carga[Tombamento]),Carga[Descrição do Bem]),"")</f>
        <v>ESTAÇÃO DE TRATAMENTO DE ÁGUA - VALPARAISO/GO COMPRESSOR PARA ALIMENTAÇÃO DO SATURADOR. COMPLETO, CONFORME ESPECIFICAÇÃO</v>
      </c>
      <c r="C226" s="39" t="str">
        <f t="shared" si="8"/>
        <v>COMPRESSOR PARA ALIMENTAÇÃO DO SATURADOR. COMPLETO, CONFORME ESPECIFICAÇÃO</v>
      </c>
      <c r="E226" s="42" t="s">
        <v>194</v>
      </c>
      <c r="F226" s="43" t="s">
        <v>197</v>
      </c>
      <c r="G226" s="43" t="s">
        <v>199</v>
      </c>
      <c r="H226" s="41" t="s">
        <v>201</v>
      </c>
      <c r="I226" s="43" t="s">
        <v>53</v>
      </c>
      <c r="J226" s="40" t="s">
        <v>260</v>
      </c>
      <c r="K226" s="60">
        <v>45421</v>
      </c>
      <c r="O226" s="82">
        <v>45553</v>
      </c>
      <c r="Q226" s="96"/>
    </row>
    <row r="227" spans="1:17" ht="41.25" x14ac:dyDescent="0.35">
      <c r="A227" s="48">
        <v>77696</v>
      </c>
      <c r="B227" s="39" t="str" cm="1">
        <f t="array" ref="B227">IF(A227&lt;&gt;"",_xlfn.XLOOKUP(_xlfn.NUMBERVALUE(A227),_xlfn.NUMBERVALUE(Carga[Tombamento]),Carga[Descrição do Bem]),"")</f>
        <v>ESTAÇÃO DE TRATAMENTO DE ÁGUA - VALPARAISO/GO COMPRESSOR PARA ALIMENTAÇÃO DO SATURADOR. COMPLETO, CONFORME ESPECIFICAÇÃO</v>
      </c>
      <c r="C227" s="39" t="str">
        <f t="shared" si="8"/>
        <v>COMPRESSOR PARA ALIMENTAÇÃO DO SATURADOR. COMPLETO, CONFORME ESPECIFICAÇÃO</v>
      </c>
      <c r="E227" s="42" t="s">
        <v>194</v>
      </c>
      <c r="F227" s="41" t="s">
        <v>197</v>
      </c>
      <c r="G227" s="41" t="s">
        <v>199</v>
      </c>
      <c r="H227" s="41" t="s">
        <v>201</v>
      </c>
      <c r="I227" s="41" t="s">
        <v>53</v>
      </c>
      <c r="J227" s="40" t="s">
        <v>260</v>
      </c>
      <c r="K227" s="60">
        <v>45421</v>
      </c>
      <c r="O227" s="82">
        <v>45553</v>
      </c>
      <c r="Q227" s="96"/>
    </row>
    <row r="228" spans="1:17" ht="41.25" x14ac:dyDescent="0.35">
      <c r="A228" s="48">
        <v>77697</v>
      </c>
      <c r="B228" s="39" t="str" cm="1">
        <f t="array" ref="B228">IF(A228&lt;&gt;"",_xlfn.XLOOKUP(_xlfn.NUMBERVALUE(A228),_xlfn.NUMBERVALUE(Carga[Tombamento]),Carga[Descrição do Bem]),"")</f>
        <v>ESTAÇÃO DE TRATAMENTO DE ÁGUA - VALPARAISO/GO CONJUNTO MOTOR BOMBA PARA ALIMENTAÇÃO DO SATURADOR, COMPLETO, CONFORME ESPECIFICAÇÃO</v>
      </c>
      <c r="C228" s="39" t="str">
        <f t="shared" si="8"/>
        <v>CONJUNTO MOTOR BOMBA PARA ALIMENTAÇÃO DO SATURADOR, COMPLETO, CONFORME ESPECIFICAÇÃO</v>
      </c>
      <c r="E228" s="42" t="s">
        <v>194</v>
      </c>
      <c r="F228" s="43" t="s">
        <v>197</v>
      </c>
      <c r="G228" s="43" t="s">
        <v>199</v>
      </c>
      <c r="H228" s="41" t="s">
        <v>201</v>
      </c>
      <c r="I228" s="43" t="s">
        <v>53</v>
      </c>
      <c r="J228" s="40" t="s">
        <v>217</v>
      </c>
      <c r="K228" s="60">
        <v>45421</v>
      </c>
      <c r="O228" s="82">
        <v>45553</v>
      </c>
      <c r="Q228" s="96"/>
    </row>
    <row r="229" spans="1:17" ht="41.25" x14ac:dyDescent="0.35">
      <c r="A229" s="48">
        <v>77698</v>
      </c>
      <c r="B229" s="39" t="str" cm="1">
        <f t="array" ref="B229">IF(A229&lt;&gt;"",_xlfn.XLOOKUP(_xlfn.NUMBERVALUE(A229),_xlfn.NUMBERVALUE(Carga[Tombamento]),Carga[Descrição do Bem]),"")</f>
        <v>ESTAÇÃO DE TRATAMENTO DE ÁGUA - VALPARAISO/GO CONJUNTO MOTOR BOMBA PARA ALIMENTAÇÃO DO SATURADOR, COMPLETO, CONFORME ESPECIFICAÇÃO</v>
      </c>
      <c r="C229" s="39" t="str">
        <f t="shared" si="8"/>
        <v>CONJUNTO MOTOR BOMBA PARA ALIMENTAÇÃO DO SATURADOR, COMPLETO, CONFORME ESPECIFICAÇÃO</v>
      </c>
      <c r="E229" s="42" t="s">
        <v>194</v>
      </c>
      <c r="F229" s="41" t="s">
        <v>197</v>
      </c>
      <c r="G229" s="41" t="s">
        <v>199</v>
      </c>
      <c r="H229" s="41" t="s">
        <v>201</v>
      </c>
      <c r="I229" s="41" t="s">
        <v>53</v>
      </c>
      <c r="J229" s="40" t="s">
        <v>217</v>
      </c>
      <c r="K229" s="60">
        <v>45421</v>
      </c>
      <c r="O229" s="82">
        <v>45553</v>
      </c>
      <c r="Q229" s="96"/>
    </row>
    <row r="230" spans="1:17" ht="41.25" x14ac:dyDescent="0.35">
      <c r="A230" s="48">
        <v>77699</v>
      </c>
      <c r="B230" s="39" t="str" cm="1">
        <f t="array" ref="B230">IF(A230&lt;&gt;"",_xlfn.XLOOKUP(_xlfn.NUMBERVALUE(A230),_xlfn.NUMBERVALUE(Carga[Tombamento]),Carga[Descrição do Bem]),"")</f>
        <v>ESTAÇÃO DE TRATAMENTO DE ÁGUA - VALPARAISO/GO CONJUNTO MOTOR BOMBA PARA ALIMENTAÇÃO DO SATURADOR, COMPLETO, CONFORME ESPECIFICAÇÃO</v>
      </c>
      <c r="C230" s="39" t="str">
        <f t="shared" si="8"/>
        <v>CONJUNTO MOTOR BOMBA PARA ALIMENTAÇÃO DO SATURADOR, COMPLETO, CONFORME ESPECIFICAÇÃO</v>
      </c>
      <c r="E230" s="42" t="s">
        <v>194</v>
      </c>
      <c r="F230" s="43" t="s">
        <v>197</v>
      </c>
      <c r="G230" s="43" t="s">
        <v>199</v>
      </c>
      <c r="H230" s="41" t="s">
        <v>201</v>
      </c>
      <c r="I230" s="43" t="s">
        <v>53</v>
      </c>
      <c r="J230" s="40" t="s">
        <v>217</v>
      </c>
      <c r="K230" s="60">
        <v>45421</v>
      </c>
      <c r="O230" s="82">
        <v>45553</v>
      </c>
      <c r="Q230" s="96"/>
    </row>
    <row r="231" spans="1:17" ht="41.25" x14ac:dyDescent="0.35">
      <c r="A231" s="48">
        <v>77700</v>
      </c>
      <c r="B231" s="39" t="str" cm="1">
        <f t="array" ref="B231">IF(A231&lt;&gt;"",_xlfn.XLOOKUP(_xlfn.NUMBERVALUE(A231),_xlfn.NUMBERVALUE(Carga[Tombamento]),Carga[Descrição do Bem]),"")</f>
        <v>ESTAÇÃO DE TRATAMENTO DE ÁGUA - VALPARAISO/GO CONJUNTO MOTOR BOMBA PARA ALIMENTAÇÃO DO SATURADOR, COMPLETO, CONFORME ESPECIFICAÇÃO</v>
      </c>
      <c r="C231" s="39" t="str">
        <f t="shared" si="8"/>
        <v>CONJUNTO MOTOR BOMBA PARA ALIMENTAÇÃO DO SATURADOR, COMPLETO, CONFORME ESPECIFICAÇÃO</v>
      </c>
      <c r="E231" s="42" t="s">
        <v>194</v>
      </c>
      <c r="F231" s="41" t="s">
        <v>197</v>
      </c>
      <c r="G231" s="41" t="s">
        <v>199</v>
      </c>
      <c r="H231" s="41" t="s">
        <v>201</v>
      </c>
      <c r="I231" s="41" t="s">
        <v>53</v>
      </c>
      <c r="J231" s="40" t="s">
        <v>217</v>
      </c>
      <c r="K231" s="60">
        <v>45421</v>
      </c>
      <c r="O231" s="82">
        <v>45553</v>
      </c>
      <c r="Q231" s="96"/>
    </row>
    <row r="232" spans="1:17" ht="41.25" x14ac:dyDescent="0.35">
      <c r="A232" s="48">
        <v>77701</v>
      </c>
      <c r="B232" s="39" t="str" cm="1">
        <f t="array" ref="B232">IF(A232&lt;&gt;"",_xlfn.XLOOKUP(_xlfn.NUMBERVALUE(A232),_xlfn.NUMBERVALUE(Carga[Tombamento]),Carga[Descrição do Bem]),"")</f>
        <v>ESTAÇÃO DE TRATAMENTO DE ÁGUA - VALPARAISO/GO CONJUNTO MOTOR BOMBA PARA ALIMENTAÇÃO DO SATURADOR, COMPLETO, CONFORME ESPECIFICAÇÃO</v>
      </c>
      <c r="C232" s="39" t="str">
        <f t="shared" si="8"/>
        <v>CONJUNTO MOTOR BOMBA PARA ALIMENTAÇÃO DO SATURADOR, COMPLETO, CONFORME ESPECIFICAÇÃO</v>
      </c>
      <c r="E232" s="42" t="s">
        <v>194</v>
      </c>
      <c r="F232" s="43" t="s">
        <v>197</v>
      </c>
      <c r="G232" s="43" t="s">
        <v>199</v>
      </c>
      <c r="H232" s="41" t="s">
        <v>201</v>
      </c>
      <c r="I232" s="43" t="s">
        <v>53</v>
      </c>
      <c r="J232" s="40" t="s">
        <v>217</v>
      </c>
      <c r="K232" s="60">
        <v>45421</v>
      </c>
      <c r="O232" s="82">
        <v>45553</v>
      </c>
      <c r="Q232" s="96"/>
    </row>
    <row r="233" spans="1:17" ht="25.5" x14ac:dyDescent="0.35">
      <c r="A233" s="48">
        <v>77702</v>
      </c>
      <c r="B233" s="39" t="str" cm="1">
        <f t="array" ref="B233">IF(A233&lt;&gt;"",_xlfn.XLOOKUP(_xlfn.NUMBERVALUE(A233),_xlfn.NUMBERVALUE(Carga[Tombamento]),Carga[Descrição do Bem]),"")</f>
        <v xml:space="preserve">ESTAÇÃO DE TRATAMENTO DE ÁGUA - VALPARAISO/GO TALHA MANUAL MONOVIA - 2 TONELADAS </v>
      </c>
      <c r="C233" s="39" t="str">
        <f t="shared" si="8"/>
        <v xml:space="preserve">TALHA MANUAL MONOVIA - 2 TONELADAS </v>
      </c>
      <c r="E233" s="42" t="s">
        <v>194</v>
      </c>
      <c r="F233" s="41" t="s">
        <v>197</v>
      </c>
      <c r="G233" s="41" t="s">
        <v>199</v>
      </c>
      <c r="H233" s="41" t="s">
        <v>201</v>
      </c>
      <c r="I233" s="41" t="s">
        <v>36</v>
      </c>
      <c r="J233" s="40" t="s">
        <v>981</v>
      </c>
      <c r="K233" s="60">
        <v>45422</v>
      </c>
      <c r="O233" s="82">
        <v>45560</v>
      </c>
      <c r="Q233" s="96"/>
    </row>
    <row r="234" spans="1:17" ht="25.5" x14ac:dyDescent="0.35">
      <c r="A234" s="48">
        <v>77703</v>
      </c>
      <c r="B234" s="39" t="str" cm="1">
        <f t="array" ref="B234">IF(A234&lt;&gt;"",_xlfn.XLOOKUP(_xlfn.NUMBERVALUE(A234),_xlfn.NUMBERVALUE(Carga[Tombamento]),Carga[Descrição do Bem]),"")</f>
        <v xml:space="preserve">ESTAÇÃO DE TRATAMENTO DE ÁGUA - VALPARAISO/GO TALHA MANUAL MONOVIA - 5 TONELADAS </v>
      </c>
      <c r="C234" s="39" t="str">
        <f t="shared" si="8"/>
        <v xml:space="preserve">TALHA MANUAL MONOVIA - 5 TONELADAS </v>
      </c>
      <c r="E234" s="42" t="s">
        <v>194</v>
      </c>
      <c r="F234" s="43" t="s">
        <v>197</v>
      </c>
      <c r="G234" s="43" t="s">
        <v>199</v>
      </c>
      <c r="H234" s="41" t="s">
        <v>201</v>
      </c>
      <c r="I234" s="43" t="s">
        <v>36</v>
      </c>
      <c r="J234" s="40" t="s">
        <v>981</v>
      </c>
      <c r="K234" s="60">
        <v>45422</v>
      </c>
      <c r="O234" s="82">
        <v>45560</v>
      </c>
      <c r="Q234" s="96"/>
    </row>
    <row r="235" spans="1:17" ht="25.5" x14ac:dyDescent="0.35">
      <c r="A235" s="48">
        <v>77704</v>
      </c>
      <c r="B235" s="39" t="str" cm="1">
        <f t="array" ref="B235">IF(A235&lt;&gt;"",_xlfn.XLOOKUP(_xlfn.NUMBERVALUE(A235),_xlfn.NUMBERVALUE(Carga[Tombamento]),Carga[Descrição do Bem]),"")</f>
        <v xml:space="preserve">ESTAÇÃO DE TRATAMENTO DE ÁGUA - VALPARAISO/GO TALHA MANUAL MONOVIA - 3 TONELADAS </v>
      </c>
      <c r="C235" s="39" t="str">
        <f t="shared" si="8"/>
        <v xml:space="preserve">TALHA MANUAL MONOVIA - 3 TONELADAS </v>
      </c>
      <c r="E235" s="42" t="s">
        <v>194</v>
      </c>
      <c r="F235" s="41" t="s">
        <v>197</v>
      </c>
      <c r="G235" s="41" t="s">
        <v>199</v>
      </c>
      <c r="H235" s="41" t="s">
        <v>201</v>
      </c>
      <c r="I235" s="41" t="s">
        <v>36</v>
      </c>
      <c r="J235" s="40" t="s">
        <v>981</v>
      </c>
      <c r="K235" s="60">
        <v>45422</v>
      </c>
      <c r="O235" s="82">
        <v>45560</v>
      </c>
      <c r="Q235" s="96"/>
    </row>
    <row r="236" spans="1:17" ht="25.5" x14ac:dyDescent="0.35">
      <c r="A236" s="48">
        <v>77705</v>
      </c>
      <c r="B236" s="39" t="str" cm="1">
        <f t="array" ref="B236">IF(A236&lt;&gt;"",_xlfn.XLOOKUP(_xlfn.NUMBERVALUE(A236),_xlfn.NUMBERVALUE(Carga[Tombamento]),Carga[Descrição do Bem]),"")</f>
        <v xml:space="preserve">ESTAÇÃO DE TRATAMENTO DE ÁGUA - VALPARAISO/GO DOSADOR DE CLORO COMPLETO </v>
      </c>
      <c r="C236" s="39" t="str">
        <f t="shared" si="8"/>
        <v xml:space="preserve">DOSADOR DE CLORO COMPLETO </v>
      </c>
      <c r="E236" s="42" t="s">
        <v>194</v>
      </c>
      <c r="F236" s="43" t="s">
        <v>197</v>
      </c>
      <c r="G236" s="43" t="s">
        <v>199</v>
      </c>
      <c r="H236" s="41" t="s">
        <v>201</v>
      </c>
      <c r="I236" s="43" t="s">
        <v>56</v>
      </c>
      <c r="J236" s="40" t="s">
        <v>62</v>
      </c>
      <c r="K236" s="60">
        <v>45422</v>
      </c>
      <c r="O236" s="82">
        <v>45555</v>
      </c>
      <c r="Q236" s="96"/>
    </row>
    <row r="237" spans="1:17" ht="32.25" x14ac:dyDescent="0.35">
      <c r="A237" s="48">
        <v>77706</v>
      </c>
      <c r="B237" s="39" t="str" cm="1">
        <f t="array" ref="B237">IF(A237&lt;&gt;"",_xlfn.XLOOKUP(_xlfn.NUMBERVALUE(A237),_xlfn.NUMBERVALUE(Carga[Tombamento]),Carga[Descrição do Bem]),"")</f>
        <v>ESTAÇÃO DE TRATAMENTO DE ÁGUA - VALPARAISO/GO MEDIDOR ELETROMAGNÉTICO DE VAZÃO, COM FLANGES Ø200MM</v>
      </c>
      <c r="C237" s="39" t="str">
        <f t="shared" si="8"/>
        <v>MEDIDOR ELETROMAGNÉTICO DE VAZÃO, COM FLANGES Ø200MM</v>
      </c>
      <c r="E237" s="42" t="s">
        <v>194</v>
      </c>
      <c r="F237" s="41" t="s">
        <v>197</v>
      </c>
      <c r="G237" s="41" t="s">
        <v>199</v>
      </c>
      <c r="H237" s="41" t="s">
        <v>201</v>
      </c>
      <c r="I237" s="41" t="s">
        <v>53</v>
      </c>
      <c r="J237" s="40" t="s">
        <v>247</v>
      </c>
      <c r="K237" s="60">
        <v>45421</v>
      </c>
      <c r="O237" s="82">
        <v>45553</v>
      </c>
      <c r="Q237" s="96"/>
    </row>
    <row r="238" spans="1:17" ht="32.25" x14ac:dyDescent="0.35">
      <c r="A238" s="48">
        <v>77707</v>
      </c>
      <c r="B238" s="39" t="str" cm="1">
        <f t="array" ref="B238">IF(A238&lt;&gt;"",_xlfn.XLOOKUP(_xlfn.NUMBERVALUE(A238),_xlfn.NUMBERVALUE(Carga[Tombamento]),Carga[Descrição do Bem]),"")</f>
        <v>ESTAÇÃO DE TRATAMENTO DE ÁGUA - VALPARAISO/GO MEDIDOR ELETROMAGNÉTICO DE VAZÃO, COM FLANGES Ø200MM</v>
      </c>
      <c r="C238" s="39" t="str">
        <f t="shared" si="8"/>
        <v>MEDIDOR ELETROMAGNÉTICO DE VAZÃO, COM FLANGES Ø200MM</v>
      </c>
      <c r="E238" s="42" t="s">
        <v>194</v>
      </c>
      <c r="F238" s="43" t="s">
        <v>197</v>
      </c>
      <c r="G238" s="43" t="s">
        <v>199</v>
      </c>
      <c r="H238" s="41" t="s">
        <v>201</v>
      </c>
      <c r="I238" s="43" t="s">
        <v>53</v>
      </c>
      <c r="J238" s="40" t="s">
        <v>247</v>
      </c>
      <c r="K238" s="60">
        <v>45421</v>
      </c>
      <c r="O238" s="82">
        <v>45553</v>
      </c>
      <c r="Q238" s="96"/>
    </row>
    <row r="239" spans="1:17" ht="32.25" x14ac:dyDescent="0.35">
      <c r="A239" s="48">
        <v>77708</v>
      </c>
      <c r="B239" s="39" t="str" cm="1">
        <f t="array" ref="B239">IF(A239&lt;&gt;"",_xlfn.XLOOKUP(_xlfn.NUMBERVALUE(A239),_xlfn.NUMBERVALUE(Carga[Tombamento]),Carga[Descrição do Bem]),"")</f>
        <v>ESTAÇÃO DE TRATAMENTO DE ÁGUA - VALPARAISO/GO MEDIDOR ELETROMAGNÉTICO DE VAZÃO, COM FLANGES Ø200MM</v>
      </c>
      <c r="C239" s="39" t="str">
        <f t="shared" si="8"/>
        <v>MEDIDOR ELETROMAGNÉTICO DE VAZÃO, COM FLANGES Ø200MM</v>
      </c>
      <c r="E239" s="42" t="s">
        <v>194</v>
      </c>
      <c r="F239" s="41" t="s">
        <v>197</v>
      </c>
      <c r="G239" s="41" t="s">
        <v>199</v>
      </c>
      <c r="H239" s="41" t="s">
        <v>201</v>
      </c>
      <c r="I239" s="41" t="s">
        <v>53</v>
      </c>
      <c r="J239" s="40" t="s">
        <v>247</v>
      </c>
      <c r="K239" s="60">
        <v>45421</v>
      </c>
      <c r="O239" s="82">
        <v>45553</v>
      </c>
      <c r="Q239" s="96"/>
    </row>
    <row r="240" spans="1:17" ht="32.25" x14ac:dyDescent="0.35">
      <c r="A240" s="48">
        <v>77709</v>
      </c>
      <c r="B240" s="39" t="str" cm="1">
        <f t="array" ref="B240">IF(A240&lt;&gt;"",_xlfn.XLOOKUP(_xlfn.NUMBERVALUE(A240),_xlfn.NUMBERVALUE(Carga[Tombamento]),Carga[Descrição do Bem]),"")</f>
        <v>ESTAÇÃO DE TRATAMENTO DE ÁGUA - VALPARAISO/GO MEDIDOR ELETROMAGNÉTICO DE VAZÃO, COM FLANGES Ø200MM</v>
      </c>
      <c r="C240" s="39" t="str">
        <f t="shared" si="8"/>
        <v>MEDIDOR ELETROMAGNÉTICO DE VAZÃO, COM FLANGES Ø200MM</v>
      </c>
      <c r="E240" s="42" t="s">
        <v>194</v>
      </c>
      <c r="F240" s="43" t="s">
        <v>197</v>
      </c>
      <c r="G240" s="43" t="s">
        <v>199</v>
      </c>
      <c r="H240" s="41" t="s">
        <v>201</v>
      </c>
      <c r="I240" s="43" t="s">
        <v>53</v>
      </c>
      <c r="J240" s="40" t="s">
        <v>247</v>
      </c>
      <c r="K240" s="60">
        <v>45421</v>
      </c>
      <c r="O240" s="82">
        <v>45553</v>
      </c>
      <c r="Q240" s="96"/>
    </row>
    <row r="241" spans="1:17" ht="60" x14ac:dyDescent="0.35">
      <c r="A241" s="48">
        <v>77710</v>
      </c>
      <c r="B241" s="39" t="str" cm="1">
        <f t="array" ref="B241">IF(A241&lt;&gt;"",_xlfn.XLOOKUP(_xlfn.NUMBERVALUE(A241),_xlfn.NUMBERVALUE(Carga[Tombamento]),Carga[Descrição do Bem]),"")</f>
        <v>ESTAÇÃO DE TRATAMENTO DE ÁGUA - VALPARAISO/GO REMOVEDOR MECÂNICO DE LODO FLOTADO, DO TIPO COM CORRENTES, PARA FLOTADOR RETANGULAR, COMPLETO COM "PRAIA" PARA RETIRADA DE LODO E VERTEDOR DE SAÍDA, CONFORME ESPECIFICAÇÃO</v>
      </c>
      <c r="C241" s="39" t="str">
        <f t="shared" si="8"/>
        <v>REMOVEDOR MECÂNICO DE LODO FLOTADO, DO TIPO COM CORRENTES, PARA FLOTADOR RETANGULAR, COMPLETO COM "PRAIA" PARA RETIRADA DE LODO E VERTEDOR DE SAÍDA, CONFORME ES</v>
      </c>
      <c r="E241" s="42" t="s">
        <v>194</v>
      </c>
      <c r="F241" s="41" t="s">
        <v>197</v>
      </c>
      <c r="G241" s="41" t="s">
        <v>199</v>
      </c>
      <c r="H241" s="41" t="s">
        <v>201</v>
      </c>
      <c r="I241" s="41" t="s">
        <v>53</v>
      </c>
      <c r="J241" s="40" t="s">
        <v>250</v>
      </c>
      <c r="K241" s="60">
        <v>45422</v>
      </c>
      <c r="O241" s="82">
        <v>45558</v>
      </c>
      <c r="Q241" s="96"/>
    </row>
    <row r="242" spans="1:17" ht="60" x14ac:dyDescent="0.35">
      <c r="A242" s="48">
        <v>77711</v>
      </c>
      <c r="B242" s="39" t="str" cm="1">
        <f t="array" ref="B242">IF(A242&lt;&gt;"",_xlfn.XLOOKUP(_xlfn.NUMBERVALUE(A242),_xlfn.NUMBERVALUE(Carga[Tombamento]),Carga[Descrição do Bem]),"")</f>
        <v>ESTAÇÃO DE TRATAMENTO DE ÁGUA - VALPARAISO/GO REMOVEDOR MECÂNICO DE LODO FLOTADO, DO TIPO COM CORRENTES, PARA FLOTADOR RETANGULAR, COMPLETO COM "PRAIA" PARA RETIRADA DE LODO E VERTEDOR DE SAÍDA, CONFORME ESPECIFICAÇÃO</v>
      </c>
      <c r="C242" s="39" t="str">
        <f t="shared" si="8"/>
        <v>REMOVEDOR MECÂNICO DE LODO FLOTADO, DO TIPO COM CORRENTES, PARA FLOTADOR RETANGULAR, COMPLETO COM "PRAIA" PARA RETIRADA DE LODO E VERTEDOR DE SAÍDA, CONFORME ES</v>
      </c>
      <c r="E242" s="42" t="s">
        <v>194</v>
      </c>
      <c r="F242" s="43" t="s">
        <v>197</v>
      </c>
      <c r="G242" s="43" t="s">
        <v>199</v>
      </c>
      <c r="H242" s="41" t="s">
        <v>201</v>
      </c>
      <c r="I242" s="43" t="s">
        <v>53</v>
      </c>
      <c r="J242" s="40" t="s">
        <v>251</v>
      </c>
      <c r="K242" s="60">
        <v>45422</v>
      </c>
      <c r="O242" s="82">
        <v>45558</v>
      </c>
      <c r="Q242" s="96"/>
    </row>
    <row r="243" spans="1:17" ht="60" x14ac:dyDescent="0.35">
      <c r="A243" s="48">
        <v>77712</v>
      </c>
      <c r="B243" s="39" t="str" cm="1">
        <f t="array" ref="B243">IF(A243&lt;&gt;"",_xlfn.XLOOKUP(_xlfn.NUMBERVALUE(A243),_xlfn.NUMBERVALUE(Carga[Tombamento]),Carga[Descrição do Bem]),"")</f>
        <v>ESTAÇÃO DE TRATAMENTO DE ÁGUA - VALPARAISO/GO REMOVEDOR MECÂNICO DE LODO FLOTADO, DO TIPO COM CORRENTES, PARA FLOTADOR RETANGULAR, COMPLETO COM "PRAIA" PARA RETIRADA DE LODO E VERTEDOR DE SAÍDA, CONFORME ESPECIFICAÇÃO</v>
      </c>
      <c r="C243" s="39" t="str">
        <f t="shared" si="8"/>
        <v>REMOVEDOR MECÂNICO DE LODO FLOTADO, DO TIPO COM CORRENTES, PARA FLOTADOR RETANGULAR, COMPLETO COM "PRAIA" PARA RETIRADA DE LODO E VERTEDOR DE SAÍDA, CONFORME ES</v>
      </c>
      <c r="E243" s="42" t="s">
        <v>194</v>
      </c>
      <c r="F243" s="41" t="s">
        <v>197</v>
      </c>
      <c r="G243" s="41" t="s">
        <v>199</v>
      </c>
      <c r="H243" s="41" t="s">
        <v>201</v>
      </c>
      <c r="I243" s="41" t="s">
        <v>53</v>
      </c>
      <c r="J243" s="40" t="s">
        <v>249</v>
      </c>
      <c r="K243" s="60">
        <v>45422</v>
      </c>
      <c r="O243" s="82">
        <v>45558</v>
      </c>
      <c r="P243" s="79" t="s">
        <v>989</v>
      </c>
      <c r="Q243" s="96"/>
    </row>
    <row r="244" spans="1:17" ht="60" x14ac:dyDescent="0.35">
      <c r="A244" s="48">
        <v>77713</v>
      </c>
      <c r="B244" s="39" t="str" cm="1">
        <f t="array" ref="B244">IF(A244&lt;&gt;"",_xlfn.XLOOKUP(_xlfn.NUMBERVALUE(A244),_xlfn.NUMBERVALUE(Carga[Tombamento]),Carga[Descrição do Bem]),"")</f>
        <v>ESTAÇÃO DE TRATAMENTO DE ÁGUA - VALPARAISO/GO REMOVEDOR MECÂNICO DE LODO FLOTADO, DO TIPO COM CORRENTES, PARA FLOTADOR RETANGULAR, COMPLETO COM "PRAIA" PARA RETIRADA DE LODO E VERTEDOR DE SAÍDA, CONFORME ESPECIFICAÇÃO</v>
      </c>
      <c r="C244" s="39" t="str">
        <f t="shared" ref="C244:C307" si="9">MID(B244,47,160)</f>
        <v>REMOVEDOR MECÂNICO DE LODO FLOTADO, DO TIPO COM CORRENTES, PARA FLOTADOR RETANGULAR, COMPLETO COM "PRAIA" PARA RETIRADA DE LODO E VERTEDOR DE SAÍDA, CONFORME ES</v>
      </c>
      <c r="E244" s="42" t="s">
        <v>194</v>
      </c>
      <c r="F244" s="43" t="s">
        <v>197</v>
      </c>
      <c r="G244" s="43" t="s">
        <v>199</v>
      </c>
      <c r="H244" s="41" t="s">
        <v>201</v>
      </c>
      <c r="I244" s="43" t="s">
        <v>53</v>
      </c>
      <c r="J244" s="40" t="s">
        <v>252</v>
      </c>
      <c r="K244" s="60">
        <v>45422</v>
      </c>
      <c r="O244" s="82">
        <v>45558</v>
      </c>
      <c r="Q244" s="96"/>
    </row>
    <row r="245" spans="1:17" ht="32.25" x14ac:dyDescent="0.35">
      <c r="A245" s="48">
        <v>77714</v>
      </c>
      <c r="B245" s="39" t="str" cm="1">
        <f t="array" ref="B245">IF(A245&lt;&gt;"",_xlfn.XLOOKUP(_xlfn.NUMBERVALUE(A245),_xlfn.NUMBERVALUE(Carga[Tombamento]),Carga[Descrição do Bem]),"")</f>
        <v>ESTAÇÃO DE TRATAMENTO DE ÁGUA - VALPARAISO/GO SATURADOR PARA FLOTAÇÃO COM DIÂMETRO DE 1,50 M, COMPLETO, CONFORME ESPECIFICAÇÃO</v>
      </c>
      <c r="C245" s="39" t="str">
        <f t="shared" si="9"/>
        <v>SATURADOR PARA FLOTAÇÃO COM DIÂMETRO DE 1,50 M, COMPLETO, CONFORME ESPECIFICAÇÃO</v>
      </c>
      <c r="E245" s="42" t="s">
        <v>194</v>
      </c>
      <c r="F245" s="41" t="s">
        <v>197</v>
      </c>
      <c r="G245" s="41" t="s">
        <v>199</v>
      </c>
      <c r="H245" s="41" t="s">
        <v>201</v>
      </c>
      <c r="I245" s="41" t="s">
        <v>53</v>
      </c>
      <c r="J245" s="40" t="s">
        <v>260</v>
      </c>
      <c r="K245" s="60">
        <v>45421</v>
      </c>
      <c r="O245" s="82">
        <v>45553</v>
      </c>
      <c r="Q245" s="96"/>
    </row>
    <row r="246" spans="1:17" ht="32.25" x14ac:dyDescent="0.35">
      <c r="A246" s="48">
        <v>77715</v>
      </c>
      <c r="B246" s="39" t="str" cm="1">
        <f t="array" ref="B246">IF(A246&lt;&gt;"",_xlfn.XLOOKUP(_xlfn.NUMBERVALUE(A246),_xlfn.NUMBERVALUE(Carga[Tombamento]),Carga[Descrição do Bem]),"")</f>
        <v>ESTAÇÃO DE TRATAMENTO DE ÁGUA - VALPARAISO/GO SATURADOR PARA FLOTAÇÃO COM DIÂMETRO DE 1,50 M, COMPLETO, CONFORME ESPECIFICAÇÃO</v>
      </c>
      <c r="C246" s="39" t="str">
        <f t="shared" si="9"/>
        <v>SATURADOR PARA FLOTAÇÃO COM DIÂMETRO DE 1,50 M, COMPLETO, CONFORME ESPECIFICAÇÃO</v>
      </c>
      <c r="E246" s="42" t="s">
        <v>194</v>
      </c>
      <c r="F246" s="43" t="s">
        <v>197</v>
      </c>
      <c r="G246" s="43" t="s">
        <v>199</v>
      </c>
      <c r="H246" s="41" t="s">
        <v>201</v>
      </c>
      <c r="I246" s="43" t="s">
        <v>53</v>
      </c>
      <c r="J246" s="40" t="s">
        <v>260</v>
      </c>
      <c r="K246" s="60">
        <v>45421</v>
      </c>
      <c r="O246" s="82">
        <v>45553</v>
      </c>
      <c r="Q246" s="96"/>
    </row>
    <row r="247" spans="1:17" ht="32.25" x14ac:dyDescent="0.35">
      <c r="A247" s="48">
        <v>77716</v>
      </c>
      <c r="B247" s="39" t="str" cm="1">
        <f t="array" ref="B247">IF(A247&lt;&gt;"",_xlfn.XLOOKUP(_xlfn.NUMBERVALUE(A247),_xlfn.NUMBERVALUE(Carga[Tombamento]),Carga[Descrição do Bem]),"")</f>
        <v>ESTAÇÃO DE TRATAMENTO DE ÁGUA - VALPARAISO/GO SATURADOR PARA FLOTAÇÃO COM DIÂMETRO DE 1,50 M, COMPLETO, CONFORME ESPECIFICAÇÃO</v>
      </c>
      <c r="C247" s="39" t="str">
        <f t="shared" si="9"/>
        <v>SATURADOR PARA FLOTAÇÃO COM DIÂMETRO DE 1,50 M, COMPLETO, CONFORME ESPECIFICAÇÃO</v>
      </c>
      <c r="E247" s="42" t="s">
        <v>194</v>
      </c>
      <c r="F247" s="41" t="s">
        <v>197</v>
      </c>
      <c r="G247" s="41" t="s">
        <v>199</v>
      </c>
      <c r="H247" s="41" t="s">
        <v>201</v>
      </c>
      <c r="I247" s="41" t="s">
        <v>53</v>
      </c>
      <c r="J247" s="40" t="s">
        <v>260</v>
      </c>
      <c r="K247" s="60">
        <v>45421</v>
      </c>
      <c r="O247" s="82">
        <v>45553</v>
      </c>
      <c r="Q247" s="96"/>
    </row>
    <row r="248" spans="1:17" ht="32.25" x14ac:dyDescent="0.35">
      <c r="A248" s="48">
        <v>77717</v>
      </c>
      <c r="B248" s="39" t="str" cm="1">
        <f t="array" ref="B248">IF(A248&lt;&gt;"",_xlfn.XLOOKUP(_xlfn.NUMBERVALUE(A248),_xlfn.NUMBERVALUE(Carga[Tombamento]),Carga[Descrição do Bem]),"")</f>
        <v>ESTAÇÃO DE TRATAMENTO DE ÁGUA - VALPARAISO/GO SATURADOR PARA FLOTAÇÃO COM DIÂMETRO DE 1,50 M, COMPLETO, CONFORME ESPECIFICAÇÃO</v>
      </c>
      <c r="C248" s="39" t="str">
        <f t="shared" si="9"/>
        <v>SATURADOR PARA FLOTAÇÃO COM DIÂMETRO DE 1,50 M, COMPLETO, CONFORME ESPECIFICAÇÃO</v>
      </c>
      <c r="E248" s="42" t="s">
        <v>194</v>
      </c>
      <c r="F248" s="43" t="s">
        <v>197</v>
      </c>
      <c r="G248" s="43" t="s">
        <v>199</v>
      </c>
      <c r="H248" s="41" t="s">
        <v>201</v>
      </c>
      <c r="I248" s="43" t="s">
        <v>53</v>
      </c>
      <c r="J248" s="40" t="s">
        <v>260</v>
      </c>
      <c r="K248" s="60">
        <v>45421</v>
      </c>
      <c r="O248" s="82">
        <v>45553</v>
      </c>
      <c r="Q248" s="96"/>
    </row>
    <row r="249" spans="1:17" ht="32.25" x14ac:dyDescent="0.35">
      <c r="A249" s="48">
        <v>77718</v>
      </c>
      <c r="B249" s="39" t="str" cm="1">
        <f t="array" ref="B249">IF(A249&lt;&gt;"",_xlfn.XLOOKUP(_xlfn.NUMBERVALUE(A249),_xlfn.NUMBERVALUE(Carga[Tombamento]),Carga[Descrição do Bem]),"")</f>
        <v>ESTAÇÃO DE TRATAMENTO DE ÁGUA - VALPARAISO/GO SOPRADOR PARA LAVAGEM DOS FILTROS, COMPLETO, CONFORME ESPECIFICAÇÃO</v>
      </c>
      <c r="C249" s="39" t="str">
        <f t="shared" si="9"/>
        <v>SOPRADOR PARA LAVAGEM DOS FILTROS, COMPLETO, CONFORME ESPECIFICAÇÃO</v>
      </c>
      <c r="E249" s="42" t="s">
        <v>194</v>
      </c>
      <c r="F249" s="41" t="s">
        <v>197</v>
      </c>
      <c r="G249" s="41" t="s">
        <v>199</v>
      </c>
      <c r="H249" s="41" t="s">
        <v>201</v>
      </c>
      <c r="I249" s="41" t="s">
        <v>53</v>
      </c>
      <c r="J249" s="40" t="s">
        <v>260</v>
      </c>
      <c r="K249" s="60">
        <v>45421</v>
      </c>
      <c r="O249" s="82">
        <v>45553</v>
      </c>
      <c r="Q249" s="96"/>
    </row>
    <row r="250" spans="1:17" ht="32.25" x14ac:dyDescent="0.35">
      <c r="A250" s="48">
        <v>77719</v>
      </c>
      <c r="B250" s="39" t="str" cm="1">
        <f t="array" ref="B250">IF(A250&lt;&gt;"",_xlfn.XLOOKUP(_xlfn.NUMBERVALUE(A250),_xlfn.NUMBERVALUE(Carga[Tombamento]),Carga[Descrição do Bem]),"")</f>
        <v>ESTAÇÃO DE TRATAMENTO DE ÁGUA - VALPARAISO/GO SOPRADOR PARA LAVAGEM DOS FILTROS, COMPLETO, CONFORME ESPECIFICAÇÃO</v>
      </c>
      <c r="C250" s="39" t="str">
        <f t="shared" si="9"/>
        <v>SOPRADOR PARA LAVAGEM DOS FILTROS, COMPLETO, CONFORME ESPECIFICAÇÃO</v>
      </c>
      <c r="E250" s="42" t="s">
        <v>194</v>
      </c>
      <c r="F250" s="43" t="s">
        <v>197</v>
      </c>
      <c r="G250" s="43" t="s">
        <v>199</v>
      </c>
      <c r="H250" s="41" t="s">
        <v>201</v>
      </c>
      <c r="I250" s="43" t="s">
        <v>53</v>
      </c>
      <c r="J250" s="40" t="s">
        <v>260</v>
      </c>
      <c r="K250" s="60">
        <v>45421</v>
      </c>
      <c r="O250" s="82">
        <v>45553</v>
      </c>
      <c r="Q250" s="96"/>
    </row>
    <row r="251" spans="1:17" ht="41.25" x14ac:dyDescent="0.35">
      <c r="A251" s="48">
        <v>77720</v>
      </c>
      <c r="B251" s="39" t="str" cm="1">
        <f t="array" ref="B251">IF(A251&lt;&gt;"",_xlfn.XLOOKUP(_xlfn.NUMBERVALUE(A251),_xlfn.NUMBERVALUE(Carga[Tombamento]),Carga[Descrição do Bem]),"")</f>
        <v>ESTAÇÃO DE TRATAMENTO DE ÁGUA - VALPARAISO/GO VÁLVULA BORBOLETA, COM ACIONAMENTO ELÉTRICO, COM FLANGES PN-10, COMPLETA - DIÂMETRO 200 MM</v>
      </c>
      <c r="C251" s="39" t="str">
        <f t="shared" si="9"/>
        <v>VÁLVULA BORBOLETA, COM ACIONAMENTO ELÉTRICO, COM FLANGES PN-10, COMPLETA - DIÂMETRO 200 MM</v>
      </c>
      <c r="E251" s="42" t="s">
        <v>194</v>
      </c>
      <c r="F251" s="41" t="s">
        <v>197</v>
      </c>
      <c r="G251" s="41" t="s">
        <v>199</v>
      </c>
      <c r="H251" s="41" t="s">
        <v>201</v>
      </c>
      <c r="I251" s="41" t="s">
        <v>54</v>
      </c>
      <c r="J251" s="40" t="s">
        <v>272</v>
      </c>
      <c r="K251" s="60">
        <v>45421</v>
      </c>
      <c r="O251" s="82">
        <v>45565</v>
      </c>
      <c r="Q251" s="96"/>
    </row>
    <row r="252" spans="1:17" ht="41.25" x14ac:dyDescent="0.35">
      <c r="A252" s="48">
        <v>77721</v>
      </c>
      <c r="B252" s="39" t="str" cm="1">
        <f t="array" ref="B252">IF(A252&lt;&gt;"",_xlfn.XLOOKUP(_xlfn.NUMBERVALUE(A252),_xlfn.NUMBERVALUE(Carga[Tombamento]),Carga[Descrição do Bem]),"")</f>
        <v>ESTAÇÃO DE TRATAMENTO DE ÁGUA - VALPARAISO/GO VÁLVULA BORBOLETA, COM ACIONAMENTO ELÉTRICO, COM FLANGES PN-10, COMPLETA - DIÂMETRO 200 MM</v>
      </c>
      <c r="C252" s="39" t="str">
        <f t="shared" si="9"/>
        <v>VÁLVULA BORBOLETA, COM ACIONAMENTO ELÉTRICO, COM FLANGES PN-10, COMPLETA - DIÂMETRO 200 MM</v>
      </c>
      <c r="E252" s="42" t="s">
        <v>194</v>
      </c>
      <c r="F252" s="43" t="s">
        <v>197</v>
      </c>
      <c r="G252" s="43" t="s">
        <v>199</v>
      </c>
      <c r="H252" s="41" t="s">
        <v>201</v>
      </c>
      <c r="I252" s="43" t="s">
        <v>54</v>
      </c>
      <c r="J252" s="40" t="s">
        <v>272</v>
      </c>
      <c r="K252" s="60">
        <v>45421</v>
      </c>
      <c r="O252" s="82">
        <v>45565</v>
      </c>
      <c r="Q252" s="96"/>
    </row>
    <row r="253" spans="1:17" ht="41.25" x14ac:dyDescent="0.35">
      <c r="A253" s="48">
        <v>77722</v>
      </c>
      <c r="B253" s="39" t="str" cm="1">
        <f t="array" ref="B253">IF(A253&lt;&gt;"",_xlfn.XLOOKUP(_xlfn.NUMBERVALUE(A253),_xlfn.NUMBERVALUE(Carga[Tombamento]),Carga[Descrição do Bem]),"")</f>
        <v>ESTAÇÃO DE TRATAMENTO DE ÁGUA - VALPARAISO/GO VÁLVULA BORBOLETA, COM ACIONAMENTO ELÉTRICO, COM FLANGES PN-10, COMPLETA - DIÂMETRO 200 MM</v>
      </c>
      <c r="C253" s="39" t="str">
        <f t="shared" si="9"/>
        <v>VÁLVULA BORBOLETA, COM ACIONAMENTO ELÉTRICO, COM FLANGES PN-10, COMPLETA - DIÂMETRO 200 MM</v>
      </c>
      <c r="E253" s="42" t="s">
        <v>194</v>
      </c>
      <c r="F253" s="41" t="s">
        <v>197</v>
      </c>
      <c r="G253" s="41" t="s">
        <v>199</v>
      </c>
      <c r="H253" s="41" t="s">
        <v>201</v>
      </c>
      <c r="I253" s="41" t="s">
        <v>54</v>
      </c>
      <c r="J253" s="40" t="s">
        <v>273</v>
      </c>
      <c r="K253" s="60">
        <v>45421</v>
      </c>
      <c r="O253" s="82">
        <v>45565</v>
      </c>
      <c r="Q253" s="96"/>
    </row>
    <row r="254" spans="1:17" ht="41.25" x14ac:dyDescent="0.35">
      <c r="A254" s="48">
        <v>77723</v>
      </c>
      <c r="B254" s="39" t="str" cm="1">
        <f t="array" ref="B254">IF(A254&lt;&gt;"",_xlfn.XLOOKUP(_xlfn.NUMBERVALUE(A254),_xlfn.NUMBERVALUE(Carga[Tombamento]),Carga[Descrição do Bem]),"")</f>
        <v>ESTAÇÃO DE TRATAMENTO DE ÁGUA - VALPARAISO/GO VÁLVULA BORBOLETA, COM ACIONAMENTO ELÉTRICO, COM FLANGES PN-10, COMPLETA - DIÂMETRO 200 MM</v>
      </c>
      <c r="C254" s="39" t="str">
        <f t="shared" si="9"/>
        <v>VÁLVULA BORBOLETA, COM ACIONAMENTO ELÉTRICO, COM FLANGES PN-10, COMPLETA - DIÂMETRO 200 MM</v>
      </c>
      <c r="E254" s="42" t="s">
        <v>194</v>
      </c>
      <c r="F254" s="43" t="s">
        <v>197</v>
      </c>
      <c r="G254" s="43" t="s">
        <v>199</v>
      </c>
      <c r="H254" s="41" t="s">
        <v>201</v>
      </c>
      <c r="I254" s="43" t="s">
        <v>54</v>
      </c>
      <c r="J254" s="40" t="s">
        <v>273</v>
      </c>
      <c r="K254" s="60">
        <v>45421</v>
      </c>
      <c r="O254" s="82">
        <v>45565</v>
      </c>
      <c r="Q254" s="96"/>
    </row>
    <row r="255" spans="1:17" ht="41.25" x14ac:dyDescent="0.35">
      <c r="A255" s="48">
        <v>77724</v>
      </c>
      <c r="B255" s="39" t="str" cm="1">
        <f t="array" ref="B255">IF(A255&lt;&gt;"",_xlfn.XLOOKUP(_xlfn.NUMBERVALUE(A255),_xlfn.NUMBERVALUE(Carga[Tombamento]),Carga[Descrição do Bem]),"")</f>
        <v>ESTAÇÃO DE TRATAMENTO DE ÁGUA - VALPARAISO/GO VÁLVULA BORBOLETA, COM ACIONAMENTO ELÉTRICO, COM FLANGES PN-10, COMPLETA - DIÂMETRO 200 MM</v>
      </c>
      <c r="C255" s="39" t="str">
        <f t="shared" si="9"/>
        <v>VÁLVULA BORBOLETA, COM ACIONAMENTO ELÉTRICO, COM FLANGES PN-10, COMPLETA - DIÂMETRO 200 MM</v>
      </c>
      <c r="E255" s="42" t="s">
        <v>194</v>
      </c>
      <c r="F255" s="41" t="s">
        <v>197</v>
      </c>
      <c r="G255" s="41" t="s">
        <v>199</v>
      </c>
      <c r="H255" s="41" t="s">
        <v>201</v>
      </c>
      <c r="I255" s="41" t="s">
        <v>54</v>
      </c>
      <c r="J255" s="40" t="s">
        <v>274</v>
      </c>
      <c r="K255" s="60">
        <v>45421</v>
      </c>
      <c r="O255" s="82">
        <v>45565</v>
      </c>
      <c r="Q255" s="96"/>
    </row>
    <row r="256" spans="1:17" ht="41.25" x14ac:dyDescent="0.35">
      <c r="A256" s="48">
        <v>77725</v>
      </c>
      <c r="B256" s="39" t="str" cm="1">
        <f t="array" ref="B256">IF(A256&lt;&gt;"",_xlfn.XLOOKUP(_xlfn.NUMBERVALUE(A256),_xlfn.NUMBERVALUE(Carga[Tombamento]),Carga[Descrição do Bem]),"")</f>
        <v>ESTAÇÃO DE TRATAMENTO DE ÁGUA - VALPARAISO/GO VÁLVULA BORBOLETA, COM ACIONAMENTO ELÉTRICO, COM FLANGES PN-10, COMPLETA - DIÂMETRO 200 MM</v>
      </c>
      <c r="C256" s="39" t="str">
        <f t="shared" si="9"/>
        <v>VÁLVULA BORBOLETA, COM ACIONAMENTO ELÉTRICO, COM FLANGES PN-10, COMPLETA - DIÂMETRO 200 MM</v>
      </c>
      <c r="E256" s="42" t="s">
        <v>194</v>
      </c>
      <c r="F256" s="43" t="s">
        <v>197</v>
      </c>
      <c r="G256" s="43" t="s">
        <v>199</v>
      </c>
      <c r="H256" s="41" t="s">
        <v>201</v>
      </c>
      <c r="I256" s="43" t="s">
        <v>54</v>
      </c>
      <c r="J256" s="40" t="s">
        <v>274</v>
      </c>
      <c r="K256" s="60">
        <v>45421</v>
      </c>
      <c r="O256" s="82">
        <v>45565</v>
      </c>
      <c r="Q256" s="96"/>
    </row>
    <row r="257" spans="1:17" ht="41.25" x14ac:dyDescent="0.35">
      <c r="A257" s="48">
        <v>77726</v>
      </c>
      <c r="B257" s="39" t="str" cm="1">
        <f t="array" ref="B257">IF(A257&lt;&gt;"",_xlfn.XLOOKUP(_xlfn.NUMBERVALUE(A257),_xlfn.NUMBERVALUE(Carga[Tombamento]),Carga[Descrição do Bem]),"")</f>
        <v>ESTAÇÃO DE TRATAMENTO DE ÁGUA - VALPARAISO/GO VÁLVULA BORBOLETA, COM ACIONAMENTO ELÉTRICO, COM FLANGES PN-10, COMPLETA - DIÂMETRO 200 MM</v>
      </c>
      <c r="C257" s="39" t="str">
        <f t="shared" si="9"/>
        <v>VÁLVULA BORBOLETA, COM ACIONAMENTO ELÉTRICO, COM FLANGES PN-10, COMPLETA - DIÂMETRO 200 MM</v>
      </c>
      <c r="E257" s="42" t="s">
        <v>194</v>
      </c>
      <c r="F257" s="41" t="s">
        <v>197</v>
      </c>
      <c r="G257" s="41" t="s">
        <v>199</v>
      </c>
      <c r="H257" s="41" t="s">
        <v>201</v>
      </c>
      <c r="I257" s="41" t="s">
        <v>54</v>
      </c>
      <c r="J257" s="40" t="s">
        <v>275</v>
      </c>
      <c r="K257" s="60">
        <v>45421</v>
      </c>
      <c r="O257" s="82">
        <v>45565</v>
      </c>
      <c r="Q257" s="96"/>
    </row>
    <row r="258" spans="1:17" ht="41.25" x14ac:dyDescent="0.35">
      <c r="A258" s="48">
        <v>77727</v>
      </c>
      <c r="B258" s="39" t="str" cm="1">
        <f t="array" ref="B258">IF(A258&lt;&gt;"",_xlfn.XLOOKUP(_xlfn.NUMBERVALUE(A258),_xlfn.NUMBERVALUE(Carga[Tombamento]),Carga[Descrição do Bem]),"")</f>
        <v>ESTAÇÃO DE TRATAMENTO DE ÁGUA - VALPARAISO/GO VÁLVULA BORBOLETA, COM ACIONAMENTO ELÉTRICO, COM FLANGES PN-10, COMPLETA - DIÂMETRO 200 MM</v>
      </c>
      <c r="C258" s="39" t="str">
        <f t="shared" si="9"/>
        <v>VÁLVULA BORBOLETA, COM ACIONAMENTO ELÉTRICO, COM FLANGES PN-10, COMPLETA - DIÂMETRO 200 MM</v>
      </c>
      <c r="E258" s="42" t="s">
        <v>194</v>
      </c>
      <c r="F258" s="43" t="s">
        <v>197</v>
      </c>
      <c r="G258" s="43" t="s">
        <v>199</v>
      </c>
      <c r="H258" s="41" t="s">
        <v>201</v>
      </c>
      <c r="I258" s="43" t="s">
        <v>54</v>
      </c>
      <c r="J258" s="40" t="s">
        <v>275</v>
      </c>
      <c r="K258" s="60">
        <v>45421</v>
      </c>
      <c r="O258" s="82">
        <v>45565</v>
      </c>
      <c r="Q258" s="96"/>
    </row>
    <row r="259" spans="1:17" ht="32.25" x14ac:dyDescent="0.35">
      <c r="A259" s="48">
        <v>77728</v>
      </c>
      <c r="B259" s="39" t="str" cm="1">
        <f t="array" ref="B259">IF(A259&lt;&gt;"",_xlfn.XLOOKUP(_xlfn.NUMBERVALUE(A259),_xlfn.NUMBERVALUE(Carga[Tombamento]),Carga[Descrição do Bem]),"")</f>
        <v>ESTAÇÃO DE TRATAMENTO DE ÁGUA - VALPARAISO/GO CONJUNTO MOTOR BOMBA PARA LAVAGEM DOS FILTROS, COMPLETA, CONFORME ESPECIFICAÇÃO</v>
      </c>
      <c r="C259" s="39" t="str">
        <f t="shared" si="9"/>
        <v>CONJUNTO MOTOR BOMBA PARA LAVAGEM DOS FILTROS, COMPLETA, CONFORME ESPECIFICAÇÃO</v>
      </c>
      <c r="E259" s="42" t="s">
        <v>194</v>
      </c>
      <c r="F259" s="41" t="s">
        <v>197</v>
      </c>
      <c r="G259" s="41" t="s">
        <v>199</v>
      </c>
      <c r="H259" s="41" t="s">
        <v>201</v>
      </c>
      <c r="I259" s="41" t="s">
        <v>38</v>
      </c>
      <c r="J259" s="40" t="s">
        <v>70</v>
      </c>
      <c r="K259" s="60">
        <v>45421</v>
      </c>
      <c r="O259" s="82">
        <v>45555</v>
      </c>
      <c r="Q259" s="96"/>
    </row>
    <row r="260" spans="1:17" ht="32.25" x14ac:dyDescent="0.35">
      <c r="A260" s="48">
        <v>77729</v>
      </c>
      <c r="B260" s="39" t="str" cm="1">
        <f t="array" ref="B260">IF(A260&lt;&gt;"",_xlfn.XLOOKUP(_xlfn.NUMBERVALUE(A260),_xlfn.NUMBERVALUE(Carga[Tombamento]),Carga[Descrição do Bem]),"")</f>
        <v>ESTAÇÃO DE TRATAMENTO DE ÁGUA - VALPARAISO/GO CONJUNTO MOTOR BOMBA PARA LAVAGEM DOS FILTROS, COMPLETA, CONFORME ESPECIFICAÇÃO</v>
      </c>
      <c r="C260" s="39" t="str">
        <f t="shared" si="9"/>
        <v>CONJUNTO MOTOR BOMBA PARA LAVAGEM DOS FILTROS, COMPLETA, CONFORME ESPECIFICAÇÃO</v>
      </c>
      <c r="E260" s="42" t="s">
        <v>194</v>
      </c>
      <c r="F260" s="43" t="s">
        <v>197</v>
      </c>
      <c r="G260" s="43" t="s">
        <v>199</v>
      </c>
      <c r="H260" s="41" t="s">
        <v>201</v>
      </c>
      <c r="I260" s="43" t="s">
        <v>38</v>
      </c>
      <c r="J260" s="40" t="s">
        <v>70</v>
      </c>
      <c r="K260" s="60">
        <v>45421</v>
      </c>
      <c r="O260" s="82">
        <v>45555</v>
      </c>
      <c r="Q260" s="96"/>
    </row>
    <row r="261" spans="1:17" ht="25.5" x14ac:dyDescent="0.35">
      <c r="A261" s="48">
        <v>77730</v>
      </c>
      <c r="B261" s="39" t="str" cm="1">
        <f t="array" ref="B261">IF(A261&lt;&gt;"",_xlfn.XLOOKUP(_xlfn.NUMBERVALUE(A261),_xlfn.NUMBERVALUE(Carga[Tombamento]),Carga[Descrição do Bem]),"")</f>
        <v xml:space="preserve">ESTAÇÃO DE TRATAMENTO DE ÁGUA - VALPARAISO/GO TALHA MANUAL MONOVIA - 5 TONELADAS </v>
      </c>
      <c r="C261" s="39" t="str">
        <f t="shared" si="9"/>
        <v xml:space="preserve">TALHA MANUAL MONOVIA - 5 TONELADAS </v>
      </c>
      <c r="E261" s="42" t="s">
        <v>194</v>
      </c>
      <c r="F261" s="41" t="s">
        <v>197</v>
      </c>
      <c r="G261" s="41" t="s">
        <v>199</v>
      </c>
      <c r="H261" s="41" t="s">
        <v>201</v>
      </c>
      <c r="I261" s="41" t="s">
        <v>36</v>
      </c>
      <c r="J261" s="40" t="s">
        <v>981</v>
      </c>
      <c r="K261" s="60">
        <v>45422</v>
      </c>
      <c r="O261" s="82">
        <v>45560</v>
      </c>
      <c r="Q261" s="96"/>
    </row>
    <row r="262" spans="1:17" ht="41.25" x14ac:dyDescent="0.35">
      <c r="A262" s="48">
        <v>77731</v>
      </c>
      <c r="B262" s="39" t="str" cm="1">
        <f t="array" ref="B262">IF(A262&lt;&gt;"",_xlfn.XLOOKUP(_xlfn.NUMBERVALUE(A262),_xlfn.NUMBERVALUE(Carga[Tombamento]),Carga[Descrição do Bem]),"")</f>
        <v>ESTAÇÃO DE TRATAMENTO DE ÁGUA - VALPARAISO/GO BOMBA HELICOIDAL PARA O RECALQUE DE LODO DO TANQUE DE LODO PARA CENTRÍFUGA, COMPLETA, CONFORME ESPECIFICAÇÃO</v>
      </c>
      <c r="C262" s="39" t="str">
        <f t="shared" si="9"/>
        <v>BOMBA HELICOIDAL PARA O RECALQUE DE LODO DO TANQUE DE LODO PARA CENTRÍFUGA, COMPLETA, CONFORME ESPECIFICAÇÃO</v>
      </c>
      <c r="E262" s="42" t="s">
        <v>194</v>
      </c>
      <c r="F262" s="43" t="s">
        <v>197</v>
      </c>
      <c r="G262" s="43" t="s">
        <v>199</v>
      </c>
      <c r="H262" s="41" t="s">
        <v>201</v>
      </c>
      <c r="I262" s="43" t="s">
        <v>75</v>
      </c>
      <c r="J262" s="40" t="s">
        <v>68</v>
      </c>
      <c r="K262" s="60">
        <v>45421</v>
      </c>
      <c r="O262" s="82">
        <v>45555</v>
      </c>
      <c r="Q262" s="96"/>
    </row>
    <row r="263" spans="1:17" ht="41.25" x14ac:dyDescent="0.35">
      <c r="A263" s="48">
        <v>77732</v>
      </c>
      <c r="B263" s="39" t="str" cm="1">
        <f t="array" ref="B263">IF(A263&lt;&gt;"",_xlfn.XLOOKUP(_xlfn.NUMBERVALUE(A263),_xlfn.NUMBERVALUE(Carga[Tombamento]),Carga[Descrição do Bem]),"")</f>
        <v>ESTAÇÃO DE TRATAMENTO DE ÁGUA - VALPARAISO/GO BOMBA HELICOIDAL PARA O RECALQUE DE LODO DO TANQUE DE LODO PARA CENTRÍFUGA, COMPLETA, CONFORME ESPECIFICAÇÃO</v>
      </c>
      <c r="C263" s="39" t="str">
        <f t="shared" si="9"/>
        <v>BOMBA HELICOIDAL PARA O RECALQUE DE LODO DO TANQUE DE LODO PARA CENTRÍFUGA, COMPLETA, CONFORME ESPECIFICAÇÃO</v>
      </c>
      <c r="E263" s="42" t="s">
        <v>194</v>
      </c>
      <c r="F263" s="41" t="s">
        <v>197</v>
      </c>
      <c r="G263" s="41" t="s">
        <v>199</v>
      </c>
      <c r="H263" s="41" t="s">
        <v>201</v>
      </c>
      <c r="I263" s="41" t="s">
        <v>75</v>
      </c>
      <c r="J263" s="40" t="s">
        <v>68</v>
      </c>
      <c r="K263" s="60">
        <v>45421</v>
      </c>
      <c r="O263" s="82">
        <v>45555</v>
      </c>
      <c r="Q263" s="96"/>
    </row>
    <row r="264" spans="1:17" ht="41.25" x14ac:dyDescent="0.35">
      <c r="A264" s="48">
        <v>77733</v>
      </c>
      <c r="B264" s="39" t="str" cm="1">
        <f t="array" ref="B264">IF(A264&lt;&gt;"",_xlfn.XLOOKUP(_xlfn.NUMBERVALUE(A264),_xlfn.NUMBERVALUE(Carga[Tombamento]),Carga[Descrição do Bem]),"")</f>
        <v>ESTAÇÃO DE TRATAMENTO DE ÁGUA - VALPARAISO/GO BOMBAS DOSADORAS PARA DOSAGEM DE SOLUÇÃO DE POLÍMERO, COMPLETA, CONFORME ESPECIFICAÇÃO</v>
      </c>
      <c r="C264" s="39" t="str">
        <f t="shared" si="9"/>
        <v>BOMBAS DOSADORAS PARA DOSAGEM DE SOLUÇÃO DE POLÍMERO, COMPLETA, CONFORME ESPECIFICAÇÃO</v>
      </c>
      <c r="E264" s="42" t="s">
        <v>194</v>
      </c>
      <c r="F264" s="43" t="s">
        <v>197</v>
      </c>
      <c r="G264" s="43" t="s">
        <v>199</v>
      </c>
      <c r="H264" s="41" t="s">
        <v>201</v>
      </c>
      <c r="I264" s="43" t="s">
        <v>75</v>
      </c>
      <c r="J264" s="40" t="s">
        <v>68</v>
      </c>
      <c r="K264" s="60">
        <v>45421</v>
      </c>
      <c r="O264" s="82">
        <v>45555</v>
      </c>
      <c r="Q264" s="96"/>
    </row>
    <row r="265" spans="1:17" ht="41.25" x14ac:dyDescent="0.35">
      <c r="A265" s="48">
        <v>77734</v>
      </c>
      <c r="B265" s="39" t="str" cm="1">
        <f t="array" ref="B265">IF(A265&lt;&gt;"",_xlfn.XLOOKUP(_xlfn.NUMBERVALUE(A265),_xlfn.NUMBERVALUE(Carga[Tombamento]),Carga[Descrição do Bem]),"")</f>
        <v>ESTAÇÃO DE TRATAMENTO DE ÁGUA - VALPARAISO/GO BOMBAS DOSADORAS PARA DOSAGEM DE SOLUÇÃO DE POLÍMERO, COMPLETA, CONFORME ESPECIFICAÇÃO</v>
      </c>
      <c r="C265" s="39" t="str">
        <f t="shared" si="9"/>
        <v>BOMBAS DOSADORAS PARA DOSAGEM DE SOLUÇÃO DE POLÍMERO, COMPLETA, CONFORME ESPECIFICAÇÃO</v>
      </c>
      <c r="E265" s="42" t="s">
        <v>194</v>
      </c>
      <c r="F265" s="41" t="s">
        <v>197</v>
      </c>
      <c r="G265" s="41" t="s">
        <v>199</v>
      </c>
      <c r="H265" s="41" t="s">
        <v>201</v>
      </c>
      <c r="I265" s="41" t="s">
        <v>75</v>
      </c>
      <c r="J265" s="40" t="s">
        <v>68</v>
      </c>
      <c r="K265" s="60">
        <v>45421</v>
      </c>
      <c r="O265" s="82">
        <v>45555</v>
      </c>
      <c r="Q265" s="96"/>
    </row>
    <row r="266" spans="1:17" ht="41.25" x14ac:dyDescent="0.35">
      <c r="A266" s="48">
        <v>77735</v>
      </c>
      <c r="B266" s="39" t="str" cm="1">
        <f t="array" ref="B266">IF(A266&lt;&gt;"",_xlfn.XLOOKUP(_xlfn.NUMBERVALUE(A266),_xlfn.NUMBERVALUE(Carga[Tombamento]),Carga[Descrição do Bem]),"")</f>
        <v>ESTAÇÃO DE TRATAMENTO DE ÁGUA - VALPARAISO/GO CENTRÍFUGA DO TIPO "DECANTER" PARA DESIDRATAÇÃO DE LODO, COMPLETA, CONFORME ESPECIFICAÇÃO</v>
      </c>
      <c r="C266" s="39" t="str">
        <f t="shared" si="9"/>
        <v>CENTRÍFUGA DO TIPO "DECANTER" PARA DESIDRATAÇÃO DE LODO, COMPLETA, CONFORME ESPECIFICAÇÃO</v>
      </c>
      <c r="E266" s="42" t="s">
        <v>194</v>
      </c>
      <c r="F266" s="43" t="s">
        <v>197</v>
      </c>
      <c r="G266" s="43" t="s">
        <v>199</v>
      </c>
      <c r="H266" s="41" t="s">
        <v>201</v>
      </c>
      <c r="I266" s="43" t="s">
        <v>75</v>
      </c>
      <c r="J266" s="40" t="s">
        <v>281</v>
      </c>
      <c r="K266" s="60">
        <v>45421</v>
      </c>
      <c r="O266" s="82">
        <v>45555</v>
      </c>
      <c r="Q266" s="96"/>
    </row>
    <row r="267" spans="1:17" ht="41.25" x14ac:dyDescent="0.35">
      <c r="A267" s="48">
        <v>77736</v>
      </c>
      <c r="B267" s="39" t="str" cm="1">
        <f t="array" ref="B267">IF(A267&lt;&gt;"",_xlfn.XLOOKUP(_xlfn.NUMBERVALUE(A267),_xlfn.NUMBERVALUE(Carga[Tombamento]),Carga[Descrição do Bem]),"")</f>
        <v>ESTAÇÃO DE TRATAMENTO DE ÁGUA - VALPARAISO/GO CENTRÍFUGA DO TIPO "DECANTER" PARA DESIDRATAÇÃO DE LODO, COMPLETA, CONFORME ESPECIFICAÇÃO</v>
      </c>
      <c r="C267" s="39" t="str">
        <f t="shared" si="9"/>
        <v>CENTRÍFUGA DO TIPO "DECANTER" PARA DESIDRATAÇÃO DE LODO, COMPLETA, CONFORME ESPECIFICAÇÃO</v>
      </c>
      <c r="E267" s="42" t="s">
        <v>194</v>
      </c>
      <c r="F267" s="41" t="s">
        <v>197</v>
      </c>
      <c r="G267" s="41" t="s">
        <v>199</v>
      </c>
      <c r="H267" s="41" t="s">
        <v>201</v>
      </c>
      <c r="I267" s="41" t="s">
        <v>75</v>
      </c>
      <c r="J267" s="40" t="s">
        <v>281</v>
      </c>
      <c r="K267" s="60">
        <v>45421</v>
      </c>
      <c r="O267" s="82">
        <v>45555</v>
      </c>
      <c r="Q267" s="96"/>
    </row>
    <row r="268" spans="1:17" ht="25.5" x14ac:dyDescent="0.35">
      <c r="A268" s="48">
        <v>77737</v>
      </c>
      <c r="B268" s="39" t="str" cm="1">
        <f t="array" ref="B268">IF(A268&lt;&gt;"",_xlfn.XLOOKUP(_xlfn.NUMBERVALUE(A268),_xlfn.NUMBERVALUE(Carga[Tombamento]),Carga[Descrição do Bem]),"")</f>
        <v xml:space="preserve">ESTAÇÃO DE TRATAMENTO DE ÁGUA - VALPARAISO/GO TALHA MANUAL MONOVIA - 2 TONELADAS </v>
      </c>
      <c r="C268" s="39" t="str">
        <f t="shared" si="9"/>
        <v xml:space="preserve">TALHA MANUAL MONOVIA - 2 TONELADAS </v>
      </c>
      <c r="E268" s="42" t="s">
        <v>194</v>
      </c>
      <c r="F268" s="43" t="s">
        <v>197</v>
      </c>
      <c r="G268" s="43" t="s">
        <v>199</v>
      </c>
      <c r="H268" s="41" t="s">
        <v>201</v>
      </c>
      <c r="I268" s="43" t="s">
        <v>36</v>
      </c>
      <c r="J268" s="40" t="s">
        <v>981</v>
      </c>
      <c r="K268" s="60">
        <v>45422</v>
      </c>
      <c r="O268" s="82">
        <v>45560</v>
      </c>
      <c r="Q268" s="96"/>
    </row>
    <row r="269" spans="1:17" ht="25.5" x14ac:dyDescent="0.35">
      <c r="A269" s="48">
        <v>77738</v>
      </c>
      <c r="B269" s="39" t="str" cm="1">
        <f t="array" ref="B269">IF(A269&lt;&gt;"",_xlfn.XLOOKUP(_xlfn.NUMBERVALUE(A269),_xlfn.NUMBERVALUE(Carga[Tombamento]),Carga[Descrição do Bem]),"")</f>
        <v xml:space="preserve">ESTAÇÃO DE TRATAMENTO DE ÁGUA - VALPARAISO/GO TALHA MANUAL MONOVIA - 2 TONELADAS </v>
      </c>
      <c r="C269" s="39" t="str">
        <f t="shared" si="9"/>
        <v xml:space="preserve">TALHA MANUAL MONOVIA - 2 TONELADAS </v>
      </c>
      <c r="E269" s="42" t="s">
        <v>194</v>
      </c>
      <c r="F269" s="41" t="s">
        <v>197</v>
      </c>
      <c r="G269" s="41" t="s">
        <v>199</v>
      </c>
      <c r="H269" s="41" t="s">
        <v>201</v>
      </c>
      <c r="I269" s="41" t="s">
        <v>36</v>
      </c>
      <c r="J269" s="40" t="s">
        <v>981</v>
      </c>
      <c r="K269" s="60">
        <v>45422</v>
      </c>
      <c r="O269" s="82">
        <v>45560</v>
      </c>
      <c r="Q269" s="96"/>
    </row>
    <row r="270" spans="1:17" ht="25.5" x14ac:dyDescent="0.35">
      <c r="A270" s="48">
        <v>77739</v>
      </c>
      <c r="B270" s="39" t="str" cm="1">
        <f t="array" ref="B270">IF(A270&lt;&gt;"",_xlfn.XLOOKUP(_xlfn.NUMBERVALUE(A270),_xlfn.NUMBERVALUE(Carga[Tombamento]),Carga[Descrição do Bem]),"")</f>
        <v xml:space="preserve">ESTAÇÃO DE TRATAMENTO DE ÁGUA - VALPARAISO/GO TALHA MANUAL MONOVIA - 3 TONELADAS </v>
      </c>
      <c r="C270" s="39" t="str">
        <f t="shared" si="9"/>
        <v xml:space="preserve">TALHA MANUAL MONOVIA - 3 TONELADAS </v>
      </c>
      <c r="E270" s="42" t="s">
        <v>194</v>
      </c>
      <c r="F270" s="43" t="s">
        <v>197</v>
      </c>
      <c r="G270" s="43" t="s">
        <v>199</v>
      </c>
      <c r="H270" s="41" t="s">
        <v>201</v>
      </c>
      <c r="I270" s="43" t="s">
        <v>36</v>
      </c>
      <c r="J270" s="40" t="s">
        <v>981</v>
      </c>
      <c r="K270" s="60">
        <v>45422</v>
      </c>
      <c r="O270" s="82">
        <v>45560</v>
      </c>
      <c r="Q270" s="96"/>
    </row>
    <row r="271" spans="1:17" ht="32.25" x14ac:dyDescent="0.35">
      <c r="A271" s="48">
        <v>77740</v>
      </c>
      <c r="B271" s="39" t="str" cm="1">
        <f t="array" ref="B271">IF(A271&lt;&gt;"",_xlfn.XLOOKUP(_xlfn.NUMBERVALUE(A271),_xlfn.NUMBERVALUE(Carga[Tombamento]),Carga[Descrição do Bem]),"")</f>
        <v>ESTAÇÃO DE TRATAMENTO DE ÁGUA - VALPARAISO/GO EQUIPAMENTO PARA PREPARO DE SOLUÇÃO DE POLÍMEROS, COMPLETO, CONF. ESPECIFICAÇÃO</v>
      </c>
      <c r="C271" s="39" t="str">
        <f t="shared" si="9"/>
        <v>EQUIPAMENTO PARA PREPARO DE SOLUÇÃO DE POLÍMEROS, COMPLETO, CONF. ESPECIFICAÇÃO</v>
      </c>
      <c r="E271" s="42" t="s">
        <v>194</v>
      </c>
      <c r="F271" s="41" t="s">
        <v>197</v>
      </c>
      <c r="G271" s="41" t="s">
        <v>199</v>
      </c>
      <c r="H271" s="41" t="s">
        <v>201</v>
      </c>
      <c r="I271" s="41" t="s">
        <v>75</v>
      </c>
      <c r="J271" s="40" t="s">
        <v>68</v>
      </c>
      <c r="K271" s="60">
        <v>45421</v>
      </c>
      <c r="O271" s="82">
        <v>45555</v>
      </c>
      <c r="Q271" s="96"/>
    </row>
    <row r="272" spans="1:17" ht="32.25" x14ac:dyDescent="0.35">
      <c r="A272" s="48">
        <v>77741</v>
      </c>
      <c r="B272" s="39" t="str" cm="1">
        <f t="array" ref="B272">IF(A272&lt;&gt;"",_xlfn.XLOOKUP(_xlfn.NUMBERVALUE(A272),_xlfn.NUMBERVALUE(Carga[Tombamento]),Carga[Descrição do Bem]),"")</f>
        <v>ESTAÇÃO DE TRATAMENTO DE ÁGUA - VALPARAISO/GO EQUIPAMENTO PARA PREPARO DE SOLUÇÃO DE POLÍMEROS, COMPLETO, CONF. ESPECIFICAÇÃO</v>
      </c>
      <c r="C272" s="39" t="str">
        <f t="shared" si="9"/>
        <v>EQUIPAMENTO PARA PREPARO DE SOLUÇÃO DE POLÍMEROS, COMPLETO, CONF. ESPECIFICAÇÃO</v>
      </c>
      <c r="E272" s="42" t="s">
        <v>194</v>
      </c>
      <c r="F272" s="43" t="s">
        <v>197</v>
      </c>
      <c r="G272" s="43" t="s">
        <v>199</v>
      </c>
      <c r="H272" s="41" t="s">
        <v>201</v>
      </c>
      <c r="I272" s="43" t="s">
        <v>75</v>
      </c>
      <c r="J272" s="40" t="s">
        <v>68</v>
      </c>
      <c r="K272" s="60">
        <v>45421</v>
      </c>
      <c r="O272" s="82">
        <v>45555</v>
      </c>
      <c r="Q272" s="96"/>
    </row>
    <row r="273" spans="1:17" ht="32.25" x14ac:dyDescent="0.35">
      <c r="A273" s="48">
        <v>77744</v>
      </c>
      <c r="B273" s="39" t="str" cm="1">
        <f t="array" ref="B273">IF(A273&lt;&gt;"",_xlfn.XLOOKUP(_xlfn.NUMBERVALUE(A273),_xlfn.NUMBERVALUE(Carga[Tombamento]),Carga[Descrição do Bem]),"")</f>
        <v>ESTAÇÃO DE TRATAMENTO DE ÁGUA - VALPARAISO/GO 	CONJUNTO MOTOR E BOMBA PERISTALTICA MODELO BREDEL- 65/6/2 EPDM/PP 20RPM 5,5KW</v>
      </c>
      <c r="C273" s="39" t="str">
        <f t="shared" si="9"/>
        <v xml:space="preserve">	CONJUNTO MOTOR E BOMBA PERISTALTICA MODELO BREDEL- 65/6/2 EPDM/PP 20RPM 5,5KW</v>
      </c>
      <c r="E273" s="42" t="s">
        <v>194</v>
      </c>
      <c r="F273" s="41" t="s">
        <v>197</v>
      </c>
      <c r="G273" s="41" t="s">
        <v>199</v>
      </c>
      <c r="H273" s="41" t="s">
        <v>201</v>
      </c>
      <c r="I273" s="41" t="s">
        <v>56</v>
      </c>
      <c r="J273" s="40" t="s">
        <v>271</v>
      </c>
      <c r="K273" s="60">
        <v>45422</v>
      </c>
      <c r="O273" s="82">
        <v>45555</v>
      </c>
      <c r="Q273" s="96"/>
    </row>
    <row r="274" spans="1:17" ht="32.25" x14ac:dyDescent="0.35">
      <c r="A274" s="48">
        <v>77745</v>
      </c>
      <c r="B274" s="39" t="str" cm="1">
        <f t="array" ref="B274">IF(A274&lt;&gt;"",_xlfn.XLOOKUP(_xlfn.NUMBERVALUE(A274),_xlfn.NUMBERVALUE(Carga[Tombamento]),Carga[Descrição do Bem]),"")</f>
        <v>ESTAÇÃO DE TRATAMENTO DE ÁGUA - VALPARAISO/GO CONJUNTO MOTOR E BOMBA PERISTALTICA MODELO BREDEL- 65/6/2 EPDM/PP 20RPM 5,5KW</v>
      </c>
      <c r="C274" s="39" t="str">
        <f t="shared" si="9"/>
        <v>CONJUNTO MOTOR E BOMBA PERISTALTICA MODELO BREDEL- 65/6/2 EPDM/PP 20RPM 5,5KW</v>
      </c>
      <c r="E274" s="42" t="s">
        <v>194</v>
      </c>
      <c r="F274" s="43" t="s">
        <v>197</v>
      </c>
      <c r="G274" s="43" t="s">
        <v>199</v>
      </c>
      <c r="H274" s="41" t="s">
        <v>201</v>
      </c>
      <c r="I274" s="43" t="s">
        <v>56</v>
      </c>
      <c r="J274" s="40" t="s">
        <v>271</v>
      </c>
      <c r="K274" s="60">
        <v>45422</v>
      </c>
      <c r="O274" s="82">
        <v>45555</v>
      </c>
      <c r="Q274" s="96"/>
    </row>
    <row r="275" spans="1:17" ht="32.25" x14ac:dyDescent="0.35">
      <c r="A275" s="48">
        <v>77746</v>
      </c>
      <c r="B275" s="39" t="str" cm="1">
        <f t="array" ref="B275">IF(A275&lt;&gt;"",_xlfn.XLOOKUP(_xlfn.NUMBERVALUE(A275),_xlfn.NUMBERVALUE(Carga[Tombamento]),Carga[Descrição do Bem]),"")</f>
        <v>ESTAÇÃO DE TRATAMENTO DE ÁGUA - VALPARAISO/GO COMJUNTO MOTOR E BOMBA PERISTALTICA MODELO BREDEL- 65/6/2 EPDM/PP 20RPM 5,5KW</v>
      </c>
      <c r="C275" s="39" t="str">
        <f t="shared" si="9"/>
        <v>COMJUNTO MOTOR E BOMBA PERISTALTICA MODELO BREDEL- 65/6/2 EPDM/PP 20RPM 5,5KW</v>
      </c>
      <c r="E275" s="42" t="s">
        <v>194</v>
      </c>
      <c r="F275" s="41" t="s">
        <v>197</v>
      </c>
      <c r="G275" s="41" t="s">
        <v>199</v>
      </c>
      <c r="H275" s="41" t="s">
        <v>201</v>
      </c>
      <c r="I275" s="41" t="s">
        <v>190</v>
      </c>
      <c r="J275" s="40" t="s">
        <v>258</v>
      </c>
      <c r="K275" s="60">
        <v>45421</v>
      </c>
      <c r="O275" s="82">
        <v>45565</v>
      </c>
      <c r="Q275" s="96"/>
    </row>
    <row r="276" spans="1:17" ht="32.25" x14ac:dyDescent="0.35">
      <c r="A276" s="48">
        <v>77747</v>
      </c>
      <c r="B276" s="39" t="str" cm="1">
        <f t="array" ref="B276">IF(A276&lt;&gt;"",_xlfn.XLOOKUP(_xlfn.NUMBERVALUE(A276),_xlfn.NUMBERVALUE(Carga[Tombamento]),Carga[Descrição do Bem]),"")</f>
        <v>ESTAÇÃO DE TRATAMENTO DE ÁGUA - VALPARAISO/GO CONJUNTO MOTOR E BOMBA PERISTALTICA MODELO BREDEL- 65/6/2 EPDM/PP 20RPM 5,5KW</v>
      </c>
      <c r="C276" s="39" t="str">
        <f t="shared" si="9"/>
        <v>CONJUNTO MOTOR E BOMBA PERISTALTICA MODELO BREDEL- 65/6/2 EPDM/PP 20RPM 5,5KW</v>
      </c>
      <c r="E276" s="42" t="s">
        <v>194</v>
      </c>
      <c r="F276" s="43" t="s">
        <v>197</v>
      </c>
      <c r="G276" s="43" t="s">
        <v>199</v>
      </c>
      <c r="H276" s="41" t="s">
        <v>201</v>
      </c>
      <c r="I276" s="43" t="s">
        <v>190</v>
      </c>
      <c r="J276" s="40" t="s">
        <v>258</v>
      </c>
      <c r="K276" s="60">
        <v>45421</v>
      </c>
      <c r="O276" s="82">
        <v>45565</v>
      </c>
      <c r="Q276" s="96"/>
    </row>
    <row r="277" spans="1:17" ht="25.5" x14ac:dyDescent="0.35">
      <c r="A277" s="48">
        <v>77759</v>
      </c>
      <c r="B277" s="39" t="str" cm="1">
        <f t="array" ref="B277">IF(A277&lt;&gt;"",_xlfn.XLOOKUP(_xlfn.NUMBERVALUE(A277),_xlfn.NUMBERVALUE(Carga[Tombamento]),Carga[Descrição do Bem]),"")</f>
        <v>ESTAÇÃO DE TRATAMENTO DE ÁGUA - VALPARAISO/GO DOSADOR DE CLORO COMPLETO</v>
      </c>
      <c r="C277" s="39" t="str">
        <f t="shared" si="9"/>
        <v>DOSADOR DE CLORO COMPLETO</v>
      </c>
      <c r="E277" s="42" t="s">
        <v>194</v>
      </c>
      <c r="F277" s="41" t="s">
        <v>197</v>
      </c>
      <c r="G277" s="41" t="s">
        <v>199</v>
      </c>
      <c r="H277" s="41" t="s">
        <v>201</v>
      </c>
      <c r="I277" s="41" t="s">
        <v>56</v>
      </c>
      <c r="J277" s="40" t="s">
        <v>62</v>
      </c>
      <c r="K277" s="60">
        <v>45422</v>
      </c>
      <c r="O277" s="82">
        <v>45555</v>
      </c>
      <c r="Q277" s="96"/>
    </row>
    <row r="278" spans="1:17" ht="25.5" x14ac:dyDescent="0.35">
      <c r="A278" s="48">
        <v>77760</v>
      </c>
      <c r="B278" s="39" t="str" cm="1">
        <f t="array" ref="B278">IF(A278&lt;&gt;"",_xlfn.XLOOKUP(_xlfn.NUMBERVALUE(A278),_xlfn.NUMBERVALUE(Carga[Tombamento]),Carga[Descrição do Bem]),"")</f>
        <v xml:space="preserve">ESTAÇÃO DE TRATAMENTO DE ÁGUA - VALPARAISO/GO DOSADOR DE CLORO COMPLETO </v>
      </c>
      <c r="C278" s="39" t="str">
        <f t="shared" si="9"/>
        <v xml:space="preserve">DOSADOR DE CLORO COMPLETO </v>
      </c>
      <c r="E278" s="42" t="s">
        <v>194</v>
      </c>
      <c r="F278" s="43" t="s">
        <v>197</v>
      </c>
      <c r="G278" s="43" t="s">
        <v>199</v>
      </c>
      <c r="H278" s="41" t="s">
        <v>201</v>
      </c>
      <c r="I278" s="43" t="s">
        <v>56</v>
      </c>
      <c r="J278" s="40" t="s">
        <v>62</v>
      </c>
      <c r="K278" s="60">
        <v>45422</v>
      </c>
      <c r="O278" s="82">
        <v>45555</v>
      </c>
      <c r="Q278" s="96"/>
    </row>
    <row r="279" spans="1:17" ht="32.25" x14ac:dyDescent="0.35">
      <c r="A279" s="48">
        <v>77761</v>
      </c>
      <c r="B279" s="39" t="str" cm="1">
        <f t="array" ref="B279">IF(A279&lt;&gt;"",_xlfn.XLOOKUP(_xlfn.NUMBERVALUE(A279),_xlfn.NUMBERVALUE(Carga[Tombamento]),Carga[Descrição do Bem]),"")</f>
        <v>ESTAÇÃO DE TRATAMENTO DE ÁGUA - VALPARAISO/GO MISTURADOR FLUTUANTE PARA TANQUE DE LODO FLOTADO, COMPLETO</v>
      </c>
      <c r="C279" s="39" t="str">
        <f t="shared" si="9"/>
        <v>MISTURADOR FLUTUANTE PARA TANQUE DE LODO FLOTADO, COMPLETO</v>
      </c>
      <c r="E279" s="42" t="s">
        <v>194</v>
      </c>
      <c r="F279" s="41" t="s">
        <v>197</v>
      </c>
      <c r="G279" s="41" t="s">
        <v>199</v>
      </c>
      <c r="H279" s="41" t="s">
        <v>201</v>
      </c>
      <c r="I279" s="41" t="s">
        <v>75</v>
      </c>
      <c r="J279" s="40" t="s">
        <v>281</v>
      </c>
      <c r="K279" s="60">
        <v>45421</v>
      </c>
      <c r="O279" s="82">
        <v>45555</v>
      </c>
      <c r="Q279" s="96"/>
    </row>
    <row r="280" spans="1:17" ht="25.5" x14ac:dyDescent="0.35">
      <c r="A280" s="48">
        <v>77762</v>
      </c>
      <c r="B280" s="39" t="str" cm="1">
        <f t="array" ref="B280">IF(A280&lt;&gt;"",_xlfn.XLOOKUP(_xlfn.NUMBERVALUE(A280),_xlfn.NUMBERVALUE(Carga[Tombamento]),Carga[Descrição do Bem]),"")</f>
        <v>ESTAÇÃO DE TRATAMENTO DE ÁGUA - VALPARAISO/GO BALANÇA RODOVIÁRIA COMPLETA</v>
      </c>
      <c r="C280" s="39" t="str">
        <f t="shared" si="9"/>
        <v>BALANÇA RODOVIÁRIA COMPLETA</v>
      </c>
      <c r="E280" s="42" t="s">
        <v>194</v>
      </c>
      <c r="F280" s="43" t="s">
        <v>197</v>
      </c>
      <c r="G280" s="43" t="s">
        <v>199</v>
      </c>
      <c r="H280" s="41" t="s">
        <v>201</v>
      </c>
      <c r="I280" s="43" t="s">
        <v>56</v>
      </c>
      <c r="J280" s="40" t="s">
        <v>271</v>
      </c>
      <c r="K280" s="60">
        <v>45422</v>
      </c>
      <c r="O280" s="82">
        <v>45555</v>
      </c>
      <c r="Q280" s="96"/>
    </row>
    <row r="281" spans="1:17" ht="25.5" x14ac:dyDescent="0.35">
      <c r="A281" s="48">
        <v>77763</v>
      </c>
      <c r="B281" s="39" t="str" cm="1">
        <f t="array" ref="B281">IF(A281&lt;&gt;"",_xlfn.XLOOKUP(_xlfn.NUMBERVALUE(A281),_xlfn.NUMBERVALUE(Carga[Tombamento]),Carga[Descrição do Bem]),"")</f>
        <v>ESTAÇÃO DE TRATAMENTO DE ÁGUA - VALPARAISO/GO BALANÇA RODOVIÁRIA COMPLETA</v>
      </c>
      <c r="C281" s="39" t="str">
        <f t="shared" si="9"/>
        <v>BALANÇA RODOVIÁRIA COMPLETA</v>
      </c>
      <c r="E281" s="42" t="s">
        <v>194</v>
      </c>
      <c r="F281" s="41" t="s">
        <v>197</v>
      </c>
      <c r="G281" s="41" t="s">
        <v>199</v>
      </c>
      <c r="H281" s="41" t="s">
        <v>201</v>
      </c>
      <c r="I281" s="41" t="s">
        <v>56</v>
      </c>
      <c r="J281" s="40" t="s">
        <v>271</v>
      </c>
      <c r="K281" s="60">
        <v>45422</v>
      </c>
      <c r="O281" s="82">
        <v>45555</v>
      </c>
      <c r="Q281" s="96"/>
    </row>
    <row r="282" spans="1:17" ht="41.25" x14ac:dyDescent="0.35">
      <c r="A282" s="48">
        <v>77764</v>
      </c>
      <c r="B282" s="39" t="str" cm="1">
        <f t="array" ref="B282">IF(A282&lt;&gt;"",_xlfn.XLOOKUP(_xlfn.NUMBERVALUE(A282),_xlfn.NUMBERVALUE(Carga[Tombamento]),Carga[Descrição do Bem]),"")</f>
        <v>ESTAÇÃO DE TRATAMENTO DE ÁGUA - VALPARAISO/GO CONJUNTO MOTOBOMBA PARA EJETORES, VÁLVULAS E ACESSÓRIOS DIVERSOS, PARA COMPLETAR O SISTEMA DE CLORAÇÃO</v>
      </c>
      <c r="C282" s="39" t="str">
        <f t="shared" si="9"/>
        <v>CONJUNTO MOTOBOMBA PARA EJETORES, VÁLVULAS E ACESSÓRIOS DIVERSOS, PARA COMPLETAR O SISTEMA DE CLORAÇÃO</v>
      </c>
      <c r="E282" s="42" t="s">
        <v>194</v>
      </c>
      <c r="F282" s="43" t="s">
        <v>197</v>
      </c>
      <c r="G282" s="43" t="s">
        <v>199</v>
      </c>
      <c r="H282" s="41" t="s">
        <v>201</v>
      </c>
      <c r="I282" s="43" t="s">
        <v>56</v>
      </c>
      <c r="J282" s="40" t="s">
        <v>60</v>
      </c>
      <c r="K282" s="60">
        <v>45422</v>
      </c>
      <c r="O282" s="82">
        <v>45555</v>
      </c>
      <c r="Q282" s="96"/>
    </row>
    <row r="283" spans="1:17" ht="41.25" x14ac:dyDescent="0.35">
      <c r="A283" s="48">
        <v>77765</v>
      </c>
      <c r="B283" s="39" t="str" cm="1">
        <f t="array" ref="B283">IF(A283&lt;&gt;"",_xlfn.XLOOKUP(_xlfn.NUMBERVALUE(A283),_xlfn.NUMBERVALUE(Carga[Tombamento]),Carga[Descrição do Bem]),"")</f>
        <v>ESTAÇÃO DE TRATAMENTO DE ÁGUA - VALPARAISO/GO CONJUNTO MOTOBOMBA PARA EJETORES, VÁLVULAS E ACESSÓRIOS DIVERSOS, PARA COMPLETAR O SISTEMA DE CLORAÇÃO</v>
      </c>
      <c r="C283" s="39" t="str">
        <f t="shared" si="9"/>
        <v>CONJUNTO MOTOBOMBA PARA EJETORES, VÁLVULAS E ACESSÓRIOS DIVERSOS, PARA COMPLETAR O SISTEMA DE CLORAÇÃO</v>
      </c>
      <c r="E283" s="42" t="s">
        <v>194</v>
      </c>
      <c r="F283" s="41" t="s">
        <v>197</v>
      </c>
      <c r="G283" s="41" t="s">
        <v>199</v>
      </c>
      <c r="H283" s="41" t="s">
        <v>201</v>
      </c>
      <c r="I283" s="41" t="s">
        <v>56</v>
      </c>
      <c r="J283" s="40" t="s">
        <v>60</v>
      </c>
      <c r="K283" s="60">
        <v>45422</v>
      </c>
      <c r="O283" s="82">
        <v>45555</v>
      </c>
      <c r="Q283" s="96"/>
    </row>
    <row r="284" spans="1:17" ht="41.25" x14ac:dyDescent="0.35">
      <c r="A284" s="48">
        <v>77766</v>
      </c>
      <c r="B284" s="39" t="str" cm="1">
        <f t="array" ref="B284">IF(A284&lt;&gt;"",_xlfn.XLOOKUP(_xlfn.NUMBERVALUE(A284),_xlfn.NUMBERVALUE(Carga[Tombamento]),Carga[Descrição do Bem]),"")</f>
        <v>ESTAÇÃO DE TRATAMENTO DE ÁGUA - VALPARAISO/GO CONJUNTO MOTOBOMBA PARA EJETORES, VÁLVULAS E ACESSÓRIOS DIVERSOS, PARA COMPLETAR O SISTEMA DE CLORAÇÃO</v>
      </c>
      <c r="C284" s="39" t="str">
        <f t="shared" si="9"/>
        <v>CONJUNTO MOTOBOMBA PARA EJETORES, VÁLVULAS E ACESSÓRIOS DIVERSOS, PARA COMPLETAR O SISTEMA DE CLORAÇÃO</v>
      </c>
      <c r="E284" s="42" t="s">
        <v>194</v>
      </c>
      <c r="F284" s="43" t="s">
        <v>197</v>
      </c>
      <c r="G284" s="43" t="s">
        <v>199</v>
      </c>
      <c r="H284" s="41" t="s">
        <v>201</v>
      </c>
      <c r="I284" s="43" t="s">
        <v>56</v>
      </c>
      <c r="J284" s="40" t="s">
        <v>60</v>
      </c>
      <c r="K284" s="60">
        <v>45422</v>
      </c>
      <c r="O284" s="82">
        <v>45555</v>
      </c>
      <c r="Q284" s="96"/>
    </row>
    <row r="285" spans="1:17" ht="41.25" x14ac:dyDescent="0.35">
      <c r="A285" s="48">
        <v>77767</v>
      </c>
      <c r="B285" s="39" t="str" cm="1">
        <f t="array" ref="B285">IF(A285&lt;&gt;"",_xlfn.XLOOKUP(_xlfn.NUMBERVALUE(A285),_xlfn.NUMBERVALUE(Carga[Tombamento]),Carga[Descrição do Bem]),"")</f>
        <v>ESTAÇÃO DE TRATAMENTO DE ÁGUA - VALPARAISO/GO CONJUNTO MOTOBOMBA PARA EJETORES, VÁLVULAS E ACESSÓRIOS DIVERSOS, PARA COMPLETAR O SISTEMA DE CLORAÇÃO</v>
      </c>
      <c r="C285" s="39" t="str">
        <f t="shared" si="9"/>
        <v>CONJUNTO MOTOBOMBA PARA EJETORES, VÁLVULAS E ACESSÓRIOS DIVERSOS, PARA COMPLETAR O SISTEMA DE CLORAÇÃO</v>
      </c>
      <c r="E285" s="42" t="s">
        <v>194</v>
      </c>
      <c r="F285" s="41" t="s">
        <v>197</v>
      </c>
      <c r="G285" s="41" t="s">
        <v>199</v>
      </c>
      <c r="H285" s="41" t="s">
        <v>201</v>
      </c>
      <c r="I285" s="41" t="s">
        <v>56</v>
      </c>
      <c r="J285" s="40" t="s">
        <v>60</v>
      </c>
      <c r="K285" s="60">
        <v>45422</v>
      </c>
      <c r="O285" s="82">
        <v>45555</v>
      </c>
      <c r="Q285" s="96"/>
    </row>
    <row r="286" spans="1:17" ht="41.25" x14ac:dyDescent="0.35">
      <c r="A286" s="48">
        <v>77768</v>
      </c>
      <c r="B286" s="39" t="str" cm="1">
        <f t="array" ref="B286">IF(A286&lt;&gt;"",_xlfn.XLOOKUP(_xlfn.NUMBERVALUE(A286),_xlfn.NUMBERVALUE(Carga[Tombamento]),Carga[Descrição do Bem]),"")</f>
        <v>ESTAÇÃO DE TRATAMENTO DE ÁGUA - VALPARAISO/GO CONJUNTO MOTOBOMBA PARA EJETORES, VÁLVULAS E ACESSÓRIOS DIVERSOS, PARA COMPLETAR O SISTEMA DE CLORAÇÃO</v>
      </c>
      <c r="C286" s="39" t="str">
        <f t="shared" si="9"/>
        <v>CONJUNTO MOTOBOMBA PARA EJETORES, VÁLVULAS E ACESSÓRIOS DIVERSOS, PARA COMPLETAR O SISTEMA DE CLORAÇÃO</v>
      </c>
      <c r="E286" s="42" t="s">
        <v>194</v>
      </c>
      <c r="F286" s="43" t="s">
        <v>197</v>
      </c>
      <c r="G286" s="43" t="s">
        <v>199</v>
      </c>
      <c r="H286" s="41" t="s">
        <v>201</v>
      </c>
      <c r="I286" s="43" t="s">
        <v>56</v>
      </c>
      <c r="J286" s="40" t="s">
        <v>60</v>
      </c>
      <c r="K286" s="60">
        <v>45422</v>
      </c>
      <c r="O286" s="82">
        <v>45555</v>
      </c>
      <c r="Q286" s="96"/>
    </row>
    <row r="287" spans="1:17" ht="41.25" x14ac:dyDescent="0.35">
      <c r="A287" s="48">
        <v>77769</v>
      </c>
      <c r="B287" s="39" t="str" cm="1">
        <f t="array" ref="B287">IF(A287&lt;&gt;"",_xlfn.XLOOKUP(_xlfn.NUMBERVALUE(A287),_xlfn.NUMBERVALUE(Carga[Tombamento]),Carga[Descrição do Bem]),"")</f>
        <v>ESTAÇÃO DE TRATAMENTO DE ÁGUA - VALPARAISO/GO CONJUNTO MOTOBOMBA PARA EJETORES, VÁLVULAS E ACESSÓRIOS DIVERSOS, PARA COMPLETAR O SISTEMA DE CLORAÇÃO</v>
      </c>
      <c r="C287" s="39" t="str">
        <f t="shared" si="9"/>
        <v>CONJUNTO MOTOBOMBA PARA EJETORES, VÁLVULAS E ACESSÓRIOS DIVERSOS, PARA COMPLETAR O SISTEMA DE CLORAÇÃO</v>
      </c>
      <c r="E287" s="42" t="s">
        <v>194</v>
      </c>
      <c r="F287" s="41" t="s">
        <v>197</v>
      </c>
      <c r="G287" s="41" t="s">
        <v>199</v>
      </c>
      <c r="H287" s="41" t="s">
        <v>201</v>
      </c>
      <c r="I287" s="41" t="s">
        <v>56</v>
      </c>
      <c r="J287" s="40" t="s">
        <v>60</v>
      </c>
      <c r="K287" s="60">
        <v>45422</v>
      </c>
      <c r="O287" s="82">
        <v>45555</v>
      </c>
      <c r="Q287" s="96"/>
    </row>
    <row r="288" spans="1:17" ht="32.25" x14ac:dyDescent="0.35">
      <c r="A288" s="48">
        <v>77770</v>
      </c>
      <c r="B288" s="39" t="str" cm="1">
        <f t="array" ref="B288">IF(A288&lt;&gt;"",_xlfn.XLOOKUP(_xlfn.NUMBERVALUE(A288),_xlfn.NUMBERVALUE(Carga[Tombamento]),Carga[Descrição do Bem]),"")</f>
        <v>ESTAÇÃO DE TRATAMENTO DE ÁGUA - VALPARAISO/GO DETECTOR DE CLORO PARA DOIS PONTOS,COMPLETO, CONFORME ESPECIFICAÇÃO</v>
      </c>
      <c r="C288" s="39" t="str">
        <f t="shared" si="9"/>
        <v>DETECTOR DE CLORO PARA DOIS PONTOS,COMPLETO, CONFORME ESPECIFICAÇÃO</v>
      </c>
      <c r="E288" s="42" t="s">
        <v>194</v>
      </c>
      <c r="F288" s="43" t="s">
        <v>197</v>
      </c>
      <c r="G288" s="43" t="s">
        <v>199</v>
      </c>
      <c r="H288" s="41" t="s">
        <v>201</v>
      </c>
      <c r="I288" s="43" t="s">
        <v>56</v>
      </c>
      <c r="J288" s="40" t="s">
        <v>62</v>
      </c>
      <c r="K288" s="60">
        <v>45422</v>
      </c>
      <c r="O288" s="82">
        <v>45555</v>
      </c>
      <c r="Q288" s="96"/>
    </row>
    <row r="289" spans="1:17" ht="32.25" x14ac:dyDescent="0.35">
      <c r="A289" s="48">
        <v>77771</v>
      </c>
      <c r="B289" s="39" t="str" cm="1">
        <f t="array" ref="B289">IF(A289&lt;&gt;"",_xlfn.XLOOKUP(_xlfn.NUMBERVALUE(A289),_xlfn.NUMBERVALUE(Carga[Tombamento]),Carga[Descrição do Bem]),"")</f>
        <v>ESTAÇÃO DE TRATAMENTO DE ÁGUA - VALPARAISO/GO EVAPORADOR DE CLORO, COMPLETO, CONFORME ESPECIFICAÇÃO</v>
      </c>
      <c r="C289" s="39" t="str">
        <f t="shared" si="9"/>
        <v>EVAPORADOR DE CLORO, COMPLETO, CONFORME ESPECIFICAÇÃO</v>
      </c>
      <c r="E289" s="42" t="s">
        <v>194</v>
      </c>
      <c r="F289" s="41" t="s">
        <v>197</v>
      </c>
      <c r="G289" s="41" t="s">
        <v>199</v>
      </c>
      <c r="H289" s="41" t="s">
        <v>201</v>
      </c>
      <c r="I289" s="41" t="s">
        <v>56</v>
      </c>
      <c r="J289" s="40" t="s">
        <v>62</v>
      </c>
      <c r="K289" s="60">
        <v>45422</v>
      </c>
      <c r="O289" s="82">
        <v>45555</v>
      </c>
      <c r="Q289" s="96"/>
    </row>
    <row r="290" spans="1:17" ht="32.25" x14ac:dyDescent="0.35">
      <c r="A290" s="48">
        <v>77772</v>
      </c>
      <c r="B290" s="39" t="str" cm="1">
        <f t="array" ref="B290">IF(A290&lt;&gt;"",_xlfn.XLOOKUP(_xlfn.NUMBERVALUE(A290),_xlfn.NUMBERVALUE(Carga[Tombamento]),Carga[Descrição do Bem]),"")</f>
        <v>ESTAÇÃO DE TRATAMENTO DE ÁGUA - VALPARAISO/GO EVAPORADOR DE CLORO, COMPLETOS, CONFORME ESPECIFICAÇÃO</v>
      </c>
      <c r="C290" s="39" t="str">
        <f t="shared" si="9"/>
        <v>EVAPORADOR DE CLORO, COMPLETOS, CONFORME ESPECIFICAÇÃO</v>
      </c>
      <c r="E290" s="42" t="s">
        <v>194</v>
      </c>
      <c r="F290" s="43" t="s">
        <v>197</v>
      </c>
      <c r="G290" s="43" t="s">
        <v>199</v>
      </c>
      <c r="H290" s="41" t="s">
        <v>201</v>
      </c>
      <c r="I290" s="43" t="s">
        <v>56</v>
      </c>
      <c r="J290" s="40" t="s">
        <v>62</v>
      </c>
      <c r="K290" s="60">
        <v>45422</v>
      </c>
      <c r="O290" s="82">
        <v>45555</v>
      </c>
      <c r="Q290" s="96"/>
    </row>
    <row r="291" spans="1:17" ht="41.25" x14ac:dyDescent="0.35">
      <c r="A291" s="48">
        <v>77773</v>
      </c>
      <c r="B291" s="39" t="str" cm="1">
        <f t="array" ref="B291">IF(A291&lt;&gt;"",_xlfn.XLOOKUP(_xlfn.NUMBERVALUE(A291),_xlfn.NUMBERVALUE(Carga[Tombamento]),Carga[Descrição do Bem]),"")</f>
        <v>ESTAÇÃO DE TRATAMENTO DE ÁGUA - VALPARAISO/GO SISTEMA NEUTRALIZADOR DE LAVAGEM DE GASES DA SALA DE CLORAÇÃO, COMPLETA, CONFORME ESPECIFICAÇÃO</v>
      </c>
      <c r="C291" s="39" t="str">
        <f t="shared" si="9"/>
        <v>SISTEMA NEUTRALIZADOR DE LAVAGEM DE GASES DA SALA DE CLORAÇÃO, COMPLETA, CONFORME ESPECIFICAÇÃO</v>
      </c>
      <c r="E291" s="42" t="s">
        <v>194</v>
      </c>
      <c r="F291" s="41" t="s">
        <v>197</v>
      </c>
      <c r="G291" s="41" t="s">
        <v>199</v>
      </c>
      <c r="H291" s="41" t="s">
        <v>201</v>
      </c>
      <c r="I291" s="41" t="s">
        <v>56</v>
      </c>
      <c r="J291" s="40" t="s">
        <v>271</v>
      </c>
      <c r="K291" s="60">
        <v>45422</v>
      </c>
      <c r="O291" s="82">
        <v>45555</v>
      </c>
      <c r="Q291" s="96"/>
    </row>
    <row r="292" spans="1:17" ht="32.25" x14ac:dyDescent="0.35">
      <c r="A292" s="48">
        <v>77774</v>
      </c>
      <c r="B292" s="39" t="str" cm="1">
        <f t="array" ref="B292">IF(A292&lt;&gt;"",_xlfn.XLOOKUP(_xlfn.NUMBERVALUE(A292),_xlfn.NUMBERVALUE(Carga[Tombamento]),Carga[Descrição do Bem]),"")</f>
        <v>ESTAÇÃO DE TRATAMENTO DE ÁGUA - VALPARAISO/GO SISTEMA DE TROCA AUTOMÁTICA DE CARRETAS DE CLORO, COMPLETOS, CONFORME ESPECIFICAÇÃO</v>
      </c>
      <c r="C292" s="39" t="str">
        <f t="shared" si="9"/>
        <v>SISTEMA DE TROCA AUTOMÁTICA DE CARRETAS DE CLORO, COMPLETOS, CONFORME ESPECIFICAÇÃO</v>
      </c>
      <c r="E292" s="42" t="s">
        <v>194</v>
      </c>
      <c r="F292" s="43" t="s">
        <v>197</v>
      </c>
      <c r="G292" s="43" t="s">
        <v>199</v>
      </c>
      <c r="H292" s="41" t="s">
        <v>201</v>
      </c>
      <c r="I292" s="43" t="s">
        <v>56</v>
      </c>
      <c r="J292" s="40" t="s">
        <v>271</v>
      </c>
      <c r="K292" s="60">
        <v>45422</v>
      </c>
      <c r="O292" s="82">
        <v>45555</v>
      </c>
      <c r="Q292" s="96"/>
    </row>
    <row r="293" spans="1:17" ht="32.25" x14ac:dyDescent="0.35">
      <c r="A293" s="48">
        <v>77775</v>
      </c>
      <c r="B293" s="39" t="str" cm="1">
        <f t="array" ref="B293">IF(A293&lt;&gt;"",_xlfn.XLOOKUP(_xlfn.NUMBERVALUE(A293),_xlfn.NUMBERVALUE(Carga[Tombamento]),Carga[Descrição do Bem]),"")</f>
        <v>ESTAÇÃO DE TRATAMENTO DE ÁGUA - VALPARAISO/GO CONJUNTO MOTOBOMBA DE TRANSFERÊNCIA PARA RECALQUE DE ÁCIDO FLUOSSILÍCICO.</v>
      </c>
      <c r="C293" s="39" t="str">
        <f t="shared" si="9"/>
        <v>CONJUNTO MOTOBOMBA DE TRANSFERÊNCIA PARA RECALQUE DE ÁCIDO FLUOSSILÍCICO.</v>
      </c>
      <c r="E293" s="42" t="s">
        <v>194</v>
      </c>
      <c r="F293" s="41" t="s">
        <v>197</v>
      </c>
      <c r="G293" s="41" t="s">
        <v>199</v>
      </c>
      <c r="H293" s="41" t="s">
        <v>201</v>
      </c>
      <c r="I293" s="41" t="s">
        <v>61</v>
      </c>
      <c r="J293" s="40" t="s">
        <v>981</v>
      </c>
      <c r="K293" s="60">
        <v>45421</v>
      </c>
      <c r="O293" s="82">
        <v>45560</v>
      </c>
      <c r="Q293" s="96"/>
    </row>
    <row r="294" spans="1:17" ht="32.25" x14ac:dyDescent="0.35">
      <c r="A294" s="48">
        <v>77776</v>
      </c>
      <c r="B294" s="39" t="str" cm="1">
        <f t="array" ref="B294">IF(A294&lt;&gt;"",_xlfn.XLOOKUP(_xlfn.NUMBERVALUE(A294),_xlfn.NUMBERVALUE(Carga[Tombamento]),Carga[Descrição do Bem]),"")</f>
        <v>ESTAÇÃO DE TRATAMENTO DE ÁGUA - VALPARAISO/GO CONJUNTO MOTOBOMBA DE TRANSFERÊNCIA PARA RECALQUE DE ÁCIDO FLUOSSILÍCICO.</v>
      </c>
      <c r="C294" s="39" t="str">
        <f t="shared" si="9"/>
        <v>CONJUNTO MOTOBOMBA DE TRANSFERÊNCIA PARA RECALQUE DE ÁCIDO FLUOSSILÍCICO.</v>
      </c>
      <c r="E294" s="42" t="s">
        <v>194</v>
      </c>
      <c r="F294" s="43" t="s">
        <v>197</v>
      </c>
      <c r="G294" s="43" t="s">
        <v>199</v>
      </c>
      <c r="H294" s="41" t="s">
        <v>201</v>
      </c>
      <c r="I294" s="43" t="s">
        <v>61</v>
      </c>
      <c r="J294" s="40" t="s">
        <v>981</v>
      </c>
      <c r="K294" s="60">
        <v>45421</v>
      </c>
      <c r="O294" s="82">
        <v>45560</v>
      </c>
      <c r="Q294" s="96"/>
    </row>
    <row r="295" spans="1:17" ht="32.25" x14ac:dyDescent="0.35">
      <c r="A295" s="48">
        <v>77777</v>
      </c>
      <c r="B295" s="39" t="str" cm="1">
        <f t="array" ref="B295">IF(A295&lt;&gt;"",_xlfn.XLOOKUP(_xlfn.NUMBERVALUE(A295),_xlfn.NUMBERVALUE(Carga[Tombamento]),Carga[Descrição do Bem]),"")</f>
        <v>ESTAÇÃO DE TRATAMENTO DE ÁGUA - VALPARAISO/GO CONJUNTO MOTOBOMBA DE TRANSFERÊNCIA, PARA RECALQUE COAGULANTE.</v>
      </c>
      <c r="C295" s="39" t="str">
        <f t="shared" si="9"/>
        <v>CONJUNTO MOTOBOMBA DE TRANSFERÊNCIA, PARA RECALQUE COAGULANTE.</v>
      </c>
      <c r="E295" s="42" t="s">
        <v>194</v>
      </c>
      <c r="F295" s="41" t="s">
        <v>197</v>
      </c>
      <c r="G295" s="41" t="s">
        <v>199</v>
      </c>
      <c r="H295" s="41" t="s">
        <v>201</v>
      </c>
      <c r="I295" s="41" t="s">
        <v>211</v>
      </c>
      <c r="J295" s="40" t="s">
        <v>189</v>
      </c>
      <c r="K295" s="60">
        <v>45422</v>
      </c>
      <c r="O295" s="82">
        <v>45555</v>
      </c>
      <c r="Q295" s="96"/>
    </row>
    <row r="296" spans="1:17" ht="32.25" x14ac:dyDescent="0.35">
      <c r="A296" s="48">
        <v>77778</v>
      </c>
      <c r="B296" s="39" t="str" cm="1">
        <f t="array" ref="B296">IF(A296&lt;&gt;"",_xlfn.XLOOKUP(_xlfn.NUMBERVALUE(A296),_xlfn.NUMBERVALUE(Carga[Tombamento]),Carga[Descrição do Bem]),"")</f>
        <v>ESTAÇÃO DE TRATAMENTO DE ÁGUA - VALPARAISO/GO CONJUNTO MOTOBOMBA DE TRANSFERÊNCIA, PARA RECALQUE COAGULANTE.</v>
      </c>
      <c r="C296" s="39" t="str">
        <f t="shared" si="9"/>
        <v>CONJUNTO MOTOBOMBA DE TRANSFERÊNCIA, PARA RECALQUE COAGULANTE.</v>
      </c>
      <c r="E296" s="42" t="s">
        <v>194</v>
      </c>
      <c r="F296" s="43" t="s">
        <v>197</v>
      </c>
      <c r="G296" s="43" t="s">
        <v>199</v>
      </c>
      <c r="H296" s="41" t="s">
        <v>201</v>
      </c>
      <c r="I296" s="43" t="s">
        <v>211</v>
      </c>
      <c r="J296" s="40" t="s">
        <v>189</v>
      </c>
      <c r="K296" s="60">
        <v>45422</v>
      </c>
      <c r="O296" s="82">
        <v>45555</v>
      </c>
      <c r="Q296" s="96"/>
    </row>
    <row r="297" spans="1:17" ht="41.25" x14ac:dyDescent="0.35">
      <c r="A297" s="48">
        <v>77779</v>
      </c>
      <c r="B297" s="39" t="str" cm="1">
        <f t="array" ref="B297">IF(A297&lt;&gt;"",_xlfn.XLOOKUP(_xlfn.NUMBERVALUE(A297),_xlfn.NUMBERVALUE(Carga[Tombamento]),Carga[Descrição do Bem]),"")</f>
        <v>ESTAÇÃO DE TRATAMENTO DE ÁGUA - VALPARAISO/GO BOMBA DOSADORA DO TIPO DIAFRAGMA PARA DOSAGEM DE ÁCIDO FLUOSSILÍCICO, COMPLETA, CONFORME ESPECIFICAÇÃO</v>
      </c>
      <c r="C297" s="39" t="str">
        <f t="shared" si="9"/>
        <v>BOMBA DOSADORA DO TIPO DIAFRAGMA PARA DOSAGEM DE ÁCIDO FLUOSSILÍCICO, COMPLETA, CONFORME ESPECIFICAÇÃO</v>
      </c>
      <c r="E297" s="42" t="s">
        <v>194</v>
      </c>
      <c r="F297" s="41" t="s">
        <v>197</v>
      </c>
      <c r="G297" s="41" t="s">
        <v>199</v>
      </c>
      <c r="H297" s="41" t="s">
        <v>201</v>
      </c>
      <c r="I297" s="41" t="s">
        <v>61</v>
      </c>
      <c r="J297" s="40" t="s">
        <v>71</v>
      </c>
      <c r="K297" s="60">
        <v>45421</v>
      </c>
      <c r="O297" s="82">
        <v>45555</v>
      </c>
      <c r="Q297" s="96"/>
    </row>
    <row r="298" spans="1:17" ht="41.25" x14ac:dyDescent="0.35">
      <c r="A298" s="48">
        <v>77780</v>
      </c>
      <c r="B298" s="39" t="str" cm="1">
        <f t="array" ref="B298">IF(A298&lt;&gt;"",_xlfn.XLOOKUP(_xlfn.NUMBERVALUE(A298),_xlfn.NUMBERVALUE(Carga[Tombamento]),Carga[Descrição do Bem]),"")</f>
        <v>ESTAÇÃO DE TRATAMENTO DE ÁGUA - VALPARAISO/GO BOMBA DOSADORA DO TIPO DIAFRAGMA PARA DOSAGEM DE ÁCIDO FLUOSSILÍCICO, COMPLETA, CONFORME ESPECIFICAÇÃO</v>
      </c>
      <c r="C298" s="39" t="str">
        <f t="shared" si="9"/>
        <v>BOMBA DOSADORA DO TIPO DIAFRAGMA PARA DOSAGEM DE ÁCIDO FLUOSSILÍCICO, COMPLETA, CONFORME ESPECIFICAÇÃO</v>
      </c>
      <c r="E298" s="42" t="s">
        <v>194</v>
      </c>
      <c r="F298" s="43" t="s">
        <v>197</v>
      </c>
      <c r="G298" s="43" t="s">
        <v>199</v>
      </c>
      <c r="H298" s="41" t="s">
        <v>201</v>
      </c>
      <c r="I298" s="43" t="s">
        <v>61</v>
      </c>
      <c r="J298" s="40" t="s">
        <v>82</v>
      </c>
      <c r="K298" s="60">
        <v>45421</v>
      </c>
      <c r="O298" s="82">
        <v>45562</v>
      </c>
      <c r="Q298" s="96"/>
    </row>
    <row r="299" spans="1:17" ht="41.25" x14ac:dyDescent="0.35">
      <c r="A299" s="48">
        <v>77781</v>
      </c>
      <c r="B299" s="39" t="str" cm="1">
        <f t="array" ref="B299">IF(A299&lt;&gt;"",_xlfn.XLOOKUP(_xlfn.NUMBERVALUE(A299),_xlfn.NUMBERVALUE(Carga[Tombamento]),Carga[Descrição do Bem]),"")</f>
        <v>ESTAÇÃO DE TRATAMENTO DE ÁGUA - VALPARAISO/GO BOMBA DOSADORA DO TIPO DIAFRAGMA PARA RECALQUE DE COAGULANTE, COMPLETA, CONFORME ESPECIFICAÇÃO</v>
      </c>
      <c r="C299" s="39" t="str">
        <f t="shared" si="9"/>
        <v>BOMBA DOSADORA DO TIPO DIAFRAGMA PARA RECALQUE DE COAGULANTE, COMPLETA, CONFORME ESPECIFICAÇÃO</v>
      </c>
      <c r="E299" s="42" t="s">
        <v>194</v>
      </c>
      <c r="F299" s="41" t="s">
        <v>197</v>
      </c>
      <c r="G299" s="41" t="s">
        <v>199</v>
      </c>
      <c r="H299" s="41" t="s">
        <v>201</v>
      </c>
      <c r="I299" s="41" t="s">
        <v>61</v>
      </c>
      <c r="J299" s="40" t="s">
        <v>981</v>
      </c>
      <c r="K299" s="60">
        <v>45422</v>
      </c>
      <c r="O299" s="82">
        <v>45560</v>
      </c>
      <c r="Q299" s="96"/>
    </row>
    <row r="300" spans="1:17" ht="41.25" x14ac:dyDescent="0.35">
      <c r="A300" s="48">
        <v>77782</v>
      </c>
      <c r="B300" s="39" t="str" cm="1">
        <f t="array" ref="B300">IF(A300&lt;&gt;"",_xlfn.XLOOKUP(_xlfn.NUMBERVALUE(A300),_xlfn.NUMBERVALUE(Carga[Tombamento]),Carga[Descrição do Bem]),"")</f>
        <v>ESTAÇÃO DE TRATAMENTO DE ÁGUA - VALPARAISO/GO BOMBA DOSADORA DO TIPO DIAFRAGMA PARA RECALQUE DE COAGULANTE, COMPLETA, CONFORME ESPECIFICAÇÃO</v>
      </c>
      <c r="C300" s="39" t="str">
        <f t="shared" si="9"/>
        <v>BOMBA DOSADORA DO TIPO DIAFRAGMA PARA RECALQUE DE COAGULANTE, COMPLETA, CONFORME ESPECIFICAÇÃO</v>
      </c>
      <c r="E300" s="42" t="s">
        <v>194</v>
      </c>
      <c r="F300" s="43" t="s">
        <v>197</v>
      </c>
      <c r="G300" s="43" t="s">
        <v>199</v>
      </c>
      <c r="H300" s="41" t="s">
        <v>201</v>
      </c>
      <c r="I300" s="43" t="s">
        <v>211</v>
      </c>
      <c r="J300" s="40" t="s">
        <v>189</v>
      </c>
      <c r="K300" s="60">
        <v>45422</v>
      </c>
      <c r="O300" s="82">
        <v>45555</v>
      </c>
      <c r="Q300" s="96"/>
    </row>
    <row r="301" spans="1:17" ht="41.25" x14ac:dyDescent="0.35">
      <c r="A301" s="48">
        <v>77783</v>
      </c>
      <c r="B301" s="39" t="str" cm="1">
        <f t="array" ref="B301">IF(A301&lt;&gt;"",_xlfn.XLOOKUP(_xlfn.NUMBERVALUE(A301),_xlfn.NUMBERVALUE(Carga[Tombamento]),Carga[Descrição do Bem]),"")</f>
        <v>ESTAÇÃO DE TRATAMENTO DE ÁGUA - VALPARAISO/GO BOMBA DOSADORA DO TIPO DIAFRAGMA, PARA DOSAGEM DE SOLUÇÃO DE PERMANGANATO, COMPLETA, CONFORME ESPECIFICAÇÃO</v>
      </c>
      <c r="C301" s="39" t="str">
        <f t="shared" si="9"/>
        <v>BOMBA DOSADORA DO TIPO DIAFRAGMA, PARA DOSAGEM DE SOLUÇÃO DE PERMANGANATO, COMPLETA, CONFORME ESPECIFICAÇÃO</v>
      </c>
      <c r="E301" s="42" t="s">
        <v>194</v>
      </c>
      <c r="F301" s="41" t="s">
        <v>197</v>
      </c>
      <c r="G301" s="41" t="s">
        <v>199</v>
      </c>
      <c r="H301" s="41" t="s">
        <v>201</v>
      </c>
      <c r="I301" s="41" t="s">
        <v>55</v>
      </c>
      <c r="J301" s="40" t="s">
        <v>189</v>
      </c>
      <c r="K301" s="60">
        <v>45422</v>
      </c>
      <c r="O301" s="82">
        <v>45555</v>
      </c>
      <c r="Q301" s="96"/>
    </row>
    <row r="302" spans="1:17" ht="32.25" x14ac:dyDescent="0.35">
      <c r="A302" s="48">
        <v>77785</v>
      </c>
      <c r="B302" s="39" t="str" cm="1">
        <f t="array" ref="B302">IF(A302&lt;&gt;"",_xlfn.XLOOKUP(_xlfn.NUMBERVALUE(A302),_xlfn.NUMBERVALUE(Carga[Tombamento]),Carga[Descrição do Bem]),"")</f>
        <v>ESTAÇÃO DE TRATAMENTO DE ÁGUA - VALPARAISO/GO BOMBA DOSADORA DO TIPO HELICOIDAL, PARA DOSAGEM DE SOLUÇÃO DE POLÍMERO.</v>
      </c>
      <c r="C302" s="39" t="str">
        <f t="shared" si="9"/>
        <v>BOMBA DOSADORA DO TIPO HELICOIDAL, PARA DOSAGEM DE SOLUÇÃO DE POLÍMERO.</v>
      </c>
      <c r="E302" s="42" t="s">
        <v>194</v>
      </c>
      <c r="F302" s="43" t="s">
        <v>197</v>
      </c>
      <c r="G302" s="43" t="s">
        <v>199</v>
      </c>
      <c r="H302" s="41" t="s">
        <v>201</v>
      </c>
      <c r="I302" s="43" t="s">
        <v>55</v>
      </c>
      <c r="J302" s="40" t="s">
        <v>71</v>
      </c>
      <c r="K302" s="60">
        <v>45422</v>
      </c>
      <c r="O302" s="82">
        <v>45555</v>
      </c>
      <c r="Q302" s="96"/>
    </row>
    <row r="303" spans="1:17" ht="32.25" x14ac:dyDescent="0.35">
      <c r="A303" s="48">
        <v>77786</v>
      </c>
      <c r="B303" s="39" t="str" cm="1">
        <f t="array" ref="B303">IF(A303&lt;&gt;"",_xlfn.XLOOKUP(_xlfn.NUMBERVALUE(A303),_xlfn.NUMBERVALUE(Carga[Tombamento]),Carga[Descrição do Bem]),"")</f>
        <v>ESTAÇÃO DE TRATAMENTO DE ÁGUA - VALPARAISO/GO BOMBA DOSADORA DO TIPO HELICOIDAL, PARA DOSAGEM DE SOLUÇÃO DE POLÍMERO.</v>
      </c>
      <c r="C303" s="39" t="str">
        <f t="shared" si="9"/>
        <v>BOMBA DOSADORA DO TIPO HELICOIDAL, PARA DOSAGEM DE SOLUÇÃO DE POLÍMERO.</v>
      </c>
      <c r="E303" s="42" t="s">
        <v>194</v>
      </c>
      <c r="F303" s="41" t="s">
        <v>197</v>
      </c>
      <c r="G303" s="41" t="s">
        <v>199</v>
      </c>
      <c r="H303" s="41" t="s">
        <v>201</v>
      </c>
      <c r="I303" s="41" t="s">
        <v>55</v>
      </c>
      <c r="J303" s="40" t="s">
        <v>71</v>
      </c>
      <c r="K303" s="60">
        <v>45422</v>
      </c>
      <c r="O303" s="82">
        <v>45555</v>
      </c>
      <c r="Q303" s="96"/>
    </row>
    <row r="304" spans="1:17" ht="32.25" x14ac:dyDescent="0.35">
      <c r="A304" s="48">
        <v>77787</v>
      </c>
      <c r="B304" s="39" t="str" cm="1">
        <f t="array" ref="B304">IF(A304&lt;&gt;"",_xlfn.XLOOKUP(_xlfn.NUMBERVALUE(A304),_xlfn.NUMBERVALUE(Carga[Tombamento]),Carga[Descrição do Bem]),"")</f>
        <v>ESTAÇÃO DE TRATAMENTO DE ÁGUA - VALPARAISO/GO BOMBAS PARA AMOSTRAGEM DE ÁGUA FLOTADA FILTRADA E ÁGUA TRATADA, COMPLETAS</v>
      </c>
      <c r="C304" s="39" t="str">
        <f t="shared" si="9"/>
        <v>BOMBAS PARA AMOSTRAGEM DE ÁGUA FLOTADA FILTRADA E ÁGUA TRATADA, COMPLETAS</v>
      </c>
      <c r="E304" s="42" t="s">
        <v>194</v>
      </c>
      <c r="F304" s="43" t="s">
        <v>197</v>
      </c>
      <c r="G304" s="43" t="s">
        <v>199</v>
      </c>
      <c r="H304" s="41" t="s">
        <v>201</v>
      </c>
      <c r="I304" s="43" t="s">
        <v>438</v>
      </c>
      <c r="J304" s="40" t="s">
        <v>439</v>
      </c>
      <c r="K304" s="60">
        <v>45421</v>
      </c>
      <c r="O304" s="82">
        <v>45553</v>
      </c>
      <c r="Q304" s="96"/>
    </row>
    <row r="305" spans="1:17" ht="32.25" x14ac:dyDescent="0.35">
      <c r="A305" s="48">
        <v>77788</v>
      </c>
      <c r="B305" s="39" t="str" cm="1">
        <f t="array" ref="B305">IF(A305&lt;&gt;"",_xlfn.XLOOKUP(_xlfn.NUMBERVALUE(A305),_xlfn.NUMBERVALUE(Carga[Tombamento]),Carga[Descrição do Bem]),"")</f>
        <v>ESTAÇÃO DE TRATAMENTO DE ÁGUA - VALPARAISO/GO BOMBA PARA AMOSTRAGEM DE ÁGUA FLOTADA FILTRADA E ÁGUA TRATADA, COMPLETAS</v>
      </c>
      <c r="C305" s="39" t="str">
        <f t="shared" si="9"/>
        <v>BOMBA PARA AMOSTRAGEM DE ÁGUA FLOTADA FILTRADA E ÁGUA TRATADA, COMPLETAS</v>
      </c>
      <c r="E305" s="42" t="s">
        <v>194</v>
      </c>
      <c r="F305" s="41" t="s">
        <v>197</v>
      </c>
      <c r="G305" s="41" t="s">
        <v>199</v>
      </c>
      <c r="H305" s="41" t="s">
        <v>201</v>
      </c>
      <c r="I305" s="41" t="s">
        <v>438</v>
      </c>
      <c r="J305" s="40" t="s">
        <v>439</v>
      </c>
      <c r="K305" s="60">
        <v>45421</v>
      </c>
      <c r="O305" s="82">
        <v>45553</v>
      </c>
      <c r="Q305" s="96"/>
    </row>
    <row r="306" spans="1:17" ht="32.25" x14ac:dyDescent="0.35">
      <c r="A306" s="48">
        <v>77789</v>
      </c>
      <c r="B306" s="39" t="str" cm="1">
        <f t="array" ref="B306">IF(A306&lt;&gt;"",_xlfn.XLOOKUP(_xlfn.NUMBERVALUE(A306),_xlfn.NUMBERVALUE(Carga[Tombamento]),Carga[Descrição do Bem]),"")</f>
        <v>ESTAÇÃO DE TRATAMENTO DE ÁGUA - VALPARAISO/GO BOMBA PARA AMOSTRAGEM DE ÁGUA FLOTADA FILTRADA E ÁGUA TRATADA, COMPLETAS</v>
      </c>
      <c r="C306" s="39" t="str">
        <f t="shared" si="9"/>
        <v>BOMBA PARA AMOSTRAGEM DE ÁGUA FLOTADA FILTRADA E ÁGUA TRATADA, COMPLETAS</v>
      </c>
      <c r="E306" s="42" t="s">
        <v>194</v>
      </c>
      <c r="F306" s="43" t="s">
        <v>197</v>
      </c>
      <c r="G306" s="43" t="s">
        <v>199</v>
      </c>
      <c r="H306" s="41" t="s">
        <v>201</v>
      </c>
      <c r="I306" s="43" t="s">
        <v>36</v>
      </c>
      <c r="J306" s="40" t="s">
        <v>981</v>
      </c>
      <c r="K306" s="60">
        <v>45422</v>
      </c>
      <c r="O306" s="82">
        <v>45560</v>
      </c>
      <c r="Q306" s="96"/>
    </row>
    <row r="307" spans="1:17" ht="32.25" x14ac:dyDescent="0.35">
      <c r="A307" s="48">
        <v>77790</v>
      </c>
      <c r="B307" s="39" t="str" cm="1">
        <f t="array" ref="B307">IF(A307&lt;&gt;"",_xlfn.XLOOKUP(_xlfn.NUMBERVALUE(A307),_xlfn.NUMBERVALUE(Carga[Tombamento]),Carga[Descrição do Bem]),"")</f>
        <v>ESTAÇÃO DE TRATAMENTO DE ÁGUA - VALPARAISO/GO BOMBAS PARA AMOSTRAGEM DE ÁGUA FLOTADA FILTRADA E ÁGUA TRATADA, COMPLETAS</v>
      </c>
      <c r="C307" s="39" t="str">
        <f t="shared" si="9"/>
        <v>BOMBAS PARA AMOSTRAGEM DE ÁGUA FLOTADA FILTRADA E ÁGUA TRATADA, COMPLETAS</v>
      </c>
      <c r="E307" s="42" t="s">
        <v>194</v>
      </c>
      <c r="F307" s="41" t="s">
        <v>197</v>
      </c>
      <c r="G307" s="41" t="s">
        <v>199</v>
      </c>
      <c r="H307" s="41" t="s">
        <v>201</v>
      </c>
      <c r="I307" s="41" t="s">
        <v>36</v>
      </c>
      <c r="J307" s="40" t="s">
        <v>981</v>
      </c>
      <c r="K307" s="60">
        <v>45422</v>
      </c>
      <c r="O307" s="82">
        <v>45560</v>
      </c>
      <c r="Q307" s="96"/>
    </row>
    <row r="308" spans="1:17" ht="32.25" x14ac:dyDescent="0.35">
      <c r="A308" s="48">
        <v>77791</v>
      </c>
      <c r="B308" s="39" t="str" cm="1">
        <f t="array" ref="B308">IF(A308&lt;&gt;"",_xlfn.XLOOKUP(_xlfn.NUMBERVALUE(A308),_xlfn.NUMBERVALUE(Carga[Tombamento]),Carga[Descrição do Bem]),"")</f>
        <v>ESTAÇÃO DE TRATAMENTO DE ÁGUA - VALPARAISO/GO BOMBA PARA AMOSTRAGEM DE ÁGUA FLOTADA FILTRADA E ÁGUA TRATADA, COMPLETAS</v>
      </c>
      <c r="C308" s="39" t="str">
        <f t="shared" ref="C308:C321" si="10">MID(B308,47,160)</f>
        <v>BOMBA PARA AMOSTRAGEM DE ÁGUA FLOTADA FILTRADA E ÁGUA TRATADA, COMPLETAS</v>
      </c>
      <c r="E308" s="42" t="s">
        <v>194</v>
      </c>
      <c r="F308" s="43" t="s">
        <v>197</v>
      </c>
      <c r="G308" s="43" t="s">
        <v>199</v>
      </c>
      <c r="H308" s="41" t="s">
        <v>201</v>
      </c>
      <c r="I308" s="43" t="s">
        <v>36</v>
      </c>
      <c r="J308" s="40" t="s">
        <v>439</v>
      </c>
      <c r="K308"/>
      <c r="O308" s="82">
        <v>45553</v>
      </c>
      <c r="Q308" s="96"/>
    </row>
    <row r="309" spans="1:17" ht="32.25" x14ac:dyDescent="0.35">
      <c r="A309" s="48">
        <v>77792</v>
      </c>
      <c r="B309" s="39" t="str" cm="1">
        <f t="array" ref="B309">IF(A309&lt;&gt;"",_xlfn.XLOOKUP(_xlfn.NUMBERVALUE(A309),_xlfn.NUMBERVALUE(Carga[Tombamento]),Carga[Descrição do Bem]),"")</f>
        <v>ESTAÇÃO DE TRATAMENTO DE ÁGUA - VALPARAISO/GO EQUIPAMENTO PARA PREPARO DE SOLUÇÃO DE PERMANGANATO , COMPLETO</v>
      </c>
      <c r="C309" s="39" t="str">
        <f t="shared" si="10"/>
        <v>EQUIPAMENTO PARA PREPARO DE SOLUÇÃO DE PERMANGANATO , COMPLETO</v>
      </c>
      <c r="E309" s="42" t="s">
        <v>194</v>
      </c>
      <c r="F309" s="41" t="s">
        <v>197</v>
      </c>
      <c r="G309" s="41" t="s">
        <v>199</v>
      </c>
      <c r="H309" s="41" t="s">
        <v>201</v>
      </c>
      <c r="I309" s="41" t="s">
        <v>55</v>
      </c>
      <c r="J309" s="40" t="s">
        <v>71</v>
      </c>
      <c r="K309" s="60">
        <v>45422</v>
      </c>
      <c r="O309" s="82">
        <v>45555</v>
      </c>
      <c r="Q309" s="96"/>
    </row>
    <row r="310" spans="1:17" ht="32.25" x14ac:dyDescent="0.35">
      <c r="A310" s="48">
        <v>77793</v>
      </c>
      <c r="B310" s="39" t="str" cm="1">
        <f t="array" ref="B310">IF(A310&lt;&gt;"",_xlfn.XLOOKUP(_xlfn.NUMBERVALUE(A310),_xlfn.NUMBERVALUE(Carga[Tombamento]),Carga[Descrição do Bem]),"")</f>
        <v>ESTAÇÃO DE TRATAMENTO DE ÁGUA - VALPARAISO/GO EQUIPAMENTO PARA PREPARO DE SOLUÇÃO DE PERMANGANATO , COMPLETO</v>
      </c>
      <c r="C310" s="39" t="str">
        <f t="shared" si="10"/>
        <v>EQUIPAMENTO PARA PREPARO DE SOLUÇÃO DE PERMANGANATO , COMPLETO</v>
      </c>
      <c r="E310" s="42" t="s">
        <v>194</v>
      </c>
      <c r="F310" s="43" t="s">
        <v>197</v>
      </c>
      <c r="G310" s="43" t="s">
        <v>199</v>
      </c>
      <c r="H310" s="41" t="s">
        <v>201</v>
      </c>
      <c r="I310" s="43" t="s">
        <v>55</v>
      </c>
      <c r="J310" s="40" t="s">
        <v>71</v>
      </c>
      <c r="K310" s="60">
        <v>45422</v>
      </c>
      <c r="O310" s="82">
        <v>45555</v>
      </c>
      <c r="Q310" s="96"/>
    </row>
    <row r="311" spans="1:17" ht="32.25" x14ac:dyDescent="0.35">
      <c r="A311" s="48">
        <v>77794</v>
      </c>
      <c r="B311" s="39" t="str" cm="1">
        <f t="array" ref="B311">IF(A311&lt;&gt;"",_xlfn.XLOOKUP(_xlfn.NUMBERVALUE(A311),_xlfn.NUMBERVALUE(Carga[Tombamento]),Carga[Descrição do Bem]),"")</f>
        <v>ESTAÇÃO DE TRATAMENTO DE ÁGUA - VALPARAISO/GO EQUIPAMENTO PARA PREPARO DE SOLUÇÃO DE POLÍMERO, COMPLETO</v>
      </c>
      <c r="C311" s="39" t="str">
        <f t="shared" si="10"/>
        <v>EQUIPAMENTO PARA PREPARO DE SOLUÇÃO DE POLÍMERO, COMPLETO</v>
      </c>
      <c r="E311" s="42" t="s">
        <v>194</v>
      </c>
      <c r="F311" s="41" t="s">
        <v>197</v>
      </c>
      <c r="G311" s="41" t="s">
        <v>199</v>
      </c>
      <c r="H311" s="41" t="s">
        <v>201</v>
      </c>
      <c r="I311" s="41" t="s">
        <v>55</v>
      </c>
      <c r="J311" s="40" t="s">
        <v>71</v>
      </c>
      <c r="K311" s="60">
        <v>45422</v>
      </c>
      <c r="O311" s="82">
        <v>45555</v>
      </c>
      <c r="Q311" s="96"/>
    </row>
    <row r="312" spans="1:17" ht="32.25" x14ac:dyDescent="0.35">
      <c r="A312" s="48">
        <v>77795</v>
      </c>
      <c r="B312" s="39" t="str" cm="1">
        <f t="array" ref="B312">IF(A312&lt;&gt;"",_xlfn.XLOOKUP(_xlfn.NUMBERVALUE(A312),_xlfn.NUMBERVALUE(Carga[Tombamento]),Carga[Descrição do Bem]),"")</f>
        <v>ESTAÇÃO DE TRATAMENTO DE ÁGUA - VALPARAISO/GO EQUIPAMENTO PARA PREPARO DE SOLUÇÃO DE POLÍMERO, COMPLETO</v>
      </c>
      <c r="C312" s="39" t="str">
        <f t="shared" si="10"/>
        <v>EQUIPAMENTO PARA PREPARO DE SOLUÇÃO DE POLÍMERO, COMPLETO</v>
      </c>
      <c r="E312" s="42" t="s">
        <v>194</v>
      </c>
      <c r="F312" s="43" t="s">
        <v>197</v>
      </c>
      <c r="G312" s="43" t="s">
        <v>199</v>
      </c>
      <c r="H312" s="41" t="s">
        <v>201</v>
      </c>
      <c r="I312" s="43" t="s">
        <v>55</v>
      </c>
      <c r="J312" s="40" t="s">
        <v>71</v>
      </c>
      <c r="K312" s="60">
        <v>45422</v>
      </c>
      <c r="O312" s="82">
        <v>45555</v>
      </c>
      <c r="Q312" s="96"/>
    </row>
    <row r="313" spans="1:17" ht="41.25" x14ac:dyDescent="0.35">
      <c r="A313" s="48">
        <v>77796</v>
      </c>
      <c r="B313" s="39" t="str" cm="1">
        <f t="array" ref="B313">IF(A313&lt;&gt;"",_xlfn.XLOOKUP(_xlfn.NUMBERVALUE(A313),_xlfn.NUMBERVALUE(Carga[Tombamento]),Carga[Descrição do Bem]),"")</f>
        <v>ESTAÇÃO DE TRATAMENTO DE ÁGUA - VALPARAISO/GO BALANÇA RODOVIÁRIA COMPLETA, CONFORME ESPECIFICAÇÕES TÉCNICAS - FORNECIMENTO, MONTAGEM E INSTALAÇÃO</v>
      </c>
      <c r="C313" s="39" t="str">
        <f t="shared" si="10"/>
        <v>BALANÇA RODOVIÁRIA COMPLETA, CONFORME ESPECIFICAÇÕES TÉCNICAS - FORNECIMENTO, MONTAGEM E INSTALAÇÃO</v>
      </c>
      <c r="E313" s="42" t="s">
        <v>194</v>
      </c>
      <c r="F313" s="41" t="s">
        <v>197</v>
      </c>
      <c r="G313" s="41" t="s">
        <v>199</v>
      </c>
      <c r="H313" s="41" t="s">
        <v>201</v>
      </c>
      <c r="I313" s="41" t="s">
        <v>36</v>
      </c>
      <c r="J313" s="40" t="s">
        <v>981</v>
      </c>
      <c r="K313" s="60">
        <v>45422</v>
      </c>
      <c r="O313" s="82">
        <v>45560</v>
      </c>
      <c r="Q313" s="96"/>
    </row>
    <row r="314" spans="1:17" ht="41.25" x14ac:dyDescent="0.35">
      <c r="A314" s="48">
        <v>77797</v>
      </c>
      <c r="B314" s="39" t="str" cm="1">
        <f t="array" ref="B314">IF(A314&lt;&gt;"",_xlfn.XLOOKUP(_xlfn.NUMBERVALUE(A314),_xlfn.NUMBERVALUE(Carga[Tombamento]),Carga[Descrição do Bem]),"")</f>
        <v>ESTAÇÃO DE TRATAMENTO DE ÁGUA - VALPARAISO/GO CONJUNTO MOTOR BOMBA PARA RECIRCULAÇÃO DA ÁGUA DE LAVAGEM DOS FILTROS, COMPLETO, CONFORME ESPECIFICAÇÃO</v>
      </c>
      <c r="C314" s="39" t="str">
        <f t="shared" si="10"/>
        <v>CONJUNTO MOTOR BOMBA PARA RECIRCULAÇÃO DA ÁGUA DE LAVAGEM DOS FILTROS, COMPLETO, CONFORME ESPECIFICAÇÃO</v>
      </c>
      <c r="E314" s="42" t="s">
        <v>194</v>
      </c>
      <c r="F314" s="43" t="s">
        <v>197</v>
      </c>
      <c r="G314" s="43" t="s">
        <v>199</v>
      </c>
      <c r="H314" s="41" t="s">
        <v>201</v>
      </c>
      <c r="I314" s="43" t="s">
        <v>190</v>
      </c>
      <c r="J314" s="40" t="s">
        <v>258</v>
      </c>
      <c r="K314" s="60">
        <v>45421</v>
      </c>
      <c r="O314" s="82">
        <v>45565</v>
      </c>
      <c r="Q314" s="96"/>
    </row>
    <row r="315" spans="1:17" ht="41.25" x14ac:dyDescent="0.35">
      <c r="A315" s="48">
        <v>77798</v>
      </c>
      <c r="B315" s="39" t="str" cm="1">
        <f t="array" ref="B315">IF(A315&lt;&gt;"",_xlfn.XLOOKUP(_xlfn.NUMBERVALUE(A315),_xlfn.NUMBERVALUE(Carga[Tombamento]),Carga[Descrição do Bem]),"")</f>
        <v>ESTAÇÃO DE TRATAMENTO DE ÁGUA - VALPARAISO/GO CONJUNTO MOTOR BOMBA PARA RECIRCULAÇÃO DA ÁGUA DE LAVAGEM DOS FILTROS, COMPLETO, CONFORME ESPECIFICAÇÃO</v>
      </c>
      <c r="C315" s="39" t="str">
        <f t="shared" si="10"/>
        <v>CONJUNTO MOTOR BOMBA PARA RECIRCULAÇÃO DA ÁGUA DE LAVAGEM DOS FILTROS, COMPLETO, CONFORME ESPECIFICAÇÃO</v>
      </c>
      <c r="E315" s="42" t="s">
        <v>194</v>
      </c>
      <c r="F315" s="41" t="s">
        <v>197</v>
      </c>
      <c r="G315" s="41" t="s">
        <v>199</v>
      </c>
      <c r="H315" s="41" t="s">
        <v>201</v>
      </c>
      <c r="I315" s="41" t="s">
        <v>190</v>
      </c>
      <c r="J315" s="40" t="s">
        <v>258</v>
      </c>
      <c r="K315" s="60">
        <v>45421</v>
      </c>
      <c r="O315" s="82">
        <v>45565</v>
      </c>
      <c r="Q315" s="96"/>
    </row>
    <row r="316" spans="1:17" ht="41.25" x14ac:dyDescent="0.35">
      <c r="A316" s="48">
        <v>77799</v>
      </c>
      <c r="B316" s="39" t="str" cm="1">
        <f t="array" ref="B316">IF(A316&lt;&gt;"",_xlfn.XLOOKUP(_xlfn.NUMBERVALUE(A316),_xlfn.NUMBERVALUE(Carga[Tombamento]),Carga[Descrição do Bem]),"")</f>
        <v>ESTAÇÃO DE TRATAMENTO DE ÁGUA - VALPARAISO/GO CONJUNTO MOTOR BOMBA PARA RECIRCULAÇÃO DA ÁGUA DE LAVAGEM DOS FILTROS, COMPLETO, CONFORME ESPECIFICAÇÃO</v>
      </c>
      <c r="C316" s="39" t="str">
        <f t="shared" si="10"/>
        <v>CONJUNTO MOTOR BOMBA PARA RECIRCULAÇÃO DA ÁGUA DE LAVAGEM DOS FILTROS, COMPLETO, CONFORME ESPECIFICAÇÃO</v>
      </c>
      <c r="E316" s="42" t="s">
        <v>194</v>
      </c>
      <c r="F316" s="43" t="s">
        <v>197</v>
      </c>
      <c r="G316" s="43" t="s">
        <v>199</v>
      </c>
      <c r="H316" s="41" t="s">
        <v>201</v>
      </c>
      <c r="I316" s="43" t="s">
        <v>190</v>
      </c>
      <c r="J316" s="40" t="s">
        <v>258</v>
      </c>
      <c r="K316" s="60">
        <v>45421</v>
      </c>
      <c r="O316" s="82">
        <v>45565</v>
      </c>
      <c r="Q316" s="96"/>
    </row>
    <row r="317" spans="1:17" ht="41.25" x14ac:dyDescent="0.35">
      <c r="A317" s="48">
        <v>77800</v>
      </c>
      <c r="B317" s="39" t="str" cm="1">
        <f t="array" ref="B317">IF(A317&lt;&gt;"",_xlfn.XLOOKUP(_xlfn.NUMBERVALUE(A317),_xlfn.NUMBERVALUE(Carga[Tombamento]),Carga[Descrição do Bem]),"")</f>
        <v>ESTAÇÃO DE TRATAMENTO DE ÁGUA - VALPARAISO/GO MISTURADOR FLUTUANTE PARA TANQUE DE ÁGUA DE LAVAGEM DOS FILTROS, COMPLETO, CONFORME ESPECIFICAÇÃO</v>
      </c>
      <c r="C317" s="39" t="str">
        <f t="shared" si="10"/>
        <v>MISTURADOR FLUTUANTE PARA TANQUE DE ÁGUA DE LAVAGEM DOS FILTROS, COMPLETO, CONFORME ESPECIFICAÇÃO</v>
      </c>
      <c r="E317" s="42" t="s">
        <v>194</v>
      </c>
      <c r="F317" s="41" t="s">
        <v>197</v>
      </c>
      <c r="G317" s="41" t="s">
        <v>199</v>
      </c>
      <c r="H317" s="41" t="s">
        <v>201</v>
      </c>
      <c r="I317" s="41" t="s">
        <v>190</v>
      </c>
      <c r="J317" s="40" t="s">
        <v>258</v>
      </c>
      <c r="K317" s="60">
        <v>45421</v>
      </c>
      <c r="O317" s="82">
        <v>45565</v>
      </c>
      <c r="Q317" s="96"/>
    </row>
    <row r="318" spans="1:17" ht="41.25" x14ac:dyDescent="0.35">
      <c r="A318" s="48">
        <v>77801</v>
      </c>
      <c r="B318" s="39" t="str" cm="1">
        <f t="array" ref="B318">IF(A318&lt;&gt;"",_xlfn.XLOOKUP(_xlfn.NUMBERVALUE(A318),_xlfn.NUMBERVALUE(Carga[Tombamento]),Carga[Descrição do Bem]),"")</f>
        <v>ESTAÇÃO DE TRATAMENTO DE ÁGUA - VALPARAISO/GO MISTURADOR FLUTUANTE PARA TANQUE DE ÁGUA DE LAVAGEM DOS FILTROS, COMPLETO, CONFORME ESPECIFICAÇÃO</v>
      </c>
      <c r="C318" s="39" t="str">
        <f t="shared" si="10"/>
        <v>MISTURADOR FLUTUANTE PARA TANQUE DE ÁGUA DE LAVAGEM DOS FILTROS, COMPLETO, CONFORME ESPECIFICAÇÃO</v>
      </c>
      <c r="E318" s="42" t="s">
        <v>194</v>
      </c>
      <c r="F318" s="43" t="s">
        <v>197</v>
      </c>
      <c r="G318" s="43" t="s">
        <v>199</v>
      </c>
      <c r="H318" s="41" t="s">
        <v>201</v>
      </c>
      <c r="I318" s="43" t="s">
        <v>190</v>
      </c>
      <c r="J318" s="40" t="s">
        <v>258</v>
      </c>
      <c r="K318" s="60">
        <v>45421</v>
      </c>
      <c r="O318" s="82">
        <v>45565</v>
      </c>
      <c r="Q318" s="96"/>
    </row>
    <row r="319" spans="1:17" ht="25.5" x14ac:dyDescent="0.35">
      <c r="A319" s="48">
        <v>77826</v>
      </c>
      <c r="B319" s="39" t="str" cm="1">
        <f t="array" ref="B319">IF(A319&lt;&gt;"",_xlfn.XLOOKUP(_xlfn.NUMBERVALUE(A319),_xlfn.NUMBERVALUE(Carga[Tombamento]),Carga[Descrição do Bem]),"")</f>
        <v>PROJETOR PROJETOR ACER X1323 WHP</v>
      </c>
      <c r="C319" s="39" t="str">
        <f>MID(B319,1,160)</f>
        <v>PROJETOR PROJETOR ACER X1323 WHP</v>
      </c>
      <c r="E319" s="42" t="s">
        <v>205</v>
      </c>
      <c r="F319" s="41" t="s">
        <v>196</v>
      </c>
      <c r="G319" s="45" t="s">
        <v>199</v>
      </c>
      <c r="H319" s="41" t="s">
        <v>201</v>
      </c>
      <c r="I319" s="41" t="s">
        <v>36</v>
      </c>
      <c r="J319" s="40" t="s">
        <v>76</v>
      </c>
      <c r="K319" s="60">
        <v>45422</v>
      </c>
      <c r="M319" s="60">
        <v>45712</v>
      </c>
      <c r="O319" s="82">
        <v>45558</v>
      </c>
      <c r="Q319" s="96"/>
    </row>
    <row r="320" spans="1:17" ht="41.25" x14ac:dyDescent="0.35">
      <c r="A320" s="48">
        <v>77902</v>
      </c>
      <c r="B320" s="39" t="str" cm="1">
        <f t="array" ref="B320">IF(A320&lt;&gt;"",_xlfn.XLOOKUP(_xlfn.NUMBERVALUE(A320),_xlfn.NUMBERVALUE(Carga[Tombamento]),Carga[Descrição do Bem]),"")</f>
        <v>ESTAÇÃO DE TRATAMENTO DE ÁGUA - VALPARAISO/GO MEDIDOR DE VAZÃO ULTRASSÔNICO DO TIPO CLAMP-ON E CONVERSOR ANALÓGICO PROFIBUS - LOCALIZADO NA ENTRADA DO RAP.VLG.001.</v>
      </c>
      <c r="C320" s="39" t="str">
        <f t="shared" si="10"/>
        <v>MEDIDOR DE VAZÃO ULTRASSÔNICO DO TIPO CLAMP-ON E CONVERSOR ANALÓGICO PROFIBUS - LOCALIZADO NA ENTRADA DO RAP.VLG.001.</v>
      </c>
      <c r="E320" s="42" t="s">
        <v>203</v>
      </c>
      <c r="F320" s="43" t="s">
        <v>206</v>
      </c>
      <c r="G320" s="45" t="s">
        <v>199</v>
      </c>
      <c r="H320" s="41" t="s">
        <v>201</v>
      </c>
      <c r="I320" s="43" t="s">
        <v>73</v>
      </c>
      <c r="J320" s="40" t="s">
        <v>241</v>
      </c>
      <c r="K320" s="60">
        <v>45421</v>
      </c>
      <c r="O320" s="82">
        <v>45555</v>
      </c>
      <c r="Q320" s="96"/>
    </row>
    <row r="321" spans="1:17" ht="41.25" x14ac:dyDescent="0.35">
      <c r="A321" s="48">
        <v>77903</v>
      </c>
      <c r="B321" s="39" t="str" cm="1">
        <f t="array" ref="B321">IF(A321&lt;&gt;"",_xlfn.XLOOKUP(_xlfn.NUMBERVALUE(A321),_xlfn.NUMBERVALUE(Carga[Tombamento]),Carga[Descrição do Bem]),"")</f>
        <v>ESTAÇÃO DE TRATAMENTO DE ÁGUA - VALPARAISO/GO MEDIDOR DE VAZÃO ULTRASSÔNICO DO TIPO CLAMP-ON E CONVERSOR ANALÓGICO PROFIBUS - LOCALIZADO NA EAT.VLG.001.</v>
      </c>
      <c r="C321" s="39" t="str">
        <f t="shared" si="10"/>
        <v>MEDIDOR DE VAZÃO ULTRASSÔNICO DO TIPO CLAMP-ON E CONVERSOR ANALÓGICO PROFIBUS - LOCALIZADO NA EAT.VLG.001.</v>
      </c>
      <c r="D321" s="5"/>
      <c r="E321" s="42" t="s">
        <v>203</v>
      </c>
      <c r="F321" s="41" t="s">
        <v>206</v>
      </c>
      <c r="G321" s="45" t="s">
        <v>199</v>
      </c>
      <c r="H321" s="41" t="s">
        <v>201</v>
      </c>
      <c r="I321" s="41" t="s">
        <v>74</v>
      </c>
      <c r="J321" s="40" t="s">
        <v>257</v>
      </c>
      <c r="K321" s="60">
        <v>45421</v>
      </c>
      <c r="O321" s="82">
        <v>45555</v>
      </c>
      <c r="Q321" s="96"/>
    </row>
    <row r="322" spans="1:17" ht="25.5" x14ac:dyDescent="0.35">
      <c r="A322" s="48">
        <v>75789001</v>
      </c>
      <c r="B322" s="39" t="e" cm="1">
        <f t="array" ref="B322">IF(A322&lt;&gt;"",_xlfn.XLOOKUP(_xlfn.NUMBERVALUE(A322),_xlfn.NUMBERVALUE(Carga[Tombamento]),Carga[Descrição do Bem]),"")</f>
        <v>#N/A</v>
      </c>
      <c r="C322" s="39" t="e">
        <f>MID(B322,1,50)</f>
        <v>#N/A</v>
      </c>
      <c r="D322" s="5"/>
      <c r="E322" s="42" t="s">
        <v>193</v>
      </c>
      <c r="F322" s="43" t="s">
        <v>196</v>
      </c>
      <c r="G322" s="43" t="s">
        <v>199</v>
      </c>
      <c r="H322" s="41" t="s">
        <v>201</v>
      </c>
      <c r="I322" s="43" t="s">
        <v>74</v>
      </c>
      <c r="J322" s="40" t="s">
        <v>64</v>
      </c>
      <c r="K322" s="60">
        <v>45421</v>
      </c>
      <c r="O322" s="82">
        <v>45555</v>
      </c>
      <c r="P322" s="79" t="s">
        <v>985</v>
      </c>
      <c r="Q322" s="96"/>
    </row>
    <row r="323" spans="1:17" ht="25.5" x14ac:dyDescent="0.35">
      <c r="A323" s="48" t="s">
        <v>282</v>
      </c>
      <c r="B323" s="39" t="str" cm="1">
        <f t="array" ref="B323">IF(A323&lt;&gt;"",_xlfn.XLOOKUP(_xlfn.NUMBERVALUE(A323),_xlfn.NUMBERVALUE(Carga[Tombamento]),Carga[Descrição do Bem]),"")</f>
        <v>HUB / SWITCH / ROTEADOR / RADIO ROUTER HPE MSR1003</v>
      </c>
      <c r="C323" s="39" t="str">
        <f>MID(B323,1,160)</f>
        <v>HUB / SWITCH / ROTEADOR / RADIO ROUTER HPE MSR1003</v>
      </c>
      <c r="E323" s="42" t="s">
        <v>205</v>
      </c>
      <c r="F323" s="41" t="s">
        <v>207</v>
      </c>
      <c r="G323" s="45" t="s">
        <v>199</v>
      </c>
      <c r="H323" s="41" t="s">
        <v>201</v>
      </c>
      <c r="I323" s="41" t="s">
        <v>36</v>
      </c>
      <c r="J323" s="40" t="s">
        <v>78</v>
      </c>
      <c r="K323" s="60">
        <v>45422</v>
      </c>
      <c r="M323" s="60">
        <v>45712</v>
      </c>
      <c r="O323" s="82">
        <v>45558</v>
      </c>
      <c r="Q323" s="96"/>
    </row>
    <row r="324" spans="1:17" ht="25.5" x14ac:dyDescent="0.35">
      <c r="A324" s="48" t="s">
        <v>284</v>
      </c>
      <c r="B324" s="39" t="str" cm="1">
        <f t="array" ref="B324">IF(A324&lt;&gt;"",_xlfn.XLOOKUP(_xlfn.NUMBERVALUE(A324),_xlfn.NUMBERVALUE(Carga[Tombamento]),Carga[Descrição do Bem]),"")</f>
        <v>RACK RACK DE PAREDE</v>
      </c>
      <c r="C324" s="39" t="str">
        <f t="shared" ref="C324:C325" si="11">MID(B324,1,160)</f>
        <v>RACK RACK DE PAREDE</v>
      </c>
      <c r="E324" s="42" t="s">
        <v>193</v>
      </c>
      <c r="F324" s="43" t="s">
        <v>196</v>
      </c>
      <c r="G324" s="44" t="s">
        <v>199</v>
      </c>
      <c r="H324" s="41" t="s">
        <v>201</v>
      </c>
      <c r="I324" s="43" t="s">
        <v>74</v>
      </c>
      <c r="J324" s="40" t="s">
        <v>64</v>
      </c>
      <c r="K324" s="60">
        <v>45421</v>
      </c>
      <c r="O324" s="82">
        <v>45555</v>
      </c>
      <c r="Q324" s="96"/>
    </row>
    <row r="325" spans="1:17" ht="25.5" x14ac:dyDescent="0.35">
      <c r="A325" s="48" t="s">
        <v>286</v>
      </c>
      <c r="B325" s="39" t="str" cm="1">
        <f t="array" ref="B325">IF(A325&lt;&gt;"",_xlfn.XLOOKUP(_xlfn.NUMBERVALUE(A325),_xlfn.NUMBERVALUE(Carga[Tombamento]),Carga[Descrição do Bem]),"")</f>
        <v>APARELHO COMUNICAÇÃO RADIO COMUNICADOR</v>
      </c>
      <c r="C325" s="39" t="str">
        <f t="shared" si="11"/>
        <v>APARELHO COMUNICAÇÃO RADIO COMUNICADOR</v>
      </c>
      <c r="E325" s="42" t="s">
        <v>194</v>
      </c>
      <c r="F325" s="41" t="s">
        <v>197</v>
      </c>
      <c r="G325" s="45" t="s">
        <v>199</v>
      </c>
      <c r="H325" s="41" t="s">
        <v>201</v>
      </c>
      <c r="I325" s="41" t="s">
        <v>445</v>
      </c>
      <c r="J325" s="40" t="s">
        <v>445</v>
      </c>
      <c r="K325" s="60">
        <v>45426</v>
      </c>
      <c r="O325" s="82">
        <v>45555</v>
      </c>
      <c r="Q325" s="96"/>
    </row>
    <row r="326" spans="1:17" ht="25.5" x14ac:dyDescent="0.35">
      <c r="A326" s="48" t="s">
        <v>288</v>
      </c>
      <c r="B326" s="39" t="str" cm="1">
        <f t="array" ref="B326">IF(A326&lt;&gt;"",_xlfn.XLOOKUP(_xlfn.NUMBERVALUE(A326),_xlfn.NUMBERVALUE(Carga[Tombamento]),Carga[Descrição do Bem]),"")</f>
        <v>ARMÁRIO ARMARIO MEDIO</v>
      </c>
      <c r="C326" s="39" t="str">
        <f t="shared" ref="C326:C362" si="12">MID(B326,9,50)</f>
        <v>ARMARIO MEDIO</v>
      </c>
      <c r="E326" s="42" t="s">
        <v>205</v>
      </c>
      <c r="F326" s="43" t="s">
        <v>207</v>
      </c>
      <c r="G326" s="44" t="s">
        <v>199</v>
      </c>
      <c r="H326" s="41" t="s">
        <v>201</v>
      </c>
      <c r="I326" s="43" t="s">
        <v>36</v>
      </c>
      <c r="J326" s="40" t="s">
        <v>76</v>
      </c>
      <c r="K326" s="60">
        <v>45422</v>
      </c>
      <c r="M326" s="60">
        <v>45712</v>
      </c>
      <c r="O326" s="82">
        <v>45558</v>
      </c>
      <c r="Q326" s="96"/>
    </row>
    <row r="327" spans="1:17" ht="25.5" x14ac:dyDescent="0.35">
      <c r="A327" s="48" t="s">
        <v>289</v>
      </c>
      <c r="B327" s="39" t="str" cm="1">
        <f t="array" ref="B327">IF(A327&lt;&gt;"",_xlfn.XLOOKUP(_xlfn.NUMBERVALUE(A327),_xlfn.NUMBERVALUE(Carga[Tombamento]),Carga[Descrição do Bem]),"")</f>
        <v>POLTRONA POLTRONA PARA POSTO DE TRABALHO GERENCIAL</v>
      </c>
      <c r="C327" s="39" t="str">
        <f t="shared" si="12"/>
        <v xml:space="preserve"> POLTRONA PARA POSTO DE TRABALHO GERENCIAL</v>
      </c>
      <c r="E327" s="42" t="s">
        <v>205</v>
      </c>
      <c r="F327" s="41" t="s">
        <v>207</v>
      </c>
      <c r="G327" s="45" t="s">
        <v>199</v>
      </c>
      <c r="H327" s="41" t="s">
        <v>201</v>
      </c>
      <c r="I327" s="41" t="s">
        <v>36</v>
      </c>
      <c r="J327" s="40" t="s">
        <v>80</v>
      </c>
      <c r="K327" s="60">
        <v>45422</v>
      </c>
      <c r="O327" s="82">
        <v>45560</v>
      </c>
      <c r="Q327" s="96"/>
    </row>
    <row r="328" spans="1:17" ht="41.25" x14ac:dyDescent="0.35">
      <c r="A328" s="48" t="s">
        <v>290</v>
      </c>
      <c r="B328" s="39" t="str" cm="1">
        <f t="array" ref="B328">IF(A328&lt;&gt;"",_xlfn.XLOOKUP(_xlfn.NUMBERVALUE(A328),_xlfn.NUMBERVALUE(Carga[Tombamento]),Carga[Descrição do Bem]),"")</f>
        <v>ESTAÇÃO DE TRATAMENTO DE ÁGUA - VALPARAISO/GO MEDIDOR DE NÍVEL ULTRASSONICO - COMPÕE SISTEMA DE HIDROXIDO DE CÁLCIO EM SUSPENSÃO AQUOSA</v>
      </c>
      <c r="C328" s="39" t="str">
        <f t="shared" ref="C328:C391" si="13">MID(B328,47,160)</f>
        <v>MEDIDOR DE NÍVEL ULTRASSONICO - COMPÕE SISTEMA DE HIDROXIDO DE CÁLCIO EM SUSPENSÃO AQUOSA</v>
      </c>
      <c r="E328" s="42" t="s">
        <v>194</v>
      </c>
      <c r="F328" s="43" t="s">
        <v>197</v>
      </c>
      <c r="G328" s="44" t="s">
        <v>199</v>
      </c>
      <c r="H328" s="41" t="s">
        <v>201</v>
      </c>
      <c r="I328" s="43" t="s">
        <v>55</v>
      </c>
      <c r="J328" s="40" t="s">
        <v>69</v>
      </c>
      <c r="K328" s="60">
        <v>45422</v>
      </c>
      <c r="O328" s="82">
        <v>45555</v>
      </c>
      <c r="Q328" s="96"/>
    </row>
    <row r="329" spans="1:17" ht="41.25" x14ac:dyDescent="0.35">
      <c r="A329" s="48" t="s">
        <v>292</v>
      </c>
      <c r="B329" s="39" t="str" cm="1">
        <f t="array" ref="B329">IF(A329&lt;&gt;"",_xlfn.XLOOKUP(_xlfn.NUMBERVALUE(A329),_xlfn.NUMBERVALUE(Carga[Tombamento]),Carga[Descrição do Bem]),"")</f>
        <v>ESTAÇÃO DE TRATAMENTO DE ÁGUA - VALPARAISO/GO MEDIDOR DE NÍVEL ULTRASSONICO - COMPÕE SISTEMA DE HIDROXIDO DE CÁLCIO EM SUSPENSÃO AQUOSA</v>
      </c>
      <c r="C329" s="39" t="str">
        <f t="shared" si="13"/>
        <v>MEDIDOR DE NÍVEL ULTRASSONICO - COMPÕE SISTEMA DE HIDROXIDO DE CÁLCIO EM SUSPENSÃO AQUOSA</v>
      </c>
      <c r="E329" s="42" t="s">
        <v>194</v>
      </c>
      <c r="F329" s="41" t="s">
        <v>197</v>
      </c>
      <c r="G329" s="45" t="s">
        <v>199</v>
      </c>
      <c r="H329" s="41" t="s">
        <v>201</v>
      </c>
      <c r="I329" s="41" t="s">
        <v>55</v>
      </c>
      <c r="J329" s="40" t="s">
        <v>69</v>
      </c>
      <c r="K329" s="60">
        <v>45422</v>
      </c>
      <c r="O329" s="82">
        <v>45555</v>
      </c>
      <c r="Q329" s="96"/>
    </row>
    <row r="330" spans="1:17" ht="41.25" x14ac:dyDescent="0.35">
      <c r="A330" s="48" t="s">
        <v>293</v>
      </c>
      <c r="B330" s="39" t="str" cm="1">
        <f t="array" ref="B330">IF(A330&lt;&gt;"",_xlfn.XLOOKUP(_xlfn.NUMBERVALUE(A330),_xlfn.NUMBERVALUE(Carga[Tombamento]),Carga[Descrição do Bem]),"")</f>
        <v>ESTAÇÃO DE TRATAMENTO DE ÁGUA - VALPARAISO/GO MEDIDOR DE NÍVEL ULTRASSONICO - COMPÕE SISTEMA DE HIDROXIDO DE CÁLCIO EM SUSPENSÃO AQUOSA</v>
      </c>
      <c r="C330" s="39" t="str">
        <f t="shared" si="13"/>
        <v>MEDIDOR DE NÍVEL ULTRASSONICO - COMPÕE SISTEMA DE HIDROXIDO DE CÁLCIO EM SUSPENSÃO AQUOSA</v>
      </c>
      <c r="E330" s="42" t="s">
        <v>194</v>
      </c>
      <c r="F330" s="43" t="s">
        <v>197</v>
      </c>
      <c r="G330" s="44" t="s">
        <v>199</v>
      </c>
      <c r="H330" s="41" t="s">
        <v>201</v>
      </c>
      <c r="I330" s="43" t="s">
        <v>55</v>
      </c>
      <c r="J330" s="40" t="s">
        <v>69</v>
      </c>
      <c r="K330" s="60">
        <v>45422</v>
      </c>
      <c r="O330" s="82">
        <v>45555</v>
      </c>
      <c r="Q330" s="96"/>
    </row>
    <row r="331" spans="1:17" ht="41.25" x14ac:dyDescent="0.35">
      <c r="A331" s="48" t="s">
        <v>294</v>
      </c>
      <c r="B331" s="39" t="str" cm="1">
        <f t="array" ref="B331">IF(A331&lt;&gt;"",_xlfn.XLOOKUP(_xlfn.NUMBERVALUE(A331),_xlfn.NUMBERVALUE(Carga[Tombamento]),Carga[Descrição do Bem]),"")</f>
        <v>ESTAÇÃO DE TRATAMENTO DE ÁGUA - VALPARAISO/GO MEDIDOR DE NÍVEL ULTRASSONICO - COMPÕE SISTEMA DE HIDROXIDO DE CÁLCIO EM SUSPENSÃO AQUOSA</v>
      </c>
      <c r="C331" s="39" t="str">
        <f t="shared" si="13"/>
        <v>MEDIDOR DE NÍVEL ULTRASSONICO - COMPÕE SISTEMA DE HIDROXIDO DE CÁLCIO EM SUSPENSÃO AQUOSA</v>
      </c>
      <c r="E331" s="42" t="s">
        <v>194</v>
      </c>
      <c r="F331" s="41" t="s">
        <v>197</v>
      </c>
      <c r="G331" s="45" t="s">
        <v>199</v>
      </c>
      <c r="H331" s="41" t="s">
        <v>201</v>
      </c>
      <c r="I331" s="41" t="s">
        <v>55</v>
      </c>
      <c r="J331" s="40" t="s">
        <v>69</v>
      </c>
      <c r="K331" s="60">
        <v>45422</v>
      </c>
      <c r="O331" s="82">
        <v>45555</v>
      </c>
      <c r="Q331" s="96"/>
    </row>
    <row r="332" spans="1:17" ht="41.25" x14ac:dyDescent="0.35">
      <c r="A332" s="48" t="s">
        <v>295</v>
      </c>
      <c r="B332" s="39" t="str" cm="1">
        <f t="array" ref="B332">IF(A332&lt;&gt;"",_xlfn.XLOOKUP(_xlfn.NUMBERVALUE(A332),_xlfn.NUMBERVALUE(Carga[Tombamento]),Carga[Descrição do Bem]),"")</f>
        <v>ESTAÇÃO DE TRATAMENTO DE ÁGUA - VALPARAISO/GO MEDIDOR DE VAZÃO ELETROMAGNÉTICO, TIPO CARRETEL- COMPÕE SISTEMA DE HIDROXIDO DE CÁLCIO EM SUSPENSÃO AQUOSA</v>
      </c>
      <c r="C332" s="39" t="str">
        <f t="shared" si="13"/>
        <v>MEDIDOR DE VAZÃO ELETROMAGNÉTICO, TIPO CARRETEL- COMPÕE SISTEMA DE HIDROXIDO DE CÁLCIO EM SUSPENSÃO AQUOSA</v>
      </c>
      <c r="E332" s="42" t="s">
        <v>194</v>
      </c>
      <c r="F332" s="43" t="s">
        <v>197</v>
      </c>
      <c r="G332" s="44" t="s">
        <v>199</v>
      </c>
      <c r="H332" s="41" t="s">
        <v>201</v>
      </c>
      <c r="I332" s="43" t="s">
        <v>55</v>
      </c>
      <c r="J332" s="40" t="s">
        <v>69</v>
      </c>
      <c r="K332" s="60">
        <v>45422</v>
      </c>
      <c r="O332" s="82">
        <v>45555</v>
      </c>
      <c r="Q332" s="96"/>
    </row>
    <row r="333" spans="1:17" ht="41.25" x14ac:dyDescent="0.35">
      <c r="A333" s="48" t="s">
        <v>297</v>
      </c>
      <c r="B333" s="39" t="str" cm="1">
        <f t="array" ref="B333">IF(A333&lt;&gt;"",_xlfn.XLOOKUP(_xlfn.NUMBERVALUE(A333),_xlfn.NUMBERVALUE(Carga[Tombamento]),Carga[Descrição do Bem]),"")</f>
        <v>ESTAÇÃO DE TRATAMENTO DE ÁGUA - VALPARAISO/GO MEDIDOR DE VAZÃO ELETROMAGNÉTICO, TIPO CARRETEL- COMPÕE SISTEMA DE HIDROXIDO DE CÁLCIO EM SUSPENSÃO AQUOSA</v>
      </c>
      <c r="C333" s="39" t="str">
        <f t="shared" si="13"/>
        <v>MEDIDOR DE VAZÃO ELETROMAGNÉTICO, TIPO CARRETEL- COMPÕE SISTEMA DE HIDROXIDO DE CÁLCIO EM SUSPENSÃO AQUOSA</v>
      </c>
      <c r="E333" s="42" t="s">
        <v>194</v>
      </c>
      <c r="F333" s="41" t="s">
        <v>197</v>
      </c>
      <c r="G333" s="45" t="s">
        <v>199</v>
      </c>
      <c r="H333" s="41" t="s">
        <v>201</v>
      </c>
      <c r="I333" s="41" t="s">
        <v>55</v>
      </c>
      <c r="J333" s="40" t="s">
        <v>69</v>
      </c>
      <c r="K333" s="60">
        <v>45422</v>
      </c>
      <c r="O333" s="82">
        <v>45555</v>
      </c>
      <c r="Q333" s="96"/>
    </row>
    <row r="334" spans="1:17" ht="41.25" x14ac:dyDescent="0.35">
      <c r="A334" s="48" t="s">
        <v>298</v>
      </c>
      <c r="B334" s="39" t="str" cm="1">
        <f t="array" ref="B334">IF(A334&lt;&gt;"",_xlfn.XLOOKUP(_xlfn.NUMBERVALUE(A334),_xlfn.NUMBERVALUE(Carga[Tombamento]),Carga[Descrição do Bem]),"")</f>
        <v>ESTAÇÃO DE TRATAMENTO DE ÁGUA - VALPARAISO/GO BOMBA CENTRÍFUGA DE RECIRCULAÇÃO- COMPÕE SISTEMA DE HIDRÓXIDO DE CÁLCIO EM SUSPENSÃO AQUOSA</v>
      </c>
      <c r="C334" s="39" t="str">
        <f t="shared" si="13"/>
        <v>BOMBA CENTRÍFUGA DE RECIRCULAÇÃO- COMPÕE SISTEMA DE HIDRÓXIDO DE CÁLCIO EM SUSPENSÃO AQUOSA</v>
      </c>
      <c r="E334" s="42" t="s">
        <v>194</v>
      </c>
      <c r="F334" s="43" t="s">
        <v>197</v>
      </c>
      <c r="G334" s="44" t="s">
        <v>199</v>
      </c>
      <c r="H334" s="41" t="s">
        <v>201</v>
      </c>
      <c r="I334" s="43" t="s">
        <v>440</v>
      </c>
      <c r="J334" s="40" t="s">
        <v>442</v>
      </c>
      <c r="K334" s="60">
        <v>45422</v>
      </c>
      <c r="O334" s="82">
        <v>45555</v>
      </c>
      <c r="Q334" s="96"/>
    </row>
    <row r="335" spans="1:17" ht="41.25" x14ac:dyDescent="0.35">
      <c r="A335" s="48" t="s">
        <v>300</v>
      </c>
      <c r="B335" s="39" t="str" cm="1">
        <f t="array" ref="B335">IF(A335&lt;&gt;"",_xlfn.XLOOKUP(_xlfn.NUMBERVALUE(A335),_xlfn.NUMBERVALUE(Carga[Tombamento]),Carga[Descrição do Bem]),"")</f>
        <v>ESTAÇÃO DE TRATAMENTO DE ÁGUA - VALPARAISO/GO BOMBA CENTRÍFUGA DE RECIRCULAÇÃO- COMPÕE SISTEMA DE HIDRÓXIDO DE CÁLCIO EM SUSPENSÃO AQUOSA</v>
      </c>
      <c r="C335" s="39" t="str">
        <f t="shared" si="13"/>
        <v>BOMBA CENTRÍFUGA DE RECIRCULAÇÃO- COMPÕE SISTEMA DE HIDRÓXIDO DE CÁLCIO EM SUSPENSÃO AQUOSA</v>
      </c>
      <c r="E335" s="42" t="s">
        <v>194</v>
      </c>
      <c r="F335" s="41" t="s">
        <v>197</v>
      </c>
      <c r="G335" s="45" t="s">
        <v>199</v>
      </c>
      <c r="H335" s="41" t="s">
        <v>201</v>
      </c>
      <c r="I335" s="41" t="s">
        <v>440</v>
      </c>
      <c r="J335" s="40" t="s">
        <v>442</v>
      </c>
      <c r="K335" s="60">
        <v>45422</v>
      </c>
      <c r="O335" s="82">
        <v>45555</v>
      </c>
      <c r="Q335" s="96"/>
    </row>
    <row r="336" spans="1:17" ht="41.25" x14ac:dyDescent="0.35">
      <c r="A336" s="48" t="s">
        <v>301</v>
      </c>
      <c r="B336" s="39" t="str" cm="1">
        <f t="array" ref="B336">IF(A336&lt;&gt;"",_xlfn.XLOOKUP(_xlfn.NUMBERVALUE(A336),_xlfn.NUMBERVALUE(Carga[Tombamento]),Carga[Descrição do Bem]),"")</f>
        <v>ESTAÇÃO DE TRATAMENTO DE ÁGUA - VALPARAISO/GO BOMBA CENTRÍFUGA DE RECIRCULAÇÃO- COMPÕE SISTEMA DE HIDRÓXIDO DE CÁLCIO EM SUSPENSÃO AQUOSA</v>
      </c>
      <c r="C336" s="39" t="str">
        <f t="shared" si="13"/>
        <v>BOMBA CENTRÍFUGA DE RECIRCULAÇÃO- COMPÕE SISTEMA DE HIDRÓXIDO DE CÁLCIO EM SUSPENSÃO AQUOSA</v>
      </c>
      <c r="E336" s="42" t="s">
        <v>194</v>
      </c>
      <c r="F336" s="43" t="s">
        <v>197</v>
      </c>
      <c r="G336" s="44" t="s">
        <v>199</v>
      </c>
      <c r="H336" s="41" t="s">
        <v>201</v>
      </c>
      <c r="I336" s="43" t="s">
        <v>440</v>
      </c>
      <c r="J336" s="40" t="s">
        <v>442</v>
      </c>
      <c r="K336" s="60">
        <v>45422</v>
      </c>
      <c r="O336" s="82">
        <v>45555</v>
      </c>
      <c r="Q336" s="96"/>
    </row>
    <row r="337" spans="1:17" ht="41.25" x14ac:dyDescent="0.35">
      <c r="A337" s="48" t="s">
        <v>302</v>
      </c>
      <c r="B337" s="39" t="str" cm="1">
        <f t="array" ref="B337">IF(A337&lt;&gt;"",_xlfn.XLOOKUP(_xlfn.NUMBERVALUE(A337),_xlfn.NUMBERVALUE(Carga[Tombamento]),Carga[Descrição do Bem]),"")</f>
        <v>ESTAÇÃO DE TRATAMENTO DE ÁGUA - VALPARAISO/GO BOMBA HELICOIDAL DE TRANSFERÊNCIA DE CAL- COMPÕE SISTEMA DE HIDRÓXIDO DE CÁLCIO EM SUSPENSÃO AQUOSA</v>
      </c>
      <c r="C337" s="39" t="str">
        <f t="shared" si="13"/>
        <v>BOMBA HELICOIDAL DE TRANSFERÊNCIA DE CAL- COMPÕE SISTEMA DE HIDRÓXIDO DE CÁLCIO EM SUSPENSÃO AQUOSA</v>
      </c>
      <c r="E337" s="42" t="s">
        <v>194</v>
      </c>
      <c r="F337" s="41" t="s">
        <v>197</v>
      </c>
      <c r="G337" s="45" t="s">
        <v>199</v>
      </c>
      <c r="H337" s="41" t="s">
        <v>201</v>
      </c>
      <c r="I337" s="41" t="s">
        <v>440</v>
      </c>
      <c r="J337" s="40" t="s">
        <v>442</v>
      </c>
      <c r="K337" s="60">
        <v>45422</v>
      </c>
      <c r="O337" s="82">
        <v>45555</v>
      </c>
      <c r="Q337" s="96"/>
    </row>
    <row r="338" spans="1:17" ht="41.25" x14ac:dyDescent="0.35">
      <c r="A338" s="48" t="s">
        <v>304</v>
      </c>
      <c r="B338" s="39" t="str" cm="1">
        <f t="array" ref="B338">IF(A338&lt;&gt;"",_xlfn.XLOOKUP(_xlfn.NUMBERVALUE(A338),_xlfn.NUMBERVALUE(Carga[Tombamento]),Carga[Descrição do Bem]),"")</f>
        <v>ESTAÇÃO DE TRATAMENTO DE ÁGUA - VALPARAISO/GO BOMBA HELICOIDAL DE TRANSFERÊNCIA DE CAL- COMPÕE SISTEMA DE HIDRÓXIDO DE CÁLCIO EM SUSPENSÃO AQUOSA</v>
      </c>
      <c r="C338" s="39" t="str">
        <f t="shared" si="13"/>
        <v>BOMBA HELICOIDAL DE TRANSFERÊNCIA DE CAL- COMPÕE SISTEMA DE HIDRÓXIDO DE CÁLCIO EM SUSPENSÃO AQUOSA</v>
      </c>
      <c r="E338" s="42" t="s">
        <v>194</v>
      </c>
      <c r="F338" s="43" t="s">
        <v>197</v>
      </c>
      <c r="G338" s="44" t="s">
        <v>199</v>
      </c>
      <c r="H338" s="41" t="s">
        <v>201</v>
      </c>
      <c r="I338" s="43" t="s">
        <v>440</v>
      </c>
      <c r="J338" s="40" t="s">
        <v>442</v>
      </c>
      <c r="K338" s="60">
        <v>45422</v>
      </c>
      <c r="O338" s="82">
        <v>45555</v>
      </c>
      <c r="Q338" s="96"/>
    </row>
    <row r="339" spans="1:17" ht="32.25" x14ac:dyDescent="0.35">
      <c r="A339" s="48" t="s">
        <v>305</v>
      </c>
      <c r="B339" s="39" t="str" cm="1">
        <f t="array" ref="B339">IF(A339&lt;&gt;"",_xlfn.XLOOKUP(_xlfn.NUMBERVALUE(A339),_xlfn.NUMBERVALUE(Carga[Tombamento]),Carga[Descrição do Bem]),"")</f>
        <v>ESTAÇÃO DE TRATAMENTO DE ÁGUA - VALPARAISO/GO TANQUE - COMPÕE SISTEMA DE HIDRÓXIDO DE CÁLCIO EM SUSPENSÃO AQUOSA ETA CORUMBÁ</v>
      </c>
      <c r="C339" s="39" t="str">
        <f t="shared" si="13"/>
        <v>TANQUE - COMPÕE SISTEMA DE HIDRÓXIDO DE CÁLCIO EM SUSPENSÃO AQUOSA ETA CORUMBÁ</v>
      </c>
      <c r="E339" s="42" t="s">
        <v>194</v>
      </c>
      <c r="F339" s="41" t="s">
        <v>197</v>
      </c>
      <c r="G339" s="45" t="s">
        <v>199</v>
      </c>
      <c r="H339" s="41" t="s">
        <v>201</v>
      </c>
      <c r="I339" s="41" t="s">
        <v>440</v>
      </c>
      <c r="J339" s="40" t="s">
        <v>441</v>
      </c>
      <c r="K339" s="60">
        <v>45422</v>
      </c>
      <c r="O339" s="82">
        <v>45555</v>
      </c>
      <c r="Q339" s="96"/>
    </row>
    <row r="340" spans="1:17" ht="32.25" x14ac:dyDescent="0.35">
      <c r="A340" s="48" t="s">
        <v>307</v>
      </c>
      <c r="B340" s="39" t="str" cm="1">
        <f t="array" ref="B340">IF(A340&lt;&gt;"",_xlfn.XLOOKUP(_xlfn.NUMBERVALUE(A340),_xlfn.NUMBERVALUE(Carga[Tombamento]),Carga[Descrição do Bem]),"")</f>
        <v>ESTAÇÃO DE TRATAMENTO DE ÁGUA - VALPARAISO/GO TANQUE - COMPÕE SISTEMA DE HIDRÓXIDO DE CÁLCIO EM SUSPENSÃO AQUOSA ETA CORUMBÁ</v>
      </c>
      <c r="C340" s="39" t="str">
        <f t="shared" si="13"/>
        <v>TANQUE - COMPÕE SISTEMA DE HIDRÓXIDO DE CÁLCIO EM SUSPENSÃO AQUOSA ETA CORUMBÁ</v>
      </c>
      <c r="E340" s="42" t="s">
        <v>194</v>
      </c>
      <c r="F340" s="43" t="s">
        <v>197</v>
      </c>
      <c r="G340" s="44" t="s">
        <v>199</v>
      </c>
      <c r="H340" s="41" t="s">
        <v>201</v>
      </c>
      <c r="I340" s="43" t="s">
        <v>440</v>
      </c>
      <c r="J340" s="40" t="s">
        <v>441</v>
      </c>
      <c r="K340" s="60">
        <v>45422</v>
      </c>
      <c r="O340" s="82">
        <v>45555</v>
      </c>
      <c r="Q340" s="96"/>
    </row>
    <row r="341" spans="1:17" ht="32.25" x14ac:dyDescent="0.35">
      <c r="A341" s="48" t="s">
        <v>308</v>
      </c>
      <c r="B341" s="39" t="str" cm="1">
        <f t="array" ref="B341">IF(A341&lt;&gt;"",_xlfn.XLOOKUP(_xlfn.NUMBERVALUE(A341),_xlfn.NUMBERVALUE(Carga[Tombamento]),Carga[Descrição do Bem]),"")</f>
        <v>ESTAÇÃO DE TRATAMENTO DE ÁGUA - VALPARAISO/GO TANQUE - COMPÕE SISTEMA DE HIDRÓXIDO DE CÁLCIO EM SUSPENSÃO AQUOSA ETA CORUMBÁ</v>
      </c>
      <c r="C341" s="39" t="str">
        <f t="shared" si="13"/>
        <v>TANQUE - COMPÕE SISTEMA DE HIDRÓXIDO DE CÁLCIO EM SUSPENSÃO AQUOSA ETA CORUMBÁ</v>
      </c>
      <c r="E341" s="42" t="s">
        <v>194</v>
      </c>
      <c r="F341" s="41" t="s">
        <v>197</v>
      </c>
      <c r="G341" s="45" t="s">
        <v>199</v>
      </c>
      <c r="H341" s="41" t="s">
        <v>201</v>
      </c>
      <c r="I341" s="41" t="s">
        <v>440</v>
      </c>
      <c r="J341" s="40" t="s">
        <v>441</v>
      </c>
      <c r="K341" s="60">
        <v>45422</v>
      </c>
      <c r="O341" s="82">
        <v>45555</v>
      </c>
      <c r="Q341" s="96"/>
    </row>
    <row r="342" spans="1:17" ht="32.25" x14ac:dyDescent="0.35">
      <c r="A342" s="48" t="s">
        <v>309</v>
      </c>
      <c r="B342" s="39" t="str" cm="1">
        <f t="array" ref="B342">IF(A342&lt;&gt;"",_xlfn.XLOOKUP(_xlfn.NUMBERVALUE(A342),_xlfn.NUMBERVALUE(Carga[Tombamento]),Carga[Descrição do Bem]),"")</f>
        <v>ESTAÇÃO DE TRATAMENTO DE ÁGUA - VALPARAISO/GO TANQUE - COMPÕE SISTEMA DE HIDRÓXIDO DE CÁLCIO EM SUSPENSÃO AQUOSA ETA CORUMBÁ</v>
      </c>
      <c r="C342" s="39" t="str">
        <f t="shared" si="13"/>
        <v>TANQUE - COMPÕE SISTEMA DE HIDRÓXIDO DE CÁLCIO EM SUSPENSÃO AQUOSA ETA CORUMBÁ</v>
      </c>
      <c r="E342" s="42" t="s">
        <v>194</v>
      </c>
      <c r="F342" s="43" t="s">
        <v>197</v>
      </c>
      <c r="G342" s="44" t="s">
        <v>199</v>
      </c>
      <c r="H342" s="41" t="s">
        <v>201</v>
      </c>
      <c r="I342" s="43" t="s">
        <v>440</v>
      </c>
      <c r="J342" s="40" t="s">
        <v>441</v>
      </c>
      <c r="K342" s="60">
        <v>45422</v>
      </c>
      <c r="O342" s="82">
        <v>45555</v>
      </c>
      <c r="Q342" s="96"/>
    </row>
    <row r="343" spans="1:17" ht="41.25" x14ac:dyDescent="0.35">
      <c r="A343" s="48" t="s">
        <v>310</v>
      </c>
      <c r="B343" s="39" t="str" cm="1">
        <f t="array" ref="B343">IF(A343&lt;&gt;"",_xlfn.XLOOKUP(_xlfn.NUMBERVALUE(A343),_xlfn.NUMBERVALUE(Carga[Tombamento]),Carga[Descrição do Bem]),"")</f>
        <v>ESTAÇÃO DE TRATAMENTO DE ÁGUA - VALPARAISO/GO BOMBA HELICOIDAL DE DOSAGEM- COMPÕE SISTEMA DE HIDRÓXIDO DE CÁLCIO EM SUSPENSÃO AQUOSA</v>
      </c>
      <c r="C343" s="39" t="str">
        <f t="shared" si="13"/>
        <v>BOMBA HELICOIDAL DE DOSAGEM- COMPÕE SISTEMA DE HIDRÓXIDO DE CÁLCIO EM SUSPENSÃO AQUOSA</v>
      </c>
      <c r="E343" s="42" t="s">
        <v>194</v>
      </c>
      <c r="F343" s="41" t="s">
        <v>197</v>
      </c>
      <c r="G343" s="45" t="s">
        <v>199</v>
      </c>
      <c r="H343" s="41" t="s">
        <v>201</v>
      </c>
      <c r="I343" s="41" t="s">
        <v>440</v>
      </c>
      <c r="J343" s="40" t="s">
        <v>442</v>
      </c>
      <c r="K343" s="60">
        <v>45422</v>
      </c>
      <c r="O343" s="82">
        <v>45555</v>
      </c>
      <c r="Q343" s="96"/>
    </row>
    <row r="344" spans="1:17" ht="41.25" x14ac:dyDescent="0.35">
      <c r="A344" s="48" t="s">
        <v>312</v>
      </c>
      <c r="B344" s="39" t="str" cm="1">
        <f t="array" ref="B344">IF(A344&lt;&gt;"",_xlfn.XLOOKUP(_xlfn.NUMBERVALUE(A344),_xlfn.NUMBERVALUE(Carga[Tombamento]),Carga[Descrição do Bem]),"")</f>
        <v>ESTAÇÃO DE TRATAMENTO DE ÁGUA - VALPARAISO/GO BOMBA HELICOIDAL DE DOSAGEM- COMPÕE SISTEMA DE HIDRÓXIDO DE CÁLCIO EM SUSPENSÃO AQUOSA</v>
      </c>
      <c r="C344" s="39" t="str">
        <f t="shared" si="13"/>
        <v>BOMBA HELICOIDAL DE DOSAGEM- COMPÕE SISTEMA DE HIDRÓXIDO DE CÁLCIO EM SUSPENSÃO AQUOSA</v>
      </c>
      <c r="E344" s="42" t="s">
        <v>194</v>
      </c>
      <c r="F344" s="43" t="s">
        <v>197</v>
      </c>
      <c r="G344" s="44" t="s">
        <v>199</v>
      </c>
      <c r="H344" s="41" t="s">
        <v>201</v>
      </c>
      <c r="I344" s="43" t="s">
        <v>440</v>
      </c>
      <c r="J344" s="40" t="s">
        <v>442</v>
      </c>
      <c r="K344" s="60">
        <v>45422</v>
      </c>
      <c r="O344" s="82">
        <v>45555</v>
      </c>
      <c r="Q344" s="96"/>
    </row>
    <row r="345" spans="1:17" ht="41.25" x14ac:dyDescent="0.35">
      <c r="A345" s="48" t="s">
        <v>313</v>
      </c>
      <c r="B345" s="39" t="str" cm="1">
        <f t="array" ref="B345">IF(A345&lt;&gt;"",_xlfn.XLOOKUP(_xlfn.NUMBERVALUE(A345),_xlfn.NUMBERVALUE(Carga[Tombamento]),Carga[Descrição do Bem]),"")</f>
        <v>ESTAÇÃO DE TRATAMENTO DE ÁGUA - VALPARAISO/GO BOMBA HELICOIDAL DE DOSAGEM- COMPÕE SISTEMA DE HIDRÓXIDO DE CÁLCIO EM SUSPENSÃO AQUOSA</v>
      </c>
      <c r="C345" s="39" t="str">
        <f t="shared" si="13"/>
        <v>BOMBA HELICOIDAL DE DOSAGEM- COMPÕE SISTEMA DE HIDRÓXIDO DE CÁLCIO EM SUSPENSÃO AQUOSA</v>
      </c>
      <c r="E345" s="42" t="s">
        <v>194</v>
      </c>
      <c r="F345" s="41" t="s">
        <v>197</v>
      </c>
      <c r="G345" s="45" t="s">
        <v>199</v>
      </c>
      <c r="H345" s="41" t="s">
        <v>201</v>
      </c>
      <c r="I345" s="41" t="s">
        <v>440</v>
      </c>
      <c r="J345" s="40" t="s">
        <v>442</v>
      </c>
      <c r="K345" s="60">
        <v>45422</v>
      </c>
      <c r="O345" s="82">
        <v>45555</v>
      </c>
      <c r="Q345" s="96"/>
    </row>
    <row r="346" spans="1:17" ht="41.25" x14ac:dyDescent="0.35">
      <c r="A346" s="48" t="s">
        <v>314</v>
      </c>
      <c r="B346" s="39" t="str" cm="1">
        <f t="array" ref="B346">IF(A346&lt;&gt;"",_xlfn.XLOOKUP(_xlfn.NUMBERVALUE(A346),_xlfn.NUMBERVALUE(Carga[Tombamento]),Carga[Descrição do Bem]),"")</f>
        <v>ESTAÇÃO DE TRATAMENTO DE ÁGUA - VALPARAISO/GO VÁLVULA ESFERA PP COM ATUADOR ELÉTRICO- COMPÕE SISTEMA DE HIDRÓXIDO DE CÁLCIO EM SUSPENSÃO AQUOSA</v>
      </c>
      <c r="C346" s="39" t="str">
        <f t="shared" si="13"/>
        <v>VÁLVULA ESFERA PP COM ATUADOR ELÉTRICO- COMPÕE SISTEMA DE HIDRÓXIDO DE CÁLCIO EM SUSPENSÃO AQUOSA</v>
      </c>
      <c r="E346" s="42" t="s">
        <v>194</v>
      </c>
      <c r="F346" s="43" t="s">
        <v>197</v>
      </c>
      <c r="G346" s="44" t="s">
        <v>199</v>
      </c>
      <c r="H346" s="41" t="s">
        <v>201</v>
      </c>
      <c r="I346" s="43" t="s">
        <v>440</v>
      </c>
      <c r="J346" s="40" t="s">
        <v>441</v>
      </c>
      <c r="K346" s="60">
        <v>45422</v>
      </c>
      <c r="O346" s="82">
        <v>45555</v>
      </c>
      <c r="Q346" s="96"/>
    </row>
    <row r="347" spans="1:17" ht="41.25" x14ac:dyDescent="0.35">
      <c r="A347" s="48" t="s">
        <v>316</v>
      </c>
      <c r="B347" s="39" t="str" cm="1">
        <f t="array" ref="B347">IF(A347&lt;&gt;"",_xlfn.XLOOKUP(_xlfn.NUMBERVALUE(A347),_xlfn.NUMBERVALUE(Carga[Tombamento]),Carga[Descrição do Bem]),"")</f>
        <v>ESTAÇÃO DE TRATAMENTO DE ÁGUA - VALPARAISO/GO VÁLVULA ESFERA PP COM ATUADOR ELÉTRICO- COMPÕE SISTEMA DE HIDRÓXIDO DE CÁLCIO EM SUSPENSÃO AQUOSA</v>
      </c>
      <c r="C347" s="39" t="str">
        <f t="shared" si="13"/>
        <v>VÁLVULA ESFERA PP COM ATUADOR ELÉTRICO- COMPÕE SISTEMA DE HIDRÓXIDO DE CÁLCIO EM SUSPENSÃO AQUOSA</v>
      </c>
      <c r="E347" s="42" t="s">
        <v>194</v>
      </c>
      <c r="F347" s="41" t="s">
        <v>197</v>
      </c>
      <c r="G347" s="45" t="s">
        <v>199</v>
      </c>
      <c r="H347" s="41" t="s">
        <v>201</v>
      </c>
      <c r="I347" s="41" t="s">
        <v>440</v>
      </c>
      <c r="J347" s="40" t="s">
        <v>441</v>
      </c>
      <c r="K347" s="60">
        <v>45422</v>
      </c>
      <c r="O347" s="82">
        <v>45555</v>
      </c>
      <c r="Q347" s="96"/>
    </row>
    <row r="348" spans="1:17" ht="41.25" x14ac:dyDescent="0.35">
      <c r="A348" s="48" t="s">
        <v>317</v>
      </c>
      <c r="B348" s="39" t="str" cm="1">
        <f t="array" ref="B348">IF(A348&lt;&gt;"",_xlfn.XLOOKUP(_xlfn.NUMBERVALUE(A348),_xlfn.NUMBERVALUE(Carga[Tombamento]),Carga[Descrição do Bem]),"")</f>
        <v>ESTAÇÃO DE TRATAMENTO DE ÁGUA - VALPARAISO/GO VÁLVULA ESFERA PP COM ATUADOR ELÉTRICO- COMPÕE SISTEMA DE HIDRÓXIDO DE CÁLCIO EM SUSPENSÃO AQUOSA</v>
      </c>
      <c r="C348" s="39" t="str">
        <f t="shared" si="13"/>
        <v>VÁLVULA ESFERA PP COM ATUADOR ELÉTRICO- COMPÕE SISTEMA DE HIDRÓXIDO DE CÁLCIO EM SUSPENSÃO AQUOSA</v>
      </c>
      <c r="E348" s="42" t="s">
        <v>194</v>
      </c>
      <c r="F348" s="43" t="s">
        <v>197</v>
      </c>
      <c r="G348" s="44" t="s">
        <v>199</v>
      </c>
      <c r="H348" s="41" t="s">
        <v>201</v>
      </c>
      <c r="I348" s="43" t="s">
        <v>440</v>
      </c>
      <c r="J348" s="40" t="s">
        <v>441</v>
      </c>
      <c r="K348" s="60">
        <v>45422</v>
      </c>
      <c r="O348" s="82">
        <v>45555</v>
      </c>
      <c r="Q348" s="96"/>
    </row>
    <row r="349" spans="1:17" ht="41.25" x14ac:dyDescent="0.35">
      <c r="A349" s="48" t="s">
        <v>318</v>
      </c>
      <c r="B349" s="39" t="str" cm="1">
        <f t="array" ref="B349">IF(A349&lt;&gt;"",_xlfn.XLOOKUP(_xlfn.NUMBERVALUE(A349),_xlfn.NUMBERVALUE(Carga[Tombamento]),Carga[Descrição do Bem]),"")</f>
        <v>ESTAÇÃO DE TRATAMENTO DE ÁGUA - VALPARAISO/GO VÁLVULA ESFERA PP COM ATUADOR ELÉTRICO- COMPÕE SISTEMA DE HIDRÓXIDO DE CÁLCIO EM SUSPENSÃO AQUOSA</v>
      </c>
      <c r="C349" s="39" t="str">
        <f t="shared" si="13"/>
        <v>VÁLVULA ESFERA PP COM ATUADOR ELÉTRICO- COMPÕE SISTEMA DE HIDRÓXIDO DE CÁLCIO EM SUSPENSÃO AQUOSA</v>
      </c>
      <c r="E349" s="42" t="s">
        <v>194</v>
      </c>
      <c r="F349" s="41" t="s">
        <v>197</v>
      </c>
      <c r="G349" s="45" t="s">
        <v>199</v>
      </c>
      <c r="H349" s="41" t="s">
        <v>201</v>
      </c>
      <c r="I349" s="41" t="s">
        <v>440</v>
      </c>
      <c r="J349" s="40" t="s">
        <v>441</v>
      </c>
      <c r="K349" s="60">
        <v>45422</v>
      </c>
      <c r="O349" s="82">
        <v>45555</v>
      </c>
      <c r="Q349" s="96"/>
    </row>
    <row r="350" spans="1:17" ht="41.25" x14ac:dyDescent="0.35">
      <c r="A350" s="48" t="s">
        <v>319</v>
      </c>
      <c r="B350" s="39" t="str" cm="1">
        <f t="array" ref="B350">IF(A350&lt;&gt;"",_xlfn.XLOOKUP(_xlfn.NUMBERVALUE(A350),_xlfn.NUMBERVALUE(Carga[Tombamento]),Carga[Descrição do Bem]),"")</f>
        <v>ESTAÇÃO DE TRATAMENTO DE ÁGUA - VALPARAISO/GO VÁLVULA SOLENOIDE EM PP COM ATUADOR ELÉTRICO- COMPÕE SISTEMA DE HIDRÓXIDO DE CÁLCIO EM SUSPENSÃO AQUOSA</v>
      </c>
      <c r="C350" s="39" t="str">
        <f t="shared" si="13"/>
        <v>VÁLVULA SOLENOIDE EM PP COM ATUADOR ELÉTRICO- COMPÕE SISTEMA DE HIDRÓXIDO DE CÁLCIO EM SUSPENSÃO AQUOSA</v>
      </c>
      <c r="E350" s="42" t="s">
        <v>194</v>
      </c>
      <c r="F350" s="43" t="s">
        <v>197</v>
      </c>
      <c r="G350" s="44" t="s">
        <v>199</v>
      </c>
      <c r="H350" s="41" t="s">
        <v>201</v>
      </c>
      <c r="I350" s="43" t="s">
        <v>440</v>
      </c>
      <c r="J350" s="40" t="s">
        <v>441</v>
      </c>
      <c r="K350" s="60">
        <v>45422</v>
      </c>
      <c r="O350" s="82">
        <v>45555</v>
      </c>
      <c r="Q350" s="96"/>
    </row>
    <row r="351" spans="1:17" ht="41.25" x14ac:dyDescent="0.35">
      <c r="A351" s="48" t="s">
        <v>321</v>
      </c>
      <c r="B351" s="39" t="str" cm="1">
        <f t="array" ref="B351">IF(A351&lt;&gt;"",_xlfn.XLOOKUP(_xlfn.NUMBERVALUE(A351),_xlfn.NUMBERVALUE(Carga[Tombamento]),Carga[Descrição do Bem]),"")</f>
        <v>ESTAÇÃO DE TRATAMENTO DE ÁGUA - VALPARAISO/GO VÁLVULA SOLENOIDE EM PP COM ATUADOR ELÉTRICO- COMPÕE SISTEMA DE HIDRÓXIDO DE CÁLCIO EM SUSPENSÃO AQUOSA</v>
      </c>
      <c r="C351" s="39" t="str">
        <f t="shared" si="13"/>
        <v>VÁLVULA SOLENOIDE EM PP COM ATUADOR ELÉTRICO- COMPÕE SISTEMA DE HIDRÓXIDO DE CÁLCIO EM SUSPENSÃO AQUOSA</v>
      </c>
      <c r="E351" s="42" t="s">
        <v>194</v>
      </c>
      <c r="F351" s="41" t="s">
        <v>197</v>
      </c>
      <c r="G351" s="45" t="s">
        <v>199</v>
      </c>
      <c r="H351" s="41" t="s">
        <v>201</v>
      </c>
      <c r="I351" s="41" t="s">
        <v>440</v>
      </c>
      <c r="J351" s="40" t="s">
        <v>441</v>
      </c>
      <c r="K351" s="60">
        <v>45422</v>
      </c>
      <c r="O351" s="82">
        <v>45555</v>
      </c>
      <c r="Q351" s="96"/>
    </row>
    <row r="352" spans="1:17" ht="41.25" x14ac:dyDescent="0.35">
      <c r="A352" s="48" t="s">
        <v>322</v>
      </c>
      <c r="B352" s="39" t="str" cm="1">
        <f t="array" ref="B352">IF(A352&lt;&gt;"",_xlfn.XLOOKUP(_xlfn.NUMBERVALUE(A352),_xlfn.NUMBERVALUE(Carga[Tombamento]),Carga[Descrição do Bem]),"")</f>
        <v>ESTAÇÃO DE TRATAMENTO DE ÁGUA - VALPARAISO/GO VÁLVULA SOLENOIDE EM PP COM ATUADOR ELÉTRICO- COMPÕE SISTEMA DE HIDRÓXIDO DE CÁLCIO EM SUSPENSÃO AQUOSA</v>
      </c>
      <c r="C352" s="39" t="str">
        <f t="shared" si="13"/>
        <v>VÁLVULA SOLENOIDE EM PP COM ATUADOR ELÉTRICO- COMPÕE SISTEMA DE HIDRÓXIDO DE CÁLCIO EM SUSPENSÃO AQUOSA</v>
      </c>
      <c r="E352" s="42" t="s">
        <v>194</v>
      </c>
      <c r="F352" s="43" t="s">
        <v>197</v>
      </c>
      <c r="G352" s="44" t="s">
        <v>199</v>
      </c>
      <c r="H352" s="41" t="s">
        <v>201</v>
      </c>
      <c r="I352" s="43" t="s">
        <v>440</v>
      </c>
      <c r="J352" s="40" t="s">
        <v>441</v>
      </c>
      <c r="K352" s="60">
        <v>45422</v>
      </c>
      <c r="O352" s="82">
        <v>45555</v>
      </c>
      <c r="Q352" s="96"/>
    </row>
    <row r="353" spans="1:17" ht="41.25" x14ac:dyDescent="0.35">
      <c r="A353" s="48" t="s">
        <v>323</v>
      </c>
      <c r="B353" s="39" t="str" cm="1">
        <f t="array" ref="B353">IF(A353&lt;&gt;"",_xlfn.XLOOKUP(_xlfn.NUMBERVALUE(A353),_xlfn.NUMBERVALUE(Carga[Tombamento]),Carga[Descrição do Bem]),"")</f>
        <v>ESTAÇÃO DE TRATAMENTO DE ÁGUA - VALPARAISO/GO VÁLVULA SOLENOIDE EM PP COM ATUADOR ELÉTRICO- COMPÕE SISTEMA DE HIDRÓXIDO DE CÁLCIO EM SUSPENSÃO AQUOSA</v>
      </c>
      <c r="C353" s="39" t="str">
        <f t="shared" si="13"/>
        <v>VÁLVULA SOLENOIDE EM PP COM ATUADOR ELÉTRICO- COMPÕE SISTEMA DE HIDRÓXIDO DE CÁLCIO EM SUSPENSÃO AQUOSA</v>
      </c>
      <c r="E353" s="42" t="s">
        <v>194</v>
      </c>
      <c r="F353" s="41" t="s">
        <v>197</v>
      </c>
      <c r="G353" s="45" t="s">
        <v>199</v>
      </c>
      <c r="H353" s="41" t="s">
        <v>201</v>
      </c>
      <c r="I353" s="41" t="s">
        <v>440</v>
      </c>
      <c r="J353" s="40" t="s">
        <v>441</v>
      </c>
      <c r="K353" s="60">
        <v>45422</v>
      </c>
      <c r="O353" s="82">
        <v>45555</v>
      </c>
      <c r="Q353" s="96"/>
    </row>
    <row r="354" spans="1:17" ht="41.25" x14ac:dyDescent="0.35">
      <c r="A354" s="48" t="s">
        <v>324</v>
      </c>
      <c r="B354" s="39" t="str" cm="1">
        <f t="array" ref="B354">IF(A354&lt;&gt;"",_xlfn.XLOOKUP(_xlfn.NUMBERVALUE(A354),_xlfn.NUMBERVALUE(Carga[Tombamento]),Carga[Descrição do Bem]),"")</f>
        <v>ESTAÇÃO DE TRATAMENTO DE ÁGUA - VALPARAISO/GO VÁLVULA SOLENOIDE EM PP COM ATUADOR ELÉTRICO- COMPÕE SISTEMA DE HIDRÓXIDO DE CÁLCIO EM SUSPENSÃO AQUOSA</v>
      </c>
      <c r="C354" s="39" t="str">
        <f t="shared" si="13"/>
        <v>VÁLVULA SOLENOIDE EM PP COM ATUADOR ELÉTRICO- COMPÕE SISTEMA DE HIDRÓXIDO DE CÁLCIO EM SUSPENSÃO AQUOSA</v>
      </c>
      <c r="E354" s="42" t="s">
        <v>194</v>
      </c>
      <c r="F354" s="43" t="s">
        <v>197</v>
      </c>
      <c r="G354" s="44" t="s">
        <v>199</v>
      </c>
      <c r="H354" s="41" t="s">
        <v>201</v>
      </c>
      <c r="I354" s="43" t="s">
        <v>440</v>
      </c>
      <c r="J354" s="40" t="s">
        <v>441</v>
      </c>
      <c r="K354" s="60">
        <v>45422</v>
      </c>
      <c r="O354" s="82">
        <v>45555</v>
      </c>
      <c r="Q354" s="96"/>
    </row>
    <row r="355" spans="1:17" ht="41.25" x14ac:dyDescent="0.35">
      <c r="A355" s="48" t="s">
        <v>325</v>
      </c>
      <c r="B355" s="39" t="str" cm="1">
        <f t="array" ref="B355">IF(A355&lt;&gt;"",_xlfn.XLOOKUP(_xlfn.NUMBERVALUE(A355),_xlfn.NUMBERVALUE(Carga[Tombamento]),Carga[Descrição do Bem]),"")</f>
        <v>ESTAÇÃO DE TRATAMENTO DE ÁGUA - VALPARAISO/GO VÁLVULA SOLENOIDE EM PP COM ATUADOR ELÉTRICO- COMPÕE SISTEMA DE HIDRÓXIDO DE CÁLCIO EM SUSPENSÃO AQUOSA</v>
      </c>
      <c r="C355" s="39" t="str">
        <f t="shared" si="13"/>
        <v>VÁLVULA SOLENOIDE EM PP COM ATUADOR ELÉTRICO- COMPÕE SISTEMA DE HIDRÓXIDO DE CÁLCIO EM SUSPENSÃO AQUOSA</v>
      </c>
      <c r="E355" s="42" t="s">
        <v>194</v>
      </c>
      <c r="F355" s="41" t="s">
        <v>197</v>
      </c>
      <c r="G355" s="45" t="s">
        <v>199</v>
      </c>
      <c r="H355" s="41" t="s">
        <v>201</v>
      </c>
      <c r="I355" s="41" t="s">
        <v>440</v>
      </c>
      <c r="J355" s="40" t="s">
        <v>441</v>
      </c>
      <c r="K355" s="60">
        <v>45422</v>
      </c>
      <c r="O355" s="82">
        <v>45555</v>
      </c>
      <c r="Q355" s="96"/>
    </row>
    <row r="356" spans="1:17" ht="41.25" x14ac:dyDescent="0.35">
      <c r="A356" s="48" t="s">
        <v>326</v>
      </c>
      <c r="B356" s="39" t="str" cm="1">
        <f t="array" ref="B356">IF(A356&lt;&gt;"",_xlfn.XLOOKUP(_xlfn.NUMBERVALUE(A356),_xlfn.NUMBERVALUE(Carga[Tombamento]),Carga[Descrição do Bem]),"")</f>
        <v>ESTAÇÃO DE TRATAMENTO DE ÁGUA - VALPARAISO/GO VÁLVULA ESFERA EM PP COM ATUADOR ELÉTRICO- COMPÕE SISTEMA DE HIDRÓXIDO DE CÁLCIO EM SUSPENSÃO AQUOSA</v>
      </c>
      <c r="C356" s="39" t="str">
        <f t="shared" si="13"/>
        <v>VÁLVULA ESFERA EM PP COM ATUADOR ELÉTRICO- COMPÕE SISTEMA DE HIDRÓXIDO DE CÁLCIO EM SUSPENSÃO AQUOSA</v>
      </c>
      <c r="E356" s="42" t="s">
        <v>194</v>
      </c>
      <c r="F356" s="43" t="s">
        <v>197</v>
      </c>
      <c r="G356" s="44" t="s">
        <v>199</v>
      </c>
      <c r="H356" s="41" t="s">
        <v>201</v>
      </c>
      <c r="I356" s="43" t="s">
        <v>440</v>
      </c>
      <c r="J356" s="40" t="s">
        <v>441</v>
      </c>
      <c r="K356" s="60">
        <v>45422</v>
      </c>
      <c r="O356" s="82">
        <v>45555</v>
      </c>
      <c r="Q356" s="96"/>
    </row>
    <row r="357" spans="1:17" ht="41.25" x14ac:dyDescent="0.35">
      <c r="A357" s="48" t="s">
        <v>328</v>
      </c>
      <c r="B357" s="39" t="str" cm="1">
        <f t="array" ref="B357">IF(A357&lt;&gt;"",_xlfn.XLOOKUP(_xlfn.NUMBERVALUE(A357),_xlfn.NUMBERVALUE(Carga[Tombamento]),Carga[Descrição do Bem]),"")</f>
        <v>ESTAÇÃO DE TRATAMENTO DE ÁGUA - VALPARAISO/GO VÁLVULA ESFERA EM PP COM ATUADOR ELÉTRICO- COMPÕE SISTEMA DE HIDRÓXIDO DE CÁLCIO EM SUSPENSÃO AQUOSA</v>
      </c>
      <c r="C357" s="39" t="str">
        <f t="shared" si="13"/>
        <v>VÁLVULA ESFERA EM PP COM ATUADOR ELÉTRICO- COMPÕE SISTEMA DE HIDRÓXIDO DE CÁLCIO EM SUSPENSÃO AQUOSA</v>
      </c>
      <c r="E357" s="42" t="s">
        <v>194</v>
      </c>
      <c r="F357" s="41" t="s">
        <v>197</v>
      </c>
      <c r="G357" s="45" t="s">
        <v>199</v>
      </c>
      <c r="H357" s="41" t="s">
        <v>201</v>
      </c>
      <c r="I357" s="41" t="s">
        <v>440</v>
      </c>
      <c r="J357" s="40" t="s">
        <v>441</v>
      </c>
      <c r="K357" s="60">
        <v>45422</v>
      </c>
      <c r="O357" s="82">
        <v>45555</v>
      </c>
      <c r="Q357" s="96"/>
    </row>
    <row r="358" spans="1:17" ht="41.25" x14ac:dyDescent="0.35">
      <c r="A358" s="48" t="s">
        <v>329</v>
      </c>
      <c r="B358" s="39" t="str" cm="1">
        <f t="array" ref="B358">IF(A358&lt;&gt;"",_xlfn.XLOOKUP(_xlfn.NUMBERVALUE(A358),_xlfn.NUMBERVALUE(Carga[Tombamento]),Carga[Descrição do Bem]),"")</f>
        <v>ESTAÇÃO DE TRATAMENTO DE ÁGUA - VALPARAISO/GO BOMBA HELICOIDAL DE DOSAGEM- COMPÕE SISTEMA DE HIDRÓXIDO DE CÁLCIO EM SUSPENSÃO AQUOSA</v>
      </c>
      <c r="C358" s="39" t="str">
        <f t="shared" si="13"/>
        <v>BOMBA HELICOIDAL DE DOSAGEM- COMPÕE SISTEMA DE HIDRÓXIDO DE CÁLCIO EM SUSPENSÃO AQUOSA</v>
      </c>
      <c r="E358" s="42" t="s">
        <v>194</v>
      </c>
      <c r="F358" s="43" t="s">
        <v>197</v>
      </c>
      <c r="G358" s="44" t="s">
        <v>199</v>
      </c>
      <c r="H358" s="41" t="s">
        <v>201</v>
      </c>
      <c r="I358" s="43" t="s">
        <v>440</v>
      </c>
      <c r="J358" s="40" t="s">
        <v>442</v>
      </c>
      <c r="K358" s="60">
        <v>45422</v>
      </c>
      <c r="O358" s="82">
        <v>45555</v>
      </c>
      <c r="Q358" s="96"/>
    </row>
    <row r="359" spans="1:17" ht="41.25" x14ac:dyDescent="0.35">
      <c r="A359" s="48" t="s">
        <v>330</v>
      </c>
      <c r="B359" s="39" t="str" cm="1">
        <f t="array" ref="B359">IF(A359&lt;&gt;"",_xlfn.XLOOKUP(_xlfn.NUMBERVALUE(A359),_xlfn.NUMBERVALUE(Carga[Tombamento]),Carga[Descrição do Bem]),"")</f>
        <v>ESTAÇÃO DE TRATAMENTO DE ÁGUA - VALPARAISO/GO BOMBA HELICOIDAL DE DOSAGEM- COMPÕE SISTEMA DE HIDRÓXIDO DE CÁLCIO EM SUSPENSÃO AQUOSA</v>
      </c>
      <c r="C359" s="39" t="str">
        <f t="shared" si="13"/>
        <v>BOMBA HELICOIDAL DE DOSAGEM- COMPÕE SISTEMA DE HIDRÓXIDO DE CÁLCIO EM SUSPENSÃO AQUOSA</v>
      </c>
      <c r="E359" s="42" t="s">
        <v>194</v>
      </c>
      <c r="F359" s="41" t="s">
        <v>197</v>
      </c>
      <c r="G359" s="45" t="s">
        <v>199</v>
      </c>
      <c r="H359" s="41" t="s">
        <v>201</v>
      </c>
      <c r="I359" s="41" t="s">
        <v>440</v>
      </c>
      <c r="J359" s="40" t="s">
        <v>442</v>
      </c>
      <c r="K359" s="60">
        <v>45422</v>
      </c>
      <c r="O359" s="82">
        <v>45555</v>
      </c>
      <c r="Q359" s="96"/>
    </row>
    <row r="360" spans="1:17" ht="41.25" x14ac:dyDescent="0.35">
      <c r="A360" s="48" t="s">
        <v>331</v>
      </c>
      <c r="B360" s="39" t="str" cm="1">
        <f t="array" ref="B360">IF(A360&lt;&gt;"",_xlfn.XLOOKUP(_xlfn.NUMBERVALUE(A360),_xlfn.NUMBERVALUE(Carga[Tombamento]),Carga[Descrição do Bem]),"")</f>
        <v>ESTAÇÃO DE TRATAMENTO DE ÁGUA - VALPARAISO/GO BOMBA HELICOIDAL DE DOSAGEM- COMPÕE SISTEMA DE HIDRÓXIDO DE CÁLCIO EM SUSPENSÃO AQUOSA</v>
      </c>
      <c r="C360" s="39" t="str">
        <f t="shared" si="13"/>
        <v>BOMBA HELICOIDAL DE DOSAGEM- COMPÕE SISTEMA DE HIDRÓXIDO DE CÁLCIO EM SUSPENSÃO AQUOSA</v>
      </c>
      <c r="E360" s="42" t="s">
        <v>194</v>
      </c>
      <c r="F360" s="43" t="s">
        <v>197</v>
      </c>
      <c r="G360" s="44" t="s">
        <v>199</v>
      </c>
      <c r="H360" s="41" t="s">
        <v>201</v>
      </c>
      <c r="I360" s="43" t="s">
        <v>440</v>
      </c>
      <c r="J360" s="40" t="s">
        <v>442</v>
      </c>
      <c r="K360" s="60">
        <v>45422</v>
      </c>
      <c r="O360" s="82">
        <v>45555</v>
      </c>
      <c r="Q360" s="96"/>
    </row>
    <row r="361" spans="1:17" ht="41.25" x14ac:dyDescent="0.35">
      <c r="A361" s="48" t="s">
        <v>332</v>
      </c>
      <c r="B361" s="39" t="str" cm="1">
        <f t="array" ref="B361">IF(A361&lt;&gt;"",_xlfn.XLOOKUP(_xlfn.NUMBERVALUE(A361),_xlfn.NUMBERVALUE(Carga[Tombamento]),Carga[Descrição do Bem]),"")</f>
        <v>ESTAÇÃO DE TRATAMENTO DE ÁGUA - VALPARAISO/GO QUADRO DE FORÇA COMANDO E CONTROLE- COMPÕE SISTEMA DE HIDRÓXIDO DE CÁLCIO EM SUSPENSÃO AQUOSA</v>
      </c>
      <c r="C361" s="39" t="str">
        <f t="shared" si="13"/>
        <v>QUADRO DE FORÇA COMANDO E CONTROLE- COMPÕE SISTEMA DE HIDRÓXIDO DE CÁLCIO EM SUSPENSÃO AQUOSA</v>
      </c>
      <c r="E361" s="42" t="s">
        <v>194</v>
      </c>
      <c r="F361" s="41" t="s">
        <v>197</v>
      </c>
      <c r="G361" s="45" t="s">
        <v>199</v>
      </c>
      <c r="H361" s="41" t="s">
        <v>201</v>
      </c>
      <c r="I361" s="41" t="s">
        <v>55</v>
      </c>
      <c r="J361" s="40" t="s">
        <v>71</v>
      </c>
      <c r="K361" s="60">
        <v>45422</v>
      </c>
      <c r="O361" s="82">
        <v>45555</v>
      </c>
      <c r="Q361" s="96"/>
    </row>
    <row r="362" spans="1:17" ht="25.5" x14ac:dyDescent="0.35">
      <c r="A362" s="48" t="s">
        <v>334</v>
      </c>
      <c r="B362" s="39" t="str" cm="1">
        <f t="array" ref="B362">IF(A362&lt;&gt;"",_xlfn.XLOOKUP(_xlfn.NUMBERVALUE(A362),_xlfn.NUMBERVALUE(Carga[Tombamento]),Carga[Descrição do Bem]),"")</f>
        <v>ARMÁRIO ARMÁRIO MÉDIO</v>
      </c>
      <c r="C362" s="39" t="str">
        <f t="shared" si="12"/>
        <v>ARMÁRIO MÉDIO</v>
      </c>
      <c r="E362" s="42" t="s">
        <v>205</v>
      </c>
      <c r="F362" s="43" t="s">
        <v>207</v>
      </c>
      <c r="G362" s="44" t="s">
        <v>199</v>
      </c>
      <c r="H362" s="41" t="s">
        <v>201</v>
      </c>
      <c r="I362" s="43" t="s">
        <v>36</v>
      </c>
      <c r="J362" s="40" t="s">
        <v>81</v>
      </c>
      <c r="K362" s="60">
        <v>45422</v>
      </c>
      <c r="O362" s="82">
        <v>45560</v>
      </c>
      <c r="Q362" s="96"/>
    </row>
    <row r="363" spans="1:17" ht="25.5" x14ac:dyDescent="0.35">
      <c r="A363" s="48" t="s">
        <v>336</v>
      </c>
      <c r="B363" s="39" t="str" cm="1">
        <f t="array" ref="B363">IF(A363&lt;&gt;"",_xlfn.XLOOKUP(_xlfn.NUMBERVALUE(A363),_xlfn.NUMBERVALUE(Carga[Tombamento]),Carga[Descrição do Bem]),"")</f>
        <v>ESTAÇÃO DE RECALQUE - ÁGUA - DF MEDIOR DE NÍVEL SIEMENS - HYDRORANGER 200</v>
      </c>
      <c r="C363" s="39" t="str">
        <f>MID(B363,32,160)</f>
        <v xml:space="preserve"> MEDIOR DE NÍVEL SIEMENS - HYDRORANGER 200</v>
      </c>
      <c r="E363" s="42" t="s">
        <v>194</v>
      </c>
      <c r="F363" s="41" t="s">
        <v>197</v>
      </c>
      <c r="G363" s="45" t="s">
        <v>199</v>
      </c>
      <c r="H363" s="41" t="s">
        <v>201</v>
      </c>
      <c r="I363" s="41" t="s">
        <v>53</v>
      </c>
      <c r="J363" s="40" t="s">
        <v>249</v>
      </c>
      <c r="K363" s="60">
        <v>45422</v>
      </c>
      <c r="O363" s="82">
        <v>45558</v>
      </c>
      <c r="Q363" s="96"/>
    </row>
    <row r="364" spans="1:17" ht="25.5" x14ac:dyDescent="0.35">
      <c r="A364" s="48" t="s">
        <v>338</v>
      </c>
      <c r="B364" s="39" t="str" cm="1">
        <f t="array" ref="B364">IF(A364&lt;&gt;"",_xlfn.XLOOKUP(_xlfn.NUMBERVALUE(A364),_xlfn.NUMBERVALUE(Carga[Tombamento]),Carga[Descrição do Bem]),"")</f>
        <v>ESTAÇÃO DE RECALQUE - ÁGUA - DF TRANSMISSOR DE PRESSÃO SIEMENS - DE-76181.</v>
      </c>
      <c r="C364" s="39" t="str">
        <f>MID(B364,32,160)</f>
        <v xml:space="preserve"> TRANSMISSOR DE PRESSÃO SIEMENS - DE-76181.</v>
      </c>
      <c r="E364" s="42" t="s">
        <v>194</v>
      </c>
      <c r="F364" s="43" t="s">
        <v>197</v>
      </c>
      <c r="G364" s="44" t="s">
        <v>199</v>
      </c>
      <c r="H364" s="41" t="s">
        <v>201</v>
      </c>
      <c r="I364" s="43" t="s">
        <v>53</v>
      </c>
      <c r="J364" s="40" t="s">
        <v>260</v>
      </c>
      <c r="K364" s="60">
        <v>45421</v>
      </c>
      <c r="O364" s="82">
        <v>45553</v>
      </c>
      <c r="Q364" s="96"/>
    </row>
    <row r="365" spans="1:17" ht="32.25" x14ac:dyDescent="0.35">
      <c r="A365" s="48" t="s">
        <v>340</v>
      </c>
      <c r="B365" s="39" t="str" cm="1">
        <f t="array" ref="B365">IF(A365&lt;&gt;"",_xlfn.XLOOKUP(_xlfn.NUMBERVALUE(A365),_xlfn.NUMBERVALUE(Carga[Tombamento]),Carga[Descrição do Bem]),"")</f>
        <v>ESTAÇÃO DE TRATAMENTO DE ÁGUA - VALPARAISO/GO ANALISADOR DE CARBONO COM INTERFACE DE COMUNICAÇÃO EM REDE</v>
      </c>
      <c r="C365" s="39" t="str">
        <f t="shared" si="13"/>
        <v>ANALISADOR DE CARBONO COM INTERFACE DE COMUNICAÇÃO EM REDE</v>
      </c>
      <c r="E365" s="42" t="s">
        <v>205</v>
      </c>
      <c r="F365" s="41" t="s">
        <v>207</v>
      </c>
      <c r="G365" s="45" t="s">
        <v>199</v>
      </c>
      <c r="H365" s="41" t="s">
        <v>201</v>
      </c>
      <c r="I365" s="41" t="s">
        <v>36</v>
      </c>
      <c r="J365" s="40" t="s">
        <v>77</v>
      </c>
      <c r="K365" s="60">
        <v>45422</v>
      </c>
      <c r="O365" s="82">
        <v>45560</v>
      </c>
      <c r="Q365" s="96"/>
    </row>
    <row r="366" spans="1:17" ht="25.5" x14ac:dyDescent="0.35">
      <c r="A366" s="48" t="s">
        <v>342</v>
      </c>
      <c r="B366" s="39" t="str" cm="1">
        <f t="array" ref="B366">IF(A366&lt;&gt;"",_xlfn.XLOOKUP(_xlfn.NUMBERVALUE(A366),_xlfn.NUMBERVALUE(Carga[Tombamento]),Carga[Descrição do Bem]),"")</f>
        <v>ESTAÇÃO DE TRATAMENTO DE ÁGUA - VALPARAISO/GO ANALISADOR DE TURBIDEZ (TURBIDÍMETRO)</v>
      </c>
      <c r="C366" s="39" t="str">
        <f t="shared" si="13"/>
        <v>ANALISADOR DE TURBIDEZ (TURBIDÍMETRO)</v>
      </c>
      <c r="E366" s="42" t="s">
        <v>194</v>
      </c>
      <c r="F366" s="43" t="s">
        <v>197</v>
      </c>
      <c r="G366" s="44" t="s">
        <v>199</v>
      </c>
      <c r="H366" s="41" t="s">
        <v>201</v>
      </c>
      <c r="I366" s="43" t="s">
        <v>438</v>
      </c>
      <c r="J366" s="40" t="s">
        <v>439</v>
      </c>
      <c r="K366" s="60">
        <v>45421</v>
      </c>
      <c r="O366" s="82">
        <v>45553</v>
      </c>
      <c r="Q366" s="96"/>
    </row>
    <row r="367" spans="1:17" ht="25.5" x14ac:dyDescent="0.35">
      <c r="A367" s="48" t="s">
        <v>344</v>
      </c>
      <c r="B367" s="39" t="str" cm="1">
        <f t="array" ref="B367">IF(A367&lt;&gt;"",_xlfn.XLOOKUP(_xlfn.NUMBERVALUE(A367),_xlfn.NUMBERVALUE(Carga[Tombamento]),Carga[Descrição do Bem]),"")</f>
        <v>ESTAÇÃO DE TRATAMENTO DE ÁGUA - VALPARAISO/GO ANALISADOR DE TURBIDEZ (TURBIDÍMETRO)</v>
      </c>
      <c r="C367" s="39" t="str">
        <f t="shared" si="13"/>
        <v>ANALISADOR DE TURBIDEZ (TURBIDÍMETRO)</v>
      </c>
      <c r="E367" s="42" t="s">
        <v>194</v>
      </c>
      <c r="F367" s="41" t="s">
        <v>197</v>
      </c>
      <c r="G367" s="45" t="s">
        <v>199</v>
      </c>
      <c r="H367" s="41" t="s">
        <v>201</v>
      </c>
      <c r="I367" s="41" t="s">
        <v>438</v>
      </c>
      <c r="J367" s="40" t="s">
        <v>439</v>
      </c>
      <c r="K367" s="60">
        <v>45421</v>
      </c>
      <c r="O367" s="82">
        <v>45553</v>
      </c>
      <c r="Q367" s="96"/>
    </row>
    <row r="368" spans="1:17" ht="25.5" x14ac:dyDescent="0.35">
      <c r="A368" s="48" t="s">
        <v>345</v>
      </c>
      <c r="B368" s="39" t="str" cm="1">
        <f t="array" ref="B368">IF(A368&lt;&gt;"",_xlfn.XLOOKUP(_xlfn.NUMBERVALUE(A368),_xlfn.NUMBERVALUE(Carga[Tombamento]),Carga[Descrição do Bem]),"")</f>
        <v>ESTAÇÃO DE TRATAMENTO DE ÁGUA - VALPARAISO/GO ANALISADOR DE TURBIDEZ (TURBIDÍMETRO)</v>
      </c>
      <c r="C368" s="39" t="str">
        <f t="shared" si="13"/>
        <v>ANALISADOR DE TURBIDEZ (TURBIDÍMETRO)</v>
      </c>
      <c r="E368" s="42" t="s">
        <v>194</v>
      </c>
      <c r="F368" s="43" t="s">
        <v>197</v>
      </c>
      <c r="G368" s="44" t="s">
        <v>199</v>
      </c>
      <c r="H368" s="41" t="s">
        <v>201</v>
      </c>
      <c r="I368" s="43" t="s">
        <v>54</v>
      </c>
      <c r="J368" s="40" t="s">
        <v>240</v>
      </c>
      <c r="K368" s="60">
        <v>45421</v>
      </c>
      <c r="O368" s="82">
        <v>45562</v>
      </c>
      <c r="Q368" s="96"/>
    </row>
    <row r="369" spans="1:17" ht="25.5" x14ac:dyDescent="0.35">
      <c r="A369" s="48" t="s">
        <v>346</v>
      </c>
      <c r="B369" s="39" t="str" cm="1">
        <f t="array" ref="B369">IF(A369&lt;&gt;"",_xlfn.XLOOKUP(_xlfn.NUMBERVALUE(A369),_xlfn.NUMBERVALUE(Carga[Tombamento]),Carga[Descrição do Bem]),"")</f>
        <v>ESTAÇÃO DE TRATAMENTO DE ÁGUA - VALPARAISO/GO ANALISADOR DE TURBIDEZ (TURBIDÍMETRO)</v>
      </c>
      <c r="C369" s="39" t="str">
        <f t="shared" si="13"/>
        <v>ANALISADOR DE TURBIDEZ (TURBIDÍMETRO)</v>
      </c>
      <c r="E369" s="42" t="s">
        <v>194</v>
      </c>
      <c r="F369" s="41" t="s">
        <v>197</v>
      </c>
      <c r="G369" s="45" t="s">
        <v>199</v>
      </c>
      <c r="H369" s="41" t="s">
        <v>201</v>
      </c>
      <c r="I369" s="41" t="s">
        <v>438</v>
      </c>
      <c r="J369" s="40" t="s">
        <v>439</v>
      </c>
      <c r="K369" s="60">
        <v>45421</v>
      </c>
      <c r="O369" s="82">
        <v>45553</v>
      </c>
      <c r="Q369" s="96"/>
    </row>
    <row r="370" spans="1:17" ht="25.5" x14ac:dyDescent="0.35">
      <c r="A370" s="48" t="s">
        <v>347</v>
      </c>
      <c r="B370" s="39" t="str" cm="1">
        <f t="array" ref="B370">IF(A370&lt;&gt;"",_xlfn.XLOOKUP(_xlfn.NUMBERVALUE(A370),_xlfn.NUMBERVALUE(Carga[Tombamento]),Carga[Descrição do Bem]),"")</f>
        <v>ESTAÇÃO DE TRATAMENTO DE ÁGUA - VALPARAISO/GO ANALISADOR DE TURBIDEZ (TURBIDÍMETRO)</v>
      </c>
      <c r="C370" s="39" t="str">
        <f t="shared" si="13"/>
        <v>ANALISADOR DE TURBIDEZ (TURBIDÍMETRO)</v>
      </c>
      <c r="E370" s="42" t="s">
        <v>194</v>
      </c>
      <c r="F370" s="43" t="s">
        <v>197</v>
      </c>
      <c r="G370" s="44" t="s">
        <v>199</v>
      </c>
      <c r="H370" s="41" t="s">
        <v>201</v>
      </c>
      <c r="I370" s="43" t="s">
        <v>438</v>
      </c>
      <c r="J370" s="40" t="s">
        <v>439</v>
      </c>
      <c r="K370" s="60">
        <v>45421</v>
      </c>
      <c r="O370" s="82">
        <v>45553</v>
      </c>
      <c r="Q370" s="96"/>
    </row>
    <row r="371" spans="1:17" ht="25.5" x14ac:dyDescent="0.35">
      <c r="A371" s="48" t="s">
        <v>348</v>
      </c>
      <c r="B371" s="39" t="str" cm="1">
        <f t="array" ref="B371">IF(A371&lt;&gt;"",_xlfn.XLOOKUP(_xlfn.NUMBERVALUE(A371),_xlfn.NUMBERVALUE(Carga[Tombamento]),Carga[Descrição do Bem]),"")</f>
        <v>ESTAÇÃO DE TRATAMENTO DE ÁGUA - VALPARAISO/GO ANALISADOR DE TURBIDEZ (TURBIDÍMETRO)</v>
      </c>
      <c r="C371" s="39" t="str">
        <f t="shared" si="13"/>
        <v>ANALISADOR DE TURBIDEZ (TURBIDÍMETRO)</v>
      </c>
      <c r="E371" s="42" t="s">
        <v>194</v>
      </c>
      <c r="F371" s="41" t="s">
        <v>197</v>
      </c>
      <c r="G371" s="45" t="s">
        <v>199</v>
      </c>
      <c r="H371" s="41" t="s">
        <v>201</v>
      </c>
      <c r="I371" s="41" t="s">
        <v>54</v>
      </c>
      <c r="J371" s="40" t="s">
        <v>238</v>
      </c>
      <c r="K371" s="60">
        <v>45421</v>
      </c>
      <c r="O371" s="82">
        <v>45562</v>
      </c>
      <c r="Q371" s="96"/>
    </row>
    <row r="372" spans="1:17" ht="25.5" x14ac:dyDescent="0.35">
      <c r="A372" s="48" t="s">
        <v>349</v>
      </c>
      <c r="B372" s="39" t="str" cm="1">
        <f t="array" ref="B372">IF(A372&lt;&gt;"",_xlfn.XLOOKUP(_xlfn.NUMBERVALUE(A372),_xlfn.NUMBERVALUE(Carga[Tombamento]),Carga[Descrição do Bem]),"")</f>
        <v>ESTAÇÃO DE TRATAMENTO DE ÁGUA - VALPARAISO/GO ANALISADOR DE TURBIDEZ (TURBIDÍMETRO)</v>
      </c>
      <c r="C372" s="39" t="str">
        <f t="shared" si="13"/>
        <v>ANALISADOR DE TURBIDEZ (TURBIDÍMETRO)</v>
      </c>
      <c r="E372" s="42" t="s">
        <v>194</v>
      </c>
      <c r="F372" s="43" t="s">
        <v>197</v>
      </c>
      <c r="G372" s="44" t="s">
        <v>199</v>
      </c>
      <c r="H372" s="41" t="s">
        <v>201</v>
      </c>
      <c r="I372" s="43" t="s">
        <v>54</v>
      </c>
      <c r="J372" s="40" t="s">
        <v>239</v>
      </c>
      <c r="K372" s="60">
        <v>45421</v>
      </c>
      <c r="O372" s="82">
        <v>45562</v>
      </c>
      <c r="Q372" s="96"/>
    </row>
    <row r="373" spans="1:17" ht="25.5" x14ac:dyDescent="0.35">
      <c r="A373" s="48" t="s">
        <v>350</v>
      </c>
      <c r="B373" s="39" t="str" cm="1">
        <f t="array" ref="B373">IF(A373&lt;&gt;"",_xlfn.XLOOKUP(_xlfn.NUMBERVALUE(A373),_xlfn.NUMBERVALUE(Carga[Tombamento]),Carga[Descrição do Bem]),"")</f>
        <v>ESTAÇÃO DE TRATAMENTO DE ÁGUA - VALPARAISO/GO ANALISADOR DE TURBIDEZ (TURBIDÍMETRO)</v>
      </c>
      <c r="C373" s="39" t="str">
        <f t="shared" si="13"/>
        <v>ANALISADOR DE TURBIDEZ (TURBIDÍMETRO)</v>
      </c>
      <c r="E373" s="42" t="s">
        <v>194</v>
      </c>
      <c r="F373" s="41" t="s">
        <v>197</v>
      </c>
      <c r="G373" s="45" t="s">
        <v>199</v>
      </c>
      <c r="H373" s="41" t="s">
        <v>201</v>
      </c>
      <c r="I373" s="41" t="s">
        <v>54</v>
      </c>
      <c r="J373" s="40" t="s">
        <v>236</v>
      </c>
      <c r="K373" s="60">
        <v>45421</v>
      </c>
      <c r="O373" s="82">
        <v>45562</v>
      </c>
      <c r="Q373" s="96"/>
    </row>
    <row r="374" spans="1:17" ht="25.5" x14ac:dyDescent="0.35">
      <c r="A374" s="48" t="s">
        <v>351</v>
      </c>
      <c r="B374" s="39" t="str" cm="1">
        <f t="array" ref="B374">IF(A374&lt;&gt;"",_xlfn.XLOOKUP(_xlfn.NUMBERVALUE(A374),_xlfn.NUMBERVALUE(Carga[Tombamento]),Carga[Descrição do Bem]),"")</f>
        <v>ESTAÇÃO DE TRATAMENTO DE ÁGUA - VALPARAISO/GO ANALISADOR DE TURBIDEZ PARA AGUA BRUTA</v>
      </c>
      <c r="C374" s="39" t="str">
        <f t="shared" si="13"/>
        <v>ANALISADOR DE TURBIDEZ PARA AGUA BRUTA</v>
      </c>
      <c r="E374" s="42" t="s">
        <v>194</v>
      </c>
      <c r="F374" s="43" t="s">
        <v>197</v>
      </c>
      <c r="G374" s="44" t="s">
        <v>199</v>
      </c>
      <c r="H374" s="41" t="s">
        <v>201</v>
      </c>
      <c r="I374" s="43" t="s">
        <v>190</v>
      </c>
      <c r="J374" s="40" t="s">
        <v>258</v>
      </c>
      <c r="K374" s="60">
        <v>45421</v>
      </c>
      <c r="O374" s="82">
        <v>45565</v>
      </c>
      <c r="Q374" s="96"/>
    </row>
    <row r="375" spans="1:17" ht="25.5" x14ac:dyDescent="0.35">
      <c r="A375" s="48" t="s">
        <v>353</v>
      </c>
      <c r="B375" s="39" t="str" cm="1">
        <f t="array" ref="B375">IF(A375&lt;&gt;"",_xlfn.XLOOKUP(_xlfn.NUMBERVALUE(A375),_xlfn.NUMBERVALUE(Carga[Tombamento]),Carga[Descrição do Bem]),"")</f>
        <v>ESTAÇÃO DE TRATAMENTO DE ÁGUA - VALPARAISO/GO ANALISADOR DE TURBIDEZ PARA AGUA BRUTA</v>
      </c>
      <c r="C375" s="39" t="str">
        <f t="shared" si="13"/>
        <v>ANALISADOR DE TURBIDEZ PARA AGUA BRUTA</v>
      </c>
      <c r="E375" s="42" t="s">
        <v>194</v>
      </c>
      <c r="F375" s="41" t="s">
        <v>197</v>
      </c>
      <c r="G375" s="45" t="s">
        <v>199</v>
      </c>
      <c r="H375" s="41" t="s">
        <v>201</v>
      </c>
      <c r="I375" s="41" t="s">
        <v>438</v>
      </c>
      <c r="J375" s="40" t="s">
        <v>439</v>
      </c>
      <c r="K375" s="60">
        <v>45421</v>
      </c>
      <c r="O375" s="82">
        <v>45553</v>
      </c>
      <c r="Q375" s="96"/>
    </row>
    <row r="376" spans="1:17" ht="32.25" x14ac:dyDescent="0.35">
      <c r="A376" s="48" t="s">
        <v>354</v>
      </c>
      <c r="B376" s="39" t="str" cm="1">
        <f t="array" ref="B376">IF(A376&lt;&gt;"",_xlfn.XLOOKUP(_xlfn.NUMBERVALUE(A376),_xlfn.NUMBERVALUE(Carga[Tombamento]),Carga[Descrição do Bem]),"")</f>
        <v>ESTAÇÃO DE TRATAMENTO DE ÁGUA - VALPARAISO/GO ATUADOR ELÉTRICO MULTI-VOLTA, INTELIGENTE, COM COMUNICAÇÃO VIA REDE ETHERNE</v>
      </c>
      <c r="C376" s="39" t="str">
        <f t="shared" si="13"/>
        <v>ATUADOR ELÉTRICO MULTI-VOLTA, INTELIGENTE, COM COMUNICAÇÃO VIA REDE ETHERNE</v>
      </c>
      <c r="E376" s="42" t="s">
        <v>194</v>
      </c>
      <c r="F376" s="43" t="s">
        <v>197</v>
      </c>
      <c r="G376" s="44" t="s">
        <v>199</v>
      </c>
      <c r="H376" s="41" t="s">
        <v>201</v>
      </c>
      <c r="I376" s="43" t="s">
        <v>75</v>
      </c>
      <c r="J376" s="40" t="s">
        <v>68</v>
      </c>
      <c r="K376" s="60">
        <v>45421</v>
      </c>
      <c r="O376" s="82">
        <v>45555</v>
      </c>
      <c r="Q376" s="96"/>
    </row>
    <row r="377" spans="1:17" ht="32.25" x14ac:dyDescent="0.35">
      <c r="A377" s="48" t="s">
        <v>356</v>
      </c>
      <c r="B377" s="39" t="str" cm="1">
        <f t="array" ref="B377">IF(A377&lt;&gt;"",_xlfn.XLOOKUP(_xlfn.NUMBERVALUE(A377),_xlfn.NUMBERVALUE(Carga[Tombamento]),Carga[Descrição do Bem]),"")</f>
        <v>ESTAÇÃO DE TRATAMENTO DE ÁGUA - VALPARAISO/GO ATUADOR ELÉTRICO MULTI-VOLTA, INTELIGENTE, COM COMUNICAÇÃO VIA REDE ETHERNE</v>
      </c>
      <c r="C377" s="39" t="str">
        <f t="shared" si="13"/>
        <v>ATUADOR ELÉTRICO MULTI-VOLTA, INTELIGENTE, COM COMUNICAÇÃO VIA REDE ETHERNE</v>
      </c>
      <c r="E377" s="42" t="s">
        <v>194</v>
      </c>
      <c r="F377" s="41" t="s">
        <v>197</v>
      </c>
      <c r="G377" s="45" t="s">
        <v>199</v>
      </c>
      <c r="H377" s="41" t="s">
        <v>201</v>
      </c>
      <c r="I377" s="41" t="s">
        <v>75</v>
      </c>
      <c r="J377" s="40" t="s">
        <v>68</v>
      </c>
      <c r="K377" s="60">
        <v>45421</v>
      </c>
      <c r="O377" s="82">
        <v>45555</v>
      </c>
      <c r="Q377" s="96"/>
    </row>
    <row r="378" spans="1:17" ht="32.25" x14ac:dyDescent="0.35">
      <c r="A378" s="48" t="s">
        <v>357</v>
      </c>
      <c r="B378" s="39" t="str" cm="1">
        <f t="array" ref="B378">IF(A378&lt;&gt;"",_xlfn.XLOOKUP(_xlfn.NUMBERVALUE(A378),_xlfn.NUMBERVALUE(Carga[Tombamento]),Carga[Descrição do Bem]),"")</f>
        <v>ESTAÇÃO DE TRATAMENTO DE ÁGUA - VALPARAISO/GO ATUADOR ELÉTRICO MULTI-VOLTA, INTELIGENTE, COM COMUNICAÇÃO VIA REDE ETHERNE</v>
      </c>
      <c r="C378" s="39" t="str">
        <f t="shared" si="13"/>
        <v>ATUADOR ELÉTRICO MULTI-VOLTA, INTELIGENTE, COM COMUNICAÇÃO VIA REDE ETHERNE</v>
      </c>
      <c r="E378" s="42" t="s">
        <v>194</v>
      </c>
      <c r="F378" s="43" t="s">
        <v>197</v>
      </c>
      <c r="G378" s="44" t="s">
        <v>199</v>
      </c>
      <c r="H378" s="41" t="s">
        <v>201</v>
      </c>
      <c r="I378" s="43" t="s">
        <v>75</v>
      </c>
      <c r="J378" s="40" t="s">
        <v>68</v>
      </c>
      <c r="K378" s="60">
        <v>45421</v>
      </c>
      <c r="O378" s="82">
        <v>45555</v>
      </c>
      <c r="Q378" s="96"/>
    </row>
    <row r="379" spans="1:17" ht="32.25" x14ac:dyDescent="0.35">
      <c r="A379" s="48" t="s">
        <v>358</v>
      </c>
      <c r="B379" s="39" t="str" cm="1">
        <f t="array" ref="B379">IF(A379&lt;&gt;"",_xlfn.XLOOKUP(_xlfn.NUMBERVALUE(A379),_xlfn.NUMBERVALUE(Carga[Tombamento]),Carga[Descrição do Bem]),"")</f>
        <v>ESTAÇÃO DE TRATAMENTO DE ÁGUA - VALPARAISO/GO ATUADOR ELÉTRICO MULTI-VOLTA, INTELIGENTE, COM COMUNICAÇÃO VIA REDE ETHERNE</v>
      </c>
      <c r="C379" s="39" t="str">
        <f t="shared" si="13"/>
        <v>ATUADOR ELÉTRICO MULTI-VOLTA, INTELIGENTE, COM COMUNICAÇÃO VIA REDE ETHERNE</v>
      </c>
      <c r="E379" s="42" t="s">
        <v>194</v>
      </c>
      <c r="F379" s="41" t="s">
        <v>197</v>
      </c>
      <c r="G379" s="45" t="s">
        <v>199</v>
      </c>
      <c r="H379" s="41" t="s">
        <v>201</v>
      </c>
      <c r="I379" s="41" t="s">
        <v>75</v>
      </c>
      <c r="J379" s="40" t="s">
        <v>68</v>
      </c>
      <c r="K379" s="60">
        <v>45421</v>
      </c>
      <c r="O379" s="82">
        <v>45555</v>
      </c>
      <c r="Q379" s="96"/>
    </row>
    <row r="380" spans="1:17" ht="32.25" x14ac:dyDescent="0.35">
      <c r="A380" s="48" t="s">
        <v>359</v>
      </c>
      <c r="B380" s="39" t="str" cm="1">
        <f t="array" ref="B380">IF(A380&lt;&gt;"",_xlfn.XLOOKUP(_xlfn.NUMBERVALUE(A380),_xlfn.NUMBERVALUE(Carga[Tombamento]),Carga[Descrição do Bem]),"")</f>
        <v>ESTAÇÃO DE TRATAMENTO DE ÁGUA - VALPARAISO/GO ATUADOR ELÉTRICO MULTI-VOLTA, INTELIGENTE, COM COMUNICAÇÃO VIA REDE ETHERNE</v>
      </c>
      <c r="C380" s="39" t="str">
        <f t="shared" si="13"/>
        <v>ATUADOR ELÉTRICO MULTI-VOLTA, INTELIGENTE, COM COMUNICAÇÃO VIA REDE ETHERNE</v>
      </c>
      <c r="E380" s="42" t="s">
        <v>194</v>
      </c>
      <c r="F380" s="43" t="s">
        <v>197</v>
      </c>
      <c r="G380" s="44" t="s">
        <v>199</v>
      </c>
      <c r="H380" s="41" t="s">
        <v>201</v>
      </c>
      <c r="I380" s="43" t="s">
        <v>53</v>
      </c>
      <c r="J380" s="40" t="s">
        <v>246</v>
      </c>
      <c r="K380" s="60">
        <v>45421</v>
      </c>
      <c r="O380" s="82">
        <v>45555</v>
      </c>
      <c r="Q380" s="96"/>
    </row>
    <row r="381" spans="1:17" ht="32.25" x14ac:dyDescent="0.35">
      <c r="A381" s="48" t="s">
        <v>360</v>
      </c>
      <c r="B381" s="39" t="str" cm="1">
        <f t="array" ref="B381">IF(A381&lt;&gt;"",_xlfn.XLOOKUP(_xlfn.NUMBERVALUE(A381),_xlfn.NUMBERVALUE(Carga[Tombamento]),Carga[Descrição do Bem]),"")</f>
        <v>ESTAÇÃO DE TRATAMENTO DE ÁGUA - VALPARAISO/GO ATUADOR ELÉTRICO MULTI-VOLTA, INTELIGENTE, COM COMUNICAÇÃO VIA REDE ETHERNE</v>
      </c>
      <c r="C381" s="39" t="str">
        <f t="shared" si="13"/>
        <v>ATUADOR ELÉTRICO MULTI-VOLTA, INTELIGENTE, COM COMUNICAÇÃO VIA REDE ETHERNE</v>
      </c>
      <c r="E381" s="42" t="s">
        <v>194</v>
      </c>
      <c r="F381" s="41" t="s">
        <v>197</v>
      </c>
      <c r="G381" s="45" t="s">
        <v>199</v>
      </c>
      <c r="H381" s="41" t="s">
        <v>201</v>
      </c>
      <c r="I381" s="41" t="s">
        <v>53</v>
      </c>
      <c r="J381" s="40" t="s">
        <v>246</v>
      </c>
      <c r="K381" s="60">
        <v>45421</v>
      </c>
      <c r="O381" s="82">
        <v>45555</v>
      </c>
      <c r="Q381" s="96"/>
    </row>
    <row r="382" spans="1:17" ht="32.25" x14ac:dyDescent="0.35">
      <c r="A382" s="48" t="s">
        <v>361</v>
      </c>
      <c r="B382" s="39" t="str" cm="1">
        <f t="array" ref="B382">IF(A382&lt;&gt;"",_xlfn.XLOOKUP(_xlfn.NUMBERVALUE(A382),_xlfn.NUMBERVALUE(Carga[Tombamento]),Carga[Descrição do Bem]),"")</f>
        <v>ESTAÇÃO DE TRATAMENTO DE ÁGUA - VALPARAISO/GO ATUADOR ELÉTRICO MULTI-VOLTA, INTELIGENTE, COM COMUNICAÇÃO VIA REDE ETHERNE</v>
      </c>
      <c r="C382" s="39" t="str">
        <f t="shared" si="13"/>
        <v>ATUADOR ELÉTRICO MULTI-VOLTA, INTELIGENTE, COM COMUNICAÇÃO VIA REDE ETHERNE</v>
      </c>
      <c r="E382" s="42" t="s">
        <v>194</v>
      </c>
      <c r="F382" s="43" t="s">
        <v>197</v>
      </c>
      <c r="G382" s="44" t="s">
        <v>199</v>
      </c>
      <c r="H382" s="41" t="s">
        <v>201</v>
      </c>
      <c r="I382" s="43" t="s">
        <v>53</v>
      </c>
      <c r="J382" s="40" t="s">
        <v>245</v>
      </c>
      <c r="K382" s="60">
        <v>45421</v>
      </c>
      <c r="O382" s="82">
        <v>45555</v>
      </c>
      <c r="Q382" s="96"/>
    </row>
    <row r="383" spans="1:17" ht="32.25" x14ac:dyDescent="0.35">
      <c r="A383" s="48" t="s">
        <v>362</v>
      </c>
      <c r="B383" s="39" t="str" cm="1">
        <f t="array" ref="B383">IF(A383&lt;&gt;"",_xlfn.XLOOKUP(_xlfn.NUMBERVALUE(A383),_xlfn.NUMBERVALUE(Carga[Tombamento]),Carga[Descrição do Bem]),"")</f>
        <v>ESTAÇÃO DE TRATAMENTO DE ÁGUA - VALPARAISO/GO ATUADOR ELÉTRICO MULTI-VOLTA, INTELIGENTE, COM COMUNICAÇÃO VIA REDE ETHERNE</v>
      </c>
      <c r="C383" s="39" t="str">
        <f t="shared" si="13"/>
        <v>ATUADOR ELÉTRICO MULTI-VOLTA, INTELIGENTE, COM COMUNICAÇÃO VIA REDE ETHERNE</v>
      </c>
      <c r="E383" s="42" t="s">
        <v>194</v>
      </c>
      <c r="F383" s="41" t="s">
        <v>197</v>
      </c>
      <c r="G383" s="45" t="s">
        <v>199</v>
      </c>
      <c r="H383" s="41" t="s">
        <v>201</v>
      </c>
      <c r="I383" s="41" t="s">
        <v>53</v>
      </c>
      <c r="J383" s="40" t="s">
        <v>245</v>
      </c>
      <c r="K383" s="60">
        <v>45421</v>
      </c>
      <c r="O383" s="82">
        <v>45555</v>
      </c>
      <c r="Q383" s="96"/>
    </row>
    <row r="384" spans="1:17" ht="32.25" x14ac:dyDescent="0.35">
      <c r="A384" s="48" t="s">
        <v>363</v>
      </c>
      <c r="B384" s="39" t="str" cm="1">
        <f t="array" ref="B384">IF(A384&lt;&gt;"",_xlfn.XLOOKUP(_xlfn.NUMBERVALUE(A384),_xlfn.NUMBERVALUE(Carga[Tombamento]),Carga[Descrição do Bem]),"")</f>
        <v>ESTAÇÃO DE TRATAMENTO DE ÁGUA - VALPARAISO/GO ATUADOR ELÉTRICO MULTI-VOLTA, INTELIGENTE, COM COMUNICAÇÃO VIA REDE ETHERNE</v>
      </c>
      <c r="C384" s="39" t="str">
        <f t="shared" si="13"/>
        <v>ATUADOR ELÉTRICO MULTI-VOLTA, INTELIGENTE, COM COMUNICAÇÃO VIA REDE ETHERNE</v>
      </c>
      <c r="E384" s="42" t="s">
        <v>194</v>
      </c>
      <c r="F384" s="43" t="s">
        <v>197</v>
      </c>
      <c r="G384" s="44" t="s">
        <v>199</v>
      </c>
      <c r="H384" s="41" t="s">
        <v>201</v>
      </c>
      <c r="I384" s="43" t="s">
        <v>53</v>
      </c>
      <c r="J384" s="40" t="s">
        <v>244</v>
      </c>
      <c r="K384" s="60">
        <v>45421</v>
      </c>
      <c r="O384" s="82">
        <v>45555</v>
      </c>
      <c r="Q384" s="96"/>
    </row>
    <row r="385" spans="1:18" ht="32.25" x14ac:dyDescent="0.35">
      <c r="A385" s="48" t="s">
        <v>364</v>
      </c>
      <c r="B385" s="39" t="str" cm="1">
        <f t="array" ref="B385">IF(A385&lt;&gt;"",_xlfn.XLOOKUP(_xlfn.NUMBERVALUE(A385),_xlfn.NUMBERVALUE(Carga[Tombamento]),Carga[Descrição do Bem]),"")</f>
        <v>ESTAÇÃO DE TRATAMENTO DE ÁGUA - VALPARAISO/GO ATUADOR ELÉTRICO MULTI-VOLTA, INTELIGENTE, COM COMUNICAÇÃO VIA REDE ETHERNE</v>
      </c>
      <c r="C385" s="39" t="str">
        <f t="shared" si="13"/>
        <v>ATUADOR ELÉTRICO MULTI-VOLTA, INTELIGENTE, COM COMUNICAÇÃO VIA REDE ETHERNE</v>
      </c>
      <c r="E385" s="42" t="s">
        <v>194</v>
      </c>
      <c r="F385" s="41" t="s">
        <v>197</v>
      </c>
      <c r="G385" s="45" t="s">
        <v>199</v>
      </c>
      <c r="H385" s="41" t="s">
        <v>201</v>
      </c>
      <c r="I385" s="41" t="s">
        <v>53</v>
      </c>
      <c r="J385" s="40" t="s">
        <v>244</v>
      </c>
      <c r="K385" s="60">
        <v>45421</v>
      </c>
      <c r="O385" s="82">
        <v>45555</v>
      </c>
      <c r="Q385" s="96"/>
    </row>
    <row r="386" spans="1:18" ht="32.25" x14ac:dyDescent="0.35">
      <c r="A386" s="48" t="s">
        <v>365</v>
      </c>
      <c r="B386" s="39" t="str" cm="1">
        <f t="array" ref="B386">IF(A386&lt;&gt;"",_xlfn.XLOOKUP(_xlfn.NUMBERVALUE(A386),_xlfn.NUMBERVALUE(Carga[Tombamento]),Carga[Descrição do Bem]),"")</f>
        <v>ESTAÇÃO DE TRATAMENTO DE ÁGUA - VALPARAISO/GO ATUADOR ELÉTRICO MULTI-VOLTA, INTELIGENTE, COM COMUNICAÇÃO VIA REDE ETHERNE</v>
      </c>
      <c r="C386" s="39" t="str">
        <f t="shared" si="13"/>
        <v>ATUADOR ELÉTRICO MULTI-VOLTA, INTELIGENTE, COM COMUNICAÇÃO VIA REDE ETHERNE</v>
      </c>
      <c r="E386" s="42" t="s">
        <v>193</v>
      </c>
      <c r="F386" s="43" t="s">
        <v>196</v>
      </c>
      <c r="G386" s="44" t="s">
        <v>199</v>
      </c>
      <c r="H386" s="41" t="s">
        <v>201</v>
      </c>
      <c r="I386" s="43" t="s">
        <v>74</v>
      </c>
      <c r="J386" s="40" t="s">
        <v>444</v>
      </c>
      <c r="K386" s="60">
        <v>45421</v>
      </c>
      <c r="O386" s="82">
        <v>45555</v>
      </c>
      <c r="Q386" s="96"/>
    </row>
    <row r="387" spans="1:18" ht="84" x14ac:dyDescent="0.35">
      <c r="A387" s="48" t="s">
        <v>366</v>
      </c>
      <c r="B387" s="39" t="str" cm="1">
        <f t="array" ref="B387">IF(A387&lt;&gt;"",_xlfn.XLOOKUP(_xlfn.NUMBERVALUE(A387),_xlfn.NUMBERVALUE(Carga[Tombamento]),Carga[Descrição do Bem]),"")</f>
        <v>ESTAÇÃO DE TRATAMENTO DE ÁGUA - VALPARAISO/GO ATUADOR ELÉTRICO MULTI-VOLTA, INTELIGENTE, COM COMUNICAÇÃO VIA REDE ETHERNE</v>
      </c>
      <c r="C387" s="39" t="str">
        <f t="shared" si="13"/>
        <v>ATUADOR ELÉTRICO MULTI-VOLTA, INTELIGENTE, COM COMUNICAÇÃO VIA REDE ETHERNE</v>
      </c>
      <c r="E387" s="42" t="s">
        <v>193</v>
      </c>
      <c r="F387" s="41" t="s">
        <v>196</v>
      </c>
      <c r="G387" s="45" t="s">
        <v>199</v>
      </c>
      <c r="H387" s="41" t="s">
        <v>201</v>
      </c>
      <c r="I387" s="41" t="s">
        <v>74</v>
      </c>
      <c r="J387" s="40" t="s">
        <v>444</v>
      </c>
      <c r="K387" s="60">
        <v>45421</v>
      </c>
      <c r="O387" s="82">
        <v>45555</v>
      </c>
      <c r="P387" s="80" t="s">
        <v>988</v>
      </c>
      <c r="Q387" s="97"/>
      <c r="R387" s="80"/>
    </row>
    <row r="388" spans="1:18" ht="32.25" x14ac:dyDescent="0.35">
      <c r="A388" s="48" t="s">
        <v>367</v>
      </c>
      <c r="B388" s="39" t="str" cm="1">
        <f t="array" ref="B388">IF(A388&lt;&gt;"",_xlfn.XLOOKUP(_xlfn.NUMBERVALUE(A388),_xlfn.NUMBERVALUE(Carga[Tombamento]),Carga[Descrição do Bem]),"")</f>
        <v>ESTAÇÃO DE TRATAMENTO DE ÁGUA - VALPARAISO/GO ATUADOR ELÉTRICO MULTI-VOLTA, INTELIGENTE, COM COMUNICAÇÃO VIA REDE ETHERNE</v>
      </c>
      <c r="C388" s="39" t="str">
        <f t="shared" si="13"/>
        <v>ATUADOR ELÉTRICO MULTI-VOLTA, INTELIGENTE, COM COMUNICAÇÃO VIA REDE ETHERNE</v>
      </c>
      <c r="E388" s="42" t="s">
        <v>193</v>
      </c>
      <c r="F388" s="43" t="s">
        <v>196</v>
      </c>
      <c r="G388" s="44" t="s">
        <v>199</v>
      </c>
      <c r="H388" s="41" t="s">
        <v>201</v>
      </c>
      <c r="I388" s="43" t="s">
        <v>74</v>
      </c>
      <c r="J388" s="40" t="s">
        <v>444</v>
      </c>
      <c r="K388" s="60">
        <v>45421</v>
      </c>
      <c r="O388" s="82">
        <v>45555</v>
      </c>
      <c r="Q388" s="96"/>
    </row>
    <row r="389" spans="1:18" ht="32.25" x14ac:dyDescent="0.35">
      <c r="A389" s="48" t="s">
        <v>368</v>
      </c>
      <c r="B389" s="39" t="str" cm="1">
        <f t="array" ref="B389">IF(A389&lt;&gt;"",_xlfn.XLOOKUP(_xlfn.NUMBERVALUE(A389),_xlfn.NUMBERVALUE(Carga[Tombamento]),Carga[Descrição do Bem]),"")</f>
        <v>ESTAÇÃO DE TRATAMENTO DE ÁGUA - VALPARAISO/GO ATUADOR ELÉTRICO MULTI-VOLTA, INTELIGENTE, COM COMUNICAÇÃO VIA REDE ETHERNE</v>
      </c>
      <c r="C389" s="39" t="str">
        <f t="shared" si="13"/>
        <v>ATUADOR ELÉTRICO MULTI-VOLTA, INTELIGENTE, COM COMUNICAÇÃO VIA REDE ETHERNE</v>
      </c>
      <c r="E389" s="42" t="s">
        <v>193</v>
      </c>
      <c r="F389" s="41" t="s">
        <v>196</v>
      </c>
      <c r="G389" s="45" t="s">
        <v>199</v>
      </c>
      <c r="H389" s="41" t="s">
        <v>201</v>
      </c>
      <c r="I389" s="41" t="s">
        <v>74</v>
      </c>
      <c r="J389" s="40" t="s">
        <v>257</v>
      </c>
      <c r="K389" s="60">
        <v>45421</v>
      </c>
      <c r="O389" s="82">
        <v>45555</v>
      </c>
      <c r="Q389" s="96"/>
    </row>
    <row r="390" spans="1:18" ht="32.25" x14ac:dyDescent="0.35">
      <c r="A390" s="48" t="s">
        <v>369</v>
      </c>
      <c r="B390" s="39" t="str" cm="1">
        <f t="array" ref="B390">IF(A390&lt;&gt;"",_xlfn.XLOOKUP(_xlfn.NUMBERVALUE(A390),_xlfn.NUMBERVALUE(Carga[Tombamento]),Carga[Descrição do Bem]),"")</f>
        <v>ESTAÇÃO DE TRATAMENTO DE ÁGUA - VALPARAISO/GO ATUADOR ELÉTRICO MULTI-VOLTA, INTELIGENTE, COM COMUNICAÇÃO VIA REDE ETHERNE</v>
      </c>
      <c r="C390" s="39" t="str">
        <f t="shared" si="13"/>
        <v>ATUADOR ELÉTRICO MULTI-VOLTA, INTELIGENTE, COM COMUNICAÇÃO VIA REDE ETHERNE</v>
      </c>
      <c r="E390" s="42" t="s">
        <v>193</v>
      </c>
      <c r="F390" s="43" t="s">
        <v>196</v>
      </c>
      <c r="G390" s="44" t="s">
        <v>199</v>
      </c>
      <c r="H390" s="41" t="s">
        <v>201</v>
      </c>
      <c r="I390" s="43" t="s">
        <v>74</v>
      </c>
      <c r="J390" s="40" t="s">
        <v>257</v>
      </c>
      <c r="K390" s="60">
        <v>45421</v>
      </c>
      <c r="O390" s="82">
        <v>45555</v>
      </c>
      <c r="Q390" s="96"/>
    </row>
    <row r="391" spans="1:18" ht="32.25" x14ac:dyDescent="0.35">
      <c r="A391" s="48" t="s">
        <v>370</v>
      </c>
      <c r="B391" s="39" t="str" cm="1">
        <f t="array" ref="B391">IF(A391&lt;&gt;"",_xlfn.XLOOKUP(_xlfn.NUMBERVALUE(A391),_xlfn.NUMBERVALUE(Carga[Tombamento]),Carga[Descrição do Bem]),"")</f>
        <v>ESTAÇÃO DE TRATAMENTO DE ÁGUA - VALPARAISO/GO ATUADOR ELÉTRICO MULTI-VOLTA, INTELIGENTE, COM COMUNICAÇÃO VIA REDE ETHERNE</v>
      </c>
      <c r="C391" s="39" t="str">
        <f t="shared" si="13"/>
        <v>ATUADOR ELÉTRICO MULTI-VOLTA, INTELIGENTE, COM COMUNICAÇÃO VIA REDE ETHERNE</v>
      </c>
      <c r="E391" s="42" t="s">
        <v>193</v>
      </c>
      <c r="F391" s="41" t="s">
        <v>196</v>
      </c>
      <c r="G391" s="45" t="s">
        <v>199</v>
      </c>
      <c r="H391" s="41" t="s">
        <v>201</v>
      </c>
      <c r="I391" s="41" t="s">
        <v>74</v>
      </c>
      <c r="J391" s="40" t="s">
        <v>257</v>
      </c>
      <c r="K391" s="60">
        <v>45421</v>
      </c>
      <c r="O391" s="82">
        <v>45555</v>
      </c>
      <c r="Q391" s="96"/>
    </row>
    <row r="392" spans="1:18" ht="32.25" x14ac:dyDescent="0.35">
      <c r="A392" s="48" t="s">
        <v>371</v>
      </c>
      <c r="B392" s="39" t="str" cm="1">
        <f t="array" ref="B392">IF(A392&lt;&gt;"",_xlfn.XLOOKUP(_xlfn.NUMBERVALUE(A392),_xlfn.NUMBERVALUE(Carga[Tombamento]),Carga[Descrição do Bem]),"")</f>
        <v>ESTAÇÃO DE TRATAMENTO DE ÁGUA - VALPARAISO/GO ATUADOR ELÉTRICO MULTI-VOLTA, INTELIGENTE, COM COMUNICAÇÃO VIA REDE ETHERNE</v>
      </c>
      <c r="C392" s="39" t="str">
        <f t="shared" ref="C392:C427" si="14">MID(B392,47,160)</f>
        <v>ATUADOR ELÉTRICO MULTI-VOLTA, INTELIGENTE, COM COMUNICAÇÃO VIA REDE ETHERNE</v>
      </c>
      <c r="E392" s="42" t="s">
        <v>194</v>
      </c>
      <c r="F392" s="43" t="s">
        <v>197</v>
      </c>
      <c r="G392" s="44" t="s">
        <v>199</v>
      </c>
      <c r="H392" s="41" t="s">
        <v>201</v>
      </c>
      <c r="I392" s="43" t="s">
        <v>53</v>
      </c>
      <c r="J392" s="40" t="s">
        <v>260</v>
      </c>
      <c r="K392" s="60">
        <v>45421</v>
      </c>
      <c r="O392" s="82">
        <v>45553</v>
      </c>
      <c r="Q392" s="96"/>
    </row>
    <row r="393" spans="1:18" ht="32.25" x14ac:dyDescent="0.35">
      <c r="A393" s="48" t="s">
        <v>372</v>
      </c>
      <c r="B393" s="39" t="str" cm="1">
        <f t="array" ref="B393">IF(A393&lt;&gt;"",_xlfn.XLOOKUP(_xlfn.NUMBERVALUE(A393),_xlfn.NUMBERVALUE(Carga[Tombamento]),Carga[Descrição do Bem]),"")</f>
        <v>ESTAÇÃO DE TRATAMENTO DE ÁGUA - VALPARAISO/GO CCM CLORO - QUADRO DE FORÇA COMANDO E CONTROLE</v>
      </c>
      <c r="C393" s="39" t="str">
        <f t="shared" si="14"/>
        <v>CCM CLORO - QUADRO DE FORÇA COMANDO E CONTROLE</v>
      </c>
      <c r="E393" s="42" t="s">
        <v>194</v>
      </c>
      <c r="F393" s="41" t="s">
        <v>197</v>
      </c>
      <c r="G393" s="45" t="s">
        <v>199</v>
      </c>
      <c r="H393" s="41" t="s">
        <v>201</v>
      </c>
      <c r="I393" s="41" t="s">
        <v>56</v>
      </c>
      <c r="J393" s="40" t="s">
        <v>60</v>
      </c>
      <c r="K393" s="60">
        <v>45422</v>
      </c>
      <c r="O393" s="82">
        <v>45555</v>
      </c>
      <c r="Q393" s="96"/>
    </row>
    <row r="394" spans="1:18" ht="32.25" x14ac:dyDescent="0.35">
      <c r="A394" s="48" t="s">
        <v>374</v>
      </c>
      <c r="B394" s="39" t="str" cm="1">
        <f t="array" ref="B394">IF(A394&lt;&gt;"",_xlfn.XLOOKUP(_xlfn.NUMBERVALUE(A394),_xlfn.NUMBERVALUE(Carga[Tombamento]),Carga[Descrição do Bem]),"")</f>
        <v>ESTAÇÃO DE TRATAMENTO DE ÁGUA - VALPARAISO/GO CCM E.E. DE RECIRCULAÇÃO - QUADRO DE FORÇA COMANDO E CONTROLE</v>
      </c>
      <c r="C394" s="39" t="str">
        <f t="shared" si="14"/>
        <v>CCM E.E. DE RECIRCULAÇÃO - QUADRO DE FORÇA COMANDO E CONTROLE</v>
      </c>
      <c r="E394" s="42" t="s">
        <v>194</v>
      </c>
      <c r="F394" s="43" t="s">
        <v>197</v>
      </c>
      <c r="G394" s="44" t="s">
        <v>199</v>
      </c>
      <c r="H394" s="41" t="s">
        <v>201</v>
      </c>
      <c r="I394" s="43" t="s">
        <v>190</v>
      </c>
      <c r="J394" s="40" t="s">
        <v>258</v>
      </c>
      <c r="K394" s="60">
        <v>45421</v>
      </c>
      <c r="O394" s="82">
        <v>45565</v>
      </c>
      <c r="Q394" s="96"/>
    </row>
    <row r="395" spans="1:18" ht="32.25" x14ac:dyDescent="0.35">
      <c r="A395" s="48" t="s">
        <v>376</v>
      </c>
      <c r="B395" s="39" t="str" cm="1">
        <f t="array" ref="B395">IF(A395&lt;&gt;"",_xlfn.XLOOKUP(_xlfn.NUMBERVALUE(A395),_xlfn.NUMBERVALUE(Carga[Tombamento]),Carga[Descrição do Bem]),"")</f>
        <v>ESTAÇÃO DE TRATAMENTO DE ÁGUA - VALPARAISO/GO CCM COAGULANTE - QUADRO DE FORÇA COMANDO E CONTROLE</v>
      </c>
      <c r="C395" s="39" t="str">
        <f t="shared" si="14"/>
        <v>CCM COAGULANTE - QUADRO DE FORÇA COMANDO E CONTROLE</v>
      </c>
      <c r="E395" s="42" t="s">
        <v>194</v>
      </c>
      <c r="F395" s="41" t="s">
        <v>197</v>
      </c>
      <c r="G395" s="45" t="s">
        <v>199</v>
      </c>
      <c r="H395" s="41" t="s">
        <v>201</v>
      </c>
      <c r="I395" s="41" t="s">
        <v>55</v>
      </c>
      <c r="J395" s="40" t="s">
        <v>71</v>
      </c>
      <c r="K395" s="60">
        <v>45422</v>
      </c>
      <c r="O395" s="82">
        <v>45555</v>
      </c>
      <c r="Q395" s="96"/>
    </row>
    <row r="396" spans="1:18" ht="32.25" x14ac:dyDescent="0.35">
      <c r="A396" s="48" t="s">
        <v>378</v>
      </c>
      <c r="B396" s="39" t="str" cm="1">
        <f t="array" ref="B396">IF(A396&lt;&gt;"",_xlfn.XLOOKUP(_xlfn.NUMBERVALUE(A396),_xlfn.NUMBERVALUE(Carga[Tombamento]),Carga[Descrição do Bem]),"")</f>
        <v>ESTAÇÃO DE TRATAMENTO DE ÁGUA - VALPARAISO/GO CCM MÓDULO 1 - QUADRO DE FORÇA COMANDO E CONTROLE</v>
      </c>
      <c r="C396" s="39" t="str">
        <f t="shared" si="14"/>
        <v>CCM MÓDULO 1 - QUADRO DE FORÇA COMANDO E CONTROLE</v>
      </c>
      <c r="E396" s="42" t="s">
        <v>194</v>
      </c>
      <c r="F396" s="43" t="s">
        <v>197</v>
      </c>
      <c r="G396" s="44" t="s">
        <v>199</v>
      </c>
      <c r="H396" s="41" t="s">
        <v>201</v>
      </c>
      <c r="I396" s="43" t="s">
        <v>54</v>
      </c>
      <c r="J396" s="40" t="s">
        <v>443</v>
      </c>
      <c r="K396" s="60">
        <v>45422</v>
      </c>
      <c r="O396" s="82">
        <v>45558</v>
      </c>
      <c r="Q396" s="96"/>
    </row>
    <row r="397" spans="1:18" ht="32.25" x14ac:dyDescent="0.35">
      <c r="A397" s="48" t="s">
        <v>380</v>
      </c>
      <c r="B397" s="39" t="str" cm="1">
        <f t="array" ref="B397">IF(A397&lt;&gt;"",_xlfn.XLOOKUP(_xlfn.NUMBERVALUE(A397),_xlfn.NUMBERVALUE(Carga[Tombamento]),Carga[Descrição do Bem]),"")</f>
        <v>ESTAÇÃO DE TRATAMENTO DE ÁGUA - VALPARAISO/GO CCM MÓDULO 2 - QUADRO DE FORÇA COMANDO E CONTROLE</v>
      </c>
      <c r="C397" s="39" t="str">
        <f t="shared" si="14"/>
        <v>CCM MÓDULO 2 - QUADRO DE FORÇA COMANDO E CONTROLE</v>
      </c>
      <c r="E397" s="42" t="s">
        <v>194</v>
      </c>
      <c r="F397" s="41" t="s">
        <v>197</v>
      </c>
      <c r="G397" s="45" t="s">
        <v>199</v>
      </c>
      <c r="H397" s="41" t="s">
        <v>201</v>
      </c>
      <c r="I397" s="41" t="s">
        <v>54</v>
      </c>
      <c r="J397" s="40" t="s">
        <v>443</v>
      </c>
      <c r="K397" s="60">
        <v>45422</v>
      </c>
      <c r="O397" s="82">
        <v>45558</v>
      </c>
      <c r="Q397" s="96"/>
    </row>
    <row r="398" spans="1:18" ht="32.25" x14ac:dyDescent="0.35">
      <c r="A398" s="48" t="s">
        <v>382</v>
      </c>
      <c r="B398" s="39" t="str" cm="1">
        <f t="array" ref="B398">IF(A398&lt;&gt;"",_xlfn.XLOOKUP(_xlfn.NUMBERVALUE(A398),_xlfn.NUMBERVALUE(Carga[Tombamento]),Carga[Descrição do Bem]),"")</f>
        <v>ESTAÇÃO DE TRATAMENTO DE ÁGUA - VALPARAISO/GO CCM MÓDULO 3 - QUADRO DE FORÇA COMANDO E CONTROLE</v>
      </c>
      <c r="C398" s="39" t="str">
        <f t="shared" si="14"/>
        <v>CCM MÓDULO 3 - QUADRO DE FORÇA COMANDO E CONTROLE</v>
      </c>
      <c r="E398" s="42" t="s">
        <v>194</v>
      </c>
      <c r="F398" s="43" t="s">
        <v>197</v>
      </c>
      <c r="G398" s="44" t="s">
        <v>199</v>
      </c>
      <c r="H398" s="41" t="s">
        <v>201</v>
      </c>
      <c r="I398" s="43" t="s">
        <v>54</v>
      </c>
      <c r="J398" s="40" t="s">
        <v>443</v>
      </c>
      <c r="K398" s="60">
        <v>45422</v>
      </c>
      <c r="O398" s="82">
        <v>45553</v>
      </c>
      <c r="Q398" s="96"/>
    </row>
    <row r="399" spans="1:18" ht="32.25" x14ac:dyDescent="0.35">
      <c r="A399" s="48" t="s">
        <v>384</v>
      </c>
      <c r="B399" s="39" t="str" cm="1">
        <f t="array" ref="B399">IF(A399&lt;&gt;"",_xlfn.XLOOKUP(_xlfn.NUMBERVALUE(A399),_xlfn.NUMBERVALUE(Carga[Tombamento]),Carga[Descrição do Bem]),"")</f>
        <v>ESTAÇÃO DE TRATAMENTO DE ÁGUA - VALPARAISO/GO CCM MÓDULO 4 - QUADRO DE FORÇA COMANDO E CONTROLE</v>
      </c>
      <c r="C399" s="39" t="str">
        <f t="shared" si="14"/>
        <v>CCM MÓDULO 4 - QUADRO DE FORÇA COMANDO E CONTROLE</v>
      </c>
      <c r="E399" s="42" t="s">
        <v>194</v>
      </c>
      <c r="F399" s="41" t="s">
        <v>197</v>
      </c>
      <c r="G399" s="45" t="s">
        <v>199</v>
      </c>
      <c r="H399" s="41" t="s">
        <v>201</v>
      </c>
      <c r="I399" s="41" t="s">
        <v>54</v>
      </c>
      <c r="J399" s="40" t="s">
        <v>443</v>
      </c>
      <c r="K399" s="60">
        <v>45422</v>
      </c>
      <c r="O399" s="82">
        <v>45553</v>
      </c>
      <c r="Q399" s="96"/>
    </row>
    <row r="400" spans="1:18" ht="32.25" x14ac:dyDescent="0.35">
      <c r="A400" s="48" t="s">
        <v>386</v>
      </c>
      <c r="B400" s="39" t="str" cm="1">
        <f t="array" ref="B400">IF(A400&lt;&gt;"",_xlfn.XLOOKUP(_xlfn.NUMBERVALUE(A400),_xlfn.NUMBERVALUE(Carga[Tombamento]),Carga[Descrição do Bem]),"")</f>
        <v>ESTAÇÃO DE TRATAMENTO DE ÁGUA - VALPARAISO/GO CCM SISTEMA LODO - QUADRO DE FORÇA COMANDO E CONTROLE</v>
      </c>
      <c r="C400" s="39" t="str">
        <f t="shared" si="14"/>
        <v>CCM SISTEMA LODO - QUADRO DE FORÇA COMANDO E CONTROLE</v>
      </c>
      <c r="E400" s="42" t="s">
        <v>194</v>
      </c>
      <c r="F400" s="43" t="s">
        <v>197</v>
      </c>
      <c r="G400" s="44" t="s">
        <v>199</v>
      </c>
      <c r="H400" s="41" t="s">
        <v>201</v>
      </c>
      <c r="I400" s="43" t="s">
        <v>75</v>
      </c>
      <c r="J400" s="40" t="s">
        <v>68</v>
      </c>
      <c r="K400" s="60">
        <v>45421</v>
      </c>
      <c r="O400" s="82">
        <v>45555</v>
      </c>
      <c r="Q400" s="96"/>
    </row>
    <row r="401" spans="1:17" ht="32.25" x14ac:dyDescent="0.35">
      <c r="A401" s="48" t="s">
        <v>388</v>
      </c>
      <c r="B401" s="39" t="str" cm="1">
        <f t="array" ref="B401">IF(A401&lt;&gt;"",_xlfn.XLOOKUP(_xlfn.NUMBERVALUE(A401),_xlfn.NUMBERVALUE(Carga[Tombamento]),Carga[Descrição do Bem]),"")</f>
        <v>ESTAÇÃO DE TRATAMENTO DE ÁGUA - VALPARAISO/GO CCM SOPRADORES - QUADRO DE FORÇA COMANDO E CONTROLE</v>
      </c>
      <c r="C401" s="39" t="str">
        <f t="shared" si="14"/>
        <v>CCM SOPRADORES - QUADRO DE FORÇA COMANDO E CONTROLE</v>
      </c>
      <c r="E401" s="42" t="s">
        <v>194</v>
      </c>
      <c r="F401" s="41" t="s">
        <v>197</v>
      </c>
      <c r="G401" s="45" t="s">
        <v>199</v>
      </c>
      <c r="H401" s="41" t="s">
        <v>201</v>
      </c>
      <c r="I401" s="41" t="s">
        <v>438</v>
      </c>
      <c r="J401" s="40" t="s">
        <v>439</v>
      </c>
      <c r="K401" s="60">
        <v>45421</v>
      </c>
      <c r="O401" s="82">
        <v>45553</v>
      </c>
      <c r="Q401" s="96"/>
    </row>
    <row r="402" spans="1:17" ht="32.25" x14ac:dyDescent="0.35">
      <c r="A402" s="48" t="s">
        <v>390</v>
      </c>
      <c r="B402" s="39" t="str" cm="1">
        <f t="array" ref="B402">IF(A402&lt;&gt;"",_xlfn.XLOOKUP(_xlfn.NUMBERVALUE(A402),_xlfn.NUMBERVALUE(Carga[Tombamento]),Carga[Descrição do Bem]),"")</f>
        <v>ESTAÇÃO DE TRATAMENTO DE ÁGUA - VALPARAISO/GO EQUIPAMENTOS AUTOMAÇÃO QUADRO CLP - CPUS DO CONTROLADOR LÓGICO</v>
      </c>
      <c r="C402" s="39" t="str">
        <f t="shared" si="14"/>
        <v>EQUIPAMENTOS AUTOMAÇÃO QUADRO CLP - CPUS DO CONTROLADOR LÓGICO</v>
      </c>
      <c r="E402" s="42" t="s">
        <v>194</v>
      </c>
      <c r="F402" s="43" t="s">
        <v>197</v>
      </c>
      <c r="G402" s="44" t="s">
        <v>199</v>
      </c>
      <c r="H402" s="41" t="s">
        <v>201</v>
      </c>
      <c r="I402" s="43" t="s">
        <v>438</v>
      </c>
      <c r="J402" s="40" t="s">
        <v>439</v>
      </c>
      <c r="K402" s="60">
        <v>45421</v>
      </c>
      <c r="O402" s="82">
        <v>45553</v>
      </c>
      <c r="Q402" s="96"/>
    </row>
    <row r="403" spans="1:17" ht="25.5" x14ac:dyDescent="0.35">
      <c r="A403" s="48" t="s">
        <v>392</v>
      </c>
      <c r="B403" s="39" t="str" cm="1">
        <f t="array" ref="B403">IF(A403&lt;&gt;"",_xlfn.XLOOKUP(_xlfn.NUMBERVALUE(A403),_xlfn.NUMBERVALUE(Carga[Tombamento]),Carga[Descrição do Bem]),"")</f>
        <v>ESTAÇÃO DE TRATAMENTO DE ÁGUA - VALPARAISO/GO ESTAÇÃO DE OPERAÇÃO - CPU</v>
      </c>
      <c r="C403" s="39" t="str">
        <f t="shared" si="14"/>
        <v>ESTAÇÃO DE OPERAÇÃO - CPU</v>
      </c>
      <c r="E403" s="42" t="s">
        <v>205</v>
      </c>
      <c r="F403" s="41" t="s">
        <v>207</v>
      </c>
      <c r="G403" s="45" t="s">
        <v>199</v>
      </c>
      <c r="H403" s="41" t="s">
        <v>201</v>
      </c>
      <c r="I403" s="41" t="s">
        <v>36</v>
      </c>
      <c r="J403" s="40" t="s">
        <v>78</v>
      </c>
      <c r="K403" s="60">
        <v>45422</v>
      </c>
      <c r="M403" s="60">
        <v>45712</v>
      </c>
      <c r="O403" s="82">
        <v>45558</v>
      </c>
      <c r="Q403" s="96"/>
    </row>
    <row r="404" spans="1:17" ht="25.5" x14ac:dyDescent="0.35">
      <c r="A404" s="48" t="s">
        <v>394</v>
      </c>
      <c r="B404" s="39" t="str" cm="1">
        <f t="array" ref="B404">IF(A404&lt;&gt;"",_xlfn.XLOOKUP(_xlfn.NUMBERVALUE(A404),_xlfn.NUMBERVALUE(Carga[Tombamento]),Carga[Descrição do Bem]),"")</f>
        <v>ESTAÇÃO DE TRATAMENTO DE ÁGUA - VALPARAISO/GO ESTAÇÃO SERVIDORA - CPU</v>
      </c>
      <c r="C404" s="39" t="str">
        <f t="shared" si="14"/>
        <v>ESTAÇÃO SERVIDORA - CPU</v>
      </c>
      <c r="E404" s="42" t="s">
        <v>205</v>
      </c>
      <c r="F404" s="43" t="s">
        <v>207</v>
      </c>
      <c r="G404" s="44" t="s">
        <v>199</v>
      </c>
      <c r="H404" s="41" t="s">
        <v>201</v>
      </c>
      <c r="I404" s="43" t="s">
        <v>36</v>
      </c>
      <c r="J404" s="40" t="s">
        <v>78</v>
      </c>
      <c r="K404" s="60">
        <v>45422</v>
      </c>
      <c r="M404" s="60">
        <v>45712</v>
      </c>
      <c r="O404" s="82">
        <v>45558</v>
      </c>
      <c r="Q404" s="96"/>
    </row>
    <row r="405" spans="1:17" ht="32.25" x14ac:dyDescent="0.35">
      <c r="A405" s="48" t="s">
        <v>397</v>
      </c>
      <c r="B405" s="39" t="str" cm="1">
        <f t="array" ref="B405">IF(A405&lt;&gt;"",_xlfn.XLOOKUP(_xlfn.NUMBERVALUE(A405),_xlfn.NUMBERVALUE(Carga[Tombamento]),Carga[Descrição do Bem]),"")</f>
        <v>ESTAÇÃO DE TRATAMENTO DE ÁGUA - VALPARAISO/GO MEDIDOR DE NÍVEL ULTRA-SÔNICO( SONDA, TRANSMISSOR E PROGRAMADOR)</v>
      </c>
      <c r="C405" s="39" t="str">
        <f t="shared" si="14"/>
        <v>MEDIDOR DE NÍVEL ULTRA-SÔNICO( SONDA, TRANSMISSOR E PROGRAMADOR)</v>
      </c>
      <c r="E405" s="42" t="s">
        <v>194</v>
      </c>
      <c r="F405" s="41" t="s">
        <v>197</v>
      </c>
      <c r="G405" s="45" t="s">
        <v>199</v>
      </c>
      <c r="H405" s="41" t="s">
        <v>201</v>
      </c>
      <c r="I405" s="41" t="s">
        <v>54</v>
      </c>
      <c r="J405" s="40" t="s">
        <v>238</v>
      </c>
      <c r="K405" s="60">
        <v>45421</v>
      </c>
      <c r="O405" s="82">
        <v>45562</v>
      </c>
      <c r="Q405" s="96"/>
    </row>
    <row r="406" spans="1:17" ht="32.25" x14ac:dyDescent="0.35">
      <c r="A406" s="48" t="s">
        <v>398</v>
      </c>
      <c r="B406" s="39" t="str" cm="1">
        <f t="array" ref="B406">IF(A406&lt;&gt;"",_xlfn.XLOOKUP(_xlfn.NUMBERVALUE(A406),_xlfn.NUMBERVALUE(Carga[Tombamento]),Carga[Descrição do Bem]),"")</f>
        <v>ESTAÇÃO DE TRATAMENTO DE ÁGUA - VALPARAISO/GO MEDIDOR DE NÍVEL ULTRA-SÔNICO( SONDA, TRANSMISSOR E PROGRAMADOR)</v>
      </c>
      <c r="C406" s="39" t="str">
        <f t="shared" si="14"/>
        <v>MEDIDOR DE NÍVEL ULTRA-SÔNICO( SONDA, TRANSMISSOR E PROGRAMADOR)</v>
      </c>
      <c r="E406" s="42" t="s">
        <v>194</v>
      </c>
      <c r="F406" s="43" t="s">
        <v>197</v>
      </c>
      <c r="G406" s="44" t="s">
        <v>199</v>
      </c>
      <c r="H406" s="41" t="s">
        <v>201</v>
      </c>
      <c r="I406" s="43" t="s">
        <v>54</v>
      </c>
      <c r="J406" s="40" t="s">
        <v>237</v>
      </c>
      <c r="K406" s="60">
        <v>45421</v>
      </c>
      <c r="O406" s="82">
        <v>45562</v>
      </c>
      <c r="Q406" s="96"/>
    </row>
    <row r="407" spans="1:17" ht="32.25" x14ac:dyDescent="0.35">
      <c r="A407" s="48" t="s">
        <v>399</v>
      </c>
      <c r="B407" s="39" t="str" cm="1">
        <f t="array" ref="B407">IF(A407&lt;&gt;"",_xlfn.XLOOKUP(_xlfn.NUMBERVALUE(A407),_xlfn.NUMBERVALUE(Carga[Tombamento]),Carga[Descrição do Bem]),"")</f>
        <v>ESTAÇÃO DE TRATAMENTO DE ÁGUA - VALPARAISO/GO MEDIDOR DE NÍVEL ULTRA-SÔNICO ( SONDA, TRANSMISSOR E PROGRAMADOR)</v>
      </c>
      <c r="C407" s="39" t="str">
        <f t="shared" si="14"/>
        <v>MEDIDOR DE NÍVEL ULTRA-SÔNICO ( SONDA, TRANSMISSOR E PROGRAMADOR)</v>
      </c>
      <c r="E407" s="42" t="s">
        <v>194</v>
      </c>
      <c r="F407" s="41" t="s">
        <v>197</v>
      </c>
      <c r="G407" s="45" t="s">
        <v>199</v>
      </c>
      <c r="H407" s="41" t="s">
        <v>201</v>
      </c>
      <c r="I407" s="41" t="s">
        <v>54</v>
      </c>
      <c r="J407" s="40" t="s">
        <v>236</v>
      </c>
      <c r="K407" s="60">
        <v>45421</v>
      </c>
      <c r="O407" s="82">
        <v>45562</v>
      </c>
      <c r="Q407" s="96"/>
    </row>
    <row r="408" spans="1:17" ht="32.25" x14ac:dyDescent="0.35">
      <c r="A408" s="48" t="s">
        <v>401</v>
      </c>
      <c r="B408" s="39" t="str" cm="1">
        <f t="array" ref="B408">IF(A408&lt;&gt;"",_xlfn.XLOOKUP(_xlfn.NUMBERVALUE(A408),_xlfn.NUMBERVALUE(Carga[Tombamento]),Carga[Descrição do Bem]),"")</f>
        <v>ESTAÇÃO DE TRATAMENTO DE ÁGUA - VALPARAISO/GO MEDIDOR DE NÍVEL ULTRA-SÔNICO ( SONDA, TRANSMISSOR E PROGRAMADOR)</v>
      </c>
      <c r="C408" s="39" t="str">
        <f t="shared" si="14"/>
        <v>MEDIDOR DE NÍVEL ULTRA-SÔNICO ( SONDA, TRANSMISSOR E PROGRAMADOR)</v>
      </c>
      <c r="E408" s="42" t="s">
        <v>194</v>
      </c>
      <c r="F408" s="43" t="s">
        <v>197</v>
      </c>
      <c r="G408" s="44" t="s">
        <v>199</v>
      </c>
      <c r="H408" s="41" t="s">
        <v>201</v>
      </c>
      <c r="I408" s="43" t="s">
        <v>54</v>
      </c>
      <c r="J408" s="40" t="s">
        <v>235</v>
      </c>
      <c r="K408" s="60">
        <v>45421</v>
      </c>
      <c r="O408" s="82">
        <v>45558</v>
      </c>
      <c r="Q408" s="96"/>
    </row>
    <row r="409" spans="1:17" ht="32.25" x14ac:dyDescent="0.35">
      <c r="A409" s="48" t="s">
        <v>402</v>
      </c>
      <c r="B409" s="39" t="str" cm="1">
        <f t="array" ref="B409">IF(A409&lt;&gt;"",_xlfn.XLOOKUP(_xlfn.NUMBERVALUE(A409),_xlfn.NUMBERVALUE(Carga[Tombamento]),Carga[Descrição do Bem]),"")</f>
        <v>ESTAÇÃO DE TRATAMENTO DE ÁGUA - VALPARAISO/GO MEDIDOR DE NÍVEL ULTRA-SÔNICO ( SONDA, TRANSMISSOR E PROGRAMADOR)</v>
      </c>
      <c r="C409" s="39" t="str">
        <f t="shared" si="14"/>
        <v>MEDIDOR DE NÍVEL ULTRA-SÔNICO ( SONDA, TRANSMISSOR E PROGRAMADOR)</v>
      </c>
      <c r="E409" s="42" t="s">
        <v>194</v>
      </c>
      <c r="F409" s="41" t="s">
        <v>197</v>
      </c>
      <c r="G409" s="45" t="s">
        <v>199</v>
      </c>
      <c r="H409" s="41" t="s">
        <v>201</v>
      </c>
      <c r="I409" s="41" t="s">
        <v>54</v>
      </c>
      <c r="J409" s="40" t="s">
        <v>234</v>
      </c>
      <c r="K409" s="60">
        <v>45421</v>
      </c>
      <c r="O409" s="82">
        <v>45558</v>
      </c>
      <c r="Q409" s="96"/>
    </row>
    <row r="410" spans="1:17" ht="32.25" x14ac:dyDescent="0.35">
      <c r="A410" s="48" t="s">
        <v>403</v>
      </c>
      <c r="B410" s="39" t="str" cm="1">
        <f t="array" ref="B410">IF(A410&lt;&gt;"",_xlfn.XLOOKUP(_xlfn.NUMBERVALUE(A410),_xlfn.NUMBERVALUE(Carga[Tombamento]),Carga[Descrição do Bem]),"")</f>
        <v>ESTAÇÃO DE TRATAMENTO DE ÁGUA - VALPARAISO/GO MEDIDOR DE NÍVEL ULTRA-SÔNICO ( SONDA, TRANSMISSOR E PROGRAMADOR)</v>
      </c>
      <c r="C410" s="39" t="str">
        <f t="shared" si="14"/>
        <v>MEDIDOR DE NÍVEL ULTRA-SÔNICO ( SONDA, TRANSMISSOR E PROGRAMADOR)</v>
      </c>
      <c r="E410" s="42" t="s">
        <v>194</v>
      </c>
      <c r="F410" s="43" t="s">
        <v>197</v>
      </c>
      <c r="G410" s="44" t="s">
        <v>199</v>
      </c>
      <c r="H410" s="41" t="s">
        <v>201</v>
      </c>
      <c r="I410" s="43" t="s">
        <v>54</v>
      </c>
      <c r="J410" s="40" t="s">
        <v>233</v>
      </c>
      <c r="K410" s="60">
        <v>45421</v>
      </c>
      <c r="O410" s="82">
        <v>45558</v>
      </c>
      <c r="Q410" s="96"/>
    </row>
    <row r="411" spans="1:17" ht="32.25" x14ac:dyDescent="0.35">
      <c r="A411" s="48" t="s">
        <v>404</v>
      </c>
      <c r="B411" s="39" t="str" cm="1">
        <f t="array" ref="B411">IF(A411&lt;&gt;"",_xlfn.XLOOKUP(_xlfn.NUMBERVALUE(A411),_xlfn.NUMBERVALUE(Carga[Tombamento]),Carga[Descrição do Bem]),"")</f>
        <v>ESTAÇÃO DE TRATAMENTO DE ÁGUA - VALPARAISO/GO MEDIDOR DE NÍVEL ULTRA-SÔNICO ( SONDA, TRANSMISSOR E PROGRAMADOR)</v>
      </c>
      <c r="C411" s="39" t="str">
        <f t="shared" si="14"/>
        <v>MEDIDOR DE NÍVEL ULTRA-SÔNICO ( SONDA, TRANSMISSOR E PROGRAMADOR)</v>
      </c>
      <c r="E411" s="42" t="s">
        <v>194</v>
      </c>
      <c r="F411" s="41" t="s">
        <v>197</v>
      </c>
      <c r="G411" s="45" t="s">
        <v>199</v>
      </c>
      <c r="H411" s="41" t="s">
        <v>201</v>
      </c>
      <c r="I411" s="41" t="s">
        <v>53</v>
      </c>
      <c r="J411" s="40" t="s">
        <v>261</v>
      </c>
      <c r="K411" s="60">
        <v>45421</v>
      </c>
      <c r="O411" s="82">
        <v>45553</v>
      </c>
      <c r="Q411" s="96"/>
    </row>
    <row r="412" spans="1:17" ht="32.25" x14ac:dyDescent="0.35">
      <c r="A412" s="48" t="s">
        <v>405</v>
      </c>
      <c r="B412" s="39" t="str" cm="1">
        <f t="array" ref="B412">IF(A412&lt;&gt;"",_xlfn.XLOOKUP(_xlfn.NUMBERVALUE(A412),_xlfn.NUMBERVALUE(Carga[Tombamento]),Carga[Descrição do Bem]),"")</f>
        <v>ESTAÇÃO DE TRATAMENTO DE ÁGUA - VALPARAISO/GO MEDIDOR DE NÍVEL ULTRA-SÔNICO ( SONDA, TRANSMISSOR E PROGRAMADOR)</v>
      </c>
      <c r="C412" s="39" t="str">
        <f t="shared" si="14"/>
        <v>MEDIDOR DE NÍVEL ULTRA-SÔNICO ( SONDA, TRANSMISSOR E PROGRAMADOR)</v>
      </c>
      <c r="E412" s="42" t="s">
        <v>194</v>
      </c>
      <c r="F412" s="43" t="s">
        <v>197</v>
      </c>
      <c r="G412" s="44" t="s">
        <v>199</v>
      </c>
      <c r="H412" s="41" t="s">
        <v>201</v>
      </c>
      <c r="I412" s="43" t="s">
        <v>53</v>
      </c>
      <c r="J412" s="40" t="s">
        <v>260</v>
      </c>
      <c r="K412" s="60">
        <v>45421</v>
      </c>
      <c r="O412" s="82">
        <v>45553</v>
      </c>
      <c r="Q412" s="96"/>
    </row>
    <row r="413" spans="1:17" ht="32.25" x14ac:dyDescent="0.35">
      <c r="A413" s="48" t="s">
        <v>406</v>
      </c>
      <c r="B413" s="39" t="str" cm="1">
        <f t="array" ref="B413">IF(A413&lt;&gt;"",_xlfn.XLOOKUP(_xlfn.NUMBERVALUE(A413),_xlfn.NUMBERVALUE(Carga[Tombamento]),Carga[Descrição do Bem]),"")</f>
        <v>ESTAÇÃO DE TRATAMENTO DE ÁGUA - VALPARAISO/GO MEDIDOR DE NÍVEL ULTRA-SÔNICO ( SONDA, TRANSMISSOR E PROGRAMADOR)</v>
      </c>
      <c r="C413" s="39" t="str">
        <f t="shared" si="14"/>
        <v>MEDIDOR DE NÍVEL ULTRA-SÔNICO ( SONDA, TRANSMISSOR E PROGRAMADOR)</v>
      </c>
      <c r="E413" s="42" t="s">
        <v>194</v>
      </c>
      <c r="F413" s="41" t="s">
        <v>197</v>
      </c>
      <c r="G413" s="45" t="s">
        <v>199</v>
      </c>
      <c r="H413" s="41" t="s">
        <v>201</v>
      </c>
      <c r="I413" s="41" t="s">
        <v>53</v>
      </c>
      <c r="J413" s="40" t="s">
        <v>260</v>
      </c>
      <c r="K413" s="60">
        <v>45421</v>
      </c>
      <c r="O413" s="82">
        <v>45553</v>
      </c>
      <c r="Q413" s="96"/>
    </row>
    <row r="414" spans="1:17" ht="32.25" x14ac:dyDescent="0.35">
      <c r="A414" s="48" t="s">
        <v>407</v>
      </c>
      <c r="B414" s="39" t="str" cm="1">
        <f t="array" ref="B414">IF(A414&lt;&gt;"",_xlfn.XLOOKUP(_xlfn.NUMBERVALUE(A414),_xlfn.NUMBERVALUE(Carga[Tombamento]),Carga[Descrição do Bem]),"")</f>
        <v>ESTAÇÃO DE TRATAMENTO DE ÁGUA - VALPARAISO/GO MEDIDOR DE VAZÃO DE DOSAGEM DE ÁCIDO FLUOSSILÍCICO: TIPO VERTEDOR</v>
      </c>
      <c r="C414" s="39" t="str">
        <f t="shared" si="14"/>
        <v>MEDIDOR DE VAZÃO DE DOSAGEM DE ÁCIDO FLUOSSILÍCICO: TIPO VERTEDOR</v>
      </c>
      <c r="E414" s="42" t="s">
        <v>194</v>
      </c>
      <c r="F414" s="43" t="s">
        <v>197</v>
      </c>
      <c r="G414" s="44" t="s">
        <v>199</v>
      </c>
      <c r="H414" s="41" t="s">
        <v>201</v>
      </c>
      <c r="I414" s="43" t="s">
        <v>61</v>
      </c>
      <c r="J414" s="40" t="s">
        <v>280</v>
      </c>
      <c r="K414" s="60">
        <v>45421</v>
      </c>
      <c r="O414" s="82">
        <v>45555</v>
      </c>
      <c r="Q414" s="96"/>
    </row>
    <row r="415" spans="1:17" ht="32.25" x14ac:dyDescent="0.35">
      <c r="A415" s="48" t="s">
        <v>409</v>
      </c>
      <c r="B415" s="39" t="str" cm="1">
        <f t="array" ref="B415">IF(A415&lt;&gt;"",_xlfn.XLOOKUP(_xlfn.NUMBERVALUE(A415),_xlfn.NUMBERVALUE(Carga[Tombamento]),Carga[Descrição do Bem]),"")</f>
        <v>ESTAÇÃO DE TRATAMENTO DE ÁGUA - VALPARAISO/GO MEDIDOR DE VAZÃO DE DOSAGEM DE POLÍMERO NO SDL: TIPO VERTEDOR</v>
      </c>
      <c r="C415" s="39" t="str">
        <f t="shared" si="14"/>
        <v>MEDIDOR DE VAZÃO DE DOSAGEM DE POLÍMERO NO SDL: TIPO VERTEDOR</v>
      </c>
      <c r="E415" s="42" t="s">
        <v>194</v>
      </c>
      <c r="F415" s="41" t="s">
        <v>197</v>
      </c>
      <c r="G415" s="45" t="s">
        <v>199</v>
      </c>
      <c r="H415" s="41" t="s">
        <v>201</v>
      </c>
      <c r="I415" s="41" t="s">
        <v>75</v>
      </c>
      <c r="J415" s="40" t="s">
        <v>68</v>
      </c>
      <c r="K415" s="60">
        <v>45421</v>
      </c>
      <c r="O415" s="82">
        <v>45555</v>
      </c>
      <c r="Q415" s="96"/>
    </row>
    <row r="416" spans="1:17" ht="32.25" x14ac:dyDescent="0.35">
      <c r="A416" s="48" t="s">
        <v>411</v>
      </c>
      <c r="B416" s="39" t="str" cm="1">
        <f t="array" ref="B416">IF(A416&lt;&gt;"",_xlfn.XLOOKUP(_xlfn.NUMBERVALUE(A416),_xlfn.NUMBERVALUE(Carga[Tombamento]),Carga[Descrição do Bem]),"")</f>
        <v>ESTAÇÃO DE TRATAMENTO DE ÁGUA - VALPARAISO/GO MEDIDOR DE VAZÃO DE DOSAGEM DE POLÍMERO NO SDL: TIPO VERTEDOR</v>
      </c>
      <c r="C416" s="39" t="str">
        <f t="shared" si="14"/>
        <v>MEDIDOR DE VAZÃO DE DOSAGEM DE POLÍMERO NO SDL: TIPO VERTEDOR</v>
      </c>
      <c r="E416" s="42" t="s">
        <v>194</v>
      </c>
      <c r="F416" s="43" t="s">
        <v>197</v>
      </c>
      <c r="G416" s="44" t="s">
        <v>199</v>
      </c>
      <c r="H416" s="41" t="s">
        <v>201</v>
      </c>
      <c r="I416" s="43" t="s">
        <v>75</v>
      </c>
      <c r="J416" s="40" t="s">
        <v>68</v>
      </c>
      <c r="K416" s="60">
        <v>45421</v>
      </c>
      <c r="O416" s="82">
        <v>45555</v>
      </c>
      <c r="Q416" s="96"/>
    </row>
    <row r="417" spans="1:17" ht="32.25" x14ac:dyDescent="0.35">
      <c r="A417" s="48" t="s">
        <v>412</v>
      </c>
      <c r="B417" s="39" t="str" cm="1">
        <f t="array" ref="B417">IF(A417&lt;&gt;"",_xlfn.XLOOKUP(_xlfn.NUMBERVALUE(A417),_xlfn.NUMBERVALUE(Carga[Tombamento]),Carga[Descrição do Bem]),"")</f>
        <v>ESTAÇÃO DE TRATAMENTO DE ÁGUA - VALPARAISO/GO MEDIDOR DE VAZÃO DE ÁGUA TRATADA: TIPO ELETROMAGNÉTICO DE INSERÇÃO</v>
      </c>
      <c r="C417" s="39" t="str">
        <f t="shared" si="14"/>
        <v>MEDIDOR DE VAZÃO DE ÁGUA TRATADA: TIPO ELETROMAGNÉTICO DE INSERÇÃO</v>
      </c>
      <c r="E417" s="42" t="s">
        <v>194</v>
      </c>
      <c r="F417" s="41" t="s">
        <v>197</v>
      </c>
      <c r="G417" s="45" t="s">
        <v>199</v>
      </c>
      <c r="H417" s="41" t="s">
        <v>201</v>
      </c>
      <c r="I417" s="41" t="s">
        <v>437</v>
      </c>
      <c r="J417" s="40" t="s">
        <v>981</v>
      </c>
      <c r="K417" s="60">
        <v>45421</v>
      </c>
      <c r="O417" s="82">
        <v>45560</v>
      </c>
      <c r="Q417" s="96"/>
    </row>
    <row r="418" spans="1:17" ht="32.25" x14ac:dyDescent="0.35">
      <c r="A418" s="48" t="s">
        <v>414</v>
      </c>
      <c r="B418" s="39" t="str" cm="1">
        <f t="array" ref="B418">IF(A418&lt;&gt;"",_xlfn.XLOOKUP(_xlfn.NUMBERVALUE(A418),_xlfn.NUMBERVALUE(Carga[Tombamento]),Carga[Descrição do Bem]),"")</f>
        <v>ESTAÇÃO DE TRATAMENTO DE ÁGUA - VALPARAISO/GO MEDIDOR DE VAZÃO DE LODO PARA CENTÍFUGA: TIPO ELETROMAGNÉTICO</v>
      </c>
      <c r="C418" s="39" t="str">
        <f t="shared" si="14"/>
        <v>MEDIDOR DE VAZÃO DE LODO PARA CENTÍFUGA: TIPO ELETROMAGNÉTICO</v>
      </c>
      <c r="E418" s="42" t="s">
        <v>194</v>
      </c>
      <c r="F418" s="43" t="s">
        <v>197</v>
      </c>
      <c r="G418" s="44" t="s">
        <v>199</v>
      </c>
      <c r="H418" s="41" t="s">
        <v>201</v>
      </c>
      <c r="I418" s="43" t="s">
        <v>75</v>
      </c>
      <c r="J418" s="40" t="s">
        <v>68</v>
      </c>
      <c r="K418" s="60">
        <v>45421</v>
      </c>
      <c r="O418" s="82">
        <v>45555</v>
      </c>
      <c r="Q418" s="96"/>
    </row>
    <row r="419" spans="1:17" ht="32.25" x14ac:dyDescent="0.35">
      <c r="A419" s="48" t="s">
        <v>416</v>
      </c>
      <c r="B419" s="39" t="str" cm="1">
        <f t="array" ref="B419">IF(A419&lt;&gt;"",_xlfn.XLOOKUP(_xlfn.NUMBERVALUE(A419),_xlfn.NUMBERVALUE(Carga[Tombamento]),Carga[Descrição do Bem]),"")</f>
        <v>ESTAÇÃO DE TRATAMENTO DE ÁGUA - VALPARAISO/GO MEDIDOR DE VAZÃO DE LODO PARA CENTÍFUGA: TIPO ELETROMAGNÉTICO</v>
      </c>
      <c r="C419" s="39" t="str">
        <f t="shared" si="14"/>
        <v>MEDIDOR DE VAZÃO DE LODO PARA CENTÍFUGA: TIPO ELETROMAGNÉTICO</v>
      </c>
      <c r="E419" s="42" t="s">
        <v>194</v>
      </c>
      <c r="F419" s="41" t="s">
        <v>197</v>
      </c>
      <c r="G419" s="45" t="s">
        <v>199</v>
      </c>
      <c r="H419" s="41" t="s">
        <v>201</v>
      </c>
      <c r="I419" s="41" t="s">
        <v>75</v>
      </c>
      <c r="J419" s="40" t="s">
        <v>68</v>
      </c>
      <c r="K419" s="60">
        <v>45421</v>
      </c>
      <c r="O419" s="82">
        <v>45555</v>
      </c>
      <c r="Q419" s="96"/>
    </row>
    <row r="420" spans="1:17" ht="25.5" x14ac:dyDescent="0.35">
      <c r="A420" s="48" t="s">
        <v>417</v>
      </c>
      <c r="B420" s="39" t="str" cm="1">
        <f t="array" ref="B420">IF(A420&lt;&gt;"",_xlfn.XLOOKUP(_xlfn.NUMBERVALUE(A420),_xlfn.NUMBERVALUE(Carga[Tombamento]),Carga[Descrição do Bem]),"")</f>
        <v>ESTAÇÃO DE TRATAMENTO DE ÁGUA - VALPARAISO/GO MONITOR DE LCD - 52 POLEGADAS</v>
      </c>
      <c r="C420" s="39" t="str">
        <f t="shared" si="14"/>
        <v>MONITOR DE LCD - 52 POLEGADAS</v>
      </c>
      <c r="E420" s="42" t="s">
        <v>205</v>
      </c>
      <c r="F420" s="43" t="s">
        <v>207</v>
      </c>
      <c r="G420" s="44" t="s">
        <v>199</v>
      </c>
      <c r="H420" s="41" t="s">
        <v>201</v>
      </c>
      <c r="I420" s="43" t="s">
        <v>36</v>
      </c>
      <c r="J420" s="40" t="s">
        <v>78</v>
      </c>
      <c r="K420" s="60">
        <v>45422</v>
      </c>
      <c r="M420" s="60">
        <v>45712</v>
      </c>
      <c r="O420" s="82">
        <v>45558</v>
      </c>
      <c r="Q420" s="96"/>
    </row>
    <row r="421" spans="1:17" ht="25.5" x14ac:dyDescent="0.35">
      <c r="A421" s="48" t="s">
        <v>419</v>
      </c>
      <c r="B421" s="39" t="str" cm="1">
        <f t="array" ref="B421">IF(A421&lt;&gt;"",_xlfn.XLOOKUP(_xlfn.NUMBERVALUE(A421),_xlfn.NUMBERVALUE(Carga[Tombamento]),Carga[Descrição do Bem]),"")</f>
        <v>ESTAÇÃO DE TRATAMENTO DE ÁGUA - VALPARAISO/GO MONITOR DE LCD - 52 POLEGADAS</v>
      </c>
      <c r="C421" s="39" t="str">
        <f t="shared" si="14"/>
        <v>MONITOR DE LCD - 52 POLEGADAS</v>
      </c>
      <c r="E421" s="42" t="s">
        <v>205</v>
      </c>
      <c r="F421" s="41" t="s">
        <v>207</v>
      </c>
      <c r="G421" s="45" t="s">
        <v>199</v>
      </c>
      <c r="H421" s="41" t="s">
        <v>201</v>
      </c>
      <c r="I421" s="41" t="s">
        <v>36</v>
      </c>
      <c r="J421" s="40" t="s">
        <v>78</v>
      </c>
      <c r="K421" s="60">
        <v>45422</v>
      </c>
      <c r="M421" s="60">
        <v>45712</v>
      </c>
      <c r="O421" s="82">
        <v>45558</v>
      </c>
      <c r="Q421" s="96"/>
    </row>
    <row r="422" spans="1:17" ht="32.25" x14ac:dyDescent="0.35">
      <c r="A422" s="48" t="s">
        <v>420</v>
      </c>
      <c r="B422" s="39" t="str" cm="1">
        <f t="array" ref="B422">IF(A422&lt;&gt;"",_xlfn.XLOOKUP(_xlfn.NUMBERVALUE(A422),_xlfn.NUMBERVALUE(Carga[Tombamento]),Carga[Descrição do Bem]),"")</f>
        <v>ESTAÇÃO DE TRATAMENTO DE ÁGUA - VALPARAISO/GO NO-BREAK MONOFÁSICO (POTÊNCIA 3 KVA / TENSÃO 220 V)</v>
      </c>
      <c r="C422" s="39" t="str">
        <f t="shared" si="14"/>
        <v>NO-BREAK MONOFÁSICO (POTÊNCIA 3 KVA / TENSÃO 220 V)</v>
      </c>
      <c r="E422" s="42" t="s">
        <v>193</v>
      </c>
      <c r="F422" s="43" t="s">
        <v>197</v>
      </c>
      <c r="G422" s="44" t="s">
        <v>199</v>
      </c>
      <c r="H422" s="41" t="s">
        <v>201</v>
      </c>
      <c r="I422" s="43" t="s">
        <v>74</v>
      </c>
      <c r="J422" s="40" t="s">
        <v>63</v>
      </c>
      <c r="K422" s="60">
        <v>45421</v>
      </c>
      <c r="O422" s="82">
        <v>45565</v>
      </c>
      <c r="Q422" s="96"/>
    </row>
    <row r="423" spans="1:17" ht="32.25" x14ac:dyDescent="0.35">
      <c r="A423" s="48" t="s">
        <v>422</v>
      </c>
      <c r="B423" s="39" t="str" cm="1">
        <f t="array" ref="B423">IF(A423&lt;&gt;"",_xlfn.XLOOKUP(_xlfn.NUMBERVALUE(A423),_xlfn.NUMBERVALUE(Carga[Tombamento]),Carga[Descrição do Bem]),"")</f>
        <v>ESTAÇÃO DE TRATAMENTO DE ÁGUA - VALPARAISO/GO ANALISADOR DE PH COM INTERFACE DE COMUNICAÇÃO EM REDE</v>
      </c>
      <c r="C423" s="39" t="str">
        <f t="shared" si="14"/>
        <v>ANALISADOR DE PH COM INTERFACE DE COMUNICAÇÃO EM REDE</v>
      </c>
      <c r="E423" s="42" t="s">
        <v>194</v>
      </c>
      <c r="F423" s="41" t="s">
        <v>197</v>
      </c>
      <c r="G423" s="45" t="s">
        <v>199</v>
      </c>
      <c r="H423" s="41" t="s">
        <v>201</v>
      </c>
      <c r="I423" s="41" t="s">
        <v>53</v>
      </c>
      <c r="J423" s="40" t="s">
        <v>251</v>
      </c>
      <c r="K423" s="60">
        <v>45422</v>
      </c>
      <c r="O423" s="82">
        <v>45558</v>
      </c>
      <c r="Q423" s="96"/>
    </row>
    <row r="424" spans="1:17" ht="32.25" x14ac:dyDescent="0.35">
      <c r="A424" s="48" t="s">
        <v>424</v>
      </c>
      <c r="B424" s="39" t="str" cm="1">
        <f t="array" ref="B424">IF(A424&lt;&gt;"",_xlfn.XLOOKUP(_xlfn.NUMBERVALUE(A424),_xlfn.NUMBERVALUE(Carga[Tombamento]),Carga[Descrição do Bem]),"")</f>
        <v>ESTAÇÃO DE TRATAMENTO DE ÁGUA - VALPARAISO/GO ANALISADOR DE PH COM INTERFACE DE COMUNICAÇÃO EM REDE</v>
      </c>
      <c r="C424" s="39" t="str">
        <f t="shared" si="14"/>
        <v>ANALISADOR DE PH COM INTERFACE DE COMUNICAÇÃO EM REDE</v>
      </c>
      <c r="E424" s="42" t="s">
        <v>194</v>
      </c>
      <c r="F424" s="43" t="s">
        <v>197</v>
      </c>
      <c r="G424" s="44" t="s">
        <v>199</v>
      </c>
      <c r="H424" s="41" t="s">
        <v>201</v>
      </c>
      <c r="I424" s="43" t="s">
        <v>53</v>
      </c>
      <c r="J424" s="40" t="s">
        <v>252</v>
      </c>
      <c r="K424" s="60">
        <v>45422</v>
      </c>
      <c r="O424" s="82">
        <v>45558</v>
      </c>
      <c r="Q424" s="96"/>
    </row>
    <row r="425" spans="1:17" ht="32.25" x14ac:dyDescent="0.35">
      <c r="A425" s="48" t="s">
        <v>425</v>
      </c>
      <c r="B425" s="39" t="str" cm="1">
        <f t="array" ref="B425">IF(A425&lt;&gt;"",_xlfn.XLOOKUP(_xlfn.NUMBERVALUE(A425),_xlfn.NUMBERVALUE(Carga[Tombamento]),Carga[Descrição do Bem]),"")</f>
        <v>ESTAÇÃO DE TRATAMENTO DE ÁGUA - VALPARAISO/GO ANALISADOR DE PH COM INTERFACE DE COMUNICAÇÃO EM REDE</v>
      </c>
      <c r="C425" s="39" t="str">
        <f t="shared" si="14"/>
        <v>ANALISADOR DE PH COM INTERFACE DE COMUNICAÇÃO EM REDE</v>
      </c>
      <c r="E425" s="42" t="s">
        <v>194</v>
      </c>
      <c r="F425" s="41" t="s">
        <v>197</v>
      </c>
      <c r="G425" s="45" t="s">
        <v>199</v>
      </c>
      <c r="H425" s="41" t="s">
        <v>201</v>
      </c>
      <c r="I425" s="41" t="s">
        <v>53</v>
      </c>
      <c r="J425" s="40" t="s">
        <v>254</v>
      </c>
      <c r="K425" s="60">
        <v>45422</v>
      </c>
      <c r="O425" s="82">
        <v>45565</v>
      </c>
      <c r="Q425" s="96"/>
    </row>
    <row r="426" spans="1:17" ht="32.25" x14ac:dyDescent="0.35">
      <c r="A426" s="48" t="s">
        <v>426</v>
      </c>
      <c r="B426" s="39" t="str" cm="1">
        <f t="array" ref="B426">IF(A426&lt;&gt;"",_xlfn.XLOOKUP(_xlfn.NUMBERVALUE(A426),_xlfn.NUMBERVALUE(Carga[Tombamento]),Carga[Descrição do Bem]),"")</f>
        <v>ESTAÇÃO DE TRATAMENTO DE ÁGUA - VALPARAISO/GO ANALISADOR DE PH COM INTERFACE DE COMUNICAÇÃO EM REDE</v>
      </c>
      <c r="C426" s="39" t="str">
        <f t="shared" si="14"/>
        <v>ANALISADOR DE PH COM INTERFACE DE COMUNICAÇÃO EM REDE</v>
      </c>
      <c r="E426" s="42" t="s">
        <v>194</v>
      </c>
      <c r="F426" s="43" t="s">
        <v>197</v>
      </c>
      <c r="G426" s="44" t="s">
        <v>199</v>
      </c>
      <c r="H426" s="41" t="s">
        <v>201</v>
      </c>
      <c r="I426" s="43" t="s">
        <v>53</v>
      </c>
      <c r="J426" s="40" t="s">
        <v>255</v>
      </c>
      <c r="K426" s="60">
        <v>45422</v>
      </c>
      <c r="O426" s="82">
        <v>45558</v>
      </c>
      <c r="Q426" s="96"/>
    </row>
    <row r="427" spans="1:17" ht="32.25" x14ac:dyDescent="0.35">
      <c r="A427" s="48" t="s">
        <v>427</v>
      </c>
      <c r="B427" s="39" t="str" cm="1">
        <f t="array" ref="B427">IF(A427&lt;&gt;"",_xlfn.XLOOKUP(_xlfn.NUMBERVALUE(A427),_xlfn.NUMBERVALUE(Carga[Tombamento]),Carga[Descrição do Bem]),"")</f>
        <v>ESTAÇÃO DE TRATAMENTO DE ÁGUA - VALPARAISO/GO ANALISADOR DE PH COM INTERFACE DE COMUNICAÇÃO EM REDE</v>
      </c>
      <c r="C427" s="39" t="str">
        <f t="shared" si="14"/>
        <v>ANALISADOR DE PH COM INTERFACE DE COMUNICAÇÃO EM REDE</v>
      </c>
      <c r="E427" s="42" t="s">
        <v>194</v>
      </c>
      <c r="F427" s="41" t="s">
        <v>197</v>
      </c>
      <c r="G427" s="45" t="s">
        <v>199</v>
      </c>
      <c r="H427" s="41" t="s">
        <v>201</v>
      </c>
      <c r="I427" s="41" t="s">
        <v>53</v>
      </c>
      <c r="J427" s="40" t="s">
        <v>256</v>
      </c>
      <c r="K427" s="60">
        <v>45422</v>
      </c>
      <c r="O427" s="82">
        <v>45558</v>
      </c>
      <c r="Q427" s="96"/>
    </row>
    <row r="428" spans="1:17" ht="32.25" x14ac:dyDescent="0.35">
      <c r="A428" s="48" t="s">
        <v>428</v>
      </c>
      <c r="B428" s="39" t="str" cm="1">
        <f t="array" ref="B428">IF(A428&lt;&gt;"",_xlfn.XLOOKUP(_xlfn.NUMBERVALUE(A428),_xlfn.NUMBERVALUE(Carga[Tombamento]),Carga[Descrição do Bem]),"")</f>
        <v>ESTAÇÃO DE RECALQUE - ÁGUA - DF ATUADOR ELETRICO INTELIGENTE PARA VALVULA, 1/4 DE VOLTA, MOTOR 380 VAC</v>
      </c>
      <c r="C428" s="39" t="str">
        <f>MID(B428,32,160)</f>
        <v xml:space="preserve"> ATUADOR ELETRICO INTELIGENTE PARA VALVULA, 1/4 DE VOLTA, MOTOR 380 VAC</v>
      </c>
      <c r="E428" s="42" t="s">
        <v>194</v>
      </c>
      <c r="F428" s="43" t="s">
        <v>197</v>
      </c>
      <c r="G428" s="44" t="s">
        <v>199</v>
      </c>
      <c r="H428" s="41" t="s">
        <v>201</v>
      </c>
      <c r="I428" s="43" t="s">
        <v>53</v>
      </c>
      <c r="J428" s="40" t="s">
        <v>216</v>
      </c>
      <c r="K428" s="60">
        <v>45421</v>
      </c>
      <c r="O428" s="82">
        <v>45553</v>
      </c>
      <c r="Q428" s="96"/>
    </row>
    <row r="429" spans="1:17" ht="32.25" x14ac:dyDescent="0.35">
      <c r="A429" s="48" t="s">
        <v>430</v>
      </c>
      <c r="B429" s="39" t="str" cm="1">
        <f t="array" ref="B429">IF(A429&lt;&gt;"",_xlfn.XLOOKUP(_xlfn.NUMBERVALUE(A429),_xlfn.NUMBERVALUE(Carga[Tombamento]),Carga[Descrição do Bem]),"")</f>
        <v>ESTAÇÃO DE RECALQUE - ÁGUA - DF ATUADOR ELETRICO INTELIGENTE PARA VALVULA, 1/4 DE VOLTA, MOTOR 380 VAC</v>
      </c>
      <c r="C429" s="39" t="str">
        <f t="shared" ref="C429:C432" si="15">MID(B429,32,160)</f>
        <v xml:space="preserve"> ATUADOR ELETRICO INTELIGENTE PARA VALVULA, 1/4 DE VOLTA, MOTOR 380 VAC</v>
      </c>
      <c r="E429" s="42" t="s">
        <v>194</v>
      </c>
      <c r="F429" s="41" t="s">
        <v>197</v>
      </c>
      <c r="G429" s="45" t="s">
        <v>199</v>
      </c>
      <c r="H429" s="41" t="s">
        <v>201</v>
      </c>
      <c r="I429" s="41" t="s">
        <v>53</v>
      </c>
      <c r="J429" s="40" t="s">
        <v>216</v>
      </c>
      <c r="K429" s="60">
        <v>45421</v>
      </c>
      <c r="O429" s="82">
        <v>45553</v>
      </c>
      <c r="Q429" s="96"/>
    </row>
    <row r="430" spans="1:17" ht="32.25" x14ac:dyDescent="0.35">
      <c r="A430" s="48" t="s">
        <v>431</v>
      </c>
      <c r="B430" s="39" t="str" cm="1">
        <f t="array" ref="B430">IF(A430&lt;&gt;"",_xlfn.XLOOKUP(_xlfn.NUMBERVALUE(A430),_xlfn.NUMBERVALUE(Carga[Tombamento]),Carga[Descrição do Bem]),"")</f>
        <v>ESTAÇÃO DE RECALQUE - ÁGUA - DF ATUADOR ELETRICO INTELIGENTE PARA VALVULA, 1/4 DE VOLTA, MOTOR 380 VAC</v>
      </c>
      <c r="C430" s="39" t="str">
        <f t="shared" si="15"/>
        <v xml:space="preserve"> ATUADOR ELETRICO INTELIGENTE PARA VALVULA, 1/4 DE VOLTA, MOTOR 380 VAC</v>
      </c>
      <c r="E430" s="42" t="s">
        <v>194</v>
      </c>
      <c r="F430" s="43" t="s">
        <v>197</v>
      </c>
      <c r="G430" s="44" t="s">
        <v>199</v>
      </c>
      <c r="H430" s="41" t="s">
        <v>201</v>
      </c>
      <c r="I430" s="43" t="s">
        <v>53</v>
      </c>
      <c r="J430" s="40" t="s">
        <v>216</v>
      </c>
      <c r="K430" s="60">
        <v>45421</v>
      </c>
      <c r="O430" s="82">
        <v>45553</v>
      </c>
      <c r="Q430" s="96"/>
    </row>
    <row r="431" spans="1:17" ht="32.25" x14ac:dyDescent="0.35">
      <c r="A431" s="48" t="s">
        <v>432</v>
      </c>
      <c r="B431" s="39" t="str" cm="1">
        <f t="array" ref="B431">IF(A431&lt;&gt;"",_xlfn.XLOOKUP(_xlfn.NUMBERVALUE(A431),_xlfn.NUMBERVALUE(Carga[Tombamento]),Carga[Descrição do Bem]),"")</f>
        <v>ESTAÇÃO DE RECALQUE - ÁGUA - DF ATUADOR ELETRICO INTELIGENTE PARA VALVULA, 1/4 DE VOLTA, MOTOR 380 VAC</v>
      </c>
      <c r="C431" s="39" t="str">
        <f t="shared" si="15"/>
        <v xml:space="preserve"> ATUADOR ELETRICO INTELIGENTE PARA VALVULA, 1/4 DE VOLTA, MOTOR 380 VAC</v>
      </c>
      <c r="E431" s="42" t="s">
        <v>194</v>
      </c>
      <c r="F431" s="41" t="s">
        <v>197</v>
      </c>
      <c r="G431" s="45" t="s">
        <v>199</v>
      </c>
      <c r="H431" s="41" t="s">
        <v>201</v>
      </c>
      <c r="I431" s="41" t="s">
        <v>53</v>
      </c>
      <c r="J431" s="40" t="s">
        <v>260</v>
      </c>
      <c r="K431" s="60">
        <v>45421</v>
      </c>
      <c r="O431" s="82">
        <v>45553</v>
      </c>
      <c r="Q431" s="96"/>
    </row>
    <row r="432" spans="1:17" ht="25.5" x14ac:dyDescent="0.35">
      <c r="A432" s="48" t="s">
        <v>433</v>
      </c>
      <c r="B432" s="39" t="str" cm="1">
        <f t="array" ref="B432">IF(A432&lt;&gt;"",_xlfn.XLOOKUP(_xlfn.NUMBERVALUE(A432),_xlfn.NUMBERVALUE(Carga[Tombamento]),Carga[Descrição do Bem]),"")</f>
        <v>ESTAÇÃO DE RECALQUE - ÁGUA - DF NO-BREAK ONLINE, 6000 VA, SAÍDA 220V</v>
      </c>
      <c r="C432" s="39" t="str">
        <f t="shared" si="15"/>
        <v xml:space="preserve"> NO-BREAK ONLINE, 6000 VA, SAÍDA 220V</v>
      </c>
      <c r="D432" s="5"/>
      <c r="E432" s="42" t="s">
        <v>194</v>
      </c>
      <c r="F432" s="43" t="s">
        <v>196</v>
      </c>
      <c r="G432" s="44" t="s">
        <v>199</v>
      </c>
      <c r="H432" s="41" t="s">
        <v>201</v>
      </c>
      <c r="I432" s="43" t="s">
        <v>74</v>
      </c>
      <c r="J432" s="40" t="s">
        <v>63</v>
      </c>
      <c r="K432" s="60">
        <v>45421</v>
      </c>
      <c r="O432" s="82">
        <v>45565</v>
      </c>
      <c r="Q432" s="96"/>
    </row>
    <row r="433" spans="1:17" ht="41.25" x14ac:dyDescent="0.35">
      <c r="A433" s="48" t="s">
        <v>449</v>
      </c>
      <c r="B433" s="39" t="str" cm="1">
        <f t="array" ref="B433">IF(A433&lt;&gt;"",_xlfn.XLOOKUP(_xlfn.NUMBERVALUE(A433),_xlfn.NUMBERVALUE(Carga[Tombamento]),Carga[Descrição do Bem]),"")</f>
        <v>ESTAÇÃO DE TRATAMENTO DE ÁGUA - VALPARAISO/GO BOMBA CENTRÍFUGA DE RECIRCULAÇÃO- COMPÕE SISTEMA DE HIDRÓXIDO DE CÁLCIO EM SUSPENSÃO AQUOSA</v>
      </c>
      <c r="C433" s="39" t="str">
        <f t="shared" ref="C433:C444" si="16">MID(B433,47,160)</f>
        <v>BOMBA CENTRÍFUGA DE RECIRCULAÇÃO- COMPÕE SISTEMA DE HIDRÓXIDO DE CÁLCIO EM SUSPENSÃO AQUOSA</v>
      </c>
      <c r="D433" s="5"/>
      <c r="E433" s="42" t="s">
        <v>194</v>
      </c>
      <c r="F433" s="43" t="s">
        <v>197</v>
      </c>
      <c r="G433" s="44" t="s">
        <v>199</v>
      </c>
      <c r="H433" s="41" t="s">
        <v>201</v>
      </c>
      <c r="I433" s="43" t="s">
        <v>440</v>
      </c>
      <c r="J433" s="40" t="s">
        <v>442</v>
      </c>
      <c r="K433" s="60">
        <v>45422</v>
      </c>
      <c r="O433" s="82">
        <v>45555</v>
      </c>
      <c r="Q433" s="96"/>
    </row>
    <row r="434" spans="1:17" ht="32.25" x14ac:dyDescent="0.35">
      <c r="A434" s="48" t="s">
        <v>450</v>
      </c>
      <c r="B434" s="39" t="str" cm="1">
        <f t="array" ref="B434">IF(A434&lt;&gt;"",_xlfn.XLOOKUP(_xlfn.NUMBERVALUE(A434),_xlfn.NUMBERVALUE(Carga[Tombamento]),Carga[Descrição do Bem]),"")</f>
        <v>ESTAÇÃO DE TRATAMENTO DE ÁGUA - VALPARAISO/GO NO-BREAK MONOFÁSICO (POTÊNCIA 3 KVA / TENSÃO 220 V)</v>
      </c>
      <c r="C434" s="39" t="str">
        <f t="shared" si="16"/>
        <v>NO-BREAK MONOFÁSICO (POTÊNCIA 3 KVA / TENSÃO 220 V)</v>
      </c>
      <c r="D434" s="5"/>
      <c r="E434" s="42" t="s">
        <v>194</v>
      </c>
      <c r="F434" s="43" t="s">
        <v>196</v>
      </c>
      <c r="G434" s="44" t="s">
        <v>199</v>
      </c>
      <c r="H434" s="41" t="s">
        <v>201</v>
      </c>
      <c r="I434" s="43" t="s">
        <v>55</v>
      </c>
      <c r="J434" s="40" t="s">
        <v>71</v>
      </c>
      <c r="K434" s="60">
        <v>45422</v>
      </c>
      <c r="O434" s="82">
        <v>45555</v>
      </c>
      <c r="Q434" s="96"/>
    </row>
    <row r="435" spans="1:17" ht="32.25" x14ac:dyDescent="0.35">
      <c r="A435" s="48" t="s">
        <v>451</v>
      </c>
      <c r="B435" s="39" t="str" cm="1">
        <f t="array" ref="B435">IF(A435&lt;&gt;"",_xlfn.XLOOKUP(_xlfn.NUMBERVALUE(A435),_xlfn.NUMBERVALUE(Carga[Tombamento]),Carga[Descrição do Bem]),"")</f>
        <v>ESTAÇÃO DE TRATAMENTO DE ÁGUA - VALPARAISO/GO NO-BREAK MONOFÁSICO (POTÊNCIA 3 KVA / TENSÃO 220 V)</v>
      </c>
      <c r="C435" s="39" t="str">
        <f t="shared" si="16"/>
        <v>NO-BREAK MONOFÁSICO (POTÊNCIA 3 KVA / TENSÃO 220 V)</v>
      </c>
      <c r="D435" s="5"/>
      <c r="E435" s="42" t="s">
        <v>194</v>
      </c>
      <c r="F435" s="43" t="s">
        <v>196</v>
      </c>
      <c r="G435" s="44" t="s">
        <v>199</v>
      </c>
      <c r="H435" s="41" t="s">
        <v>201</v>
      </c>
      <c r="I435" s="43" t="s">
        <v>56</v>
      </c>
      <c r="J435" s="40" t="s">
        <v>60</v>
      </c>
      <c r="K435" s="60">
        <v>45422</v>
      </c>
      <c r="O435" s="82">
        <v>45555</v>
      </c>
      <c r="Q435" s="96"/>
    </row>
    <row r="436" spans="1:17" ht="32.25" x14ac:dyDescent="0.35">
      <c r="A436" s="48" t="s">
        <v>452</v>
      </c>
      <c r="B436" s="39" t="str" cm="1">
        <f t="array" ref="B436">IF(A436&lt;&gt;"",_xlfn.XLOOKUP(_xlfn.NUMBERVALUE(A436),_xlfn.NUMBERVALUE(Carga[Tombamento]),Carga[Descrição do Bem]),"")</f>
        <v>ESTAÇÃO DE TRATAMENTO DE ÁGUA - VALPARAISO/GO NO-BREAK MONOFÁSICO (POTÊNCIA 3 KVA / TENSÃO 220 V)</v>
      </c>
      <c r="C436" s="39" t="str">
        <f t="shared" si="16"/>
        <v>NO-BREAK MONOFÁSICO (POTÊNCIA 3 KVA / TENSÃO 220 V)</v>
      </c>
      <c r="D436" s="5"/>
      <c r="E436" s="42" t="s">
        <v>194</v>
      </c>
      <c r="F436" s="43" t="s">
        <v>196</v>
      </c>
      <c r="G436" s="44" t="s">
        <v>199</v>
      </c>
      <c r="H436" s="41" t="s">
        <v>201</v>
      </c>
      <c r="I436" s="43" t="s">
        <v>54</v>
      </c>
      <c r="J436" s="40" t="s">
        <v>443</v>
      </c>
      <c r="K436" s="60">
        <v>45422</v>
      </c>
      <c r="O436" s="82">
        <v>45558</v>
      </c>
      <c r="Q436" s="96"/>
    </row>
    <row r="437" spans="1:17" ht="32.25" x14ac:dyDescent="0.35">
      <c r="A437" s="48">
        <v>74954</v>
      </c>
      <c r="B437" s="39" t="str" cm="1">
        <f t="array" ref="B437">IF(A437&lt;&gt;"",_xlfn.XLOOKUP(_xlfn.NUMBERVALUE(A437),_xlfn.NUMBERVALUE(Carga[Tombamento]),Carga[Descrição do Bem]),"")</f>
        <v>ESTAÇÃO DE TRATAMENTO DE ÁGUA - VALPARAISO/GO NO-BREAK MONOFÁSICO (POTÊNCIA 3 KVA / TENSÃO 220 V)</v>
      </c>
      <c r="C437" s="39" t="str">
        <f t="shared" si="16"/>
        <v>NO-BREAK MONOFÁSICO (POTÊNCIA 3 KVA / TENSÃO 220 V)</v>
      </c>
      <c r="D437" s="5"/>
      <c r="E437" s="42" t="s">
        <v>194</v>
      </c>
      <c r="F437" s="43" t="s">
        <v>197</v>
      </c>
      <c r="G437" s="44" t="s">
        <v>199</v>
      </c>
      <c r="H437" s="41" t="s">
        <v>201</v>
      </c>
      <c r="I437" s="43" t="s">
        <v>438</v>
      </c>
      <c r="J437" s="40" t="s">
        <v>443</v>
      </c>
      <c r="K437" s="60">
        <v>45421</v>
      </c>
      <c r="O437" s="82">
        <v>45558</v>
      </c>
      <c r="Q437" s="96"/>
    </row>
    <row r="438" spans="1:17" ht="32.25" x14ac:dyDescent="0.35">
      <c r="A438" s="48" t="s">
        <v>454</v>
      </c>
      <c r="B438" s="39" t="str" cm="1">
        <f t="array" ref="B438">IF(A438&lt;&gt;"",_xlfn.XLOOKUP(_xlfn.NUMBERVALUE(A438),_xlfn.NUMBERVALUE(Carga[Tombamento]),Carga[Descrição do Bem]),"")</f>
        <v>ESTAÇÃO DE TRATAMENTO DE ÁGUA - VALPARAISO/GO NO-BREAK MONOFÁSICO (POTÊNCIA 3 KVA / TENSÃO 220 V)</v>
      </c>
      <c r="C438" s="39" t="str">
        <f t="shared" si="16"/>
        <v>NO-BREAK MONOFÁSICO (POTÊNCIA 3 KVA / TENSÃO 220 V)</v>
      </c>
      <c r="D438" s="5"/>
      <c r="E438" s="42" t="s">
        <v>194</v>
      </c>
      <c r="F438" s="43" t="s">
        <v>196</v>
      </c>
      <c r="G438" s="44" t="s">
        <v>199</v>
      </c>
      <c r="H438" s="41" t="s">
        <v>201</v>
      </c>
      <c r="I438" s="43" t="s">
        <v>54</v>
      </c>
      <c r="J438" s="40" t="s">
        <v>443</v>
      </c>
      <c r="K438" s="60">
        <v>45422</v>
      </c>
      <c r="O438" s="82">
        <v>45558</v>
      </c>
      <c r="Q438" s="96"/>
    </row>
    <row r="439" spans="1:17" ht="32.25" x14ac:dyDescent="0.35">
      <c r="A439" s="48" t="s">
        <v>455</v>
      </c>
      <c r="B439" s="39" t="str" cm="1">
        <f t="array" ref="B439">IF(A439&lt;&gt;"",_xlfn.XLOOKUP(_xlfn.NUMBERVALUE(A439),_xlfn.NUMBERVALUE(Carga[Tombamento]),Carga[Descrição do Bem]),"")</f>
        <v>ESTAÇÃO DE TRATAMENTO DE ÁGUA - VALPARAISO/GO NO-BREAK MONOFÁSICO (POTÊNCIA 3 KVA / TENSÃO 220 V)</v>
      </c>
      <c r="C439" s="39" t="str">
        <f t="shared" si="16"/>
        <v>NO-BREAK MONOFÁSICO (POTÊNCIA 3 KVA / TENSÃO 220 V)</v>
      </c>
      <c r="D439" s="5"/>
      <c r="E439" s="42" t="s">
        <v>194</v>
      </c>
      <c r="F439" s="43" t="s">
        <v>196</v>
      </c>
      <c r="G439" s="44" t="s">
        <v>199</v>
      </c>
      <c r="H439" s="41" t="s">
        <v>201</v>
      </c>
      <c r="I439" s="43" t="s">
        <v>54</v>
      </c>
      <c r="J439" s="40" t="s">
        <v>443</v>
      </c>
      <c r="K439" s="60">
        <v>45422</v>
      </c>
      <c r="O439" s="82">
        <v>45553</v>
      </c>
      <c r="Q439" s="96"/>
    </row>
    <row r="440" spans="1:17" ht="32.25" x14ac:dyDescent="0.35">
      <c r="A440" s="48" t="s">
        <v>456</v>
      </c>
      <c r="B440" s="39" t="str" cm="1">
        <f t="array" ref="B440">IF(A440&lt;&gt;"",_xlfn.XLOOKUP(_xlfn.NUMBERVALUE(A440),_xlfn.NUMBERVALUE(Carga[Tombamento]),Carga[Descrição do Bem]),"")</f>
        <v>ESTAÇÃO DE TRATAMENTO DE ÁGUA - VALPARAISO/GO NO-BREAK MONOFÁSICO (POTÊNCIA 3 KVA / TENSÃO 220 V)</v>
      </c>
      <c r="C440" s="39" t="str">
        <f t="shared" si="16"/>
        <v>NO-BREAK MONOFÁSICO (POTÊNCIA 3 KVA / TENSÃO 220 V)</v>
      </c>
      <c r="D440" s="5"/>
      <c r="E440" s="42" t="s">
        <v>194</v>
      </c>
      <c r="F440" s="43" t="s">
        <v>196</v>
      </c>
      <c r="G440" s="44" t="s">
        <v>199</v>
      </c>
      <c r="H440" s="41" t="s">
        <v>201</v>
      </c>
      <c r="I440" s="43" t="s">
        <v>38</v>
      </c>
      <c r="J440" s="40" t="s">
        <v>259</v>
      </c>
      <c r="K440" s="60">
        <v>45421</v>
      </c>
      <c r="O440" s="82">
        <v>45555</v>
      </c>
      <c r="Q440" s="96"/>
    </row>
    <row r="441" spans="1:17" ht="32.25" x14ac:dyDescent="0.35">
      <c r="A441" s="48" t="s">
        <v>457</v>
      </c>
      <c r="B441" s="39" t="str" cm="1">
        <f t="array" ref="B441">IF(A441&lt;&gt;"",_xlfn.XLOOKUP(_xlfn.NUMBERVALUE(A441),_xlfn.NUMBERVALUE(Carga[Tombamento]),Carga[Descrição do Bem]),"")</f>
        <v>ESTAÇÃO DE TRATAMENTO DE ÁGUA - VALPARAISO/GO NO-BREAK MONOFÁSICO (POTÊNCIA 3 KVA / TENSÃO 220 V)</v>
      </c>
      <c r="C441" s="39" t="str">
        <f t="shared" si="16"/>
        <v>NO-BREAK MONOFÁSICO (POTÊNCIA 3 KVA / TENSÃO 220 V)</v>
      </c>
      <c r="D441" s="5"/>
      <c r="E441" s="42" t="s">
        <v>194</v>
      </c>
      <c r="F441" s="43" t="s">
        <v>196</v>
      </c>
      <c r="G441" s="44" t="s">
        <v>199</v>
      </c>
      <c r="H441" s="41" t="s">
        <v>201</v>
      </c>
      <c r="I441" s="43" t="s">
        <v>190</v>
      </c>
      <c r="J441" s="40" t="s">
        <v>258</v>
      </c>
      <c r="K441" s="60">
        <v>45421</v>
      </c>
      <c r="O441" s="82">
        <v>45565</v>
      </c>
      <c r="Q441" s="96"/>
    </row>
    <row r="442" spans="1:17" ht="25.5" x14ac:dyDescent="0.35">
      <c r="A442" s="48" t="s">
        <v>458</v>
      </c>
      <c r="B442" s="39" t="str" cm="1">
        <f t="array" ref="B442">IF(A442&lt;&gt;"",_xlfn.XLOOKUP(_xlfn.NUMBERVALUE(A442),_xlfn.NUMBERVALUE(Carga[Tombamento]),Carga[Descrição do Bem]),"")</f>
        <v>ESTAÇÃO DE TRATAMENTO DE ÁGUA - VALPARAISO/GO NO-BREAK ONLINE, 6000 VA, SAÍDA 220V</v>
      </c>
      <c r="C442" s="39" t="str">
        <f t="shared" si="16"/>
        <v>NO-BREAK ONLINE, 6000 VA, SAÍDA 220V</v>
      </c>
      <c r="D442" s="5"/>
      <c r="E442" s="42" t="s">
        <v>194</v>
      </c>
      <c r="F442" s="43" t="s">
        <v>196</v>
      </c>
      <c r="G442" s="44" t="s">
        <v>199</v>
      </c>
      <c r="H442" s="41" t="s">
        <v>201</v>
      </c>
      <c r="I442" s="43" t="s">
        <v>438</v>
      </c>
      <c r="J442" s="40" t="s">
        <v>439</v>
      </c>
      <c r="K442" s="60">
        <v>45421</v>
      </c>
      <c r="O442" s="82">
        <v>45553</v>
      </c>
      <c r="Q442" s="96"/>
    </row>
    <row r="443" spans="1:17" ht="32.25" x14ac:dyDescent="0.35">
      <c r="A443" s="48" t="s">
        <v>460</v>
      </c>
      <c r="B443" s="39" t="str" cm="1">
        <f t="array" ref="B443">IF(A443&lt;&gt;"",_xlfn.XLOOKUP(_xlfn.NUMBERVALUE(A443),_xlfn.NUMBERVALUE(Carga[Tombamento]),Carga[Descrição do Bem]),"")</f>
        <v>ESTAÇÃO DE TRATAMENTO DE ÁGUA - VALPARAISO/GO ANALISADOR DE CLORO RRESIDUAL COM INTERFACE DE COMUNICAÇÃO</v>
      </c>
      <c r="C443" s="39" t="str">
        <f t="shared" si="16"/>
        <v>ANALISADOR DE CLORO RRESIDUAL COM INTERFACE DE COMUNICAÇÃO</v>
      </c>
      <c r="D443" s="5"/>
      <c r="E443" s="42" t="s">
        <v>194</v>
      </c>
      <c r="F443" s="43" t="s">
        <v>196</v>
      </c>
      <c r="G443" s="44" t="s">
        <v>199</v>
      </c>
      <c r="H443" s="41" t="s">
        <v>201</v>
      </c>
      <c r="I443" s="43" t="s">
        <v>438</v>
      </c>
      <c r="J443" s="40" t="s">
        <v>261</v>
      </c>
      <c r="K443" s="60">
        <v>45421</v>
      </c>
      <c r="O443" s="82">
        <v>45553</v>
      </c>
      <c r="Q443" s="96"/>
    </row>
    <row r="444" spans="1:17" ht="32.25" x14ac:dyDescent="0.35">
      <c r="A444" s="48">
        <v>74970</v>
      </c>
      <c r="B444" s="39" t="str" cm="1">
        <f t="array" ref="B444">IF(A444&lt;&gt;"",_xlfn.XLOOKUP(_xlfn.NUMBERVALUE(A444),_xlfn.NUMBERVALUE(Carga[Tombamento]),Carga[Descrição do Bem]),"")</f>
        <v>ESTAÇÃO DE TRATAMENTO DE ÁGUA - VALPARAISO/GO ANALISADOR DE COAGULANTE COM INTERFACE DE COMUNICAÇÃO EM REDE</v>
      </c>
      <c r="C444" s="39" t="str">
        <f t="shared" si="16"/>
        <v>ANALISADOR DE COAGULANTE COM INTERFACE DE COMUNICAÇÃO EM REDE</v>
      </c>
      <c r="D444" s="5"/>
      <c r="E444" s="42" t="s">
        <v>194</v>
      </c>
      <c r="F444" s="43" t="s">
        <v>196</v>
      </c>
      <c r="G444" s="44" t="s">
        <v>199</v>
      </c>
      <c r="H444" s="41" t="s">
        <v>201</v>
      </c>
      <c r="I444" s="43" t="s">
        <v>438</v>
      </c>
      <c r="J444" s="40" t="s">
        <v>439</v>
      </c>
      <c r="K444" s="60">
        <v>45421</v>
      </c>
      <c r="O444" s="82">
        <v>45553</v>
      </c>
      <c r="Q444" s="96"/>
    </row>
    <row r="445" spans="1:17" ht="25.5" x14ac:dyDescent="0.35">
      <c r="A445" s="48" t="s">
        <v>466</v>
      </c>
      <c r="B445" s="39" t="str" cm="1">
        <f t="array" ref="B445">IF(A445&lt;&gt;"",_xlfn.XLOOKUP(_xlfn.NUMBERVALUE(A445),_xlfn.NUMBERVALUE(Carga[Tombamento]),Carga[Descrição do Bem]),"")</f>
        <v>ESTAÇÃO DE TRATAMENTO DE ÁGUA - VALPARAISO/GO MEDIDOR DE NÍVEL</v>
      </c>
      <c r="C445" s="39" t="str">
        <f>MID(B445,47,160)</f>
        <v>MEDIDOR DE NÍVEL</v>
      </c>
      <c r="E445" s="42" t="s">
        <v>194</v>
      </c>
      <c r="F445" s="43" t="s">
        <v>197</v>
      </c>
      <c r="G445" s="44" t="s">
        <v>199</v>
      </c>
      <c r="H445" s="41" t="s">
        <v>201</v>
      </c>
      <c r="I445" s="43" t="s">
        <v>38</v>
      </c>
      <c r="J445" s="40" t="s">
        <v>259</v>
      </c>
      <c r="K445" s="60">
        <v>45421</v>
      </c>
      <c r="O445" s="82">
        <v>45555</v>
      </c>
      <c r="Q445" s="96"/>
    </row>
    <row r="446" spans="1:17" ht="25.5" x14ac:dyDescent="0.35">
      <c r="A446" s="48" t="s">
        <v>468</v>
      </c>
      <c r="B446" s="39" t="str" cm="1">
        <f t="array" ref="B446">IF(A446&lt;&gt;"",_xlfn.XLOOKUP(_xlfn.NUMBERVALUE(A446),_xlfn.NUMBERVALUE(Carga[Tombamento]),Carga[Descrição do Bem]),"")</f>
        <v>ESTAÇÃO DE TRATAMENTO DE ÁGUA - VALPARAISO/GO MEDIDOR DE NÍVEL</v>
      </c>
      <c r="C446" s="39" t="str">
        <f t="shared" ref="C446:C509" si="17">MID(B446,47,160)</f>
        <v>MEDIDOR DE NÍVEL</v>
      </c>
      <c r="E446" s="42" t="s">
        <v>194</v>
      </c>
      <c r="F446" s="43" t="s">
        <v>197</v>
      </c>
      <c r="G446" s="44" t="s">
        <v>199</v>
      </c>
      <c r="H446" s="41" t="s">
        <v>201</v>
      </c>
      <c r="I446" s="43" t="s">
        <v>38</v>
      </c>
      <c r="J446" s="40" t="s">
        <v>259</v>
      </c>
      <c r="K446" s="60">
        <v>45421</v>
      </c>
      <c r="O446" s="82">
        <v>45555</v>
      </c>
      <c r="Q446" s="96"/>
    </row>
    <row r="447" spans="1:17" ht="25.5" x14ac:dyDescent="0.35">
      <c r="A447" s="48" t="s">
        <v>469</v>
      </c>
      <c r="B447" s="39" t="str" cm="1">
        <f t="array" ref="B447">IF(A447&lt;&gt;"",_xlfn.XLOOKUP(_xlfn.NUMBERVALUE(A447),_xlfn.NUMBERVALUE(Carga[Tombamento]),Carga[Descrição do Bem]),"")</f>
        <v>ESTAÇÃO DE TRATAMENTO DE ÁGUA - VALPARAISO/GO MEDIDOR DE TURBIDEZ</v>
      </c>
      <c r="C447" s="39" t="str">
        <f t="shared" si="17"/>
        <v>MEDIDOR DE TURBIDEZ</v>
      </c>
      <c r="E447" s="42" t="s">
        <v>194</v>
      </c>
      <c r="F447" s="43" t="s">
        <v>197</v>
      </c>
      <c r="G447" s="44" t="s">
        <v>199</v>
      </c>
      <c r="H447" s="41" t="s">
        <v>201</v>
      </c>
      <c r="I447" s="43" t="s">
        <v>53</v>
      </c>
      <c r="J447" s="40" t="s">
        <v>249</v>
      </c>
      <c r="K447" s="60">
        <v>45422</v>
      </c>
      <c r="O447" s="82">
        <v>45558</v>
      </c>
      <c r="Q447" s="96"/>
    </row>
    <row r="448" spans="1:17" ht="25.5" x14ac:dyDescent="0.35">
      <c r="A448" s="48" t="s">
        <v>471</v>
      </c>
      <c r="B448" s="39" t="str" cm="1">
        <f t="array" ref="B448">IF(A448&lt;&gt;"",_xlfn.XLOOKUP(_xlfn.NUMBERVALUE(A448),_xlfn.NUMBERVALUE(Carga[Tombamento]),Carga[Descrição do Bem]),"")</f>
        <v>ESTAÇÃO DE TRATAMENTO DE ÁGUA - VALPARAISO/GO MEDIDOR DE TURBIDEZ</v>
      </c>
      <c r="C448" s="39" t="str">
        <f t="shared" si="17"/>
        <v>MEDIDOR DE TURBIDEZ</v>
      </c>
      <c r="E448" s="42" t="s">
        <v>194</v>
      </c>
      <c r="F448" s="43" t="s">
        <v>197</v>
      </c>
      <c r="G448" s="44" t="s">
        <v>199</v>
      </c>
      <c r="H448" s="41" t="s">
        <v>201</v>
      </c>
      <c r="I448" s="43" t="s">
        <v>53</v>
      </c>
      <c r="J448" s="40" t="s">
        <v>251</v>
      </c>
      <c r="K448" s="60">
        <v>45422</v>
      </c>
      <c r="O448" s="82">
        <v>45558</v>
      </c>
      <c r="Q448" s="96"/>
    </row>
    <row r="449" spans="1:17" ht="25.5" x14ac:dyDescent="0.35">
      <c r="A449" s="48" t="s">
        <v>472</v>
      </c>
      <c r="B449" s="39" t="str" cm="1">
        <f t="array" ref="B449">IF(A449&lt;&gt;"",_xlfn.XLOOKUP(_xlfn.NUMBERVALUE(A449),_xlfn.NUMBERVALUE(Carga[Tombamento]),Carga[Descrição do Bem]),"")</f>
        <v>ESTAÇÃO DE TRATAMENTO DE ÁGUA - VALPARAISO/GO MEDIDOR DE TURBIDEZ</v>
      </c>
      <c r="C449" s="39" t="str">
        <f t="shared" si="17"/>
        <v>MEDIDOR DE TURBIDEZ</v>
      </c>
      <c r="E449" s="42" t="s">
        <v>194</v>
      </c>
      <c r="F449" s="43" t="s">
        <v>197</v>
      </c>
      <c r="G449" s="44" t="s">
        <v>199</v>
      </c>
      <c r="H449" s="41" t="s">
        <v>201</v>
      </c>
      <c r="I449" s="43" t="s">
        <v>53</v>
      </c>
      <c r="J449" s="40" t="s">
        <v>252</v>
      </c>
      <c r="K449" s="60">
        <v>45422</v>
      </c>
      <c r="O449" s="82">
        <v>45558</v>
      </c>
      <c r="Q449" s="96"/>
    </row>
    <row r="450" spans="1:17" ht="25.5" x14ac:dyDescent="0.35">
      <c r="A450" s="48" t="s">
        <v>473</v>
      </c>
      <c r="B450" s="39" t="str" cm="1">
        <f t="array" ref="B450">IF(A450&lt;&gt;"",_xlfn.XLOOKUP(_xlfn.NUMBERVALUE(A450),_xlfn.NUMBERVALUE(Carga[Tombamento]),Carga[Descrição do Bem]),"")</f>
        <v>ESTAÇÃO DE TRATAMENTO DE ÁGUA - VALPARAISO/GO MEDIDOR DE TURBIDEZ</v>
      </c>
      <c r="C450" s="39" t="str">
        <f t="shared" si="17"/>
        <v>MEDIDOR DE TURBIDEZ</v>
      </c>
      <c r="E450" s="42" t="s">
        <v>194</v>
      </c>
      <c r="F450" s="43" t="s">
        <v>197</v>
      </c>
      <c r="G450" s="44" t="s">
        <v>199</v>
      </c>
      <c r="H450" s="41" t="s">
        <v>201</v>
      </c>
      <c r="I450" s="43" t="s">
        <v>53</v>
      </c>
      <c r="J450" s="40" t="s">
        <v>250</v>
      </c>
      <c r="K450" s="60">
        <v>45422</v>
      </c>
      <c r="O450" s="82">
        <v>45558</v>
      </c>
      <c r="Q450" s="96"/>
    </row>
    <row r="451" spans="1:17" ht="25.5" x14ac:dyDescent="0.35">
      <c r="A451" s="48" t="s">
        <v>474</v>
      </c>
      <c r="B451" s="39" t="str" cm="1">
        <f t="array" ref="B451">IF(A451&lt;&gt;"",_xlfn.XLOOKUP(_xlfn.NUMBERVALUE(A451),_xlfn.NUMBERVALUE(Carga[Tombamento]),Carga[Descrição do Bem]),"")</f>
        <v>ESTAÇÃO DE TRATAMENTO DE ÁGUA - VALPARAISO/GO MEDIDOR DE PRESSÃO</v>
      </c>
      <c r="C451" s="39" t="str">
        <f t="shared" si="17"/>
        <v>MEDIDOR DE PRESSÃO</v>
      </c>
      <c r="E451" s="42" t="s">
        <v>194</v>
      </c>
      <c r="F451" s="43" t="s">
        <v>197</v>
      </c>
      <c r="G451" s="44" t="s">
        <v>199</v>
      </c>
      <c r="H451" s="41" t="s">
        <v>201</v>
      </c>
      <c r="I451" s="43" t="s">
        <v>53</v>
      </c>
      <c r="J451" s="40" t="s">
        <v>216</v>
      </c>
      <c r="K451" s="60">
        <v>45421</v>
      </c>
      <c r="O451" s="82">
        <v>45553</v>
      </c>
      <c r="Q451" s="96"/>
    </row>
    <row r="452" spans="1:17" ht="25.5" x14ac:dyDescent="0.35">
      <c r="A452" s="48" t="s">
        <v>476</v>
      </c>
      <c r="B452" s="39" t="str" cm="1">
        <f t="array" ref="B452">IF(A452&lt;&gt;"",_xlfn.XLOOKUP(_xlfn.NUMBERVALUE(A452),_xlfn.NUMBERVALUE(Carga[Tombamento]),Carga[Descrição do Bem]),"")</f>
        <v>ESTAÇÃO DE TRATAMENTO DE ÁGUA - VALPARAISO/GO MEDIDOR DE PRESSÃO</v>
      </c>
      <c r="C452" s="39" t="str">
        <f t="shared" si="17"/>
        <v>MEDIDOR DE PRESSÃO</v>
      </c>
      <c r="E452" s="42" t="s">
        <v>194</v>
      </c>
      <c r="F452" s="43" t="s">
        <v>197</v>
      </c>
      <c r="G452" s="44" t="s">
        <v>199</v>
      </c>
      <c r="H452" s="41" t="s">
        <v>201</v>
      </c>
      <c r="I452" s="43" t="s">
        <v>53</v>
      </c>
      <c r="J452" s="40" t="s">
        <v>216</v>
      </c>
      <c r="K452" s="60">
        <v>45421</v>
      </c>
      <c r="O452" s="82">
        <v>45553</v>
      </c>
      <c r="Q452" s="96"/>
    </row>
    <row r="453" spans="1:17" ht="25.5" x14ac:dyDescent="0.35">
      <c r="A453" s="48" t="s">
        <v>477</v>
      </c>
      <c r="B453" s="39" t="str" cm="1">
        <f t="array" ref="B453">IF(A453&lt;&gt;"",_xlfn.XLOOKUP(_xlfn.NUMBERVALUE(A453),_xlfn.NUMBERVALUE(Carga[Tombamento]),Carga[Descrição do Bem]),"")</f>
        <v>ESTAÇÃO DE TRATAMENTO DE ÁGUA - VALPARAISO/GO MEDIDOR DE PRESSÃO</v>
      </c>
      <c r="C453" s="39" t="str">
        <f t="shared" si="17"/>
        <v>MEDIDOR DE PRESSÃO</v>
      </c>
      <c r="E453" s="42" t="s">
        <v>194</v>
      </c>
      <c r="F453" s="43" t="s">
        <v>197</v>
      </c>
      <c r="G453" s="44" t="s">
        <v>199</v>
      </c>
      <c r="H453" s="41" t="s">
        <v>201</v>
      </c>
      <c r="I453" s="43" t="s">
        <v>53</v>
      </c>
      <c r="J453" s="40" t="s">
        <v>216</v>
      </c>
      <c r="K453" s="60">
        <v>45421</v>
      </c>
      <c r="O453" s="82">
        <v>45553</v>
      </c>
      <c r="Q453" s="96"/>
    </row>
    <row r="454" spans="1:17" ht="25.5" x14ac:dyDescent="0.35">
      <c r="A454" s="48" t="s">
        <v>478</v>
      </c>
      <c r="B454" s="39" t="str" cm="1">
        <f t="array" ref="B454">IF(A454&lt;&gt;"",_xlfn.XLOOKUP(_xlfn.NUMBERVALUE(A454),_xlfn.NUMBERVALUE(Carga[Tombamento]),Carga[Descrição do Bem]),"")</f>
        <v>ESTAÇÃO DE TRATAMENTO DE ÁGUA - VALPARAISO/GO MEDIDOR DE PRESSÃO</v>
      </c>
      <c r="C454" s="39" t="str">
        <f t="shared" si="17"/>
        <v>MEDIDOR DE PRESSÃO</v>
      </c>
      <c r="E454" s="42" t="s">
        <v>194</v>
      </c>
      <c r="F454" s="43" t="s">
        <v>197</v>
      </c>
      <c r="G454" s="44" t="s">
        <v>199</v>
      </c>
      <c r="H454" s="41" t="s">
        <v>201</v>
      </c>
      <c r="I454" s="43" t="s">
        <v>53</v>
      </c>
      <c r="J454" s="40" t="s">
        <v>216</v>
      </c>
      <c r="K454" s="60">
        <v>45421</v>
      </c>
      <c r="O454" s="82">
        <v>45553</v>
      </c>
      <c r="Q454" s="96"/>
    </row>
    <row r="455" spans="1:17" ht="25.5" x14ac:dyDescent="0.35">
      <c r="A455" s="48" t="s">
        <v>479</v>
      </c>
      <c r="B455" s="39" t="str" cm="1">
        <f t="array" ref="B455">IF(A455&lt;&gt;"",_xlfn.XLOOKUP(_xlfn.NUMBERVALUE(A455),_xlfn.NUMBERVALUE(Carga[Tombamento]),Carga[Descrição do Bem]),"")</f>
        <v>ESTAÇÃO DE TRATAMENTO DE ÁGUA - VALPARAISO/GO MEDIDOR DE PRESSÃO</v>
      </c>
      <c r="C455" s="39" t="str">
        <f t="shared" si="17"/>
        <v>MEDIDOR DE PRESSÃO</v>
      </c>
      <c r="E455" s="42" t="s">
        <v>194</v>
      </c>
      <c r="F455" s="43" t="s">
        <v>197</v>
      </c>
      <c r="G455" s="44" t="s">
        <v>199</v>
      </c>
      <c r="H455" s="41" t="s">
        <v>201</v>
      </c>
      <c r="I455" s="43" t="s">
        <v>53</v>
      </c>
      <c r="J455" s="40" t="s">
        <v>216</v>
      </c>
      <c r="K455" s="60">
        <v>45421</v>
      </c>
      <c r="O455" s="82">
        <v>45553</v>
      </c>
      <c r="Q455" s="96"/>
    </row>
    <row r="456" spans="1:17" ht="32.25" x14ac:dyDescent="0.35">
      <c r="A456" s="48" t="s">
        <v>480</v>
      </c>
      <c r="B456" s="39" t="str" cm="1">
        <f t="array" ref="B456">IF(A456&lt;&gt;"",_xlfn.XLOOKUP(_xlfn.NUMBERVALUE(A456),_xlfn.NUMBERVALUE(Carga[Tombamento]),Carga[Descrição do Bem]),"")</f>
        <v>ESTAÇÃO DE TRATAMENTO DE ÁGUA - VALPARAISO/GO ATUADOR ELETRICO, MARCA: COESTER, MODELO CSR12M, N° DE SÉRIE 29497.</v>
      </c>
      <c r="C456" s="39" t="str">
        <f t="shared" si="17"/>
        <v>ATUADOR ELETRICO, MARCA: COESTER, MODELO CSR12M, N° DE SÉRIE 29497.</v>
      </c>
      <c r="E456" s="42" t="s">
        <v>194</v>
      </c>
      <c r="F456" s="43" t="s">
        <v>197</v>
      </c>
      <c r="G456" s="44" t="s">
        <v>199</v>
      </c>
      <c r="H456" s="41" t="s">
        <v>201</v>
      </c>
      <c r="I456" s="43" t="s">
        <v>54</v>
      </c>
      <c r="J456" s="40" t="s">
        <v>273</v>
      </c>
      <c r="K456" s="60">
        <v>45421</v>
      </c>
      <c r="O456" s="82">
        <v>45558</v>
      </c>
      <c r="Q456" s="96"/>
    </row>
    <row r="457" spans="1:17" ht="32.25" x14ac:dyDescent="0.35">
      <c r="A457" s="48" t="s">
        <v>482</v>
      </c>
      <c r="B457" s="39" t="str" cm="1">
        <f t="array" ref="B457">IF(A457&lt;&gt;"",_xlfn.XLOOKUP(_xlfn.NUMBERVALUE(A457),_xlfn.NUMBERVALUE(Carga[Tombamento]),Carga[Descrição do Bem]),"")</f>
        <v>ESTAÇÃO DE TRATAMENTO DE ÁGUA - VALPARAISO/GO ATUADOR ELETRICO MARCA: COESTER, MODELO: CSR12M, N° DE SÉRIE: 29499.</v>
      </c>
      <c r="C457" s="39" t="str">
        <f t="shared" si="17"/>
        <v>ATUADOR ELETRICO MARCA: COESTER, MODELO: CSR12M, N° DE SÉRIE: 29499.</v>
      </c>
      <c r="E457" s="42" t="s">
        <v>194</v>
      </c>
      <c r="F457" s="43" t="s">
        <v>197</v>
      </c>
      <c r="G457" s="44" t="s">
        <v>199</v>
      </c>
      <c r="H457" s="41" t="s">
        <v>201</v>
      </c>
      <c r="I457" s="43" t="s">
        <v>54</v>
      </c>
      <c r="J457" s="40" t="s">
        <v>274</v>
      </c>
      <c r="K457" s="60">
        <v>45421</v>
      </c>
      <c r="O457" s="82">
        <v>45558</v>
      </c>
      <c r="Q457" s="96"/>
    </row>
    <row r="458" spans="1:17" ht="32.25" x14ac:dyDescent="0.35">
      <c r="A458" s="48" t="s">
        <v>484</v>
      </c>
      <c r="B458" s="39" t="str" cm="1">
        <f t="array" ref="B458">IF(A458&lt;&gt;"",_xlfn.XLOOKUP(_xlfn.NUMBERVALUE(A458),_xlfn.NUMBERVALUE(Carga[Tombamento]),Carga[Descrição do Bem]),"")</f>
        <v>ESTAÇÃO DE TRATAMENTO DE ÁGUA - VALPARAISO/GO ATUADOR ELETRICO, MARCA: COESTER, MODELO: CSR12M, N° DE SÉRIE: 29501.</v>
      </c>
      <c r="C458" s="39" t="str">
        <f t="shared" si="17"/>
        <v>ATUADOR ELETRICO, MARCA: COESTER, MODELO: CSR12M, N° DE SÉRIE: 29501.</v>
      </c>
      <c r="E458" s="42" t="s">
        <v>194</v>
      </c>
      <c r="F458" s="43" t="s">
        <v>197</v>
      </c>
      <c r="G458" s="44" t="s">
        <v>199</v>
      </c>
      <c r="H458" s="41" t="s">
        <v>201</v>
      </c>
      <c r="I458" s="43" t="s">
        <v>54</v>
      </c>
      <c r="J458" s="40" t="s">
        <v>275</v>
      </c>
      <c r="K458" s="60">
        <v>45421</v>
      </c>
      <c r="O458" s="82">
        <v>45562</v>
      </c>
      <c r="Q458" s="96"/>
    </row>
    <row r="459" spans="1:17" ht="32.25" x14ac:dyDescent="0.35">
      <c r="A459" s="48" t="s">
        <v>486</v>
      </c>
      <c r="B459" s="39" t="str" cm="1">
        <f t="array" ref="B459">IF(A459&lt;&gt;"",_xlfn.XLOOKUP(_xlfn.NUMBERVALUE(A459),_xlfn.NUMBERVALUE(Carga[Tombamento]),Carga[Descrição do Bem]),"")</f>
        <v>ESTAÇÃO DE TRATAMENTO DE ÁGUA - VALPARAISO/GO ATUADOR ELETRICO, MARCA: COESTER, MODELO: CSR12M, N° DE SÉRIE: 29495.</v>
      </c>
      <c r="C459" s="39" t="str">
        <f t="shared" si="17"/>
        <v>ATUADOR ELETRICO, MARCA: COESTER, MODELO: CSR12M, N° DE SÉRIE: 29495.</v>
      </c>
      <c r="E459" s="42" t="s">
        <v>194</v>
      </c>
      <c r="F459" s="43" t="s">
        <v>197</v>
      </c>
      <c r="G459" s="44" t="s">
        <v>199</v>
      </c>
      <c r="H459" s="41" t="s">
        <v>201</v>
      </c>
      <c r="I459" s="43" t="s">
        <v>54</v>
      </c>
      <c r="J459" s="40" t="s">
        <v>272</v>
      </c>
      <c r="K459" s="60">
        <v>45421</v>
      </c>
      <c r="O459" s="82">
        <v>45558</v>
      </c>
      <c r="Q459" s="96"/>
    </row>
    <row r="460" spans="1:17" ht="32.25" x14ac:dyDescent="0.35">
      <c r="A460" s="48" t="s">
        <v>488</v>
      </c>
      <c r="B460" s="39" t="str" cm="1">
        <f t="array" ref="B460">IF(A460&lt;&gt;"",_xlfn.XLOOKUP(_xlfn.NUMBERVALUE(A460),_xlfn.NUMBERVALUE(Carga[Tombamento]),Carga[Descrição do Bem]),"")</f>
        <v>ESTAÇÃO DE TRATAMENTO DE ÁGUA - VALPARAISO/GO ATUADOR ELETRICO, MARCA: COESTER, MODELO: CSR12M, N° DE SÉRIE: 29494.</v>
      </c>
      <c r="C460" s="39" t="str">
        <f t="shared" si="17"/>
        <v>ATUADOR ELETRICO, MARCA: COESTER, MODELO: CSR12M, N° DE SÉRIE: 29494.</v>
      </c>
      <c r="E460" s="42" t="s">
        <v>194</v>
      </c>
      <c r="F460" s="43" t="s">
        <v>197</v>
      </c>
      <c r="G460" s="44" t="s">
        <v>199</v>
      </c>
      <c r="H460" s="41" t="s">
        <v>201</v>
      </c>
      <c r="I460" s="43" t="s">
        <v>54</v>
      </c>
      <c r="J460" s="40" t="s">
        <v>272</v>
      </c>
      <c r="K460" s="60">
        <v>45421</v>
      </c>
      <c r="O460" s="82">
        <v>45565</v>
      </c>
      <c r="Q460" s="96"/>
    </row>
    <row r="461" spans="1:17" ht="32.25" x14ac:dyDescent="0.35">
      <c r="A461" s="48" t="s">
        <v>490</v>
      </c>
      <c r="B461" s="39" t="str" cm="1">
        <f t="array" ref="B461">IF(A461&lt;&gt;"",_xlfn.XLOOKUP(_xlfn.NUMBERVALUE(A461),_xlfn.NUMBERVALUE(Carga[Tombamento]),Carga[Descrição do Bem]),"")</f>
        <v>ESTAÇÃO DE TRATAMENTO DE ÁGUA - VALPARAISO/GO ATUADOR ELETRICO, MARCA: COESTER, MODELO: CSR12M. N° DE SÉRIE: 29496.</v>
      </c>
      <c r="C461" s="39" t="str">
        <f t="shared" si="17"/>
        <v>ATUADOR ELETRICO, MARCA: COESTER, MODELO: CSR12M. N° DE SÉRIE: 29496.</v>
      </c>
      <c r="E461" s="42" t="s">
        <v>194</v>
      </c>
      <c r="F461" s="43" t="s">
        <v>197</v>
      </c>
      <c r="G461" s="44" t="s">
        <v>199</v>
      </c>
      <c r="H461" s="41" t="s">
        <v>201</v>
      </c>
      <c r="I461" s="43" t="s">
        <v>54</v>
      </c>
      <c r="J461" s="40" t="s">
        <v>273</v>
      </c>
      <c r="K461" s="60">
        <v>45421</v>
      </c>
      <c r="O461" s="82">
        <v>45565</v>
      </c>
      <c r="Q461" s="96"/>
    </row>
    <row r="462" spans="1:17" ht="32.25" x14ac:dyDescent="0.35">
      <c r="A462" s="48" t="s">
        <v>492</v>
      </c>
      <c r="B462" s="39" t="str" cm="1">
        <f t="array" ref="B462">IF(A462&lt;&gt;"",_xlfn.XLOOKUP(_xlfn.NUMBERVALUE(A462),_xlfn.NUMBERVALUE(Carga[Tombamento]),Carga[Descrição do Bem]),"")</f>
        <v>ESTAÇÃO DE TRATAMENTO DE ÁGUA - VALPARAISO/GO ATUADOR ELETRICO, MARCA: COESTER, MODELO: CSR12M, N° DE SÉRIE: 29498.</v>
      </c>
      <c r="C462" s="39" t="str">
        <f t="shared" si="17"/>
        <v>ATUADOR ELETRICO, MARCA: COESTER, MODELO: CSR12M, N° DE SÉRIE: 29498.</v>
      </c>
      <c r="E462" s="42" t="s">
        <v>194</v>
      </c>
      <c r="F462" s="43" t="s">
        <v>197</v>
      </c>
      <c r="G462" s="44" t="s">
        <v>199</v>
      </c>
      <c r="H462" s="41" t="s">
        <v>201</v>
      </c>
      <c r="I462" s="43" t="s">
        <v>54</v>
      </c>
      <c r="J462" s="40" t="s">
        <v>274</v>
      </c>
      <c r="K462" s="60">
        <v>45421</v>
      </c>
      <c r="O462" s="82">
        <v>45565</v>
      </c>
      <c r="Q462" s="96"/>
    </row>
    <row r="463" spans="1:17" ht="32.25" x14ac:dyDescent="0.35">
      <c r="A463" s="48" t="s">
        <v>494</v>
      </c>
      <c r="B463" s="39" t="str" cm="1">
        <f t="array" ref="B463">IF(A463&lt;&gt;"",_xlfn.XLOOKUP(_xlfn.NUMBERVALUE(A463),_xlfn.NUMBERVALUE(Carga[Tombamento]),Carga[Descrição do Bem]),"")</f>
        <v>ESTAÇÃO DE TRATAMENTO DE ÁGUA - VALPARAISO/GO ATUADOR ELETRICO, MARCA: COESTER, MODELO: CSR12M, N° DE SÉRIE: 29500.</v>
      </c>
      <c r="C463" s="39" t="str">
        <f t="shared" si="17"/>
        <v>ATUADOR ELETRICO, MARCA: COESTER, MODELO: CSR12M, N° DE SÉRIE: 29500.</v>
      </c>
      <c r="E463" s="42" t="s">
        <v>194</v>
      </c>
      <c r="F463" s="43" t="s">
        <v>197</v>
      </c>
      <c r="G463" s="44" t="s">
        <v>199</v>
      </c>
      <c r="H463" s="41" t="s">
        <v>201</v>
      </c>
      <c r="I463" s="43" t="s">
        <v>54</v>
      </c>
      <c r="J463" s="40" t="s">
        <v>275</v>
      </c>
      <c r="K463" s="60">
        <v>45421</v>
      </c>
      <c r="O463" s="82">
        <v>45565</v>
      </c>
      <c r="Q463" s="96"/>
    </row>
    <row r="464" spans="1:17" ht="32.25" x14ac:dyDescent="0.35">
      <c r="A464" s="48" t="s">
        <v>496</v>
      </c>
      <c r="B464" s="39" t="str" cm="1">
        <f t="array" ref="B464">IF(A464&lt;&gt;"",_xlfn.XLOOKUP(_xlfn.NUMBERVALUE(A464),_xlfn.NUMBERVALUE(Carga[Tombamento]),Carga[Descrição do Bem]),"")</f>
        <v>ESTAÇÃO DE TRATAMENTO DE ÁGUA - VALPARAISO/GO ATUADOR ELETRICO, MARCA: COESTER, MODELO: CSR12M, N° DE SÉRIE: 29503.</v>
      </c>
      <c r="C464" s="39" t="str">
        <f t="shared" si="17"/>
        <v>ATUADOR ELETRICO, MARCA: COESTER, MODELO: CSR12M, N° DE SÉRIE: 29503.</v>
      </c>
      <c r="E464" s="42" t="s">
        <v>194</v>
      </c>
      <c r="F464" s="43" t="s">
        <v>197</v>
      </c>
      <c r="G464" s="44" t="s">
        <v>199</v>
      </c>
      <c r="H464" s="41" t="s">
        <v>201</v>
      </c>
      <c r="I464" s="43" t="s">
        <v>53</v>
      </c>
      <c r="J464" s="40" t="s">
        <v>243</v>
      </c>
      <c r="K464" s="60">
        <v>45421</v>
      </c>
      <c r="O464" s="82">
        <v>45555</v>
      </c>
      <c r="Q464" s="96"/>
    </row>
    <row r="465" spans="1:17" ht="32.25" x14ac:dyDescent="0.35">
      <c r="A465" s="48" t="s">
        <v>498</v>
      </c>
      <c r="B465" s="39" t="str" cm="1">
        <f t="array" ref="B465">IF(A465&lt;&gt;"",_xlfn.XLOOKUP(_xlfn.NUMBERVALUE(A465),_xlfn.NUMBERVALUE(Carga[Tombamento]),Carga[Descrição do Bem]),"")</f>
        <v>ESTAÇÃO DE TRATAMENTO DE ÁGUA - VALPARAISO/GO ATUADOR ELETRICO, MARCA: COESTER, MODELO: CSR12M, N° DE SÉRIE: 29502.</v>
      </c>
      <c r="C465" s="39" t="str">
        <f t="shared" si="17"/>
        <v>ATUADOR ELETRICO, MARCA: COESTER, MODELO: CSR12M, N° DE SÉRIE: 29502.</v>
      </c>
      <c r="E465" s="42" t="s">
        <v>194</v>
      </c>
      <c r="F465" s="43" t="s">
        <v>197</v>
      </c>
      <c r="G465" s="44" t="s">
        <v>199</v>
      </c>
      <c r="H465" s="41" t="s">
        <v>201</v>
      </c>
      <c r="I465" s="43" t="s">
        <v>53</v>
      </c>
      <c r="J465" s="40" t="s">
        <v>243</v>
      </c>
      <c r="K465" s="60">
        <v>45421</v>
      </c>
      <c r="O465" s="82">
        <v>45555</v>
      </c>
      <c r="Q465" s="96"/>
    </row>
    <row r="466" spans="1:17" ht="32.25" x14ac:dyDescent="0.35">
      <c r="A466" s="48" t="s">
        <v>500</v>
      </c>
      <c r="B466" s="39" t="str" cm="1">
        <f t="array" ref="B466">IF(A466&lt;&gt;"",_xlfn.XLOOKUP(_xlfn.NUMBERVALUE(A466),_xlfn.NUMBERVALUE(Carga[Tombamento]),Carga[Descrição do Bem]),"")</f>
        <v>ESTAÇÃO DE TRATAMENTO DE ÁGUA - VALPARAISO/GO ATUADOR ELETRICO, MARCA COESTER, N° DE SÉRIE: 29436</v>
      </c>
      <c r="C466" s="39" t="str">
        <f t="shared" si="17"/>
        <v>ATUADOR ELETRICO, MARCA COESTER, N° DE SÉRIE: 29436</v>
      </c>
      <c r="E466" s="42" t="s">
        <v>194</v>
      </c>
      <c r="F466" s="43" t="s">
        <v>197</v>
      </c>
      <c r="G466" s="44" t="s">
        <v>199</v>
      </c>
      <c r="H466" s="41" t="s">
        <v>201</v>
      </c>
      <c r="I466" s="43" t="s">
        <v>38</v>
      </c>
      <c r="J466" s="40" t="s">
        <v>599</v>
      </c>
      <c r="K466" s="62">
        <v>45421</v>
      </c>
      <c r="O466" s="82">
        <v>45565</v>
      </c>
      <c r="Q466" s="96"/>
    </row>
    <row r="467" spans="1:17" ht="32.25" x14ac:dyDescent="0.35">
      <c r="A467" s="48" t="s">
        <v>502</v>
      </c>
      <c r="B467" s="39" t="str" cm="1">
        <f t="array" ref="B467">IF(A467&lt;&gt;"",_xlfn.XLOOKUP(_xlfn.NUMBERVALUE(A467),_xlfn.NUMBERVALUE(Carga[Tombamento]),Carga[Descrição do Bem]),"")</f>
        <v>ESTAÇÃO DE TRATAMENTO DE ÁGUA - VALPARAISO/GO ATUADOR ELETRICO, MARCA: COESTER, N° DE SÉRIE: 29437</v>
      </c>
      <c r="C467" s="39" t="str">
        <f t="shared" si="17"/>
        <v>ATUADOR ELETRICO, MARCA: COESTER, N° DE SÉRIE: 29437</v>
      </c>
      <c r="E467" s="42" t="s">
        <v>194</v>
      </c>
      <c r="F467" s="43" t="s">
        <v>197</v>
      </c>
      <c r="G467" s="44" t="s">
        <v>199</v>
      </c>
      <c r="H467" s="41" t="s">
        <v>201</v>
      </c>
      <c r="I467" s="43" t="s">
        <v>38</v>
      </c>
      <c r="J467" s="40" t="s">
        <v>599</v>
      </c>
      <c r="K467" s="62">
        <v>45421</v>
      </c>
      <c r="O467" s="82">
        <v>45565</v>
      </c>
      <c r="Q467" s="96"/>
    </row>
    <row r="468" spans="1:17" ht="25.5" x14ac:dyDescent="0.35">
      <c r="A468" s="48" t="s">
        <v>504</v>
      </c>
      <c r="B468" s="39" t="str" cm="1">
        <f t="array" ref="B468">IF(A468&lt;&gt;"",_xlfn.XLOOKUP(_xlfn.NUMBERVALUE(A468),_xlfn.NUMBERVALUE(Carga[Tombamento]),Carga[Descrição do Bem]),"")</f>
        <v>ESTAÇÃO DE TRATAMENTO DE ÁGUA - VALPARAISO/GO PAINEL ELÉTRICO COMPORTAS.</v>
      </c>
      <c r="C468" s="39" t="str">
        <f t="shared" si="17"/>
        <v>PAINEL ELÉTRICO COMPORTAS.</v>
      </c>
      <c r="E468" s="42" t="s">
        <v>194</v>
      </c>
      <c r="F468" s="43" t="s">
        <v>197</v>
      </c>
      <c r="G468" s="44" t="s">
        <v>199</v>
      </c>
      <c r="H468" s="41" t="s">
        <v>201</v>
      </c>
      <c r="I468" s="43" t="s">
        <v>52</v>
      </c>
      <c r="J468" s="40" t="s">
        <v>231</v>
      </c>
      <c r="K468" s="60">
        <v>45422</v>
      </c>
      <c r="O468" s="82">
        <v>45558</v>
      </c>
      <c r="Q468" s="96"/>
    </row>
    <row r="469" spans="1:17" ht="32.25" x14ac:dyDescent="0.35">
      <c r="A469" s="48" t="s">
        <v>506</v>
      </c>
      <c r="B469" s="39" t="str" cm="1">
        <f t="array" ref="B469">IF(A469&lt;&gt;"",_xlfn.XLOOKUP(_xlfn.NUMBERVALUE(A469),_xlfn.NUMBERVALUE(Carga[Tombamento]),Carga[Descrição do Bem]),"")</f>
        <v>ESTAÇÃO DE TRATAMENTO DE ÁGUA - VALPARAISO/GO PAINEL ELÉTRICO COMPORTAS - COM-301-5, COM 301-6, COM 302-5 E COM 302-5</v>
      </c>
      <c r="C469" s="39" t="str">
        <f t="shared" si="17"/>
        <v>PAINEL ELÉTRICO COMPORTAS - COM-301-5, COM 301-6, COM 302-5 E COM 302-5</v>
      </c>
      <c r="E469" s="42" t="s">
        <v>194</v>
      </c>
      <c r="F469" s="43" t="s">
        <v>197</v>
      </c>
      <c r="G469" s="44" t="s">
        <v>199</v>
      </c>
      <c r="H469" s="41" t="s">
        <v>201</v>
      </c>
      <c r="I469" s="43" t="s">
        <v>52</v>
      </c>
      <c r="J469" s="40" t="s">
        <v>229</v>
      </c>
      <c r="K469" s="60">
        <v>45422</v>
      </c>
      <c r="O469" s="82">
        <v>45558</v>
      </c>
      <c r="Q469" s="96"/>
    </row>
    <row r="470" spans="1:17" ht="41.25" x14ac:dyDescent="0.35">
      <c r="A470" s="48" t="s">
        <v>508</v>
      </c>
      <c r="B470" s="39" t="str" cm="1">
        <f t="array" ref="B470">IF(A470&lt;&gt;"",_xlfn.XLOOKUP(_xlfn.NUMBERVALUE(A470),_xlfn.NUMBERVALUE(Carga[Tombamento]),Carga[Descrição do Bem]),"")</f>
        <v>ESTAÇÃO DE TRATAMENTO DE ÁGUA - VALPARAISO/GO BANCO AUTOMATICO DE CAPACITOR - HANAMEC - 250KVAR - LOCALIZADO NA SUBESTAÇÃO 02 DA ETA.COR.001</v>
      </c>
      <c r="C470" s="39" t="str">
        <f t="shared" si="17"/>
        <v>BANCO AUTOMATICO DE CAPACITOR - HANAMEC - 250KVAR - LOCALIZADO NA SUBESTAÇÃO 02 DA ETA.COR.001</v>
      </c>
      <c r="E470" s="42" t="s">
        <v>194</v>
      </c>
      <c r="F470" s="43" t="s">
        <v>197</v>
      </c>
      <c r="G470" s="44" t="s">
        <v>199</v>
      </c>
      <c r="H470" s="41" t="s">
        <v>201</v>
      </c>
      <c r="I470" s="43" t="s">
        <v>596</v>
      </c>
      <c r="J470" s="40" t="s">
        <v>598</v>
      </c>
      <c r="K470" s="60">
        <v>45422</v>
      </c>
      <c r="O470" s="82">
        <v>45565</v>
      </c>
      <c r="Q470" s="96"/>
    </row>
    <row r="471" spans="1:17" ht="41.25" x14ac:dyDescent="0.35">
      <c r="A471" s="48" t="s">
        <v>510</v>
      </c>
      <c r="B471" s="39" t="str" cm="1">
        <f t="array" ref="B471">IF(A471&lt;&gt;"",_xlfn.XLOOKUP(_xlfn.NUMBERVALUE(A471),_xlfn.NUMBERVALUE(Carga[Tombamento]),Carga[Descrição do Bem]),"")</f>
        <v>ESTAÇÃO DE TRATAMENTO DE ÁGUA - VALPARAISO/GO BANCO AUTOMATICO DE CAPACITOR - HANAMEC - 450KVAR - LOCALIZADO NA SUBESTAÇÃO 01 DA ETA.COR.001</v>
      </c>
      <c r="C471" s="39" t="str">
        <f t="shared" si="17"/>
        <v>BANCO AUTOMATICO DE CAPACITOR - HANAMEC - 450KVAR - LOCALIZADO NA SUBESTAÇÃO 01 DA ETA.COR.001</v>
      </c>
      <c r="E471" s="42" t="s">
        <v>194</v>
      </c>
      <c r="F471" s="43" t="s">
        <v>197</v>
      </c>
      <c r="G471" s="44" t="s">
        <v>199</v>
      </c>
      <c r="H471" s="41" t="s">
        <v>201</v>
      </c>
      <c r="I471" s="43" t="s">
        <v>596</v>
      </c>
      <c r="J471" s="40" t="s">
        <v>597</v>
      </c>
      <c r="K471" s="60">
        <v>45422</v>
      </c>
      <c r="O471" s="82">
        <v>45565</v>
      </c>
      <c r="Q471" s="96"/>
    </row>
    <row r="472" spans="1:17" ht="25.5" x14ac:dyDescent="0.35">
      <c r="A472" s="48" t="s">
        <v>512</v>
      </c>
      <c r="B472" s="39" t="str" cm="1">
        <f t="array" ref="B472">IF(A472&lt;&gt;"",_xlfn.XLOOKUP(_xlfn.NUMBERVALUE(A472),_xlfn.NUMBERVALUE(Carga[Tombamento]),Carga[Descrição do Bem]),"")</f>
        <v>ESTAÇÃO DE TRATAMENTO DE ÁGUA - VALPARAISO/GO MEDIDOR DE PH/TURBIDEZ</v>
      </c>
      <c r="C472" s="39" t="str">
        <f t="shared" si="17"/>
        <v>MEDIDOR DE PH/TURBIDEZ</v>
      </c>
      <c r="E472" s="42" t="s">
        <v>194</v>
      </c>
      <c r="F472" s="43" t="s">
        <v>197</v>
      </c>
      <c r="G472" s="44" t="s">
        <v>199</v>
      </c>
      <c r="H472" s="41" t="s">
        <v>201</v>
      </c>
      <c r="I472" s="43" t="s">
        <v>54</v>
      </c>
      <c r="J472" s="40" t="s">
        <v>235</v>
      </c>
      <c r="K472" s="60">
        <v>45421</v>
      </c>
      <c r="O472" s="82">
        <v>45558</v>
      </c>
      <c r="Q472" s="96"/>
    </row>
    <row r="473" spans="1:17" ht="25.5" x14ac:dyDescent="0.35">
      <c r="A473" s="48" t="s">
        <v>514</v>
      </c>
      <c r="B473" s="39" t="str" cm="1">
        <f t="array" ref="B473">IF(A473&lt;&gt;"",_xlfn.XLOOKUP(_xlfn.NUMBERVALUE(A473),_xlfn.NUMBERVALUE(Carga[Tombamento]),Carga[Descrição do Bem]),"")</f>
        <v>ESTAÇÃO DE TRATAMENTO DE ÁGUA - VALPARAISO/GO MEDIDOR DE PH/TURBIDEZ</v>
      </c>
      <c r="C473" s="39" t="str">
        <f t="shared" si="17"/>
        <v>MEDIDOR DE PH/TURBIDEZ</v>
      </c>
      <c r="E473" s="42" t="s">
        <v>194</v>
      </c>
      <c r="F473" s="43" t="s">
        <v>197</v>
      </c>
      <c r="G473" s="44" t="s">
        <v>199</v>
      </c>
      <c r="H473" s="41" t="s">
        <v>201</v>
      </c>
      <c r="I473" s="43" t="s">
        <v>54</v>
      </c>
      <c r="J473" s="40" t="s">
        <v>234</v>
      </c>
      <c r="K473" s="60">
        <v>45421</v>
      </c>
      <c r="O473" s="82">
        <v>45558</v>
      </c>
      <c r="Q473" s="96"/>
    </row>
    <row r="474" spans="1:17" ht="25.5" x14ac:dyDescent="0.35">
      <c r="A474" s="48" t="s">
        <v>515</v>
      </c>
      <c r="B474" s="39" t="str" cm="1">
        <f t="array" ref="B474">IF(A474&lt;&gt;"",_xlfn.XLOOKUP(_xlfn.NUMBERVALUE(A474),_xlfn.NUMBERVALUE(Carga[Tombamento]),Carga[Descrição do Bem]),"")</f>
        <v>ESTAÇÃO DE TRATAMENTO DE ÁGUA - VALPARAISO/GO MEDIDOR DE PH/TURBIDEZ</v>
      </c>
      <c r="C474" s="39" t="str">
        <f t="shared" si="17"/>
        <v>MEDIDOR DE PH/TURBIDEZ</v>
      </c>
      <c r="E474" s="42" t="s">
        <v>194</v>
      </c>
      <c r="F474" s="43" t="s">
        <v>197</v>
      </c>
      <c r="G474" s="44" t="s">
        <v>199</v>
      </c>
      <c r="H474" s="41" t="s">
        <v>201</v>
      </c>
      <c r="I474" s="43" t="s">
        <v>54</v>
      </c>
      <c r="J474" s="40" t="s">
        <v>233</v>
      </c>
      <c r="K474" s="60">
        <v>45421</v>
      </c>
      <c r="O474" s="82">
        <v>45558</v>
      </c>
      <c r="Q474" s="96"/>
    </row>
    <row r="475" spans="1:17" ht="25.5" x14ac:dyDescent="0.35">
      <c r="A475" s="48" t="s">
        <v>516</v>
      </c>
      <c r="B475" s="39" t="str" cm="1">
        <f t="array" ref="B475">IF(A475&lt;&gt;"",_xlfn.XLOOKUP(_xlfn.NUMBERVALUE(A475),_xlfn.NUMBERVALUE(Carga[Tombamento]),Carga[Descrição do Bem]),"")</f>
        <v>ESTAÇÃO DE TRATAMENTO DE ÁGUA - VALPARAISO/GO MEDIDOR DE PH/TURBIDEZ</v>
      </c>
      <c r="C475" s="39" t="str">
        <f t="shared" si="17"/>
        <v>MEDIDOR DE PH/TURBIDEZ</v>
      </c>
      <c r="E475" s="42" t="s">
        <v>194</v>
      </c>
      <c r="F475" s="43" t="s">
        <v>197</v>
      </c>
      <c r="G475" s="44" t="s">
        <v>199</v>
      </c>
      <c r="H475" s="41" t="s">
        <v>201</v>
      </c>
      <c r="I475" s="43" t="s">
        <v>38</v>
      </c>
      <c r="J475" s="40" t="s">
        <v>259</v>
      </c>
      <c r="K475" s="60">
        <v>45421</v>
      </c>
      <c r="O475" s="82">
        <v>45555</v>
      </c>
      <c r="Q475" s="96"/>
    </row>
    <row r="476" spans="1:17" ht="25.5" x14ac:dyDescent="0.35">
      <c r="A476" s="48" t="s">
        <v>517</v>
      </c>
      <c r="B476" s="39" t="str" cm="1">
        <f t="array" ref="B476">IF(A476&lt;&gt;"",_xlfn.XLOOKUP(_xlfn.NUMBERVALUE(A476),_xlfn.NUMBERVALUE(Carga[Tombamento]),Carga[Descrição do Bem]),"")</f>
        <v>ESTAÇÃO DE TRATAMENTO DE ÁGUA - VALPARAISO/GO VÁLVULAS MOTORIZADAS SISTEMA DE DOSAGEM.</v>
      </c>
      <c r="C476" s="39" t="str">
        <f t="shared" si="17"/>
        <v>VÁLVULAS MOTORIZADAS SISTEMA DE DOSAGEM.</v>
      </c>
      <c r="E476" s="42" t="s">
        <v>194</v>
      </c>
      <c r="F476" s="43" t="s">
        <v>197</v>
      </c>
      <c r="G476" s="44" t="s">
        <v>199</v>
      </c>
      <c r="H476" s="41" t="s">
        <v>201</v>
      </c>
      <c r="I476" s="43" t="s">
        <v>211</v>
      </c>
      <c r="J476" s="40" t="s">
        <v>189</v>
      </c>
      <c r="K476" s="60">
        <v>45422</v>
      </c>
      <c r="O476" s="82">
        <v>45565</v>
      </c>
      <c r="Q476" s="96"/>
    </row>
    <row r="477" spans="1:17" ht="25.5" x14ac:dyDescent="0.35">
      <c r="A477" s="48" t="s">
        <v>519</v>
      </c>
      <c r="B477" s="39" t="str" cm="1">
        <f t="array" ref="B477">IF(A477&lt;&gt;"",_xlfn.XLOOKUP(_xlfn.NUMBERVALUE(A477),_xlfn.NUMBERVALUE(Carga[Tombamento]),Carga[Descrição do Bem]),"")</f>
        <v>ESTAÇÃO DE TRATAMENTO DE ÁGUA - VALPARAISO/GO VÁLVULAS MOTORIZADAS SISTEMA DE DOSAGEM.</v>
      </c>
      <c r="C477" s="39" t="str">
        <f t="shared" si="17"/>
        <v>VÁLVULAS MOTORIZADAS SISTEMA DE DOSAGEM.</v>
      </c>
      <c r="E477" s="42" t="s">
        <v>194</v>
      </c>
      <c r="F477" s="43" t="s">
        <v>197</v>
      </c>
      <c r="G477" s="44" t="s">
        <v>199</v>
      </c>
      <c r="H477" s="41" t="s">
        <v>201</v>
      </c>
      <c r="I477" s="43" t="s">
        <v>211</v>
      </c>
      <c r="J477" s="40" t="s">
        <v>189</v>
      </c>
      <c r="K477" s="60">
        <v>45422</v>
      </c>
      <c r="O477" s="82">
        <v>45565</v>
      </c>
      <c r="Q477" s="96"/>
    </row>
    <row r="478" spans="1:17" ht="25.5" x14ac:dyDescent="0.35">
      <c r="A478" s="48" t="s">
        <v>520</v>
      </c>
      <c r="B478" s="39" t="str" cm="1">
        <f t="array" ref="B478">IF(A478&lt;&gt;"",_xlfn.XLOOKUP(_xlfn.NUMBERVALUE(A478),_xlfn.NUMBERVALUE(Carga[Tombamento]),Carga[Descrição do Bem]),"")</f>
        <v>ESTAÇÃO DE TRATAMENTO DE ÁGUA - VALPARAISO/GO VÁLVULAS MOTORIZADAS SISTEMA DE DOSAGEM.</v>
      </c>
      <c r="C478" s="39" t="str">
        <f t="shared" si="17"/>
        <v>VÁLVULAS MOTORIZADAS SISTEMA DE DOSAGEM.</v>
      </c>
      <c r="E478" s="42" t="s">
        <v>194</v>
      </c>
      <c r="F478" s="43" t="s">
        <v>197</v>
      </c>
      <c r="G478" s="44" t="s">
        <v>199</v>
      </c>
      <c r="H478" s="41" t="s">
        <v>201</v>
      </c>
      <c r="I478" s="43" t="s">
        <v>211</v>
      </c>
      <c r="J478" s="40" t="s">
        <v>189</v>
      </c>
      <c r="K478" s="60">
        <v>45422</v>
      </c>
      <c r="O478" s="82">
        <v>45565</v>
      </c>
      <c r="Q478" s="96"/>
    </row>
    <row r="479" spans="1:17" ht="25.5" x14ac:dyDescent="0.35">
      <c r="A479" s="48" t="s">
        <v>521</v>
      </c>
      <c r="B479" s="39" t="str" cm="1">
        <f t="array" ref="B479">IF(A479&lt;&gt;"",_xlfn.XLOOKUP(_xlfn.NUMBERVALUE(A479),_xlfn.NUMBERVALUE(Carga[Tombamento]),Carga[Descrição do Bem]),"")</f>
        <v>ESTAÇÃO DE TRATAMENTO DE ÁGUA - VALPARAISO/GO VÁLVULAS MOTORIZADAS SISTEMA DE DOSAGEM.</v>
      </c>
      <c r="C479" s="39" t="str">
        <f t="shared" si="17"/>
        <v>VÁLVULAS MOTORIZADAS SISTEMA DE DOSAGEM.</v>
      </c>
      <c r="E479" s="42" t="s">
        <v>194</v>
      </c>
      <c r="F479" s="43" t="s">
        <v>197</v>
      </c>
      <c r="G479" s="44" t="s">
        <v>199</v>
      </c>
      <c r="H479" s="41" t="s">
        <v>201</v>
      </c>
      <c r="I479" s="43" t="s">
        <v>211</v>
      </c>
      <c r="J479" s="40" t="s">
        <v>189</v>
      </c>
      <c r="K479" s="60">
        <v>45422</v>
      </c>
      <c r="O479" s="82">
        <v>45565</v>
      </c>
      <c r="Q479" s="96"/>
    </row>
    <row r="480" spans="1:17" ht="25.5" x14ac:dyDescent="0.35">
      <c r="A480" s="48" t="s">
        <v>522</v>
      </c>
      <c r="B480" s="39" t="str" cm="1">
        <f t="array" ref="B480">IF(A480&lt;&gt;"",_xlfn.XLOOKUP(_xlfn.NUMBERVALUE(A480),_xlfn.NUMBERVALUE(Carga[Tombamento]),Carga[Descrição do Bem]),"")</f>
        <v>ESTAÇÃO DE TRATAMENTO DE ÁGUA - VALPARAISO/GO VÁLVULAS MOTORIZADAS SISTEMA DE DOSAGEM.</v>
      </c>
      <c r="C480" s="39" t="str">
        <f t="shared" si="17"/>
        <v>VÁLVULAS MOTORIZADAS SISTEMA DE DOSAGEM.</v>
      </c>
      <c r="E480" s="42" t="s">
        <v>194</v>
      </c>
      <c r="F480" s="43" t="s">
        <v>197</v>
      </c>
      <c r="G480" s="44" t="s">
        <v>199</v>
      </c>
      <c r="H480" s="41" t="s">
        <v>201</v>
      </c>
      <c r="I480" s="43" t="s">
        <v>55</v>
      </c>
      <c r="J480" s="40" t="s">
        <v>71</v>
      </c>
      <c r="K480" s="60">
        <v>45422</v>
      </c>
      <c r="O480" s="82">
        <v>45555</v>
      </c>
      <c r="Q480" s="96"/>
    </row>
    <row r="481" spans="1:17" ht="25.5" x14ac:dyDescent="0.35">
      <c r="A481" s="48" t="s">
        <v>523</v>
      </c>
      <c r="B481" s="39" t="str" cm="1">
        <f t="array" ref="B481">IF(A481&lt;&gt;"",_xlfn.XLOOKUP(_xlfn.NUMBERVALUE(A481),_xlfn.NUMBERVALUE(Carga[Tombamento]),Carga[Descrição do Bem]),"")</f>
        <v>ESTAÇÃO DE TRATAMENTO DE ÁGUA - VALPARAISO/GO VÁLVULAS MOTORIZADAS SISTEMA DE DOSAGEM.</v>
      </c>
      <c r="C481" s="39" t="str">
        <f t="shared" si="17"/>
        <v>VÁLVULAS MOTORIZADAS SISTEMA DE DOSAGEM.</v>
      </c>
      <c r="E481" s="42" t="s">
        <v>194</v>
      </c>
      <c r="F481" s="43" t="s">
        <v>197</v>
      </c>
      <c r="G481" s="44" t="s">
        <v>199</v>
      </c>
      <c r="H481" s="41" t="s">
        <v>201</v>
      </c>
      <c r="I481" s="43" t="s">
        <v>55</v>
      </c>
      <c r="J481" s="40" t="s">
        <v>71</v>
      </c>
      <c r="K481" s="60">
        <v>45422</v>
      </c>
      <c r="O481" s="82">
        <v>45555</v>
      </c>
      <c r="Q481" s="96"/>
    </row>
    <row r="482" spans="1:17" ht="25.5" x14ac:dyDescent="0.35">
      <c r="A482" s="48" t="s">
        <v>524</v>
      </c>
      <c r="B482" s="39" t="str" cm="1">
        <f t="array" ref="B482">IF(A482&lt;&gt;"",_xlfn.XLOOKUP(_xlfn.NUMBERVALUE(A482),_xlfn.NUMBERVALUE(Carga[Tombamento]),Carga[Descrição do Bem]),"")</f>
        <v>ESTAÇÃO DE TRATAMENTO DE ÁGUA - VALPARAISO/GO VÁLVULAS MOTORIZADAS SISTEMA DE DOSAGEM.</v>
      </c>
      <c r="C482" s="39" t="str">
        <f t="shared" si="17"/>
        <v>VÁLVULAS MOTORIZADAS SISTEMA DE DOSAGEM.</v>
      </c>
      <c r="E482" s="42" t="s">
        <v>194</v>
      </c>
      <c r="F482" s="43" t="s">
        <v>197</v>
      </c>
      <c r="G482" s="44" t="s">
        <v>199</v>
      </c>
      <c r="H482" s="41" t="s">
        <v>201</v>
      </c>
      <c r="I482" s="43" t="s">
        <v>57</v>
      </c>
      <c r="J482" s="40" t="s">
        <v>65</v>
      </c>
      <c r="K482" s="60">
        <v>45422</v>
      </c>
      <c r="O482" s="82">
        <v>45555</v>
      </c>
      <c r="Q482" s="96"/>
    </row>
    <row r="483" spans="1:17" ht="25.5" x14ac:dyDescent="0.35">
      <c r="A483" s="48" t="s">
        <v>525</v>
      </c>
      <c r="B483" s="39" t="str" cm="1">
        <f t="array" ref="B483">IF(A483&lt;&gt;"",_xlfn.XLOOKUP(_xlfn.NUMBERVALUE(A483),_xlfn.NUMBERVALUE(Carga[Tombamento]),Carga[Descrição do Bem]),"")</f>
        <v>ESTAÇÃO DE TRATAMENTO DE ÁGUA - VALPARAISO/GO VÁLVULAS MOTORIZADAS SISTEMA DE DOSAGEM.</v>
      </c>
      <c r="C483" s="39" t="str">
        <f t="shared" si="17"/>
        <v>VÁLVULAS MOTORIZADAS SISTEMA DE DOSAGEM.</v>
      </c>
      <c r="E483" s="42" t="s">
        <v>194</v>
      </c>
      <c r="F483" s="43" t="s">
        <v>197</v>
      </c>
      <c r="G483" s="44" t="s">
        <v>199</v>
      </c>
      <c r="H483" s="41" t="s">
        <v>201</v>
      </c>
      <c r="I483" s="43" t="s">
        <v>57</v>
      </c>
      <c r="J483" s="40" t="s">
        <v>65</v>
      </c>
      <c r="K483" s="60">
        <v>45422</v>
      </c>
      <c r="O483" s="82">
        <v>45555</v>
      </c>
      <c r="Q483" s="96"/>
    </row>
    <row r="484" spans="1:17" ht="25.5" x14ac:dyDescent="0.35">
      <c r="A484" s="48" t="s">
        <v>526</v>
      </c>
      <c r="B484" s="39" t="str" cm="1">
        <f t="array" ref="B484">IF(A484&lt;&gt;"",_xlfn.XLOOKUP(_xlfn.NUMBERVALUE(A484),_xlfn.NUMBERVALUE(Carga[Tombamento]),Carga[Descrição do Bem]),"")</f>
        <v>ESTAÇÃO DE TRATAMENTO DE ÁGUA - VALPARAISO/GO VÁLVULAS MOTORIZADAS SISTEMA DE DOSAGEM.</v>
      </c>
      <c r="C484" s="39" t="str">
        <f t="shared" si="17"/>
        <v>VÁLVULAS MOTORIZADAS SISTEMA DE DOSAGEM.</v>
      </c>
      <c r="E484" s="42" t="s">
        <v>194</v>
      </c>
      <c r="F484" s="43" t="s">
        <v>197</v>
      </c>
      <c r="G484" s="44" t="s">
        <v>199</v>
      </c>
      <c r="H484" s="41" t="s">
        <v>201</v>
      </c>
      <c r="I484" s="43" t="s">
        <v>57</v>
      </c>
      <c r="J484" s="40" t="s">
        <v>65</v>
      </c>
      <c r="K484" s="60">
        <v>45422</v>
      </c>
      <c r="O484" s="82">
        <v>45555</v>
      </c>
      <c r="Q484" s="96"/>
    </row>
    <row r="485" spans="1:17" ht="25.5" x14ac:dyDescent="0.35">
      <c r="A485" s="48" t="s">
        <v>527</v>
      </c>
      <c r="B485" s="39" t="str" cm="1">
        <f t="array" ref="B485">IF(A485&lt;&gt;"",_xlfn.XLOOKUP(_xlfn.NUMBERVALUE(A485),_xlfn.NUMBERVALUE(Carga[Tombamento]),Carga[Descrição do Bem]),"")</f>
        <v>ESTAÇÃO DE TRATAMENTO DE ÁGUA - VALPARAISO/GO VÁLVULAS MOTORIZADAS SISTEMA DE DOSAGEM.</v>
      </c>
      <c r="C485" s="39" t="str">
        <f t="shared" si="17"/>
        <v>VÁLVULAS MOTORIZADAS SISTEMA DE DOSAGEM.</v>
      </c>
      <c r="E485" s="42" t="s">
        <v>194</v>
      </c>
      <c r="F485" s="43" t="s">
        <v>197</v>
      </c>
      <c r="G485" s="44" t="s">
        <v>199</v>
      </c>
      <c r="H485" s="41" t="s">
        <v>201</v>
      </c>
      <c r="I485" s="43" t="s">
        <v>57</v>
      </c>
      <c r="J485" s="40" t="s">
        <v>65</v>
      </c>
      <c r="K485" s="60">
        <v>45422</v>
      </c>
      <c r="O485" s="82">
        <v>45555</v>
      </c>
      <c r="Q485" s="96"/>
    </row>
    <row r="486" spans="1:17" ht="25.5" x14ac:dyDescent="0.35">
      <c r="A486" s="48" t="s">
        <v>528</v>
      </c>
      <c r="B486" s="39" t="str" cm="1">
        <f t="array" ref="B486">IF(A486&lt;&gt;"",_xlfn.XLOOKUP(_xlfn.NUMBERVALUE(A486),_xlfn.NUMBERVALUE(Carga[Tombamento]),Carga[Descrição do Bem]),"")</f>
        <v>ESTAÇÃO DE TRATAMENTO DE ÁGUA - VALPARAISO/GO VÁLVULAS MOTORIZADAS SISTEMA DE DOSAGEM.</v>
      </c>
      <c r="C486" s="39" t="str">
        <f t="shared" si="17"/>
        <v>VÁLVULAS MOTORIZADAS SISTEMA DE DOSAGEM.</v>
      </c>
      <c r="E486" s="42" t="s">
        <v>194</v>
      </c>
      <c r="F486" s="43" t="s">
        <v>197</v>
      </c>
      <c r="G486" s="44" t="s">
        <v>199</v>
      </c>
      <c r="H486" s="41" t="s">
        <v>201</v>
      </c>
      <c r="I486" s="43" t="s">
        <v>61</v>
      </c>
      <c r="J486" s="40" t="s">
        <v>981</v>
      </c>
      <c r="K486" s="60">
        <v>45421</v>
      </c>
      <c r="O486" s="82">
        <v>45560</v>
      </c>
      <c r="Q486" s="96"/>
    </row>
    <row r="487" spans="1:17" ht="25.5" x14ac:dyDescent="0.35">
      <c r="A487" s="48" t="s">
        <v>529</v>
      </c>
      <c r="B487" s="39" t="str" cm="1">
        <f t="array" ref="B487">IF(A487&lt;&gt;"",_xlfn.XLOOKUP(_xlfn.NUMBERVALUE(A487),_xlfn.NUMBERVALUE(Carga[Tombamento]),Carga[Descrição do Bem]),"")</f>
        <v>ESTAÇÃO DE TRATAMENTO DE ÁGUA - VALPARAISO/GO VÁLVULAS MOTORIZADAS SISTEMA DE DOSAGEM.</v>
      </c>
      <c r="C487" s="39" t="str">
        <f t="shared" si="17"/>
        <v>VÁLVULAS MOTORIZADAS SISTEMA DE DOSAGEM.</v>
      </c>
      <c r="E487" s="42" t="s">
        <v>194</v>
      </c>
      <c r="F487" s="43" t="s">
        <v>197</v>
      </c>
      <c r="G487" s="44" t="s">
        <v>199</v>
      </c>
      <c r="H487" s="41" t="s">
        <v>201</v>
      </c>
      <c r="I487" s="43" t="s">
        <v>61</v>
      </c>
      <c r="J487" s="40" t="s">
        <v>981</v>
      </c>
      <c r="K487" s="60">
        <v>45421</v>
      </c>
      <c r="O487" s="82">
        <v>45560</v>
      </c>
      <c r="Q487" s="96"/>
    </row>
    <row r="488" spans="1:17" ht="25.5" x14ac:dyDescent="0.35">
      <c r="A488" s="48" t="s">
        <v>530</v>
      </c>
      <c r="B488" s="39" t="str" cm="1">
        <f t="array" ref="B488">IF(A488&lt;&gt;"",_xlfn.XLOOKUP(_xlfn.NUMBERVALUE(A488),_xlfn.NUMBERVALUE(Carga[Tombamento]),Carga[Descrição do Bem]),"")</f>
        <v>ESTAÇÃO DE TRATAMENTO DE ÁGUA - VALPARAISO/GO VÁLVULAS MOTORIZADAS SISTEMA DE DOSAGEM.</v>
      </c>
      <c r="C488" s="39" t="str">
        <f t="shared" si="17"/>
        <v>VÁLVULAS MOTORIZADAS SISTEMA DE DOSAGEM.</v>
      </c>
      <c r="E488" s="42" t="s">
        <v>194</v>
      </c>
      <c r="F488" s="43" t="s">
        <v>197</v>
      </c>
      <c r="G488" s="44" t="s">
        <v>199</v>
      </c>
      <c r="H488" s="41" t="s">
        <v>201</v>
      </c>
      <c r="I488" s="43" t="s">
        <v>75</v>
      </c>
      <c r="J488" s="40" t="s">
        <v>68</v>
      </c>
      <c r="K488" s="60">
        <v>45421</v>
      </c>
      <c r="O488" s="82">
        <v>45555</v>
      </c>
      <c r="Q488" s="96"/>
    </row>
    <row r="489" spans="1:17" ht="25.5" x14ac:dyDescent="0.35">
      <c r="A489" s="48" t="s">
        <v>531</v>
      </c>
      <c r="B489" s="39" t="str" cm="1">
        <f t="array" ref="B489">IF(A489&lt;&gt;"",_xlfn.XLOOKUP(_xlfn.NUMBERVALUE(A489),_xlfn.NUMBERVALUE(Carga[Tombamento]),Carga[Descrição do Bem]),"")</f>
        <v>ESTAÇÃO DE TRATAMENTO DE ÁGUA - VALPARAISO/GO VÁLVULAS MOTORIZADAS SISTEMA DE DOSAGEM.</v>
      </c>
      <c r="C489" s="39" t="str">
        <f t="shared" si="17"/>
        <v>VÁLVULAS MOTORIZADAS SISTEMA DE DOSAGEM.</v>
      </c>
      <c r="E489" s="42" t="s">
        <v>194</v>
      </c>
      <c r="F489" s="43" t="s">
        <v>197</v>
      </c>
      <c r="G489" s="44" t="s">
        <v>199</v>
      </c>
      <c r="H489" s="41" t="s">
        <v>201</v>
      </c>
      <c r="I489" s="43" t="s">
        <v>75</v>
      </c>
      <c r="J489" s="40" t="s">
        <v>68</v>
      </c>
      <c r="K489" s="60">
        <v>45421</v>
      </c>
      <c r="O489" s="82">
        <v>45555</v>
      </c>
      <c r="Q489" s="96"/>
    </row>
    <row r="490" spans="1:17" ht="25.5" x14ac:dyDescent="0.35">
      <c r="A490" s="48" t="s">
        <v>532</v>
      </c>
      <c r="B490" s="39" t="str" cm="1">
        <f t="array" ref="B490">IF(A490&lt;&gt;"",_xlfn.XLOOKUP(_xlfn.NUMBERVALUE(A490),_xlfn.NUMBERVALUE(Carga[Tombamento]),Carga[Descrição do Bem]),"")</f>
        <v>ESTAÇÃO DE TRATAMENTO DE ÁGUA - VALPARAISO/GO VÁLVULAS MOTORIZADAS SISTEMA DE DOSAGEM.</v>
      </c>
      <c r="C490" s="39" t="str">
        <f t="shared" si="17"/>
        <v>VÁLVULAS MOTORIZADAS SISTEMA DE DOSAGEM.</v>
      </c>
      <c r="E490" s="42" t="s">
        <v>194</v>
      </c>
      <c r="F490" s="43" t="s">
        <v>197</v>
      </c>
      <c r="G490" s="44" t="s">
        <v>199</v>
      </c>
      <c r="H490" s="41" t="s">
        <v>201</v>
      </c>
      <c r="I490" s="43" t="s">
        <v>75</v>
      </c>
      <c r="J490" s="40" t="s">
        <v>68</v>
      </c>
      <c r="K490" s="60">
        <v>45421</v>
      </c>
      <c r="O490" s="82">
        <v>45555</v>
      </c>
      <c r="Q490" s="96"/>
    </row>
    <row r="491" spans="1:17" ht="25.5" x14ac:dyDescent="0.35">
      <c r="A491" s="48" t="s">
        <v>533</v>
      </c>
      <c r="B491" s="39" t="str" cm="1">
        <f t="array" ref="B491">IF(A491&lt;&gt;"",_xlfn.XLOOKUP(_xlfn.NUMBERVALUE(A491),_xlfn.NUMBERVALUE(Carga[Tombamento]),Carga[Descrição do Bem]),"")</f>
        <v>ESTAÇÃO DE TRATAMENTO DE ÁGUA - VALPARAISO/GO VÁLVULAS MOTORIZADAS SISTEMA DE DOSAGEM.</v>
      </c>
      <c r="C491" s="39" t="str">
        <f t="shared" si="17"/>
        <v>VÁLVULAS MOTORIZADAS SISTEMA DE DOSAGEM.</v>
      </c>
      <c r="E491" s="42" t="s">
        <v>194</v>
      </c>
      <c r="F491" s="43" t="s">
        <v>197</v>
      </c>
      <c r="G491" s="44" t="s">
        <v>199</v>
      </c>
      <c r="H491" s="41" t="s">
        <v>201</v>
      </c>
      <c r="I491" s="43" t="s">
        <v>75</v>
      </c>
      <c r="J491" s="40" t="s">
        <v>68</v>
      </c>
      <c r="K491" s="60">
        <v>45421</v>
      </c>
      <c r="O491" s="82">
        <v>45555</v>
      </c>
      <c r="Q491" s="96"/>
    </row>
    <row r="492" spans="1:17" ht="25.5" x14ac:dyDescent="0.35">
      <c r="A492" s="48" t="s">
        <v>534</v>
      </c>
      <c r="B492" s="39" t="str" cm="1">
        <f t="array" ref="B492">IF(A492&lt;&gt;"",_xlfn.XLOOKUP(_xlfn.NUMBERVALUE(A492),_xlfn.NUMBERVALUE(Carga[Tombamento]),Carga[Descrição do Bem]),"")</f>
        <v>ESTAÇÃO DE TRATAMENTO DE ÁGUA - VALPARAISO/GO VÁLVULAS MOTORIZADAS SISTEMA DE DOSAGEM.</v>
      </c>
      <c r="C492" s="39" t="str">
        <f t="shared" si="17"/>
        <v>VÁLVULAS MOTORIZADAS SISTEMA DE DOSAGEM.</v>
      </c>
      <c r="E492" s="42" t="s">
        <v>194</v>
      </c>
      <c r="F492" s="43" t="s">
        <v>197</v>
      </c>
      <c r="G492" s="44" t="s">
        <v>199</v>
      </c>
      <c r="H492" s="41" t="s">
        <v>201</v>
      </c>
      <c r="I492" s="43" t="s">
        <v>75</v>
      </c>
      <c r="J492" s="40" t="s">
        <v>68</v>
      </c>
      <c r="K492" s="60">
        <v>45421</v>
      </c>
      <c r="O492" s="82">
        <v>45555</v>
      </c>
      <c r="Q492" s="96"/>
    </row>
    <row r="493" spans="1:17" ht="41.25" x14ac:dyDescent="0.35">
      <c r="A493" s="48" t="s">
        <v>535</v>
      </c>
      <c r="B493" s="39" t="str" cm="1">
        <f t="array" ref="B493">IF(A493&lt;&gt;"",_xlfn.XLOOKUP(_xlfn.NUMBERVALUE(A493),_xlfn.NUMBERVALUE(Carga[Tombamento]),Carga[Descrição do Bem]),"")</f>
        <v>ESTAÇÃO DE TRATAMENTO DE ÁGUA - VALPARAISO/GO MEDIDOR DE VAZÃO (MARCA SIEMENS MODELO MAG 6000) - N° DE ORDEM: 7ME69201AA101AA0. N° DE SÉRIE: N1MD215135. FIT-700</v>
      </c>
      <c r="C493" s="39" t="str">
        <f t="shared" si="17"/>
        <v>MEDIDOR DE VAZÃO (MARCA SIEMENS MODELO MAG 6000) - N° DE ORDEM: 7ME69201AA101AA0. N° DE SÉRIE: N1MD215135. FIT-700</v>
      </c>
      <c r="E493" s="42" t="s">
        <v>194</v>
      </c>
      <c r="F493" s="43" t="s">
        <v>197</v>
      </c>
      <c r="G493" s="44" t="s">
        <v>199</v>
      </c>
      <c r="H493" s="41" t="s">
        <v>201</v>
      </c>
      <c r="I493" s="43" t="s">
        <v>55</v>
      </c>
      <c r="J493" s="40" t="s">
        <v>69</v>
      </c>
      <c r="K493" s="60">
        <v>45422</v>
      </c>
      <c r="O493" s="82">
        <v>45555</v>
      </c>
      <c r="Q493" s="96"/>
    </row>
    <row r="494" spans="1:17" ht="41.25" x14ac:dyDescent="0.35">
      <c r="A494" s="48" t="s">
        <v>537</v>
      </c>
      <c r="B494" s="39" t="str" cm="1">
        <f t="array" ref="B494">IF(A494&lt;&gt;"",_xlfn.XLOOKUP(_xlfn.NUMBERVALUE(A494),_xlfn.NUMBERVALUE(Carga[Tombamento]),Carga[Descrição do Bem]),"")</f>
        <v>ESTAÇÃO DE TRATAMENTO DE ÁGUA - VALPARAISO/GO MEDIDOR DE VAZÃO (MARCA SIEMENS MODELO MAG 6000). N° DE ORDEM: 7ME69201AA101AA0. N° DE SÉRIE: N1MD215114. FIT-900</v>
      </c>
      <c r="C494" s="39" t="str">
        <f t="shared" si="17"/>
        <v>MEDIDOR DE VAZÃO (MARCA SIEMENS MODELO MAG 6000). N° DE ORDEM: 7ME69201AA101AA0. N° DE SÉRIE: N1MD215114. FIT-900</v>
      </c>
      <c r="E494" s="42" t="s">
        <v>194</v>
      </c>
      <c r="F494" s="43" t="s">
        <v>197</v>
      </c>
      <c r="G494" s="44" t="s">
        <v>199</v>
      </c>
      <c r="H494" s="41" t="s">
        <v>201</v>
      </c>
      <c r="I494" s="43" t="s">
        <v>55</v>
      </c>
      <c r="J494" s="40" t="s">
        <v>69</v>
      </c>
      <c r="K494" s="60">
        <v>45422</v>
      </c>
      <c r="O494" s="82">
        <v>45555</v>
      </c>
      <c r="Q494" s="96"/>
    </row>
    <row r="495" spans="1:17" ht="41.25" x14ac:dyDescent="0.35">
      <c r="A495" s="48" t="s">
        <v>539</v>
      </c>
      <c r="B495" s="39" t="str" cm="1">
        <f t="array" ref="B495">IF(A495&lt;&gt;"",_xlfn.XLOOKUP(_xlfn.NUMBERVALUE(A495),_xlfn.NUMBERVALUE(Carga[Tombamento]),Carga[Descrição do Bem]),"")</f>
        <v xml:space="preserve">ESTAÇÃO DE TRATAMENTO DE ÁGUA - VALPARAISO/GO MEDIDOR DE VAZÃO (MARCA SIEMENS MODELO MAG 6000). N DE ORDEM: 7ME69201AA101AA0. N° DE SÉRIE: N1MD215156. 					</v>
      </c>
      <c r="C495" s="39" t="str">
        <f t="shared" si="17"/>
        <v xml:space="preserve">MEDIDOR DE VAZÃO (MARCA SIEMENS MODELO MAG 6000). N DE ORDEM: 7ME69201AA101AA0. N° DE SÉRIE: N1MD215156. 					</v>
      </c>
      <c r="E495" s="42" t="s">
        <v>194</v>
      </c>
      <c r="F495" s="43" t="s">
        <v>197</v>
      </c>
      <c r="G495" s="44" t="s">
        <v>199</v>
      </c>
      <c r="H495" s="41" t="s">
        <v>201</v>
      </c>
      <c r="I495" s="43" t="s">
        <v>57</v>
      </c>
      <c r="J495" s="40" t="s">
        <v>65</v>
      </c>
      <c r="K495" s="60">
        <v>45422</v>
      </c>
      <c r="O495" s="82">
        <v>45555</v>
      </c>
      <c r="Q495" s="96"/>
    </row>
    <row r="496" spans="1:17" ht="41.25" x14ac:dyDescent="0.35">
      <c r="A496" s="48" t="s">
        <v>540</v>
      </c>
      <c r="B496" s="39" t="str" cm="1">
        <f t="array" ref="B496">IF(A496&lt;&gt;"",_xlfn.XLOOKUP(_xlfn.NUMBERVALUE(A496),_xlfn.NUMBERVALUE(Carga[Tombamento]),Carga[Descrição do Bem]),"")</f>
        <v>ESTAÇÃO DE TRATAMENTO DE ÁGUA - VALPARAISO/GO ATUADOR ELÉTRICO MULTI-VOLTA, INTELIGENTE, COM COMUNICAÇÃO VIA REDE ETHERNET, TORQUE ATÉ 60NM CSR6T N/S 31398.</v>
      </c>
      <c r="C496" s="39" t="str">
        <f t="shared" si="17"/>
        <v>ATUADOR ELÉTRICO MULTI-VOLTA, INTELIGENTE, COM COMUNICAÇÃO VIA REDE ETHERNET, TORQUE ATÉ 60NM CSR6T N/S 31398.</v>
      </c>
      <c r="E496" s="42" t="s">
        <v>194</v>
      </c>
      <c r="F496" s="43" t="s">
        <v>197</v>
      </c>
      <c r="G496" s="44" t="s">
        <v>199</v>
      </c>
      <c r="H496" s="41" t="s">
        <v>201</v>
      </c>
      <c r="I496" s="43" t="s">
        <v>54</v>
      </c>
      <c r="J496" s="40" t="s">
        <v>225</v>
      </c>
      <c r="K496" s="60">
        <v>45422</v>
      </c>
      <c r="O496" s="82">
        <v>45558</v>
      </c>
      <c r="Q496" s="96"/>
    </row>
    <row r="497" spans="1:18" ht="32.25" x14ac:dyDescent="0.35">
      <c r="A497" s="48" t="s">
        <v>542</v>
      </c>
      <c r="B497" s="39" t="str" cm="1">
        <f t="array" ref="B497">IF(A497&lt;&gt;"",_xlfn.XLOOKUP(_xlfn.NUMBERVALUE(A497),_xlfn.NUMBERVALUE(Carga[Tombamento]),Carga[Descrição do Bem]),"")</f>
        <v>ESTAÇÃO DE TRATAMENTO DE ÁGUA - VALPARAISO/GO ESTAÇÃO DE OPERAÇÃO, MODELO: SIMATIC RAC PC ; FABRICANTE SIEMENS.</v>
      </c>
      <c r="C497" s="39" t="str">
        <f t="shared" si="17"/>
        <v>ESTAÇÃO DE OPERAÇÃO, MODELO: SIMATIC RAC PC ; FABRICANTE SIEMENS.</v>
      </c>
      <c r="E497" s="42" t="s">
        <v>194</v>
      </c>
      <c r="F497" s="43" t="s">
        <v>197</v>
      </c>
      <c r="G497" s="44" t="s">
        <v>199</v>
      </c>
      <c r="H497" s="41" t="s">
        <v>201</v>
      </c>
      <c r="I497" s="43" t="s">
        <v>36</v>
      </c>
      <c r="J497" s="40" t="s">
        <v>78</v>
      </c>
      <c r="K497" s="60">
        <v>45422</v>
      </c>
      <c r="M497" s="60">
        <v>45712</v>
      </c>
      <c r="O497" s="82">
        <v>45558</v>
      </c>
      <c r="Q497" s="96"/>
    </row>
    <row r="498" spans="1:18" ht="107.25" x14ac:dyDescent="0.35">
      <c r="A498" s="48" t="s">
        <v>544</v>
      </c>
      <c r="B498" s="39" t="str" cm="1">
        <f t="array" ref="B498">IF(A498&lt;&gt;"",_xlfn.XLOOKUP(_xlfn.NUMBERVALUE(A498),_xlfn.NUMBERVALUE(Carga[Tombamento]),Carga[Descrição do Bem]),"")</f>
        <v>ESTAÇÃO DE TRATAMENTO DE ÁGUA - VALPARAISO/GO ATUADOR ELÉTRICO MULTI-VOLTA, INTELIGENTE, COM COMUNICAÇÃO VIA REDE ETHERNET, TORQUE ATÉ 120NM CSR12M N/S 3140S.</v>
      </c>
      <c r="C498" s="39" t="str">
        <f t="shared" si="17"/>
        <v>ATUADOR ELÉTRICO MULTI-VOLTA, INTELIGENTE, COM COMUNICAÇÃO VIA REDE ETHERNET, TORQUE ATÉ 120NM CSR12M N/S 3140S.</v>
      </c>
      <c r="E498" s="42" t="s">
        <v>194</v>
      </c>
      <c r="F498" s="43" t="s">
        <v>197</v>
      </c>
      <c r="G498" s="44" t="s">
        <v>199</v>
      </c>
      <c r="H498" s="41" t="s">
        <v>201</v>
      </c>
      <c r="I498" s="43" t="s">
        <v>54</v>
      </c>
      <c r="J498" s="40" t="s">
        <v>225</v>
      </c>
      <c r="K498" s="60">
        <v>45422</v>
      </c>
      <c r="O498" s="82">
        <v>45558</v>
      </c>
      <c r="P498" s="80" t="s">
        <v>987</v>
      </c>
      <c r="Q498" s="97"/>
      <c r="R498" s="80"/>
    </row>
    <row r="499" spans="1:18" ht="41.25" x14ac:dyDescent="0.35">
      <c r="A499" s="48" t="s">
        <v>546</v>
      </c>
      <c r="B499" s="39" t="str" cm="1">
        <f t="array" ref="B499">IF(A499&lt;&gt;"",_xlfn.XLOOKUP(_xlfn.NUMBERVALUE(A499),_xlfn.NUMBERVALUE(Carga[Tombamento]),Carga[Descrição do Bem]),"")</f>
        <v xml:space="preserve">ESTAÇÃO DE TRATAMENTO DE ÁGUA - VALPARAISO/GO ATUADOR ELÉTRICO MULTI-VOLTA, INTELIGENTE, COM COMUNICAÇÃO VIA REDE ETHERNET, TORQUE ATÉ 120NM CSR12M N/S 31402.					</v>
      </c>
      <c r="C499" s="39" t="str">
        <f t="shared" si="17"/>
        <v xml:space="preserve">ATUADOR ELÉTRICO MULTI-VOLTA, INTELIGENTE, COM COMUNICAÇÃO VIA REDE ETHERNET, TORQUE ATÉ 120NM CSR12M N/S 31402.					</v>
      </c>
      <c r="E499" s="42" t="s">
        <v>194</v>
      </c>
      <c r="F499" s="43" t="s">
        <v>197</v>
      </c>
      <c r="G499" s="44" t="s">
        <v>199</v>
      </c>
      <c r="H499" s="41" t="s">
        <v>201</v>
      </c>
      <c r="I499" s="43" t="s">
        <v>54</v>
      </c>
      <c r="J499" s="40" t="s">
        <v>224</v>
      </c>
      <c r="K499" s="60">
        <v>45422</v>
      </c>
      <c r="O499" s="82">
        <v>45558</v>
      </c>
      <c r="Q499" s="96"/>
    </row>
    <row r="500" spans="1:18" ht="41.25" x14ac:dyDescent="0.35">
      <c r="A500" s="48" t="s">
        <v>547</v>
      </c>
      <c r="B500" s="39" t="str" cm="1">
        <f t="array" ref="B500">IF(A500&lt;&gt;"",_xlfn.XLOOKUP(_xlfn.NUMBERVALUE(A500),_xlfn.NUMBERVALUE(Carga[Tombamento]),Carga[Descrição do Bem]),"")</f>
        <v>ESTAÇÃO DE TRATAMENTO DE ÁGUA - VALPARAISO/GO ATUADOR ELÉTRICO MULTI-VOLTA, INTELIGENTE, COM COMUNICAÇÃO VIA REDE ETHERNET, TORQUE ATÉ 60NM CSR6T N/S 31401.</v>
      </c>
      <c r="C500" s="39" t="str">
        <f t="shared" si="17"/>
        <v>ATUADOR ELÉTRICO MULTI-VOLTA, INTELIGENTE, COM COMUNICAÇÃO VIA REDE ETHERNET, TORQUE ATÉ 60NM CSR6T N/S 31401.</v>
      </c>
      <c r="E500" s="42" t="s">
        <v>194</v>
      </c>
      <c r="F500" s="43" t="s">
        <v>197</v>
      </c>
      <c r="G500" s="44" t="s">
        <v>199</v>
      </c>
      <c r="H500" s="41" t="s">
        <v>201</v>
      </c>
      <c r="I500" s="43" t="s">
        <v>54</v>
      </c>
      <c r="J500" s="40" t="s">
        <v>224</v>
      </c>
      <c r="K500" s="60">
        <v>45422</v>
      </c>
      <c r="O500" s="82">
        <v>45558</v>
      </c>
      <c r="Q500" s="96"/>
    </row>
    <row r="501" spans="1:18" ht="41.25" x14ac:dyDescent="0.35">
      <c r="A501" s="48" t="s">
        <v>549</v>
      </c>
      <c r="B501" s="39" t="str" cm="1">
        <f t="array" ref="B501">IF(A501&lt;&gt;"",_xlfn.XLOOKUP(_xlfn.NUMBERVALUE(A501),_xlfn.NUMBERVALUE(Carga[Tombamento]),Carga[Descrição do Bem]),"")</f>
        <v>ESTAÇÃO DE TRATAMENTO DE ÁGUA - VALPARAISO/GO ATUADOR ELÉTRICO MULTI-VOLTA, INTELIGENTE, COM COMUNICAÇÃO VIA REDE ETHERNET, TORQUE ATÉ 120NM CSR12M N/S 31403.</v>
      </c>
      <c r="C501" s="39" t="str">
        <f t="shared" si="17"/>
        <v>ATUADOR ELÉTRICO MULTI-VOLTA, INTELIGENTE, COM COMUNICAÇÃO VIA REDE ETHERNET, TORQUE ATÉ 120NM CSR12M N/S 31403.</v>
      </c>
      <c r="E501" s="42" t="s">
        <v>194</v>
      </c>
      <c r="F501" s="43" t="s">
        <v>197</v>
      </c>
      <c r="G501" s="44" t="s">
        <v>199</v>
      </c>
      <c r="H501" s="41" t="s">
        <v>201</v>
      </c>
      <c r="I501" s="43" t="s">
        <v>54</v>
      </c>
      <c r="J501" s="40" t="s">
        <v>223</v>
      </c>
      <c r="K501" s="60">
        <v>45422</v>
      </c>
      <c r="O501" s="82">
        <v>45558</v>
      </c>
      <c r="Q501" s="96"/>
    </row>
    <row r="502" spans="1:18" ht="41.25" x14ac:dyDescent="0.35">
      <c r="A502" s="48" t="s">
        <v>551</v>
      </c>
      <c r="B502" s="39" t="str" cm="1">
        <f t="array" ref="B502">IF(A502&lt;&gt;"",_xlfn.XLOOKUP(_xlfn.NUMBERVALUE(A502),_xlfn.NUMBERVALUE(Carga[Tombamento]),Carga[Descrição do Bem]),"")</f>
        <v>ESTAÇÃO DE TRATAMENTO DE ÁGUA - VALPARAISO/GO ATUADOR ELÉTRICO MULTI-VOLTA, INTELIGENTE, COM COMUNICAÇÃO VIA REDE ETHERNET, TORQUE ATÉ 60NM CSR6T N/S 31400.</v>
      </c>
      <c r="C502" s="39" t="str">
        <f t="shared" si="17"/>
        <v>ATUADOR ELÉTRICO MULTI-VOLTA, INTELIGENTE, COM COMUNICAÇÃO VIA REDE ETHERNET, TORQUE ATÉ 60NM CSR6T N/S 31400.</v>
      </c>
      <c r="E502" s="42" t="s">
        <v>194</v>
      </c>
      <c r="F502" s="43" t="s">
        <v>197</v>
      </c>
      <c r="G502" s="44" t="s">
        <v>199</v>
      </c>
      <c r="H502" s="41" t="s">
        <v>201</v>
      </c>
      <c r="I502" s="43" t="s">
        <v>54</v>
      </c>
      <c r="J502" s="40" t="s">
        <v>223</v>
      </c>
      <c r="K502" s="60">
        <v>45422</v>
      </c>
      <c r="O502" s="82">
        <v>45558</v>
      </c>
      <c r="Q502" s="96"/>
    </row>
    <row r="503" spans="1:18" ht="41.25" x14ac:dyDescent="0.35">
      <c r="A503" s="48" t="s">
        <v>553</v>
      </c>
      <c r="B503" s="39" t="str" cm="1">
        <f t="array" ref="B503">IF(A503&lt;&gt;"",_xlfn.XLOOKUP(_xlfn.NUMBERVALUE(A503),_xlfn.NUMBERVALUE(Carga[Tombamento]),Carga[Descrição do Bem]),"")</f>
        <v>ESTAÇÃO DE TRATAMENTO DE ÁGUA - VALPARAISO/GO ATUADOR ELÉTRICO MULTI-VOLTA, INTELIGENTE, COM COMUNICAÇÃO VIA REDE ETHERNET, TORQUE ATÉ 120NM CSR12M N/S 31404.</v>
      </c>
      <c r="C503" s="39" t="str">
        <f t="shared" si="17"/>
        <v>ATUADOR ELÉTRICO MULTI-VOLTA, INTELIGENTE, COM COMUNICAÇÃO VIA REDE ETHERNET, TORQUE ATÉ 120NM CSR12M N/S 31404.</v>
      </c>
      <c r="E503" s="42" t="s">
        <v>194</v>
      </c>
      <c r="F503" s="43" t="s">
        <v>197</v>
      </c>
      <c r="G503" s="44" t="s">
        <v>199</v>
      </c>
      <c r="H503" s="41" t="s">
        <v>201</v>
      </c>
      <c r="I503" s="43" t="s">
        <v>54</v>
      </c>
      <c r="J503" s="40" t="s">
        <v>222</v>
      </c>
      <c r="K503" s="60">
        <v>45422</v>
      </c>
      <c r="O503" s="82">
        <v>45558</v>
      </c>
      <c r="Q503" s="96"/>
    </row>
    <row r="504" spans="1:18" ht="41.25" x14ac:dyDescent="0.35">
      <c r="A504" s="48" t="s">
        <v>555</v>
      </c>
      <c r="B504" s="39" t="str" cm="1">
        <f t="array" ref="B504">IF(A504&lt;&gt;"",_xlfn.XLOOKUP(_xlfn.NUMBERVALUE(A504),_xlfn.NUMBERVALUE(Carga[Tombamento]),Carga[Descrição do Bem]),"")</f>
        <v>ESTAÇÃO DE TRATAMENTO DE ÁGUA - VALPARAISO/GO ATUADOR ELÉTRICO MULTI-VOLTA, INTELIGENTE, COM COMUNICAÇÃO VIA REDE ETHERNET, TORQUE ATÉ 60NM CSR6T N/S 31399.</v>
      </c>
      <c r="C504" s="39" t="str">
        <f t="shared" si="17"/>
        <v>ATUADOR ELÉTRICO MULTI-VOLTA, INTELIGENTE, COM COMUNICAÇÃO VIA REDE ETHERNET, TORQUE ATÉ 60NM CSR6T N/S 31399.</v>
      </c>
      <c r="E504" s="42" t="s">
        <v>194</v>
      </c>
      <c r="F504" s="43" t="s">
        <v>197</v>
      </c>
      <c r="G504" s="44" t="s">
        <v>199</v>
      </c>
      <c r="H504" s="41" t="s">
        <v>201</v>
      </c>
      <c r="I504" s="43" t="s">
        <v>54</v>
      </c>
      <c r="J504" s="40" t="s">
        <v>222</v>
      </c>
      <c r="K504" s="60">
        <v>45422</v>
      </c>
      <c r="O504" s="82">
        <v>45558</v>
      </c>
      <c r="Q504" s="96"/>
    </row>
    <row r="505" spans="1:18" ht="41.25" x14ac:dyDescent="0.35">
      <c r="A505" s="48" t="s">
        <v>557</v>
      </c>
      <c r="B505" s="39" t="str" cm="1">
        <f t="array" ref="B505">IF(A505&lt;&gt;"",_xlfn.XLOOKUP(_xlfn.NUMBERVALUE(A505),_xlfn.NUMBERVALUE(Carga[Tombamento]),Carga[Descrição do Bem]),"")</f>
        <v>ESTAÇÃO DE TRATAMENTO DE ÁGUA - VALPARAISO/GO ATUADOR ELÉTRICO MULTI-VOLTA, INTELIGENTE, COM COMUNICAÇÃO VIA REDE ETHERNET, TORQUE ATÉ 250NM CSR25M N/S 29493.</v>
      </c>
      <c r="C505" s="39" t="str">
        <f t="shared" si="17"/>
        <v>ATUADOR ELÉTRICO MULTI-VOLTA, INTELIGENTE, COM COMUNICAÇÃO VIA REDE ETHERNET, TORQUE ATÉ 250NM CSR25M N/S 29493.</v>
      </c>
      <c r="E505" s="42" t="s">
        <v>194</v>
      </c>
      <c r="F505" s="43" t="s">
        <v>197</v>
      </c>
      <c r="G505" s="44" t="s">
        <v>199</v>
      </c>
      <c r="H505" s="41" t="s">
        <v>201</v>
      </c>
      <c r="I505" s="43" t="s">
        <v>54</v>
      </c>
      <c r="J505" s="40" t="s">
        <v>221</v>
      </c>
      <c r="K505" s="60">
        <v>45422</v>
      </c>
      <c r="O505" s="82">
        <v>45558</v>
      </c>
      <c r="Q505" s="96"/>
    </row>
    <row r="506" spans="1:18" ht="60" x14ac:dyDescent="0.35">
      <c r="A506" s="48" t="s">
        <v>559</v>
      </c>
      <c r="B506" s="39" t="str" cm="1">
        <f t="array" ref="B506">IF(A506&lt;&gt;"",_xlfn.XLOOKUP(_xlfn.NUMBERVALUE(A506),_xlfn.NUMBERVALUE(Carga[Tombamento]),Carga[Descrição do Bem]),"")</f>
        <v>ESTAÇÃO DE TRATAMENTO DE ÁGUA - VALPARAISO/GO QUADRO DE DISTRIBUIÇÃO GERAL 01 - QUADRO DE FORÇA COMPLETO COM DISJUNTOR DE ENTRADA DE 3200A, 5 COLUNAS, DISJUNTORES DE DISTRIBUIÇÃO, MEDIDOR DE ENERGIA E DEMAIS EQUIPAMENTOS AUXILIARES.</v>
      </c>
      <c r="C506" s="39" t="str">
        <f t="shared" si="17"/>
        <v>QUADRO DE DISTRIBUIÇÃO GERAL 01 - QUADRO DE FORÇA COMPLETO COM DISJUNTOR DE ENTRADA DE 3200A, 5 COLUNAS, DISJUNTORES DE DISTRIBUIÇÃO, MEDIDOR DE ENERGIA E DEMAI</v>
      </c>
      <c r="E506" s="42" t="s">
        <v>194</v>
      </c>
      <c r="F506" s="43" t="s">
        <v>197</v>
      </c>
      <c r="G506" s="44" t="s">
        <v>199</v>
      </c>
      <c r="H506" s="41" t="s">
        <v>201</v>
      </c>
      <c r="I506" s="43" t="s">
        <v>596</v>
      </c>
      <c r="J506" s="40" t="s">
        <v>597</v>
      </c>
      <c r="K506" s="60">
        <v>45422</v>
      </c>
      <c r="O506" s="82">
        <v>45565</v>
      </c>
      <c r="Q506" s="96"/>
    </row>
    <row r="507" spans="1:18" ht="60" x14ac:dyDescent="0.35">
      <c r="A507" s="48" t="s">
        <v>561</v>
      </c>
      <c r="B507" s="39" t="str" cm="1">
        <f t="array" ref="B507">IF(A507&lt;&gt;"",_xlfn.XLOOKUP(_xlfn.NUMBERVALUE(A507),_xlfn.NUMBERVALUE(Carga[Tombamento]),Carga[Descrição do Bem]),"")</f>
        <v>ESTAÇÃO DE TRATAMENTO DE ÁGUA - VALPARAISO/GO QUADRO DE EMERGÊNCIA 01 - QUADRO DE FORÇA COMPLETO COM DISJUNTOR DE ENTRADA DE 2000A, 4 COLUNAS, DISJUNTORES DE DISTRIBUIÇÃO, MEDIDOR DE ENERGIA E DEMAIS EQUIPAMENTOS AUXILIARES.</v>
      </c>
      <c r="C507" s="39" t="str">
        <f t="shared" si="17"/>
        <v>QUADRO DE EMERGÊNCIA 01 - QUADRO DE FORÇA COMPLETO COM DISJUNTOR DE ENTRADA DE 2000A, 4 COLUNAS, DISJUNTORES DE DISTRIBUIÇÃO, MEDIDOR DE ENERGIA E DEMAIS EQUIPA</v>
      </c>
      <c r="E507" s="42" t="s">
        <v>194</v>
      </c>
      <c r="F507" s="43" t="s">
        <v>197</v>
      </c>
      <c r="G507" s="44" t="s">
        <v>199</v>
      </c>
      <c r="H507" s="41" t="s">
        <v>201</v>
      </c>
      <c r="I507" s="43" t="s">
        <v>596</v>
      </c>
      <c r="J507" s="40" t="s">
        <v>597</v>
      </c>
      <c r="K507" s="60">
        <v>45422</v>
      </c>
      <c r="O507" s="82">
        <v>45565</v>
      </c>
      <c r="Q507" s="96"/>
    </row>
    <row r="508" spans="1:18" ht="60" x14ac:dyDescent="0.35">
      <c r="A508" s="48" t="s">
        <v>563</v>
      </c>
      <c r="B508" s="39" t="str" cm="1">
        <f t="array" ref="B508">IF(A508&lt;&gt;"",_xlfn.XLOOKUP(_xlfn.NUMBERVALUE(A508),_xlfn.NUMBERVALUE(Carga[Tombamento]),Carga[Descrição do Bem]),"")</f>
        <v>ESTAÇÃO DE TRATAMENTO DE ÁGUA - VALPARAISO/GO BANCO DE CAPACITORES 4Q2 - QUADRO DE EMERGÊNCIA 02 - QUADRO DE FORÇA COMPLETO COM DISJUNTOR DE ENTRADA, 2 COLUNAS, DISJUNTORES DE DISTRIBUIÇÃO, MEDIDOR DE ENERGIA E DEMAIS EQUIPAMENTOS AUXILIARES.</v>
      </c>
      <c r="C508" s="39" t="str">
        <f t="shared" si="17"/>
        <v>BANCO DE CAPACITORES 4Q2 - QUADRO DE EMERGÊNCIA 02 - QUADRO DE FORÇA COMPLETO COM DISJUNTOR DE ENTRADA, 2 COLUNAS, DISJUNTORES DE DISTRIBUIÇÃO, MEDIDOR DE ENERG</v>
      </c>
      <c r="E508" s="42" t="s">
        <v>194</v>
      </c>
      <c r="F508" s="43" t="s">
        <v>197</v>
      </c>
      <c r="G508" s="44" t="s">
        <v>199</v>
      </c>
      <c r="H508" s="41" t="s">
        <v>201</v>
      </c>
      <c r="I508" s="43" t="s">
        <v>596</v>
      </c>
      <c r="J508" s="40" t="s">
        <v>597</v>
      </c>
      <c r="K508" s="60">
        <v>45422</v>
      </c>
      <c r="O508" s="82">
        <v>45565</v>
      </c>
      <c r="Q508" s="96"/>
    </row>
    <row r="509" spans="1:18" ht="60" x14ac:dyDescent="0.35">
      <c r="A509" s="48" t="s">
        <v>565</v>
      </c>
      <c r="B509" s="39" t="str" cm="1">
        <f t="array" ref="B509">IF(A509&lt;&gt;"",_xlfn.XLOOKUP(_xlfn.NUMBERVALUE(A509),_xlfn.NUMBERVALUE(Carga[Tombamento]),Carga[Descrição do Bem]),"")</f>
        <v>ESTAÇÃO DE TRATAMENTO DE ÁGUA - VALPARAISO/GO QUADRO DE DISTRIBUIÇÃO GERAL 02 - QUADRO DE FORÇA COMPLETO COM DISJUNTOR DE ENTRADA DE 2000A, 3 COLUNAS, DISJUNTORES DE DISTRIBUIÇÃO, MEDIDOR DE ENERGIA E DEMAIS EQUIPAMENTOS AUXILIARES.</v>
      </c>
      <c r="C509" s="39" t="str">
        <f t="shared" si="17"/>
        <v>QUADRO DE DISTRIBUIÇÃO GERAL 02 - QUADRO DE FORÇA COMPLETO COM DISJUNTOR DE ENTRADA DE 2000A, 3 COLUNAS, DISJUNTORES DE DISTRIBUIÇÃO, MEDIDOR DE ENERGIA E DEMAI</v>
      </c>
      <c r="E509" s="42" t="s">
        <v>194</v>
      </c>
      <c r="F509" s="43" t="s">
        <v>197</v>
      </c>
      <c r="G509" s="44" t="s">
        <v>199</v>
      </c>
      <c r="H509" s="41" t="s">
        <v>201</v>
      </c>
      <c r="I509" s="43" t="s">
        <v>596</v>
      </c>
      <c r="J509" s="40" t="s">
        <v>597</v>
      </c>
      <c r="K509" s="60">
        <v>45422</v>
      </c>
      <c r="O509" s="82">
        <v>45565</v>
      </c>
      <c r="Q509" s="96"/>
    </row>
    <row r="510" spans="1:18" ht="41.25" x14ac:dyDescent="0.35">
      <c r="A510" s="48" t="s">
        <v>567</v>
      </c>
      <c r="B510" s="39" t="str" cm="1">
        <f t="array" ref="B510">IF(A510&lt;&gt;"",_xlfn.XLOOKUP(_xlfn.NUMBERVALUE(A510),_xlfn.NUMBERVALUE(Carga[Tombamento]),Carga[Descrição do Bem]),"")</f>
        <v>ESTAÇÃO DE TRATAMENTO DE ÁGUA - VALPARAISO/GO COMPORTA QUADRADA DE FERRO FUNDIDO DÚCTIL COM SENTIDO DUPLO DE FLUXO (DIÂMETRO DA SEÇÃO: 1000 MM)</v>
      </c>
      <c r="C510" s="39" t="str">
        <f t="shared" ref="C510:C526" si="18">MID(B510,47,160)</f>
        <v>COMPORTA QUADRADA DE FERRO FUNDIDO DÚCTIL COM SENTIDO DUPLO DE FLUXO (DIÂMETRO DA SEÇÃO: 1000 MM)</v>
      </c>
      <c r="E510" s="42" t="s">
        <v>194</v>
      </c>
      <c r="F510" s="43" t="s">
        <v>197</v>
      </c>
      <c r="G510" s="44" t="s">
        <v>199</v>
      </c>
      <c r="H510" s="41" t="s">
        <v>201</v>
      </c>
      <c r="I510" s="43" t="s">
        <v>54</v>
      </c>
      <c r="J510" s="40" t="s">
        <v>221</v>
      </c>
      <c r="K510" s="60">
        <v>45422</v>
      </c>
      <c r="O510" s="82">
        <v>45558</v>
      </c>
      <c r="Q510" s="96"/>
    </row>
    <row r="511" spans="1:18" ht="41.25" x14ac:dyDescent="0.35">
      <c r="A511" s="48" t="s">
        <v>569</v>
      </c>
      <c r="B511" s="39" t="str" cm="1">
        <f t="array" ref="B511">IF(A511&lt;&gt;"",_xlfn.XLOOKUP(_xlfn.NUMBERVALUE(A511),_xlfn.NUMBERVALUE(Carga[Tombamento]),Carga[Descrição do Bem]),"")</f>
        <v>ESTAÇÃO DE TRATAMENTO DE ÁGUA - VALPARAISO/GO COMPORTA QUADRADA DE FERRO FUNDIDO DÚCTIL COM SENTIDO DUPLO DE FLUXO (DIÂMETRO DA SEÇÃO: 1000 MM)</v>
      </c>
      <c r="C511" s="39" t="str">
        <f t="shared" si="18"/>
        <v>COMPORTA QUADRADA DE FERRO FUNDIDO DÚCTIL COM SENTIDO DUPLO DE FLUXO (DIÂMETRO DA SEÇÃO: 1000 MM)</v>
      </c>
      <c r="E511" s="42" t="s">
        <v>194</v>
      </c>
      <c r="F511" s="43" t="s">
        <v>197</v>
      </c>
      <c r="G511" s="44" t="s">
        <v>199</v>
      </c>
      <c r="H511" s="41" t="s">
        <v>201</v>
      </c>
      <c r="I511" s="43" t="s">
        <v>54</v>
      </c>
      <c r="J511" s="40" t="s">
        <v>221</v>
      </c>
      <c r="K511" s="60">
        <v>45422</v>
      </c>
      <c r="O511" s="82">
        <v>45558</v>
      </c>
      <c r="Q511" s="96"/>
    </row>
    <row r="512" spans="1:18" ht="41.25" x14ac:dyDescent="0.35">
      <c r="A512" s="48" t="s">
        <v>570</v>
      </c>
      <c r="B512" s="39" t="str" cm="1">
        <f t="array" ref="B512">IF(A512&lt;&gt;"",_xlfn.XLOOKUP(_xlfn.NUMBERVALUE(A512),_xlfn.NUMBERVALUE(Carga[Tombamento]),Carga[Descrição do Bem]),"")</f>
        <v>ESTAÇÃO DE TRATAMENTO DE ÁGUA - VALPARAISO/GO COMPORTA QUADRADA DE FERRO FUNDIDO DÚCTIL COM SENTIDO DUPLO DE FLUXO (DIÂMETRO DA SEÇÃO: 1000 MM)</v>
      </c>
      <c r="C512" s="39" t="str">
        <f t="shared" si="18"/>
        <v>COMPORTA QUADRADA DE FERRO FUNDIDO DÚCTIL COM SENTIDO DUPLO DE FLUXO (DIÂMETRO DA SEÇÃO: 1000 MM)</v>
      </c>
      <c r="E512" s="42" t="s">
        <v>194</v>
      </c>
      <c r="F512" s="43" t="s">
        <v>197</v>
      </c>
      <c r="G512" s="44" t="s">
        <v>199</v>
      </c>
      <c r="H512" s="41" t="s">
        <v>201</v>
      </c>
      <c r="I512" s="43" t="s">
        <v>54</v>
      </c>
      <c r="J512" s="40" t="s">
        <v>220</v>
      </c>
      <c r="K512" s="60">
        <v>45422</v>
      </c>
      <c r="O512" s="82">
        <v>45558</v>
      </c>
      <c r="Q512" s="96"/>
    </row>
    <row r="513" spans="1:17" ht="41.25" x14ac:dyDescent="0.35">
      <c r="A513" s="48" t="s">
        <v>571</v>
      </c>
      <c r="B513" s="39" t="str" cm="1">
        <f t="array" ref="B513">IF(A513&lt;&gt;"",_xlfn.XLOOKUP(_xlfn.NUMBERVALUE(A513),_xlfn.NUMBERVALUE(Carga[Tombamento]),Carga[Descrição do Bem]),"")</f>
        <v>ESTAÇÃO DE TRATAMENTO DE ÁGUA - VALPARAISO/GO COMPORTA QUADRADA DE FERRO FUNDIDO DÚCTIL COM SENTIDO DUPLO DE FLUXO (DIÂMETRO DA SEÇÃO: 1000 MM)</v>
      </c>
      <c r="C513" s="39" t="str">
        <f t="shared" si="18"/>
        <v>COMPORTA QUADRADA DE FERRO FUNDIDO DÚCTIL COM SENTIDO DUPLO DE FLUXO (DIÂMETRO DA SEÇÃO: 1000 MM)</v>
      </c>
      <c r="E513" s="42" t="s">
        <v>194</v>
      </c>
      <c r="F513" s="43" t="s">
        <v>197</v>
      </c>
      <c r="G513" s="44" t="s">
        <v>199</v>
      </c>
      <c r="H513" s="41" t="s">
        <v>201</v>
      </c>
      <c r="I513" s="43" t="s">
        <v>54</v>
      </c>
      <c r="J513" s="40" t="s">
        <v>220</v>
      </c>
      <c r="K513" s="60">
        <v>45422</v>
      </c>
      <c r="O513" s="82">
        <v>45558</v>
      </c>
      <c r="Q513" s="96"/>
    </row>
    <row r="514" spans="1:17" ht="41.25" x14ac:dyDescent="0.35">
      <c r="A514" s="48" t="s">
        <v>572</v>
      </c>
      <c r="B514" s="39" t="str" cm="1">
        <f t="array" ref="B514">IF(A514&lt;&gt;"",_xlfn.XLOOKUP(_xlfn.NUMBERVALUE(A514),_xlfn.NUMBERVALUE(Carga[Tombamento]),Carga[Descrição do Bem]),"")</f>
        <v>ESTAÇÃO DE TRATAMENTO DE ÁGUA - VALPARAISO/GO COMPORTA QUADRADA DE FERRO FUNDIDO DÚCTIL COM SENTIDO DUPLO DE FLUXO (DIÂMETRO DA SEÇÃO: 1000 MM)</v>
      </c>
      <c r="C514" s="39" t="str">
        <f t="shared" si="18"/>
        <v>COMPORTA QUADRADA DE FERRO FUNDIDO DÚCTIL COM SENTIDO DUPLO DE FLUXO (DIÂMETRO DA SEÇÃO: 1000 MM)</v>
      </c>
      <c r="E514" s="42" t="s">
        <v>194</v>
      </c>
      <c r="F514" s="43" t="s">
        <v>197</v>
      </c>
      <c r="G514" s="44" t="s">
        <v>199</v>
      </c>
      <c r="H514" s="41" t="s">
        <v>201</v>
      </c>
      <c r="I514" s="43" t="s">
        <v>54</v>
      </c>
      <c r="J514" s="40" t="s">
        <v>219</v>
      </c>
      <c r="K514" s="60">
        <v>45422</v>
      </c>
      <c r="O514" s="82">
        <v>45558</v>
      </c>
      <c r="Q514" s="96"/>
    </row>
    <row r="515" spans="1:17" ht="41.25" x14ac:dyDescent="0.35">
      <c r="A515" s="48" t="s">
        <v>573</v>
      </c>
      <c r="B515" s="39" t="str" cm="1">
        <f t="array" ref="B515">IF(A515&lt;&gt;"",_xlfn.XLOOKUP(_xlfn.NUMBERVALUE(A515),_xlfn.NUMBERVALUE(Carga[Tombamento]),Carga[Descrição do Bem]),"")</f>
        <v>ESTAÇÃO DE TRATAMENTO DE ÁGUA - VALPARAISO/GO COMPORTA QUADRADA DE FERRO FUNDIDO DÚCTIL COM SENTIDO DUPLO DE FLUXO (DIÂMETRO DA SEÇÃO: 1000 MM)</v>
      </c>
      <c r="C515" s="39" t="str">
        <f t="shared" si="18"/>
        <v>COMPORTA QUADRADA DE FERRO FUNDIDO DÚCTIL COM SENTIDO DUPLO DE FLUXO (DIÂMETRO DA SEÇÃO: 1000 MM)</v>
      </c>
      <c r="E515" s="42" t="s">
        <v>194</v>
      </c>
      <c r="F515" s="43" t="s">
        <v>197</v>
      </c>
      <c r="G515" s="44" t="s">
        <v>199</v>
      </c>
      <c r="H515" s="41" t="s">
        <v>201</v>
      </c>
      <c r="I515" s="43" t="s">
        <v>54</v>
      </c>
      <c r="J515" s="40" t="s">
        <v>219</v>
      </c>
      <c r="K515" s="60">
        <v>45422</v>
      </c>
      <c r="O515" s="82">
        <v>45558</v>
      </c>
      <c r="Q515" s="96"/>
    </row>
    <row r="516" spans="1:17" ht="41.25" x14ac:dyDescent="0.35">
      <c r="A516" s="48" t="s">
        <v>574</v>
      </c>
      <c r="B516" s="39" t="str" cm="1">
        <f t="array" ref="B516">IF(A516&lt;&gt;"",_xlfn.XLOOKUP(_xlfn.NUMBERVALUE(A516),_xlfn.NUMBERVALUE(Carga[Tombamento]),Carga[Descrição do Bem]),"")</f>
        <v>ESTAÇÃO DE TRATAMENTO DE ÁGUA - VALPARAISO/GO COMPORTA QUADRADA DE FERRO FUNDIDO DÚCTIL COM SENTIDO DUPLO DE FLUXO (DIÂMETRO DA SEÇÃO: 1000 MM)</v>
      </c>
      <c r="C516" s="39" t="str">
        <f t="shared" si="18"/>
        <v>COMPORTA QUADRADA DE FERRO FUNDIDO DÚCTIL COM SENTIDO DUPLO DE FLUXO (DIÂMETRO DA SEÇÃO: 1000 MM)</v>
      </c>
      <c r="E516" s="42" t="s">
        <v>194</v>
      </c>
      <c r="F516" s="43" t="s">
        <v>197</v>
      </c>
      <c r="G516" s="44" t="s">
        <v>199</v>
      </c>
      <c r="H516" s="41" t="s">
        <v>201</v>
      </c>
      <c r="I516" s="43" t="s">
        <v>54</v>
      </c>
      <c r="J516" s="40" t="s">
        <v>218</v>
      </c>
      <c r="K516" s="60">
        <v>45422</v>
      </c>
      <c r="O516" s="82">
        <v>45558</v>
      </c>
      <c r="Q516" s="96"/>
    </row>
    <row r="517" spans="1:17" ht="41.25" x14ac:dyDescent="0.35">
      <c r="A517" s="48" t="s">
        <v>575</v>
      </c>
      <c r="B517" s="39" t="str" cm="1">
        <f t="array" ref="B517">IF(A517&lt;&gt;"",_xlfn.XLOOKUP(_xlfn.NUMBERVALUE(A517),_xlfn.NUMBERVALUE(Carga[Tombamento]),Carga[Descrição do Bem]),"")</f>
        <v>ESTAÇÃO DE TRATAMENTO DE ÁGUA - VALPARAISO/GO COMPORTA QUADRADA DE FERRO FUNDIDO DÚCTIL COM SENTIDO DUPLO DE FLUXO (DIÂMETRO DA SEÇÃO: 1000 MM)</v>
      </c>
      <c r="C517" s="39" t="str">
        <f t="shared" si="18"/>
        <v>COMPORTA QUADRADA DE FERRO FUNDIDO DÚCTIL COM SENTIDO DUPLO DE FLUXO (DIÂMETRO DA SEÇÃO: 1000 MM)</v>
      </c>
      <c r="E517" s="42" t="s">
        <v>194</v>
      </c>
      <c r="F517" s="43" t="s">
        <v>197</v>
      </c>
      <c r="G517" s="44" t="s">
        <v>199</v>
      </c>
      <c r="H517" s="41" t="s">
        <v>201</v>
      </c>
      <c r="I517" s="43" t="s">
        <v>54</v>
      </c>
      <c r="J517" s="40" t="s">
        <v>218</v>
      </c>
      <c r="K517" s="60">
        <v>45422</v>
      </c>
      <c r="O517" s="82">
        <v>45558</v>
      </c>
      <c r="Q517" s="96"/>
    </row>
    <row r="518" spans="1:17" ht="41.25" x14ac:dyDescent="0.35">
      <c r="A518" s="48" t="s">
        <v>576</v>
      </c>
      <c r="B518" s="39" t="str" cm="1">
        <f t="array" ref="B518">IF(A518&lt;&gt;"",_xlfn.XLOOKUP(_xlfn.NUMBERVALUE(A518),_xlfn.NUMBERVALUE(Carga[Tombamento]),Carga[Descrição do Bem]),"")</f>
        <v>ESTAÇÃO DE TRATAMENTO DE ÁGUA - VALPARAISO/GO COMPORTA QUADRADA DE FERRO FUNDIDO DÚCTIL COM SENTIDO DUPLO DE FLUXO (DIÂMETRO DA SEÇÃO: 900 MM)</v>
      </c>
      <c r="C518" s="39" t="str">
        <f t="shared" si="18"/>
        <v>COMPORTA QUADRADA DE FERRO FUNDIDO DÚCTIL COM SENTIDO DUPLO DE FLUXO (DIÂMETRO DA SEÇÃO: 900 MM)</v>
      </c>
      <c r="E518" s="42" t="s">
        <v>194</v>
      </c>
      <c r="F518" s="43" t="s">
        <v>197</v>
      </c>
      <c r="G518" s="44" t="s">
        <v>199</v>
      </c>
      <c r="H518" s="41" t="s">
        <v>201</v>
      </c>
      <c r="I518" s="43" t="s">
        <v>52</v>
      </c>
      <c r="J518" s="40" t="s">
        <v>262</v>
      </c>
      <c r="K518" s="60">
        <v>45422</v>
      </c>
      <c r="O518" s="82">
        <v>45558</v>
      </c>
      <c r="Q518" s="96"/>
    </row>
    <row r="519" spans="1:17" ht="41.25" x14ac:dyDescent="0.35">
      <c r="A519" s="48" t="s">
        <v>578</v>
      </c>
      <c r="B519" s="39" t="str" cm="1">
        <f t="array" ref="B519">IF(A519&lt;&gt;"",_xlfn.XLOOKUP(_xlfn.NUMBERVALUE(A519),_xlfn.NUMBERVALUE(Carga[Tombamento]),Carga[Descrição do Bem]),"")</f>
        <v>ESTAÇÃO DE TRATAMENTO DE ÁGUA - VALPARAISO/GO COMPORTA QUADRADA DE FERRO FUNDIDO DÚCTIL COM SENTIDO DUPLO DE FLUXO (DIÂMETRO DA SEÇÃO: 900 MM)</v>
      </c>
      <c r="C519" s="39" t="str">
        <f t="shared" si="18"/>
        <v>COMPORTA QUADRADA DE FERRO FUNDIDO DÚCTIL COM SENTIDO DUPLO DE FLUXO (DIÂMETRO DA SEÇÃO: 900 MM)</v>
      </c>
      <c r="E519" s="42" t="s">
        <v>194</v>
      </c>
      <c r="F519" s="43" t="s">
        <v>197</v>
      </c>
      <c r="G519" s="44" t="s">
        <v>199</v>
      </c>
      <c r="H519" s="41" t="s">
        <v>201</v>
      </c>
      <c r="I519" s="43" t="s">
        <v>52</v>
      </c>
      <c r="J519" s="40" t="s">
        <v>262</v>
      </c>
      <c r="K519" s="60">
        <v>45422</v>
      </c>
      <c r="O519" s="82">
        <v>45558</v>
      </c>
      <c r="Q519" s="96"/>
    </row>
    <row r="520" spans="1:17" ht="41.25" x14ac:dyDescent="0.35">
      <c r="A520" s="48" t="s">
        <v>579</v>
      </c>
      <c r="B520" s="39" t="str" cm="1">
        <f t="array" ref="B520">IF(A520&lt;&gt;"",_xlfn.XLOOKUP(_xlfn.NUMBERVALUE(A520),_xlfn.NUMBERVALUE(Carga[Tombamento]),Carga[Descrição do Bem]),"")</f>
        <v>ESTAÇÃO DE TRATAMENTO DE ÁGUA - VALPARAISO/GO COMPORTA QUADRADA DE FERRO FUNDIDO DÚCTIL COM SENTIDO DUPLO DE FLUXO (DIÂMETRO DA SEÇÃO: 900 MM)</v>
      </c>
      <c r="C520" s="39" t="str">
        <f t="shared" si="18"/>
        <v>COMPORTA QUADRADA DE FERRO FUNDIDO DÚCTIL COM SENTIDO DUPLO DE FLUXO (DIÂMETRO DA SEÇÃO: 900 MM)</v>
      </c>
      <c r="E520" s="42" t="s">
        <v>194</v>
      </c>
      <c r="F520" s="43" t="s">
        <v>197</v>
      </c>
      <c r="G520" s="44" t="s">
        <v>199</v>
      </c>
      <c r="H520" s="41" t="s">
        <v>201</v>
      </c>
      <c r="I520" s="43" t="s">
        <v>52</v>
      </c>
      <c r="J520" s="40" t="s">
        <v>228</v>
      </c>
      <c r="K520" s="60">
        <v>45422</v>
      </c>
      <c r="O520" s="82">
        <v>45558</v>
      </c>
      <c r="Q520" s="96"/>
    </row>
    <row r="521" spans="1:17" ht="41.25" x14ac:dyDescent="0.35">
      <c r="A521" s="48" t="s">
        <v>580</v>
      </c>
      <c r="B521" s="39" t="str" cm="1">
        <f t="array" ref="B521">IF(A521&lt;&gt;"",_xlfn.XLOOKUP(_xlfn.NUMBERVALUE(A521),_xlfn.NUMBERVALUE(Carga[Tombamento]),Carga[Descrição do Bem]),"")</f>
        <v>ESTAÇÃO DE TRATAMENTO DE ÁGUA - VALPARAISO/GO COMPORTA QUADRADA DE FERRO FUNDIDO DÚCTIL COM SENTIDO DUPLO DE FLUXO (DIÂMETRO DA SEÇÃO: 900 MM)</v>
      </c>
      <c r="C521" s="39" t="str">
        <f t="shared" si="18"/>
        <v>COMPORTA QUADRADA DE FERRO FUNDIDO DÚCTIL COM SENTIDO DUPLO DE FLUXO (DIÂMETRO DA SEÇÃO: 900 MM)</v>
      </c>
      <c r="E521" s="42" t="s">
        <v>194</v>
      </c>
      <c r="F521" s="43" t="s">
        <v>197</v>
      </c>
      <c r="G521" s="44" t="s">
        <v>199</v>
      </c>
      <c r="H521" s="41" t="s">
        <v>201</v>
      </c>
      <c r="I521" s="43" t="s">
        <v>52</v>
      </c>
      <c r="J521" s="40" t="s">
        <v>228</v>
      </c>
      <c r="K521" s="60">
        <v>45422</v>
      </c>
      <c r="O521" s="82">
        <v>45558</v>
      </c>
      <c r="Q521" s="96"/>
    </row>
    <row r="522" spans="1:17" ht="41.25" x14ac:dyDescent="0.35">
      <c r="A522" s="48" t="s">
        <v>581</v>
      </c>
      <c r="B522" s="39" t="str" cm="1">
        <f t="array" ref="B522">IF(A522&lt;&gt;"",_xlfn.XLOOKUP(_xlfn.NUMBERVALUE(A522),_xlfn.NUMBERVALUE(Carga[Tombamento]),Carga[Descrição do Bem]),"")</f>
        <v>ESTAÇÃO DE TRATAMENTO DE ÁGUA - VALPARAISO/GO COMPORTA QUADRADA DE FERRO FUNDIDO DÚCTIL COM SENTIDO DUPLO DE FLUXO (DIÂMETRO DA SEÇÃO: 700 MM)</v>
      </c>
      <c r="C522" s="39" t="str">
        <f t="shared" si="18"/>
        <v>COMPORTA QUADRADA DE FERRO FUNDIDO DÚCTIL COM SENTIDO DUPLO DE FLUXO (DIÂMETRO DA SEÇÃO: 700 MM)</v>
      </c>
      <c r="E522" s="42" t="s">
        <v>194</v>
      </c>
      <c r="F522" s="43" t="s">
        <v>197</v>
      </c>
      <c r="G522" s="44" t="s">
        <v>199</v>
      </c>
      <c r="H522" s="41" t="s">
        <v>201</v>
      </c>
      <c r="I522" s="43" t="s">
        <v>52</v>
      </c>
      <c r="J522" s="40" t="s">
        <v>227</v>
      </c>
      <c r="K522" s="60">
        <v>45422</v>
      </c>
      <c r="O522" s="82">
        <v>45558</v>
      </c>
      <c r="Q522" s="96"/>
    </row>
    <row r="523" spans="1:17" ht="41.25" x14ac:dyDescent="0.35">
      <c r="A523" s="48" t="s">
        <v>583</v>
      </c>
      <c r="B523" s="39" t="str" cm="1">
        <f t="array" ref="B523">IF(A523&lt;&gt;"",_xlfn.XLOOKUP(_xlfn.NUMBERVALUE(A523),_xlfn.NUMBERVALUE(Carga[Tombamento]),Carga[Descrição do Bem]),"")</f>
        <v>ESTAÇÃO DE TRATAMENTO DE ÁGUA - VALPARAISO/GO COMPORTA QUADRADA DE FERRO FUNDIDO DÚCTIL COM SENTIDO DUPLO DE FLUXO (DIÂMETRO DA SEÇÃO: 700 MM)</v>
      </c>
      <c r="C523" s="39" t="str">
        <f t="shared" si="18"/>
        <v>COMPORTA QUADRADA DE FERRO FUNDIDO DÚCTIL COM SENTIDO DUPLO DE FLUXO (DIÂMETRO DA SEÇÃO: 700 MM)</v>
      </c>
      <c r="E523" s="42" t="s">
        <v>194</v>
      </c>
      <c r="F523" s="43" t="s">
        <v>197</v>
      </c>
      <c r="G523" s="44" t="s">
        <v>199</v>
      </c>
      <c r="H523" s="41" t="s">
        <v>201</v>
      </c>
      <c r="I523" s="43" t="s">
        <v>52</v>
      </c>
      <c r="J523" s="40" t="s">
        <v>227</v>
      </c>
      <c r="K523" s="60">
        <v>45422</v>
      </c>
      <c r="O523" s="82">
        <v>45558</v>
      </c>
      <c r="Q523" s="96"/>
    </row>
    <row r="524" spans="1:17" ht="41.25" x14ac:dyDescent="0.35">
      <c r="A524" s="48" t="s">
        <v>584</v>
      </c>
      <c r="B524" s="39" t="str" cm="1">
        <f t="array" ref="B524">IF(A524&lt;&gt;"",_xlfn.XLOOKUP(_xlfn.NUMBERVALUE(A524),_xlfn.NUMBERVALUE(Carga[Tombamento]),Carga[Descrição do Bem]),"")</f>
        <v>ESTAÇÃO DE TRATAMENTO DE ÁGUA - VALPARAISO/GO COMPORTA QUADRADA DE FERRO FUNDIDO DÚCTIL COM SENTIDO DUPLO DE FLUXO (DIÂMETRO DA SEÇÃO: 700 MM)</v>
      </c>
      <c r="C524" s="39" t="str">
        <f t="shared" si="18"/>
        <v>COMPORTA QUADRADA DE FERRO FUNDIDO DÚCTIL COM SENTIDO DUPLO DE FLUXO (DIÂMETRO DA SEÇÃO: 700 MM)</v>
      </c>
      <c r="E524" s="42" t="s">
        <v>194</v>
      </c>
      <c r="F524" s="43" t="s">
        <v>197</v>
      </c>
      <c r="G524" s="44" t="s">
        <v>199</v>
      </c>
      <c r="H524" s="41" t="s">
        <v>201</v>
      </c>
      <c r="I524" s="43" t="s">
        <v>52</v>
      </c>
      <c r="J524" s="40" t="s">
        <v>226</v>
      </c>
      <c r="K524" s="60">
        <v>45422</v>
      </c>
      <c r="O524" s="82">
        <v>45558</v>
      </c>
      <c r="Q524" s="96"/>
    </row>
    <row r="525" spans="1:17" ht="41.25" x14ac:dyDescent="0.35">
      <c r="A525" s="48" t="s">
        <v>585</v>
      </c>
      <c r="B525" s="39" t="str" cm="1">
        <f t="array" ref="B525">IF(A525&lt;&gt;"",_xlfn.XLOOKUP(_xlfn.NUMBERVALUE(A525),_xlfn.NUMBERVALUE(Carga[Tombamento]),Carga[Descrição do Bem]),"")</f>
        <v>ESTAÇÃO DE TRATAMENTO DE ÁGUA - VALPARAISO/GO COMPORTA QUADRADA DE FERRO FUNDIDO DÚCTIL COM SENTIDO DUPLO DE FLUXO (DIÂMETRO DA SEÇÃO: 700 MM)</v>
      </c>
      <c r="C525" s="39" t="str">
        <f t="shared" si="18"/>
        <v>COMPORTA QUADRADA DE FERRO FUNDIDO DÚCTIL COM SENTIDO DUPLO DE FLUXO (DIÂMETRO DA SEÇÃO: 700 MM)</v>
      </c>
      <c r="E525" s="42" t="s">
        <v>194</v>
      </c>
      <c r="F525" s="43" t="s">
        <v>197</v>
      </c>
      <c r="G525" s="44" t="s">
        <v>199</v>
      </c>
      <c r="H525" s="41" t="s">
        <v>201</v>
      </c>
      <c r="I525" s="43" t="s">
        <v>52</v>
      </c>
      <c r="J525" s="40" t="s">
        <v>226</v>
      </c>
      <c r="K525" s="60">
        <v>45422</v>
      </c>
      <c r="O525" s="82">
        <v>45558</v>
      </c>
      <c r="Q525" s="96"/>
    </row>
    <row r="526" spans="1:17" ht="32.25" x14ac:dyDescent="0.35">
      <c r="A526" s="48" t="s">
        <v>586</v>
      </c>
      <c r="B526" s="39" t="str" cm="1">
        <f t="array" ref="B526">IF(A526&lt;&gt;"",_xlfn.XLOOKUP(_xlfn.NUMBERVALUE(A526),_xlfn.NUMBERVALUE(Carga[Tombamento]),Carga[Descrição do Bem]),"")</f>
        <v>ESTAÇÃO DE TRATAMENTO DE ÁGUA - VALPARAISO/GO SWITCH COM 24 PORTAS, CONFORME ESPECIFICAÇÕES.</v>
      </c>
      <c r="C526" s="39" t="str">
        <f t="shared" si="18"/>
        <v>SWITCH COM 24 PORTAS, CONFORME ESPECIFICAÇÕES.</v>
      </c>
      <c r="E526" s="42" t="s">
        <v>194</v>
      </c>
      <c r="F526" s="43" t="s">
        <v>197</v>
      </c>
      <c r="G526" s="44" t="s">
        <v>199</v>
      </c>
      <c r="H526" s="41" t="s">
        <v>201</v>
      </c>
      <c r="I526" s="43" t="s">
        <v>596</v>
      </c>
      <c r="J526" s="40" t="s">
        <v>78</v>
      </c>
      <c r="K526" s="60">
        <v>45422</v>
      </c>
      <c r="M526" s="60">
        <v>45712</v>
      </c>
      <c r="O526" s="82">
        <v>45558</v>
      </c>
      <c r="Q526" s="96"/>
    </row>
    <row r="527" spans="1:17" ht="32.25" x14ac:dyDescent="0.35">
      <c r="A527" s="48" t="s">
        <v>588</v>
      </c>
      <c r="B527" s="39" t="str" cm="1">
        <f t="array" ref="B527">IF(A527&lt;&gt;"",_xlfn.XLOOKUP(_xlfn.NUMBERVALUE(A527),_xlfn.NUMBERVALUE(Carga[Tombamento]),Carga[Descrição do Bem]),"")</f>
        <v>ESTAÇÃO DE RECALQUE - ÁGUA - DF QEM - QD EMERGÊNCIA - QUADRO DE DISTRIBUIÇÃO DE ENERGIA DO GERADOR DE FORÇA EM B.T</v>
      </c>
      <c r="C527" s="39" t="str">
        <f>MID(B527,55,160)</f>
        <v>QUADRO DE DISTRIBUIÇÃO DE ENERGIA DO GERADOR DE FORÇA EM B.T</v>
      </c>
      <c r="E527" s="42" t="s">
        <v>193</v>
      </c>
      <c r="F527" s="43" t="s">
        <v>197</v>
      </c>
      <c r="G527" s="44" t="s">
        <v>199</v>
      </c>
      <c r="H527" s="41" t="s">
        <v>201</v>
      </c>
      <c r="I527" s="43" t="s">
        <v>74</v>
      </c>
      <c r="J527" s="40" t="s">
        <v>63</v>
      </c>
      <c r="K527" s="60">
        <v>45421</v>
      </c>
      <c r="O527" s="82">
        <v>45565</v>
      </c>
      <c r="Q527" s="96"/>
    </row>
    <row r="528" spans="1:17" ht="32.25" x14ac:dyDescent="0.35">
      <c r="A528" s="48" t="s">
        <v>590</v>
      </c>
      <c r="B528" s="39" t="str" cm="1">
        <f t="array" ref="B528">IF(A528&lt;&gt;"",_xlfn.XLOOKUP(_xlfn.NUMBERVALUE(A528),_xlfn.NUMBERVALUE(Carga[Tombamento]),Carga[Descrição do Bem]),"")</f>
        <v>ESTAÇÃO DE RECALQUE - ÁGUA - DF QES - QFL- EMERGÊNCIA - QUADRO DE FORÇA, LUZ E DISTRIBUIÇÃO DO NO-BREAK</v>
      </c>
      <c r="C528" s="39" t="str">
        <f>MID(B528,57,160)</f>
        <v>QUADRO DE FORÇA, LUZ E DISTRIBUIÇÃO DO NO-BREAK</v>
      </c>
      <c r="E528" s="42" t="s">
        <v>194</v>
      </c>
      <c r="F528" s="43" t="s">
        <v>197</v>
      </c>
      <c r="G528" s="44" t="s">
        <v>199</v>
      </c>
      <c r="H528" s="41" t="s">
        <v>201</v>
      </c>
      <c r="I528" s="43" t="s">
        <v>74</v>
      </c>
      <c r="J528" s="40" t="s">
        <v>63</v>
      </c>
      <c r="K528" s="60">
        <v>45421</v>
      </c>
      <c r="O528" s="82">
        <v>45565</v>
      </c>
      <c r="Q528" s="96"/>
    </row>
    <row r="529" spans="1:17" ht="32.25" x14ac:dyDescent="0.35">
      <c r="A529" s="48" t="s">
        <v>592</v>
      </c>
      <c r="B529" s="39" t="str" cm="1">
        <f t="array" ref="B529">IF(A529&lt;&gt;"",_xlfn.XLOOKUP(_xlfn.NUMBERVALUE(A529),_xlfn.NUMBERVALUE(Carga[Tombamento]),Carga[Descrição do Bem]),"")</f>
        <v>ESTAÇÃO DE RECALQUE - ÁGUA - DF CCM-RE QF- RESERVATÓRIOS - QUADRO DE FORÇA, COMANDO E CONTROLE, INCLUINDO DISJUNTORES, MEDIDOR</v>
      </c>
      <c r="C529" s="39" t="str">
        <f>MID(B529,60,160)</f>
        <v>QUADRO DE FORÇA, COMANDO E CONTROLE, INCLUINDO DISJUNTORES, MEDIDOR</v>
      </c>
      <c r="E529" s="42" t="s">
        <v>194</v>
      </c>
      <c r="F529" s="43" t="s">
        <v>197</v>
      </c>
      <c r="G529" s="44" t="s">
        <v>199</v>
      </c>
      <c r="H529" s="41" t="s">
        <v>201</v>
      </c>
      <c r="I529" s="43" t="s">
        <v>74</v>
      </c>
      <c r="J529" s="40" t="s">
        <v>63</v>
      </c>
      <c r="K529" s="60">
        <v>45421</v>
      </c>
      <c r="O529" s="82">
        <v>45565</v>
      </c>
      <c r="Q529" s="96"/>
    </row>
    <row r="530" spans="1:17" ht="25.5" x14ac:dyDescent="0.35">
      <c r="A530" s="55" t="s">
        <v>594</v>
      </c>
      <c r="B530" s="56" t="str" cm="1">
        <f t="array" ref="B530">IF(A530&lt;&gt;"",_xlfn.XLOOKUP(_xlfn.NUMBERVALUE(A530),_xlfn.NUMBERVALUE(Carga[Tombamento]),Carga[Descrição do Bem]),"")</f>
        <v>ESTAÇÃO DE RECALQUE - ÁGUA - DF QGDFL - QFL - ELEVATÓRIA DE ÁGUA TRATADA - QUADRO DE FORÇA</v>
      </c>
      <c r="C530" s="39" t="str">
        <f>MID(B530,75,160)</f>
        <v xml:space="preserve"> QUADRO DE FORÇA</v>
      </c>
      <c r="E530" s="42" t="s">
        <v>194</v>
      </c>
      <c r="F530" s="43" t="s">
        <v>197</v>
      </c>
      <c r="G530" s="44" t="s">
        <v>199</v>
      </c>
      <c r="H530" s="41" t="s">
        <v>201</v>
      </c>
      <c r="I530" s="43" t="s">
        <v>74</v>
      </c>
      <c r="J530" s="40" t="s">
        <v>63</v>
      </c>
      <c r="K530" s="60">
        <v>45421</v>
      </c>
      <c r="O530" s="82">
        <v>45565</v>
      </c>
      <c r="Q530" s="96"/>
    </row>
    <row r="531" spans="1:17" ht="25.5" x14ac:dyDescent="0.35">
      <c r="A531" s="55" t="s">
        <v>600</v>
      </c>
      <c r="B531" s="56" t="str" cm="1">
        <f t="array" ref="B531">IF(A531&lt;&gt;"",_xlfn.XLOOKUP(_xlfn.NUMBERVALUE(A531),_xlfn.NUMBERVALUE(Carga[Tombamento]),Carga[Descrição do Bem]),"")</f>
        <v>ESTAÇÃO DE TRATAMENTO DE ESGOTOS - ÁGUAS LINDAS TURBIDÍMETRO TU5300 - HATC</v>
      </c>
      <c r="C531" s="56" t="str">
        <f>MID(B531,49,160)</f>
        <v>TURBIDÍMETRO TU5300 - HATC</v>
      </c>
      <c r="E531" s="42" t="s">
        <v>194</v>
      </c>
      <c r="F531" s="43" t="s">
        <v>197</v>
      </c>
      <c r="G531" s="44" t="s">
        <v>199</v>
      </c>
      <c r="H531" s="41" t="s">
        <v>201</v>
      </c>
      <c r="I531" s="57" t="s">
        <v>36</v>
      </c>
      <c r="J531" s="40" t="s">
        <v>981</v>
      </c>
      <c r="K531" s="60">
        <v>45422</v>
      </c>
      <c r="O531" s="82">
        <v>45560</v>
      </c>
      <c r="Q531" s="96"/>
    </row>
    <row r="532" spans="1:17" ht="25.5" x14ac:dyDescent="0.35">
      <c r="A532" s="48" t="s">
        <v>602</v>
      </c>
      <c r="B532" s="39" t="str" cm="1">
        <f t="array" ref="B532">IF(A532&lt;&gt;"",_xlfn.XLOOKUP(_xlfn.NUMBERVALUE(A532),_xlfn.NUMBERVALUE(Carga[Tombamento]),Carga[Descrição do Bem]),"")</f>
        <v>ESTAÇÃO DE TRATAMENTO DE ÁGUA - VALPARAISO/GO MEDIDOR DE TURBIDEZ TU5300SC</v>
      </c>
      <c r="C532" s="56" t="str">
        <f>MID(B532,46,160)</f>
        <v xml:space="preserve"> MEDIDOR DE TURBIDEZ TU5300SC</v>
      </c>
      <c r="E532" s="42" t="s">
        <v>194</v>
      </c>
      <c r="F532" s="43" t="s">
        <v>197</v>
      </c>
      <c r="G532" s="44" t="s">
        <v>199</v>
      </c>
      <c r="H532" s="41" t="s">
        <v>201</v>
      </c>
      <c r="I532" s="57" t="s">
        <v>36</v>
      </c>
      <c r="J532" s="40" t="s">
        <v>981</v>
      </c>
      <c r="K532" s="60">
        <v>45422</v>
      </c>
      <c r="O532" s="82">
        <v>45560</v>
      </c>
      <c r="Q532" s="96"/>
    </row>
    <row r="533" spans="1:17" ht="25.5" x14ac:dyDescent="0.35">
      <c r="A533" s="48" t="s">
        <v>604</v>
      </c>
      <c r="B533" s="39" t="str" cm="1">
        <f t="array" ref="B533">IF(A533&lt;&gt;"",_xlfn.XLOOKUP(_xlfn.NUMBERVALUE(A533),_xlfn.NUMBERVALUE(Carga[Tombamento]),Carga[Descrição do Bem]),"")</f>
        <v>ESTAÇÃO DE TRATAMENTO DE ÁGUA - VALPARAISO/GO MEDIDOR DE TURBIDEZ TU5300SC</v>
      </c>
      <c r="C533" s="56" t="str">
        <f t="shared" ref="C533:C535" si="19">MID(B533,46,160)</f>
        <v xml:space="preserve"> MEDIDOR DE TURBIDEZ TU5300SC</v>
      </c>
      <c r="E533" s="42" t="s">
        <v>194</v>
      </c>
      <c r="F533" s="43" t="s">
        <v>197</v>
      </c>
      <c r="G533" s="44" t="s">
        <v>199</v>
      </c>
      <c r="H533" s="41" t="s">
        <v>201</v>
      </c>
      <c r="I533" s="57" t="s">
        <v>36</v>
      </c>
      <c r="J533" s="40" t="s">
        <v>981</v>
      </c>
      <c r="K533" s="60">
        <v>45422</v>
      </c>
      <c r="O533" s="82">
        <v>45560</v>
      </c>
      <c r="Q533" s="96"/>
    </row>
    <row r="534" spans="1:17" ht="25.5" x14ac:dyDescent="0.35">
      <c r="A534" s="48" t="s">
        <v>605</v>
      </c>
      <c r="B534" s="39" t="str" cm="1">
        <f t="array" ref="B534">IF(A534&lt;&gt;"",_xlfn.XLOOKUP(_xlfn.NUMBERVALUE(A534),_xlfn.NUMBERVALUE(Carga[Tombamento]),Carga[Descrição do Bem]),"")</f>
        <v>ESTAÇÃO DE TRATAMENTO DE ÁGUA - VALPARAISO/GO MEDIDOR DE TURBIDEZ TU5300SC</v>
      </c>
      <c r="C534" s="56" t="str">
        <f t="shared" si="19"/>
        <v xml:space="preserve"> MEDIDOR DE TURBIDEZ TU5300SC</v>
      </c>
      <c r="E534" s="42" t="s">
        <v>194</v>
      </c>
      <c r="F534" s="43" t="s">
        <v>197</v>
      </c>
      <c r="G534" s="44" t="s">
        <v>199</v>
      </c>
      <c r="H534" s="41" t="s">
        <v>201</v>
      </c>
      <c r="I534" s="57" t="s">
        <v>36</v>
      </c>
      <c r="J534" s="40" t="s">
        <v>981</v>
      </c>
      <c r="K534" s="60">
        <v>45422</v>
      </c>
      <c r="O534" s="82">
        <v>45560</v>
      </c>
      <c r="Q534" s="96"/>
    </row>
    <row r="535" spans="1:17" ht="25.5" x14ac:dyDescent="0.35">
      <c r="A535" s="55" t="s">
        <v>606</v>
      </c>
      <c r="B535" s="56" t="str" cm="1">
        <f t="array" ref="B535">IF(A535&lt;&gt;"",_xlfn.XLOOKUP(_xlfn.NUMBERVALUE(A535),_xlfn.NUMBERVALUE(Carga[Tombamento]),Carga[Descrição do Bem]),"")</f>
        <v>ESTAÇÃO DE TRATAMENTO DE ÁGUA - VALPARAISO/GO MEDIDOR DE TURBIDEZ TU5300SC</v>
      </c>
      <c r="C535" s="56" t="str">
        <f t="shared" si="19"/>
        <v xml:space="preserve"> MEDIDOR DE TURBIDEZ TU5300SC</v>
      </c>
      <c r="E535" s="42" t="s">
        <v>194</v>
      </c>
      <c r="F535" s="43" t="s">
        <v>197</v>
      </c>
      <c r="G535" s="67" t="s">
        <v>199</v>
      </c>
      <c r="H535" s="41" t="s">
        <v>201</v>
      </c>
      <c r="I535" s="57" t="s">
        <v>36</v>
      </c>
      <c r="J535" s="40" t="s">
        <v>981</v>
      </c>
      <c r="K535" s="60">
        <v>45422</v>
      </c>
      <c r="O535" s="82">
        <v>45560</v>
      </c>
      <c r="Q535" s="96"/>
    </row>
    <row r="536" spans="1:17" ht="38.450000000000003" customHeight="1" x14ac:dyDescent="0.35">
      <c r="A536" s="48">
        <v>78327</v>
      </c>
      <c r="B536" s="39" t="str" cm="1">
        <f t="array" ref="B536">IF(A536&lt;&gt;"",_xlfn.XLOOKUP(_xlfn.NUMBERVALUE(A536),_xlfn.NUMBERVALUE(Carga[Tombamento]),Carga[Descrição do Bem]),"")</f>
        <v>AR CONDICIONADO AR CONDICIONADO INVERTER (UNIDADE CONDENSADORA/EVAPORADORA) SPRINGER MIDEA9000BTUS</v>
      </c>
      <c r="C536" s="39" t="str">
        <f>MID(B536,17,160)</f>
        <v>AR CONDICIONADO INVERTER (UNIDADE CONDENSADORA/EVAPORADORA) SPRINGER MIDEA9000BTUS</v>
      </c>
      <c r="E536" s="42" t="s">
        <v>205</v>
      </c>
      <c r="F536" s="43" t="s">
        <v>197</v>
      </c>
      <c r="G536" s="67" t="s">
        <v>199</v>
      </c>
      <c r="H536" s="41" t="s">
        <v>201</v>
      </c>
      <c r="I536" s="57" t="s">
        <v>36</v>
      </c>
      <c r="J536" s="40" t="s">
        <v>191</v>
      </c>
      <c r="K536" s="60">
        <v>45428</v>
      </c>
      <c r="O536" s="82">
        <v>45555</v>
      </c>
      <c r="Q536" s="96"/>
    </row>
    <row r="537" spans="1:17" ht="32.25" x14ac:dyDescent="0.35">
      <c r="A537" s="48">
        <v>78328</v>
      </c>
      <c r="B537" s="39" t="str" cm="1">
        <f t="array" ref="B537">IF(A537&lt;&gt;"",_xlfn.XLOOKUP(_xlfn.NUMBERVALUE(A537),_xlfn.NUMBERVALUE(Carga[Tombamento]),Carga[Descrição do Bem]),"")</f>
        <v>AR CONDICIONADO AR CONDICIONADO INVERTER (UNIDADE CONDENSADORA/EVAPORADORA) SPRINGER MIDEA9000BTUS</v>
      </c>
      <c r="C537" s="39" t="str">
        <f t="shared" ref="C537:C561" si="20">MID(B537,17,160)</f>
        <v>AR CONDICIONADO INVERTER (UNIDADE CONDENSADORA/EVAPORADORA) SPRINGER MIDEA9000BTUS</v>
      </c>
      <c r="E537" s="42" t="s">
        <v>205</v>
      </c>
      <c r="F537" s="43" t="s">
        <v>197</v>
      </c>
      <c r="G537" s="67" t="s">
        <v>199</v>
      </c>
      <c r="H537" s="41" t="s">
        <v>201</v>
      </c>
      <c r="I537" s="57" t="s">
        <v>36</v>
      </c>
      <c r="J537" s="40" t="s">
        <v>210</v>
      </c>
      <c r="K537" s="60">
        <v>45429</v>
      </c>
      <c r="O537" s="82">
        <v>45560</v>
      </c>
      <c r="Q537" s="96"/>
    </row>
    <row r="538" spans="1:17" ht="32.25" x14ac:dyDescent="0.35">
      <c r="A538" s="48">
        <v>78329</v>
      </c>
      <c r="B538" s="39" t="str" cm="1">
        <f t="array" ref="B538">IF(A538&lt;&gt;"",_xlfn.XLOOKUP(_xlfn.NUMBERVALUE(A538),_xlfn.NUMBERVALUE(Carga[Tombamento]),Carga[Descrição do Bem]),"")</f>
        <v>AR CONDICIONADO AR CONDICIONADO INVERTER (UNIDADE CONDENSADORA/EVAPORADORA) SPRINGER MIDEA9000BTUS</v>
      </c>
      <c r="C538" s="39" t="str">
        <f t="shared" si="20"/>
        <v>AR CONDICIONADO INVERTER (UNIDADE CONDENSADORA/EVAPORADORA) SPRINGER MIDEA9000BTUS</v>
      </c>
      <c r="E538" s="42" t="s">
        <v>205</v>
      </c>
      <c r="F538" s="43" t="s">
        <v>197</v>
      </c>
      <c r="G538" s="67" t="s">
        <v>199</v>
      </c>
      <c r="H538" s="41" t="s">
        <v>201</v>
      </c>
      <c r="I538" s="57" t="s">
        <v>36</v>
      </c>
      <c r="J538" s="40" t="s">
        <v>614</v>
      </c>
      <c r="K538" s="60">
        <v>45430</v>
      </c>
      <c r="O538" s="82">
        <v>45560</v>
      </c>
      <c r="Q538" s="96"/>
    </row>
    <row r="539" spans="1:17" ht="32.25" x14ac:dyDescent="0.35">
      <c r="A539" s="48">
        <v>78330</v>
      </c>
      <c r="B539" s="39" t="str" cm="1">
        <f t="array" ref="B539">IF(A539&lt;&gt;"",_xlfn.XLOOKUP(_xlfn.NUMBERVALUE(A539),_xlfn.NUMBERVALUE(Carga[Tombamento]),Carga[Descrição do Bem]),"")</f>
        <v>AR CONDICIONADO AR CONDICIONADO INVERTER (UNIDADE CONDENSADORA/EVAPORADORA) SPRINGER MIDEA18000BTUS</v>
      </c>
      <c r="C539" s="39" t="str">
        <f t="shared" si="20"/>
        <v>AR CONDICIONADO INVERTER (UNIDADE CONDENSADORA/EVAPORADORA) SPRINGER MIDEA18000BTUS</v>
      </c>
      <c r="E539" s="42" t="s">
        <v>205</v>
      </c>
      <c r="F539" s="43" t="s">
        <v>197</v>
      </c>
      <c r="G539" s="67" t="s">
        <v>199</v>
      </c>
      <c r="H539" s="41" t="s">
        <v>201</v>
      </c>
      <c r="I539" s="57" t="s">
        <v>36</v>
      </c>
      <c r="J539" s="40" t="s">
        <v>76</v>
      </c>
      <c r="K539" s="60">
        <v>45431</v>
      </c>
      <c r="M539" s="60">
        <v>45712</v>
      </c>
      <c r="O539" s="82">
        <v>45558</v>
      </c>
      <c r="Q539" s="96"/>
    </row>
    <row r="540" spans="1:17" ht="32.25" x14ac:dyDescent="0.35">
      <c r="A540" s="48">
        <v>78331</v>
      </c>
      <c r="B540" s="39" t="str" cm="1">
        <f t="array" ref="B540">IF(A540&lt;&gt;"",_xlfn.XLOOKUP(_xlfn.NUMBERVALUE(A540),_xlfn.NUMBERVALUE(Carga[Tombamento]),Carga[Descrição do Bem]),"")</f>
        <v>AR CONDICIONADO AR CONDICIONADO INVERTER (UNIDADE CONDENSADORA/EVAPORADORA) SPRINGER MIDEA18000BTUS</v>
      </c>
      <c r="C540" s="39" t="str">
        <f t="shared" si="20"/>
        <v>AR CONDICIONADO INVERTER (UNIDADE CONDENSADORA/EVAPORADORA) SPRINGER MIDEA18000BTUS</v>
      </c>
      <c r="E540" s="42" t="s">
        <v>205</v>
      </c>
      <c r="F540" s="43" t="s">
        <v>197</v>
      </c>
      <c r="G540" s="67" t="s">
        <v>199</v>
      </c>
      <c r="H540" s="41" t="s">
        <v>201</v>
      </c>
      <c r="I540" s="57" t="s">
        <v>36</v>
      </c>
      <c r="J540" s="40" t="s">
        <v>615</v>
      </c>
      <c r="K540" s="60">
        <v>45432</v>
      </c>
      <c r="O540" s="82">
        <v>45558</v>
      </c>
      <c r="Q540" s="96"/>
    </row>
    <row r="541" spans="1:17" ht="32.25" x14ac:dyDescent="0.35">
      <c r="A541" s="48">
        <v>78332</v>
      </c>
      <c r="B541" s="39" t="str" cm="1">
        <f t="array" ref="B541">IF(A541&lt;&gt;"",_xlfn.XLOOKUP(_xlfn.NUMBERVALUE(A541),_xlfn.NUMBERVALUE(Carga[Tombamento]),Carga[Descrição do Bem]),"")</f>
        <v>AR CONDICIONADO AR CONDICIONADO INVERTER (UNIDADE CONDENSADORA/EVAPORADORA) SPRINGER MIDEA18000BTUS</v>
      </c>
      <c r="C541" s="39" t="str">
        <f t="shared" si="20"/>
        <v>AR CONDICIONADO INVERTER (UNIDADE CONDENSADORA/EVAPORADORA) SPRINGER MIDEA18000BTUS</v>
      </c>
      <c r="E541" s="42" t="s">
        <v>205</v>
      </c>
      <c r="F541" s="43" t="s">
        <v>197</v>
      </c>
      <c r="G541" s="67" t="s">
        <v>199</v>
      </c>
      <c r="H541" s="41" t="s">
        <v>201</v>
      </c>
      <c r="I541" s="57" t="s">
        <v>36</v>
      </c>
      <c r="J541" s="40" t="s">
        <v>615</v>
      </c>
      <c r="K541" s="60">
        <v>45433</v>
      </c>
      <c r="O541" s="82">
        <v>45558</v>
      </c>
      <c r="Q541" s="96"/>
    </row>
    <row r="542" spans="1:17" ht="32.25" x14ac:dyDescent="0.35">
      <c r="A542" s="48">
        <v>78333</v>
      </c>
      <c r="B542" s="39" t="str" cm="1">
        <f t="array" ref="B542">IF(A542&lt;&gt;"",_xlfn.XLOOKUP(_xlfn.NUMBERVALUE(A542),_xlfn.NUMBERVALUE(Carga[Tombamento]),Carga[Descrição do Bem]),"")</f>
        <v>AR CONDICIONADO AR CONDICIONADO INVERTER (UNIDADE CONDENSADORA/EVAPORADORA) SPRINGER MIDEA18000BTUS</v>
      </c>
      <c r="C542" s="39" t="str">
        <f t="shared" si="20"/>
        <v>AR CONDICIONADO INVERTER (UNIDADE CONDENSADORA/EVAPORADORA) SPRINGER MIDEA18000BTUS</v>
      </c>
      <c r="E542" s="42" t="s">
        <v>205</v>
      </c>
      <c r="F542" s="43" t="s">
        <v>197</v>
      </c>
      <c r="G542" s="67" t="s">
        <v>199</v>
      </c>
      <c r="H542" s="41" t="s">
        <v>201</v>
      </c>
      <c r="I542" s="57" t="s">
        <v>36</v>
      </c>
      <c r="J542" s="40" t="s">
        <v>615</v>
      </c>
      <c r="K542" s="60">
        <v>45434</v>
      </c>
      <c r="O542" s="82">
        <v>45558</v>
      </c>
      <c r="Q542" s="96"/>
    </row>
    <row r="543" spans="1:17" ht="32.25" x14ac:dyDescent="0.35">
      <c r="A543" s="48">
        <v>78334</v>
      </c>
      <c r="B543" s="39" t="str" cm="1">
        <f t="array" ref="B543">IF(A543&lt;&gt;"",_xlfn.XLOOKUP(_xlfn.NUMBERVALUE(A543),_xlfn.NUMBERVALUE(Carga[Tombamento]),Carga[Descrição do Bem]),"")</f>
        <v>AR CONDICIONADO AR CONDICIONADO INVERTER (UNIDADE CONDENSADORA/EVAPORADORA) SPRINGER MIDEA18000BTUS</v>
      </c>
      <c r="C543" s="39" t="str">
        <f t="shared" si="20"/>
        <v>AR CONDICIONADO INVERTER (UNIDADE CONDENSADORA/EVAPORADORA) SPRINGER MIDEA18000BTUS</v>
      </c>
      <c r="E543" s="42" t="s">
        <v>205</v>
      </c>
      <c r="F543" s="43" t="s">
        <v>197</v>
      </c>
      <c r="G543" s="67" t="s">
        <v>199</v>
      </c>
      <c r="H543" s="41" t="s">
        <v>201</v>
      </c>
      <c r="I543" s="57" t="s">
        <v>36</v>
      </c>
      <c r="J543" s="40" t="s">
        <v>77</v>
      </c>
      <c r="K543" s="60">
        <v>45435</v>
      </c>
      <c r="O543" s="82">
        <v>45560</v>
      </c>
      <c r="Q543" s="96"/>
    </row>
    <row r="544" spans="1:17" ht="32.25" x14ac:dyDescent="0.35">
      <c r="A544" s="48">
        <v>78335</v>
      </c>
      <c r="B544" s="39" t="str" cm="1">
        <f t="array" ref="B544">IF(A544&lt;&gt;"",_xlfn.XLOOKUP(_xlfn.NUMBERVALUE(A544),_xlfn.NUMBERVALUE(Carga[Tombamento]),Carga[Descrição do Bem]),"")</f>
        <v>AR CONDICIONADO AR CONDICIONADO INVERTER (UNIDADE CONDENSADORA/EVAPORADORA) SPRINGER MIDEA18000BTUS</v>
      </c>
      <c r="C544" s="39" t="str">
        <f t="shared" si="20"/>
        <v>AR CONDICIONADO INVERTER (UNIDADE CONDENSADORA/EVAPORADORA) SPRINGER MIDEA18000BTUS</v>
      </c>
      <c r="E544" s="42" t="s">
        <v>205</v>
      </c>
      <c r="F544" s="43" t="s">
        <v>197</v>
      </c>
      <c r="G544" s="67" t="s">
        <v>199</v>
      </c>
      <c r="H544" s="41" t="s">
        <v>201</v>
      </c>
      <c r="I544" s="57" t="s">
        <v>36</v>
      </c>
      <c r="J544" s="40" t="s">
        <v>77</v>
      </c>
      <c r="K544" s="60">
        <v>45436</v>
      </c>
      <c r="O544" s="82">
        <v>45560</v>
      </c>
      <c r="Q544" s="96"/>
    </row>
    <row r="545" spans="1:17" ht="32.25" x14ac:dyDescent="0.35">
      <c r="A545" s="48">
        <v>78336</v>
      </c>
      <c r="B545" s="39" t="str" cm="1">
        <f t="array" ref="B545">IF(A545&lt;&gt;"",_xlfn.XLOOKUP(_xlfn.NUMBERVALUE(A545),_xlfn.NUMBERVALUE(Carga[Tombamento]),Carga[Descrição do Bem]),"")</f>
        <v>AR CONDICIONADO AR CONDICIONADO INVERTER (UNIDADE CONDENSADORA/EVAPORADORA) SPRINGER MIDEA18000BTUS</v>
      </c>
      <c r="C545" s="39" t="str">
        <f t="shared" si="20"/>
        <v>AR CONDICIONADO INVERTER (UNIDADE CONDENSADORA/EVAPORADORA) SPRINGER MIDEA18000BTUS</v>
      </c>
      <c r="E545" s="42" t="s">
        <v>205</v>
      </c>
      <c r="F545" s="43" t="s">
        <v>197</v>
      </c>
      <c r="G545" s="67" t="s">
        <v>199</v>
      </c>
      <c r="H545" s="41" t="s">
        <v>201</v>
      </c>
      <c r="I545" s="57" t="s">
        <v>36</v>
      </c>
      <c r="J545" s="40" t="s">
        <v>77</v>
      </c>
      <c r="K545" s="60">
        <v>45437</v>
      </c>
      <c r="O545" s="82">
        <v>45560</v>
      </c>
      <c r="Q545" s="96"/>
    </row>
    <row r="546" spans="1:17" ht="32.25" x14ac:dyDescent="0.35">
      <c r="A546" s="48">
        <v>78337</v>
      </c>
      <c r="B546" s="39" t="str" cm="1">
        <f t="array" ref="B546">IF(A546&lt;&gt;"",_xlfn.XLOOKUP(_xlfn.NUMBERVALUE(A546),_xlfn.NUMBERVALUE(Carga[Tombamento]),Carga[Descrição do Bem]),"")</f>
        <v>AR CONDICIONADO AR CONDICIONADO INVERTER (UNIDADE CONDENSADORA/EVAPORADORA) SPRINGER MIDEA18000BTUS</v>
      </c>
      <c r="C546" s="39" t="str">
        <f t="shared" si="20"/>
        <v>AR CONDICIONADO INVERTER (UNIDADE CONDENSADORA/EVAPORADORA) SPRINGER MIDEA18000BTUS</v>
      </c>
      <c r="E546" s="42" t="s">
        <v>205</v>
      </c>
      <c r="F546" s="43" t="s">
        <v>197</v>
      </c>
      <c r="G546" s="67" t="s">
        <v>199</v>
      </c>
      <c r="H546" s="41" t="s">
        <v>201</v>
      </c>
      <c r="I546" s="57" t="s">
        <v>36</v>
      </c>
      <c r="J546" s="40" t="s">
        <v>77</v>
      </c>
      <c r="K546" s="60">
        <v>45438</v>
      </c>
      <c r="O546" s="82">
        <v>45560</v>
      </c>
      <c r="Q546" s="96"/>
    </row>
    <row r="547" spans="1:17" ht="32.25" x14ac:dyDescent="0.35">
      <c r="A547" s="48">
        <v>78338</v>
      </c>
      <c r="B547" s="39" t="str" cm="1">
        <f t="array" ref="B547">IF(A547&lt;&gt;"",_xlfn.XLOOKUP(_xlfn.NUMBERVALUE(A547),_xlfn.NUMBERVALUE(Carga[Tombamento]),Carga[Descrição do Bem]),"")</f>
        <v>AR CONDICIONADO AR CONDICIONADO INVERTER (UNIDADE CONDENSADORA/EVAPORADORA) SPRINGER MIDEA18000BTUS</v>
      </c>
      <c r="C547" s="39" t="str">
        <f t="shared" si="20"/>
        <v>AR CONDICIONADO INVERTER (UNIDADE CONDENSADORA/EVAPORADORA) SPRINGER MIDEA18000BTUS</v>
      </c>
      <c r="E547" s="42" t="s">
        <v>205</v>
      </c>
      <c r="F547" s="43" t="s">
        <v>197</v>
      </c>
      <c r="G547" s="67" t="s">
        <v>199</v>
      </c>
      <c r="H547" s="41" t="s">
        <v>201</v>
      </c>
      <c r="I547" s="57" t="s">
        <v>36</v>
      </c>
      <c r="J547" s="40" t="s">
        <v>83</v>
      </c>
      <c r="K547" s="60">
        <v>45439</v>
      </c>
      <c r="O547" s="82">
        <v>45555</v>
      </c>
      <c r="Q547" s="96"/>
    </row>
    <row r="548" spans="1:17" ht="32.25" x14ac:dyDescent="0.35">
      <c r="A548" s="48">
        <v>78339</v>
      </c>
      <c r="B548" s="39" t="str" cm="1">
        <f t="array" ref="B548">IF(A548&lt;&gt;"",_xlfn.XLOOKUP(_xlfn.NUMBERVALUE(A548),_xlfn.NUMBERVALUE(Carga[Tombamento]),Carga[Descrição do Bem]),"")</f>
        <v>AR CONDICIONADO AR CONDICIONADO INVERTER (UNIDADE CONDENSADORA/EVAPORADORA) SPRINGER MIDEA18000BTUS</v>
      </c>
      <c r="C548" s="39" t="str">
        <f t="shared" si="20"/>
        <v>AR CONDICIONADO INVERTER (UNIDADE CONDENSADORA/EVAPORADORA) SPRINGER MIDEA18000BTUS</v>
      </c>
      <c r="E548" s="42" t="s">
        <v>205</v>
      </c>
      <c r="F548" s="43" t="s">
        <v>197</v>
      </c>
      <c r="G548" s="67" t="s">
        <v>199</v>
      </c>
      <c r="H548" s="41" t="s">
        <v>201</v>
      </c>
      <c r="I548" s="57" t="s">
        <v>36</v>
      </c>
      <c r="J548" s="40" t="s">
        <v>79</v>
      </c>
      <c r="K548" s="60">
        <v>45440</v>
      </c>
      <c r="O548" s="82">
        <v>45560</v>
      </c>
      <c r="Q548" s="96"/>
    </row>
    <row r="549" spans="1:17" ht="32.25" x14ac:dyDescent="0.35">
      <c r="A549" s="48">
        <v>78340</v>
      </c>
      <c r="B549" s="39" t="str" cm="1">
        <f t="array" ref="B549">IF(A549&lt;&gt;"",_xlfn.XLOOKUP(_xlfn.NUMBERVALUE(A549),_xlfn.NUMBERVALUE(Carga[Tombamento]),Carga[Descrição do Bem]),"")</f>
        <v>AR CONDICIONADO AR CONDICIONADO INVERTER (UNIDADE CONDENSADORA/EVAPORADORA) SPRINGER MIDEA18000BTUS</v>
      </c>
      <c r="C549" s="39" t="str">
        <f t="shared" si="20"/>
        <v>AR CONDICIONADO INVERTER (UNIDADE CONDENSADORA/EVAPORADORA) SPRINGER MIDEA18000BTUS</v>
      </c>
      <c r="E549" s="42" t="s">
        <v>205</v>
      </c>
      <c r="F549" s="43" t="s">
        <v>197</v>
      </c>
      <c r="G549" s="67" t="s">
        <v>199</v>
      </c>
      <c r="H549" s="41" t="s">
        <v>201</v>
      </c>
      <c r="I549" s="57" t="s">
        <v>36</v>
      </c>
      <c r="J549" s="40" t="s">
        <v>80</v>
      </c>
      <c r="K549" s="60">
        <v>45441</v>
      </c>
      <c r="O549" s="82">
        <v>45560</v>
      </c>
      <c r="Q549" s="96"/>
    </row>
    <row r="550" spans="1:17" ht="32.25" x14ac:dyDescent="0.35">
      <c r="A550" s="48">
        <v>78341</v>
      </c>
      <c r="B550" s="39" t="str" cm="1">
        <f t="array" ref="B550">IF(A550&lt;&gt;"",_xlfn.XLOOKUP(_xlfn.NUMBERVALUE(A550),_xlfn.NUMBERVALUE(Carga[Tombamento]),Carga[Descrição do Bem]),"")</f>
        <v>AR CONDICIONADO AR CONDICIONADO INVERTER (UNIDADE CONDENSADORA/EVAPORADORA) SPRINGER MIDEA18000BTUS</v>
      </c>
      <c r="C550" s="39" t="str">
        <f t="shared" si="20"/>
        <v>AR CONDICIONADO INVERTER (UNIDADE CONDENSADORA/EVAPORADORA) SPRINGER MIDEA18000BTUS</v>
      </c>
      <c r="E550" s="42" t="s">
        <v>205</v>
      </c>
      <c r="F550" s="43" t="s">
        <v>197</v>
      </c>
      <c r="G550" s="67" t="s">
        <v>199</v>
      </c>
      <c r="H550" s="41" t="s">
        <v>201</v>
      </c>
      <c r="I550" s="57" t="s">
        <v>36</v>
      </c>
      <c r="J550" s="40" t="s">
        <v>212</v>
      </c>
      <c r="K550" s="60">
        <v>45442</v>
      </c>
      <c r="O550" s="82">
        <v>45560</v>
      </c>
      <c r="Q550" s="96"/>
    </row>
    <row r="551" spans="1:17" ht="32.25" x14ac:dyDescent="0.35">
      <c r="A551" s="48">
        <v>78342</v>
      </c>
      <c r="B551" s="39" t="str" cm="1">
        <f t="array" ref="B551">IF(A551&lt;&gt;"",_xlfn.XLOOKUP(_xlfn.NUMBERVALUE(A551),_xlfn.NUMBERVALUE(Carga[Tombamento]),Carga[Descrição do Bem]),"")</f>
        <v>AR CONDICIONADO AR CONDICIONADO INVERTER (UNIDADE CONDENSADORA/EVAPORADORA) SPRINGER MIDEA18000BTUS</v>
      </c>
      <c r="C551" s="39" t="str">
        <f t="shared" si="20"/>
        <v>AR CONDICIONADO INVERTER (UNIDADE CONDENSADORA/EVAPORADORA) SPRINGER MIDEA18000BTUS</v>
      </c>
      <c r="E551" s="42" t="s">
        <v>205</v>
      </c>
      <c r="F551" s="43" t="s">
        <v>197</v>
      </c>
      <c r="G551" s="67" t="s">
        <v>199</v>
      </c>
      <c r="H551" s="41" t="s">
        <v>201</v>
      </c>
      <c r="I551" s="57" t="s">
        <v>36</v>
      </c>
      <c r="J551" s="40" t="s">
        <v>81</v>
      </c>
      <c r="K551" s="60">
        <v>45443</v>
      </c>
      <c r="O551" s="82">
        <v>45560</v>
      </c>
      <c r="Q551" s="96"/>
    </row>
    <row r="552" spans="1:17" ht="32.25" x14ac:dyDescent="0.35">
      <c r="A552" s="48">
        <v>78343</v>
      </c>
      <c r="B552" s="39" t="str" cm="1">
        <f t="array" ref="B552">IF(A552&lt;&gt;"",_xlfn.XLOOKUP(_xlfn.NUMBERVALUE(A552),_xlfn.NUMBERVALUE(Carga[Tombamento]),Carga[Descrição do Bem]),"")</f>
        <v>AR CONDICIONADO AR CONDICIONADO INVERTER (UNIDADE CONDENSADORA/EVAPORADORA) SPRINGER MIDEA18000BTUS</v>
      </c>
      <c r="C552" s="39" t="str">
        <f t="shared" si="20"/>
        <v>AR CONDICIONADO INVERTER (UNIDADE CONDENSADORA/EVAPORADORA) SPRINGER MIDEA18000BTUS</v>
      </c>
      <c r="E552" s="42" t="s">
        <v>205</v>
      </c>
      <c r="F552" s="43" t="s">
        <v>197</v>
      </c>
      <c r="G552" s="67" t="s">
        <v>199</v>
      </c>
      <c r="H552" s="41" t="s">
        <v>201</v>
      </c>
      <c r="I552" s="57" t="s">
        <v>36</v>
      </c>
      <c r="J552" s="40" t="s">
        <v>76</v>
      </c>
      <c r="K552" s="60">
        <v>45444</v>
      </c>
      <c r="M552" s="60">
        <v>45712</v>
      </c>
      <c r="O552" s="82">
        <v>45558</v>
      </c>
      <c r="Q552" s="96"/>
    </row>
    <row r="553" spans="1:17" ht="32.25" x14ac:dyDescent="0.35">
      <c r="A553" s="48">
        <v>78344</v>
      </c>
      <c r="B553" s="39" t="str" cm="1">
        <f t="array" ref="B553">IF(A553&lt;&gt;"",_xlfn.XLOOKUP(_xlfn.NUMBERVALUE(A553),_xlfn.NUMBERVALUE(Carga[Tombamento]),Carga[Descrição do Bem]),"")</f>
        <v>AR CONDICIONADO AR CONDICIONADO INVERTER (UNIDADE CONDENSADORA/EVAPORADORA) SPRINGER MIDEA24000BTUS</v>
      </c>
      <c r="C553" s="39" t="str">
        <f t="shared" si="20"/>
        <v>AR CONDICIONADO INVERTER (UNIDADE CONDENSADORA/EVAPORADORA) SPRINGER MIDEA24000BTUS</v>
      </c>
      <c r="E553" s="42" t="s">
        <v>205</v>
      </c>
      <c r="F553" s="43" t="s">
        <v>197</v>
      </c>
      <c r="G553" s="67" t="s">
        <v>199</v>
      </c>
      <c r="H553" s="41" t="s">
        <v>201</v>
      </c>
      <c r="I553" s="57" t="s">
        <v>36</v>
      </c>
      <c r="J553" s="40" t="s">
        <v>78</v>
      </c>
      <c r="K553" s="60">
        <v>45445</v>
      </c>
      <c r="M553" s="60">
        <v>45712</v>
      </c>
      <c r="O553" s="82">
        <v>45558</v>
      </c>
      <c r="Q553" s="96"/>
    </row>
    <row r="554" spans="1:17" ht="32.25" x14ac:dyDescent="0.35">
      <c r="A554" s="48">
        <v>78346</v>
      </c>
      <c r="B554" s="39" t="str" cm="1">
        <f t="array" ref="B554">IF(A554&lt;&gt;"",_xlfn.XLOOKUP(_xlfn.NUMBERVALUE(A554),_xlfn.NUMBERVALUE(Carga[Tombamento]),Carga[Descrição do Bem]),"")</f>
        <v>AR CONDICIONADO AR CONDICIONADO INVERTER (UNIDADE CONDENSADORA/EVAPORADORA) ELGIN 36000BTUS</v>
      </c>
      <c r="C554" s="39" t="str">
        <f t="shared" si="20"/>
        <v>AR CONDICIONADO INVERTER (UNIDADE CONDENSADORA/EVAPORADORA) ELGIN 36000BTUS</v>
      </c>
      <c r="E554" s="42" t="s">
        <v>205</v>
      </c>
      <c r="F554" s="43" t="s">
        <v>197</v>
      </c>
      <c r="G554" s="67" t="s">
        <v>199</v>
      </c>
      <c r="H554" s="41" t="s">
        <v>201</v>
      </c>
      <c r="I554" s="57" t="s">
        <v>36</v>
      </c>
      <c r="J554" s="40" t="s">
        <v>84</v>
      </c>
      <c r="K554" s="60">
        <v>45446</v>
      </c>
      <c r="O554" s="82">
        <v>45560</v>
      </c>
      <c r="Q554" s="96"/>
    </row>
    <row r="555" spans="1:17" ht="32.25" x14ac:dyDescent="0.35">
      <c r="A555" s="48">
        <v>78347</v>
      </c>
      <c r="B555" s="39" t="str" cm="1">
        <f t="array" ref="B555">IF(A555&lt;&gt;"",_xlfn.XLOOKUP(_xlfn.NUMBERVALUE(A555),_xlfn.NUMBERVALUE(Carga[Tombamento]),Carga[Descrição do Bem]),"")</f>
        <v>AR CONDICIONADO AR CONDICIONADO INVERTER (UNIDADE CONDENSADORA/EVAPORADORA) ELGIN 36000BTUS</v>
      </c>
      <c r="C555" s="39" t="str">
        <f t="shared" si="20"/>
        <v>AR CONDICIONADO INVERTER (UNIDADE CONDENSADORA/EVAPORADORA) ELGIN 36000BTUS</v>
      </c>
      <c r="E555" s="42" t="s">
        <v>205</v>
      </c>
      <c r="F555" s="43" t="s">
        <v>197</v>
      </c>
      <c r="G555" s="67" t="s">
        <v>199</v>
      </c>
      <c r="H555" s="41" t="s">
        <v>201</v>
      </c>
      <c r="I555" s="57" t="s">
        <v>36</v>
      </c>
      <c r="J555" s="40" t="s">
        <v>84</v>
      </c>
      <c r="K555" s="60">
        <v>45447</v>
      </c>
      <c r="O555" s="82">
        <v>45560</v>
      </c>
      <c r="Q555" s="96"/>
    </row>
    <row r="556" spans="1:17" ht="32.25" x14ac:dyDescent="0.35">
      <c r="A556" s="48">
        <v>78348</v>
      </c>
      <c r="B556" s="39" t="str" cm="1">
        <f t="array" ref="B556">IF(A556&lt;&gt;"",_xlfn.XLOOKUP(_xlfn.NUMBERVALUE(A556),_xlfn.NUMBERVALUE(Carga[Tombamento]),Carga[Descrição do Bem]),"")</f>
        <v>AR CONDICIONADO AR CONDICIONADO INVERTER (UNIDADE CONDENSADORA/EVAPORADORA) ELGIN 36000BTUS</v>
      </c>
      <c r="C556" s="39" t="str">
        <f t="shared" si="20"/>
        <v>AR CONDICIONADO INVERTER (UNIDADE CONDENSADORA/EVAPORADORA) ELGIN 36000BTUS</v>
      </c>
      <c r="E556" s="42" t="s">
        <v>205</v>
      </c>
      <c r="F556" s="43" t="s">
        <v>197</v>
      </c>
      <c r="G556" s="67" t="s">
        <v>199</v>
      </c>
      <c r="H556" s="41" t="s">
        <v>201</v>
      </c>
      <c r="I556" s="57" t="s">
        <v>36</v>
      </c>
      <c r="J556" s="40" t="s">
        <v>84</v>
      </c>
      <c r="K556" s="60">
        <v>45448</v>
      </c>
      <c r="O556" s="82">
        <v>45560</v>
      </c>
      <c r="Q556" s="96"/>
    </row>
    <row r="557" spans="1:17" ht="32.25" x14ac:dyDescent="0.35">
      <c r="A557" s="48">
        <v>78349</v>
      </c>
      <c r="B557" s="39" t="str" cm="1">
        <f t="array" ref="B557">IF(A557&lt;&gt;"",_xlfn.XLOOKUP(_xlfn.NUMBERVALUE(A557),_xlfn.NUMBERVALUE(Carga[Tombamento]),Carga[Descrição do Bem]),"")</f>
        <v>AR CONDICIONADO AR CONDICIONADO INVERTER (UNIDADE CONDENSADORA/EVAPORADORA) ELGIN 36000BTUS</v>
      </c>
      <c r="C557" s="39" t="str">
        <f t="shared" si="20"/>
        <v>AR CONDICIONADO INVERTER (UNIDADE CONDENSADORA/EVAPORADORA) ELGIN 36000BTUS</v>
      </c>
      <c r="E557" s="42" t="s">
        <v>205</v>
      </c>
      <c r="F557" s="43" t="s">
        <v>197</v>
      </c>
      <c r="G557" s="67" t="s">
        <v>199</v>
      </c>
      <c r="H557" s="41" t="s">
        <v>201</v>
      </c>
      <c r="I557" s="57" t="s">
        <v>36</v>
      </c>
      <c r="J557" s="40" t="s">
        <v>242</v>
      </c>
      <c r="K557" s="60">
        <v>45449</v>
      </c>
      <c r="O557" s="82">
        <v>45560</v>
      </c>
      <c r="Q557" s="96"/>
    </row>
    <row r="558" spans="1:17" ht="32.25" x14ac:dyDescent="0.35">
      <c r="A558" s="48">
        <v>78350</v>
      </c>
      <c r="B558" s="39" t="str" cm="1">
        <f t="array" ref="B558">IF(A558&lt;&gt;"",_xlfn.XLOOKUP(_xlfn.NUMBERVALUE(A558),_xlfn.NUMBERVALUE(Carga[Tombamento]),Carga[Descrição do Bem]),"")</f>
        <v>AR CONDICIONADO AR CONDICIONADO INVERTER (UNIDADE CONDENSADORA/EVAPORADORA) SPRINGER MIDEA24000BTUS</v>
      </c>
      <c r="C558" s="39" t="str">
        <f t="shared" si="20"/>
        <v>AR CONDICIONADO INVERTER (UNIDADE CONDENSADORA/EVAPORADORA) SPRINGER MIDEA24000BTUS</v>
      </c>
      <c r="E558" s="42" t="s">
        <v>205</v>
      </c>
      <c r="F558" s="43" t="s">
        <v>197</v>
      </c>
      <c r="G558" s="67" t="s">
        <v>199</v>
      </c>
      <c r="H558" s="41" t="s">
        <v>201</v>
      </c>
      <c r="I558" s="57" t="s">
        <v>36</v>
      </c>
      <c r="J558" s="40" t="s">
        <v>78</v>
      </c>
      <c r="K558" s="60">
        <v>45450</v>
      </c>
      <c r="M558" s="60">
        <v>45712</v>
      </c>
      <c r="O558" s="82">
        <v>45558</v>
      </c>
      <c r="Q558" s="96"/>
    </row>
    <row r="559" spans="1:17" ht="32.25" x14ac:dyDescent="0.35">
      <c r="A559" s="48">
        <v>78351</v>
      </c>
      <c r="B559" s="39" t="str" cm="1">
        <f t="array" ref="B559">IF(A559&lt;&gt;"",_xlfn.XLOOKUP(_xlfn.NUMBERVALUE(A559),_xlfn.NUMBERVALUE(Carga[Tombamento]),Carga[Descrição do Bem]),"")</f>
        <v>AR CONDICIONADO AR CONDICIONADO INVERTER (UNIDADE CONDENSADORA/EVAPORADORA) SPRINGER MIDEA24000BTUS</v>
      </c>
      <c r="C559" s="39" t="str">
        <f t="shared" si="20"/>
        <v>AR CONDICIONADO INVERTER (UNIDADE CONDENSADORA/EVAPORADORA) SPRINGER MIDEA24000BTUS</v>
      </c>
      <c r="E559" s="42" t="s">
        <v>205</v>
      </c>
      <c r="F559" s="43" t="s">
        <v>197</v>
      </c>
      <c r="G559" s="67" t="s">
        <v>199</v>
      </c>
      <c r="H559" s="41" t="s">
        <v>201</v>
      </c>
      <c r="I559" s="57" t="s">
        <v>36</v>
      </c>
      <c r="J559" s="40" t="s">
        <v>78</v>
      </c>
      <c r="K559" s="60">
        <v>45451</v>
      </c>
      <c r="M559" s="60">
        <v>45712</v>
      </c>
      <c r="O559" s="82">
        <v>45558</v>
      </c>
      <c r="Q559" s="96"/>
    </row>
    <row r="560" spans="1:17" ht="32.25" x14ac:dyDescent="0.35">
      <c r="A560" s="48">
        <v>78352</v>
      </c>
      <c r="B560" s="39" t="str" cm="1">
        <f t="array" ref="B560">IF(A560&lt;&gt;"",_xlfn.XLOOKUP(_xlfn.NUMBERVALUE(A560),_xlfn.NUMBERVALUE(Carga[Tombamento]),Carga[Descrição do Bem]),"")</f>
        <v>AR CONDICIONADO AR CONDICIONADO INVERTER (UNIDADE CONDENSADORA/EVAPORADORA) SPRINGER MIDEA24000BTUS</v>
      </c>
      <c r="C560" s="39" t="str">
        <f t="shared" si="20"/>
        <v>AR CONDICIONADO INVERTER (UNIDADE CONDENSADORA/EVAPORADORA) SPRINGER MIDEA24000BTUS</v>
      </c>
      <c r="E560" s="42" t="s">
        <v>205</v>
      </c>
      <c r="F560" s="43" t="s">
        <v>197</v>
      </c>
      <c r="G560" s="67" t="s">
        <v>199</v>
      </c>
      <c r="H560" s="41" t="s">
        <v>201</v>
      </c>
      <c r="I560" s="57" t="s">
        <v>36</v>
      </c>
      <c r="J560" s="40" t="s">
        <v>78</v>
      </c>
      <c r="K560" s="60">
        <v>45452</v>
      </c>
      <c r="M560" s="60">
        <v>45712</v>
      </c>
      <c r="O560" s="82">
        <v>45558</v>
      </c>
      <c r="Q560" s="96"/>
    </row>
    <row r="561" spans="1:18" ht="32.25" x14ac:dyDescent="0.35">
      <c r="A561" s="55">
        <v>78655</v>
      </c>
      <c r="B561" s="56" t="str" cm="1">
        <f t="array" ref="B561">IF(A561&lt;&gt;"",_xlfn.XLOOKUP(_xlfn.NUMBERVALUE(A561),_xlfn.NUMBERVALUE(Carga[Tombamento]),Carga[Descrição do Bem]),"")</f>
        <v>AR CONDICIONADO AR CONDICIONADO INVERTER (UNIDADE CONDENSADORA/EVAPORADORA) SPRINGER MIDEA24000BTUS</v>
      </c>
      <c r="C561" s="39" t="str">
        <f t="shared" si="20"/>
        <v>AR CONDICIONADO INVERTER (UNIDADE CONDENSADORA/EVAPORADORA) SPRINGER MIDEA24000BTUS</v>
      </c>
      <c r="E561" s="42" t="s">
        <v>205</v>
      </c>
      <c r="F561" s="43" t="s">
        <v>197</v>
      </c>
      <c r="G561" s="67" t="s">
        <v>199</v>
      </c>
      <c r="H561" s="41" t="s">
        <v>201</v>
      </c>
      <c r="I561" s="57" t="s">
        <v>74</v>
      </c>
      <c r="J561" s="58" t="s">
        <v>64</v>
      </c>
      <c r="K561" s="60">
        <v>45453</v>
      </c>
      <c r="O561" s="82">
        <v>45555</v>
      </c>
      <c r="Q561" s="96"/>
    </row>
    <row r="562" spans="1:18" ht="25.5" x14ac:dyDescent="0.35">
      <c r="A562" s="55" t="s">
        <v>616</v>
      </c>
      <c r="B562" s="56" t="str" cm="1">
        <f t="array" ref="B562">IF(A562&lt;&gt;"",_xlfn.XLOOKUP(_xlfn.NUMBERVALUE(A562),_xlfn.NUMBERVALUE(Carga[Tombamento]),Carga[Descrição do Bem]),"")</f>
        <v>MESA MESA DE MADEIRA COM TROS GAVETAS DIM.0.70X1.20M</v>
      </c>
      <c r="C562" s="56" t="str">
        <f>MID(B562,5,160)</f>
        <v xml:space="preserve"> MESA DE MADEIRA COM TROS GAVETAS DIM.0.70X1.20M</v>
      </c>
      <c r="E562" s="42" t="s">
        <v>205</v>
      </c>
      <c r="F562" s="43" t="s">
        <v>197</v>
      </c>
      <c r="G562" s="67" t="s">
        <v>199</v>
      </c>
      <c r="H562" s="41" t="s">
        <v>201</v>
      </c>
      <c r="I562" s="57" t="s">
        <v>36</v>
      </c>
      <c r="J562" s="58" t="s">
        <v>79</v>
      </c>
      <c r="K562" s="60">
        <v>45485</v>
      </c>
      <c r="O562" s="82">
        <v>45560</v>
      </c>
      <c r="Q562" s="96"/>
    </row>
    <row r="563" spans="1:18" ht="45.6" customHeight="1" x14ac:dyDescent="0.35">
      <c r="A563" s="78" t="s">
        <v>971</v>
      </c>
      <c r="B563" s="56" t="str" cm="1">
        <f t="array" ref="B563">IF(A563&lt;&gt;"",_xlfn.XLOOKUP(_xlfn.NUMBERVALUE(A563),_xlfn.NUMBERVALUE(Carga[Tombamento]),Carga[Descrição do Bem]),"")</f>
        <v>MISTURADOR MISTURADOR SUBMERSÍVEL 380V, COM MOTOR DE 2,2 KW, TENSÃO DE LIGAÇÃO 220/380/440V. MARCA ABS. Nº DE SÉRIE: 000400.</v>
      </c>
      <c r="C563" s="56" t="str">
        <f>MID(B563,1,160)</f>
        <v>MISTURADOR MISTURADOR SUBMERSÍVEL 380V, COM MOTOR DE 2,2 KW, TENSÃO DE LIGAÇÃO 220/380/440V. MARCA ABS. Nº DE SÉRIE: 000400.</v>
      </c>
      <c r="E563" s="42" t="s">
        <v>205</v>
      </c>
      <c r="F563" s="43" t="s">
        <v>197</v>
      </c>
      <c r="G563" s="67" t="s">
        <v>199</v>
      </c>
      <c r="H563" s="41" t="s">
        <v>201</v>
      </c>
      <c r="I563" s="57" t="s">
        <v>36</v>
      </c>
      <c r="J563" s="58" t="s">
        <v>82</v>
      </c>
      <c r="O563" s="82">
        <v>45565</v>
      </c>
      <c r="Q563" s="96"/>
    </row>
    <row r="564" spans="1:18" ht="42" customHeight="1" x14ac:dyDescent="0.35">
      <c r="A564" s="77" t="s">
        <v>973</v>
      </c>
      <c r="B564" s="39" t="str" cm="1">
        <f t="array" ref="B564">IF(A564&lt;&gt;"",_xlfn.XLOOKUP(_xlfn.NUMBERVALUE(A564),_xlfn.NUMBERVALUE(Carga[Tombamento]),Carga[Descrição do Bem]),"")</f>
        <v>ESTAÇÃO DE TRATAMENTO DE ÁGUA - VALPARAISO/GO VÁLVULA ESFERA EM PP COM ATUADOR ELÉTRICO- COMPÕE SISTEMA DE HIDRÓXIDO DE CÁLCIO EM SUSPENSÃO AQUOSA</v>
      </c>
      <c r="C564" s="39" t="str">
        <f>MID(B564,47,160)</f>
        <v>VÁLVULA ESFERA EM PP COM ATUADOR ELÉTRICO- COMPÕE SISTEMA DE HIDRÓXIDO DE CÁLCIO EM SUSPENSÃO AQUOSA</v>
      </c>
      <c r="E564" s="42" t="s">
        <v>205</v>
      </c>
      <c r="F564" s="43" t="s">
        <v>197</v>
      </c>
      <c r="G564" s="67" t="s">
        <v>199</v>
      </c>
      <c r="H564" s="41" t="s">
        <v>201</v>
      </c>
      <c r="I564" s="57" t="s">
        <v>36</v>
      </c>
      <c r="J564" s="58" t="s">
        <v>442</v>
      </c>
      <c r="O564" s="82">
        <v>45562</v>
      </c>
      <c r="Q564" s="96"/>
    </row>
    <row r="565" spans="1:18" ht="41.25" x14ac:dyDescent="0.35">
      <c r="A565" s="77" t="s">
        <v>974</v>
      </c>
      <c r="B565" s="39" t="str" cm="1">
        <f t="array" ref="B565">IF(A565&lt;&gt;"",_xlfn.XLOOKUP(_xlfn.NUMBERVALUE(A565),_xlfn.NUMBERVALUE(Carga[Tombamento]),Carga[Descrição do Bem]),"")</f>
        <v>ESTAÇÃO DE TRATAMENTO DE ÁGUA - VALPARAISO/GO VÁLVULA ESFERA EM PP COM ATUADOR ELÉTRICO- COMPÕE SISTEMA DE HIDRÓXIDO DE CÁLCIO EM SUSPENSÃO AQUOSA</v>
      </c>
      <c r="C565" s="39" t="str">
        <f t="shared" ref="C565:C569" si="21">MID(B565,47,160)</f>
        <v>VÁLVULA ESFERA EM PP COM ATUADOR ELÉTRICO- COMPÕE SISTEMA DE HIDRÓXIDO DE CÁLCIO EM SUSPENSÃO AQUOSA</v>
      </c>
      <c r="E565" s="42" t="s">
        <v>205</v>
      </c>
      <c r="F565" s="43" t="s">
        <v>197</v>
      </c>
      <c r="G565" s="67" t="s">
        <v>199</v>
      </c>
      <c r="H565" s="41" t="s">
        <v>201</v>
      </c>
      <c r="I565" s="57" t="s">
        <v>36</v>
      </c>
      <c r="J565" s="58" t="s">
        <v>981</v>
      </c>
      <c r="O565" s="82">
        <v>45560</v>
      </c>
      <c r="Q565" s="96"/>
    </row>
    <row r="566" spans="1:18" ht="41.25" x14ac:dyDescent="0.35">
      <c r="A566" s="77" t="s">
        <v>975</v>
      </c>
      <c r="B566" s="39" t="str" cm="1">
        <f t="array" ref="B566">IF(A566&lt;&gt;"",_xlfn.XLOOKUP(_xlfn.NUMBERVALUE(A566),_xlfn.NUMBERVALUE(Carga[Tombamento]),Carga[Descrição do Bem]),"")</f>
        <v>ESTAÇÃO DE TRATAMENTO DE ÁGUA - VALPARAISO/GO VÁLVULA ESFERA EM PP COM ATUADOR ELÉTRICO- COMPÕE SISTEMA DE HIDRÓXIDO DE CÁLCIO EM SUSPENSÃO AQUOSA</v>
      </c>
      <c r="C566" s="39" t="str">
        <f t="shared" si="21"/>
        <v>VÁLVULA ESFERA EM PP COM ATUADOR ELÉTRICO- COMPÕE SISTEMA DE HIDRÓXIDO DE CÁLCIO EM SUSPENSÃO AQUOSA</v>
      </c>
      <c r="E566" s="42" t="s">
        <v>205</v>
      </c>
      <c r="F566" s="43" t="s">
        <v>197</v>
      </c>
      <c r="G566" s="67" t="s">
        <v>199</v>
      </c>
      <c r="H566" s="41" t="s">
        <v>201</v>
      </c>
      <c r="I566" s="57" t="s">
        <v>36</v>
      </c>
      <c r="J566" s="58" t="s">
        <v>981</v>
      </c>
      <c r="O566" s="82">
        <v>45560</v>
      </c>
      <c r="Q566" s="96"/>
    </row>
    <row r="567" spans="1:18" ht="41.25" x14ac:dyDescent="0.35">
      <c r="A567" s="77" t="s">
        <v>976</v>
      </c>
      <c r="B567" s="39" t="str" cm="1">
        <f t="array" ref="B567">IF(A567&lt;&gt;"",_xlfn.XLOOKUP(_xlfn.NUMBERVALUE(A567),_xlfn.NUMBERVALUE(Carga[Tombamento]),Carga[Descrição do Bem]),"")</f>
        <v>ESTAÇÃO DE TRATAMENTO DE ÁGUA - VALPARAISO/GO VÁLVULA ESFERA EM PP COM ATUADOR ELÉTRICO- COMPÕE SISTEMA DE HIDRÓXIDO DE CÁLCIO EM SUSPENSÃO AQUOSA</v>
      </c>
      <c r="C567" s="39" t="str">
        <f t="shared" si="21"/>
        <v>VÁLVULA ESFERA EM PP COM ATUADOR ELÉTRICO- COMPÕE SISTEMA DE HIDRÓXIDO DE CÁLCIO EM SUSPENSÃO AQUOSA</v>
      </c>
      <c r="E567" s="42" t="s">
        <v>205</v>
      </c>
      <c r="F567" s="43" t="s">
        <v>197</v>
      </c>
      <c r="G567" s="67" t="s">
        <v>199</v>
      </c>
      <c r="H567" s="41" t="s">
        <v>201</v>
      </c>
      <c r="I567" s="57" t="s">
        <v>36</v>
      </c>
      <c r="J567" s="58" t="s">
        <v>981</v>
      </c>
      <c r="O567" s="82">
        <v>45560</v>
      </c>
      <c r="Q567" s="96"/>
    </row>
    <row r="568" spans="1:18" ht="41.25" x14ac:dyDescent="0.35">
      <c r="A568" s="77" t="s">
        <v>977</v>
      </c>
      <c r="B568" s="39" t="str" cm="1">
        <f t="array" ref="B568">IF(A568&lt;&gt;"",_xlfn.XLOOKUP(_xlfn.NUMBERVALUE(A568),_xlfn.NUMBERVALUE(Carga[Tombamento]),Carga[Descrição do Bem]),"")</f>
        <v>ESTAÇÃO DE TRATAMENTO DE ÁGUA - VALPARAISO/GO VÁLVULA ESFERA EM PP COM ATUADOR ELÉTRICO- COMPÕE SISTEMA DE HIDRÓXIDO DE CÁLCIO EM SUSPENSÃO AQUOSA</v>
      </c>
      <c r="C568" s="39" t="str">
        <f t="shared" si="21"/>
        <v>VÁLVULA ESFERA EM PP COM ATUADOR ELÉTRICO- COMPÕE SISTEMA DE HIDRÓXIDO DE CÁLCIO EM SUSPENSÃO AQUOSA</v>
      </c>
      <c r="E568" s="42" t="s">
        <v>205</v>
      </c>
      <c r="F568" s="43" t="s">
        <v>197</v>
      </c>
      <c r="G568" s="67" t="s">
        <v>199</v>
      </c>
      <c r="H568" s="41" t="s">
        <v>201</v>
      </c>
      <c r="I568" s="57" t="s">
        <v>36</v>
      </c>
      <c r="J568" s="58" t="s">
        <v>981</v>
      </c>
      <c r="O568" s="82">
        <v>45560</v>
      </c>
      <c r="Q568" s="96"/>
    </row>
    <row r="569" spans="1:18" ht="41.25" x14ac:dyDescent="0.35">
      <c r="A569" s="78" t="s">
        <v>978</v>
      </c>
      <c r="B569" s="56" t="str" cm="1">
        <f t="array" ref="B569">IF(A569&lt;&gt;"",_xlfn.XLOOKUP(_xlfn.NUMBERVALUE(A569),_xlfn.NUMBERVALUE(Carga[Tombamento]),Carga[Descrição do Bem]),"")</f>
        <v>ESTAÇÃO DE TRATAMENTO DE ÁGUA - VALPARAISO/GO VÁLVULA ESFERA EM PP COM ATUADOR ELÉTRICO- COMPÕE SISTEMA DE HIDRÓXIDO DE CÁLCIO EM SUSPENSÃO AQUOSA</v>
      </c>
      <c r="C569" s="39" t="str">
        <f t="shared" si="21"/>
        <v>VÁLVULA ESFERA EM PP COM ATUADOR ELÉTRICO- COMPÕE SISTEMA DE HIDRÓXIDO DE CÁLCIO EM SUSPENSÃO AQUOSA</v>
      </c>
      <c r="E569" s="42" t="s">
        <v>205</v>
      </c>
      <c r="F569" s="43" t="s">
        <v>197</v>
      </c>
      <c r="G569" s="67" t="s">
        <v>199</v>
      </c>
      <c r="H569" s="41" t="s">
        <v>201</v>
      </c>
      <c r="I569" s="57" t="s">
        <v>36</v>
      </c>
      <c r="J569" s="58" t="s">
        <v>981</v>
      </c>
      <c r="O569" s="82">
        <v>45560</v>
      </c>
      <c r="Q569" s="96"/>
    </row>
    <row r="570" spans="1:18" ht="25.5" x14ac:dyDescent="0.35">
      <c r="A570" s="78" t="s">
        <v>979</v>
      </c>
      <c r="B570" s="56" t="str" cm="1">
        <f t="array" ref="B570">IF(A570&lt;&gt;"",_xlfn.XLOOKUP(_xlfn.NUMBERVALUE(A570),_xlfn.NUMBERVALUE(Carga[Tombamento]),Carga[Descrição do Bem]),"")</f>
        <v>CONTADOR  MEDIDOR DE VAZÃO MARCA NIVUS - Nº/S 2224NF61514</v>
      </c>
      <c r="C570" s="39" t="str">
        <f>MID(B570,10,160)</f>
        <v xml:space="preserve"> MEDIDOR DE VAZÃO MARCA NIVUS - Nº/S 2224NF61514</v>
      </c>
      <c r="E570" s="42" t="s">
        <v>205</v>
      </c>
      <c r="F570" s="43" t="s">
        <v>197</v>
      </c>
      <c r="G570" s="67" t="s">
        <v>199</v>
      </c>
      <c r="H570" s="41" t="s">
        <v>201</v>
      </c>
      <c r="I570" s="57" t="s">
        <v>437</v>
      </c>
      <c r="J570" s="58" t="s">
        <v>439</v>
      </c>
      <c r="O570" s="82">
        <v>45553</v>
      </c>
      <c r="Q570" s="96"/>
    </row>
    <row r="571" spans="1:18" ht="30.6" customHeight="1" x14ac:dyDescent="0.35">
      <c r="A571" s="55">
        <v>68372</v>
      </c>
      <c r="B571" s="56" t="str" cm="1">
        <f t="array" ref="B571">IF(A571&lt;&gt;"",_xlfn.XLOOKUP(_xlfn.NUMBERVALUE(A571),_xlfn.NUMBERVALUE(Carga[Tombamento]),Carga[Descrição do Bem]),"")</f>
        <v>ESTAÇÃO DE TRATAMENTO DE ESGOTOS - DF BOMBAS SUBMERSÍVEIS DE RECIRCULAÇÃO DE ESGOTO COM MOSTRADOR</v>
      </c>
      <c r="C571" s="56" t="str">
        <f>MID(B571,39,160)</f>
        <v>BOMBAS SUBMERSÍVEIS DE RECIRCULAÇÃO DE ESGOTO COM MOSTRADOR</v>
      </c>
      <c r="E571" s="42" t="s">
        <v>205</v>
      </c>
      <c r="F571" s="43" t="s">
        <v>197</v>
      </c>
      <c r="G571" s="67" t="s">
        <v>199</v>
      </c>
      <c r="H571" s="41" t="s">
        <v>201</v>
      </c>
      <c r="I571" s="57" t="s">
        <v>36</v>
      </c>
      <c r="J571" s="58" t="s">
        <v>82</v>
      </c>
      <c r="O571" s="82">
        <v>45565</v>
      </c>
      <c r="Q571" s="96"/>
    </row>
    <row r="572" spans="1:18" ht="25.5" x14ac:dyDescent="0.35">
      <c r="A572" s="55">
        <v>80436</v>
      </c>
      <c r="B572" s="56" t="str" cm="1">
        <f t="array" ref="B572">IF(A572&lt;&gt;"",_xlfn.XLOOKUP(_xlfn.NUMBERVALUE(A572),_xlfn.NUMBERVALUE(Carga[Tombamento]),Carga[Descrição do Bem]),"")</f>
        <v xml:space="preserve">ANALISADOR ANALISADOR DE CARGA </v>
      </c>
      <c r="C572" s="56" t="str">
        <f>MID(B572,12,160)</f>
        <v xml:space="preserve">ANALISADOR DE CARGA </v>
      </c>
      <c r="D572" s="91"/>
      <c r="E572" s="92" t="s">
        <v>194</v>
      </c>
      <c r="F572" s="43" t="s">
        <v>197</v>
      </c>
      <c r="G572" s="67" t="s">
        <v>199</v>
      </c>
      <c r="H572" s="41" t="s">
        <v>201</v>
      </c>
      <c r="I572" s="57" t="s">
        <v>438</v>
      </c>
      <c r="J572" s="58" t="s">
        <v>439</v>
      </c>
      <c r="K572" s="93"/>
      <c r="L572" s="91"/>
      <c r="M572" s="93"/>
      <c r="N572" s="91"/>
      <c r="O572" s="94"/>
      <c r="P572" s="95"/>
      <c r="Q572" s="98"/>
      <c r="R572" s="95"/>
    </row>
  </sheetData>
  <mergeCells count="3">
    <mergeCell ref="A3:P3"/>
    <mergeCell ref="A1:P1"/>
    <mergeCell ref="A2:P2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87C927-E7B0-408E-BBD1-D00A1C0B2939}">
          <x14:formula1>
            <xm:f>DADOS!$O$2:$O$110</xm:f>
          </x14:formula1>
          <xm:sqref>J5:J572</xm:sqref>
        </x14:dataValidation>
        <x14:dataValidation type="list" allowBlank="1" showInputMessage="1" showErrorMessage="1" xr:uid="{95D7D6DB-CB9A-4E57-B495-E5BC5D668D2E}">
          <x14:formula1>
            <xm:f>DADOS!$Q$2:$Q$30</xm:f>
          </x14:formula1>
          <xm:sqref>I5:I572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909E-6A37-4528-A3FB-6A7621D9D961}">
  <dimension ref="A1:E37"/>
  <sheetViews>
    <sheetView workbookViewId="0">
      <selection activeCell="A4" sqref="A4"/>
    </sheetView>
  </sheetViews>
  <sheetFormatPr defaultRowHeight="12.75" x14ac:dyDescent="0.15"/>
  <cols>
    <col min="1" max="1" width="14.15625" customWidth="1"/>
    <col min="2" max="2" width="27.10546875" customWidth="1"/>
    <col min="3" max="3" width="28.31640625" customWidth="1"/>
    <col min="4" max="4" width="16.5859375" customWidth="1"/>
    <col min="5" max="5" width="36.2734375" customWidth="1"/>
  </cols>
  <sheetData>
    <row r="1" spans="1:5" ht="8.4499999999999993" customHeight="1" x14ac:dyDescent="0.15">
      <c r="A1" s="68"/>
      <c r="B1" s="68"/>
      <c r="C1" s="68"/>
      <c r="D1" s="68"/>
      <c r="E1" s="68"/>
    </row>
    <row r="2" spans="1:5" ht="27.6" customHeight="1" x14ac:dyDescent="0.15">
      <c r="A2" s="49" t="s">
        <v>9</v>
      </c>
      <c r="B2" s="51" t="s">
        <v>202</v>
      </c>
      <c r="C2" s="53" t="s">
        <v>969</v>
      </c>
      <c r="D2" s="53" t="s">
        <v>970</v>
      </c>
      <c r="E2" s="70" t="s">
        <v>968</v>
      </c>
    </row>
    <row r="3" spans="1:5" ht="30" customHeight="1" x14ac:dyDescent="0.35">
      <c r="A3" s="55">
        <v>67655</v>
      </c>
      <c r="B3" s="71" t="str" cm="1">
        <f t="array" ref="B3">IF(A3&lt;&gt;"",_xlfn.XLOOKUP(_xlfn.NUMBERVALUE(A3),_xlfn.NUMBERVALUE(Carga[Tombamento]),Carga[Descrição do Bem]),"Digite!")</f>
        <v>GAVETEIRO GAVETEIRO VOLANTE 630X400X500MM</v>
      </c>
      <c r="C3" s="75" t="str" cm="1">
        <f t="array" ref="C3">IF(A3&lt;&gt;"",_xlfn.XLOOKUP(_xlfn.NUMBERVALUE(A3),_xlfn.NUMBERVALUE(Carga[Tombamento]),Carga[Localização]),"Aguardando solicitar pesquisa!")</f>
        <v>Prédio - gerência</v>
      </c>
      <c r="D3" s="72"/>
      <c r="E3" s="56"/>
    </row>
    <row r="4" spans="1:5" ht="30" customHeight="1" x14ac:dyDescent="0.15">
      <c r="A4" s="55"/>
      <c r="B4" s="71" t="str" cm="1">
        <f t="array" ref="B4">IF(A4&lt;&gt;"",_xlfn.XLOOKUP(_xlfn.NUMBERVALUE(A4),_xlfn.NUMBERVALUE(Carga[Tombamento]),Carga[Descrição do Bem]),"Digite!")</f>
        <v>Digite!</v>
      </c>
      <c r="C4" s="75" t="str" cm="1">
        <f t="array" ref="C4">IF(A4&lt;&gt;"",_xlfn.XLOOKUP(_xlfn.NUMBERVALUE(A4),_xlfn.NUMBERVALUE(Carga[Tombamento]),Carga[Localização]),"Aguardando solicitar pesquisa!")</f>
        <v>Aguardando solicitar pesquisa!</v>
      </c>
      <c r="D4" s="72"/>
      <c r="E4" s="56"/>
    </row>
    <row r="5" spans="1:5" ht="30" customHeight="1" x14ac:dyDescent="0.15">
      <c r="A5" s="55"/>
      <c r="B5" s="71" t="str" cm="1">
        <f t="array" ref="B5">IF(A5&lt;&gt;"",_xlfn.XLOOKUP(_xlfn.NUMBERVALUE(A5),_xlfn.NUMBERVALUE(Carga[Tombamento]),Carga[Descrição do Bem]),"Digite!")</f>
        <v>Digite!</v>
      </c>
      <c r="C5" s="75" t="str" cm="1">
        <f t="array" ref="C5">IF(A5&lt;&gt;"",_xlfn.XLOOKUP(_xlfn.NUMBERVALUE(A5),_xlfn.NUMBERVALUE(Carga[Tombamento]),Carga[Localização]),"Aguardando solicitar pesquisa!")</f>
        <v>Aguardando solicitar pesquisa!</v>
      </c>
      <c r="D5" s="74"/>
      <c r="E5" s="56"/>
    </row>
    <row r="6" spans="1:5" ht="30" customHeight="1" x14ac:dyDescent="0.15">
      <c r="A6" s="55"/>
      <c r="B6" s="71" t="str" cm="1">
        <f t="array" ref="B6">IF(A6&lt;&gt;"",_xlfn.XLOOKUP(_xlfn.NUMBERVALUE(A6),_xlfn.NUMBERVALUE(Carga[Tombamento]),Carga[Descrição do Bem]),"Digite!")</f>
        <v>Digite!</v>
      </c>
      <c r="C6" s="75" t="str" cm="1">
        <f t="array" ref="C6">IF(A6&lt;&gt;"",_xlfn.XLOOKUP(_xlfn.NUMBERVALUE(A6),_xlfn.NUMBERVALUE(Carga[Tombamento]),Carga[Localização]),"Aguardando solicitar pesquisa!")</f>
        <v>Aguardando solicitar pesquisa!</v>
      </c>
      <c r="D6" s="74"/>
      <c r="E6" s="56"/>
    </row>
    <row r="7" spans="1:5" ht="30" customHeight="1" x14ac:dyDescent="0.15">
      <c r="A7" s="55"/>
      <c r="B7" s="71" t="str" cm="1">
        <f t="array" ref="B7">IF(A7&lt;&gt;"",_xlfn.XLOOKUP(_xlfn.NUMBERVALUE(A7),_xlfn.NUMBERVALUE(Carga[Tombamento]),Carga[Descrição do Bem]),"Digite!")</f>
        <v>Digite!</v>
      </c>
      <c r="C7" s="75" t="str" cm="1">
        <f t="array" ref="C7">IF(A7&lt;&gt;"",_xlfn.XLOOKUP(_xlfn.NUMBERVALUE(A7),_xlfn.NUMBERVALUE(Carga[Tombamento]),Carga[Localização]),"Aguardando solicitar pesquisa!")</f>
        <v>Aguardando solicitar pesquisa!</v>
      </c>
      <c r="D7" s="74"/>
      <c r="E7" s="56"/>
    </row>
    <row r="8" spans="1:5" ht="30" customHeight="1" x14ac:dyDescent="0.15">
      <c r="A8" s="55"/>
      <c r="B8" s="71" t="str" cm="1">
        <f t="array" ref="B8">IF(A8&lt;&gt;"",_xlfn.XLOOKUP(_xlfn.NUMBERVALUE(A8),_xlfn.NUMBERVALUE(Carga[Tombamento]),Carga[Descrição do Bem]),"Digite!")</f>
        <v>Digite!</v>
      </c>
      <c r="C8" s="75" t="str" cm="1">
        <f t="array" ref="C8">IF(A8&lt;&gt;"",_xlfn.XLOOKUP(_xlfn.NUMBERVALUE(A8),_xlfn.NUMBERVALUE(Carga[Tombamento]),Carga[Localização]),"Aguardando solicitar pesquisa!")</f>
        <v>Aguardando solicitar pesquisa!</v>
      </c>
      <c r="D8" s="72"/>
      <c r="E8" s="56"/>
    </row>
    <row r="9" spans="1:5" ht="30" customHeight="1" x14ac:dyDescent="0.15">
      <c r="A9" s="55"/>
      <c r="B9" s="71" t="str" cm="1">
        <f t="array" ref="B9">IF(A9&lt;&gt;"",_xlfn.XLOOKUP(_xlfn.NUMBERVALUE(A9),_xlfn.NUMBERVALUE(Carga[Tombamento]),Carga[Descrição do Bem]),"Digite!")</f>
        <v>Digite!</v>
      </c>
      <c r="C9" s="75" t="str" cm="1">
        <f t="array" ref="C9">IF(A9&lt;&gt;"",_xlfn.XLOOKUP(_xlfn.NUMBERVALUE(A9),_xlfn.NUMBERVALUE(Carga[Tombamento]),Carga[Localização]),"Aguardando solicitar pesquisa!")</f>
        <v>Aguardando solicitar pesquisa!</v>
      </c>
      <c r="D9" s="74"/>
      <c r="E9" s="56"/>
    </row>
    <row r="10" spans="1:5" ht="30" customHeight="1" x14ac:dyDescent="0.15">
      <c r="A10" s="55"/>
      <c r="B10" s="71" t="str" cm="1">
        <f t="array" ref="B10">IF(A10&lt;&gt;"",_xlfn.XLOOKUP(_xlfn.NUMBERVALUE(A10),_xlfn.NUMBERVALUE(Carga[Tombamento]),Carga[Descrição do Bem]),"Digite!")</f>
        <v>Digite!</v>
      </c>
      <c r="C10" s="75" t="str" cm="1">
        <f t="array" ref="C10">IF(A10&lt;&gt;"",_xlfn.XLOOKUP(_xlfn.NUMBERVALUE(A10),_xlfn.NUMBERVALUE(Carga[Tombamento]),Carga[Localização]),"Aguardando solicitar pesquisa!")</f>
        <v>Aguardando solicitar pesquisa!</v>
      </c>
      <c r="D10" s="74"/>
      <c r="E10" s="56"/>
    </row>
    <row r="11" spans="1:5" ht="30" customHeight="1" x14ac:dyDescent="0.15">
      <c r="A11" s="55"/>
      <c r="B11" s="71" t="str" cm="1">
        <f t="array" ref="B11">IF(A11&lt;&gt;"",_xlfn.XLOOKUP(_xlfn.NUMBERVALUE(A11),_xlfn.NUMBERVALUE(Carga[Tombamento]),Carga[Descrição do Bem]),"Digite!")</f>
        <v>Digite!</v>
      </c>
      <c r="C11" s="75" t="str" cm="1">
        <f t="array" ref="C11">IF(A11&lt;&gt;"",_xlfn.XLOOKUP(_xlfn.NUMBERVALUE(A11),_xlfn.NUMBERVALUE(Carga[Tombamento]),Carga[Localização]),"Aguardando solicitar pesquisa!")</f>
        <v>Aguardando solicitar pesquisa!</v>
      </c>
      <c r="D11" s="74"/>
      <c r="E11" s="56"/>
    </row>
    <row r="12" spans="1:5" ht="30" customHeight="1" x14ac:dyDescent="0.15">
      <c r="A12" s="55"/>
      <c r="B12" s="71" t="str" cm="1">
        <f t="array" ref="B12">IF(A12&lt;&gt;"",_xlfn.XLOOKUP(_xlfn.NUMBERVALUE(A12),_xlfn.NUMBERVALUE(Carga[Tombamento]),Carga[Descrição do Bem]),"Digite!")</f>
        <v>Digite!</v>
      </c>
      <c r="C12" s="75" t="str" cm="1">
        <f t="array" ref="C12">IF(A12&lt;&gt;"",_xlfn.XLOOKUP(_xlfn.NUMBERVALUE(A12),_xlfn.NUMBERVALUE(Carga[Tombamento]),Carga[Localização]),"Aguardando solicitar pesquisa!")</f>
        <v>Aguardando solicitar pesquisa!</v>
      </c>
      <c r="D12" s="74"/>
      <c r="E12" s="56"/>
    </row>
    <row r="13" spans="1:5" ht="30" customHeight="1" x14ac:dyDescent="0.15">
      <c r="A13" s="55"/>
      <c r="B13" s="71" t="str" cm="1">
        <f t="array" ref="B13">IF(A13&lt;&gt;"",_xlfn.XLOOKUP(_xlfn.NUMBERVALUE(A13),_xlfn.NUMBERVALUE(Carga[Tombamento]),Carga[Descrição do Bem]),"Digite!")</f>
        <v>Digite!</v>
      </c>
      <c r="C13" s="75" t="str" cm="1">
        <f t="array" ref="C13">IF(A13&lt;&gt;"",_xlfn.XLOOKUP(_xlfn.NUMBERVALUE(A13),_xlfn.NUMBERVALUE(Carga[Tombamento]),Carga[Localização]),"Aguardando solicitar pesquisa!")</f>
        <v>Aguardando solicitar pesquisa!</v>
      </c>
      <c r="D13" s="74"/>
      <c r="E13" s="73"/>
    </row>
    <row r="14" spans="1:5" ht="30" customHeight="1" x14ac:dyDescent="0.15">
      <c r="A14" s="55"/>
      <c r="B14" s="71" t="str" cm="1">
        <f t="array" ref="B14">IF(A14&lt;&gt;"",_xlfn.XLOOKUP(_xlfn.NUMBERVALUE(A14),_xlfn.NUMBERVALUE(Carga[Tombamento]),Carga[Descrição do Bem]),"Digite!")</f>
        <v>Digite!</v>
      </c>
      <c r="C14" s="75" t="str" cm="1">
        <f t="array" ref="C14">IF(A14&lt;&gt;"",_xlfn.XLOOKUP(_xlfn.NUMBERVALUE(A14),_xlfn.NUMBERVALUE(Carga[Tombamento]),Carga[Localização]),"Aguardando solicitar pesquisa!")</f>
        <v>Aguardando solicitar pesquisa!</v>
      </c>
      <c r="D14" s="74"/>
      <c r="E14" s="73"/>
    </row>
    <row r="15" spans="1:5" ht="30" customHeight="1" x14ac:dyDescent="0.15">
      <c r="A15" s="55"/>
      <c r="B15" s="71" t="str" cm="1">
        <f t="array" ref="B15">IF(A15&lt;&gt;"",_xlfn.XLOOKUP(_xlfn.NUMBERVALUE(A15),_xlfn.NUMBERVALUE(Carga[Tombamento]),Carga[Descrição do Bem]),"Digite!")</f>
        <v>Digite!</v>
      </c>
      <c r="C15" s="75" t="str" cm="1">
        <f t="array" ref="C15">IF(A15&lt;&gt;"",_xlfn.XLOOKUP(_xlfn.NUMBERVALUE(A15),_xlfn.NUMBERVALUE(Carga[Tombamento]),Carga[Localização]),"Aguardando solicitar pesquisa!")</f>
        <v>Aguardando solicitar pesquisa!</v>
      </c>
      <c r="D15" s="74"/>
      <c r="E15" s="73"/>
    </row>
    <row r="16" spans="1:5" ht="30" customHeight="1" x14ac:dyDescent="0.15">
      <c r="A16" s="55"/>
      <c r="B16" s="71" t="str" cm="1">
        <f t="array" ref="B16">IF(A16&lt;&gt;"",_xlfn.XLOOKUP(_xlfn.NUMBERVALUE(A16),_xlfn.NUMBERVALUE(Carga[Tombamento]),Carga[Descrição do Bem]),"Digite!")</f>
        <v>Digite!</v>
      </c>
      <c r="C16" s="75" t="str" cm="1">
        <f t="array" ref="C16">IF(A16&lt;&gt;"",_xlfn.XLOOKUP(_xlfn.NUMBERVALUE(A16),_xlfn.NUMBERVALUE(Carga[Tombamento]),Carga[Localização]),"Aguardando solicitar pesquisa!")</f>
        <v>Aguardando solicitar pesquisa!</v>
      </c>
      <c r="D16" s="74"/>
      <c r="E16" s="73"/>
    </row>
    <row r="17" spans="1:5" ht="30" customHeight="1" x14ac:dyDescent="0.15">
      <c r="A17" s="55"/>
      <c r="B17" s="71" t="str" cm="1">
        <f t="array" ref="B17">IF(A17&lt;&gt;"",_xlfn.XLOOKUP(_xlfn.NUMBERVALUE(A17),_xlfn.NUMBERVALUE(Carga[Tombamento]),Carga[Descrição do Bem]),"Digite!")</f>
        <v>Digite!</v>
      </c>
      <c r="C17" s="75" t="str" cm="1">
        <f t="array" ref="C17">IF(A17&lt;&gt;"",_xlfn.XLOOKUP(_xlfn.NUMBERVALUE(A17),_xlfn.NUMBERVALUE(Carga[Tombamento]),Carga[Localização]),"Aguardando solicitar pesquisa!")</f>
        <v>Aguardando solicitar pesquisa!</v>
      </c>
      <c r="D17" s="74"/>
      <c r="E17" s="73"/>
    </row>
    <row r="18" spans="1:5" ht="30" customHeight="1" x14ac:dyDescent="0.15">
      <c r="A18" s="55"/>
      <c r="B18" s="71" t="str" cm="1">
        <f t="array" ref="B18">IF(A18&lt;&gt;"",_xlfn.XLOOKUP(_xlfn.NUMBERVALUE(A18),_xlfn.NUMBERVALUE(Carga[Tombamento]),Carga[Descrição do Bem]),"Digite!")</f>
        <v>Digite!</v>
      </c>
      <c r="C18" s="75" t="str" cm="1">
        <f t="array" ref="C18">IF(A18&lt;&gt;"",_xlfn.XLOOKUP(_xlfn.NUMBERVALUE(A18),_xlfn.NUMBERVALUE(Carga[Tombamento]),Carga[Localização]),"Aguardando solicitar pesquisa!")</f>
        <v>Aguardando solicitar pesquisa!</v>
      </c>
      <c r="D18" s="74"/>
      <c r="E18" s="73"/>
    </row>
    <row r="19" spans="1:5" ht="30" customHeight="1" x14ac:dyDescent="0.15">
      <c r="A19" s="55"/>
      <c r="B19" s="71" t="str" cm="1">
        <f t="array" ref="B19">IF(A19&lt;&gt;"",_xlfn.XLOOKUP(_xlfn.NUMBERVALUE(A19),_xlfn.NUMBERVALUE(Carga[Tombamento]),Carga[Descrição do Bem]),"Digite!")</f>
        <v>Digite!</v>
      </c>
      <c r="C19" s="75" t="str" cm="1">
        <f t="array" ref="C19">IF(A19&lt;&gt;"",_xlfn.XLOOKUP(_xlfn.NUMBERVALUE(A19),_xlfn.NUMBERVALUE(Carga[Tombamento]),Carga[Localização]),"Aguardando solicitar pesquisa!")</f>
        <v>Aguardando solicitar pesquisa!</v>
      </c>
      <c r="D19" s="74"/>
      <c r="E19" s="73"/>
    </row>
    <row r="20" spans="1:5" ht="30" customHeight="1" x14ac:dyDescent="0.15">
      <c r="A20" s="55"/>
      <c r="B20" s="71" t="str" cm="1">
        <f t="array" ref="B20">IF(A20&lt;&gt;"",_xlfn.XLOOKUP(_xlfn.NUMBERVALUE(A20),_xlfn.NUMBERVALUE(Carga[Tombamento]),Carga[Descrição do Bem]),"Digite!")</f>
        <v>Digite!</v>
      </c>
      <c r="C20" s="75" t="str" cm="1">
        <f t="array" ref="C20">IF(A20&lt;&gt;"",_xlfn.XLOOKUP(_xlfn.NUMBERVALUE(A20),_xlfn.NUMBERVALUE(Carga[Tombamento]),Carga[Localização]),"Aguardando solicitar pesquisa!")</f>
        <v>Aguardando solicitar pesquisa!</v>
      </c>
      <c r="D20" s="74"/>
      <c r="E20" s="73"/>
    </row>
    <row r="21" spans="1:5" ht="30" customHeight="1" x14ac:dyDescent="0.15">
      <c r="A21" s="55"/>
      <c r="B21" s="71" t="str" cm="1">
        <f t="array" ref="B21">IF(A21&lt;&gt;"",_xlfn.XLOOKUP(_xlfn.NUMBERVALUE(A21),_xlfn.NUMBERVALUE(Carga[Tombamento]),Carga[Descrição do Bem]),"Digite!")</f>
        <v>Digite!</v>
      </c>
      <c r="C21" s="75" t="str" cm="1">
        <f t="array" ref="C21">IF(A21&lt;&gt;"",_xlfn.XLOOKUP(_xlfn.NUMBERVALUE(A21),_xlfn.NUMBERVALUE(Carga[Tombamento]),Carga[Localização]),"Aguardando solicitar pesquisa!")</f>
        <v>Aguardando solicitar pesquisa!</v>
      </c>
      <c r="D21" s="74"/>
      <c r="E21" s="73"/>
    </row>
    <row r="22" spans="1:5" ht="30" customHeight="1" x14ac:dyDescent="0.15">
      <c r="A22" s="55"/>
      <c r="B22" s="71" t="str" cm="1">
        <f t="array" ref="B22">IF(A22&lt;&gt;"",_xlfn.XLOOKUP(_xlfn.NUMBERVALUE(A22),_xlfn.NUMBERVALUE(Carga[Tombamento]),Carga[Descrição do Bem]),"Digite!")</f>
        <v>Digite!</v>
      </c>
      <c r="C22" s="75" t="str" cm="1">
        <f t="array" ref="C22">IF(A22&lt;&gt;"",_xlfn.XLOOKUP(_xlfn.NUMBERVALUE(A22),_xlfn.NUMBERVALUE(Carga[Tombamento]),Carga[Localização]),"Aguardando solicitar pesquisa!")</f>
        <v>Aguardando solicitar pesquisa!</v>
      </c>
      <c r="D22" s="74"/>
      <c r="E22" s="73"/>
    </row>
    <row r="23" spans="1:5" ht="30" customHeight="1" x14ac:dyDescent="0.15">
      <c r="A23" s="55"/>
      <c r="B23" s="71" t="str" cm="1">
        <f t="array" ref="B23">IF(A23&lt;&gt;"",_xlfn.XLOOKUP(_xlfn.NUMBERVALUE(A23),_xlfn.NUMBERVALUE(Carga[Tombamento]),Carga[Descrição do Bem]),"Digite!")</f>
        <v>Digite!</v>
      </c>
      <c r="C23" s="75" t="str" cm="1">
        <f t="array" ref="C23">IF(A23&lt;&gt;"",_xlfn.XLOOKUP(_xlfn.NUMBERVALUE(A23),_xlfn.NUMBERVALUE(Carga[Tombamento]),Carga[Localização]),"Aguardando solicitar pesquisa!")</f>
        <v>Aguardando solicitar pesquisa!</v>
      </c>
      <c r="D23" s="74"/>
      <c r="E23" s="73"/>
    </row>
    <row r="24" spans="1:5" ht="30" customHeight="1" x14ac:dyDescent="0.15">
      <c r="A24" s="55"/>
      <c r="B24" s="71" t="str" cm="1">
        <f t="array" ref="B24">IF(A24&lt;&gt;"",_xlfn.XLOOKUP(_xlfn.NUMBERVALUE(A24),_xlfn.NUMBERVALUE(Carga[Tombamento]),Carga[Descrição do Bem]),"Digite!")</f>
        <v>Digite!</v>
      </c>
      <c r="C24" s="75" t="str" cm="1">
        <f t="array" ref="C24">IF(A24&lt;&gt;"",_xlfn.XLOOKUP(_xlfn.NUMBERVALUE(A24),_xlfn.NUMBERVALUE(Carga[Tombamento]),Carga[Localização]),"Aguardando solicitar pesquisa!")</f>
        <v>Aguardando solicitar pesquisa!</v>
      </c>
      <c r="D24" s="74"/>
      <c r="E24" s="73"/>
    </row>
    <row r="25" spans="1:5" ht="30" customHeight="1" x14ac:dyDescent="0.15">
      <c r="A25" s="55"/>
      <c r="B25" s="71" t="str" cm="1">
        <f t="array" ref="B25">IF(A25&lt;&gt;"",_xlfn.XLOOKUP(_xlfn.NUMBERVALUE(A25),_xlfn.NUMBERVALUE(Carga[Tombamento]),Carga[Descrição do Bem]),"Digite!")</f>
        <v>Digite!</v>
      </c>
      <c r="C25" s="75" t="str" cm="1">
        <f t="array" ref="C25">IF(A25&lt;&gt;"",_xlfn.XLOOKUP(_xlfn.NUMBERVALUE(A25),_xlfn.NUMBERVALUE(Carga[Tombamento]),Carga[Localização]),"Aguardando solicitar pesquisa!")</f>
        <v>Aguardando solicitar pesquisa!</v>
      </c>
      <c r="D25" s="74"/>
      <c r="E25" s="73"/>
    </row>
    <row r="26" spans="1:5" ht="30" customHeight="1" x14ac:dyDescent="0.15">
      <c r="A26" s="55"/>
      <c r="B26" s="71" t="str" cm="1">
        <f t="array" ref="B26">IF(A26&lt;&gt;"",_xlfn.XLOOKUP(_xlfn.NUMBERVALUE(A26),_xlfn.NUMBERVALUE(Carga[Tombamento]),Carga[Descrição do Bem]),"Digite!")</f>
        <v>Digite!</v>
      </c>
      <c r="C26" s="75" t="str" cm="1">
        <f t="array" ref="C26">IF(A26&lt;&gt;"",_xlfn.XLOOKUP(_xlfn.NUMBERVALUE(A26),_xlfn.NUMBERVALUE(Carga[Tombamento]),Carga[Localização]),"Aguardando solicitar pesquisa!")</f>
        <v>Aguardando solicitar pesquisa!</v>
      </c>
      <c r="D26" s="74"/>
      <c r="E26" s="73"/>
    </row>
    <row r="27" spans="1:5" ht="30" customHeight="1" x14ac:dyDescent="0.15">
      <c r="A27" s="55"/>
      <c r="B27" s="71" t="str" cm="1">
        <f t="array" ref="B27">IF(A27&lt;&gt;"",_xlfn.XLOOKUP(_xlfn.NUMBERVALUE(A27),_xlfn.NUMBERVALUE(Carga[Tombamento]),Carga[Descrição do Bem]),"Digite!")</f>
        <v>Digite!</v>
      </c>
      <c r="C27" s="75" t="str" cm="1">
        <f t="array" ref="C27">IF(A27&lt;&gt;"",_xlfn.XLOOKUP(_xlfn.NUMBERVALUE(A27),_xlfn.NUMBERVALUE(Carga[Tombamento]),Carga[Localização]),"Aguardando solicitar pesquisa!")</f>
        <v>Aguardando solicitar pesquisa!</v>
      </c>
      <c r="D27" s="74"/>
      <c r="E27" s="73"/>
    </row>
    <row r="28" spans="1:5" ht="30" customHeight="1" x14ac:dyDescent="0.15">
      <c r="A28" s="55"/>
      <c r="B28" s="71" t="str" cm="1">
        <f t="array" ref="B28">IF(A28&lt;&gt;"",_xlfn.XLOOKUP(_xlfn.NUMBERVALUE(A28),_xlfn.NUMBERVALUE(Carga[Tombamento]),Carga[Descrição do Bem]),"Digite!")</f>
        <v>Digite!</v>
      </c>
      <c r="C28" s="75" t="str" cm="1">
        <f t="array" ref="C28">IF(A28&lt;&gt;"",_xlfn.XLOOKUP(_xlfn.NUMBERVALUE(A28),_xlfn.NUMBERVALUE(Carga[Tombamento]),Carga[Localização]),"Aguardando solicitar pesquisa!")</f>
        <v>Aguardando solicitar pesquisa!</v>
      </c>
      <c r="D28" s="74"/>
      <c r="E28" s="73"/>
    </row>
    <row r="29" spans="1:5" ht="30" customHeight="1" x14ac:dyDescent="0.15">
      <c r="A29" s="55"/>
      <c r="B29" s="71" t="str" cm="1">
        <f t="array" ref="B29">IF(A29&lt;&gt;"",_xlfn.XLOOKUP(_xlfn.NUMBERVALUE(A29),_xlfn.NUMBERVALUE(Carga[Tombamento]),Carga[Descrição do Bem]),"Digite!")</f>
        <v>Digite!</v>
      </c>
      <c r="C29" s="75" t="str" cm="1">
        <f t="array" ref="C29">IF(A29&lt;&gt;"",_xlfn.XLOOKUP(_xlfn.NUMBERVALUE(A29),_xlfn.NUMBERVALUE(Carga[Tombamento]),Carga[Localização]),"Aguardando solicitar pesquisa!")</f>
        <v>Aguardando solicitar pesquisa!</v>
      </c>
      <c r="D29" s="74"/>
      <c r="E29" s="73"/>
    </row>
    <row r="30" spans="1:5" ht="30" customHeight="1" x14ac:dyDescent="0.15">
      <c r="A30" s="55"/>
      <c r="B30" s="71" t="str" cm="1">
        <f t="array" ref="B30">IF(A30&lt;&gt;"",_xlfn.XLOOKUP(_xlfn.NUMBERVALUE(A30),_xlfn.NUMBERVALUE(Carga[Tombamento]),Carga[Descrição do Bem]),"Digite!")</f>
        <v>Digite!</v>
      </c>
      <c r="C30" s="75" t="str" cm="1">
        <f t="array" ref="C30">IF(A30&lt;&gt;"",_xlfn.XLOOKUP(_xlfn.NUMBERVALUE(A30),_xlfn.NUMBERVALUE(Carga[Tombamento]),Carga[Localização]),"Aguardando solicitar pesquisa!")</f>
        <v>Aguardando solicitar pesquisa!</v>
      </c>
      <c r="D30" s="74"/>
      <c r="E30" s="73"/>
    </row>
    <row r="31" spans="1:5" ht="30" customHeight="1" x14ac:dyDescent="0.15">
      <c r="A31" s="55"/>
      <c r="B31" s="71" t="str" cm="1">
        <f t="array" ref="B31">IF(A31&lt;&gt;"",_xlfn.XLOOKUP(_xlfn.NUMBERVALUE(A31),_xlfn.NUMBERVALUE(Carga[Tombamento]),Carga[Descrição do Bem]),"Digite!")</f>
        <v>Digite!</v>
      </c>
      <c r="C31" s="75" t="str" cm="1">
        <f t="array" ref="C31">IF(A31&lt;&gt;"",_xlfn.XLOOKUP(_xlfn.NUMBERVALUE(A31),_xlfn.NUMBERVALUE(Carga[Tombamento]),Carga[Localização]),"Aguardando solicitar pesquisa!")</f>
        <v>Aguardando solicitar pesquisa!</v>
      </c>
      <c r="D31" s="74"/>
      <c r="E31" s="73"/>
    </row>
    <row r="32" spans="1:5" ht="30" customHeight="1" x14ac:dyDescent="0.15">
      <c r="A32" s="55"/>
      <c r="B32" s="71" t="str" cm="1">
        <f t="array" ref="B32">IF(A32&lt;&gt;"",_xlfn.XLOOKUP(_xlfn.NUMBERVALUE(A32),_xlfn.NUMBERVALUE(Carga[Tombamento]),Carga[Descrição do Bem]),"Digite!")</f>
        <v>Digite!</v>
      </c>
      <c r="C32" s="75" t="str" cm="1">
        <f t="array" ref="C32">IF(A32&lt;&gt;"",_xlfn.XLOOKUP(_xlfn.NUMBERVALUE(A32),_xlfn.NUMBERVALUE(Carga[Tombamento]),Carga[Localização]),"Aguardando solicitar pesquisa!")</f>
        <v>Aguardando solicitar pesquisa!</v>
      </c>
      <c r="D32" s="74"/>
      <c r="E32" s="73"/>
    </row>
    <row r="33" spans="1:5" ht="30" customHeight="1" x14ac:dyDescent="0.15">
      <c r="A33" s="55"/>
      <c r="B33" s="71" t="str" cm="1">
        <f t="array" ref="B33">IF(A33&lt;&gt;"",_xlfn.XLOOKUP(_xlfn.NUMBERVALUE(A33),_xlfn.NUMBERVALUE(Carga[Tombamento]),Carga[Descrição do Bem]),"Digite!")</f>
        <v>Digite!</v>
      </c>
      <c r="C33" s="75" t="str" cm="1">
        <f t="array" ref="C33">IF(A33&lt;&gt;"",_xlfn.XLOOKUP(_xlfn.NUMBERVALUE(A33),_xlfn.NUMBERVALUE(Carga[Tombamento]),Carga[Localização]),"Aguardando solicitar pesquisa!")</f>
        <v>Aguardando solicitar pesquisa!</v>
      </c>
      <c r="D33" s="74"/>
      <c r="E33" s="73"/>
    </row>
    <row r="34" spans="1:5" ht="30" customHeight="1" x14ac:dyDescent="0.15">
      <c r="A34" s="55"/>
      <c r="B34" s="71" t="str" cm="1">
        <f t="array" ref="B34">IF(A34&lt;&gt;"",_xlfn.XLOOKUP(_xlfn.NUMBERVALUE(A34),_xlfn.NUMBERVALUE(Carga[Tombamento]),Carga[Descrição do Bem]),"Digite!")</f>
        <v>Digite!</v>
      </c>
      <c r="C34" s="75" t="str" cm="1">
        <f t="array" ref="C34">IF(A34&lt;&gt;"",_xlfn.XLOOKUP(_xlfn.NUMBERVALUE(A34),_xlfn.NUMBERVALUE(Carga[Tombamento]),Carga[Localização]),"Aguardando solicitar pesquisa!")</f>
        <v>Aguardando solicitar pesquisa!</v>
      </c>
      <c r="D34" s="74"/>
      <c r="E34" s="73"/>
    </row>
    <row r="35" spans="1:5" ht="30" customHeight="1" x14ac:dyDescent="0.15">
      <c r="A35" s="55"/>
      <c r="B35" s="71" t="str" cm="1">
        <f t="array" ref="B35">IF(A35&lt;&gt;"",_xlfn.XLOOKUP(_xlfn.NUMBERVALUE(A35),_xlfn.NUMBERVALUE(Carga[Tombamento]),Carga[Descrição do Bem]),"Digite!")</f>
        <v>Digite!</v>
      </c>
      <c r="C35" s="75" t="str" cm="1">
        <f t="array" ref="C35">IF(A35&lt;&gt;"",_xlfn.XLOOKUP(_xlfn.NUMBERVALUE(A35),_xlfn.NUMBERVALUE(Carga[Tombamento]),Carga[Localização]),"Aguardando solicitar pesquisa!")</f>
        <v>Aguardando solicitar pesquisa!</v>
      </c>
      <c r="D35" s="74"/>
      <c r="E35" s="73"/>
    </row>
    <row r="36" spans="1:5" ht="30" customHeight="1" x14ac:dyDescent="0.15">
      <c r="A36" s="55"/>
      <c r="B36" s="71" t="str" cm="1">
        <f t="array" ref="B36">IF(A36&lt;&gt;"",_xlfn.XLOOKUP(_xlfn.NUMBERVALUE(A36),_xlfn.NUMBERVALUE(Carga[Tombamento]),Carga[Descrição do Bem]),"Digite!")</f>
        <v>Digite!</v>
      </c>
      <c r="C36" s="75" t="str" cm="1">
        <f t="array" ref="C36">IF(A36&lt;&gt;"",_xlfn.XLOOKUP(_xlfn.NUMBERVALUE(A36),_xlfn.NUMBERVALUE(Carga[Tombamento]),Carga[Localização]),"Aguardando solicitar pesquisa!")</f>
        <v>Aguardando solicitar pesquisa!</v>
      </c>
      <c r="D36" s="74"/>
      <c r="E36" s="73"/>
    </row>
    <row r="37" spans="1:5" ht="30" customHeight="1" x14ac:dyDescent="0.15">
      <c r="A37" s="55"/>
      <c r="B37" s="71" t="str" cm="1">
        <f t="array" ref="B37">IF(A37&lt;&gt;"",_xlfn.XLOOKUP(_xlfn.NUMBERVALUE(A37),_xlfn.NUMBERVALUE(Carga[Tombamento]),Carga[Descrição do Bem]),"Digite!")</f>
        <v>Digite!</v>
      </c>
      <c r="C37" s="75" t="str" cm="1">
        <f t="array" ref="C37">IF(A37&lt;&gt;"",_xlfn.XLOOKUP(_xlfn.NUMBERVALUE(A37),_xlfn.NUMBERVALUE(Carga[Tombamento]),Carga[Localização]),"Aguardando solicitar pesquisa!")</f>
        <v>Aguardando solicitar pesquisa!</v>
      </c>
      <c r="D37" s="74"/>
      <c r="E37" s="73"/>
    </row>
  </sheetData>
  <conditionalFormatting sqref="E3:E12">
    <cfRule type="cellIs" dxfId="13" priority="14" operator="equal">
      <formula>$C$3</formula>
    </cfRule>
  </conditionalFormatting>
  <conditionalFormatting sqref="E4">
    <cfRule type="cellIs" dxfId="12" priority="13" operator="equal">
      <formula>$C$4</formula>
    </cfRule>
  </conditionalFormatting>
  <conditionalFormatting sqref="E5">
    <cfRule type="cellIs" dxfId="11" priority="12" operator="equal">
      <formula>$C$5</formula>
    </cfRule>
  </conditionalFormatting>
  <conditionalFormatting sqref="E6">
    <cfRule type="cellIs" dxfId="10" priority="11" operator="equal">
      <formula>$C$6</formula>
    </cfRule>
  </conditionalFormatting>
  <conditionalFormatting sqref="E7">
    <cfRule type="cellIs" dxfId="9" priority="10" operator="equal">
      <formula>$C$7</formula>
    </cfRule>
  </conditionalFormatting>
  <conditionalFormatting sqref="E8">
    <cfRule type="cellIs" dxfId="8" priority="9" operator="equal">
      <formula>$C$8</formula>
    </cfRule>
  </conditionalFormatting>
  <conditionalFormatting sqref="E9">
    <cfRule type="cellIs" dxfId="7" priority="8" operator="equal">
      <formula>$C$9</formula>
    </cfRule>
  </conditionalFormatting>
  <conditionalFormatting sqref="E10">
    <cfRule type="cellIs" dxfId="6" priority="7" operator="equal">
      <formula>$C$10</formula>
    </cfRule>
  </conditionalFormatting>
  <conditionalFormatting sqref="E11">
    <cfRule type="cellIs" dxfId="5" priority="6" operator="equal">
      <formula>$C$11</formula>
    </cfRule>
  </conditionalFormatting>
  <conditionalFormatting sqref="E12">
    <cfRule type="cellIs" dxfId="4" priority="5" operator="equal">
      <formula>$C$12</formula>
    </cfRule>
  </conditionalFormatting>
  <conditionalFormatting sqref="E13">
    <cfRule type="cellIs" dxfId="3" priority="4" operator="equal">
      <formula>$C$13</formula>
    </cfRule>
  </conditionalFormatting>
  <conditionalFormatting sqref="E14">
    <cfRule type="cellIs" dxfId="2" priority="3" operator="equal">
      <formula>$C$14</formula>
    </cfRule>
  </conditionalFormatting>
  <conditionalFormatting sqref="E15">
    <cfRule type="cellIs" dxfId="1" priority="2" operator="equal">
      <formula>$C$15</formula>
    </cfRule>
  </conditionalFormatting>
  <conditionalFormatting sqref="E16">
    <cfRule type="cellIs" dxfId="0" priority="1" operator="equal">
      <formula>$C$16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5816EA-1585-491D-B51C-5EEF7F21F78F}">
          <x14:formula1>
            <xm:f>DADOS!$O$2:$O$109</xm:f>
          </x14:formula1>
          <xm:sqref>E3:E37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E17C-CD41-404E-B76B-10CF211FA0DD}">
  <sheetPr codeName="Planilha6">
    <pageSetUpPr fitToPage="1"/>
  </sheetPr>
  <dimension ref="A1:P949"/>
  <sheetViews>
    <sheetView showGridLines="0" topLeftCell="A10" zoomScale="90" zoomScaleNormal="90" workbookViewId="0">
      <selection activeCell="G20" sqref="G20:L20"/>
    </sheetView>
  </sheetViews>
  <sheetFormatPr defaultRowHeight="12.75" x14ac:dyDescent="0.15"/>
  <cols>
    <col min="1" max="1" width="5.12109375" style="27" bestFit="1" customWidth="1"/>
    <col min="2" max="2" width="8.4921875" bestFit="1" customWidth="1"/>
    <col min="3" max="3" width="2.828125" customWidth="1"/>
    <col min="4" max="4" width="9.16796875" customWidth="1"/>
    <col min="5" max="5" width="5.796875" customWidth="1"/>
    <col min="6" max="6" width="14.29296875" customWidth="1"/>
    <col min="7" max="7" width="6.875" customWidth="1"/>
    <col min="8" max="8" width="19.55078125" bestFit="1" customWidth="1"/>
    <col min="9" max="9" width="6.3359375" customWidth="1"/>
    <col min="10" max="10" width="5.93359375" customWidth="1"/>
    <col min="11" max="11" width="19.55078125" bestFit="1" customWidth="1"/>
    <col min="12" max="12" width="5.796875" customWidth="1"/>
    <col min="13" max="13" width="8.76171875" customWidth="1"/>
    <col min="14" max="14" width="8.62890625" customWidth="1"/>
    <col min="15" max="15" width="8.76171875" customWidth="1"/>
    <col min="16" max="16" width="8.8984375" customWidth="1"/>
    <col min="17" max="311" width="19.55078125" bestFit="1" customWidth="1"/>
    <col min="312" max="312" width="10.515625" bestFit="1" customWidth="1"/>
  </cols>
  <sheetData>
    <row r="1" spans="1:16" hidden="1" x14ac:dyDescent="0.15">
      <c r="A1" s="33" t="s">
        <v>213</v>
      </c>
      <c r="B1" s="31" t="s">
        <v>263</v>
      </c>
    </row>
    <row r="2" spans="1:16" ht="13.5" hidden="1" thickBot="1" x14ac:dyDescent="0.2">
      <c r="B2" s="29" t="s">
        <v>94</v>
      </c>
    </row>
    <row r="3" spans="1:16" ht="13.5" hidden="1" thickBot="1" x14ac:dyDescent="0.2">
      <c r="A3" s="31"/>
      <c r="B3" s="30">
        <v>1</v>
      </c>
    </row>
    <row r="4" spans="1:16" ht="13.5" hidden="1" thickBot="1" x14ac:dyDescent="0.2">
      <c r="A4"/>
      <c r="B4" s="30">
        <v>2</v>
      </c>
    </row>
    <row r="5" spans="1:16" ht="13.5" hidden="1" thickBot="1" x14ac:dyDescent="0.2">
      <c r="A5"/>
      <c r="B5" s="30">
        <v>3</v>
      </c>
    </row>
    <row r="6" spans="1:16" ht="13.5" hidden="1" thickBot="1" x14ac:dyDescent="0.2">
      <c r="A6" s="32"/>
      <c r="B6" s="30">
        <v>4</v>
      </c>
    </row>
    <row r="7" spans="1:16" ht="13.5" hidden="1" thickBot="1" x14ac:dyDescent="0.2">
      <c r="A7" s="32"/>
      <c r="B7" s="30">
        <v>5</v>
      </c>
    </row>
    <row r="8" spans="1:16" ht="13.5" hidden="1" thickBot="1" x14ac:dyDescent="0.2">
      <c r="A8" s="32"/>
      <c r="B8" s="30">
        <v>6</v>
      </c>
    </row>
    <row r="9" spans="1:16" ht="13.5" hidden="1" thickBot="1" x14ac:dyDescent="0.2">
      <c r="A9" s="32"/>
      <c r="B9" s="30">
        <v>7</v>
      </c>
    </row>
    <row r="10" spans="1:16" ht="13.5" thickBot="1" x14ac:dyDescent="0.2">
      <c r="A10"/>
      <c r="D10" s="168" t="s">
        <v>85</v>
      </c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</row>
    <row r="11" spans="1:16" x14ac:dyDescent="0.15">
      <c r="A11"/>
      <c r="D11" s="169"/>
      <c r="E11" s="170"/>
      <c r="F11" s="175" t="s">
        <v>86</v>
      </c>
      <c r="G11" s="176"/>
      <c r="H11" s="176"/>
      <c r="I11" s="176"/>
      <c r="J11" s="176"/>
      <c r="K11" s="176"/>
      <c r="L11" s="176"/>
      <c r="M11" s="176"/>
      <c r="N11" s="176"/>
      <c r="O11" s="176"/>
      <c r="P11" s="177"/>
    </row>
    <row r="12" spans="1:16" ht="13.5" thickBot="1" x14ac:dyDescent="0.2">
      <c r="A12"/>
      <c r="D12" s="171"/>
      <c r="E12" s="172"/>
      <c r="F12" s="178"/>
      <c r="G12" s="179"/>
      <c r="H12" s="179"/>
      <c r="I12" s="179"/>
      <c r="J12" s="179"/>
      <c r="K12" s="179"/>
      <c r="L12" s="179"/>
      <c r="M12" s="179"/>
      <c r="N12" s="179"/>
      <c r="O12" s="179"/>
      <c r="P12" s="180"/>
    </row>
    <row r="13" spans="1:16" x14ac:dyDescent="0.15">
      <c r="A13"/>
      <c r="D13" s="171"/>
      <c r="E13" s="172"/>
      <c r="F13" s="181" t="s">
        <v>87</v>
      </c>
      <c r="G13" s="182"/>
      <c r="H13" s="182"/>
      <c r="I13" s="182"/>
      <c r="J13" s="182"/>
      <c r="K13" s="182"/>
      <c r="L13" s="183"/>
      <c r="M13" s="187" t="s">
        <v>88</v>
      </c>
      <c r="N13" s="188"/>
      <c r="O13" s="188"/>
      <c r="P13" s="189"/>
    </row>
    <row r="14" spans="1:16" ht="14.25" thickBot="1" x14ac:dyDescent="0.2">
      <c r="A14"/>
      <c r="D14" s="173"/>
      <c r="E14" s="174"/>
      <c r="F14" s="184"/>
      <c r="G14" s="185"/>
      <c r="H14" s="185"/>
      <c r="I14" s="185"/>
      <c r="J14" s="185"/>
      <c r="K14" s="185"/>
      <c r="L14" s="186"/>
      <c r="M14" s="190">
        <f ca="1">TODAY()</f>
        <v>45855</v>
      </c>
      <c r="N14" s="191"/>
      <c r="O14" s="191"/>
      <c r="P14" s="192"/>
    </row>
    <row r="15" spans="1:16" ht="13.5" thickBot="1" x14ac:dyDescent="0.2">
      <c r="A15"/>
      <c r="D15" s="7"/>
      <c r="E15" s="8"/>
      <c r="F15" s="9"/>
      <c r="G15" s="10"/>
      <c r="H15" s="9"/>
      <c r="I15" s="10"/>
      <c r="J15" s="9"/>
      <c r="K15" s="9"/>
      <c r="L15" s="10"/>
      <c r="M15" s="9"/>
      <c r="N15" s="11"/>
      <c r="O15" s="162" t="s">
        <v>995</v>
      </c>
      <c r="P15" s="163"/>
    </row>
    <row r="16" spans="1:16" ht="14.25" thickBot="1" x14ac:dyDescent="0.2">
      <c r="A16"/>
      <c r="D16" s="12" t="s">
        <v>40</v>
      </c>
      <c r="E16" s="13"/>
      <c r="F16" s="25" t="s">
        <v>89</v>
      </c>
      <c r="G16" s="14" t="s">
        <v>90</v>
      </c>
      <c r="H16" s="25" t="s">
        <v>91</v>
      </c>
      <c r="I16" s="26"/>
      <c r="J16" s="145" t="s">
        <v>92</v>
      </c>
      <c r="K16" s="146"/>
      <c r="L16" s="14"/>
      <c r="M16" s="35" t="s">
        <v>93</v>
      </c>
      <c r="N16" s="36" t="s">
        <v>267</v>
      </c>
      <c r="O16" s="164"/>
      <c r="P16" s="165"/>
    </row>
    <row r="17" spans="1:16" ht="13.5" thickBot="1" x14ac:dyDescent="0.2">
      <c r="A17"/>
      <c r="D17" s="15"/>
      <c r="E17" s="16"/>
      <c r="F17" s="6"/>
      <c r="G17" s="17"/>
      <c r="H17" s="18"/>
      <c r="I17" s="17"/>
      <c r="J17" s="18"/>
      <c r="K17" s="18"/>
      <c r="L17" s="17"/>
      <c r="M17" s="6"/>
      <c r="N17" s="6"/>
      <c r="O17" s="166"/>
      <c r="P17" s="167"/>
    </row>
    <row r="18" spans="1:16" ht="13.5" thickBot="1" x14ac:dyDescent="0.2">
      <c r="A18"/>
      <c r="D18" s="147" t="s">
        <v>94</v>
      </c>
      <c r="E18" s="149" t="s">
        <v>95</v>
      </c>
      <c r="F18" s="150"/>
      <c r="G18" s="153" t="s">
        <v>96</v>
      </c>
      <c r="H18" s="154"/>
      <c r="I18" s="154"/>
      <c r="J18" s="154"/>
      <c r="K18" s="154"/>
      <c r="L18" s="155"/>
      <c r="M18" s="159" t="s">
        <v>97</v>
      </c>
      <c r="N18" s="160"/>
      <c r="O18" s="160"/>
      <c r="P18" s="161"/>
    </row>
    <row r="19" spans="1:16" ht="13.5" thickBot="1" x14ac:dyDescent="0.2">
      <c r="A19"/>
      <c r="D19" s="148"/>
      <c r="E19" s="151"/>
      <c r="F19" s="152"/>
      <c r="G19" s="156"/>
      <c r="H19" s="157"/>
      <c r="I19" s="157"/>
      <c r="J19" s="157"/>
      <c r="K19" s="157"/>
      <c r="L19" s="158"/>
      <c r="M19" s="19" t="s">
        <v>98</v>
      </c>
      <c r="N19" s="19" t="s">
        <v>30</v>
      </c>
      <c r="O19" s="19" t="s">
        <v>99</v>
      </c>
      <c r="P19" s="19" t="s">
        <v>100</v>
      </c>
    </row>
    <row r="20" spans="1:16" ht="33" customHeight="1" thickBot="1" x14ac:dyDescent="0.2">
      <c r="A20"/>
      <c r="D20" s="38">
        <v>1</v>
      </c>
      <c r="E20" s="139">
        <v>40010</v>
      </c>
      <c r="F20" s="140"/>
      <c r="G20" s="141" t="str" cm="1">
        <f t="array" ref="G20">IF(E20&lt;&gt;"",_xlfn.XLOOKUP(_xlfn.NUMBERVALUE(E20),_xlfn.NUMBERVALUE(Inventários[Tombamento]),Inventários[Descrição resumida do bem]),"XXXXXXX")</f>
        <v xml:space="preserve"> MESA DE MADEIRA COM TROS GAVETAS DIM.0.70X1.20M</v>
      </c>
      <c r="H20" s="104"/>
      <c r="I20" s="104"/>
      <c r="J20" s="104"/>
      <c r="K20" s="104"/>
      <c r="L20" s="105"/>
      <c r="M20" s="38" t="s">
        <v>90</v>
      </c>
      <c r="N20" s="38"/>
      <c r="O20" s="38"/>
      <c r="P20" s="38"/>
    </row>
    <row r="21" spans="1:16" ht="13.5" thickBot="1" x14ac:dyDescent="0.2">
      <c r="A21"/>
      <c r="D21" s="20">
        <v>2</v>
      </c>
      <c r="E21" s="106"/>
      <c r="F21" s="107"/>
      <c r="G21" s="142" t="str">
        <f>IF(E21&lt;&gt;"",_xlfn.XLOOKUP(_xlfn.NUMBERVALUE(E21),INVENTÁRIOS!A4:A572,INVENTÁRIOS!C4:C572),"XXXXXXX")</f>
        <v>XXXXXXX</v>
      </c>
      <c r="H21" s="143"/>
      <c r="I21" s="143"/>
      <c r="J21" s="143"/>
      <c r="K21" s="143"/>
      <c r="L21" s="144"/>
      <c r="M21" s="20"/>
      <c r="N21" s="20"/>
      <c r="O21" s="20"/>
      <c r="P21" s="20"/>
    </row>
    <row r="22" spans="1:16" ht="13.5" thickBot="1" x14ac:dyDescent="0.2">
      <c r="A22"/>
      <c r="D22" s="20">
        <v>3</v>
      </c>
      <c r="E22" s="106"/>
      <c r="F22" s="107"/>
      <c r="G22" s="103" t="str" cm="1">
        <f t="array" ref="G22">IF(E22&lt;&gt;"",_xlfn.XLOOKUP(_xlfn.NUMBERVALUE(E22),_xlfn.NUMBERVALUE((#REF!)),#REF!),"XXXXXXX")</f>
        <v>XXXXXXX</v>
      </c>
      <c r="H22" s="104"/>
      <c r="I22" s="104"/>
      <c r="J22" s="104"/>
      <c r="K22" s="104"/>
      <c r="L22" s="105"/>
      <c r="M22" s="20"/>
      <c r="N22" s="20"/>
      <c r="O22" s="20"/>
      <c r="P22" s="20"/>
    </row>
    <row r="23" spans="1:16" ht="13.5" thickBot="1" x14ac:dyDescent="0.2">
      <c r="A23"/>
      <c r="D23" s="20">
        <v>4</v>
      </c>
      <c r="E23" s="106" t="str">
        <f t="shared" ref="E23:E26" si="0">IF($B$1&lt;&gt;"(vazio)",IF(A6&lt;&gt;"",A6,""),"")</f>
        <v/>
      </c>
      <c r="F23" s="107"/>
      <c r="G23" s="103" t="str" cm="1">
        <f t="array" ref="G23">IF(E23&lt;&gt;"",_xlfn.XLOOKUP(_xlfn.NUMBERVALUE(E23),_xlfn.NUMBERVALUE((#REF!)),#REF!),"XXXXXXX")</f>
        <v>XXXXXXX</v>
      </c>
      <c r="H23" s="104"/>
      <c r="I23" s="104"/>
      <c r="J23" s="104"/>
      <c r="K23" s="104"/>
      <c r="L23" s="105"/>
      <c r="M23" s="20"/>
      <c r="N23" s="20"/>
      <c r="O23" s="20"/>
      <c r="P23" s="20"/>
    </row>
    <row r="24" spans="1:16" ht="13.5" thickBot="1" x14ac:dyDescent="0.2">
      <c r="A24"/>
      <c r="D24" s="20">
        <v>5</v>
      </c>
      <c r="E24" s="106" t="str">
        <f t="shared" si="0"/>
        <v/>
      </c>
      <c r="F24" s="107"/>
      <c r="G24" s="103" t="str" cm="1">
        <f t="array" ref="G24">IF(E24&lt;&gt;"",_xlfn.XLOOKUP(_xlfn.NUMBERVALUE(E24),_xlfn.NUMBERVALUE((#REF!)),#REF!),"XXXXXXX")</f>
        <v>XXXXXXX</v>
      </c>
      <c r="H24" s="104"/>
      <c r="I24" s="104"/>
      <c r="J24" s="104"/>
      <c r="K24" s="104"/>
      <c r="L24" s="105"/>
      <c r="M24" s="20"/>
      <c r="N24" s="20"/>
      <c r="O24" s="20"/>
      <c r="P24" s="20"/>
    </row>
    <row r="25" spans="1:16" ht="13.5" thickBot="1" x14ac:dyDescent="0.2">
      <c r="A25"/>
      <c r="D25" s="20">
        <v>6</v>
      </c>
      <c r="E25" s="106" t="str">
        <f t="shared" si="0"/>
        <v/>
      </c>
      <c r="F25" s="107"/>
      <c r="G25" s="103" t="str" cm="1">
        <f t="array" ref="G25">IF(E25&lt;&gt;"",_xlfn.XLOOKUP(_xlfn.NUMBERVALUE(E25),_xlfn.NUMBERVALUE((#REF!)),#REF!),"XXXXXXX")</f>
        <v>XXXXXXX</v>
      </c>
      <c r="H25" s="104"/>
      <c r="I25" s="104"/>
      <c r="J25" s="104"/>
      <c r="K25" s="104"/>
      <c r="L25" s="105"/>
      <c r="M25" s="20"/>
      <c r="N25" s="20"/>
      <c r="O25" s="20"/>
      <c r="P25" s="20"/>
    </row>
    <row r="26" spans="1:16" ht="13.5" thickBot="1" x14ac:dyDescent="0.2">
      <c r="A26"/>
      <c r="D26" s="20">
        <v>7</v>
      </c>
      <c r="E26" s="106" t="str">
        <f t="shared" si="0"/>
        <v/>
      </c>
      <c r="F26" s="107"/>
      <c r="G26" s="103" t="str" cm="1">
        <f t="array" ref="G26">IF(E26&lt;&gt;"",_xlfn.XLOOKUP(_xlfn.NUMBERVALUE(E26),_xlfn.NUMBERVALUE((#REF!)),#REF!),"XXXXXXX")</f>
        <v>XXXXXXX</v>
      </c>
      <c r="H26" s="104"/>
      <c r="I26" s="104"/>
      <c r="J26" s="104"/>
      <c r="K26" s="104"/>
      <c r="L26" s="105"/>
      <c r="M26" s="20"/>
      <c r="N26" s="20"/>
      <c r="O26" s="20"/>
      <c r="P26" s="20"/>
    </row>
    <row r="27" spans="1:16" ht="13.5" thickBot="1" x14ac:dyDescent="0.2">
      <c r="A27"/>
      <c r="D27" s="128" t="s">
        <v>101</v>
      </c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30"/>
    </row>
    <row r="28" spans="1:16" x14ac:dyDescent="0.15">
      <c r="A28"/>
      <c r="D28" s="110" t="s">
        <v>102</v>
      </c>
      <c r="E28" s="111"/>
      <c r="F28" s="111"/>
      <c r="G28" s="111"/>
      <c r="H28" s="112"/>
      <c r="I28" s="113" t="s">
        <v>103</v>
      </c>
      <c r="J28" s="114"/>
      <c r="K28" s="114"/>
      <c r="L28" s="114"/>
      <c r="M28" s="114"/>
      <c r="N28" s="114"/>
      <c r="O28" s="114"/>
      <c r="P28" s="115"/>
    </row>
    <row r="29" spans="1:16" ht="13.5" x14ac:dyDescent="0.15">
      <c r="A29"/>
      <c r="D29" s="21" t="s">
        <v>104</v>
      </c>
      <c r="E29" s="116" t="s">
        <v>105</v>
      </c>
      <c r="F29" s="116"/>
      <c r="G29" s="116"/>
      <c r="H29" s="117"/>
      <c r="I29" s="131" t="s">
        <v>104</v>
      </c>
      <c r="J29" s="132"/>
      <c r="K29" s="133" t="s">
        <v>994</v>
      </c>
      <c r="L29" s="133"/>
      <c r="M29" s="133"/>
      <c r="N29" s="133"/>
      <c r="O29" s="133"/>
      <c r="P29" s="134"/>
    </row>
    <row r="30" spans="1:16" ht="14.25" thickBot="1" x14ac:dyDescent="0.2">
      <c r="A30"/>
      <c r="D30" s="22" t="s">
        <v>106</v>
      </c>
      <c r="E30" s="122" t="s">
        <v>107</v>
      </c>
      <c r="F30" s="122"/>
      <c r="G30" s="123" t="s">
        <v>108</v>
      </c>
      <c r="H30" s="124"/>
      <c r="I30" s="135" t="s">
        <v>106</v>
      </c>
      <c r="J30" s="136"/>
      <c r="K30" s="137">
        <f>_xlfn.XLOOKUP(K29,DADOS!M2:M9,DADOS!L2:L9)</f>
        <v>501336</v>
      </c>
      <c r="L30" s="138"/>
      <c r="M30" s="123" t="s">
        <v>108</v>
      </c>
      <c r="N30" s="123"/>
      <c r="O30" s="123"/>
      <c r="P30" s="124"/>
    </row>
    <row r="31" spans="1:16" ht="13.5" thickBot="1" x14ac:dyDescent="0.2">
      <c r="A31"/>
      <c r="D31" s="128" t="s">
        <v>109</v>
      </c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30"/>
    </row>
    <row r="32" spans="1:16" x14ac:dyDescent="0.15">
      <c r="A32"/>
      <c r="D32" s="110" t="s">
        <v>110</v>
      </c>
      <c r="E32" s="111"/>
      <c r="F32" s="111"/>
      <c r="G32" s="111"/>
      <c r="H32" s="112"/>
      <c r="I32" s="113" t="s">
        <v>111</v>
      </c>
      <c r="J32" s="114"/>
      <c r="K32" s="114"/>
      <c r="L32" s="114"/>
      <c r="M32" s="114"/>
      <c r="N32" s="114"/>
      <c r="O32" s="114"/>
      <c r="P32" s="115"/>
    </row>
    <row r="33" spans="1:16" ht="13.5" x14ac:dyDescent="0.15">
      <c r="A33"/>
      <c r="D33" s="21" t="s">
        <v>104</v>
      </c>
      <c r="E33" s="116"/>
      <c r="F33" s="116"/>
      <c r="G33" s="116"/>
      <c r="H33" s="117"/>
      <c r="I33" s="118" t="s">
        <v>104</v>
      </c>
      <c r="J33" s="119"/>
      <c r="K33" s="120"/>
      <c r="L33" s="120"/>
      <c r="M33" s="120"/>
      <c r="N33" s="120"/>
      <c r="O33" s="120"/>
      <c r="P33" s="121"/>
    </row>
    <row r="34" spans="1:16" ht="14.25" thickBot="1" x14ac:dyDescent="0.2">
      <c r="A34"/>
      <c r="D34" s="23" t="s">
        <v>106</v>
      </c>
      <c r="E34" s="122"/>
      <c r="F34" s="122"/>
      <c r="G34" s="123" t="s">
        <v>108</v>
      </c>
      <c r="H34" s="124"/>
      <c r="I34" s="125" t="s">
        <v>106</v>
      </c>
      <c r="J34" s="126"/>
      <c r="K34" s="127"/>
      <c r="L34" s="127"/>
      <c r="M34" s="123" t="s">
        <v>108</v>
      </c>
      <c r="N34" s="123"/>
      <c r="O34" s="123"/>
      <c r="P34" s="124"/>
    </row>
    <row r="35" spans="1:16" x14ac:dyDescent="0.15">
      <c r="A35"/>
      <c r="D35" s="108" t="s">
        <v>112</v>
      </c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</row>
    <row r="36" spans="1:16" x14ac:dyDescent="0.15">
      <c r="A36"/>
      <c r="D36" s="2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15">
      <c r="A37"/>
      <c r="D37" s="109" t="s">
        <v>113</v>
      </c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</row>
    <row r="38" spans="1:16" x14ac:dyDescent="0.15">
      <c r="A38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</row>
    <row r="39" spans="1:16" x14ac:dyDescent="0.15">
      <c r="A3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</row>
    <row r="40" spans="1:16" x14ac:dyDescent="0.15">
      <c r="A4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x14ac:dyDescent="0.15">
      <c r="A41"/>
      <c r="D41" s="109" t="s">
        <v>114</v>
      </c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</row>
    <row r="42" spans="1:16" x14ac:dyDescent="0.15">
      <c r="A42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</row>
    <row r="43" spans="1:16" x14ac:dyDescent="0.15">
      <c r="A43"/>
    </row>
    <row r="44" spans="1:16" x14ac:dyDescent="0.15">
      <c r="A44"/>
    </row>
    <row r="45" spans="1:16" x14ac:dyDescent="0.15">
      <c r="A45"/>
    </row>
    <row r="46" spans="1:16" x14ac:dyDescent="0.15">
      <c r="A46"/>
    </row>
    <row r="47" spans="1:16" x14ac:dyDescent="0.15">
      <c r="A47"/>
    </row>
    <row r="48" spans="1:16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  <row r="180" spans="1:1" x14ac:dyDescent="0.15">
      <c r="A180"/>
    </row>
    <row r="181" spans="1:1" x14ac:dyDescent="0.15">
      <c r="A181"/>
    </row>
    <row r="182" spans="1:1" x14ac:dyDescent="0.15">
      <c r="A182"/>
    </row>
    <row r="183" spans="1:1" x14ac:dyDescent="0.15">
      <c r="A183"/>
    </row>
    <row r="184" spans="1:1" x14ac:dyDescent="0.15">
      <c r="A184"/>
    </row>
    <row r="185" spans="1:1" x14ac:dyDescent="0.15">
      <c r="A185"/>
    </row>
    <row r="186" spans="1:1" x14ac:dyDescent="0.15">
      <c r="A186"/>
    </row>
    <row r="187" spans="1:1" x14ac:dyDescent="0.15">
      <c r="A187"/>
    </row>
    <row r="188" spans="1:1" x14ac:dyDescent="0.15">
      <c r="A188"/>
    </row>
    <row r="189" spans="1:1" x14ac:dyDescent="0.15">
      <c r="A189"/>
    </row>
    <row r="190" spans="1:1" x14ac:dyDescent="0.15">
      <c r="A190"/>
    </row>
    <row r="191" spans="1:1" x14ac:dyDescent="0.15">
      <c r="A191"/>
    </row>
    <row r="192" spans="1:1" x14ac:dyDescent="0.15">
      <c r="A192"/>
    </row>
    <row r="193" spans="1:1" x14ac:dyDescent="0.15">
      <c r="A193"/>
    </row>
    <row r="194" spans="1:1" x14ac:dyDescent="0.15">
      <c r="A194"/>
    </row>
    <row r="195" spans="1:1" x14ac:dyDescent="0.15">
      <c r="A195"/>
    </row>
    <row r="196" spans="1:1" x14ac:dyDescent="0.15">
      <c r="A196"/>
    </row>
    <row r="197" spans="1:1" x14ac:dyDescent="0.15">
      <c r="A197"/>
    </row>
    <row r="198" spans="1:1" x14ac:dyDescent="0.15">
      <c r="A198"/>
    </row>
    <row r="199" spans="1:1" x14ac:dyDescent="0.15">
      <c r="A199"/>
    </row>
    <row r="200" spans="1:1" x14ac:dyDescent="0.15">
      <c r="A200"/>
    </row>
    <row r="201" spans="1:1" x14ac:dyDescent="0.15">
      <c r="A201"/>
    </row>
    <row r="202" spans="1:1" x14ac:dyDescent="0.15">
      <c r="A202"/>
    </row>
    <row r="203" spans="1:1" x14ac:dyDescent="0.15">
      <c r="A203"/>
    </row>
    <row r="204" spans="1:1" x14ac:dyDescent="0.15">
      <c r="A204"/>
    </row>
    <row r="205" spans="1:1" x14ac:dyDescent="0.15">
      <c r="A205"/>
    </row>
    <row r="206" spans="1:1" x14ac:dyDescent="0.15">
      <c r="A206"/>
    </row>
    <row r="207" spans="1:1" x14ac:dyDescent="0.15">
      <c r="A207"/>
    </row>
    <row r="208" spans="1:1" x14ac:dyDescent="0.15">
      <c r="A208"/>
    </row>
    <row r="209" spans="1:1" x14ac:dyDescent="0.15">
      <c r="A209"/>
    </row>
    <row r="210" spans="1:1" x14ac:dyDescent="0.15">
      <c r="A210"/>
    </row>
    <row r="211" spans="1:1" x14ac:dyDescent="0.15">
      <c r="A211"/>
    </row>
    <row r="212" spans="1:1" x14ac:dyDescent="0.15">
      <c r="A212"/>
    </row>
    <row r="213" spans="1:1" x14ac:dyDescent="0.15">
      <c r="A213"/>
    </row>
    <row r="214" spans="1:1" x14ac:dyDescent="0.15">
      <c r="A214"/>
    </row>
    <row r="215" spans="1:1" x14ac:dyDescent="0.15">
      <c r="A215"/>
    </row>
    <row r="216" spans="1:1" x14ac:dyDescent="0.15">
      <c r="A216"/>
    </row>
    <row r="217" spans="1:1" x14ac:dyDescent="0.15">
      <c r="A217"/>
    </row>
    <row r="218" spans="1:1" x14ac:dyDescent="0.15">
      <c r="A218"/>
    </row>
    <row r="219" spans="1:1" x14ac:dyDescent="0.15">
      <c r="A219"/>
    </row>
    <row r="220" spans="1:1" x14ac:dyDescent="0.15">
      <c r="A220"/>
    </row>
    <row r="221" spans="1:1" x14ac:dyDescent="0.15">
      <c r="A221"/>
    </row>
    <row r="222" spans="1:1" x14ac:dyDescent="0.15">
      <c r="A222"/>
    </row>
    <row r="223" spans="1:1" x14ac:dyDescent="0.15">
      <c r="A223"/>
    </row>
    <row r="224" spans="1:1" x14ac:dyDescent="0.15">
      <c r="A224"/>
    </row>
    <row r="225" spans="1:1" x14ac:dyDescent="0.15">
      <c r="A225"/>
    </row>
    <row r="226" spans="1:1" x14ac:dyDescent="0.15">
      <c r="A226"/>
    </row>
    <row r="227" spans="1:1" x14ac:dyDescent="0.15">
      <c r="A227"/>
    </row>
    <row r="228" spans="1:1" x14ac:dyDescent="0.15">
      <c r="A228"/>
    </row>
    <row r="229" spans="1:1" x14ac:dyDescent="0.15">
      <c r="A229"/>
    </row>
    <row r="230" spans="1:1" x14ac:dyDescent="0.15">
      <c r="A230"/>
    </row>
    <row r="231" spans="1:1" x14ac:dyDescent="0.15">
      <c r="A231"/>
    </row>
    <row r="232" spans="1:1" x14ac:dyDescent="0.15">
      <c r="A232"/>
    </row>
    <row r="233" spans="1:1" x14ac:dyDescent="0.15">
      <c r="A233"/>
    </row>
    <row r="234" spans="1:1" x14ac:dyDescent="0.15">
      <c r="A234"/>
    </row>
    <row r="235" spans="1:1" x14ac:dyDescent="0.15">
      <c r="A235"/>
    </row>
    <row r="236" spans="1:1" x14ac:dyDescent="0.15">
      <c r="A236"/>
    </row>
    <row r="237" spans="1:1" x14ac:dyDescent="0.15">
      <c r="A237"/>
    </row>
    <row r="238" spans="1:1" x14ac:dyDescent="0.15">
      <c r="A238"/>
    </row>
    <row r="239" spans="1:1" x14ac:dyDescent="0.15">
      <c r="A239"/>
    </row>
    <row r="240" spans="1:1" x14ac:dyDescent="0.15">
      <c r="A240"/>
    </row>
    <row r="241" spans="1:1" x14ac:dyDescent="0.15">
      <c r="A241"/>
    </row>
    <row r="242" spans="1:1" x14ac:dyDescent="0.15">
      <c r="A242"/>
    </row>
    <row r="243" spans="1:1" x14ac:dyDescent="0.15">
      <c r="A243"/>
    </row>
    <row r="244" spans="1:1" x14ac:dyDescent="0.15">
      <c r="A244"/>
    </row>
    <row r="245" spans="1:1" x14ac:dyDescent="0.15">
      <c r="A245"/>
    </row>
    <row r="246" spans="1:1" x14ac:dyDescent="0.15">
      <c r="A246"/>
    </row>
    <row r="247" spans="1:1" x14ac:dyDescent="0.15">
      <c r="A247"/>
    </row>
    <row r="248" spans="1:1" x14ac:dyDescent="0.15">
      <c r="A248"/>
    </row>
    <row r="249" spans="1:1" x14ac:dyDescent="0.15">
      <c r="A249"/>
    </row>
    <row r="250" spans="1:1" x14ac:dyDescent="0.15">
      <c r="A250"/>
    </row>
    <row r="251" spans="1:1" x14ac:dyDescent="0.15">
      <c r="A251"/>
    </row>
    <row r="252" spans="1:1" x14ac:dyDescent="0.15">
      <c r="A252"/>
    </row>
    <row r="253" spans="1:1" x14ac:dyDescent="0.15">
      <c r="A253"/>
    </row>
    <row r="254" spans="1:1" x14ac:dyDescent="0.15">
      <c r="A254"/>
    </row>
    <row r="255" spans="1:1" x14ac:dyDescent="0.15">
      <c r="A255"/>
    </row>
    <row r="256" spans="1:1" x14ac:dyDescent="0.15">
      <c r="A256"/>
    </row>
    <row r="257" spans="1:1" x14ac:dyDescent="0.15">
      <c r="A257"/>
    </row>
    <row r="258" spans="1:1" x14ac:dyDescent="0.15">
      <c r="A258"/>
    </row>
    <row r="259" spans="1:1" x14ac:dyDescent="0.15">
      <c r="A259"/>
    </row>
    <row r="260" spans="1:1" x14ac:dyDescent="0.15">
      <c r="A260"/>
    </row>
    <row r="261" spans="1:1" x14ac:dyDescent="0.15">
      <c r="A261"/>
    </row>
    <row r="262" spans="1:1" x14ac:dyDescent="0.15">
      <c r="A262"/>
    </row>
    <row r="263" spans="1:1" x14ac:dyDescent="0.15">
      <c r="A263"/>
    </row>
    <row r="264" spans="1:1" x14ac:dyDescent="0.15">
      <c r="A264"/>
    </row>
    <row r="265" spans="1:1" x14ac:dyDescent="0.15">
      <c r="A265"/>
    </row>
    <row r="266" spans="1:1" x14ac:dyDescent="0.15">
      <c r="A266"/>
    </row>
    <row r="267" spans="1:1" x14ac:dyDescent="0.15">
      <c r="A267"/>
    </row>
    <row r="268" spans="1:1" x14ac:dyDescent="0.15">
      <c r="A268"/>
    </row>
    <row r="269" spans="1:1" x14ac:dyDescent="0.15">
      <c r="A269"/>
    </row>
    <row r="270" spans="1:1" x14ac:dyDescent="0.15">
      <c r="A270"/>
    </row>
    <row r="271" spans="1:1" x14ac:dyDescent="0.15">
      <c r="A271"/>
    </row>
    <row r="272" spans="1:1" x14ac:dyDescent="0.15">
      <c r="A272"/>
    </row>
    <row r="273" spans="1:1" x14ac:dyDescent="0.15">
      <c r="A273"/>
    </row>
    <row r="274" spans="1:1" x14ac:dyDescent="0.15">
      <c r="A274"/>
    </row>
    <row r="275" spans="1:1" x14ac:dyDescent="0.15">
      <c r="A275"/>
    </row>
    <row r="276" spans="1:1" x14ac:dyDescent="0.15">
      <c r="A276"/>
    </row>
    <row r="277" spans="1:1" x14ac:dyDescent="0.15">
      <c r="A277"/>
    </row>
    <row r="278" spans="1:1" x14ac:dyDescent="0.15">
      <c r="A278"/>
    </row>
    <row r="279" spans="1:1" x14ac:dyDescent="0.15">
      <c r="A279"/>
    </row>
    <row r="280" spans="1:1" x14ac:dyDescent="0.15">
      <c r="A280"/>
    </row>
    <row r="281" spans="1:1" x14ac:dyDescent="0.15">
      <c r="A281"/>
    </row>
    <row r="282" spans="1:1" x14ac:dyDescent="0.15">
      <c r="A282"/>
    </row>
    <row r="283" spans="1:1" x14ac:dyDescent="0.15">
      <c r="A283"/>
    </row>
    <row r="284" spans="1:1" x14ac:dyDescent="0.15">
      <c r="A284"/>
    </row>
    <row r="285" spans="1:1" x14ac:dyDescent="0.15">
      <c r="A285"/>
    </row>
    <row r="286" spans="1:1" x14ac:dyDescent="0.15">
      <c r="A286"/>
    </row>
    <row r="287" spans="1:1" x14ac:dyDescent="0.15">
      <c r="A287"/>
    </row>
    <row r="288" spans="1:1" x14ac:dyDescent="0.15">
      <c r="A288"/>
    </row>
    <row r="289" spans="1:1" x14ac:dyDescent="0.15">
      <c r="A289"/>
    </row>
    <row r="290" spans="1:1" x14ac:dyDescent="0.15">
      <c r="A290"/>
    </row>
    <row r="291" spans="1:1" x14ac:dyDescent="0.15">
      <c r="A291"/>
    </row>
    <row r="292" spans="1:1" x14ac:dyDescent="0.15">
      <c r="A292"/>
    </row>
    <row r="293" spans="1:1" x14ac:dyDescent="0.15">
      <c r="A293"/>
    </row>
    <row r="294" spans="1:1" x14ac:dyDescent="0.15">
      <c r="A294"/>
    </row>
    <row r="295" spans="1:1" x14ac:dyDescent="0.15">
      <c r="A295"/>
    </row>
    <row r="296" spans="1:1" x14ac:dyDescent="0.15">
      <c r="A296"/>
    </row>
    <row r="297" spans="1:1" x14ac:dyDescent="0.15">
      <c r="A297"/>
    </row>
    <row r="298" spans="1:1" x14ac:dyDescent="0.15">
      <c r="A298"/>
    </row>
    <row r="299" spans="1:1" x14ac:dyDescent="0.15">
      <c r="A299"/>
    </row>
    <row r="300" spans="1:1" x14ac:dyDescent="0.15">
      <c r="A300"/>
    </row>
    <row r="301" spans="1:1" x14ac:dyDescent="0.15">
      <c r="A301"/>
    </row>
    <row r="302" spans="1:1" x14ac:dyDescent="0.15">
      <c r="A302"/>
    </row>
    <row r="303" spans="1:1" x14ac:dyDescent="0.15">
      <c r="A303"/>
    </row>
    <row r="304" spans="1:1" x14ac:dyDescent="0.15">
      <c r="A304"/>
    </row>
    <row r="305" spans="1:1" x14ac:dyDescent="0.15">
      <c r="A305"/>
    </row>
    <row r="306" spans="1:1" x14ac:dyDescent="0.15">
      <c r="A306"/>
    </row>
    <row r="307" spans="1:1" x14ac:dyDescent="0.15">
      <c r="A307"/>
    </row>
    <row r="308" spans="1:1" x14ac:dyDescent="0.15">
      <c r="A308"/>
    </row>
    <row r="309" spans="1:1" x14ac:dyDescent="0.15">
      <c r="A309"/>
    </row>
    <row r="310" spans="1:1" x14ac:dyDescent="0.15">
      <c r="A310"/>
    </row>
    <row r="311" spans="1:1" x14ac:dyDescent="0.15">
      <c r="A311"/>
    </row>
    <row r="312" spans="1:1" x14ac:dyDescent="0.15">
      <c r="A312"/>
    </row>
    <row r="313" spans="1:1" x14ac:dyDescent="0.15">
      <c r="A313"/>
    </row>
    <row r="314" spans="1:1" x14ac:dyDescent="0.15">
      <c r="A314"/>
    </row>
    <row r="315" spans="1:1" x14ac:dyDescent="0.15">
      <c r="A315"/>
    </row>
    <row r="316" spans="1:1" x14ac:dyDescent="0.15">
      <c r="A316"/>
    </row>
    <row r="317" spans="1:1" x14ac:dyDescent="0.15">
      <c r="A317"/>
    </row>
    <row r="318" spans="1:1" x14ac:dyDescent="0.15">
      <c r="A318"/>
    </row>
    <row r="319" spans="1:1" x14ac:dyDescent="0.15">
      <c r="A319"/>
    </row>
    <row r="320" spans="1:1" x14ac:dyDescent="0.15">
      <c r="A320"/>
    </row>
    <row r="321" spans="1:1" x14ac:dyDescent="0.15">
      <c r="A321"/>
    </row>
    <row r="322" spans="1:1" x14ac:dyDescent="0.15">
      <c r="A322"/>
    </row>
    <row r="323" spans="1:1" x14ac:dyDescent="0.15">
      <c r="A323"/>
    </row>
    <row r="324" spans="1:1" x14ac:dyDescent="0.15">
      <c r="A324"/>
    </row>
    <row r="325" spans="1:1" x14ac:dyDescent="0.15">
      <c r="A325"/>
    </row>
    <row r="326" spans="1:1" x14ac:dyDescent="0.15">
      <c r="A326"/>
    </row>
    <row r="327" spans="1:1" x14ac:dyDescent="0.15">
      <c r="A327"/>
    </row>
    <row r="328" spans="1:1" x14ac:dyDescent="0.15">
      <c r="A328"/>
    </row>
    <row r="329" spans="1:1" x14ac:dyDescent="0.15">
      <c r="A329"/>
    </row>
    <row r="330" spans="1:1" x14ac:dyDescent="0.15">
      <c r="A330"/>
    </row>
    <row r="331" spans="1:1" x14ac:dyDescent="0.15">
      <c r="A331"/>
    </row>
    <row r="332" spans="1:1" x14ac:dyDescent="0.15">
      <c r="A332"/>
    </row>
    <row r="333" spans="1:1" x14ac:dyDescent="0.15">
      <c r="A333"/>
    </row>
    <row r="334" spans="1:1" x14ac:dyDescent="0.15">
      <c r="A334"/>
    </row>
    <row r="335" spans="1:1" x14ac:dyDescent="0.15">
      <c r="A335"/>
    </row>
    <row r="336" spans="1:1" x14ac:dyDescent="0.15">
      <c r="A336"/>
    </row>
    <row r="337" spans="1:1" x14ac:dyDescent="0.15">
      <c r="A337"/>
    </row>
    <row r="338" spans="1:1" x14ac:dyDescent="0.15">
      <c r="A338"/>
    </row>
    <row r="339" spans="1:1" x14ac:dyDescent="0.15">
      <c r="A339"/>
    </row>
    <row r="340" spans="1:1" x14ac:dyDescent="0.15">
      <c r="A340"/>
    </row>
    <row r="341" spans="1:1" x14ac:dyDescent="0.15">
      <c r="A341"/>
    </row>
    <row r="342" spans="1:1" x14ac:dyDescent="0.15">
      <c r="A342"/>
    </row>
    <row r="343" spans="1:1" x14ac:dyDescent="0.15">
      <c r="A343"/>
    </row>
    <row r="344" spans="1:1" x14ac:dyDescent="0.15">
      <c r="A344"/>
    </row>
    <row r="345" spans="1:1" x14ac:dyDescent="0.15">
      <c r="A345"/>
    </row>
    <row r="346" spans="1:1" x14ac:dyDescent="0.15">
      <c r="A346"/>
    </row>
    <row r="347" spans="1:1" x14ac:dyDescent="0.15">
      <c r="A347"/>
    </row>
    <row r="348" spans="1:1" x14ac:dyDescent="0.15">
      <c r="A348"/>
    </row>
    <row r="349" spans="1:1" x14ac:dyDescent="0.15">
      <c r="A349"/>
    </row>
    <row r="350" spans="1:1" x14ac:dyDescent="0.15">
      <c r="A350"/>
    </row>
    <row r="351" spans="1:1" x14ac:dyDescent="0.15">
      <c r="A351"/>
    </row>
    <row r="352" spans="1:1" x14ac:dyDescent="0.15">
      <c r="A352"/>
    </row>
    <row r="353" spans="1:1" x14ac:dyDescent="0.15">
      <c r="A353"/>
    </row>
    <row r="354" spans="1:1" x14ac:dyDescent="0.15">
      <c r="A354"/>
    </row>
    <row r="355" spans="1:1" x14ac:dyDescent="0.15">
      <c r="A355"/>
    </row>
    <row r="356" spans="1:1" x14ac:dyDescent="0.15">
      <c r="A356"/>
    </row>
    <row r="357" spans="1:1" x14ac:dyDescent="0.15">
      <c r="A357"/>
    </row>
    <row r="358" spans="1:1" x14ac:dyDescent="0.15">
      <c r="A358"/>
    </row>
    <row r="359" spans="1:1" x14ac:dyDescent="0.15">
      <c r="A359"/>
    </row>
    <row r="360" spans="1:1" x14ac:dyDescent="0.15">
      <c r="A360"/>
    </row>
    <row r="361" spans="1:1" x14ac:dyDescent="0.15">
      <c r="A361"/>
    </row>
    <row r="362" spans="1:1" x14ac:dyDescent="0.15">
      <c r="A362"/>
    </row>
    <row r="363" spans="1:1" x14ac:dyDescent="0.15">
      <c r="A363"/>
    </row>
    <row r="364" spans="1:1" x14ac:dyDescent="0.15">
      <c r="A364"/>
    </row>
    <row r="365" spans="1:1" x14ac:dyDescent="0.15">
      <c r="A365"/>
    </row>
    <row r="366" spans="1:1" x14ac:dyDescent="0.15">
      <c r="A366"/>
    </row>
    <row r="367" spans="1:1" x14ac:dyDescent="0.15">
      <c r="A367"/>
    </row>
    <row r="368" spans="1:1" x14ac:dyDescent="0.15">
      <c r="A368"/>
    </row>
    <row r="369" spans="1:1" x14ac:dyDescent="0.15">
      <c r="A369"/>
    </row>
    <row r="370" spans="1:1" x14ac:dyDescent="0.15">
      <c r="A370"/>
    </row>
    <row r="371" spans="1:1" x14ac:dyDescent="0.15">
      <c r="A371"/>
    </row>
    <row r="372" spans="1:1" x14ac:dyDescent="0.15">
      <c r="A372"/>
    </row>
    <row r="373" spans="1:1" x14ac:dyDescent="0.15">
      <c r="A373"/>
    </row>
    <row r="374" spans="1:1" x14ac:dyDescent="0.15">
      <c r="A374"/>
    </row>
    <row r="375" spans="1:1" x14ac:dyDescent="0.15">
      <c r="A375"/>
    </row>
    <row r="376" spans="1:1" x14ac:dyDescent="0.15">
      <c r="A376"/>
    </row>
    <row r="377" spans="1:1" x14ac:dyDescent="0.15">
      <c r="A377"/>
    </row>
    <row r="378" spans="1:1" x14ac:dyDescent="0.15">
      <c r="A378"/>
    </row>
    <row r="379" spans="1:1" x14ac:dyDescent="0.15">
      <c r="A379"/>
    </row>
    <row r="380" spans="1:1" x14ac:dyDescent="0.15">
      <c r="A380"/>
    </row>
    <row r="381" spans="1:1" x14ac:dyDescent="0.15">
      <c r="A381"/>
    </row>
    <row r="382" spans="1:1" x14ac:dyDescent="0.15">
      <c r="A382"/>
    </row>
    <row r="383" spans="1:1" x14ac:dyDescent="0.15">
      <c r="A383"/>
    </row>
    <row r="384" spans="1:1" x14ac:dyDescent="0.15">
      <c r="A384"/>
    </row>
    <row r="385" spans="1:1" x14ac:dyDescent="0.15">
      <c r="A385"/>
    </row>
    <row r="386" spans="1:1" x14ac:dyDescent="0.15">
      <c r="A386"/>
    </row>
    <row r="387" spans="1:1" x14ac:dyDescent="0.15">
      <c r="A387"/>
    </row>
    <row r="388" spans="1:1" x14ac:dyDescent="0.15">
      <c r="A388"/>
    </row>
    <row r="389" spans="1:1" x14ac:dyDescent="0.15">
      <c r="A389"/>
    </row>
    <row r="390" spans="1:1" x14ac:dyDescent="0.15">
      <c r="A390"/>
    </row>
    <row r="391" spans="1:1" x14ac:dyDescent="0.15">
      <c r="A391"/>
    </row>
    <row r="392" spans="1:1" x14ac:dyDescent="0.15">
      <c r="A392"/>
    </row>
    <row r="393" spans="1:1" x14ac:dyDescent="0.15">
      <c r="A393"/>
    </row>
    <row r="394" spans="1:1" x14ac:dyDescent="0.15">
      <c r="A394"/>
    </row>
    <row r="395" spans="1:1" x14ac:dyDescent="0.15">
      <c r="A395"/>
    </row>
    <row r="396" spans="1:1" x14ac:dyDescent="0.15">
      <c r="A396"/>
    </row>
    <row r="397" spans="1:1" x14ac:dyDescent="0.15">
      <c r="A397"/>
    </row>
    <row r="398" spans="1:1" x14ac:dyDescent="0.15">
      <c r="A398"/>
    </row>
    <row r="399" spans="1:1" x14ac:dyDescent="0.15">
      <c r="A399"/>
    </row>
    <row r="400" spans="1:1" x14ac:dyDescent="0.15">
      <c r="A400"/>
    </row>
    <row r="401" spans="1:1" x14ac:dyDescent="0.15">
      <c r="A401"/>
    </row>
    <row r="402" spans="1:1" x14ac:dyDescent="0.15">
      <c r="A402"/>
    </row>
    <row r="403" spans="1:1" x14ac:dyDescent="0.15">
      <c r="A403"/>
    </row>
    <row r="404" spans="1:1" x14ac:dyDescent="0.15">
      <c r="A404"/>
    </row>
    <row r="405" spans="1:1" x14ac:dyDescent="0.15">
      <c r="A405"/>
    </row>
    <row r="406" spans="1:1" x14ac:dyDescent="0.15">
      <c r="A406"/>
    </row>
    <row r="407" spans="1:1" x14ac:dyDescent="0.15">
      <c r="A407"/>
    </row>
    <row r="408" spans="1:1" x14ac:dyDescent="0.15">
      <c r="A408"/>
    </row>
    <row r="409" spans="1:1" x14ac:dyDescent="0.15">
      <c r="A409"/>
    </row>
    <row r="410" spans="1:1" x14ac:dyDescent="0.15">
      <c r="A410"/>
    </row>
    <row r="411" spans="1:1" x14ac:dyDescent="0.15">
      <c r="A411"/>
    </row>
    <row r="412" spans="1:1" x14ac:dyDescent="0.15">
      <c r="A412"/>
    </row>
    <row r="413" spans="1:1" x14ac:dyDescent="0.15">
      <c r="A413"/>
    </row>
    <row r="414" spans="1:1" x14ac:dyDescent="0.15">
      <c r="A414"/>
    </row>
    <row r="415" spans="1:1" x14ac:dyDescent="0.15">
      <c r="A415"/>
    </row>
    <row r="416" spans="1:1" x14ac:dyDescent="0.15">
      <c r="A416"/>
    </row>
    <row r="417" spans="1:1" x14ac:dyDescent="0.15">
      <c r="A417"/>
    </row>
    <row r="418" spans="1:1" x14ac:dyDescent="0.15">
      <c r="A418"/>
    </row>
    <row r="419" spans="1:1" x14ac:dyDescent="0.15">
      <c r="A419"/>
    </row>
    <row r="420" spans="1:1" x14ac:dyDescent="0.15">
      <c r="A420"/>
    </row>
    <row r="421" spans="1:1" x14ac:dyDescent="0.15">
      <c r="A421"/>
    </row>
    <row r="422" spans="1:1" x14ac:dyDescent="0.15">
      <c r="A422"/>
    </row>
    <row r="423" spans="1:1" x14ac:dyDescent="0.15">
      <c r="A423"/>
    </row>
    <row r="424" spans="1:1" x14ac:dyDescent="0.15">
      <c r="A424"/>
    </row>
    <row r="425" spans="1:1" x14ac:dyDescent="0.15">
      <c r="A425"/>
    </row>
    <row r="426" spans="1:1" x14ac:dyDescent="0.15">
      <c r="A426"/>
    </row>
    <row r="427" spans="1:1" x14ac:dyDescent="0.15">
      <c r="A427"/>
    </row>
    <row r="428" spans="1:1" x14ac:dyDescent="0.15">
      <c r="A428"/>
    </row>
    <row r="429" spans="1:1" x14ac:dyDescent="0.15">
      <c r="A429"/>
    </row>
    <row r="430" spans="1:1" x14ac:dyDescent="0.15">
      <c r="A430"/>
    </row>
    <row r="431" spans="1:1" x14ac:dyDescent="0.15">
      <c r="A431"/>
    </row>
    <row r="432" spans="1:1" x14ac:dyDescent="0.15">
      <c r="A432"/>
    </row>
    <row r="433" spans="1:1" x14ac:dyDescent="0.15">
      <c r="A433"/>
    </row>
    <row r="434" spans="1:1" x14ac:dyDescent="0.15">
      <c r="A434"/>
    </row>
    <row r="435" spans="1:1" x14ac:dyDescent="0.15">
      <c r="A435"/>
    </row>
    <row r="436" spans="1:1" x14ac:dyDescent="0.15">
      <c r="A436"/>
    </row>
    <row r="437" spans="1:1" x14ac:dyDescent="0.15">
      <c r="A437"/>
    </row>
    <row r="438" spans="1:1" x14ac:dyDescent="0.15">
      <c r="A438"/>
    </row>
    <row r="439" spans="1:1" x14ac:dyDescent="0.15">
      <c r="A439"/>
    </row>
    <row r="440" spans="1:1" x14ac:dyDescent="0.15">
      <c r="A440"/>
    </row>
    <row r="441" spans="1:1" x14ac:dyDescent="0.15">
      <c r="A441"/>
    </row>
    <row r="442" spans="1:1" x14ac:dyDescent="0.15">
      <c r="A442"/>
    </row>
    <row r="443" spans="1:1" x14ac:dyDescent="0.15">
      <c r="A443"/>
    </row>
    <row r="444" spans="1:1" x14ac:dyDescent="0.15">
      <c r="A444"/>
    </row>
    <row r="445" spans="1:1" x14ac:dyDescent="0.15">
      <c r="A445"/>
    </row>
    <row r="446" spans="1:1" x14ac:dyDescent="0.15">
      <c r="A446"/>
    </row>
    <row r="447" spans="1:1" x14ac:dyDescent="0.15">
      <c r="A447"/>
    </row>
    <row r="448" spans="1:1" x14ac:dyDescent="0.15">
      <c r="A448"/>
    </row>
    <row r="449" spans="1:1" x14ac:dyDescent="0.15">
      <c r="A449"/>
    </row>
    <row r="450" spans="1:1" x14ac:dyDescent="0.15">
      <c r="A450"/>
    </row>
    <row r="451" spans="1:1" x14ac:dyDescent="0.15">
      <c r="A451"/>
    </row>
    <row r="452" spans="1:1" x14ac:dyDescent="0.15">
      <c r="A452"/>
    </row>
    <row r="453" spans="1:1" x14ac:dyDescent="0.15">
      <c r="A453"/>
    </row>
    <row r="454" spans="1:1" x14ac:dyDescent="0.15">
      <c r="A454"/>
    </row>
    <row r="455" spans="1:1" x14ac:dyDescent="0.15">
      <c r="A455"/>
    </row>
    <row r="456" spans="1:1" x14ac:dyDescent="0.15">
      <c r="A456"/>
    </row>
    <row r="457" spans="1:1" x14ac:dyDescent="0.15">
      <c r="A457"/>
    </row>
    <row r="458" spans="1:1" x14ac:dyDescent="0.15">
      <c r="A458"/>
    </row>
    <row r="459" spans="1:1" x14ac:dyDescent="0.15">
      <c r="A459"/>
    </row>
    <row r="460" spans="1:1" x14ac:dyDescent="0.15">
      <c r="A460"/>
    </row>
    <row r="461" spans="1:1" x14ac:dyDescent="0.15">
      <c r="A461"/>
    </row>
    <row r="462" spans="1:1" x14ac:dyDescent="0.15">
      <c r="A462"/>
    </row>
    <row r="463" spans="1:1" x14ac:dyDescent="0.15">
      <c r="A463"/>
    </row>
    <row r="464" spans="1:1" x14ac:dyDescent="0.15">
      <c r="A464"/>
    </row>
    <row r="465" spans="1:1" x14ac:dyDescent="0.15">
      <c r="A465"/>
    </row>
    <row r="466" spans="1:1" x14ac:dyDescent="0.15">
      <c r="A466"/>
    </row>
    <row r="467" spans="1:1" x14ac:dyDescent="0.15">
      <c r="A467"/>
    </row>
    <row r="468" spans="1:1" x14ac:dyDescent="0.15">
      <c r="A468"/>
    </row>
    <row r="469" spans="1:1" x14ac:dyDescent="0.15">
      <c r="A469"/>
    </row>
    <row r="470" spans="1:1" x14ac:dyDescent="0.15">
      <c r="A470"/>
    </row>
    <row r="471" spans="1:1" x14ac:dyDescent="0.15">
      <c r="A471"/>
    </row>
    <row r="472" spans="1:1" x14ac:dyDescent="0.15">
      <c r="A472"/>
    </row>
    <row r="473" spans="1:1" x14ac:dyDescent="0.15">
      <c r="A473"/>
    </row>
    <row r="474" spans="1:1" x14ac:dyDescent="0.15">
      <c r="A474"/>
    </row>
    <row r="475" spans="1:1" x14ac:dyDescent="0.15">
      <c r="A475"/>
    </row>
    <row r="476" spans="1:1" x14ac:dyDescent="0.15">
      <c r="A476"/>
    </row>
    <row r="477" spans="1:1" x14ac:dyDescent="0.15">
      <c r="A477"/>
    </row>
    <row r="478" spans="1:1" x14ac:dyDescent="0.15">
      <c r="A478"/>
    </row>
    <row r="479" spans="1:1" x14ac:dyDescent="0.15">
      <c r="A479"/>
    </row>
    <row r="480" spans="1:1" x14ac:dyDescent="0.15">
      <c r="A480"/>
    </row>
    <row r="481" spans="1:1" x14ac:dyDescent="0.15">
      <c r="A481"/>
    </row>
    <row r="482" spans="1:1" x14ac:dyDescent="0.15">
      <c r="A482"/>
    </row>
    <row r="483" spans="1:1" x14ac:dyDescent="0.15">
      <c r="A483"/>
    </row>
    <row r="484" spans="1:1" x14ac:dyDescent="0.15">
      <c r="A484"/>
    </row>
    <row r="485" spans="1:1" x14ac:dyDescent="0.15">
      <c r="A485"/>
    </row>
    <row r="486" spans="1:1" x14ac:dyDescent="0.15">
      <c r="A486"/>
    </row>
    <row r="487" spans="1:1" x14ac:dyDescent="0.15">
      <c r="A487"/>
    </row>
    <row r="488" spans="1:1" x14ac:dyDescent="0.15">
      <c r="A488"/>
    </row>
    <row r="489" spans="1:1" x14ac:dyDescent="0.15">
      <c r="A489"/>
    </row>
    <row r="490" spans="1:1" x14ac:dyDescent="0.15">
      <c r="A490"/>
    </row>
    <row r="491" spans="1:1" x14ac:dyDescent="0.15">
      <c r="A491"/>
    </row>
    <row r="492" spans="1:1" x14ac:dyDescent="0.15">
      <c r="A492"/>
    </row>
    <row r="493" spans="1:1" x14ac:dyDescent="0.15">
      <c r="A493"/>
    </row>
    <row r="494" spans="1:1" x14ac:dyDescent="0.15">
      <c r="A494"/>
    </row>
    <row r="495" spans="1:1" x14ac:dyDescent="0.15">
      <c r="A495"/>
    </row>
    <row r="496" spans="1:1" x14ac:dyDescent="0.15">
      <c r="A496"/>
    </row>
    <row r="497" spans="1:1" x14ac:dyDescent="0.15">
      <c r="A497"/>
    </row>
    <row r="498" spans="1:1" x14ac:dyDescent="0.15">
      <c r="A498"/>
    </row>
    <row r="499" spans="1:1" x14ac:dyDescent="0.15">
      <c r="A499"/>
    </row>
    <row r="500" spans="1:1" x14ac:dyDescent="0.15">
      <c r="A500"/>
    </row>
    <row r="501" spans="1:1" x14ac:dyDescent="0.15">
      <c r="A501"/>
    </row>
    <row r="502" spans="1:1" x14ac:dyDescent="0.15">
      <c r="A502"/>
    </row>
    <row r="503" spans="1:1" x14ac:dyDescent="0.15">
      <c r="A503"/>
    </row>
    <row r="504" spans="1:1" x14ac:dyDescent="0.15">
      <c r="A504"/>
    </row>
    <row r="505" spans="1:1" x14ac:dyDescent="0.15">
      <c r="A505"/>
    </row>
    <row r="506" spans="1:1" x14ac:dyDescent="0.15">
      <c r="A506"/>
    </row>
    <row r="507" spans="1:1" x14ac:dyDescent="0.15">
      <c r="A507"/>
    </row>
    <row r="508" spans="1:1" x14ac:dyDescent="0.15">
      <c r="A508"/>
    </row>
    <row r="509" spans="1:1" x14ac:dyDescent="0.15">
      <c r="A509"/>
    </row>
    <row r="510" spans="1:1" x14ac:dyDescent="0.15">
      <c r="A510"/>
    </row>
    <row r="511" spans="1:1" x14ac:dyDescent="0.15">
      <c r="A511"/>
    </row>
    <row r="512" spans="1:1" x14ac:dyDescent="0.15">
      <c r="A512"/>
    </row>
    <row r="513" spans="1:1" x14ac:dyDescent="0.15">
      <c r="A513"/>
    </row>
    <row r="514" spans="1:1" x14ac:dyDescent="0.15">
      <c r="A514"/>
    </row>
    <row r="515" spans="1:1" x14ac:dyDescent="0.15">
      <c r="A515"/>
    </row>
    <row r="516" spans="1:1" x14ac:dyDescent="0.15">
      <c r="A516"/>
    </row>
    <row r="517" spans="1:1" x14ac:dyDescent="0.15">
      <c r="A517"/>
    </row>
    <row r="518" spans="1:1" x14ac:dyDescent="0.15">
      <c r="A518"/>
    </row>
    <row r="519" spans="1:1" x14ac:dyDescent="0.15">
      <c r="A519"/>
    </row>
    <row r="520" spans="1:1" x14ac:dyDescent="0.15">
      <c r="A520"/>
    </row>
    <row r="521" spans="1:1" x14ac:dyDescent="0.15">
      <c r="A521"/>
    </row>
    <row r="522" spans="1:1" x14ac:dyDescent="0.15">
      <c r="A522"/>
    </row>
    <row r="523" spans="1:1" x14ac:dyDescent="0.15">
      <c r="A523"/>
    </row>
    <row r="524" spans="1:1" x14ac:dyDescent="0.15">
      <c r="A524"/>
    </row>
    <row r="525" spans="1:1" x14ac:dyDescent="0.15">
      <c r="A525"/>
    </row>
    <row r="526" spans="1:1" x14ac:dyDescent="0.15">
      <c r="A526"/>
    </row>
    <row r="527" spans="1:1" x14ac:dyDescent="0.15">
      <c r="A527"/>
    </row>
    <row r="528" spans="1:1" x14ac:dyDescent="0.15">
      <c r="A528"/>
    </row>
    <row r="529" spans="1:1" x14ac:dyDescent="0.15">
      <c r="A529"/>
    </row>
    <row r="530" spans="1:1" x14ac:dyDescent="0.15">
      <c r="A530"/>
    </row>
    <row r="531" spans="1:1" x14ac:dyDescent="0.15">
      <c r="A531"/>
    </row>
    <row r="532" spans="1:1" x14ac:dyDescent="0.15">
      <c r="A532"/>
    </row>
    <row r="533" spans="1:1" x14ac:dyDescent="0.15">
      <c r="A533"/>
    </row>
    <row r="534" spans="1:1" x14ac:dyDescent="0.15">
      <c r="A534"/>
    </row>
    <row r="535" spans="1:1" x14ac:dyDescent="0.15">
      <c r="A535"/>
    </row>
    <row r="536" spans="1:1" x14ac:dyDescent="0.15">
      <c r="A536"/>
    </row>
    <row r="537" spans="1:1" x14ac:dyDescent="0.15">
      <c r="A537"/>
    </row>
    <row r="538" spans="1:1" x14ac:dyDescent="0.15">
      <c r="A538"/>
    </row>
    <row r="539" spans="1:1" x14ac:dyDescent="0.15">
      <c r="A539"/>
    </row>
    <row r="540" spans="1:1" x14ac:dyDescent="0.15">
      <c r="A540"/>
    </row>
    <row r="541" spans="1:1" x14ac:dyDescent="0.15">
      <c r="A541"/>
    </row>
    <row r="542" spans="1:1" x14ac:dyDescent="0.15">
      <c r="A542"/>
    </row>
    <row r="543" spans="1:1" x14ac:dyDescent="0.15">
      <c r="A543"/>
    </row>
    <row r="544" spans="1:1" x14ac:dyDescent="0.15">
      <c r="A544"/>
    </row>
    <row r="545" spans="1:1" x14ac:dyDescent="0.15">
      <c r="A545"/>
    </row>
    <row r="546" spans="1:1" x14ac:dyDescent="0.15">
      <c r="A546"/>
    </row>
    <row r="547" spans="1:1" x14ac:dyDescent="0.15">
      <c r="A547"/>
    </row>
    <row r="548" spans="1:1" x14ac:dyDescent="0.15">
      <c r="A548"/>
    </row>
    <row r="549" spans="1:1" x14ac:dyDescent="0.15">
      <c r="A549"/>
    </row>
    <row r="550" spans="1:1" x14ac:dyDescent="0.15">
      <c r="A550"/>
    </row>
    <row r="551" spans="1:1" x14ac:dyDescent="0.15">
      <c r="A551"/>
    </row>
    <row r="552" spans="1:1" x14ac:dyDescent="0.15">
      <c r="A552"/>
    </row>
    <row r="553" spans="1:1" x14ac:dyDescent="0.15">
      <c r="A553"/>
    </row>
    <row r="554" spans="1:1" x14ac:dyDescent="0.15">
      <c r="A554"/>
    </row>
    <row r="555" spans="1:1" x14ac:dyDescent="0.15">
      <c r="A555"/>
    </row>
    <row r="556" spans="1:1" x14ac:dyDescent="0.15">
      <c r="A556"/>
    </row>
    <row r="557" spans="1:1" x14ac:dyDescent="0.15">
      <c r="A557"/>
    </row>
    <row r="558" spans="1:1" x14ac:dyDescent="0.15">
      <c r="A558"/>
    </row>
    <row r="559" spans="1:1" x14ac:dyDescent="0.15">
      <c r="A559"/>
    </row>
    <row r="560" spans="1:1" x14ac:dyDescent="0.15">
      <c r="A560"/>
    </row>
    <row r="561" spans="1:1" x14ac:dyDescent="0.15">
      <c r="A561"/>
    </row>
    <row r="562" spans="1:1" x14ac:dyDescent="0.15">
      <c r="A562"/>
    </row>
    <row r="563" spans="1:1" x14ac:dyDescent="0.15">
      <c r="A563"/>
    </row>
    <row r="564" spans="1:1" x14ac:dyDescent="0.15">
      <c r="A564"/>
    </row>
    <row r="565" spans="1:1" x14ac:dyDescent="0.15">
      <c r="A565"/>
    </row>
    <row r="566" spans="1:1" x14ac:dyDescent="0.15">
      <c r="A566"/>
    </row>
    <row r="567" spans="1:1" x14ac:dyDescent="0.15">
      <c r="A567"/>
    </row>
    <row r="568" spans="1:1" x14ac:dyDescent="0.15">
      <c r="A568"/>
    </row>
    <row r="569" spans="1:1" x14ac:dyDescent="0.15">
      <c r="A569"/>
    </row>
    <row r="570" spans="1:1" x14ac:dyDescent="0.15">
      <c r="A570"/>
    </row>
    <row r="571" spans="1:1" x14ac:dyDescent="0.15">
      <c r="A571"/>
    </row>
    <row r="572" spans="1:1" x14ac:dyDescent="0.15">
      <c r="A572"/>
    </row>
    <row r="573" spans="1:1" x14ac:dyDescent="0.15">
      <c r="A573"/>
    </row>
    <row r="574" spans="1:1" x14ac:dyDescent="0.15">
      <c r="A574"/>
    </row>
    <row r="575" spans="1:1" x14ac:dyDescent="0.15">
      <c r="A575"/>
    </row>
    <row r="576" spans="1:1" x14ac:dyDescent="0.15">
      <c r="A576"/>
    </row>
    <row r="577" spans="1:1" x14ac:dyDescent="0.15">
      <c r="A577"/>
    </row>
    <row r="578" spans="1:1" x14ac:dyDescent="0.15">
      <c r="A578"/>
    </row>
    <row r="579" spans="1:1" x14ac:dyDescent="0.15">
      <c r="A579"/>
    </row>
    <row r="580" spans="1:1" x14ac:dyDescent="0.15">
      <c r="A580"/>
    </row>
    <row r="581" spans="1:1" x14ac:dyDescent="0.15">
      <c r="A581"/>
    </row>
    <row r="582" spans="1:1" x14ac:dyDescent="0.15">
      <c r="A582"/>
    </row>
    <row r="583" spans="1:1" x14ac:dyDescent="0.15">
      <c r="A583"/>
    </row>
    <row r="584" spans="1:1" x14ac:dyDescent="0.15">
      <c r="A584"/>
    </row>
    <row r="585" spans="1:1" x14ac:dyDescent="0.15">
      <c r="A585"/>
    </row>
    <row r="586" spans="1:1" x14ac:dyDescent="0.15">
      <c r="A586"/>
    </row>
    <row r="587" spans="1:1" x14ac:dyDescent="0.15">
      <c r="A587"/>
    </row>
    <row r="588" spans="1:1" x14ac:dyDescent="0.15">
      <c r="A588"/>
    </row>
    <row r="589" spans="1:1" x14ac:dyDescent="0.15">
      <c r="A589"/>
    </row>
    <row r="590" spans="1:1" x14ac:dyDescent="0.15">
      <c r="A590"/>
    </row>
    <row r="591" spans="1:1" x14ac:dyDescent="0.15">
      <c r="A591"/>
    </row>
    <row r="592" spans="1:1" x14ac:dyDescent="0.15">
      <c r="A592"/>
    </row>
    <row r="593" spans="1:1" x14ac:dyDescent="0.15">
      <c r="A593"/>
    </row>
    <row r="594" spans="1:1" x14ac:dyDescent="0.15">
      <c r="A594"/>
    </row>
    <row r="595" spans="1:1" x14ac:dyDescent="0.15">
      <c r="A595"/>
    </row>
    <row r="596" spans="1:1" x14ac:dyDescent="0.15">
      <c r="A596"/>
    </row>
    <row r="597" spans="1:1" x14ac:dyDescent="0.15">
      <c r="A597"/>
    </row>
    <row r="598" spans="1:1" x14ac:dyDescent="0.15">
      <c r="A598"/>
    </row>
    <row r="599" spans="1:1" x14ac:dyDescent="0.15">
      <c r="A599"/>
    </row>
    <row r="600" spans="1:1" x14ac:dyDescent="0.15">
      <c r="A600"/>
    </row>
    <row r="601" spans="1:1" x14ac:dyDescent="0.15">
      <c r="A601"/>
    </row>
    <row r="602" spans="1:1" x14ac:dyDescent="0.15">
      <c r="A602"/>
    </row>
    <row r="603" spans="1:1" x14ac:dyDescent="0.15">
      <c r="A603"/>
    </row>
    <row r="604" spans="1:1" x14ac:dyDescent="0.15">
      <c r="A604"/>
    </row>
    <row r="605" spans="1:1" x14ac:dyDescent="0.15">
      <c r="A605"/>
    </row>
    <row r="606" spans="1:1" x14ac:dyDescent="0.15">
      <c r="A606"/>
    </row>
    <row r="607" spans="1:1" x14ac:dyDescent="0.15">
      <c r="A607"/>
    </row>
    <row r="608" spans="1:1" x14ac:dyDescent="0.15">
      <c r="A608"/>
    </row>
    <row r="609" spans="1:1" x14ac:dyDescent="0.15">
      <c r="A609"/>
    </row>
    <row r="610" spans="1:1" x14ac:dyDescent="0.15">
      <c r="A610"/>
    </row>
    <row r="611" spans="1:1" x14ac:dyDescent="0.15">
      <c r="A611"/>
    </row>
    <row r="612" spans="1:1" x14ac:dyDescent="0.15">
      <c r="A612"/>
    </row>
    <row r="613" spans="1:1" x14ac:dyDescent="0.15">
      <c r="A613"/>
    </row>
    <row r="614" spans="1:1" x14ac:dyDescent="0.15">
      <c r="A614"/>
    </row>
    <row r="615" spans="1:1" x14ac:dyDescent="0.15">
      <c r="A615"/>
    </row>
    <row r="616" spans="1:1" x14ac:dyDescent="0.15">
      <c r="A616"/>
    </row>
    <row r="617" spans="1:1" x14ac:dyDescent="0.15">
      <c r="A617"/>
    </row>
    <row r="618" spans="1:1" x14ac:dyDescent="0.15">
      <c r="A618"/>
    </row>
    <row r="619" spans="1:1" x14ac:dyDescent="0.15">
      <c r="A619"/>
    </row>
    <row r="620" spans="1:1" x14ac:dyDescent="0.15">
      <c r="A620"/>
    </row>
    <row r="621" spans="1:1" x14ac:dyDescent="0.15">
      <c r="A621"/>
    </row>
    <row r="622" spans="1:1" x14ac:dyDescent="0.15">
      <c r="A622"/>
    </row>
    <row r="623" spans="1:1" x14ac:dyDescent="0.15">
      <c r="A623"/>
    </row>
    <row r="624" spans="1:1" x14ac:dyDescent="0.15">
      <c r="A624"/>
    </row>
    <row r="625" spans="1:1" x14ac:dyDescent="0.15">
      <c r="A625"/>
    </row>
    <row r="626" spans="1:1" x14ac:dyDescent="0.15">
      <c r="A626"/>
    </row>
    <row r="627" spans="1:1" x14ac:dyDescent="0.15">
      <c r="A627"/>
    </row>
    <row r="628" spans="1:1" x14ac:dyDescent="0.15">
      <c r="A628"/>
    </row>
    <row r="629" spans="1:1" x14ac:dyDescent="0.15">
      <c r="A629"/>
    </row>
    <row r="630" spans="1:1" x14ac:dyDescent="0.15">
      <c r="A630"/>
    </row>
    <row r="631" spans="1:1" x14ac:dyDescent="0.15">
      <c r="A631"/>
    </row>
    <row r="632" spans="1:1" x14ac:dyDescent="0.15">
      <c r="A632"/>
    </row>
    <row r="633" spans="1:1" x14ac:dyDescent="0.15">
      <c r="A633"/>
    </row>
    <row r="634" spans="1:1" x14ac:dyDescent="0.15">
      <c r="A634"/>
    </row>
    <row r="635" spans="1:1" x14ac:dyDescent="0.15">
      <c r="A635" s="28"/>
    </row>
    <row r="636" spans="1:1" x14ac:dyDescent="0.15">
      <c r="A636" s="28"/>
    </row>
    <row r="637" spans="1:1" x14ac:dyDescent="0.15">
      <c r="A637" s="28"/>
    </row>
    <row r="638" spans="1:1" x14ac:dyDescent="0.15">
      <c r="A638" s="28"/>
    </row>
    <row r="639" spans="1:1" x14ac:dyDescent="0.15">
      <c r="A639" s="28"/>
    </row>
    <row r="640" spans="1:1" x14ac:dyDescent="0.15">
      <c r="A640" s="28"/>
    </row>
    <row r="641" spans="1:1" x14ac:dyDescent="0.15">
      <c r="A641" s="28"/>
    </row>
    <row r="642" spans="1:1" x14ac:dyDescent="0.15">
      <c r="A642" s="28"/>
    </row>
    <row r="643" spans="1:1" x14ac:dyDescent="0.15">
      <c r="A643" s="28"/>
    </row>
    <row r="644" spans="1:1" x14ac:dyDescent="0.15">
      <c r="A644" s="28"/>
    </row>
    <row r="645" spans="1:1" x14ac:dyDescent="0.15">
      <c r="A645" s="28"/>
    </row>
    <row r="646" spans="1:1" x14ac:dyDescent="0.15">
      <c r="A646" s="28"/>
    </row>
    <row r="647" spans="1:1" x14ac:dyDescent="0.15">
      <c r="A647" s="28"/>
    </row>
    <row r="648" spans="1:1" x14ac:dyDescent="0.15">
      <c r="A648" s="28"/>
    </row>
    <row r="649" spans="1:1" x14ac:dyDescent="0.15">
      <c r="A649" s="28"/>
    </row>
    <row r="650" spans="1:1" x14ac:dyDescent="0.15">
      <c r="A650" s="28"/>
    </row>
    <row r="651" spans="1:1" x14ac:dyDescent="0.15">
      <c r="A651" s="28"/>
    </row>
    <row r="652" spans="1:1" x14ac:dyDescent="0.15">
      <c r="A652" s="28"/>
    </row>
    <row r="653" spans="1:1" x14ac:dyDescent="0.15">
      <c r="A653" s="28"/>
    </row>
    <row r="654" spans="1:1" x14ac:dyDescent="0.15">
      <c r="A654" s="28"/>
    </row>
    <row r="655" spans="1:1" x14ac:dyDescent="0.15">
      <c r="A655" s="28"/>
    </row>
    <row r="656" spans="1:1" x14ac:dyDescent="0.15">
      <c r="A656" s="28"/>
    </row>
    <row r="657" spans="1:1" x14ac:dyDescent="0.15">
      <c r="A657" s="28"/>
    </row>
    <row r="658" spans="1:1" x14ac:dyDescent="0.15">
      <c r="A658" s="28"/>
    </row>
    <row r="659" spans="1:1" x14ac:dyDescent="0.15">
      <c r="A659" s="28"/>
    </row>
    <row r="660" spans="1:1" x14ac:dyDescent="0.15">
      <c r="A660" s="28"/>
    </row>
    <row r="661" spans="1:1" x14ac:dyDescent="0.15">
      <c r="A661" s="28"/>
    </row>
    <row r="662" spans="1:1" x14ac:dyDescent="0.15">
      <c r="A662" s="28"/>
    </row>
    <row r="663" spans="1:1" x14ac:dyDescent="0.15">
      <c r="A663" s="28"/>
    </row>
    <row r="664" spans="1:1" x14ac:dyDescent="0.15">
      <c r="A664" s="28"/>
    </row>
    <row r="665" spans="1:1" x14ac:dyDescent="0.15">
      <c r="A665" s="28"/>
    </row>
    <row r="666" spans="1:1" x14ac:dyDescent="0.15">
      <c r="A666" s="28"/>
    </row>
    <row r="667" spans="1:1" x14ac:dyDescent="0.15">
      <c r="A667" s="28"/>
    </row>
    <row r="668" spans="1:1" x14ac:dyDescent="0.15">
      <c r="A668" s="28"/>
    </row>
    <row r="669" spans="1:1" x14ac:dyDescent="0.15">
      <c r="A669" s="28"/>
    </row>
    <row r="670" spans="1:1" x14ac:dyDescent="0.15">
      <c r="A670" s="28"/>
    </row>
    <row r="671" spans="1:1" x14ac:dyDescent="0.15">
      <c r="A671" s="28"/>
    </row>
    <row r="672" spans="1:1" x14ac:dyDescent="0.15">
      <c r="A672" s="28"/>
    </row>
    <row r="673" spans="1:1" x14ac:dyDescent="0.15">
      <c r="A673" s="28"/>
    </row>
    <row r="674" spans="1:1" x14ac:dyDescent="0.15">
      <c r="A674" s="28"/>
    </row>
    <row r="675" spans="1:1" x14ac:dyDescent="0.15">
      <c r="A675" s="28"/>
    </row>
    <row r="676" spans="1:1" x14ac:dyDescent="0.15">
      <c r="A676" s="28"/>
    </row>
    <row r="677" spans="1:1" x14ac:dyDescent="0.15">
      <c r="A677" s="28"/>
    </row>
    <row r="678" spans="1:1" x14ac:dyDescent="0.15">
      <c r="A678" s="28"/>
    </row>
    <row r="679" spans="1:1" x14ac:dyDescent="0.15">
      <c r="A679" s="28"/>
    </row>
    <row r="680" spans="1:1" x14ac:dyDescent="0.15">
      <c r="A680" s="28"/>
    </row>
    <row r="681" spans="1:1" x14ac:dyDescent="0.15">
      <c r="A681" s="28"/>
    </row>
    <row r="682" spans="1:1" x14ac:dyDescent="0.15">
      <c r="A682" s="28"/>
    </row>
    <row r="683" spans="1:1" x14ac:dyDescent="0.15">
      <c r="A683" s="28"/>
    </row>
    <row r="684" spans="1:1" x14ac:dyDescent="0.15">
      <c r="A684" s="28"/>
    </row>
    <row r="685" spans="1:1" x14ac:dyDescent="0.15">
      <c r="A685" s="28"/>
    </row>
    <row r="686" spans="1:1" x14ac:dyDescent="0.15">
      <c r="A686" s="28"/>
    </row>
    <row r="687" spans="1:1" x14ac:dyDescent="0.15">
      <c r="A687" s="28"/>
    </row>
    <row r="688" spans="1:1" x14ac:dyDescent="0.15">
      <c r="A688" s="28"/>
    </row>
    <row r="689" spans="1:1" x14ac:dyDescent="0.15">
      <c r="A689" s="28"/>
    </row>
    <row r="690" spans="1:1" x14ac:dyDescent="0.15">
      <c r="A690" s="28"/>
    </row>
    <row r="691" spans="1:1" x14ac:dyDescent="0.15">
      <c r="A691" s="28"/>
    </row>
    <row r="692" spans="1:1" x14ac:dyDescent="0.15">
      <c r="A692" s="28"/>
    </row>
    <row r="693" spans="1:1" x14ac:dyDescent="0.15">
      <c r="A693" s="28"/>
    </row>
    <row r="694" spans="1:1" x14ac:dyDescent="0.15">
      <c r="A694" s="28"/>
    </row>
    <row r="695" spans="1:1" x14ac:dyDescent="0.15">
      <c r="A695" s="28"/>
    </row>
    <row r="696" spans="1:1" x14ac:dyDescent="0.15">
      <c r="A696" s="28"/>
    </row>
    <row r="697" spans="1:1" x14ac:dyDescent="0.15">
      <c r="A697" s="28"/>
    </row>
    <row r="698" spans="1:1" x14ac:dyDescent="0.15">
      <c r="A698" s="28"/>
    </row>
    <row r="699" spans="1:1" x14ac:dyDescent="0.15">
      <c r="A699" s="28"/>
    </row>
    <row r="700" spans="1:1" x14ac:dyDescent="0.15">
      <c r="A700" s="28"/>
    </row>
    <row r="701" spans="1:1" x14ac:dyDescent="0.15">
      <c r="A701" s="28"/>
    </row>
    <row r="702" spans="1:1" x14ac:dyDescent="0.15">
      <c r="A702" s="28"/>
    </row>
    <row r="703" spans="1:1" x14ac:dyDescent="0.15">
      <c r="A703" s="28"/>
    </row>
    <row r="704" spans="1:1" x14ac:dyDescent="0.15">
      <c r="A704" s="28"/>
    </row>
    <row r="705" spans="1:1" x14ac:dyDescent="0.15">
      <c r="A705" s="28"/>
    </row>
    <row r="706" spans="1:1" x14ac:dyDescent="0.15">
      <c r="A706" s="28"/>
    </row>
    <row r="707" spans="1:1" x14ac:dyDescent="0.15">
      <c r="A707" s="28"/>
    </row>
    <row r="708" spans="1:1" x14ac:dyDescent="0.15">
      <c r="A708" s="28"/>
    </row>
    <row r="709" spans="1:1" x14ac:dyDescent="0.15">
      <c r="A709" s="28"/>
    </row>
    <row r="710" spans="1:1" x14ac:dyDescent="0.15">
      <c r="A710" s="28"/>
    </row>
    <row r="711" spans="1:1" x14ac:dyDescent="0.15">
      <c r="A711" s="28"/>
    </row>
    <row r="712" spans="1:1" x14ac:dyDescent="0.15">
      <c r="A712" s="28"/>
    </row>
    <row r="713" spans="1:1" x14ac:dyDescent="0.15">
      <c r="A713" s="28"/>
    </row>
    <row r="714" spans="1:1" x14ac:dyDescent="0.15">
      <c r="A714" s="28"/>
    </row>
    <row r="715" spans="1:1" x14ac:dyDescent="0.15">
      <c r="A715" s="28"/>
    </row>
    <row r="716" spans="1:1" x14ac:dyDescent="0.15">
      <c r="A716" s="28"/>
    </row>
    <row r="717" spans="1:1" x14ac:dyDescent="0.15">
      <c r="A717" s="28"/>
    </row>
    <row r="718" spans="1:1" x14ac:dyDescent="0.15">
      <c r="A718" s="28"/>
    </row>
    <row r="719" spans="1:1" x14ac:dyDescent="0.15">
      <c r="A719" s="28"/>
    </row>
    <row r="720" spans="1:1" x14ac:dyDescent="0.15">
      <c r="A720" s="28"/>
    </row>
    <row r="721" spans="1:1" x14ac:dyDescent="0.15">
      <c r="A721" s="28"/>
    </row>
    <row r="722" spans="1:1" x14ac:dyDescent="0.15">
      <c r="A722" s="28"/>
    </row>
    <row r="723" spans="1:1" x14ac:dyDescent="0.15">
      <c r="A723" s="28"/>
    </row>
    <row r="724" spans="1:1" x14ac:dyDescent="0.15">
      <c r="A724" s="28"/>
    </row>
    <row r="725" spans="1:1" x14ac:dyDescent="0.15">
      <c r="A725" s="28"/>
    </row>
    <row r="726" spans="1:1" x14ac:dyDescent="0.15">
      <c r="A726" s="28"/>
    </row>
    <row r="727" spans="1:1" x14ac:dyDescent="0.15">
      <c r="A727" s="28"/>
    </row>
    <row r="728" spans="1:1" x14ac:dyDescent="0.15">
      <c r="A728" s="28"/>
    </row>
    <row r="729" spans="1:1" x14ac:dyDescent="0.15">
      <c r="A729" s="28"/>
    </row>
    <row r="730" spans="1:1" x14ac:dyDescent="0.15">
      <c r="A730" s="28"/>
    </row>
    <row r="731" spans="1:1" x14ac:dyDescent="0.15">
      <c r="A731" s="28"/>
    </row>
    <row r="732" spans="1:1" x14ac:dyDescent="0.15">
      <c r="A732" s="28"/>
    </row>
    <row r="733" spans="1:1" x14ac:dyDescent="0.15">
      <c r="A733" s="28"/>
    </row>
    <row r="734" spans="1:1" x14ac:dyDescent="0.15">
      <c r="A734" s="28"/>
    </row>
    <row r="735" spans="1:1" x14ac:dyDescent="0.15">
      <c r="A735" s="28"/>
    </row>
    <row r="736" spans="1:1" x14ac:dyDescent="0.15">
      <c r="A736" s="28"/>
    </row>
    <row r="737" spans="1:1" x14ac:dyDescent="0.15">
      <c r="A737" s="28"/>
    </row>
    <row r="738" spans="1:1" x14ac:dyDescent="0.15">
      <c r="A738" s="28"/>
    </row>
    <row r="739" spans="1:1" x14ac:dyDescent="0.15">
      <c r="A739" s="28"/>
    </row>
    <row r="740" spans="1:1" x14ac:dyDescent="0.15">
      <c r="A740" s="28"/>
    </row>
    <row r="741" spans="1:1" x14ac:dyDescent="0.15">
      <c r="A741" s="28"/>
    </row>
    <row r="742" spans="1:1" x14ac:dyDescent="0.15">
      <c r="A742" s="28"/>
    </row>
    <row r="743" spans="1:1" x14ac:dyDescent="0.15">
      <c r="A743" s="28"/>
    </row>
    <row r="744" spans="1:1" x14ac:dyDescent="0.15">
      <c r="A744" s="28"/>
    </row>
    <row r="745" spans="1:1" x14ac:dyDescent="0.15">
      <c r="A745" s="28"/>
    </row>
    <row r="746" spans="1:1" x14ac:dyDescent="0.15">
      <c r="A746" s="28"/>
    </row>
    <row r="747" spans="1:1" x14ac:dyDescent="0.15">
      <c r="A747" s="28"/>
    </row>
    <row r="748" spans="1:1" x14ac:dyDescent="0.15">
      <c r="A748" s="28"/>
    </row>
    <row r="749" spans="1:1" x14ac:dyDescent="0.15">
      <c r="A749" s="28"/>
    </row>
    <row r="750" spans="1:1" x14ac:dyDescent="0.15">
      <c r="A750" s="28"/>
    </row>
    <row r="751" spans="1:1" x14ac:dyDescent="0.15">
      <c r="A751" s="28"/>
    </row>
    <row r="752" spans="1:1" x14ac:dyDescent="0.15">
      <c r="A752" s="28"/>
    </row>
    <row r="753" spans="1:1" x14ac:dyDescent="0.15">
      <c r="A753" s="28"/>
    </row>
    <row r="754" spans="1:1" x14ac:dyDescent="0.15">
      <c r="A754" s="28"/>
    </row>
    <row r="755" spans="1:1" x14ac:dyDescent="0.15">
      <c r="A755" s="28"/>
    </row>
    <row r="756" spans="1:1" x14ac:dyDescent="0.15">
      <c r="A756" s="28"/>
    </row>
    <row r="757" spans="1:1" x14ac:dyDescent="0.15">
      <c r="A757" s="28"/>
    </row>
    <row r="758" spans="1:1" x14ac:dyDescent="0.15">
      <c r="A758" s="28"/>
    </row>
    <row r="759" spans="1:1" x14ac:dyDescent="0.15">
      <c r="A759" s="28"/>
    </row>
    <row r="760" spans="1:1" x14ac:dyDescent="0.15">
      <c r="A760" s="28"/>
    </row>
    <row r="761" spans="1:1" x14ac:dyDescent="0.15">
      <c r="A761" s="28"/>
    </row>
    <row r="762" spans="1:1" x14ac:dyDescent="0.15">
      <c r="A762" s="28"/>
    </row>
    <row r="763" spans="1:1" x14ac:dyDescent="0.15">
      <c r="A763" s="28"/>
    </row>
    <row r="764" spans="1:1" x14ac:dyDescent="0.15">
      <c r="A764" s="28"/>
    </row>
    <row r="765" spans="1:1" x14ac:dyDescent="0.15">
      <c r="A765" s="28"/>
    </row>
    <row r="766" spans="1:1" x14ac:dyDescent="0.15">
      <c r="A766" s="28"/>
    </row>
    <row r="767" spans="1:1" x14ac:dyDescent="0.15">
      <c r="A767" s="28"/>
    </row>
    <row r="768" spans="1:1" x14ac:dyDescent="0.15">
      <c r="A768" s="28"/>
    </row>
    <row r="769" spans="1:1" x14ac:dyDescent="0.15">
      <c r="A769" s="28"/>
    </row>
    <row r="770" spans="1:1" x14ac:dyDescent="0.15">
      <c r="A770" s="28"/>
    </row>
    <row r="771" spans="1:1" x14ac:dyDescent="0.15">
      <c r="A771" s="28"/>
    </row>
    <row r="772" spans="1:1" x14ac:dyDescent="0.15">
      <c r="A772" s="28"/>
    </row>
    <row r="773" spans="1:1" x14ac:dyDescent="0.15">
      <c r="A773" s="28"/>
    </row>
    <row r="774" spans="1:1" x14ac:dyDescent="0.15">
      <c r="A774" s="28"/>
    </row>
    <row r="775" spans="1:1" x14ac:dyDescent="0.15">
      <c r="A775" s="28"/>
    </row>
    <row r="776" spans="1:1" x14ac:dyDescent="0.15">
      <c r="A776" s="28"/>
    </row>
    <row r="777" spans="1:1" x14ac:dyDescent="0.15">
      <c r="A777" s="28"/>
    </row>
    <row r="778" spans="1:1" x14ac:dyDescent="0.15">
      <c r="A778" s="28"/>
    </row>
    <row r="779" spans="1:1" x14ac:dyDescent="0.15">
      <c r="A779" s="28"/>
    </row>
    <row r="780" spans="1:1" x14ac:dyDescent="0.15">
      <c r="A780" s="28"/>
    </row>
    <row r="781" spans="1:1" x14ac:dyDescent="0.15">
      <c r="A781" s="28"/>
    </row>
    <row r="782" spans="1:1" x14ac:dyDescent="0.15">
      <c r="A782" s="28"/>
    </row>
    <row r="783" spans="1:1" x14ac:dyDescent="0.15">
      <c r="A783" s="28"/>
    </row>
    <row r="784" spans="1:1" x14ac:dyDescent="0.15">
      <c r="A784" s="28"/>
    </row>
    <row r="785" spans="1:1" x14ac:dyDescent="0.15">
      <c r="A785" s="28"/>
    </row>
    <row r="786" spans="1:1" x14ac:dyDescent="0.15">
      <c r="A786" s="28"/>
    </row>
    <row r="787" spans="1:1" x14ac:dyDescent="0.15">
      <c r="A787" s="28"/>
    </row>
    <row r="788" spans="1:1" x14ac:dyDescent="0.15">
      <c r="A788" s="28"/>
    </row>
    <row r="789" spans="1:1" x14ac:dyDescent="0.15">
      <c r="A789" s="28"/>
    </row>
    <row r="790" spans="1:1" x14ac:dyDescent="0.15">
      <c r="A790" s="28"/>
    </row>
    <row r="791" spans="1:1" x14ac:dyDescent="0.15">
      <c r="A791" s="28"/>
    </row>
    <row r="792" spans="1:1" x14ac:dyDescent="0.15">
      <c r="A792" s="28"/>
    </row>
    <row r="793" spans="1:1" x14ac:dyDescent="0.15">
      <c r="A793" s="28"/>
    </row>
    <row r="794" spans="1:1" x14ac:dyDescent="0.15">
      <c r="A794" s="28"/>
    </row>
    <row r="795" spans="1:1" x14ac:dyDescent="0.15">
      <c r="A795" s="28"/>
    </row>
    <row r="796" spans="1:1" x14ac:dyDescent="0.15">
      <c r="A796" s="28"/>
    </row>
    <row r="797" spans="1:1" x14ac:dyDescent="0.15">
      <c r="A797" s="28"/>
    </row>
    <row r="798" spans="1:1" x14ac:dyDescent="0.15">
      <c r="A798" s="28"/>
    </row>
    <row r="799" spans="1:1" x14ac:dyDescent="0.15">
      <c r="A799" s="28"/>
    </row>
    <row r="800" spans="1:1" x14ac:dyDescent="0.15">
      <c r="A800" s="28"/>
    </row>
    <row r="801" spans="1:1" x14ac:dyDescent="0.15">
      <c r="A801" s="28"/>
    </row>
    <row r="802" spans="1:1" x14ac:dyDescent="0.15">
      <c r="A802" s="28"/>
    </row>
    <row r="803" spans="1:1" x14ac:dyDescent="0.15">
      <c r="A803" s="28"/>
    </row>
    <row r="804" spans="1:1" x14ac:dyDescent="0.15">
      <c r="A804" s="28"/>
    </row>
    <row r="805" spans="1:1" x14ac:dyDescent="0.15">
      <c r="A805" s="28"/>
    </row>
    <row r="806" spans="1:1" x14ac:dyDescent="0.15">
      <c r="A806" s="28"/>
    </row>
    <row r="807" spans="1:1" x14ac:dyDescent="0.15">
      <c r="A807" s="28"/>
    </row>
    <row r="808" spans="1:1" x14ac:dyDescent="0.15">
      <c r="A808" s="28"/>
    </row>
    <row r="809" spans="1:1" x14ac:dyDescent="0.15">
      <c r="A809" s="28"/>
    </row>
    <row r="810" spans="1:1" x14ac:dyDescent="0.15">
      <c r="A810" s="28"/>
    </row>
    <row r="811" spans="1:1" x14ac:dyDescent="0.15">
      <c r="A811" s="28"/>
    </row>
    <row r="812" spans="1:1" x14ac:dyDescent="0.15">
      <c r="A812" s="28"/>
    </row>
    <row r="813" spans="1:1" x14ac:dyDescent="0.15">
      <c r="A813" s="28"/>
    </row>
    <row r="814" spans="1:1" x14ac:dyDescent="0.15">
      <c r="A814" s="28"/>
    </row>
    <row r="815" spans="1:1" x14ac:dyDescent="0.15">
      <c r="A815" s="28"/>
    </row>
    <row r="816" spans="1:1" x14ac:dyDescent="0.15">
      <c r="A816" s="28"/>
    </row>
    <row r="817" spans="1:1" x14ac:dyDescent="0.15">
      <c r="A817" s="28"/>
    </row>
    <row r="818" spans="1:1" x14ac:dyDescent="0.15">
      <c r="A818" s="28"/>
    </row>
    <row r="819" spans="1:1" x14ac:dyDescent="0.15">
      <c r="A819" s="28"/>
    </row>
    <row r="820" spans="1:1" x14ac:dyDescent="0.15">
      <c r="A820" s="28"/>
    </row>
    <row r="821" spans="1:1" x14ac:dyDescent="0.15">
      <c r="A821" s="28"/>
    </row>
    <row r="822" spans="1:1" x14ac:dyDescent="0.15">
      <c r="A822" s="28"/>
    </row>
    <row r="823" spans="1:1" x14ac:dyDescent="0.15">
      <c r="A823" s="28"/>
    </row>
    <row r="824" spans="1:1" x14ac:dyDescent="0.15">
      <c r="A824" s="28"/>
    </row>
    <row r="825" spans="1:1" x14ac:dyDescent="0.15">
      <c r="A825" s="28"/>
    </row>
    <row r="826" spans="1:1" x14ac:dyDescent="0.15">
      <c r="A826" s="28"/>
    </row>
    <row r="827" spans="1:1" x14ac:dyDescent="0.15">
      <c r="A827" s="28"/>
    </row>
    <row r="828" spans="1:1" x14ac:dyDescent="0.15">
      <c r="A828" s="28"/>
    </row>
    <row r="829" spans="1:1" x14ac:dyDescent="0.15">
      <c r="A829" s="28"/>
    </row>
    <row r="830" spans="1:1" x14ac:dyDescent="0.15">
      <c r="A830" s="28"/>
    </row>
    <row r="831" spans="1:1" x14ac:dyDescent="0.15">
      <c r="A831" s="28"/>
    </row>
    <row r="832" spans="1:1" x14ac:dyDescent="0.15">
      <c r="A832" s="28"/>
    </row>
    <row r="833" spans="1:1" x14ac:dyDescent="0.15">
      <c r="A833" s="28"/>
    </row>
    <row r="834" spans="1:1" x14ac:dyDescent="0.15">
      <c r="A834" s="28"/>
    </row>
    <row r="835" spans="1:1" x14ac:dyDescent="0.15">
      <c r="A835" s="28"/>
    </row>
    <row r="836" spans="1:1" x14ac:dyDescent="0.15">
      <c r="A836" s="28"/>
    </row>
    <row r="837" spans="1:1" x14ac:dyDescent="0.15">
      <c r="A837" s="28"/>
    </row>
    <row r="838" spans="1:1" x14ac:dyDescent="0.15">
      <c r="A838" s="28"/>
    </row>
    <row r="839" spans="1:1" x14ac:dyDescent="0.15">
      <c r="A839" s="28"/>
    </row>
    <row r="840" spans="1:1" x14ac:dyDescent="0.15">
      <c r="A840" s="28"/>
    </row>
    <row r="841" spans="1:1" x14ac:dyDescent="0.15">
      <c r="A841" s="28"/>
    </row>
    <row r="842" spans="1:1" x14ac:dyDescent="0.15">
      <c r="A842" s="28"/>
    </row>
    <row r="843" spans="1:1" x14ac:dyDescent="0.15">
      <c r="A843" s="28"/>
    </row>
    <row r="844" spans="1:1" x14ac:dyDescent="0.15">
      <c r="A844" s="28"/>
    </row>
    <row r="845" spans="1:1" x14ac:dyDescent="0.15">
      <c r="A845" s="28"/>
    </row>
    <row r="846" spans="1:1" x14ac:dyDescent="0.15">
      <c r="A846" s="28"/>
    </row>
    <row r="847" spans="1:1" x14ac:dyDescent="0.15">
      <c r="A847" s="28"/>
    </row>
    <row r="848" spans="1:1" x14ac:dyDescent="0.15">
      <c r="A848" s="28"/>
    </row>
    <row r="849" spans="1:1" x14ac:dyDescent="0.15">
      <c r="A849" s="28"/>
    </row>
    <row r="850" spans="1:1" x14ac:dyDescent="0.15">
      <c r="A850" s="28"/>
    </row>
    <row r="851" spans="1:1" x14ac:dyDescent="0.15">
      <c r="A851" s="28"/>
    </row>
    <row r="852" spans="1:1" x14ac:dyDescent="0.15">
      <c r="A852" s="28"/>
    </row>
    <row r="853" spans="1:1" x14ac:dyDescent="0.15">
      <c r="A853" s="28"/>
    </row>
    <row r="854" spans="1:1" x14ac:dyDescent="0.15">
      <c r="A854" s="28"/>
    </row>
    <row r="855" spans="1:1" x14ac:dyDescent="0.15">
      <c r="A855" s="28"/>
    </row>
    <row r="856" spans="1:1" x14ac:dyDescent="0.15">
      <c r="A856" s="28"/>
    </row>
    <row r="857" spans="1:1" x14ac:dyDescent="0.15">
      <c r="A857" s="28"/>
    </row>
    <row r="858" spans="1:1" x14ac:dyDescent="0.15">
      <c r="A858" s="28"/>
    </row>
    <row r="859" spans="1:1" x14ac:dyDescent="0.15">
      <c r="A859" s="28"/>
    </row>
    <row r="860" spans="1:1" x14ac:dyDescent="0.15">
      <c r="A860" s="28"/>
    </row>
    <row r="861" spans="1:1" x14ac:dyDescent="0.15">
      <c r="A861" s="28"/>
    </row>
    <row r="862" spans="1:1" x14ac:dyDescent="0.15">
      <c r="A862" s="28"/>
    </row>
    <row r="863" spans="1:1" x14ac:dyDescent="0.15">
      <c r="A863" s="28"/>
    </row>
    <row r="864" spans="1:1" x14ac:dyDescent="0.15">
      <c r="A864" s="28"/>
    </row>
    <row r="865" spans="1:1" x14ac:dyDescent="0.15">
      <c r="A865" s="28"/>
    </row>
    <row r="866" spans="1:1" x14ac:dyDescent="0.15">
      <c r="A866" s="28"/>
    </row>
    <row r="867" spans="1:1" x14ac:dyDescent="0.15">
      <c r="A867" s="28"/>
    </row>
    <row r="868" spans="1:1" x14ac:dyDescent="0.15">
      <c r="A868" s="28"/>
    </row>
    <row r="869" spans="1:1" x14ac:dyDescent="0.15">
      <c r="A869" s="28"/>
    </row>
    <row r="870" spans="1:1" x14ac:dyDescent="0.15">
      <c r="A870" s="28"/>
    </row>
    <row r="871" spans="1:1" x14ac:dyDescent="0.15">
      <c r="A871" s="28"/>
    </row>
    <row r="872" spans="1:1" x14ac:dyDescent="0.15">
      <c r="A872" s="28"/>
    </row>
    <row r="873" spans="1:1" x14ac:dyDescent="0.15">
      <c r="A873" s="28"/>
    </row>
    <row r="874" spans="1:1" x14ac:dyDescent="0.15">
      <c r="A874" s="28"/>
    </row>
    <row r="875" spans="1:1" x14ac:dyDescent="0.15">
      <c r="A875" s="28"/>
    </row>
    <row r="876" spans="1:1" x14ac:dyDescent="0.15">
      <c r="A876" s="28"/>
    </row>
    <row r="877" spans="1:1" x14ac:dyDescent="0.15">
      <c r="A877" s="28"/>
    </row>
    <row r="878" spans="1:1" x14ac:dyDescent="0.15">
      <c r="A878" s="28"/>
    </row>
    <row r="879" spans="1:1" x14ac:dyDescent="0.15">
      <c r="A879" s="28"/>
    </row>
    <row r="880" spans="1:1" x14ac:dyDescent="0.15">
      <c r="A880" s="28"/>
    </row>
    <row r="881" spans="1:1" x14ac:dyDescent="0.15">
      <c r="A881" s="28"/>
    </row>
    <row r="882" spans="1:1" x14ac:dyDescent="0.15">
      <c r="A882" s="28"/>
    </row>
    <row r="883" spans="1:1" x14ac:dyDescent="0.15">
      <c r="A883" s="28"/>
    </row>
    <row r="884" spans="1:1" x14ac:dyDescent="0.15">
      <c r="A884" s="28"/>
    </row>
    <row r="885" spans="1:1" x14ac:dyDescent="0.15">
      <c r="A885" s="28"/>
    </row>
    <row r="886" spans="1:1" x14ac:dyDescent="0.15">
      <c r="A886" s="28"/>
    </row>
    <row r="887" spans="1:1" x14ac:dyDescent="0.15">
      <c r="A887" s="28"/>
    </row>
    <row r="888" spans="1:1" x14ac:dyDescent="0.15">
      <c r="A888" s="28"/>
    </row>
    <row r="889" spans="1:1" x14ac:dyDescent="0.15">
      <c r="A889" s="28"/>
    </row>
    <row r="890" spans="1:1" x14ac:dyDescent="0.15">
      <c r="A890" s="28"/>
    </row>
    <row r="891" spans="1:1" x14ac:dyDescent="0.15">
      <c r="A891" s="28"/>
    </row>
    <row r="892" spans="1:1" x14ac:dyDescent="0.15">
      <c r="A892" s="28"/>
    </row>
    <row r="893" spans="1:1" x14ac:dyDescent="0.15">
      <c r="A893" s="28"/>
    </row>
    <row r="894" spans="1:1" x14ac:dyDescent="0.15">
      <c r="A894" s="28"/>
    </row>
    <row r="895" spans="1:1" x14ac:dyDescent="0.15">
      <c r="A895" s="28"/>
    </row>
    <row r="896" spans="1:1" x14ac:dyDescent="0.15">
      <c r="A896" s="28"/>
    </row>
    <row r="897" spans="1:1" x14ac:dyDescent="0.15">
      <c r="A897" s="28"/>
    </row>
    <row r="898" spans="1:1" x14ac:dyDescent="0.15">
      <c r="A898" s="28"/>
    </row>
    <row r="899" spans="1:1" x14ac:dyDescent="0.15">
      <c r="A899" s="28"/>
    </row>
    <row r="900" spans="1:1" x14ac:dyDescent="0.15">
      <c r="A900" s="28"/>
    </row>
    <row r="901" spans="1:1" x14ac:dyDescent="0.15">
      <c r="A901" s="28"/>
    </row>
    <row r="902" spans="1:1" x14ac:dyDescent="0.15">
      <c r="A902" s="28"/>
    </row>
    <row r="903" spans="1:1" x14ac:dyDescent="0.15">
      <c r="A903" s="28"/>
    </row>
    <row r="904" spans="1:1" x14ac:dyDescent="0.15">
      <c r="A904" s="28"/>
    </row>
    <row r="905" spans="1:1" x14ac:dyDescent="0.15">
      <c r="A905" s="28"/>
    </row>
    <row r="906" spans="1:1" x14ac:dyDescent="0.15">
      <c r="A906" s="28"/>
    </row>
    <row r="907" spans="1:1" x14ac:dyDescent="0.15">
      <c r="A907" s="28"/>
    </row>
    <row r="908" spans="1:1" x14ac:dyDescent="0.15">
      <c r="A908" s="28"/>
    </row>
    <row r="909" spans="1:1" x14ac:dyDescent="0.15">
      <c r="A909" s="28"/>
    </row>
    <row r="910" spans="1:1" x14ac:dyDescent="0.15">
      <c r="A910" s="28"/>
    </row>
    <row r="911" spans="1:1" x14ac:dyDescent="0.15">
      <c r="A911" s="28"/>
    </row>
    <row r="912" spans="1:1" x14ac:dyDescent="0.15">
      <c r="A912" s="28"/>
    </row>
    <row r="913" spans="1:1" x14ac:dyDescent="0.15">
      <c r="A913" s="28"/>
    </row>
    <row r="914" spans="1:1" x14ac:dyDescent="0.15">
      <c r="A914" s="28"/>
    </row>
    <row r="915" spans="1:1" x14ac:dyDescent="0.15">
      <c r="A915" s="28"/>
    </row>
    <row r="916" spans="1:1" x14ac:dyDescent="0.15">
      <c r="A916" s="28"/>
    </row>
    <row r="917" spans="1:1" x14ac:dyDescent="0.15">
      <c r="A917" s="28"/>
    </row>
    <row r="918" spans="1:1" x14ac:dyDescent="0.15">
      <c r="A918" s="28"/>
    </row>
    <row r="919" spans="1:1" x14ac:dyDescent="0.15">
      <c r="A919" s="28"/>
    </row>
    <row r="920" spans="1:1" x14ac:dyDescent="0.15">
      <c r="A920" s="28"/>
    </row>
    <row r="921" spans="1:1" x14ac:dyDescent="0.15">
      <c r="A921" s="28"/>
    </row>
    <row r="922" spans="1:1" x14ac:dyDescent="0.15">
      <c r="A922" s="28"/>
    </row>
    <row r="923" spans="1:1" x14ac:dyDescent="0.15">
      <c r="A923" s="28"/>
    </row>
    <row r="924" spans="1:1" x14ac:dyDescent="0.15">
      <c r="A924" s="28"/>
    </row>
    <row r="925" spans="1:1" x14ac:dyDescent="0.15">
      <c r="A925" s="28"/>
    </row>
    <row r="926" spans="1:1" x14ac:dyDescent="0.15">
      <c r="A926" s="28"/>
    </row>
    <row r="927" spans="1:1" x14ac:dyDescent="0.15">
      <c r="A927" s="28"/>
    </row>
    <row r="928" spans="1:1" x14ac:dyDescent="0.15">
      <c r="A928" s="28"/>
    </row>
    <row r="929" spans="1:1" x14ac:dyDescent="0.15">
      <c r="A929" s="28"/>
    </row>
    <row r="930" spans="1:1" x14ac:dyDescent="0.15">
      <c r="A930" s="28"/>
    </row>
    <row r="931" spans="1:1" x14ac:dyDescent="0.15">
      <c r="A931" s="28"/>
    </row>
    <row r="932" spans="1:1" x14ac:dyDescent="0.15">
      <c r="A932" s="28"/>
    </row>
    <row r="933" spans="1:1" x14ac:dyDescent="0.15">
      <c r="A933" s="28"/>
    </row>
    <row r="934" spans="1:1" x14ac:dyDescent="0.15">
      <c r="A934" s="28"/>
    </row>
    <row r="935" spans="1:1" x14ac:dyDescent="0.15">
      <c r="A935" s="28"/>
    </row>
    <row r="936" spans="1:1" x14ac:dyDescent="0.15">
      <c r="A936" s="28"/>
    </row>
    <row r="937" spans="1:1" x14ac:dyDescent="0.15">
      <c r="A937" s="28"/>
    </row>
    <row r="938" spans="1:1" x14ac:dyDescent="0.15">
      <c r="A938" s="28"/>
    </row>
    <row r="939" spans="1:1" x14ac:dyDescent="0.15">
      <c r="A939" s="28"/>
    </row>
    <row r="940" spans="1:1" x14ac:dyDescent="0.15">
      <c r="A940" s="28"/>
    </row>
    <row r="941" spans="1:1" x14ac:dyDescent="0.15">
      <c r="A941" s="28"/>
    </row>
    <row r="942" spans="1:1" x14ac:dyDescent="0.15">
      <c r="A942" s="28"/>
    </row>
    <row r="943" spans="1:1" x14ac:dyDescent="0.15">
      <c r="A943" s="28"/>
    </row>
    <row r="944" spans="1:1" x14ac:dyDescent="0.15">
      <c r="A944" s="28"/>
    </row>
    <row r="945" spans="1:1" x14ac:dyDescent="0.15">
      <c r="A945" s="28"/>
    </row>
    <row r="946" spans="1:1" x14ac:dyDescent="0.15">
      <c r="A946" s="28"/>
    </row>
    <row r="947" spans="1:1" x14ac:dyDescent="0.15">
      <c r="A947" s="28"/>
    </row>
    <row r="948" spans="1:1" x14ac:dyDescent="0.15">
      <c r="A948" s="28"/>
    </row>
    <row r="949" spans="1:1" x14ac:dyDescent="0.15">
      <c r="A949" s="28"/>
    </row>
  </sheetData>
  <mergeCells count="51">
    <mergeCell ref="D10:P10"/>
    <mergeCell ref="D11:E14"/>
    <mergeCell ref="F11:P12"/>
    <mergeCell ref="F13:L14"/>
    <mergeCell ref="M13:P13"/>
    <mergeCell ref="M14:P14"/>
    <mergeCell ref="J16:K16"/>
    <mergeCell ref="D18:D19"/>
    <mergeCell ref="E18:F19"/>
    <mergeCell ref="G18:L19"/>
    <mergeCell ref="M18:P18"/>
    <mergeCell ref="O15:P17"/>
    <mergeCell ref="E20:F20"/>
    <mergeCell ref="G20:L20"/>
    <mergeCell ref="E21:F21"/>
    <mergeCell ref="G21:L21"/>
    <mergeCell ref="E22:F22"/>
    <mergeCell ref="G22:L22"/>
    <mergeCell ref="E23:F23"/>
    <mergeCell ref="G23:L23"/>
    <mergeCell ref="E24:F24"/>
    <mergeCell ref="G24:L24"/>
    <mergeCell ref="E25:F25"/>
    <mergeCell ref="G25:L25"/>
    <mergeCell ref="E30:F30"/>
    <mergeCell ref="G30:H30"/>
    <mergeCell ref="I30:J30"/>
    <mergeCell ref="K30:L30"/>
    <mergeCell ref="M30:P30"/>
    <mergeCell ref="D27:P27"/>
    <mergeCell ref="D28:H28"/>
    <mergeCell ref="I28:P28"/>
    <mergeCell ref="E29:H29"/>
    <mergeCell ref="I29:J29"/>
    <mergeCell ref="K29:P29"/>
    <mergeCell ref="G26:L26"/>
    <mergeCell ref="E26:F26"/>
    <mergeCell ref="D35:P35"/>
    <mergeCell ref="D37:P39"/>
    <mergeCell ref="D41:P42"/>
    <mergeCell ref="D32:H32"/>
    <mergeCell ref="I32:P32"/>
    <mergeCell ref="E33:H33"/>
    <mergeCell ref="I33:J33"/>
    <mergeCell ref="K33:P33"/>
    <mergeCell ref="E34:F34"/>
    <mergeCell ref="G34:H34"/>
    <mergeCell ref="I34:J34"/>
    <mergeCell ref="K34:L34"/>
    <mergeCell ref="M34:P34"/>
    <mergeCell ref="D31:P31"/>
  </mergeCells>
  <pageMargins left="0.51181102362204722" right="0.51181102362204722" top="0.78740157480314965" bottom="0.78740157480314965" header="0.31496062992125984" footer="0.31496062992125984"/>
  <pageSetup paperSize="9" orientation="landscape" r:id="rId2"/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6DCF7D-545B-4416-A1D7-31B5DF90AF0F}">
          <x14:formula1>
            <xm:f>DADOS!$M$2:$M$9</xm:f>
          </x14:formula1>
          <xm:sqref>K29:P29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34CB-538A-4F9A-B233-DC1FE9C2683C}">
  <sheetPr codeName="Planilha7"/>
  <dimension ref="B1:Q104"/>
  <sheetViews>
    <sheetView showGridLines="0" topLeftCell="F87" workbookViewId="0">
      <selection activeCell="L9" sqref="L9"/>
    </sheetView>
  </sheetViews>
  <sheetFormatPr defaultRowHeight="12.75" x14ac:dyDescent="0.15"/>
  <cols>
    <col min="1" max="1" width="1.34765625" customWidth="1"/>
    <col min="2" max="2" width="30.20703125" customWidth="1"/>
    <col min="3" max="3" width="1.6171875" customWidth="1"/>
    <col min="4" max="4" width="65.1328125" customWidth="1"/>
    <col min="5" max="5" width="1.48046875" customWidth="1"/>
    <col min="6" max="6" width="12.26953125" bestFit="1" customWidth="1"/>
    <col min="7" max="7" width="1.2109375" customWidth="1"/>
    <col min="9" max="9" width="1.48046875" customWidth="1"/>
    <col min="11" max="11" width="1.34765625" customWidth="1"/>
    <col min="12" max="12" width="11.73046875" customWidth="1"/>
    <col min="13" max="13" width="35.1953125" customWidth="1"/>
    <col min="15" max="15" width="64.59375" bestFit="1" customWidth="1"/>
    <col min="16" max="16" width="2.15625" customWidth="1"/>
    <col min="17" max="17" width="29.125" customWidth="1"/>
  </cols>
  <sheetData>
    <row r="1" spans="2:17" x14ac:dyDescent="0.15">
      <c r="B1" s="5" t="s">
        <v>39</v>
      </c>
      <c r="C1" s="5"/>
      <c r="D1" s="5" t="s">
        <v>58</v>
      </c>
      <c r="F1" s="5" t="s">
        <v>41</v>
      </c>
      <c r="H1" s="5" t="s">
        <v>47</v>
      </c>
      <c r="J1" s="5" t="s">
        <v>213</v>
      </c>
      <c r="L1" s="34" t="s">
        <v>11</v>
      </c>
      <c r="M1" s="34" t="s">
        <v>264</v>
      </c>
      <c r="O1" s="84" t="s">
        <v>58</v>
      </c>
      <c r="Q1" s="84" t="s">
        <v>990</v>
      </c>
    </row>
    <row r="2" spans="2:17" x14ac:dyDescent="0.15">
      <c r="B2" s="5" t="s">
        <v>438</v>
      </c>
      <c r="C2" s="5"/>
      <c r="D2" s="5"/>
      <c r="F2" s="5" t="s">
        <v>43</v>
      </c>
      <c r="H2" s="5" t="s">
        <v>48</v>
      </c>
      <c r="J2" s="5" t="s">
        <v>214</v>
      </c>
      <c r="L2" s="34">
        <v>533602</v>
      </c>
      <c r="M2" s="34" t="s">
        <v>266</v>
      </c>
      <c r="O2" s="83" t="str" cm="1">
        <f t="array" ref="O2:O100">_xlfn._xlws.SORT(_xlfn.UNIQUE(Inventários[Processo - localização específica]))</f>
        <v>Bloco hidráulico - analisadores d'água bruta</v>
      </c>
      <c r="Q2" t="str" cm="1">
        <f t="array" ref="Q2:Q21">_xlfn._xlws.SORT(_xlfn.UNIQUE(Inventários[[#All],[Processo]]))</f>
        <v>Analisadores - Água Bruta</v>
      </c>
    </row>
    <row r="3" spans="2:17" x14ac:dyDescent="0.15">
      <c r="B3" s="5" t="s">
        <v>55</v>
      </c>
      <c r="C3" s="5"/>
      <c r="D3" s="5"/>
      <c r="F3" s="5" t="s">
        <v>42</v>
      </c>
      <c r="H3" s="5" t="s">
        <v>51</v>
      </c>
      <c r="J3" s="5" t="s">
        <v>215</v>
      </c>
      <c r="L3" s="34">
        <v>500518</v>
      </c>
      <c r="M3" s="34" t="s">
        <v>446</v>
      </c>
      <c r="O3" t="str">
        <v>Cal em suspensão - armazenagem e válvulas</v>
      </c>
      <c r="Q3" t="str">
        <v>Casa de química</v>
      </c>
    </row>
    <row r="4" spans="2:17" x14ac:dyDescent="0.15">
      <c r="B4" s="5" t="s">
        <v>74</v>
      </c>
      <c r="C4" s="5"/>
      <c r="D4" s="5"/>
      <c r="F4" s="5" t="s">
        <v>44</v>
      </c>
      <c r="H4" s="5" t="s">
        <v>49</v>
      </c>
      <c r="L4" s="34">
        <v>519286</v>
      </c>
      <c r="M4" s="34" t="s">
        <v>265</v>
      </c>
      <c r="O4" t="str">
        <v>Cal em suspensão - bombas de dosagem e recirculação</v>
      </c>
      <c r="Q4" t="str">
        <v>Elevatória de água tratada</v>
      </c>
    </row>
    <row r="5" spans="2:17" x14ac:dyDescent="0.15">
      <c r="B5" s="5" t="s">
        <v>54</v>
      </c>
      <c r="C5" s="5"/>
      <c r="D5" s="5"/>
      <c r="F5" s="5" t="s">
        <v>45</v>
      </c>
      <c r="H5" s="5" t="s">
        <v>50</v>
      </c>
      <c r="L5" s="34">
        <v>534099</v>
      </c>
      <c r="M5" s="34" t="s">
        <v>447</v>
      </c>
      <c r="O5" t="str">
        <v>Carvão - armazenamento e dosagem</v>
      </c>
      <c r="Q5" t="str">
        <v>Filtros</v>
      </c>
    </row>
    <row r="6" spans="2:17" x14ac:dyDescent="0.15">
      <c r="B6" s="5" t="s">
        <v>52</v>
      </c>
      <c r="C6" s="5"/>
      <c r="D6" s="5"/>
      <c r="F6" s="5" t="s">
        <v>46</v>
      </c>
      <c r="L6" s="34">
        <v>533459</v>
      </c>
      <c r="M6" s="34" t="s">
        <v>448</v>
      </c>
      <c r="O6" t="str">
        <v>Casa de química - armazenamento e dosagem de cal em suspensão</v>
      </c>
      <c r="Q6" t="str">
        <v>Floculadores</v>
      </c>
    </row>
    <row r="7" spans="2:17" x14ac:dyDescent="0.15">
      <c r="B7" s="5" t="s">
        <v>53</v>
      </c>
      <c r="C7" s="5"/>
      <c r="D7" s="5"/>
      <c r="L7" s="34">
        <v>526584</v>
      </c>
      <c r="M7" s="34" t="s">
        <v>991</v>
      </c>
      <c r="O7" t="str">
        <v>Casa de química - preparo e dosagem de permanganato e polímero</v>
      </c>
      <c r="Q7" t="str">
        <v>Flotadores</v>
      </c>
    </row>
    <row r="8" spans="2:17" x14ac:dyDescent="0.15">
      <c r="B8" s="5" t="s">
        <v>37</v>
      </c>
      <c r="C8" s="5"/>
      <c r="D8" s="5"/>
      <c r="L8" s="34">
        <v>501336</v>
      </c>
      <c r="M8" s="34" t="s">
        <v>994</v>
      </c>
      <c r="O8" t="str">
        <v xml:space="preserve">Cloro - balanças, central de neutralização de gases e elevatória de resíduos </v>
      </c>
      <c r="Q8" t="str">
        <v>Medidor de vazão - Água Bruta</v>
      </c>
    </row>
    <row r="9" spans="2:17" x14ac:dyDescent="0.15">
      <c r="B9" s="5" t="s">
        <v>437</v>
      </c>
      <c r="C9" s="5"/>
      <c r="D9" s="5"/>
      <c r="L9" s="34"/>
      <c r="M9" s="34"/>
      <c r="O9" t="str">
        <v>Cloro - elevatórias de injeção de cloro</v>
      </c>
      <c r="Q9" t="str">
        <v>Prédio administrativo</v>
      </c>
    </row>
    <row r="10" spans="2:17" x14ac:dyDescent="0.15">
      <c r="B10" s="5" t="s">
        <v>36</v>
      </c>
      <c r="C10" s="5"/>
      <c r="D10" s="5"/>
      <c r="O10" t="str">
        <v>Cloro - sala dos evaporadores e dosadores</v>
      </c>
      <c r="Q10" t="str">
        <v>Processo</v>
      </c>
    </row>
    <row r="11" spans="2:17" x14ac:dyDescent="0.15">
      <c r="B11" s="5" t="s">
        <v>73</v>
      </c>
      <c r="C11" s="5"/>
      <c r="D11" s="5"/>
      <c r="O11" t="str">
        <v>Coagulante - armazenamento e dosagem</v>
      </c>
      <c r="Q11" t="str">
        <v>Reservatório de água tratada</v>
      </c>
    </row>
    <row r="12" spans="2:17" x14ac:dyDescent="0.15">
      <c r="B12" s="5" t="s">
        <v>211</v>
      </c>
      <c r="C12" s="5"/>
      <c r="D12" s="5"/>
      <c r="O12" t="str">
        <v>EAT - bombas submersíveis - barrilete de sucção</v>
      </c>
      <c r="Q12" t="str">
        <v>Sistema coagulante</v>
      </c>
    </row>
    <row r="13" spans="2:17" x14ac:dyDescent="0.15">
      <c r="B13" s="5" t="s">
        <v>440</v>
      </c>
      <c r="C13" s="5"/>
      <c r="D13" s="5"/>
      <c r="O13" t="str">
        <v>EAT - bombas submersíveis - casa de máquinas</v>
      </c>
      <c r="Q13" t="str">
        <v>Sistema de cal em suspensão</v>
      </c>
    </row>
    <row r="14" spans="2:17" x14ac:dyDescent="0.15">
      <c r="B14" s="5" t="s">
        <v>57</v>
      </c>
      <c r="D14" s="5"/>
      <c r="O14" t="str">
        <v>EAT - casa de máquinas e  med. de vazão</v>
      </c>
      <c r="Q14" t="str">
        <v>Sistema de carvão ativado</v>
      </c>
    </row>
    <row r="15" spans="2:17" x14ac:dyDescent="0.15">
      <c r="B15" s="5" t="s">
        <v>56</v>
      </c>
      <c r="D15" s="5"/>
      <c r="O15" t="str">
        <v>EAT - ponte rolante</v>
      </c>
      <c r="Q15" t="str">
        <v>Sistema de cloro</v>
      </c>
    </row>
    <row r="16" spans="2:17" x14ac:dyDescent="0.15">
      <c r="B16" s="5" t="s">
        <v>75</v>
      </c>
      <c r="D16" s="5"/>
      <c r="O16" t="str">
        <v>EAT - RHOs</v>
      </c>
      <c r="Q16" t="str">
        <v>Sistema de desidratação de lodo</v>
      </c>
    </row>
    <row r="17" spans="2:17" x14ac:dyDescent="0.15">
      <c r="B17" s="5" t="s">
        <v>61</v>
      </c>
      <c r="D17" s="5"/>
      <c r="H17" s="37"/>
      <c r="O17" t="str">
        <v>EAT - sala de cubículo</v>
      </c>
      <c r="Q17" t="str">
        <v>Sistema de flúor</v>
      </c>
    </row>
    <row r="18" spans="2:17" x14ac:dyDescent="0.15">
      <c r="B18" s="5" t="s">
        <v>596</v>
      </c>
      <c r="D18" s="5"/>
      <c r="H18" s="37"/>
      <c r="O18" t="str">
        <v>EAT - sala painel view</v>
      </c>
      <c r="Q18" t="str">
        <v>Subestação elétrica</v>
      </c>
    </row>
    <row r="19" spans="2:17" x14ac:dyDescent="0.15">
      <c r="B19" s="5" t="s">
        <v>190</v>
      </c>
      <c r="D19" s="5"/>
      <c r="O19" t="str">
        <v xml:space="preserve">Filtro 01 - comportas </v>
      </c>
      <c r="Q19" t="str">
        <v>Tanques de reciclo</v>
      </c>
    </row>
    <row r="20" spans="2:17" x14ac:dyDescent="0.15">
      <c r="B20" s="5" t="s">
        <v>38</v>
      </c>
      <c r="D20" s="5"/>
      <c r="O20" t="str">
        <v>Filtro 01 - turbidimetro e med. taxa de filtração</v>
      </c>
      <c r="Q20" t="str">
        <v>TAPQ</v>
      </c>
    </row>
    <row r="21" spans="2:17" x14ac:dyDescent="0.15">
      <c r="B21" s="5" t="s">
        <v>445</v>
      </c>
      <c r="D21" s="5"/>
      <c r="O21" t="str">
        <v>Filtro 01 - válvulas de ar, água filtrada, lavagem e drenagem</v>
      </c>
      <c r="Q21" t="str">
        <v>Torre de transmissão</v>
      </c>
    </row>
    <row r="22" spans="2:17" x14ac:dyDescent="0.15">
      <c r="B22" s="5"/>
      <c r="D22" s="5"/>
      <c r="O22" t="str">
        <v>Filtro 02 -  válvulas de ar, água filtrada, lavagem e drenagem</v>
      </c>
    </row>
    <row r="23" spans="2:17" x14ac:dyDescent="0.15">
      <c r="B23" s="5"/>
      <c r="D23" s="5"/>
      <c r="O23" t="str">
        <v xml:space="preserve">Filtro 02 - comportas </v>
      </c>
    </row>
    <row r="24" spans="2:17" x14ac:dyDescent="0.15">
      <c r="B24" s="5"/>
      <c r="D24" s="5"/>
      <c r="O24" t="str">
        <v>Filtro 02 - turbidimetro e med. taxa de filtração</v>
      </c>
    </row>
    <row r="25" spans="2:17" x14ac:dyDescent="0.15">
      <c r="B25" s="5"/>
      <c r="D25" s="5"/>
      <c r="O25" t="str">
        <v>Filtro 03 -  válvulas de ar, água filtrada, lavagem e drenagem</v>
      </c>
    </row>
    <row r="26" spans="2:17" x14ac:dyDescent="0.15">
      <c r="D26" s="5"/>
      <c r="O26" t="str">
        <v xml:space="preserve">Filtro 03 - comportas </v>
      </c>
    </row>
    <row r="27" spans="2:17" x14ac:dyDescent="0.15">
      <c r="D27" s="5"/>
      <c r="O27" t="str">
        <v>Filtro 03 - turbidimetro e med. taxa de filtração</v>
      </c>
    </row>
    <row r="28" spans="2:17" x14ac:dyDescent="0.15">
      <c r="D28" s="5"/>
      <c r="O28" t="str">
        <v>Filtro 04 -  válvulas de ar, água filtrada, lavagem e drenagem</v>
      </c>
    </row>
    <row r="29" spans="2:17" x14ac:dyDescent="0.15">
      <c r="D29" s="5"/>
      <c r="O29" t="str">
        <v xml:space="preserve">Filtro 04 - comportas </v>
      </c>
    </row>
    <row r="30" spans="2:17" x14ac:dyDescent="0.15">
      <c r="D30" s="5"/>
      <c r="O30" t="str">
        <v>Filtro 04 - turbidimetro e med. taxa de filtração</v>
      </c>
    </row>
    <row r="31" spans="2:17" x14ac:dyDescent="0.15">
      <c r="D31" s="5"/>
      <c r="O31" t="str">
        <v>Filtro 05 -  válvulas de ar, água filtrada, lavagem e drenagem</v>
      </c>
    </row>
    <row r="32" spans="2:17" x14ac:dyDescent="0.15">
      <c r="D32" s="5"/>
      <c r="O32" t="str">
        <v xml:space="preserve">Filtro 05 - comportas </v>
      </c>
    </row>
    <row r="33" spans="4:15" x14ac:dyDescent="0.15">
      <c r="D33" s="5"/>
      <c r="O33" t="str">
        <v>Filtro 05 - turbidimetro e med. taxa de filtração</v>
      </c>
    </row>
    <row r="34" spans="4:15" x14ac:dyDescent="0.15">
      <c r="D34" s="5"/>
      <c r="O34" t="str">
        <v>Filtro 06 -  válvulas de ar, água filtrada, lavagem e drenagem</v>
      </c>
    </row>
    <row r="35" spans="4:15" x14ac:dyDescent="0.15">
      <c r="D35" s="5"/>
      <c r="O35" t="str">
        <v xml:space="preserve">Filtro 06 - comportas </v>
      </c>
    </row>
    <row r="36" spans="4:15" x14ac:dyDescent="0.15">
      <c r="D36" s="5"/>
      <c r="O36" t="str">
        <v>Filtro 06 - turbidimetro e med. taxa de filtração</v>
      </c>
    </row>
    <row r="37" spans="4:15" x14ac:dyDescent="0.15">
      <c r="D37" s="5"/>
      <c r="O37" t="str">
        <v>Filtro 07 -  válvulas de ar, água filtrada, lavagem e drenagem</v>
      </c>
    </row>
    <row r="38" spans="4:15" x14ac:dyDescent="0.15">
      <c r="D38" s="5"/>
      <c r="O38" t="str">
        <v xml:space="preserve">Filtro 07 - comportas </v>
      </c>
    </row>
    <row r="39" spans="4:15" x14ac:dyDescent="0.15">
      <c r="D39" s="5"/>
      <c r="O39" t="str">
        <v>Filtro 07 - turbidimetro e med. taxa de filtração</v>
      </c>
    </row>
    <row r="40" spans="4:15" x14ac:dyDescent="0.15">
      <c r="D40" s="5"/>
      <c r="O40" t="str">
        <v>Filtro 08 -  válvulas de ar, água filtrada, lavagem e drenagem</v>
      </c>
    </row>
    <row r="41" spans="4:15" x14ac:dyDescent="0.15">
      <c r="D41" s="5"/>
      <c r="O41" t="str">
        <v xml:space="preserve">Filtro 08 - comportas </v>
      </c>
    </row>
    <row r="42" spans="4:15" x14ac:dyDescent="0.15">
      <c r="D42" s="5"/>
      <c r="O42" t="str">
        <v>Filtro 08 - turbidimetro e med. taxa de filtração</v>
      </c>
    </row>
    <row r="43" spans="4:15" x14ac:dyDescent="0.15">
      <c r="D43" s="5"/>
      <c r="O43" t="str">
        <v>Filtros - Galeria dos CCMs</v>
      </c>
    </row>
    <row r="44" spans="4:15" x14ac:dyDescent="0.15">
      <c r="D44" s="5"/>
      <c r="O44" t="str">
        <v>Floculador 01 - turbinas e comportas</v>
      </c>
    </row>
    <row r="45" spans="4:15" x14ac:dyDescent="0.15">
      <c r="D45" s="5"/>
      <c r="O45" t="str">
        <v>Floculador 02 - turbinas e comportas</v>
      </c>
    </row>
    <row r="46" spans="4:15" x14ac:dyDescent="0.15">
      <c r="D46" s="5"/>
      <c r="O46" t="str">
        <v>Floculador 03 - turbinas e comportas</v>
      </c>
    </row>
    <row r="47" spans="4:15" x14ac:dyDescent="0.15">
      <c r="D47" s="5"/>
      <c r="O47" t="str">
        <v>Floculador 04 - turbinas e comportas</v>
      </c>
    </row>
    <row r="48" spans="4:15" x14ac:dyDescent="0.15">
      <c r="D48" s="5"/>
      <c r="O48" t="str">
        <v>Floculador 05 - turbinas e comportas</v>
      </c>
    </row>
    <row r="49" spans="4:15" x14ac:dyDescent="0.15">
      <c r="D49" s="5"/>
      <c r="O49" t="str">
        <v>Floculador 06 - turbinas e comportas</v>
      </c>
    </row>
    <row r="50" spans="4:15" x14ac:dyDescent="0.15">
      <c r="D50" s="5"/>
      <c r="O50" t="str">
        <v>Floculador 07 - turbinas e comportas</v>
      </c>
    </row>
    <row r="51" spans="4:15" x14ac:dyDescent="0.15">
      <c r="D51" s="5"/>
      <c r="O51" t="str">
        <v>Floculador 08 - turbinas e comportas</v>
      </c>
    </row>
    <row r="52" spans="4:15" x14ac:dyDescent="0.15">
      <c r="D52" s="5"/>
      <c r="O52" t="str">
        <v>Flotador 01 - removedor(es) de lodo</v>
      </c>
    </row>
    <row r="53" spans="4:15" x14ac:dyDescent="0.15">
      <c r="D53" s="5"/>
      <c r="O53" t="str">
        <v>Flotador 02 - removedor(es) de lodo</v>
      </c>
    </row>
    <row r="54" spans="4:15" x14ac:dyDescent="0.15">
      <c r="D54" s="5"/>
      <c r="O54" t="str">
        <v>Flotador 03 - removedor(es) de lodo</v>
      </c>
    </row>
    <row r="55" spans="4:15" x14ac:dyDescent="0.15">
      <c r="D55" s="5"/>
      <c r="O55" t="str">
        <v>Flotador 04 - removedor(es) de lodo</v>
      </c>
    </row>
    <row r="56" spans="4:15" x14ac:dyDescent="0.15">
      <c r="D56" s="5"/>
      <c r="O56" t="str">
        <v>Flotador 05 - removedor(es) de lodo</v>
      </c>
    </row>
    <row r="57" spans="4:15" x14ac:dyDescent="0.15">
      <c r="D57" s="5"/>
      <c r="O57" t="str">
        <v>Flotador 06 - removedor(es) de lodo</v>
      </c>
    </row>
    <row r="58" spans="4:15" x14ac:dyDescent="0.15">
      <c r="D58" s="5"/>
      <c r="O58" t="str">
        <v>Flotador 07 - removedor(es) de lodo</v>
      </c>
    </row>
    <row r="59" spans="4:15" x14ac:dyDescent="0.15">
      <c r="D59" s="5"/>
      <c r="O59" t="str">
        <v>Flotador 08 - removedor(es) de lodo</v>
      </c>
    </row>
    <row r="60" spans="4:15" x14ac:dyDescent="0.15">
      <c r="D60" s="5"/>
      <c r="O60" t="str">
        <v>Flotadores - compressores de ar e válvulas de drenagem Módulos 01/02</v>
      </c>
    </row>
    <row r="61" spans="4:15" x14ac:dyDescent="0.15">
      <c r="D61" s="5"/>
      <c r="O61" t="str">
        <v>Flotadores - compressores de ar e válvulas de drenagem Módulos 03/04</v>
      </c>
    </row>
    <row r="62" spans="4:15" x14ac:dyDescent="0.15">
      <c r="D62" s="5"/>
      <c r="O62" t="str">
        <v>Flotadores - elevatórias de água de serviço</v>
      </c>
    </row>
    <row r="63" spans="4:15" x14ac:dyDescent="0.15">
      <c r="D63" s="5"/>
      <c r="O63" t="str">
        <v>Flotadores - elevatórias de água saturada Módulos 01/02</v>
      </c>
    </row>
    <row r="64" spans="4:15" x14ac:dyDescent="0.15">
      <c r="D64" s="5"/>
      <c r="O64" t="str">
        <v>Flotadores - elevatórias de água saturada Módulos 03/04</v>
      </c>
    </row>
    <row r="65" spans="4:15" x14ac:dyDescent="0.15">
      <c r="D65" s="5"/>
      <c r="O65" t="str">
        <v>Flotadores - medidores de vazão de água saturada Módulos 01/02</v>
      </c>
    </row>
    <row r="66" spans="4:15" x14ac:dyDescent="0.15">
      <c r="D66" s="5"/>
      <c r="O66" t="str">
        <v>Flotadores - medidores de vazão de água saturada Módulos 03/04</v>
      </c>
    </row>
    <row r="67" spans="4:15" x14ac:dyDescent="0.15">
      <c r="D67" s="5"/>
      <c r="O67" t="str">
        <v>Flotadores 01/02 - elevatórias de lodo flotado e válvulas</v>
      </c>
    </row>
    <row r="68" spans="4:15" x14ac:dyDescent="0.15">
      <c r="D68" s="5"/>
      <c r="O68" t="str">
        <v>Flotadores 03/04 - elevatórias de lodo flotado e válvulas</v>
      </c>
    </row>
    <row r="69" spans="4:15" x14ac:dyDescent="0.15">
      <c r="D69" s="5"/>
      <c r="O69" t="str">
        <v>Flotadores 05/06 - elevatórias de lodo flotado e válvulas</v>
      </c>
    </row>
    <row r="70" spans="4:15" x14ac:dyDescent="0.15">
      <c r="D70" s="5"/>
      <c r="O70" t="str">
        <v>Flotadores 07/08 - elevatórias de lodo flotado e válvulas</v>
      </c>
    </row>
    <row r="71" spans="4:15" x14ac:dyDescent="0.15">
      <c r="D71" s="5"/>
      <c r="O71" t="str">
        <v>Flúor - armazenamento, dosagem e elevatória de resíduos</v>
      </c>
    </row>
    <row r="72" spans="4:15" x14ac:dyDescent="0.15">
      <c r="D72" s="5"/>
      <c r="O72" t="str">
        <v>Guarita principal - balança</v>
      </c>
    </row>
    <row r="73" spans="4:15" x14ac:dyDescent="0.15">
      <c r="D73" s="5"/>
      <c r="O73" t="str">
        <v>Prédio - apoio à operação</v>
      </c>
    </row>
    <row r="74" spans="4:15" x14ac:dyDescent="0.15">
      <c r="D74" s="5"/>
      <c r="O74" t="str">
        <v>Prédio - auditório</v>
      </c>
    </row>
    <row r="75" spans="4:15" x14ac:dyDescent="0.15">
      <c r="D75" s="5"/>
      <c r="O75" t="str">
        <v>Prédio - automação</v>
      </c>
    </row>
    <row r="76" spans="4:15" x14ac:dyDescent="0.15">
      <c r="D76" s="5"/>
      <c r="O76" t="str">
        <v>Prédio - coordenador</v>
      </c>
    </row>
    <row r="77" spans="4:15" x14ac:dyDescent="0.15">
      <c r="D77" s="5"/>
      <c r="O77" t="str">
        <v xml:space="preserve">Prédio - copa </v>
      </c>
    </row>
    <row r="78" spans="4:15" x14ac:dyDescent="0.15">
      <c r="D78" s="5"/>
      <c r="O78" t="str">
        <v>Prédio - copa térreo</v>
      </c>
    </row>
    <row r="79" spans="4:15" x14ac:dyDescent="0.15">
      <c r="D79" s="5"/>
      <c r="O79" t="str">
        <v>Prédio - depósito de bens</v>
      </c>
    </row>
    <row r="80" spans="4:15" x14ac:dyDescent="0.15">
      <c r="D80" s="5"/>
      <c r="O80" t="str">
        <v>Prédio - elétrica</v>
      </c>
    </row>
    <row r="81" spans="4:15" x14ac:dyDescent="0.15">
      <c r="D81" s="5"/>
      <c r="O81" t="str">
        <v>Prédio - gerência</v>
      </c>
    </row>
    <row r="82" spans="4:15" x14ac:dyDescent="0.15">
      <c r="D82" s="5"/>
      <c r="O82" t="str">
        <v>Prédio - laboratório</v>
      </c>
    </row>
    <row r="83" spans="4:15" x14ac:dyDescent="0.15">
      <c r="D83" s="5"/>
      <c r="O83" t="str">
        <v>Prédio - maquiagem</v>
      </c>
    </row>
    <row r="84" spans="4:15" x14ac:dyDescent="0.15">
      <c r="D84" s="5"/>
      <c r="O84" t="str">
        <v>Prédio - oficina</v>
      </c>
    </row>
    <row r="85" spans="4:15" x14ac:dyDescent="0.15">
      <c r="D85" s="5"/>
      <c r="O85" t="str">
        <v>Prédio - operação</v>
      </c>
    </row>
    <row r="86" spans="4:15" x14ac:dyDescent="0.15">
      <c r="D86" s="5"/>
      <c r="O86" t="str">
        <v>Prédio - secretaria</v>
      </c>
    </row>
    <row r="87" spans="4:15" x14ac:dyDescent="0.15">
      <c r="D87" s="5"/>
      <c r="O87" t="str">
        <v>Prédio - servidor</v>
      </c>
    </row>
    <row r="88" spans="4:15" x14ac:dyDescent="0.15">
      <c r="D88" s="5"/>
      <c r="O88" t="str">
        <v>RAP - caixa de manobras - distribuição entre Caesb e Saneago</v>
      </c>
    </row>
    <row r="89" spans="4:15" x14ac:dyDescent="0.15">
      <c r="D89" s="5"/>
      <c r="O89" t="str">
        <v>RAP - medidores de nível</v>
      </c>
    </row>
    <row r="90" spans="4:15" x14ac:dyDescent="0.15">
      <c r="D90" s="5"/>
      <c r="O90" t="str">
        <v>RAP - válvulas de água tratada - entrada e saída</v>
      </c>
    </row>
    <row r="91" spans="4:15" x14ac:dyDescent="0.15">
      <c r="D91" s="5"/>
      <c r="O91" t="str">
        <v>RAP - válvulas de água tratada (entrada e saída) e med. de vazão</v>
      </c>
    </row>
    <row r="92" spans="4:15" x14ac:dyDescent="0.15">
      <c r="D92" s="5"/>
      <c r="O92" t="str">
        <v>SDL - decanters e med. de nível do tanque de lodo adensado</v>
      </c>
    </row>
    <row r="93" spans="4:15" x14ac:dyDescent="0.15">
      <c r="D93" s="5"/>
      <c r="O93" t="str">
        <v>SDL - dosadoras de lodo adensado e polímero</v>
      </c>
    </row>
    <row r="94" spans="4:15" x14ac:dyDescent="0.15">
      <c r="D94" s="5"/>
      <c r="O94" t="str">
        <v>Subestação 01 - próximo ao bloco hidraúlico</v>
      </c>
    </row>
    <row r="95" spans="4:15" x14ac:dyDescent="0.15">
      <c r="D95" s="5"/>
      <c r="O95" t="str">
        <v>Subestação 02 - próximo ao SDL</v>
      </c>
    </row>
    <row r="96" spans="4:15" x14ac:dyDescent="0.15">
      <c r="D96" s="5"/>
      <c r="O96" t="str">
        <v>Tanque reciclo - elevatória, turbidimetro e med. de nível e vazão</v>
      </c>
    </row>
    <row r="97" spans="4:15" x14ac:dyDescent="0.15">
      <c r="D97" s="5"/>
      <c r="O97" t="str">
        <v>TAPQ - atuadores das comportas de entrada e saída</v>
      </c>
    </row>
    <row r="98" spans="4:15" x14ac:dyDescent="0.15">
      <c r="D98" s="5"/>
      <c r="O98" t="str">
        <v>TAPQ - elevatórias de água p/ lavagem de filtros</v>
      </c>
    </row>
    <row r="99" spans="4:15" x14ac:dyDescent="0.15">
      <c r="D99" s="5"/>
      <c r="O99" t="str">
        <v>TAPQ - elevatórias de água potável e amostragem</v>
      </c>
    </row>
    <row r="100" spans="4:15" x14ac:dyDescent="0.15">
      <c r="D100" s="5"/>
      <c r="O100" t="str">
        <v>Torre de transmissão</v>
      </c>
    </row>
    <row r="101" spans="4:15" x14ac:dyDescent="0.15">
      <c r="D101" s="5"/>
    </row>
    <row r="102" spans="4:15" x14ac:dyDescent="0.15">
      <c r="D102" s="5"/>
    </row>
    <row r="103" spans="4:15" x14ac:dyDescent="0.15">
      <c r="D103" s="5"/>
    </row>
    <row r="104" spans="4:15" x14ac:dyDescent="0.15">
      <c r="D104" s="5"/>
    </row>
  </sheetData>
  <sortState xmlns:xlrd2="http://schemas.microsoft.com/office/spreadsheetml/2017/richdata2" ref="H2:H5">
    <sortCondition ref="H2:H5"/>
  </sortState>
  <pageMargins left="0.511811024" right="0.511811024" top="0.78740157499999996" bottom="0.78740157499999996" header="0.31496062000000002" footer="0.31496062000000002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A8BF-4642-4124-99F0-C9E7997CB948}">
  <sheetPr codeName="Planilha4"/>
  <dimension ref="A1:G565"/>
  <sheetViews>
    <sheetView topLeftCell="A555" workbookViewId="0">
      <selection activeCell="A8" sqref="A8:G565"/>
    </sheetView>
  </sheetViews>
  <sheetFormatPr defaultRowHeight="12.75" x14ac:dyDescent="0.15"/>
  <cols>
    <col min="1" max="1" width="12.13671875" customWidth="1"/>
    <col min="2" max="2" width="71.203125" customWidth="1"/>
    <col min="3" max="3" width="12.13671875" customWidth="1"/>
    <col min="4" max="4" width="27.23828125" customWidth="1"/>
    <col min="5" max="5" width="12.13671875" customWidth="1"/>
    <col min="6" max="6" width="22.25" customWidth="1"/>
    <col min="7" max="7" width="11.73046875" customWidth="1"/>
    <col min="257" max="257" width="12.13671875" customWidth="1"/>
    <col min="258" max="258" width="71.203125" customWidth="1"/>
    <col min="259" max="259" width="12.13671875" customWidth="1"/>
    <col min="260" max="260" width="27.23828125" customWidth="1"/>
    <col min="261" max="261" width="12.13671875" customWidth="1"/>
    <col min="262" max="262" width="22.25" customWidth="1"/>
    <col min="263" max="263" width="11.73046875" customWidth="1"/>
    <col min="513" max="513" width="12.13671875" customWidth="1"/>
    <col min="514" max="514" width="71.203125" customWidth="1"/>
    <col min="515" max="515" width="12.13671875" customWidth="1"/>
    <col min="516" max="516" width="27.23828125" customWidth="1"/>
    <col min="517" max="517" width="12.13671875" customWidth="1"/>
    <col min="518" max="518" width="22.25" customWidth="1"/>
    <col min="519" max="519" width="11.73046875" customWidth="1"/>
    <col min="769" max="769" width="12.13671875" customWidth="1"/>
    <col min="770" max="770" width="71.203125" customWidth="1"/>
    <col min="771" max="771" width="12.13671875" customWidth="1"/>
    <col min="772" max="772" width="27.23828125" customWidth="1"/>
    <col min="773" max="773" width="12.13671875" customWidth="1"/>
    <col min="774" max="774" width="22.25" customWidth="1"/>
    <col min="775" max="775" width="11.73046875" customWidth="1"/>
    <col min="1025" max="1025" width="12.13671875" customWidth="1"/>
    <col min="1026" max="1026" width="71.203125" customWidth="1"/>
    <col min="1027" max="1027" width="12.13671875" customWidth="1"/>
    <col min="1028" max="1028" width="27.23828125" customWidth="1"/>
    <col min="1029" max="1029" width="12.13671875" customWidth="1"/>
    <col min="1030" max="1030" width="22.25" customWidth="1"/>
    <col min="1031" max="1031" width="11.73046875" customWidth="1"/>
    <col min="1281" max="1281" width="12.13671875" customWidth="1"/>
    <col min="1282" max="1282" width="71.203125" customWidth="1"/>
    <col min="1283" max="1283" width="12.13671875" customWidth="1"/>
    <col min="1284" max="1284" width="27.23828125" customWidth="1"/>
    <col min="1285" max="1285" width="12.13671875" customWidth="1"/>
    <col min="1286" max="1286" width="22.25" customWidth="1"/>
    <col min="1287" max="1287" width="11.73046875" customWidth="1"/>
    <col min="1537" max="1537" width="12.13671875" customWidth="1"/>
    <col min="1538" max="1538" width="71.203125" customWidth="1"/>
    <col min="1539" max="1539" width="12.13671875" customWidth="1"/>
    <col min="1540" max="1540" width="27.23828125" customWidth="1"/>
    <col min="1541" max="1541" width="12.13671875" customWidth="1"/>
    <col min="1542" max="1542" width="22.25" customWidth="1"/>
    <col min="1543" max="1543" width="11.73046875" customWidth="1"/>
    <col min="1793" max="1793" width="12.13671875" customWidth="1"/>
    <col min="1794" max="1794" width="71.203125" customWidth="1"/>
    <col min="1795" max="1795" width="12.13671875" customWidth="1"/>
    <col min="1796" max="1796" width="27.23828125" customWidth="1"/>
    <col min="1797" max="1797" width="12.13671875" customWidth="1"/>
    <col min="1798" max="1798" width="22.25" customWidth="1"/>
    <col min="1799" max="1799" width="11.73046875" customWidth="1"/>
    <col min="2049" max="2049" width="12.13671875" customWidth="1"/>
    <col min="2050" max="2050" width="71.203125" customWidth="1"/>
    <col min="2051" max="2051" width="12.13671875" customWidth="1"/>
    <col min="2052" max="2052" width="27.23828125" customWidth="1"/>
    <col min="2053" max="2053" width="12.13671875" customWidth="1"/>
    <col min="2054" max="2054" width="22.25" customWidth="1"/>
    <col min="2055" max="2055" width="11.73046875" customWidth="1"/>
    <col min="2305" max="2305" width="12.13671875" customWidth="1"/>
    <col min="2306" max="2306" width="71.203125" customWidth="1"/>
    <col min="2307" max="2307" width="12.13671875" customWidth="1"/>
    <col min="2308" max="2308" width="27.23828125" customWidth="1"/>
    <col min="2309" max="2309" width="12.13671875" customWidth="1"/>
    <col min="2310" max="2310" width="22.25" customWidth="1"/>
    <col min="2311" max="2311" width="11.73046875" customWidth="1"/>
    <col min="2561" max="2561" width="12.13671875" customWidth="1"/>
    <col min="2562" max="2562" width="71.203125" customWidth="1"/>
    <col min="2563" max="2563" width="12.13671875" customWidth="1"/>
    <col min="2564" max="2564" width="27.23828125" customWidth="1"/>
    <col min="2565" max="2565" width="12.13671875" customWidth="1"/>
    <col min="2566" max="2566" width="22.25" customWidth="1"/>
    <col min="2567" max="2567" width="11.73046875" customWidth="1"/>
    <col min="2817" max="2817" width="12.13671875" customWidth="1"/>
    <col min="2818" max="2818" width="71.203125" customWidth="1"/>
    <col min="2819" max="2819" width="12.13671875" customWidth="1"/>
    <col min="2820" max="2820" width="27.23828125" customWidth="1"/>
    <col min="2821" max="2821" width="12.13671875" customWidth="1"/>
    <col min="2822" max="2822" width="22.25" customWidth="1"/>
    <col min="2823" max="2823" width="11.73046875" customWidth="1"/>
    <col min="3073" max="3073" width="12.13671875" customWidth="1"/>
    <col min="3074" max="3074" width="71.203125" customWidth="1"/>
    <col min="3075" max="3075" width="12.13671875" customWidth="1"/>
    <col min="3076" max="3076" width="27.23828125" customWidth="1"/>
    <col min="3077" max="3077" width="12.13671875" customWidth="1"/>
    <col min="3078" max="3078" width="22.25" customWidth="1"/>
    <col min="3079" max="3079" width="11.73046875" customWidth="1"/>
    <col min="3329" max="3329" width="12.13671875" customWidth="1"/>
    <col min="3330" max="3330" width="71.203125" customWidth="1"/>
    <col min="3331" max="3331" width="12.13671875" customWidth="1"/>
    <col min="3332" max="3332" width="27.23828125" customWidth="1"/>
    <col min="3333" max="3333" width="12.13671875" customWidth="1"/>
    <col min="3334" max="3334" width="22.25" customWidth="1"/>
    <col min="3335" max="3335" width="11.73046875" customWidth="1"/>
    <col min="3585" max="3585" width="12.13671875" customWidth="1"/>
    <col min="3586" max="3586" width="71.203125" customWidth="1"/>
    <col min="3587" max="3587" width="12.13671875" customWidth="1"/>
    <col min="3588" max="3588" width="27.23828125" customWidth="1"/>
    <col min="3589" max="3589" width="12.13671875" customWidth="1"/>
    <col min="3590" max="3590" width="22.25" customWidth="1"/>
    <col min="3591" max="3591" width="11.73046875" customWidth="1"/>
    <col min="3841" max="3841" width="12.13671875" customWidth="1"/>
    <col min="3842" max="3842" width="71.203125" customWidth="1"/>
    <col min="3843" max="3843" width="12.13671875" customWidth="1"/>
    <col min="3844" max="3844" width="27.23828125" customWidth="1"/>
    <col min="3845" max="3845" width="12.13671875" customWidth="1"/>
    <col min="3846" max="3846" width="22.25" customWidth="1"/>
    <col min="3847" max="3847" width="11.73046875" customWidth="1"/>
    <col min="4097" max="4097" width="12.13671875" customWidth="1"/>
    <col min="4098" max="4098" width="71.203125" customWidth="1"/>
    <col min="4099" max="4099" width="12.13671875" customWidth="1"/>
    <col min="4100" max="4100" width="27.23828125" customWidth="1"/>
    <col min="4101" max="4101" width="12.13671875" customWidth="1"/>
    <col min="4102" max="4102" width="22.25" customWidth="1"/>
    <col min="4103" max="4103" width="11.73046875" customWidth="1"/>
    <col min="4353" max="4353" width="12.13671875" customWidth="1"/>
    <col min="4354" max="4354" width="71.203125" customWidth="1"/>
    <col min="4355" max="4355" width="12.13671875" customWidth="1"/>
    <col min="4356" max="4356" width="27.23828125" customWidth="1"/>
    <col min="4357" max="4357" width="12.13671875" customWidth="1"/>
    <col min="4358" max="4358" width="22.25" customWidth="1"/>
    <col min="4359" max="4359" width="11.73046875" customWidth="1"/>
    <col min="4609" max="4609" width="12.13671875" customWidth="1"/>
    <col min="4610" max="4610" width="71.203125" customWidth="1"/>
    <col min="4611" max="4611" width="12.13671875" customWidth="1"/>
    <col min="4612" max="4612" width="27.23828125" customWidth="1"/>
    <col min="4613" max="4613" width="12.13671875" customWidth="1"/>
    <col min="4614" max="4614" width="22.25" customWidth="1"/>
    <col min="4615" max="4615" width="11.73046875" customWidth="1"/>
    <col min="4865" max="4865" width="12.13671875" customWidth="1"/>
    <col min="4866" max="4866" width="71.203125" customWidth="1"/>
    <col min="4867" max="4867" width="12.13671875" customWidth="1"/>
    <col min="4868" max="4868" width="27.23828125" customWidth="1"/>
    <col min="4869" max="4869" width="12.13671875" customWidth="1"/>
    <col min="4870" max="4870" width="22.25" customWidth="1"/>
    <col min="4871" max="4871" width="11.73046875" customWidth="1"/>
    <col min="5121" max="5121" width="12.13671875" customWidth="1"/>
    <col min="5122" max="5122" width="71.203125" customWidth="1"/>
    <col min="5123" max="5123" width="12.13671875" customWidth="1"/>
    <col min="5124" max="5124" width="27.23828125" customWidth="1"/>
    <col min="5125" max="5125" width="12.13671875" customWidth="1"/>
    <col min="5126" max="5126" width="22.25" customWidth="1"/>
    <col min="5127" max="5127" width="11.73046875" customWidth="1"/>
    <col min="5377" max="5377" width="12.13671875" customWidth="1"/>
    <col min="5378" max="5378" width="71.203125" customWidth="1"/>
    <col min="5379" max="5379" width="12.13671875" customWidth="1"/>
    <col min="5380" max="5380" width="27.23828125" customWidth="1"/>
    <col min="5381" max="5381" width="12.13671875" customWidth="1"/>
    <col min="5382" max="5382" width="22.25" customWidth="1"/>
    <col min="5383" max="5383" width="11.73046875" customWidth="1"/>
    <col min="5633" max="5633" width="12.13671875" customWidth="1"/>
    <col min="5634" max="5634" width="71.203125" customWidth="1"/>
    <col min="5635" max="5635" width="12.13671875" customWidth="1"/>
    <col min="5636" max="5636" width="27.23828125" customWidth="1"/>
    <col min="5637" max="5637" width="12.13671875" customWidth="1"/>
    <col min="5638" max="5638" width="22.25" customWidth="1"/>
    <col min="5639" max="5639" width="11.73046875" customWidth="1"/>
    <col min="5889" max="5889" width="12.13671875" customWidth="1"/>
    <col min="5890" max="5890" width="71.203125" customWidth="1"/>
    <col min="5891" max="5891" width="12.13671875" customWidth="1"/>
    <col min="5892" max="5892" width="27.23828125" customWidth="1"/>
    <col min="5893" max="5893" width="12.13671875" customWidth="1"/>
    <col min="5894" max="5894" width="22.25" customWidth="1"/>
    <col min="5895" max="5895" width="11.73046875" customWidth="1"/>
    <col min="6145" max="6145" width="12.13671875" customWidth="1"/>
    <col min="6146" max="6146" width="71.203125" customWidth="1"/>
    <col min="6147" max="6147" width="12.13671875" customWidth="1"/>
    <col min="6148" max="6148" width="27.23828125" customWidth="1"/>
    <col min="6149" max="6149" width="12.13671875" customWidth="1"/>
    <col min="6150" max="6150" width="22.25" customWidth="1"/>
    <col min="6151" max="6151" width="11.73046875" customWidth="1"/>
    <col min="6401" max="6401" width="12.13671875" customWidth="1"/>
    <col min="6402" max="6402" width="71.203125" customWidth="1"/>
    <col min="6403" max="6403" width="12.13671875" customWidth="1"/>
    <col min="6404" max="6404" width="27.23828125" customWidth="1"/>
    <col min="6405" max="6405" width="12.13671875" customWidth="1"/>
    <col min="6406" max="6406" width="22.25" customWidth="1"/>
    <col min="6407" max="6407" width="11.73046875" customWidth="1"/>
    <col min="6657" max="6657" width="12.13671875" customWidth="1"/>
    <col min="6658" max="6658" width="71.203125" customWidth="1"/>
    <col min="6659" max="6659" width="12.13671875" customWidth="1"/>
    <col min="6660" max="6660" width="27.23828125" customWidth="1"/>
    <col min="6661" max="6661" width="12.13671875" customWidth="1"/>
    <col min="6662" max="6662" width="22.25" customWidth="1"/>
    <col min="6663" max="6663" width="11.73046875" customWidth="1"/>
    <col min="6913" max="6913" width="12.13671875" customWidth="1"/>
    <col min="6914" max="6914" width="71.203125" customWidth="1"/>
    <col min="6915" max="6915" width="12.13671875" customWidth="1"/>
    <col min="6916" max="6916" width="27.23828125" customWidth="1"/>
    <col min="6917" max="6917" width="12.13671875" customWidth="1"/>
    <col min="6918" max="6918" width="22.25" customWidth="1"/>
    <col min="6919" max="6919" width="11.73046875" customWidth="1"/>
    <col min="7169" max="7169" width="12.13671875" customWidth="1"/>
    <col min="7170" max="7170" width="71.203125" customWidth="1"/>
    <col min="7171" max="7171" width="12.13671875" customWidth="1"/>
    <col min="7172" max="7172" width="27.23828125" customWidth="1"/>
    <col min="7173" max="7173" width="12.13671875" customWidth="1"/>
    <col min="7174" max="7174" width="22.25" customWidth="1"/>
    <col min="7175" max="7175" width="11.73046875" customWidth="1"/>
    <col min="7425" max="7425" width="12.13671875" customWidth="1"/>
    <col min="7426" max="7426" width="71.203125" customWidth="1"/>
    <col min="7427" max="7427" width="12.13671875" customWidth="1"/>
    <col min="7428" max="7428" width="27.23828125" customWidth="1"/>
    <col min="7429" max="7429" width="12.13671875" customWidth="1"/>
    <col min="7430" max="7430" width="22.25" customWidth="1"/>
    <col min="7431" max="7431" width="11.73046875" customWidth="1"/>
    <col min="7681" max="7681" width="12.13671875" customWidth="1"/>
    <col min="7682" max="7682" width="71.203125" customWidth="1"/>
    <col min="7683" max="7683" width="12.13671875" customWidth="1"/>
    <col min="7684" max="7684" width="27.23828125" customWidth="1"/>
    <col min="7685" max="7685" width="12.13671875" customWidth="1"/>
    <col min="7686" max="7686" width="22.25" customWidth="1"/>
    <col min="7687" max="7687" width="11.73046875" customWidth="1"/>
    <col min="7937" max="7937" width="12.13671875" customWidth="1"/>
    <col min="7938" max="7938" width="71.203125" customWidth="1"/>
    <col min="7939" max="7939" width="12.13671875" customWidth="1"/>
    <col min="7940" max="7940" width="27.23828125" customWidth="1"/>
    <col min="7941" max="7941" width="12.13671875" customWidth="1"/>
    <col min="7942" max="7942" width="22.25" customWidth="1"/>
    <col min="7943" max="7943" width="11.73046875" customWidth="1"/>
    <col min="8193" max="8193" width="12.13671875" customWidth="1"/>
    <col min="8194" max="8194" width="71.203125" customWidth="1"/>
    <col min="8195" max="8195" width="12.13671875" customWidth="1"/>
    <col min="8196" max="8196" width="27.23828125" customWidth="1"/>
    <col min="8197" max="8197" width="12.13671875" customWidth="1"/>
    <col min="8198" max="8198" width="22.25" customWidth="1"/>
    <col min="8199" max="8199" width="11.73046875" customWidth="1"/>
    <col min="8449" max="8449" width="12.13671875" customWidth="1"/>
    <col min="8450" max="8450" width="71.203125" customWidth="1"/>
    <col min="8451" max="8451" width="12.13671875" customWidth="1"/>
    <col min="8452" max="8452" width="27.23828125" customWidth="1"/>
    <col min="8453" max="8453" width="12.13671875" customWidth="1"/>
    <col min="8454" max="8454" width="22.25" customWidth="1"/>
    <col min="8455" max="8455" width="11.73046875" customWidth="1"/>
    <col min="8705" max="8705" width="12.13671875" customWidth="1"/>
    <col min="8706" max="8706" width="71.203125" customWidth="1"/>
    <col min="8707" max="8707" width="12.13671875" customWidth="1"/>
    <col min="8708" max="8708" width="27.23828125" customWidth="1"/>
    <col min="8709" max="8709" width="12.13671875" customWidth="1"/>
    <col min="8710" max="8710" width="22.25" customWidth="1"/>
    <col min="8711" max="8711" width="11.73046875" customWidth="1"/>
    <col min="8961" max="8961" width="12.13671875" customWidth="1"/>
    <col min="8962" max="8962" width="71.203125" customWidth="1"/>
    <col min="8963" max="8963" width="12.13671875" customWidth="1"/>
    <col min="8964" max="8964" width="27.23828125" customWidth="1"/>
    <col min="8965" max="8965" width="12.13671875" customWidth="1"/>
    <col min="8966" max="8966" width="22.25" customWidth="1"/>
    <col min="8967" max="8967" width="11.73046875" customWidth="1"/>
    <col min="9217" max="9217" width="12.13671875" customWidth="1"/>
    <col min="9218" max="9218" width="71.203125" customWidth="1"/>
    <col min="9219" max="9219" width="12.13671875" customWidth="1"/>
    <col min="9220" max="9220" width="27.23828125" customWidth="1"/>
    <col min="9221" max="9221" width="12.13671875" customWidth="1"/>
    <col min="9222" max="9222" width="22.25" customWidth="1"/>
    <col min="9223" max="9223" width="11.73046875" customWidth="1"/>
    <col min="9473" max="9473" width="12.13671875" customWidth="1"/>
    <col min="9474" max="9474" width="71.203125" customWidth="1"/>
    <col min="9475" max="9475" width="12.13671875" customWidth="1"/>
    <col min="9476" max="9476" width="27.23828125" customWidth="1"/>
    <col min="9477" max="9477" width="12.13671875" customWidth="1"/>
    <col min="9478" max="9478" width="22.25" customWidth="1"/>
    <col min="9479" max="9479" width="11.73046875" customWidth="1"/>
    <col min="9729" max="9729" width="12.13671875" customWidth="1"/>
    <col min="9730" max="9730" width="71.203125" customWidth="1"/>
    <col min="9731" max="9731" width="12.13671875" customWidth="1"/>
    <col min="9732" max="9732" width="27.23828125" customWidth="1"/>
    <col min="9733" max="9733" width="12.13671875" customWidth="1"/>
    <col min="9734" max="9734" width="22.25" customWidth="1"/>
    <col min="9735" max="9735" width="11.73046875" customWidth="1"/>
    <col min="9985" max="9985" width="12.13671875" customWidth="1"/>
    <col min="9986" max="9986" width="71.203125" customWidth="1"/>
    <col min="9987" max="9987" width="12.13671875" customWidth="1"/>
    <col min="9988" max="9988" width="27.23828125" customWidth="1"/>
    <col min="9989" max="9989" width="12.13671875" customWidth="1"/>
    <col min="9990" max="9990" width="22.25" customWidth="1"/>
    <col min="9991" max="9991" width="11.73046875" customWidth="1"/>
    <col min="10241" max="10241" width="12.13671875" customWidth="1"/>
    <col min="10242" max="10242" width="71.203125" customWidth="1"/>
    <col min="10243" max="10243" width="12.13671875" customWidth="1"/>
    <col min="10244" max="10244" width="27.23828125" customWidth="1"/>
    <col min="10245" max="10245" width="12.13671875" customWidth="1"/>
    <col min="10246" max="10246" width="22.25" customWidth="1"/>
    <col min="10247" max="10247" width="11.73046875" customWidth="1"/>
    <col min="10497" max="10497" width="12.13671875" customWidth="1"/>
    <col min="10498" max="10498" width="71.203125" customWidth="1"/>
    <col min="10499" max="10499" width="12.13671875" customWidth="1"/>
    <col min="10500" max="10500" width="27.23828125" customWidth="1"/>
    <col min="10501" max="10501" width="12.13671875" customWidth="1"/>
    <col min="10502" max="10502" width="22.25" customWidth="1"/>
    <col min="10503" max="10503" width="11.73046875" customWidth="1"/>
    <col min="10753" max="10753" width="12.13671875" customWidth="1"/>
    <col min="10754" max="10754" width="71.203125" customWidth="1"/>
    <col min="10755" max="10755" width="12.13671875" customWidth="1"/>
    <col min="10756" max="10756" width="27.23828125" customWidth="1"/>
    <col min="10757" max="10757" width="12.13671875" customWidth="1"/>
    <col min="10758" max="10758" width="22.25" customWidth="1"/>
    <col min="10759" max="10759" width="11.73046875" customWidth="1"/>
    <col min="11009" max="11009" width="12.13671875" customWidth="1"/>
    <col min="11010" max="11010" width="71.203125" customWidth="1"/>
    <col min="11011" max="11011" width="12.13671875" customWidth="1"/>
    <col min="11012" max="11012" width="27.23828125" customWidth="1"/>
    <col min="11013" max="11013" width="12.13671875" customWidth="1"/>
    <col min="11014" max="11014" width="22.25" customWidth="1"/>
    <col min="11015" max="11015" width="11.73046875" customWidth="1"/>
    <col min="11265" max="11265" width="12.13671875" customWidth="1"/>
    <col min="11266" max="11266" width="71.203125" customWidth="1"/>
    <col min="11267" max="11267" width="12.13671875" customWidth="1"/>
    <col min="11268" max="11268" width="27.23828125" customWidth="1"/>
    <col min="11269" max="11269" width="12.13671875" customWidth="1"/>
    <col min="11270" max="11270" width="22.25" customWidth="1"/>
    <col min="11271" max="11271" width="11.73046875" customWidth="1"/>
    <col min="11521" max="11521" width="12.13671875" customWidth="1"/>
    <col min="11522" max="11522" width="71.203125" customWidth="1"/>
    <col min="11523" max="11523" width="12.13671875" customWidth="1"/>
    <col min="11524" max="11524" width="27.23828125" customWidth="1"/>
    <col min="11525" max="11525" width="12.13671875" customWidth="1"/>
    <col min="11526" max="11526" width="22.25" customWidth="1"/>
    <col min="11527" max="11527" width="11.73046875" customWidth="1"/>
    <col min="11777" max="11777" width="12.13671875" customWidth="1"/>
    <col min="11778" max="11778" width="71.203125" customWidth="1"/>
    <col min="11779" max="11779" width="12.13671875" customWidth="1"/>
    <col min="11780" max="11780" width="27.23828125" customWidth="1"/>
    <col min="11781" max="11781" width="12.13671875" customWidth="1"/>
    <col min="11782" max="11782" width="22.25" customWidth="1"/>
    <col min="11783" max="11783" width="11.73046875" customWidth="1"/>
    <col min="12033" max="12033" width="12.13671875" customWidth="1"/>
    <col min="12034" max="12034" width="71.203125" customWidth="1"/>
    <col min="12035" max="12035" width="12.13671875" customWidth="1"/>
    <col min="12036" max="12036" width="27.23828125" customWidth="1"/>
    <col min="12037" max="12037" width="12.13671875" customWidth="1"/>
    <col min="12038" max="12038" width="22.25" customWidth="1"/>
    <col min="12039" max="12039" width="11.73046875" customWidth="1"/>
    <col min="12289" max="12289" width="12.13671875" customWidth="1"/>
    <col min="12290" max="12290" width="71.203125" customWidth="1"/>
    <col min="12291" max="12291" width="12.13671875" customWidth="1"/>
    <col min="12292" max="12292" width="27.23828125" customWidth="1"/>
    <col min="12293" max="12293" width="12.13671875" customWidth="1"/>
    <col min="12294" max="12294" width="22.25" customWidth="1"/>
    <col min="12295" max="12295" width="11.73046875" customWidth="1"/>
    <col min="12545" max="12545" width="12.13671875" customWidth="1"/>
    <col min="12546" max="12546" width="71.203125" customWidth="1"/>
    <col min="12547" max="12547" width="12.13671875" customWidth="1"/>
    <col min="12548" max="12548" width="27.23828125" customWidth="1"/>
    <col min="12549" max="12549" width="12.13671875" customWidth="1"/>
    <col min="12550" max="12550" width="22.25" customWidth="1"/>
    <col min="12551" max="12551" width="11.73046875" customWidth="1"/>
    <col min="12801" max="12801" width="12.13671875" customWidth="1"/>
    <col min="12802" max="12802" width="71.203125" customWidth="1"/>
    <col min="12803" max="12803" width="12.13671875" customWidth="1"/>
    <col min="12804" max="12804" width="27.23828125" customWidth="1"/>
    <col min="12805" max="12805" width="12.13671875" customWidth="1"/>
    <col min="12806" max="12806" width="22.25" customWidth="1"/>
    <col min="12807" max="12807" width="11.73046875" customWidth="1"/>
    <col min="13057" max="13057" width="12.13671875" customWidth="1"/>
    <col min="13058" max="13058" width="71.203125" customWidth="1"/>
    <col min="13059" max="13059" width="12.13671875" customWidth="1"/>
    <col min="13060" max="13060" width="27.23828125" customWidth="1"/>
    <col min="13061" max="13061" width="12.13671875" customWidth="1"/>
    <col min="13062" max="13062" width="22.25" customWidth="1"/>
    <col min="13063" max="13063" width="11.73046875" customWidth="1"/>
    <col min="13313" max="13313" width="12.13671875" customWidth="1"/>
    <col min="13314" max="13314" width="71.203125" customWidth="1"/>
    <col min="13315" max="13315" width="12.13671875" customWidth="1"/>
    <col min="13316" max="13316" width="27.23828125" customWidth="1"/>
    <col min="13317" max="13317" width="12.13671875" customWidth="1"/>
    <col min="13318" max="13318" width="22.25" customWidth="1"/>
    <col min="13319" max="13319" width="11.73046875" customWidth="1"/>
    <col min="13569" max="13569" width="12.13671875" customWidth="1"/>
    <col min="13570" max="13570" width="71.203125" customWidth="1"/>
    <col min="13571" max="13571" width="12.13671875" customWidth="1"/>
    <col min="13572" max="13572" width="27.23828125" customWidth="1"/>
    <col min="13573" max="13573" width="12.13671875" customWidth="1"/>
    <col min="13574" max="13574" width="22.25" customWidth="1"/>
    <col min="13575" max="13575" width="11.73046875" customWidth="1"/>
    <col min="13825" max="13825" width="12.13671875" customWidth="1"/>
    <col min="13826" max="13826" width="71.203125" customWidth="1"/>
    <col min="13827" max="13827" width="12.13671875" customWidth="1"/>
    <col min="13828" max="13828" width="27.23828125" customWidth="1"/>
    <col min="13829" max="13829" width="12.13671875" customWidth="1"/>
    <col min="13830" max="13830" width="22.25" customWidth="1"/>
    <col min="13831" max="13831" width="11.73046875" customWidth="1"/>
    <col min="14081" max="14081" width="12.13671875" customWidth="1"/>
    <col min="14082" max="14082" width="71.203125" customWidth="1"/>
    <col min="14083" max="14083" width="12.13671875" customWidth="1"/>
    <col min="14084" max="14084" width="27.23828125" customWidth="1"/>
    <col min="14085" max="14085" width="12.13671875" customWidth="1"/>
    <col min="14086" max="14086" width="22.25" customWidth="1"/>
    <col min="14087" max="14087" width="11.73046875" customWidth="1"/>
    <col min="14337" max="14337" width="12.13671875" customWidth="1"/>
    <col min="14338" max="14338" width="71.203125" customWidth="1"/>
    <col min="14339" max="14339" width="12.13671875" customWidth="1"/>
    <col min="14340" max="14340" width="27.23828125" customWidth="1"/>
    <col min="14341" max="14341" width="12.13671875" customWidth="1"/>
    <col min="14342" max="14342" width="22.25" customWidth="1"/>
    <col min="14343" max="14343" width="11.73046875" customWidth="1"/>
    <col min="14593" max="14593" width="12.13671875" customWidth="1"/>
    <col min="14594" max="14594" width="71.203125" customWidth="1"/>
    <col min="14595" max="14595" width="12.13671875" customWidth="1"/>
    <col min="14596" max="14596" width="27.23828125" customWidth="1"/>
    <col min="14597" max="14597" width="12.13671875" customWidth="1"/>
    <col min="14598" max="14598" width="22.25" customWidth="1"/>
    <col min="14599" max="14599" width="11.73046875" customWidth="1"/>
    <col min="14849" max="14849" width="12.13671875" customWidth="1"/>
    <col min="14850" max="14850" width="71.203125" customWidth="1"/>
    <col min="14851" max="14851" width="12.13671875" customWidth="1"/>
    <col min="14852" max="14852" width="27.23828125" customWidth="1"/>
    <col min="14853" max="14853" width="12.13671875" customWidth="1"/>
    <col min="14854" max="14854" width="22.25" customWidth="1"/>
    <col min="14855" max="14855" width="11.73046875" customWidth="1"/>
    <col min="15105" max="15105" width="12.13671875" customWidth="1"/>
    <col min="15106" max="15106" width="71.203125" customWidth="1"/>
    <col min="15107" max="15107" width="12.13671875" customWidth="1"/>
    <col min="15108" max="15108" width="27.23828125" customWidth="1"/>
    <col min="15109" max="15109" width="12.13671875" customWidth="1"/>
    <col min="15110" max="15110" width="22.25" customWidth="1"/>
    <col min="15111" max="15111" width="11.73046875" customWidth="1"/>
    <col min="15361" max="15361" width="12.13671875" customWidth="1"/>
    <col min="15362" max="15362" width="71.203125" customWidth="1"/>
    <col min="15363" max="15363" width="12.13671875" customWidth="1"/>
    <col min="15364" max="15364" width="27.23828125" customWidth="1"/>
    <col min="15365" max="15365" width="12.13671875" customWidth="1"/>
    <col min="15366" max="15366" width="22.25" customWidth="1"/>
    <col min="15367" max="15367" width="11.73046875" customWidth="1"/>
    <col min="15617" max="15617" width="12.13671875" customWidth="1"/>
    <col min="15618" max="15618" width="71.203125" customWidth="1"/>
    <col min="15619" max="15619" width="12.13671875" customWidth="1"/>
    <col min="15620" max="15620" width="27.23828125" customWidth="1"/>
    <col min="15621" max="15621" width="12.13671875" customWidth="1"/>
    <col min="15622" max="15622" width="22.25" customWidth="1"/>
    <col min="15623" max="15623" width="11.73046875" customWidth="1"/>
    <col min="15873" max="15873" width="12.13671875" customWidth="1"/>
    <col min="15874" max="15874" width="71.203125" customWidth="1"/>
    <col min="15875" max="15875" width="12.13671875" customWidth="1"/>
    <col min="15876" max="15876" width="27.23828125" customWidth="1"/>
    <col min="15877" max="15877" width="12.13671875" customWidth="1"/>
    <col min="15878" max="15878" width="22.25" customWidth="1"/>
    <col min="15879" max="15879" width="11.73046875" customWidth="1"/>
    <col min="16129" max="16129" width="12.13671875" customWidth="1"/>
    <col min="16130" max="16130" width="71.203125" customWidth="1"/>
    <col min="16131" max="16131" width="12.13671875" customWidth="1"/>
    <col min="16132" max="16132" width="27.23828125" customWidth="1"/>
    <col min="16133" max="16133" width="12.13671875" customWidth="1"/>
    <col min="16134" max="16134" width="22.25" customWidth="1"/>
    <col min="16135" max="16135" width="11.73046875" customWidth="1"/>
  </cols>
  <sheetData>
    <row r="1" spans="1:7" ht="10.9" customHeight="1" x14ac:dyDescent="0.15">
      <c r="A1" s="194" t="s">
        <v>0</v>
      </c>
      <c r="B1" s="194"/>
      <c r="C1" s="194"/>
      <c r="D1" s="194"/>
      <c r="E1" s="194"/>
      <c r="F1" s="63" t="s">
        <v>1</v>
      </c>
      <c r="G1" s="64">
        <v>45485.590361967596</v>
      </c>
    </row>
    <row r="2" spans="1:7" ht="10.9" customHeight="1" x14ac:dyDescent="0.15">
      <c r="A2" s="194" t="s">
        <v>2</v>
      </c>
      <c r="B2" s="194"/>
      <c r="C2" s="194"/>
      <c r="D2" s="194"/>
      <c r="E2" s="194"/>
      <c r="F2" s="63" t="s">
        <v>3</v>
      </c>
      <c r="G2" s="65">
        <v>45485.59036199074</v>
      </c>
    </row>
    <row r="3" spans="1:7" ht="10.9" customHeight="1" x14ac:dyDescent="0.15">
      <c r="A3" s="194" t="s">
        <v>4</v>
      </c>
      <c r="B3" s="194"/>
      <c r="C3" s="194"/>
      <c r="D3" s="194"/>
      <c r="E3" s="194"/>
      <c r="F3" s="63" t="s">
        <v>5</v>
      </c>
      <c r="G3" s="63">
        <v>1</v>
      </c>
    </row>
    <row r="4" spans="1:7" ht="10.9" customHeight="1" x14ac:dyDescent="0.15">
      <c r="A4" s="193" t="s">
        <v>6</v>
      </c>
      <c r="B4" s="193"/>
      <c r="C4" s="193"/>
      <c r="D4" s="193"/>
      <c r="E4" s="193"/>
      <c r="F4" s="193"/>
      <c r="G4" s="193"/>
    </row>
    <row r="5" spans="1:7" ht="10.9" customHeight="1" x14ac:dyDescent="0.15">
      <c r="A5" s="193" t="s">
        <v>7</v>
      </c>
      <c r="B5" s="193"/>
      <c r="C5" s="193"/>
      <c r="D5" s="193"/>
      <c r="E5" s="193"/>
      <c r="F5" s="193"/>
      <c r="G5" s="193"/>
    </row>
    <row r="6" spans="1:7" ht="10.9" customHeight="1" x14ac:dyDescent="0.15">
      <c r="A6" s="193" t="s">
        <v>8</v>
      </c>
      <c r="B6" s="193"/>
      <c r="C6" s="193"/>
      <c r="D6" s="193"/>
      <c r="E6" s="193"/>
      <c r="F6" s="193"/>
      <c r="G6" s="193"/>
    </row>
    <row r="7" spans="1:7" ht="13.15" customHeight="1" x14ac:dyDescent="0.15">
      <c r="A7" s="66" t="s">
        <v>9</v>
      </c>
      <c r="B7" s="66" t="s">
        <v>10</v>
      </c>
      <c r="C7" s="66" t="s">
        <v>11</v>
      </c>
      <c r="D7" s="66" t="s">
        <v>12</v>
      </c>
      <c r="E7" s="66" t="s">
        <v>13</v>
      </c>
      <c r="F7" s="66" t="s">
        <v>14</v>
      </c>
      <c r="G7" s="66" t="s">
        <v>15</v>
      </c>
    </row>
    <row r="8" spans="1:7" ht="19.899999999999999" customHeight="1" x14ac:dyDescent="0.15">
      <c r="A8" s="63" t="s">
        <v>616</v>
      </c>
      <c r="B8" s="63" t="s">
        <v>617</v>
      </c>
      <c r="C8" s="63" t="s">
        <v>618</v>
      </c>
      <c r="D8" s="63" t="s">
        <v>17</v>
      </c>
      <c r="E8" s="63" t="s">
        <v>619</v>
      </c>
      <c r="F8" s="63" t="s">
        <v>18</v>
      </c>
      <c r="G8" s="63" t="s">
        <v>620</v>
      </c>
    </row>
    <row r="9" spans="1:7" ht="19.899999999999999" customHeight="1" x14ac:dyDescent="0.15">
      <c r="A9" s="63" t="s">
        <v>621</v>
      </c>
      <c r="B9" s="63" t="s">
        <v>16</v>
      </c>
      <c r="C9" s="63" t="s">
        <v>618</v>
      </c>
      <c r="D9" s="63" t="s">
        <v>17</v>
      </c>
      <c r="E9" s="63" t="s">
        <v>619</v>
      </c>
      <c r="F9" s="63" t="s">
        <v>18</v>
      </c>
      <c r="G9" s="63" t="s">
        <v>19</v>
      </c>
    </row>
    <row r="10" spans="1:7" ht="19.899999999999999" customHeight="1" x14ac:dyDescent="0.15">
      <c r="A10" s="63" t="s">
        <v>622</v>
      </c>
      <c r="B10" s="63" t="s">
        <v>16</v>
      </c>
      <c r="C10" s="63" t="s">
        <v>618</v>
      </c>
      <c r="D10" s="63" t="s">
        <v>17</v>
      </c>
      <c r="E10" s="63" t="s">
        <v>619</v>
      </c>
      <c r="F10" s="63" t="s">
        <v>18</v>
      </c>
      <c r="G10" s="63" t="s">
        <v>19</v>
      </c>
    </row>
    <row r="11" spans="1:7" ht="19.899999999999999" customHeight="1" x14ac:dyDescent="0.15">
      <c r="A11" s="63" t="s">
        <v>623</v>
      </c>
      <c r="B11" s="63" t="s">
        <v>16</v>
      </c>
      <c r="C11" s="63" t="s">
        <v>618</v>
      </c>
      <c r="D11" s="63" t="s">
        <v>17</v>
      </c>
      <c r="E11" s="63" t="s">
        <v>619</v>
      </c>
      <c r="F11" s="63" t="s">
        <v>18</v>
      </c>
      <c r="G11" s="63" t="s">
        <v>19</v>
      </c>
    </row>
    <row r="12" spans="1:7" ht="19.899999999999999" customHeight="1" x14ac:dyDescent="0.15">
      <c r="A12" s="63" t="s">
        <v>624</v>
      </c>
      <c r="B12" s="63" t="s">
        <v>20</v>
      </c>
      <c r="C12" s="63" t="s">
        <v>618</v>
      </c>
      <c r="D12" s="63" t="s">
        <v>17</v>
      </c>
      <c r="E12" s="63" t="s">
        <v>619</v>
      </c>
      <c r="F12" s="63" t="s">
        <v>18</v>
      </c>
      <c r="G12" s="63" t="s">
        <v>19</v>
      </c>
    </row>
    <row r="13" spans="1:7" ht="19.899999999999999" customHeight="1" x14ac:dyDescent="0.15">
      <c r="A13" s="63" t="s">
        <v>625</v>
      </c>
      <c r="B13" s="63" t="s">
        <v>20</v>
      </c>
      <c r="C13" s="63" t="s">
        <v>618</v>
      </c>
      <c r="D13" s="63" t="s">
        <v>17</v>
      </c>
      <c r="E13" s="63" t="s">
        <v>619</v>
      </c>
      <c r="F13" s="63" t="s">
        <v>18</v>
      </c>
      <c r="G13" s="63" t="s">
        <v>19</v>
      </c>
    </row>
    <row r="14" spans="1:7" ht="19.899999999999999" customHeight="1" x14ac:dyDescent="0.15">
      <c r="A14" s="63" t="s">
        <v>626</v>
      </c>
      <c r="B14" s="63" t="s">
        <v>20</v>
      </c>
      <c r="C14" s="63" t="s">
        <v>618</v>
      </c>
      <c r="D14" s="63" t="s">
        <v>17</v>
      </c>
      <c r="E14" s="63" t="s">
        <v>619</v>
      </c>
      <c r="F14" s="63" t="s">
        <v>18</v>
      </c>
      <c r="G14" s="63" t="s">
        <v>19</v>
      </c>
    </row>
    <row r="15" spans="1:7" ht="19.899999999999999" customHeight="1" x14ac:dyDescent="0.15">
      <c r="A15" s="63" t="s">
        <v>627</v>
      </c>
      <c r="B15" s="63" t="s">
        <v>20</v>
      </c>
      <c r="C15" s="63" t="s">
        <v>618</v>
      </c>
      <c r="D15" s="63" t="s">
        <v>17</v>
      </c>
      <c r="E15" s="63" t="s">
        <v>619</v>
      </c>
      <c r="F15" s="63" t="s">
        <v>18</v>
      </c>
      <c r="G15" s="63" t="s">
        <v>19</v>
      </c>
    </row>
    <row r="16" spans="1:7" ht="19.899999999999999" customHeight="1" x14ac:dyDescent="0.15">
      <c r="A16" s="63" t="s">
        <v>628</v>
      </c>
      <c r="B16" s="63" t="s">
        <v>20</v>
      </c>
      <c r="C16" s="63" t="s">
        <v>618</v>
      </c>
      <c r="D16" s="63" t="s">
        <v>17</v>
      </c>
      <c r="E16" s="63" t="s">
        <v>619</v>
      </c>
      <c r="F16" s="63" t="s">
        <v>18</v>
      </c>
      <c r="G16" s="63" t="s">
        <v>19</v>
      </c>
    </row>
    <row r="17" spans="1:7" ht="19.899999999999999" customHeight="1" x14ac:dyDescent="0.15">
      <c r="A17" s="63" t="s">
        <v>629</v>
      </c>
      <c r="B17" s="63" t="s">
        <v>20</v>
      </c>
      <c r="C17" s="63" t="s">
        <v>618</v>
      </c>
      <c r="D17" s="63" t="s">
        <v>17</v>
      </c>
      <c r="E17" s="63" t="s">
        <v>619</v>
      </c>
      <c r="F17" s="63" t="s">
        <v>18</v>
      </c>
      <c r="G17" s="63" t="s">
        <v>19</v>
      </c>
    </row>
    <row r="18" spans="1:7" ht="19.899999999999999" customHeight="1" x14ac:dyDescent="0.15">
      <c r="A18" s="63" t="s">
        <v>630</v>
      </c>
      <c r="B18" s="63" t="s">
        <v>20</v>
      </c>
      <c r="C18" s="63" t="s">
        <v>618</v>
      </c>
      <c r="D18" s="63" t="s">
        <v>17</v>
      </c>
      <c r="E18" s="63" t="s">
        <v>619</v>
      </c>
      <c r="F18" s="63" t="s">
        <v>18</v>
      </c>
      <c r="G18" s="63" t="s">
        <v>19</v>
      </c>
    </row>
    <row r="19" spans="1:7" ht="19.899999999999999" customHeight="1" x14ac:dyDescent="0.15">
      <c r="A19" s="63" t="s">
        <v>631</v>
      </c>
      <c r="B19" s="63" t="s">
        <v>20</v>
      </c>
      <c r="C19" s="63" t="s">
        <v>618</v>
      </c>
      <c r="D19" s="63" t="s">
        <v>17</v>
      </c>
      <c r="E19" s="63" t="s">
        <v>619</v>
      </c>
      <c r="F19" s="63" t="s">
        <v>18</v>
      </c>
      <c r="G19" s="63" t="s">
        <v>19</v>
      </c>
    </row>
    <row r="20" spans="1:7" ht="19.899999999999999" customHeight="1" x14ac:dyDescent="0.15">
      <c r="A20" s="63" t="s">
        <v>632</v>
      </c>
      <c r="B20" s="63" t="s">
        <v>20</v>
      </c>
      <c r="C20" s="63" t="s">
        <v>618</v>
      </c>
      <c r="D20" s="63" t="s">
        <v>17</v>
      </c>
      <c r="E20" s="63" t="s">
        <v>619</v>
      </c>
      <c r="F20" s="63" t="s">
        <v>18</v>
      </c>
      <c r="G20" s="63" t="s">
        <v>19</v>
      </c>
    </row>
    <row r="21" spans="1:7" ht="19.899999999999999" customHeight="1" x14ac:dyDescent="0.15">
      <c r="A21" s="63" t="s">
        <v>633</v>
      </c>
      <c r="B21" s="63" t="s">
        <v>20</v>
      </c>
      <c r="C21" s="63" t="s">
        <v>618</v>
      </c>
      <c r="D21" s="63" t="s">
        <v>17</v>
      </c>
      <c r="E21" s="63" t="s">
        <v>619</v>
      </c>
      <c r="F21" s="63" t="s">
        <v>18</v>
      </c>
      <c r="G21" s="63" t="s">
        <v>19</v>
      </c>
    </row>
    <row r="22" spans="1:7" ht="19.899999999999999" customHeight="1" x14ac:dyDescent="0.15">
      <c r="A22" s="63" t="s">
        <v>634</v>
      </c>
      <c r="B22" s="63" t="s">
        <v>20</v>
      </c>
      <c r="C22" s="63" t="s">
        <v>618</v>
      </c>
      <c r="D22" s="63" t="s">
        <v>17</v>
      </c>
      <c r="E22" s="63" t="s">
        <v>619</v>
      </c>
      <c r="F22" s="63" t="s">
        <v>18</v>
      </c>
      <c r="G22" s="63" t="s">
        <v>19</v>
      </c>
    </row>
    <row r="23" spans="1:7" ht="19.899999999999999" customHeight="1" x14ac:dyDescent="0.15">
      <c r="A23" s="63" t="s">
        <v>635</v>
      </c>
      <c r="B23" s="63" t="s">
        <v>20</v>
      </c>
      <c r="C23" s="63" t="s">
        <v>618</v>
      </c>
      <c r="D23" s="63" t="s">
        <v>17</v>
      </c>
      <c r="E23" s="63" t="s">
        <v>619</v>
      </c>
      <c r="F23" s="63" t="s">
        <v>18</v>
      </c>
      <c r="G23" s="63" t="s">
        <v>19</v>
      </c>
    </row>
    <row r="24" spans="1:7" ht="19.899999999999999" customHeight="1" x14ac:dyDescent="0.15">
      <c r="A24" s="63" t="s">
        <v>636</v>
      </c>
      <c r="B24" s="63" t="s">
        <v>20</v>
      </c>
      <c r="C24" s="63" t="s">
        <v>618</v>
      </c>
      <c r="D24" s="63" t="s">
        <v>17</v>
      </c>
      <c r="E24" s="63" t="s">
        <v>619</v>
      </c>
      <c r="F24" s="63" t="s">
        <v>18</v>
      </c>
      <c r="G24" s="63" t="s">
        <v>19</v>
      </c>
    </row>
    <row r="25" spans="1:7" ht="19.899999999999999" customHeight="1" x14ac:dyDescent="0.15">
      <c r="A25" s="63" t="s">
        <v>637</v>
      </c>
      <c r="B25" s="63" t="s">
        <v>20</v>
      </c>
      <c r="C25" s="63" t="s">
        <v>618</v>
      </c>
      <c r="D25" s="63" t="s">
        <v>17</v>
      </c>
      <c r="E25" s="63" t="s">
        <v>619</v>
      </c>
      <c r="F25" s="63" t="s">
        <v>18</v>
      </c>
      <c r="G25" s="63" t="s">
        <v>19</v>
      </c>
    </row>
    <row r="26" spans="1:7" ht="19.899999999999999" customHeight="1" x14ac:dyDescent="0.15">
      <c r="A26" s="63" t="s">
        <v>638</v>
      </c>
      <c r="B26" s="63" t="s">
        <v>20</v>
      </c>
      <c r="C26" s="63" t="s">
        <v>618</v>
      </c>
      <c r="D26" s="63" t="s">
        <v>17</v>
      </c>
      <c r="E26" s="63" t="s">
        <v>619</v>
      </c>
      <c r="F26" s="63" t="s">
        <v>18</v>
      </c>
      <c r="G26" s="63" t="s">
        <v>19</v>
      </c>
    </row>
    <row r="27" spans="1:7" ht="19.899999999999999" customHeight="1" x14ac:dyDescent="0.15">
      <c r="A27" s="63" t="s">
        <v>282</v>
      </c>
      <c r="B27" s="63" t="s">
        <v>283</v>
      </c>
      <c r="C27" s="63" t="s">
        <v>618</v>
      </c>
      <c r="D27" s="63" t="s">
        <v>17</v>
      </c>
      <c r="E27" s="63" t="s">
        <v>619</v>
      </c>
      <c r="F27" s="63" t="s">
        <v>18</v>
      </c>
      <c r="G27" s="63" t="s">
        <v>19</v>
      </c>
    </row>
    <row r="28" spans="1:7" ht="19.899999999999999" customHeight="1" x14ac:dyDescent="0.15">
      <c r="A28" s="63" t="s">
        <v>284</v>
      </c>
      <c r="B28" s="63" t="s">
        <v>285</v>
      </c>
      <c r="C28" s="63" t="s">
        <v>618</v>
      </c>
      <c r="D28" s="63" t="s">
        <v>17</v>
      </c>
      <c r="E28" s="63" t="s">
        <v>619</v>
      </c>
      <c r="F28" s="63" t="s">
        <v>18</v>
      </c>
      <c r="G28" s="63" t="s">
        <v>19</v>
      </c>
    </row>
    <row r="29" spans="1:7" ht="19.899999999999999" customHeight="1" x14ac:dyDescent="0.15">
      <c r="A29" s="63" t="s">
        <v>286</v>
      </c>
      <c r="B29" s="63" t="s">
        <v>287</v>
      </c>
      <c r="C29" s="63" t="s">
        <v>618</v>
      </c>
      <c r="D29" s="63" t="s">
        <v>17</v>
      </c>
      <c r="E29" s="63" t="s">
        <v>619</v>
      </c>
      <c r="F29" s="63" t="s">
        <v>18</v>
      </c>
      <c r="G29" s="63" t="s">
        <v>19</v>
      </c>
    </row>
    <row r="30" spans="1:7" ht="19.899999999999999" customHeight="1" x14ac:dyDescent="0.15">
      <c r="A30" s="63" t="s">
        <v>639</v>
      </c>
      <c r="B30" s="63" t="s">
        <v>21</v>
      </c>
      <c r="C30" s="63" t="s">
        <v>618</v>
      </c>
      <c r="D30" s="63" t="s">
        <v>17</v>
      </c>
      <c r="E30" s="63" t="s">
        <v>619</v>
      </c>
      <c r="F30" s="63" t="s">
        <v>18</v>
      </c>
      <c r="G30" s="63" t="s">
        <v>19</v>
      </c>
    </row>
    <row r="31" spans="1:7" ht="19.899999999999999" customHeight="1" x14ac:dyDescent="0.15">
      <c r="A31" s="63" t="s">
        <v>640</v>
      </c>
      <c r="B31" s="63" t="s">
        <v>22</v>
      </c>
      <c r="C31" s="63" t="s">
        <v>618</v>
      </c>
      <c r="D31" s="63" t="s">
        <v>17</v>
      </c>
      <c r="E31" s="63" t="s">
        <v>619</v>
      </c>
      <c r="F31" s="63" t="s">
        <v>18</v>
      </c>
      <c r="G31" s="63" t="s">
        <v>19</v>
      </c>
    </row>
    <row r="32" spans="1:7" ht="19.899999999999999" customHeight="1" x14ac:dyDescent="0.15">
      <c r="A32" s="63" t="s">
        <v>288</v>
      </c>
      <c r="B32" s="63" t="s">
        <v>22</v>
      </c>
      <c r="C32" s="63" t="s">
        <v>618</v>
      </c>
      <c r="D32" s="63" t="s">
        <v>17</v>
      </c>
      <c r="E32" s="63" t="s">
        <v>619</v>
      </c>
      <c r="F32" s="63" t="s">
        <v>18</v>
      </c>
      <c r="G32" s="63" t="s">
        <v>19</v>
      </c>
    </row>
    <row r="33" spans="1:7" ht="19.899999999999999" customHeight="1" x14ac:dyDescent="0.15">
      <c r="A33" s="63" t="s">
        <v>641</v>
      </c>
      <c r="B33" s="63" t="s">
        <v>22</v>
      </c>
      <c r="C33" s="63" t="s">
        <v>618</v>
      </c>
      <c r="D33" s="63" t="s">
        <v>17</v>
      </c>
      <c r="E33" s="63" t="s">
        <v>619</v>
      </c>
      <c r="F33" s="63" t="s">
        <v>18</v>
      </c>
      <c r="G33" s="63" t="s">
        <v>19</v>
      </c>
    </row>
    <row r="34" spans="1:7" ht="19.899999999999999" customHeight="1" x14ac:dyDescent="0.15">
      <c r="A34" s="63" t="s">
        <v>642</v>
      </c>
      <c r="B34" s="63" t="s">
        <v>22</v>
      </c>
      <c r="C34" s="63" t="s">
        <v>618</v>
      </c>
      <c r="D34" s="63" t="s">
        <v>17</v>
      </c>
      <c r="E34" s="63" t="s">
        <v>619</v>
      </c>
      <c r="F34" s="63" t="s">
        <v>18</v>
      </c>
      <c r="G34" s="63" t="s">
        <v>19</v>
      </c>
    </row>
    <row r="35" spans="1:7" ht="19.899999999999999" customHeight="1" x14ac:dyDescent="0.15">
      <c r="A35" s="63" t="s">
        <v>643</v>
      </c>
      <c r="B35" s="63" t="s">
        <v>22</v>
      </c>
      <c r="C35" s="63" t="s">
        <v>618</v>
      </c>
      <c r="D35" s="63" t="s">
        <v>17</v>
      </c>
      <c r="E35" s="63" t="s">
        <v>619</v>
      </c>
      <c r="F35" s="63" t="s">
        <v>18</v>
      </c>
      <c r="G35" s="63" t="s">
        <v>19</v>
      </c>
    </row>
    <row r="36" spans="1:7" ht="19.899999999999999" customHeight="1" x14ac:dyDescent="0.15">
      <c r="A36" s="63" t="s">
        <v>644</v>
      </c>
      <c r="B36" s="63" t="s">
        <v>22</v>
      </c>
      <c r="C36" s="63" t="s">
        <v>618</v>
      </c>
      <c r="D36" s="63" t="s">
        <v>17</v>
      </c>
      <c r="E36" s="63" t="s">
        <v>619</v>
      </c>
      <c r="F36" s="63" t="s">
        <v>18</v>
      </c>
      <c r="G36" s="63" t="s">
        <v>19</v>
      </c>
    </row>
    <row r="37" spans="1:7" ht="19.899999999999999" customHeight="1" x14ac:dyDescent="0.15">
      <c r="A37" s="63" t="s">
        <v>645</v>
      </c>
      <c r="B37" s="63" t="s">
        <v>22</v>
      </c>
      <c r="C37" s="63" t="s">
        <v>618</v>
      </c>
      <c r="D37" s="63" t="s">
        <v>17</v>
      </c>
      <c r="E37" s="63" t="s">
        <v>619</v>
      </c>
      <c r="F37" s="63" t="s">
        <v>18</v>
      </c>
      <c r="G37" s="63" t="s">
        <v>19</v>
      </c>
    </row>
    <row r="38" spans="1:7" ht="19.899999999999999" customHeight="1" x14ac:dyDescent="0.15">
      <c r="A38" s="63" t="s">
        <v>646</v>
      </c>
      <c r="B38" s="63" t="s">
        <v>22</v>
      </c>
      <c r="C38" s="63" t="s">
        <v>618</v>
      </c>
      <c r="D38" s="63" t="s">
        <v>17</v>
      </c>
      <c r="E38" s="63" t="s">
        <v>619</v>
      </c>
      <c r="F38" s="63" t="s">
        <v>18</v>
      </c>
      <c r="G38" s="63" t="s">
        <v>19</v>
      </c>
    </row>
    <row r="39" spans="1:7" ht="19.899999999999999" customHeight="1" x14ac:dyDescent="0.15">
      <c r="A39" s="63" t="s">
        <v>647</v>
      </c>
      <c r="B39" s="63" t="s">
        <v>23</v>
      </c>
      <c r="C39" s="63" t="s">
        <v>618</v>
      </c>
      <c r="D39" s="63" t="s">
        <v>17</v>
      </c>
      <c r="E39" s="63" t="s">
        <v>619</v>
      </c>
      <c r="F39" s="63" t="s">
        <v>18</v>
      </c>
      <c r="G39" s="63" t="s">
        <v>19</v>
      </c>
    </row>
    <row r="40" spans="1:7" ht="19.899999999999999" customHeight="1" x14ac:dyDescent="0.15">
      <c r="A40" s="63" t="s">
        <v>648</v>
      </c>
      <c r="B40" s="63" t="s">
        <v>23</v>
      </c>
      <c r="C40" s="63" t="s">
        <v>618</v>
      </c>
      <c r="D40" s="63" t="s">
        <v>17</v>
      </c>
      <c r="E40" s="63" t="s">
        <v>619</v>
      </c>
      <c r="F40" s="63" t="s">
        <v>18</v>
      </c>
      <c r="G40" s="63" t="s">
        <v>19</v>
      </c>
    </row>
    <row r="41" spans="1:7" ht="19.899999999999999" customHeight="1" x14ac:dyDescent="0.15">
      <c r="A41" s="63" t="s">
        <v>649</v>
      </c>
      <c r="B41" s="63" t="s">
        <v>23</v>
      </c>
      <c r="C41" s="63" t="s">
        <v>618</v>
      </c>
      <c r="D41" s="63" t="s">
        <v>17</v>
      </c>
      <c r="E41" s="63" t="s">
        <v>619</v>
      </c>
      <c r="F41" s="63" t="s">
        <v>18</v>
      </c>
      <c r="G41" s="63" t="s">
        <v>19</v>
      </c>
    </row>
    <row r="42" spans="1:7" ht="19.899999999999999" customHeight="1" x14ac:dyDescent="0.15">
      <c r="A42" s="63" t="s">
        <v>289</v>
      </c>
      <c r="B42" s="63" t="s">
        <v>23</v>
      </c>
      <c r="C42" s="63" t="s">
        <v>618</v>
      </c>
      <c r="D42" s="63" t="s">
        <v>17</v>
      </c>
      <c r="E42" s="63" t="s">
        <v>619</v>
      </c>
      <c r="F42" s="63" t="s">
        <v>18</v>
      </c>
      <c r="G42" s="63" t="s">
        <v>19</v>
      </c>
    </row>
    <row r="43" spans="1:7" ht="19.899999999999999" customHeight="1" x14ac:dyDescent="0.15">
      <c r="A43" s="63" t="s">
        <v>650</v>
      </c>
      <c r="B43" s="63" t="s">
        <v>23</v>
      </c>
      <c r="C43" s="63" t="s">
        <v>618</v>
      </c>
      <c r="D43" s="63" t="s">
        <v>17</v>
      </c>
      <c r="E43" s="63" t="s">
        <v>619</v>
      </c>
      <c r="F43" s="63" t="s">
        <v>18</v>
      </c>
      <c r="G43" s="63" t="s">
        <v>19</v>
      </c>
    </row>
    <row r="44" spans="1:7" ht="19.899999999999999" customHeight="1" x14ac:dyDescent="0.15">
      <c r="A44" s="63" t="s">
        <v>651</v>
      </c>
      <c r="B44" s="63" t="s">
        <v>23</v>
      </c>
      <c r="C44" s="63" t="s">
        <v>618</v>
      </c>
      <c r="D44" s="63" t="s">
        <v>17</v>
      </c>
      <c r="E44" s="63" t="s">
        <v>619</v>
      </c>
      <c r="F44" s="63" t="s">
        <v>18</v>
      </c>
      <c r="G44" s="63" t="s">
        <v>19</v>
      </c>
    </row>
    <row r="45" spans="1:7" ht="19.899999999999999" customHeight="1" x14ac:dyDescent="0.15">
      <c r="A45" s="63" t="s">
        <v>652</v>
      </c>
      <c r="B45" s="63" t="s">
        <v>23</v>
      </c>
      <c r="C45" s="63" t="s">
        <v>618</v>
      </c>
      <c r="D45" s="63" t="s">
        <v>17</v>
      </c>
      <c r="E45" s="63" t="s">
        <v>619</v>
      </c>
      <c r="F45" s="63" t="s">
        <v>18</v>
      </c>
      <c r="G45" s="63" t="s">
        <v>19</v>
      </c>
    </row>
    <row r="46" spans="1:7" ht="19.899999999999999" customHeight="1" x14ac:dyDescent="0.15">
      <c r="A46" s="63" t="s">
        <v>653</v>
      </c>
      <c r="B46" s="63" t="s">
        <v>23</v>
      </c>
      <c r="C46" s="63" t="s">
        <v>618</v>
      </c>
      <c r="D46" s="63" t="s">
        <v>17</v>
      </c>
      <c r="E46" s="63" t="s">
        <v>619</v>
      </c>
      <c r="F46" s="63" t="s">
        <v>18</v>
      </c>
      <c r="G46" s="63" t="s">
        <v>19</v>
      </c>
    </row>
    <row r="47" spans="1:7" ht="19.899999999999999" customHeight="1" x14ac:dyDescent="0.15">
      <c r="A47" s="63" t="s">
        <v>654</v>
      </c>
      <c r="B47" s="63" t="s">
        <v>23</v>
      </c>
      <c r="C47" s="63" t="s">
        <v>618</v>
      </c>
      <c r="D47" s="63" t="s">
        <v>17</v>
      </c>
      <c r="E47" s="63" t="s">
        <v>619</v>
      </c>
      <c r="F47" s="63" t="s">
        <v>18</v>
      </c>
      <c r="G47" s="63" t="s">
        <v>19</v>
      </c>
    </row>
    <row r="48" spans="1:7" ht="19.899999999999999" customHeight="1" x14ac:dyDescent="0.15">
      <c r="A48" s="63" t="s">
        <v>655</v>
      </c>
      <c r="B48" s="63" t="s">
        <v>24</v>
      </c>
      <c r="C48" s="63" t="s">
        <v>618</v>
      </c>
      <c r="D48" s="63" t="s">
        <v>17</v>
      </c>
      <c r="E48" s="63" t="s">
        <v>619</v>
      </c>
      <c r="F48" s="63" t="s">
        <v>18</v>
      </c>
      <c r="G48" s="63" t="s">
        <v>19</v>
      </c>
    </row>
    <row r="49" spans="1:7" ht="19.899999999999999" customHeight="1" x14ac:dyDescent="0.15">
      <c r="A49" s="63" t="s">
        <v>656</v>
      </c>
      <c r="B49" s="63" t="s">
        <v>24</v>
      </c>
      <c r="C49" s="63" t="s">
        <v>618</v>
      </c>
      <c r="D49" s="63" t="s">
        <v>17</v>
      </c>
      <c r="E49" s="63" t="s">
        <v>619</v>
      </c>
      <c r="F49" s="63" t="s">
        <v>18</v>
      </c>
      <c r="G49" s="63" t="s">
        <v>19</v>
      </c>
    </row>
    <row r="50" spans="1:7" ht="19.899999999999999" customHeight="1" x14ac:dyDescent="0.15">
      <c r="A50" s="63" t="s">
        <v>657</v>
      </c>
      <c r="B50" s="63" t="s">
        <v>25</v>
      </c>
      <c r="C50" s="63" t="s">
        <v>618</v>
      </c>
      <c r="D50" s="63" t="s">
        <v>17</v>
      </c>
      <c r="E50" s="63" t="s">
        <v>619</v>
      </c>
      <c r="F50" s="63" t="s">
        <v>18</v>
      </c>
      <c r="G50" s="63" t="s">
        <v>19</v>
      </c>
    </row>
    <row r="51" spans="1:7" ht="19.899999999999999" customHeight="1" x14ac:dyDescent="0.15">
      <c r="A51" s="63" t="s">
        <v>658</v>
      </c>
      <c r="B51" s="63" t="s">
        <v>25</v>
      </c>
      <c r="C51" s="63" t="s">
        <v>618</v>
      </c>
      <c r="D51" s="63" t="s">
        <v>17</v>
      </c>
      <c r="E51" s="63" t="s">
        <v>619</v>
      </c>
      <c r="F51" s="63" t="s">
        <v>18</v>
      </c>
      <c r="G51" s="63" t="s">
        <v>19</v>
      </c>
    </row>
    <row r="52" spans="1:7" ht="19.899999999999999" customHeight="1" x14ac:dyDescent="0.15">
      <c r="A52" s="63" t="s">
        <v>659</v>
      </c>
      <c r="B52" s="63" t="s">
        <v>25</v>
      </c>
      <c r="C52" s="63" t="s">
        <v>618</v>
      </c>
      <c r="D52" s="63" t="s">
        <v>17</v>
      </c>
      <c r="E52" s="63" t="s">
        <v>619</v>
      </c>
      <c r="F52" s="63" t="s">
        <v>18</v>
      </c>
      <c r="G52" s="63" t="s">
        <v>19</v>
      </c>
    </row>
    <row r="53" spans="1:7" ht="19.899999999999999" customHeight="1" x14ac:dyDescent="0.15">
      <c r="A53" s="63" t="s">
        <v>660</v>
      </c>
      <c r="B53" s="63" t="s">
        <v>26</v>
      </c>
      <c r="C53" s="63" t="s">
        <v>618</v>
      </c>
      <c r="D53" s="63" t="s">
        <v>17</v>
      </c>
      <c r="E53" s="63" t="s">
        <v>619</v>
      </c>
      <c r="F53" s="63" t="s">
        <v>18</v>
      </c>
      <c r="G53" s="63" t="s">
        <v>19</v>
      </c>
    </row>
    <row r="54" spans="1:7" ht="19.899999999999999" customHeight="1" x14ac:dyDescent="0.15">
      <c r="A54" s="63" t="s">
        <v>661</v>
      </c>
      <c r="B54" s="63" t="s">
        <v>26</v>
      </c>
      <c r="C54" s="63" t="s">
        <v>618</v>
      </c>
      <c r="D54" s="63" t="s">
        <v>17</v>
      </c>
      <c r="E54" s="63" t="s">
        <v>619</v>
      </c>
      <c r="F54" s="63" t="s">
        <v>18</v>
      </c>
      <c r="G54" s="63" t="s">
        <v>19</v>
      </c>
    </row>
    <row r="55" spans="1:7" ht="19.899999999999999" customHeight="1" x14ac:dyDescent="0.15">
      <c r="A55" s="63" t="s">
        <v>662</v>
      </c>
      <c r="B55" s="63" t="s">
        <v>26</v>
      </c>
      <c r="C55" s="63" t="s">
        <v>618</v>
      </c>
      <c r="D55" s="63" t="s">
        <v>17</v>
      </c>
      <c r="E55" s="63" t="s">
        <v>619</v>
      </c>
      <c r="F55" s="63" t="s">
        <v>18</v>
      </c>
      <c r="G55" s="63" t="s">
        <v>19</v>
      </c>
    </row>
    <row r="56" spans="1:7" ht="19.899999999999999" customHeight="1" x14ac:dyDescent="0.15">
      <c r="A56" s="63" t="s">
        <v>663</v>
      </c>
      <c r="B56" s="63" t="s">
        <v>26</v>
      </c>
      <c r="C56" s="63" t="s">
        <v>618</v>
      </c>
      <c r="D56" s="63" t="s">
        <v>17</v>
      </c>
      <c r="E56" s="63" t="s">
        <v>619</v>
      </c>
      <c r="F56" s="63" t="s">
        <v>18</v>
      </c>
      <c r="G56" s="63" t="s">
        <v>19</v>
      </c>
    </row>
    <row r="57" spans="1:7" ht="19.899999999999999" customHeight="1" x14ac:dyDescent="0.15">
      <c r="A57" s="63" t="s">
        <v>664</v>
      </c>
      <c r="B57" s="63" t="s">
        <v>26</v>
      </c>
      <c r="C57" s="63" t="s">
        <v>618</v>
      </c>
      <c r="D57" s="63" t="s">
        <v>17</v>
      </c>
      <c r="E57" s="63" t="s">
        <v>619</v>
      </c>
      <c r="F57" s="63" t="s">
        <v>18</v>
      </c>
      <c r="G57" s="63" t="s">
        <v>19</v>
      </c>
    </row>
    <row r="58" spans="1:7" ht="19.899999999999999" customHeight="1" x14ac:dyDescent="0.15">
      <c r="A58" s="63" t="s">
        <v>290</v>
      </c>
      <c r="B58" s="63" t="s">
        <v>291</v>
      </c>
      <c r="C58" s="63" t="s">
        <v>618</v>
      </c>
      <c r="D58" s="63" t="s">
        <v>17</v>
      </c>
      <c r="E58" s="63" t="s">
        <v>619</v>
      </c>
      <c r="F58" s="63" t="s">
        <v>18</v>
      </c>
      <c r="G58" s="63" t="s">
        <v>19</v>
      </c>
    </row>
    <row r="59" spans="1:7" ht="19.899999999999999" customHeight="1" x14ac:dyDescent="0.15">
      <c r="A59" s="63" t="s">
        <v>292</v>
      </c>
      <c r="B59" s="63" t="s">
        <v>291</v>
      </c>
      <c r="C59" s="63" t="s">
        <v>618</v>
      </c>
      <c r="D59" s="63" t="s">
        <v>17</v>
      </c>
      <c r="E59" s="63" t="s">
        <v>619</v>
      </c>
      <c r="F59" s="63" t="s">
        <v>18</v>
      </c>
      <c r="G59" s="63" t="s">
        <v>19</v>
      </c>
    </row>
    <row r="60" spans="1:7" ht="19.899999999999999" customHeight="1" x14ac:dyDescent="0.15">
      <c r="A60" s="63" t="s">
        <v>293</v>
      </c>
      <c r="B60" s="63" t="s">
        <v>291</v>
      </c>
      <c r="C60" s="63" t="s">
        <v>618</v>
      </c>
      <c r="D60" s="63" t="s">
        <v>17</v>
      </c>
      <c r="E60" s="63" t="s">
        <v>619</v>
      </c>
      <c r="F60" s="63" t="s">
        <v>18</v>
      </c>
      <c r="G60" s="63" t="s">
        <v>19</v>
      </c>
    </row>
    <row r="61" spans="1:7" ht="19.899999999999999" customHeight="1" x14ac:dyDescent="0.15">
      <c r="A61" s="63" t="s">
        <v>294</v>
      </c>
      <c r="B61" s="63" t="s">
        <v>291</v>
      </c>
      <c r="C61" s="63" t="s">
        <v>618</v>
      </c>
      <c r="D61" s="63" t="s">
        <v>17</v>
      </c>
      <c r="E61" s="63" t="s">
        <v>619</v>
      </c>
      <c r="F61" s="63" t="s">
        <v>18</v>
      </c>
      <c r="G61" s="63" t="s">
        <v>19</v>
      </c>
    </row>
    <row r="62" spans="1:7" ht="19.899999999999999" customHeight="1" x14ac:dyDescent="0.15">
      <c r="A62" s="63" t="s">
        <v>295</v>
      </c>
      <c r="B62" s="63" t="s">
        <v>296</v>
      </c>
      <c r="C62" s="63" t="s">
        <v>618</v>
      </c>
      <c r="D62" s="63" t="s">
        <v>17</v>
      </c>
      <c r="E62" s="63" t="s">
        <v>619</v>
      </c>
      <c r="F62" s="63" t="s">
        <v>18</v>
      </c>
      <c r="G62" s="63" t="s">
        <v>19</v>
      </c>
    </row>
    <row r="63" spans="1:7" ht="19.899999999999999" customHeight="1" x14ac:dyDescent="0.15">
      <c r="A63" s="63" t="s">
        <v>297</v>
      </c>
      <c r="B63" s="63" t="s">
        <v>296</v>
      </c>
      <c r="C63" s="63" t="s">
        <v>618</v>
      </c>
      <c r="D63" s="63" t="s">
        <v>17</v>
      </c>
      <c r="E63" s="63" t="s">
        <v>619</v>
      </c>
      <c r="F63" s="63" t="s">
        <v>18</v>
      </c>
      <c r="G63" s="63" t="s">
        <v>19</v>
      </c>
    </row>
    <row r="64" spans="1:7" ht="19.899999999999999" customHeight="1" x14ac:dyDescent="0.15">
      <c r="A64" s="63" t="s">
        <v>449</v>
      </c>
      <c r="B64" s="63" t="s">
        <v>299</v>
      </c>
      <c r="C64" s="63" t="s">
        <v>618</v>
      </c>
      <c r="D64" s="63" t="s">
        <v>17</v>
      </c>
      <c r="E64" s="63" t="s">
        <v>619</v>
      </c>
      <c r="F64" s="63" t="s">
        <v>18</v>
      </c>
      <c r="G64" s="63" t="s">
        <v>19</v>
      </c>
    </row>
    <row r="65" spans="1:7" ht="19.899999999999999" customHeight="1" x14ac:dyDescent="0.15">
      <c r="A65" s="63" t="s">
        <v>298</v>
      </c>
      <c r="B65" s="63" t="s">
        <v>299</v>
      </c>
      <c r="C65" s="63" t="s">
        <v>618</v>
      </c>
      <c r="D65" s="63" t="s">
        <v>17</v>
      </c>
      <c r="E65" s="63" t="s">
        <v>619</v>
      </c>
      <c r="F65" s="63" t="s">
        <v>18</v>
      </c>
      <c r="G65" s="63" t="s">
        <v>19</v>
      </c>
    </row>
    <row r="66" spans="1:7" ht="19.899999999999999" customHeight="1" x14ac:dyDescent="0.15">
      <c r="A66" s="63" t="s">
        <v>300</v>
      </c>
      <c r="B66" s="63" t="s">
        <v>299</v>
      </c>
      <c r="C66" s="63" t="s">
        <v>618</v>
      </c>
      <c r="D66" s="63" t="s">
        <v>17</v>
      </c>
      <c r="E66" s="63" t="s">
        <v>619</v>
      </c>
      <c r="F66" s="63" t="s">
        <v>18</v>
      </c>
      <c r="G66" s="63" t="s">
        <v>19</v>
      </c>
    </row>
    <row r="67" spans="1:7" ht="19.899999999999999" customHeight="1" x14ac:dyDescent="0.15">
      <c r="A67" s="63" t="s">
        <v>301</v>
      </c>
      <c r="B67" s="63" t="s">
        <v>299</v>
      </c>
      <c r="C67" s="63" t="s">
        <v>618</v>
      </c>
      <c r="D67" s="63" t="s">
        <v>17</v>
      </c>
      <c r="E67" s="63" t="s">
        <v>619</v>
      </c>
      <c r="F67" s="63" t="s">
        <v>18</v>
      </c>
      <c r="G67" s="63" t="s">
        <v>19</v>
      </c>
    </row>
    <row r="68" spans="1:7" ht="19.899999999999999" customHeight="1" x14ac:dyDescent="0.15">
      <c r="A68" s="63" t="s">
        <v>302</v>
      </c>
      <c r="B68" s="63" t="s">
        <v>303</v>
      </c>
      <c r="C68" s="63" t="s">
        <v>618</v>
      </c>
      <c r="D68" s="63" t="s">
        <v>17</v>
      </c>
      <c r="E68" s="63" t="s">
        <v>619</v>
      </c>
      <c r="F68" s="63" t="s">
        <v>18</v>
      </c>
      <c r="G68" s="63" t="s">
        <v>19</v>
      </c>
    </row>
    <row r="69" spans="1:7" ht="19.899999999999999" customHeight="1" x14ac:dyDescent="0.15">
      <c r="A69" s="63" t="s">
        <v>304</v>
      </c>
      <c r="B69" s="63" t="s">
        <v>303</v>
      </c>
      <c r="C69" s="63" t="s">
        <v>618</v>
      </c>
      <c r="D69" s="63" t="s">
        <v>17</v>
      </c>
      <c r="E69" s="63" t="s">
        <v>619</v>
      </c>
      <c r="F69" s="63" t="s">
        <v>18</v>
      </c>
      <c r="G69" s="63" t="s">
        <v>19</v>
      </c>
    </row>
    <row r="70" spans="1:7" ht="19.899999999999999" customHeight="1" x14ac:dyDescent="0.15">
      <c r="A70" s="63" t="s">
        <v>305</v>
      </c>
      <c r="B70" s="63" t="s">
        <v>306</v>
      </c>
      <c r="C70" s="63" t="s">
        <v>618</v>
      </c>
      <c r="D70" s="63" t="s">
        <v>17</v>
      </c>
      <c r="E70" s="63" t="s">
        <v>619</v>
      </c>
      <c r="F70" s="63" t="s">
        <v>18</v>
      </c>
      <c r="G70" s="63" t="s">
        <v>19</v>
      </c>
    </row>
    <row r="71" spans="1:7" ht="19.899999999999999" customHeight="1" x14ac:dyDescent="0.15">
      <c r="A71" s="63" t="s">
        <v>307</v>
      </c>
      <c r="B71" s="63" t="s">
        <v>306</v>
      </c>
      <c r="C71" s="63" t="s">
        <v>618</v>
      </c>
      <c r="D71" s="63" t="s">
        <v>17</v>
      </c>
      <c r="E71" s="63" t="s">
        <v>619</v>
      </c>
      <c r="F71" s="63" t="s">
        <v>18</v>
      </c>
      <c r="G71" s="63" t="s">
        <v>19</v>
      </c>
    </row>
    <row r="72" spans="1:7" ht="19.899999999999999" customHeight="1" x14ac:dyDescent="0.15">
      <c r="A72" s="63" t="s">
        <v>308</v>
      </c>
      <c r="B72" s="63" t="s">
        <v>306</v>
      </c>
      <c r="C72" s="63" t="s">
        <v>618</v>
      </c>
      <c r="D72" s="63" t="s">
        <v>17</v>
      </c>
      <c r="E72" s="63" t="s">
        <v>619</v>
      </c>
      <c r="F72" s="63" t="s">
        <v>18</v>
      </c>
      <c r="G72" s="63" t="s">
        <v>19</v>
      </c>
    </row>
    <row r="73" spans="1:7" ht="19.899999999999999" customHeight="1" x14ac:dyDescent="0.15">
      <c r="A73" s="63" t="s">
        <v>309</v>
      </c>
      <c r="B73" s="63" t="s">
        <v>306</v>
      </c>
      <c r="C73" s="63" t="s">
        <v>618</v>
      </c>
      <c r="D73" s="63" t="s">
        <v>17</v>
      </c>
      <c r="E73" s="63" t="s">
        <v>619</v>
      </c>
      <c r="F73" s="63" t="s">
        <v>18</v>
      </c>
      <c r="G73" s="63" t="s">
        <v>19</v>
      </c>
    </row>
    <row r="74" spans="1:7" ht="19.899999999999999" customHeight="1" x14ac:dyDescent="0.15">
      <c r="A74" s="63" t="s">
        <v>310</v>
      </c>
      <c r="B74" s="63" t="s">
        <v>311</v>
      </c>
      <c r="C74" s="63" t="s">
        <v>618</v>
      </c>
      <c r="D74" s="63" t="s">
        <v>17</v>
      </c>
      <c r="E74" s="63" t="s">
        <v>619</v>
      </c>
      <c r="F74" s="63" t="s">
        <v>18</v>
      </c>
      <c r="G74" s="63" t="s">
        <v>19</v>
      </c>
    </row>
    <row r="75" spans="1:7" ht="19.899999999999999" customHeight="1" x14ac:dyDescent="0.15">
      <c r="A75" s="63" t="s">
        <v>312</v>
      </c>
      <c r="B75" s="63" t="s">
        <v>311</v>
      </c>
      <c r="C75" s="63" t="s">
        <v>618</v>
      </c>
      <c r="D75" s="63" t="s">
        <v>17</v>
      </c>
      <c r="E75" s="63" t="s">
        <v>619</v>
      </c>
      <c r="F75" s="63" t="s">
        <v>18</v>
      </c>
      <c r="G75" s="63" t="s">
        <v>19</v>
      </c>
    </row>
    <row r="76" spans="1:7" ht="19.899999999999999" customHeight="1" x14ac:dyDescent="0.15">
      <c r="A76" s="63" t="s">
        <v>313</v>
      </c>
      <c r="B76" s="63" t="s">
        <v>311</v>
      </c>
      <c r="C76" s="63" t="s">
        <v>618</v>
      </c>
      <c r="D76" s="63" t="s">
        <v>17</v>
      </c>
      <c r="E76" s="63" t="s">
        <v>619</v>
      </c>
      <c r="F76" s="63" t="s">
        <v>18</v>
      </c>
      <c r="G76" s="63" t="s">
        <v>19</v>
      </c>
    </row>
    <row r="77" spans="1:7" ht="19.899999999999999" customHeight="1" x14ac:dyDescent="0.15">
      <c r="A77" s="63" t="s">
        <v>314</v>
      </c>
      <c r="B77" s="63" t="s">
        <v>315</v>
      </c>
      <c r="C77" s="63" t="s">
        <v>618</v>
      </c>
      <c r="D77" s="63" t="s">
        <v>17</v>
      </c>
      <c r="E77" s="63" t="s">
        <v>619</v>
      </c>
      <c r="F77" s="63" t="s">
        <v>18</v>
      </c>
      <c r="G77" s="63" t="s">
        <v>19</v>
      </c>
    </row>
    <row r="78" spans="1:7" ht="19.899999999999999" customHeight="1" x14ac:dyDescent="0.15">
      <c r="A78" s="63" t="s">
        <v>316</v>
      </c>
      <c r="B78" s="63" t="s">
        <v>315</v>
      </c>
      <c r="C78" s="63" t="s">
        <v>618</v>
      </c>
      <c r="D78" s="63" t="s">
        <v>17</v>
      </c>
      <c r="E78" s="63" t="s">
        <v>619</v>
      </c>
      <c r="F78" s="63" t="s">
        <v>18</v>
      </c>
      <c r="G78" s="63" t="s">
        <v>19</v>
      </c>
    </row>
    <row r="79" spans="1:7" ht="19.899999999999999" customHeight="1" x14ac:dyDescent="0.15">
      <c r="A79" s="63" t="s">
        <v>317</v>
      </c>
      <c r="B79" s="63" t="s">
        <v>315</v>
      </c>
      <c r="C79" s="63" t="s">
        <v>618</v>
      </c>
      <c r="D79" s="63" t="s">
        <v>17</v>
      </c>
      <c r="E79" s="63" t="s">
        <v>619</v>
      </c>
      <c r="F79" s="63" t="s">
        <v>18</v>
      </c>
      <c r="G79" s="63" t="s">
        <v>19</v>
      </c>
    </row>
    <row r="80" spans="1:7" ht="19.899999999999999" customHeight="1" x14ac:dyDescent="0.15">
      <c r="A80" s="63" t="s">
        <v>318</v>
      </c>
      <c r="B80" s="63" t="s">
        <v>315</v>
      </c>
      <c r="C80" s="63" t="s">
        <v>618</v>
      </c>
      <c r="D80" s="63" t="s">
        <v>17</v>
      </c>
      <c r="E80" s="63" t="s">
        <v>619</v>
      </c>
      <c r="F80" s="63" t="s">
        <v>18</v>
      </c>
      <c r="G80" s="63" t="s">
        <v>19</v>
      </c>
    </row>
    <row r="81" spans="1:7" ht="19.899999999999999" customHeight="1" x14ac:dyDescent="0.15">
      <c r="A81" s="63" t="s">
        <v>319</v>
      </c>
      <c r="B81" s="63" t="s">
        <v>320</v>
      </c>
      <c r="C81" s="63" t="s">
        <v>618</v>
      </c>
      <c r="D81" s="63" t="s">
        <v>17</v>
      </c>
      <c r="E81" s="63" t="s">
        <v>619</v>
      </c>
      <c r="F81" s="63" t="s">
        <v>18</v>
      </c>
      <c r="G81" s="63" t="s">
        <v>19</v>
      </c>
    </row>
    <row r="82" spans="1:7" ht="19.899999999999999" customHeight="1" x14ac:dyDescent="0.15">
      <c r="A82" s="63" t="s">
        <v>321</v>
      </c>
      <c r="B82" s="63" t="s">
        <v>320</v>
      </c>
      <c r="C82" s="63" t="s">
        <v>618</v>
      </c>
      <c r="D82" s="63" t="s">
        <v>17</v>
      </c>
      <c r="E82" s="63" t="s">
        <v>619</v>
      </c>
      <c r="F82" s="63" t="s">
        <v>18</v>
      </c>
      <c r="G82" s="63" t="s">
        <v>19</v>
      </c>
    </row>
    <row r="83" spans="1:7" ht="19.899999999999999" customHeight="1" x14ac:dyDescent="0.15">
      <c r="A83" s="63" t="s">
        <v>322</v>
      </c>
      <c r="B83" s="63" t="s">
        <v>320</v>
      </c>
      <c r="C83" s="63" t="s">
        <v>618</v>
      </c>
      <c r="D83" s="63" t="s">
        <v>17</v>
      </c>
      <c r="E83" s="63" t="s">
        <v>619</v>
      </c>
      <c r="F83" s="63" t="s">
        <v>18</v>
      </c>
      <c r="G83" s="63" t="s">
        <v>19</v>
      </c>
    </row>
    <row r="84" spans="1:7" ht="19.899999999999999" customHeight="1" x14ac:dyDescent="0.15">
      <c r="A84" s="63" t="s">
        <v>323</v>
      </c>
      <c r="B84" s="63" t="s">
        <v>320</v>
      </c>
      <c r="C84" s="63" t="s">
        <v>618</v>
      </c>
      <c r="D84" s="63" t="s">
        <v>17</v>
      </c>
      <c r="E84" s="63" t="s">
        <v>619</v>
      </c>
      <c r="F84" s="63" t="s">
        <v>18</v>
      </c>
      <c r="G84" s="63" t="s">
        <v>19</v>
      </c>
    </row>
    <row r="85" spans="1:7" ht="19.899999999999999" customHeight="1" x14ac:dyDescent="0.15">
      <c r="A85" s="63" t="s">
        <v>324</v>
      </c>
      <c r="B85" s="63" t="s">
        <v>320</v>
      </c>
      <c r="C85" s="63" t="s">
        <v>618</v>
      </c>
      <c r="D85" s="63" t="s">
        <v>17</v>
      </c>
      <c r="E85" s="63" t="s">
        <v>619</v>
      </c>
      <c r="F85" s="63" t="s">
        <v>18</v>
      </c>
      <c r="G85" s="63" t="s">
        <v>19</v>
      </c>
    </row>
    <row r="86" spans="1:7" ht="19.899999999999999" customHeight="1" x14ac:dyDescent="0.15">
      <c r="A86" s="63" t="s">
        <v>325</v>
      </c>
      <c r="B86" s="63" t="s">
        <v>320</v>
      </c>
      <c r="C86" s="63" t="s">
        <v>618</v>
      </c>
      <c r="D86" s="63" t="s">
        <v>17</v>
      </c>
      <c r="E86" s="63" t="s">
        <v>619</v>
      </c>
      <c r="F86" s="63" t="s">
        <v>18</v>
      </c>
      <c r="G86" s="63" t="s">
        <v>19</v>
      </c>
    </row>
    <row r="87" spans="1:7" ht="19.899999999999999" customHeight="1" x14ac:dyDescent="0.15">
      <c r="A87" s="63" t="s">
        <v>326</v>
      </c>
      <c r="B87" s="63" t="s">
        <v>327</v>
      </c>
      <c r="C87" s="63" t="s">
        <v>618</v>
      </c>
      <c r="D87" s="63" t="s">
        <v>17</v>
      </c>
      <c r="E87" s="63" t="s">
        <v>619</v>
      </c>
      <c r="F87" s="63" t="s">
        <v>18</v>
      </c>
      <c r="G87" s="63" t="s">
        <v>19</v>
      </c>
    </row>
    <row r="88" spans="1:7" ht="19.899999999999999" customHeight="1" x14ac:dyDescent="0.15">
      <c r="A88" s="63" t="s">
        <v>328</v>
      </c>
      <c r="B88" s="63" t="s">
        <v>327</v>
      </c>
      <c r="C88" s="63" t="s">
        <v>618</v>
      </c>
      <c r="D88" s="63" t="s">
        <v>17</v>
      </c>
      <c r="E88" s="63" t="s">
        <v>619</v>
      </c>
      <c r="F88" s="63" t="s">
        <v>18</v>
      </c>
      <c r="G88" s="63" t="s">
        <v>19</v>
      </c>
    </row>
    <row r="89" spans="1:7" ht="19.899999999999999" customHeight="1" x14ac:dyDescent="0.15">
      <c r="A89" s="63" t="s">
        <v>329</v>
      </c>
      <c r="B89" s="63" t="s">
        <v>311</v>
      </c>
      <c r="C89" s="63" t="s">
        <v>618</v>
      </c>
      <c r="D89" s="63" t="s">
        <v>17</v>
      </c>
      <c r="E89" s="63" t="s">
        <v>619</v>
      </c>
      <c r="F89" s="63" t="s">
        <v>18</v>
      </c>
      <c r="G89" s="63" t="s">
        <v>19</v>
      </c>
    </row>
    <row r="90" spans="1:7" ht="19.899999999999999" customHeight="1" x14ac:dyDescent="0.15">
      <c r="A90" s="63" t="s">
        <v>330</v>
      </c>
      <c r="B90" s="63" t="s">
        <v>311</v>
      </c>
      <c r="C90" s="63" t="s">
        <v>618</v>
      </c>
      <c r="D90" s="63" t="s">
        <v>17</v>
      </c>
      <c r="E90" s="63" t="s">
        <v>619</v>
      </c>
      <c r="F90" s="63" t="s">
        <v>18</v>
      </c>
      <c r="G90" s="63" t="s">
        <v>19</v>
      </c>
    </row>
    <row r="91" spans="1:7" ht="19.899999999999999" customHeight="1" x14ac:dyDescent="0.15">
      <c r="A91" s="63" t="s">
        <v>331</v>
      </c>
      <c r="B91" s="63" t="s">
        <v>311</v>
      </c>
      <c r="C91" s="63" t="s">
        <v>618</v>
      </c>
      <c r="D91" s="63" t="s">
        <v>17</v>
      </c>
      <c r="E91" s="63" t="s">
        <v>619</v>
      </c>
      <c r="F91" s="63" t="s">
        <v>18</v>
      </c>
      <c r="G91" s="63" t="s">
        <v>19</v>
      </c>
    </row>
    <row r="92" spans="1:7" ht="19.899999999999999" customHeight="1" x14ac:dyDescent="0.15">
      <c r="A92" s="63" t="s">
        <v>332</v>
      </c>
      <c r="B92" s="63" t="s">
        <v>333</v>
      </c>
      <c r="C92" s="63" t="s">
        <v>618</v>
      </c>
      <c r="D92" s="63" t="s">
        <v>17</v>
      </c>
      <c r="E92" s="63" t="s">
        <v>619</v>
      </c>
      <c r="F92" s="63" t="s">
        <v>18</v>
      </c>
      <c r="G92" s="63" t="s">
        <v>19</v>
      </c>
    </row>
    <row r="93" spans="1:7" ht="19.899999999999999" customHeight="1" x14ac:dyDescent="0.15">
      <c r="A93" s="63" t="s">
        <v>334</v>
      </c>
      <c r="B93" s="63" t="s">
        <v>335</v>
      </c>
      <c r="C93" s="63" t="s">
        <v>618</v>
      </c>
      <c r="D93" s="63" t="s">
        <v>17</v>
      </c>
      <c r="E93" s="63" t="s">
        <v>619</v>
      </c>
      <c r="F93" s="63" t="s">
        <v>18</v>
      </c>
      <c r="G93" s="63" t="s">
        <v>19</v>
      </c>
    </row>
    <row r="94" spans="1:7" ht="19.899999999999999" customHeight="1" x14ac:dyDescent="0.15">
      <c r="A94" s="63" t="s">
        <v>665</v>
      </c>
      <c r="B94" s="63" t="s">
        <v>116</v>
      </c>
      <c r="C94" s="63" t="s">
        <v>618</v>
      </c>
      <c r="D94" s="63" t="s">
        <v>17</v>
      </c>
      <c r="E94" s="63" t="s">
        <v>619</v>
      </c>
      <c r="F94" s="63" t="s">
        <v>18</v>
      </c>
      <c r="G94" s="63" t="s">
        <v>19</v>
      </c>
    </row>
    <row r="95" spans="1:7" ht="19.899999999999999" customHeight="1" x14ac:dyDescent="0.15">
      <c r="A95" s="63" t="s">
        <v>666</v>
      </c>
      <c r="B95" s="63" t="s">
        <v>117</v>
      </c>
      <c r="C95" s="63" t="s">
        <v>618</v>
      </c>
      <c r="D95" s="63" t="s">
        <v>17</v>
      </c>
      <c r="E95" s="63" t="s">
        <v>619</v>
      </c>
      <c r="F95" s="63" t="s">
        <v>18</v>
      </c>
      <c r="G95" s="63" t="s">
        <v>19</v>
      </c>
    </row>
    <row r="96" spans="1:7" ht="19.899999999999999" customHeight="1" x14ac:dyDescent="0.15">
      <c r="A96" s="63" t="s">
        <v>667</v>
      </c>
      <c r="B96" s="63" t="s">
        <v>118</v>
      </c>
      <c r="C96" s="63" t="s">
        <v>618</v>
      </c>
      <c r="D96" s="63" t="s">
        <v>17</v>
      </c>
      <c r="E96" s="63" t="s">
        <v>619</v>
      </c>
      <c r="F96" s="63" t="s">
        <v>18</v>
      </c>
      <c r="G96" s="63" t="s">
        <v>19</v>
      </c>
    </row>
    <row r="97" spans="1:7" ht="19.899999999999999" customHeight="1" x14ac:dyDescent="0.15">
      <c r="A97" s="63" t="s">
        <v>336</v>
      </c>
      <c r="B97" s="63" t="s">
        <v>337</v>
      </c>
      <c r="C97" s="63" t="s">
        <v>618</v>
      </c>
      <c r="D97" s="63" t="s">
        <v>17</v>
      </c>
      <c r="E97" s="63" t="s">
        <v>619</v>
      </c>
      <c r="F97" s="63" t="s">
        <v>18</v>
      </c>
      <c r="G97" s="63" t="s">
        <v>19</v>
      </c>
    </row>
    <row r="98" spans="1:7" ht="19.899999999999999" customHeight="1" x14ac:dyDescent="0.15">
      <c r="A98" s="63" t="s">
        <v>338</v>
      </c>
      <c r="B98" s="63" t="s">
        <v>339</v>
      </c>
      <c r="C98" s="63" t="s">
        <v>618</v>
      </c>
      <c r="D98" s="63" t="s">
        <v>17</v>
      </c>
      <c r="E98" s="63" t="s">
        <v>619</v>
      </c>
      <c r="F98" s="63" t="s">
        <v>18</v>
      </c>
      <c r="G98" s="63" t="s">
        <v>19</v>
      </c>
    </row>
    <row r="99" spans="1:7" ht="19.899999999999999" customHeight="1" x14ac:dyDescent="0.15">
      <c r="A99" s="63" t="s">
        <v>340</v>
      </c>
      <c r="B99" s="63" t="s">
        <v>341</v>
      </c>
      <c r="C99" s="63" t="s">
        <v>618</v>
      </c>
      <c r="D99" s="63" t="s">
        <v>17</v>
      </c>
      <c r="E99" s="63" t="s">
        <v>619</v>
      </c>
      <c r="F99" s="63" t="s">
        <v>18</v>
      </c>
      <c r="G99" s="63" t="s">
        <v>19</v>
      </c>
    </row>
    <row r="100" spans="1:7" ht="19.899999999999999" customHeight="1" x14ac:dyDescent="0.15">
      <c r="A100" s="63" t="s">
        <v>342</v>
      </c>
      <c r="B100" s="63" t="s">
        <v>343</v>
      </c>
      <c r="C100" s="63" t="s">
        <v>618</v>
      </c>
      <c r="D100" s="63" t="s">
        <v>17</v>
      </c>
      <c r="E100" s="63" t="s">
        <v>619</v>
      </c>
      <c r="F100" s="63" t="s">
        <v>18</v>
      </c>
      <c r="G100" s="63" t="s">
        <v>19</v>
      </c>
    </row>
    <row r="101" spans="1:7" ht="19.899999999999999" customHeight="1" x14ac:dyDescent="0.15">
      <c r="A101" s="63" t="s">
        <v>344</v>
      </c>
      <c r="B101" s="63" t="s">
        <v>343</v>
      </c>
      <c r="C101" s="63" t="s">
        <v>618</v>
      </c>
      <c r="D101" s="63" t="s">
        <v>17</v>
      </c>
      <c r="E101" s="63" t="s">
        <v>619</v>
      </c>
      <c r="F101" s="63" t="s">
        <v>18</v>
      </c>
      <c r="G101" s="63" t="s">
        <v>19</v>
      </c>
    </row>
    <row r="102" spans="1:7" ht="19.899999999999999" customHeight="1" x14ac:dyDescent="0.15">
      <c r="A102" s="63" t="s">
        <v>345</v>
      </c>
      <c r="B102" s="63" t="s">
        <v>343</v>
      </c>
      <c r="C102" s="63" t="s">
        <v>618</v>
      </c>
      <c r="D102" s="63" t="s">
        <v>17</v>
      </c>
      <c r="E102" s="63" t="s">
        <v>619</v>
      </c>
      <c r="F102" s="63" t="s">
        <v>18</v>
      </c>
      <c r="G102" s="63" t="s">
        <v>19</v>
      </c>
    </row>
    <row r="103" spans="1:7" ht="19.899999999999999" customHeight="1" x14ac:dyDescent="0.15">
      <c r="A103" s="63" t="s">
        <v>346</v>
      </c>
      <c r="B103" s="63" t="s">
        <v>343</v>
      </c>
      <c r="C103" s="63" t="s">
        <v>618</v>
      </c>
      <c r="D103" s="63" t="s">
        <v>17</v>
      </c>
      <c r="E103" s="63" t="s">
        <v>619</v>
      </c>
      <c r="F103" s="63" t="s">
        <v>18</v>
      </c>
      <c r="G103" s="63" t="s">
        <v>19</v>
      </c>
    </row>
    <row r="104" spans="1:7" ht="19.899999999999999" customHeight="1" x14ac:dyDescent="0.15">
      <c r="A104" s="63" t="s">
        <v>347</v>
      </c>
      <c r="B104" s="63" t="s">
        <v>343</v>
      </c>
      <c r="C104" s="63" t="s">
        <v>618</v>
      </c>
      <c r="D104" s="63" t="s">
        <v>17</v>
      </c>
      <c r="E104" s="63" t="s">
        <v>619</v>
      </c>
      <c r="F104" s="63" t="s">
        <v>18</v>
      </c>
      <c r="G104" s="63" t="s">
        <v>19</v>
      </c>
    </row>
    <row r="105" spans="1:7" ht="19.899999999999999" customHeight="1" x14ac:dyDescent="0.15">
      <c r="A105" s="63" t="s">
        <v>348</v>
      </c>
      <c r="B105" s="63" t="s">
        <v>343</v>
      </c>
      <c r="C105" s="63" t="s">
        <v>618</v>
      </c>
      <c r="D105" s="63" t="s">
        <v>17</v>
      </c>
      <c r="E105" s="63" t="s">
        <v>619</v>
      </c>
      <c r="F105" s="63" t="s">
        <v>18</v>
      </c>
      <c r="G105" s="63" t="s">
        <v>19</v>
      </c>
    </row>
    <row r="106" spans="1:7" ht="19.899999999999999" customHeight="1" x14ac:dyDescent="0.15">
      <c r="A106" s="63" t="s">
        <v>349</v>
      </c>
      <c r="B106" s="63" t="s">
        <v>343</v>
      </c>
      <c r="C106" s="63" t="s">
        <v>618</v>
      </c>
      <c r="D106" s="63" t="s">
        <v>17</v>
      </c>
      <c r="E106" s="63" t="s">
        <v>619</v>
      </c>
      <c r="F106" s="63" t="s">
        <v>18</v>
      </c>
      <c r="G106" s="63" t="s">
        <v>19</v>
      </c>
    </row>
    <row r="107" spans="1:7" ht="19.899999999999999" customHeight="1" x14ac:dyDescent="0.15">
      <c r="A107" s="63" t="s">
        <v>350</v>
      </c>
      <c r="B107" s="63" t="s">
        <v>343</v>
      </c>
      <c r="C107" s="63" t="s">
        <v>618</v>
      </c>
      <c r="D107" s="63" t="s">
        <v>17</v>
      </c>
      <c r="E107" s="63" t="s">
        <v>619</v>
      </c>
      <c r="F107" s="63" t="s">
        <v>18</v>
      </c>
      <c r="G107" s="63" t="s">
        <v>19</v>
      </c>
    </row>
    <row r="108" spans="1:7" ht="19.899999999999999" customHeight="1" x14ac:dyDescent="0.15">
      <c r="A108" s="63" t="s">
        <v>351</v>
      </c>
      <c r="B108" s="63" t="s">
        <v>352</v>
      </c>
      <c r="C108" s="63" t="s">
        <v>618</v>
      </c>
      <c r="D108" s="63" t="s">
        <v>17</v>
      </c>
      <c r="E108" s="63" t="s">
        <v>619</v>
      </c>
      <c r="F108" s="63" t="s">
        <v>18</v>
      </c>
      <c r="G108" s="63" t="s">
        <v>19</v>
      </c>
    </row>
    <row r="109" spans="1:7" ht="19.899999999999999" customHeight="1" x14ac:dyDescent="0.15">
      <c r="A109" s="63" t="s">
        <v>353</v>
      </c>
      <c r="B109" s="63" t="s">
        <v>352</v>
      </c>
      <c r="C109" s="63" t="s">
        <v>618</v>
      </c>
      <c r="D109" s="63" t="s">
        <v>17</v>
      </c>
      <c r="E109" s="63" t="s">
        <v>619</v>
      </c>
      <c r="F109" s="63" t="s">
        <v>18</v>
      </c>
      <c r="G109" s="63" t="s">
        <v>19</v>
      </c>
    </row>
    <row r="110" spans="1:7" ht="19.899999999999999" customHeight="1" x14ac:dyDescent="0.15">
      <c r="A110" s="63" t="s">
        <v>354</v>
      </c>
      <c r="B110" s="63" t="s">
        <v>355</v>
      </c>
      <c r="C110" s="63" t="s">
        <v>618</v>
      </c>
      <c r="D110" s="63" t="s">
        <v>17</v>
      </c>
      <c r="E110" s="63" t="s">
        <v>619</v>
      </c>
      <c r="F110" s="63" t="s">
        <v>18</v>
      </c>
      <c r="G110" s="63" t="s">
        <v>19</v>
      </c>
    </row>
    <row r="111" spans="1:7" ht="19.899999999999999" customHeight="1" x14ac:dyDescent="0.15">
      <c r="A111" s="63" t="s">
        <v>356</v>
      </c>
      <c r="B111" s="63" t="s">
        <v>355</v>
      </c>
      <c r="C111" s="63" t="s">
        <v>618</v>
      </c>
      <c r="D111" s="63" t="s">
        <v>17</v>
      </c>
      <c r="E111" s="63" t="s">
        <v>619</v>
      </c>
      <c r="F111" s="63" t="s">
        <v>18</v>
      </c>
      <c r="G111" s="63" t="s">
        <v>19</v>
      </c>
    </row>
    <row r="112" spans="1:7" ht="19.899999999999999" customHeight="1" x14ac:dyDescent="0.15">
      <c r="A112" s="63" t="s">
        <v>357</v>
      </c>
      <c r="B112" s="63" t="s">
        <v>355</v>
      </c>
      <c r="C112" s="63" t="s">
        <v>618</v>
      </c>
      <c r="D112" s="63" t="s">
        <v>17</v>
      </c>
      <c r="E112" s="63" t="s">
        <v>619</v>
      </c>
      <c r="F112" s="63" t="s">
        <v>18</v>
      </c>
      <c r="G112" s="63" t="s">
        <v>19</v>
      </c>
    </row>
    <row r="113" spans="1:7" ht="19.899999999999999" customHeight="1" x14ac:dyDescent="0.15">
      <c r="A113" s="63" t="s">
        <v>358</v>
      </c>
      <c r="B113" s="63" t="s">
        <v>355</v>
      </c>
      <c r="C113" s="63" t="s">
        <v>618</v>
      </c>
      <c r="D113" s="63" t="s">
        <v>17</v>
      </c>
      <c r="E113" s="63" t="s">
        <v>619</v>
      </c>
      <c r="F113" s="63" t="s">
        <v>18</v>
      </c>
      <c r="G113" s="63" t="s">
        <v>19</v>
      </c>
    </row>
    <row r="114" spans="1:7" ht="19.899999999999999" customHeight="1" x14ac:dyDescent="0.15">
      <c r="A114" s="63" t="s">
        <v>359</v>
      </c>
      <c r="B114" s="63" t="s">
        <v>355</v>
      </c>
      <c r="C114" s="63" t="s">
        <v>618</v>
      </c>
      <c r="D114" s="63" t="s">
        <v>17</v>
      </c>
      <c r="E114" s="63" t="s">
        <v>619</v>
      </c>
      <c r="F114" s="63" t="s">
        <v>18</v>
      </c>
      <c r="G114" s="63" t="s">
        <v>19</v>
      </c>
    </row>
    <row r="115" spans="1:7" ht="19.899999999999999" customHeight="1" x14ac:dyDescent="0.15">
      <c r="A115" s="63" t="s">
        <v>360</v>
      </c>
      <c r="B115" s="63" t="s">
        <v>355</v>
      </c>
      <c r="C115" s="63" t="s">
        <v>618</v>
      </c>
      <c r="D115" s="63" t="s">
        <v>17</v>
      </c>
      <c r="E115" s="63" t="s">
        <v>619</v>
      </c>
      <c r="F115" s="63" t="s">
        <v>18</v>
      </c>
      <c r="G115" s="63" t="s">
        <v>19</v>
      </c>
    </row>
    <row r="116" spans="1:7" ht="19.899999999999999" customHeight="1" x14ac:dyDescent="0.15">
      <c r="A116" s="63" t="s">
        <v>361</v>
      </c>
      <c r="B116" s="63" t="s">
        <v>355</v>
      </c>
      <c r="C116" s="63" t="s">
        <v>618</v>
      </c>
      <c r="D116" s="63" t="s">
        <v>17</v>
      </c>
      <c r="E116" s="63" t="s">
        <v>619</v>
      </c>
      <c r="F116" s="63" t="s">
        <v>18</v>
      </c>
      <c r="G116" s="63" t="s">
        <v>19</v>
      </c>
    </row>
    <row r="117" spans="1:7" ht="19.899999999999999" customHeight="1" x14ac:dyDescent="0.15">
      <c r="A117" s="63" t="s">
        <v>362</v>
      </c>
      <c r="B117" s="63" t="s">
        <v>355</v>
      </c>
      <c r="C117" s="63" t="s">
        <v>618</v>
      </c>
      <c r="D117" s="63" t="s">
        <v>17</v>
      </c>
      <c r="E117" s="63" t="s">
        <v>619</v>
      </c>
      <c r="F117" s="63" t="s">
        <v>18</v>
      </c>
      <c r="G117" s="63" t="s">
        <v>19</v>
      </c>
    </row>
    <row r="118" spans="1:7" ht="19.899999999999999" customHeight="1" x14ac:dyDescent="0.15">
      <c r="A118" s="63" t="s">
        <v>363</v>
      </c>
      <c r="B118" s="63" t="s">
        <v>355</v>
      </c>
      <c r="C118" s="63" t="s">
        <v>618</v>
      </c>
      <c r="D118" s="63" t="s">
        <v>17</v>
      </c>
      <c r="E118" s="63" t="s">
        <v>619</v>
      </c>
      <c r="F118" s="63" t="s">
        <v>18</v>
      </c>
      <c r="G118" s="63" t="s">
        <v>19</v>
      </c>
    </row>
    <row r="119" spans="1:7" ht="19.899999999999999" customHeight="1" x14ac:dyDescent="0.15">
      <c r="A119" s="63" t="s">
        <v>364</v>
      </c>
      <c r="B119" s="63" t="s">
        <v>355</v>
      </c>
      <c r="C119" s="63" t="s">
        <v>618</v>
      </c>
      <c r="D119" s="63" t="s">
        <v>17</v>
      </c>
      <c r="E119" s="63" t="s">
        <v>619</v>
      </c>
      <c r="F119" s="63" t="s">
        <v>18</v>
      </c>
      <c r="G119" s="63" t="s">
        <v>19</v>
      </c>
    </row>
    <row r="120" spans="1:7" ht="19.899999999999999" customHeight="1" x14ac:dyDescent="0.15">
      <c r="A120" s="63" t="s">
        <v>365</v>
      </c>
      <c r="B120" s="63" t="s">
        <v>355</v>
      </c>
      <c r="C120" s="63" t="s">
        <v>618</v>
      </c>
      <c r="D120" s="63" t="s">
        <v>17</v>
      </c>
      <c r="E120" s="63" t="s">
        <v>619</v>
      </c>
      <c r="F120" s="63" t="s">
        <v>18</v>
      </c>
      <c r="G120" s="63" t="s">
        <v>19</v>
      </c>
    </row>
    <row r="121" spans="1:7" ht="19.899999999999999" customHeight="1" x14ac:dyDescent="0.15">
      <c r="A121" s="63" t="s">
        <v>366</v>
      </c>
      <c r="B121" s="63" t="s">
        <v>355</v>
      </c>
      <c r="C121" s="63" t="s">
        <v>618</v>
      </c>
      <c r="D121" s="63" t="s">
        <v>17</v>
      </c>
      <c r="E121" s="63" t="s">
        <v>619</v>
      </c>
      <c r="F121" s="63" t="s">
        <v>18</v>
      </c>
      <c r="G121" s="63" t="s">
        <v>19</v>
      </c>
    </row>
    <row r="122" spans="1:7" ht="19.899999999999999" customHeight="1" x14ac:dyDescent="0.15">
      <c r="A122" s="63" t="s">
        <v>367</v>
      </c>
      <c r="B122" s="63" t="s">
        <v>355</v>
      </c>
      <c r="C122" s="63" t="s">
        <v>618</v>
      </c>
      <c r="D122" s="63" t="s">
        <v>17</v>
      </c>
      <c r="E122" s="63" t="s">
        <v>619</v>
      </c>
      <c r="F122" s="63" t="s">
        <v>18</v>
      </c>
      <c r="G122" s="63" t="s">
        <v>19</v>
      </c>
    </row>
    <row r="123" spans="1:7" ht="19.899999999999999" customHeight="1" x14ac:dyDescent="0.15">
      <c r="A123" s="63" t="s">
        <v>368</v>
      </c>
      <c r="B123" s="63" t="s">
        <v>355</v>
      </c>
      <c r="C123" s="63" t="s">
        <v>618</v>
      </c>
      <c r="D123" s="63" t="s">
        <v>17</v>
      </c>
      <c r="E123" s="63" t="s">
        <v>619</v>
      </c>
      <c r="F123" s="63" t="s">
        <v>18</v>
      </c>
      <c r="G123" s="63" t="s">
        <v>19</v>
      </c>
    </row>
    <row r="124" spans="1:7" ht="19.899999999999999" customHeight="1" x14ac:dyDescent="0.15">
      <c r="A124" s="63" t="s">
        <v>369</v>
      </c>
      <c r="B124" s="63" t="s">
        <v>355</v>
      </c>
      <c r="C124" s="63" t="s">
        <v>618</v>
      </c>
      <c r="D124" s="63" t="s">
        <v>17</v>
      </c>
      <c r="E124" s="63" t="s">
        <v>619</v>
      </c>
      <c r="F124" s="63" t="s">
        <v>18</v>
      </c>
      <c r="G124" s="63" t="s">
        <v>19</v>
      </c>
    </row>
    <row r="125" spans="1:7" ht="19.899999999999999" customHeight="1" x14ac:dyDescent="0.15">
      <c r="A125" s="63" t="s">
        <v>600</v>
      </c>
      <c r="B125" s="63" t="s">
        <v>601</v>
      </c>
      <c r="C125" s="63" t="s">
        <v>618</v>
      </c>
      <c r="D125" s="63" t="s">
        <v>17</v>
      </c>
      <c r="E125" s="63" t="s">
        <v>619</v>
      </c>
      <c r="F125" s="63" t="s">
        <v>18</v>
      </c>
      <c r="G125" s="63" t="s">
        <v>19</v>
      </c>
    </row>
    <row r="126" spans="1:7" ht="19.899999999999999" customHeight="1" x14ac:dyDescent="0.15">
      <c r="A126" s="63" t="s">
        <v>370</v>
      </c>
      <c r="B126" s="63" t="s">
        <v>355</v>
      </c>
      <c r="C126" s="63" t="s">
        <v>618</v>
      </c>
      <c r="D126" s="63" t="s">
        <v>17</v>
      </c>
      <c r="E126" s="63" t="s">
        <v>619</v>
      </c>
      <c r="F126" s="63" t="s">
        <v>18</v>
      </c>
      <c r="G126" s="63" t="s">
        <v>19</v>
      </c>
    </row>
    <row r="127" spans="1:7" ht="19.899999999999999" customHeight="1" x14ac:dyDescent="0.15">
      <c r="A127" s="63" t="s">
        <v>371</v>
      </c>
      <c r="B127" s="63" t="s">
        <v>355</v>
      </c>
      <c r="C127" s="63" t="s">
        <v>618</v>
      </c>
      <c r="D127" s="63" t="s">
        <v>17</v>
      </c>
      <c r="E127" s="63" t="s">
        <v>619</v>
      </c>
      <c r="F127" s="63" t="s">
        <v>18</v>
      </c>
      <c r="G127" s="63" t="s">
        <v>19</v>
      </c>
    </row>
    <row r="128" spans="1:7" ht="19.899999999999999" customHeight="1" x14ac:dyDescent="0.15">
      <c r="A128" s="63" t="s">
        <v>372</v>
      </c>
      <c r="B128" s="63" t="s">
        <v>373</v>
      </c>
      <c r="C128" s="63" t="s">
        <v>618</v>
      </c>
      <c r="D128" s="63" t="s">
        <v>17</v>
      </c>
      <c r="E128" s="63" t="s">
        <v>619</v>
      </c>
      <c r="F128" s="63" t="s">
        <v>18</v>
      </c>
      <c r="G128" s="63" t="s">
        <v>19</v>
      </c>
    </row>
    <row r="129" spans="1:7" ht="19.899999999999999" customHeight="1" x14ac:dyDescent="0.15">
      <c r="A129" s="63" t="s">
        <v>374</v>
      </c>
      <c r="B129" s="63" t="s">
        <v>375</v>
      </c>
      <c r="C129" s="63" t="s">
        <v>618</v>
      </c>
      <c r="D129" s="63" t="s">
        <v>17</v>
      </c>
      <c r="E129" s="63" t="s">
        <v>619</v>
      </c>
      <c r="F129" s="63" t="s">
        <v>18</v>
      </c>
      <c r="G129" s="63" t="s">
        <v>19</v>
      </c>
    </row>
    <row r="130" spans="1:7" ht="19.899999999999999" customHeight="1" x14ac:dyDescent="0.15">
      <c r="A130" s="63" t="s">
        <v>376</v>
      </c>
      <c r="B130" s="63" t="s">
        <v>377</v>
      </c>
      <c r="C130" s="63" t="s">
        <v>618</v>
      </c>
      <c r="D130" s="63" t="s">
        <v>17</v>
      </c>
      <c r="E130" s="63" t="s">
        <v>619</v>
      </c>
      <c r="F130" s="63" t="s">
        <v>18</v>
      </c>
      <c r="G130" s="63" t="s">
        <v>19</v>
      </c>
    </row>
    <row r="131" spans="1:7" ht="19.899999999999999" customHeight="1" x14ac:dyDescent="0.15">
      <c r="A131" s="63" t="s">
        <v>378</v>
      </c>
      <c r="B131" s="63" t="s">
        <v>379</v>
      </c>
      <c r="C131" s="63" t="s">
        <v>618</v>
      </c>
      <c r="D131" s="63" t="s">
        <v>17</v>
      </c>
      <c r="E131" s="63" t="s">
        <v>619</v>
      </c>
      <c r="F131" s="63" t="s">
        <v>18</v>
      </c>
      <c r="G131" s="63" t="s">
        <v>19</v>
      </c>
    </row>
    <row r="132" spans="1:7" ht="19.899999999999999" customHeight="1" x14ac:dyDescent="0.15">
      <c r="A132" s="63" t="s">
        <v>380</v>
      </c>
      <c r="B132" s="63" t="s">
        <v>381</v>
      </c>
      <c r="C132" s="63" t="s">
        <v>618</v>
      </c>
      <c r="D132" s="63" t="s">
        <v>17</v>
      </c>
      <c r="E132" s="63" t="s">
        <v>619</v>
      </c>
      <c r="F132" s="63" t="s">
        <v>18</v>
      </c>
      <c r="G132" s="63" t="s">
        <v>19</v>
      </c>
    </row>
    <row r="133" spans="1:7" ht="19.899999999999999" customHeight="1" x14ac:dyDescent="0.15">
      <c r="A133" s="63" t="s">
        <v>382</v>
      </c>
      <c r="B133" s="63" t="s">
        <v>383</v>
      </c>
      <c r="C133" s="63" t="s">
        <v>618</v>
      </c>
      <c r="D133" s="63" t="s">
        <v>17</v>
      </c>
      <c r="E133" s="63" t="s">
        <v>619</v>
      </c>
      <c r="F133" s="63" t="s">
        <v>18</v>
      </c>
      <c r="G133" s="63" t="s">
        <v>19</v>
      </c>
    </row>
    <row r="134" spans="1:7" ht="19.899999999999999" customHeight="1" x14ac:dyDescent="0.15">
      <c r="A134" s="63" t="s">
        <v>384</v>
      </c>
      <c r="B134" s="63" t="s">
        <v>385</v>
      </c>
      <c r="C134" s="63" t="s">
        <v>618</v>
      </c>
      <c r="D134" s="63" t="s">
        <v>17</v>
      </c>
      <c r="E134" s="63" t="s">
        <v>619</v>
      </c>
      <c r="F134" s="63" t="s">
        <v>18</v>
      </c>
      <c r="G134" s="63" t="s">
        <v>19</v>
      </c>
    </row>
    <row r="135" spans="1:7" ht="19.899999999999999" customHeight="1" x14ac:dyDescent="0.15">
      <c r="A135" s="63" t="s">
        <v>386</v>
      </c>
      <c r="B135" s="63" t="s">
        <v>387</v>
      </c>
      <c r="C135" s="63" t="s">
        <v>618</v>
      </c>
      <c r="D135" s="63" t="s">
        <v>17</v>
      </c>
      <c r="E135" s="63" t="s">
        <v>619</v>
      </c>
      <c r="F135" s="63" t="s">
        <v>18</v>
      </c>
      <c r="G135" s="63" t="s">
        <v>19</v>
      </c>
    </row>
    <row r="136" spans="1:7" ht="19.899999999999999" customHeight="1" x14ac:dyDescent="0.15">
      <c r="A136" s="63" t="s">
        <v>388</v>
      </c>
      <c r="B136" s="63" t="s">
        <v>389</v>
      </c>
      <c r="C136" s="63" t="s">
        <v>618</v>
      </c>
      <c r="D136" s="63" t="s">
        <v>17</v>
      </c>
      <c r="E136" s="63" t="s">
        <v>619</v>
      </c>
      <c r="F136" s="63" t="s">
        <v>18</v>
      </c>
      <c r="G136" s="63" t="s">
        <v>19</v>
      </c>
    </row>
    <row r="137" spans="1:7" ht="19.899999999999999" customHeight="1" x14ac:dyDescent="0.15">
      <c r="A137" s="63" t="s">
        <v>390</v>
      </c>
      <c r="B137" s="63" t="s">
        <v>391</v>
      </c>
      <c r="C137" s="63" t="s">
        <v>618</v>
      </c>
      <c r="D137" s="63" t="s">
        <v>17</v>
      </c>
      <c r="E137" s="63" t="s">
        <v>619</v>
      </c>
      <c r="F137" s="63" t="s">
        <v>18</v>
      </c>
      <c r="G137" s="63" t="s">
        <v>19</v>
      </c>
    </row>
    <row r="138" spans="1:7" ht="19.899999999999999" customHeight="1" x14ac:dyDescent="0.15">
      <c r="A138" s="63" t="s">
        <v>392</v>
      </c>
      <c r="B138" s="63" t="s">
        <v>393</v>
      </c>
      <c r="C138" s="63" t="s">
        <v>618</v>
      </c>
      <c r="D138" s="63" t="s">
        <v>17</v>
      </c>
      <c r="E138" s="63" t="s">
        <v>619</v>
      </c>
      <c r="F138" s="63" t="s">
        <v>18</v>
      </c>
      <c r="G138" s="63" t="s">
        <v>19</v>
      </c>
    </row>
    <row r="139" spans="1:7" ht="19.899999999999999" customHeight="1" x14ac:dyDescent="0.15">
      <c r="A139" s="63" t="s">
        <v>394</v>
      </c>
      <c r="B139" s="63" t="s">
        <v>395</v>
      </c>
      <c r="C139" s="63" t="s">
        <v>618</v>
      </c>
      <c r="D139" s="63" t="s">
        <v>17</v>
      </c>
      <c r="E139" s="63" t="s">
        <v>619</v>
      </c>
      <c r="F139" s="63" t="s">
        <v>18</v>
      </c>
      <c r="G139" s="63" t="s">
        <v>19</v>
      </c>
    </row>
    <row r="140" spans="1:7" ht="19.899999999999999" customHeight="1" x14ac:dyDescent="0.15">
      <c r="A140" s="63" t="s">
        <v>668</v>
      </c>
      <c r="B140" s="63" t="s">
        <v>396</v>
      </c>
      <c r="C140" s="63" t="s">
        <v>618</v>
      </c>
      <c r="D140" s="63" t="s">
        <v>17</v>
      </c>
      <c r="E140" s="63" t="s">
        <v>619</v>
      </c>
      <c r="F140" s="63" t="s">
        <v>18</v>
      </c>
      <c r="G140" s="63" t="s">
        <v>19</v>
      </c>
    </row>
    <row r="141" spans="1:7" ht="19.899999999999999" customHeight="1" x14ac:dyDescent="0.15">
      <c r="A141" s="63" t="s">
        <v>397</v>
      </c>
      <c r="B141" s="63" t="s">
        <v>396</v>
      </c>
      <c r="C141" s="63" t="s">
        <v>618</v>
      </c>
      <c r="D141" s="63" t="s">
        <v>17</v>
      </c>
      <c r="E141" s="63" t="s">
        <v>619</v>
      </c>
      <c r="F141" s="63" t="s">
        <v>18</v>
      </c>
      <c r="G141" s="63" t="s">
        <v>19</v>
      </c>
    </row>
    <row r="142" spans="1:7" ht="19.899999999999999" customHeight="1" x14ac:dyDescent="0.15">
      <c r="A142" s="63" t="s">
        <v>398</v>
      </c>
      <c r="B142" s="63" t="s">
        <v>396</v>
      </c>
      <c r="C142" s="63" t="s">
        <v>618</v>
      </c>
      <c r="D142" s="63" t="s">
        <v>17</v>
      </c>
      <c r="E142" s="63" t="s">
        <v>619</v>
      </c>
      <c r="F142" s="63" t="s">
        <v>18</v>
      </c>
      <c r="G142" s="63" t="s">
        <v>19</v>
      </c>
    </row>
    <row r="143" spans="1:7" ht="19.899999999999999" customHeight="1" x14ac:dyDescent="0.15">
      <c r="A143" s="63" t="s">
        <v>399</v>
      </c>
      <c r="B143" s="63" t="s">
        <v>400</v>
      </c>
      <c r="C143" s="63" t="s">
        <v>618</v>
      </c>
      <c r="D143" s="63" t="s">
        <v>17</v>
      </c>
      <c r="E143" s="63" t="s">
        <v>619</v>
      </c>
      <c r="F143" s="63" t="s">
        <v>18</v>
      </c>
      <c r="G143" s="63" t="s">
        <v>19</v>
      </c>
    </row>
    <row r="144" spans="1:7" ht="19.899999999999999" customHeight="1" x14ac:dyDescent="0.15">
      <c r="A144" s="63" t="s">
        <v>401</v>
      </c>
      <c r="B144" s="63" t="s">
        <v>400</v>
      </c>
      <c r="C144" s="63" t="s">
        <v>618</v>
      </c>
      <c r="D144" s="63" t="s">
        <v>17</v>
      </c>
      <c r="E144" s="63" t="s">
        <v>619</v>
      </c>
      <c r="F144" s="63" t="s">
        <v>18</v>
      </c>
      <c r="G144" s="63" t="s">
        <v>19</v>
      </c>
    </row>
    <row r="145" spans="1:7" ht="19.899999999999999" customHeight="1" x14ac:dyDescent="0.15">
      <c r="A145" s="63" t="s">
        <v>402</v>
      </c>
      <c r="B145" s="63" t="s">
        <v>400</v>
      </c>
      <c r="C145" s="63" t="s">
        <v>618</v>
      </c>
      <c r="D145" s="63" t="s">
        <v>17</v>
      </c>
      <c r="E145" s="63" t="s">
        <v>619</v>
      </c>
      <c r="F145" s="63" t="s">
        <v>18</v>
      </c>
      <c r="G145" s="63" t="s">
        <v>19</v>
      </c>
    </row>
    <row r="146" spans="1:7" ht="19.899999999999999" customHeight="1" x14ac:dyDescent="0.15">
      <c r="A146" s="63" t="s">
        <v>403</v>
      </c>
      <c r="B146" s="63" t="s">
        <v>400</v>
      </c>
      <c r="C146" s="63" t="s">
        <v>618</v>
      </c>
      <c r="D146" s="63" t="s">
        <v>17</v>
      </c>
      <c r="E146" s="63" t="s">
        <v>619</v>
      </c>
      <c r="F146" s="63" t="s">
        <v>18</v>
      </c>
      <c r="G146" s="63" t="s">
        <v>19</v>
      </c>
    </row>
    <row r="147" spans="1:7" ht="19.899999999999999" customHeight="1" x14ac:dyDescent="0.15">
      <c r="A147" s="63" t="s">
        <v>404</v>
      </c>
      <c r="B147" s="63" t="s">
        <v>400</v>
      </c>
      <c r="C147" s="63" t="s">
        <v>618</v>
      </c>
      <c r="D147" s="63" t="s">
        <v>17</v>
      </c>
      <c r="E147" s="63" t="s">
        <v>619</v>
      </c>
      <c r="F147" s="63" t="s">
        <v>18</v>
      </c>
      <c r="G147" s="63" t="s">
        <v>19</v>
      </c>
    </row>
    <row r="148" spans="1:7" ht="19.899999999999999" customHeight="1" x14ac:dyDescent="0.15">
      <c r="A148" s="63" t="s">
        <v>405</v>
      </c>
      <c r="B148" s="63" t="s">
        <v>400</v>
      </c>
      <c r="C148" s="63" t="s">
        <v>618</v>
      </c>
      <c r="D148" s="63" t="s">
        <v>17</v>
      </c>
      <c r="E148" s="63" t="s">
        <v>619</v>
      </c>
      <c r="F148" s="63" t="s">
        <v>18</v>
      </c>
      <c r="G148" s="63" t="s">
        <v>19</v>
      </c>
    </row>
    <row r="149" spans="1:7" ht="19.899999999999999" customHeight="1" x14ac:dyDescent="0.15">
      <c r="A149" s="63" t="s">
        <v>406</v>
      </c>
      <c r="B149" s="63" t="s">
        <v>400</v>
      </c>
      <c r="C149" s="63" t="s">
        <v>618</v>
      </c>
      <c r="D149" s="63" t="s">
        <v>17</v>
      </c>
      <c r="E149" s="63" t="s">
        <v>619</v>
      </c>
      <c r="F149" s="63" t="s">
        <v>18</v>
      </c>
      <c r="G149" s="63" t="s">
        <v>19</v>
      </c>
    </row>
    <row r="150" spans="1:7" ht="19.899999999999999" customHeight="1" x14ac:dyDescent="0.15">
      <c r="A150" s="63" t="s">
        <v>407</v>
      </c>
      <c r="B150" s="63" t="s">
        <v>408</v>
      </c>
      <c r="C150" s="63" t="s">
        <v>618</v>
      </c>
      <c r="D150" s="63" t="s">
        <v>17</v>
      </c>
      <c r="E150" s="63" t="s">
        <v>619</v>
      </c>
      <c r="F150" s="63" t="s">
        <v>18</v>
      </c>
      <c r="G150" s="63" t="s">
        <v>19</v>
      </c>
    </row>
    <row r="151" spans="1:7" ht="19.899999999999999" customHeight="1" x14ac:dyDescent="0.15">
      <c r="A151" s="63" t="s">
        <v>409</v>
      </c>
      <c r="B151" s="63" t="s">
        <v>410</v>
      </c>
      <c r="C151" s="63" t="s">
        <v>618</v>
      </c>
      <c r="D151" s="63" t="s">
        <v>17</v>
      </c>
      <c r="E151" s="63" t="s">
        <v>619</v>
      </c>
      <c r="F151" s="63" t="s">
        <v>18</v>
      </c>
      <c r="G151" s="63" t="s">
        <v>19</v>
      </c>
    </row>
    <row r="152" spans="1:7" ht="19.899999999999999" customHeight="1" x14ac:dyDescent="0.15">
      <c r="A152" s="63" t="s">
        <v>411</v>
      </c>
      <c r="B152" s="63" t="s">
        <v>410</v>
      </c>
      <c r="C152" s="63" t="s">
        <v>618</v>
      </c>
      <c r="D152" s="63" t="s">
        <v>17</v>
      </c>
      <c r="E152" s="63" t="s">
        <v>619</v>
      </c>
      <c r="F152" s="63" t="s">
        <v>18</v>
      </c>
      <c r="G152" s="63" t="s">
        <v>19</v>
      </c>
    </row>
    <row r="153" spans="1:7" ht="19.899999999999999" customHeight="1" x14ac:dyDescent="0.15">
      <c r="A153" s="63" t="s">
        <v>412</v>
      </c>
      <c r="B153" s="63" t="s">
        <v>413</v>
      </c>
      <c r="C153" s="63" t="s">
        <v>618</v>
      </c>
      <c r="D153" s="63" t="s">
        <v>17</v>
      </c>
      <c r="E153" s="63" t="s">
        <v>619</v>
      </c>
      <c r="F153" s="63" t="s">
        <v>18</v>
      </c>
      <c r="G153" s="63" t="s">
        <v>19</v>
      </c>
    </row>
    <row r="154" spans="1:7" ht="19.899999999999999" customHeight="1" x14ac:dyDescent="0.15">
      <c r="A154" s="63" t="s">
        <v>414</v>
      </c>
      <c r="B154" s="63" t="s">
        <v>415</v>
      </c>
      <c r="C154" s="63" t="s">
        <v>618</v>
      </c>
      <c r="D154" s="63" t="s">
        <v>17</v>
      </c>
      <c r="E154" s="63" t="s">
        <v>619</v>
      </c>
      <c r="F154" s="63" t="s">
        <v>18</v>
      </c>
      <c r="G154" s="63" t="s">
        <v>19</v>
      </c>
    </row>
    <row r="155" spans="1:7" ht="19.899999999999999" customHeight="1" x14ac:dyDescent="0.15">
      <c r="A155" s="63" t="s">
        <v>416</v>
      </c>
      <c r="B155" s="63" t="s">
        <v>415</v>
      </c>
      <c r="C155" s="63" t="s">
        <v>618</v>
      </c>
      <c r="D155" s="63" t="s">
        <v>17</v>
      </c>
      <c r="E155" s="63" t="s">
        <v>619</v>
      </c>
      <c r="F155" s="63" t="s">
        <v>18</v>
      </c>
      <c r="G155" s="63" t="s">
        <v>19</v>
      </c>
    </row>
    <row r="156" spans="1:7" ht="19.899999999999999" customHeight="1" x14ac:dyDescent="0.15">
      <c r="A156" s="63" t="s">
        <v>417</v>
      </c>
      <c r="B156" s="63" t="s">
        <v>418</v>
      </c>
      <c r="C156" s="63" t="s">
        <v>618</v>
      </c>
      <c r="D156" s="63" t="s">
        <v>17</v>
      </c>
      <c r="E156" s="63" t="s">
        <v>619</v>
      </c>
      <c r="F156" s="63" t="s">
        <v>18</v>
      </c>
      <c r="G156" s="63" t="s">
        <v>19</v>
      </c>
    </row>
    <row r="157" spans="1:7" ht="19.899999999999999" customHeight="1" x14ac:dyDescent="0.15">
      <c r="A157" s="63" t="s">
        <v>419</v>
      </c>
      <c r="B157" s="63" t="s">
        <v>418</v>
      </c>
      <c r="C157" s="63" t="s">
        <v>618</v>
      </c>
      <c r="D157" s="63" t="s">
        <v>17</v>
      </c>
      <c r="E157" s="63" t="s">
        <v>619</v>
      </c>
      <c r="F157" s="63" t="s">
        <v>18</v>
      </c>
      <c r="G157" s="63" t="s">
        <v>19</v>
      </c>
    </row>
    <row r="158" spans="1:7" ht="19.899999999999999" customHeight="1" x14ac:dyDescent="0.15">
      <c r="A158" s="63" t="s">
        <v>450</v>
      </c>
      <c r="B158" s="63" t="s">
        <v>421</v>
      </c>
      <c r="C158" s="63" t="s">
        <v>618</v>
      </c>
      <c r="D158" s="63" t="s">
        <v>17</v>
      </c>
      <c r="E158" s="63" t="s">
        <v>619</v>
      </c>
      <c r="F158" s="63" t="s">
        <v>18</v>
      </c>
      <c r="G158" s="63" t="s">
        <v>19</v>
      </c>
    </row>
    <row r="159" spans="1:7" ht="19.899999999999999" customHeight="1" x14ac:dyDescent="0.15">
      <c r="A159" s="63" t="s">
        <v>451</v>
      </c>
      <c r="B159" s="63" t="s">
        <v>421</v>
      </c>
      <c r="C159" s="63" t="s">
        <v>618</v>
      </c>
      <c r="D159" s="63" t="s">
        <v>17</v>
      </c>
      <c r="E159" s="63" t="s">
        <v>619</v>
      </c>
      <c r="F159" s="63" t="s">
        <v>18</v>
      </c>
      <c r="G159" s="63" t="s">
        <v>19</v>
      </c>
    </row>
    <row r="160" spans="1:7" ht="19.899999999999999" customHeight="1" x14ac:dyDescent="0.15">
      <c r="A160" s="63" t="s">
        <v>452</v>
      </c>
      <c r="B160" s="63" t="s">
        <v>421</v>
      </c>
      <c r="C160" s="63" t="s">
        <v>618</v>
      </c>
      <c r="D160" s="63" t="s">
        <v>17</v>
      </c>
      <c r="E160" s="63" t="s">
        <v>619</v>
      </c>
      <c r="F160" s="63" t="s">
        <v>18</v>
      </c>
      <c r="G160" s="63" t="s">
        <v>19</v>
      </c>
    </row>
    <row r="161" spans="1:7" ht="19.899999999999999" customHeight="1" x14ac:dyDescent="0.15">
      <c r="A161" s="63" t="s">
        <v>453</v>
      </c>
      <c r="B161" s="63" t="s">
        <v>421</v>
      </c>
      <c r="C161" s="63" t="s">
        <v>618</v>
      </c>
      <c r="D161" s="63" t="s">
        <v>17</v>
      </c>
      <c r="E161" s="63" t="s">
        <v>619</v>
      </c>
      <c r="F161" s="63" t="s">
        <v>18</v>
      </c>
      <c r="G161" s="63" t="s">
        <v>19</v>
      </c>
    </row>
    <row r="162" spans="1:7" ht="19.899999999999999" customHeight="1" x14ac:dyDescent="0.15">
      <c r="A162" s="63" t="s">
        <v>454</v>
      </c>
      <c r="B162" s="63" t="s">
        <v>421</v>
      </c>
      <c r="C162" s="63" t="s">
        <v>618</v>
      </c>
      <c r="D162" s="63" t="s">
        <v>17</v>
      </c>
      <c r="E162" s="63" t="s">
        <v>619</v>
      </c>
      <c r="F162" s="63" t="s">
        <v>18</v>
      </c>
      <c r="G162" s="63" t="s">
        <v>19</v>
      </c>
    </row>
    <row r="163" spans="1:7" ht="19.899999999999999" customHeight="1" x14ac:dyDescent="0.15">
      <c r="A163" s="63" t="s">
        <v>455</v>
      </c>
      <c r="B163" s="63" t="s">
        <v>421</v>
      </c>
      <c r="C163" s="63" t="s">
        <v>618</v>
      </c>
      <c r="D163" s="63" t="s">
        <v>17</v>
      </c>
      <c r="E163" s="63" t="s">
        <v>619</v>
      </c>
      <c r="F163" s="63" t="s">
        <v>18</v>
      </c>
      <c r="G163" s="63" t="s">
        <v>19</v>
      </c>
    </row>
    <row r="164" spans="1:7" ht="19.899999999999999" customHeight="1" x14ac:dyDescent="0.15">
      <c r="A164" s="63" t="s">
        <v>456</v>
      </c>
      <c r="B164" s="63" t="s">
        <v>421</v>
      </c>
      <c r="C164" s="63" t="s">
        <v>618</v>
      </c>
      <c r="D164" s="63" t="s">
        <v>17</v>
      </c>
      <c r="E164" s="63" t="s">
        <v>619</v>
      </c>
      <c r="F164" s="63" t="s">
        <v>18</v>
      </c>
      <c r="G164" s="63" t="s">
        <v>19</v>
      </c>
    </row>
    <row r="165" spans="1:7" ht="19.899999999999999" customHeight="1" x14ac:dyDescent="0.15">
      <c r="A165" s="63" t="s">
        <v>457</v>
      </c>
      <c r="B165" s="63" t="s">
        <v>421</v>
      </c>
      <c r="C165" s="63" t="s">
        <v>618</v>
      </c>
      <c r="D165" s="63" t="s">
        <v>17</v>
      </c>
      <c r="E165" s="63" t="s">
        <v>619</v>
      </c>
      <c r="F165" s="63" t="s">
        <v>18</v>
      </c>
      <c r="G165" s="63" t="s">
        <v>19</v>
      </c>
    </row>
    <row r="166" spans="1:7" ht="19.899999999999999" customHeight="1" x14ac:dyDescent="0.15">
      <c r="A166" s="63" t="s">
        <v>420</v>
      </c>
      <c r="B166" s="63" t="s">
        <v>421</v>
      </c>
      <c r="C166" s="63" t="s">
        <v>618</v>
      </c>
      <c r="D166" s="63" t="s">
        <v>17</v>
      </c>
      <c r="E166" s="63" t="s">
        <v>619</v>
      </c>
      <c r="F166" s="63" t="s">
        <v>18</v>
      </c>
      <c r="G166" s="63" t="s">
        <v>19</v>
      </c>
    </row>
    <row r="167" spans="1:7" ht="19.899999999999999" customHeight="1" x14ac:dyDescent="0.15">
      <c r="A167" s="63" t="s">
        <v>458</v>
      </c>
      <c r="B167" s="63" t="s">
        <v>459</v>
      </c>
      <c r="C167" s="63" t="s">
        <v>618</v>
      </c>
      <c r="D167" s="63" t="s">
        <v>17</v>
      </c>
      <c r="E167" s="63" t="s">
        <v>619</v>
      </c>
      <c r="F167" s="63" t="s">
        <v>18</v>
      </c>
      <c r="G167" s="63" t="s">
        <v>19</v>
      </c>
    </row>
    <row r="168" spans="1:7" ht="19.899999999999999" customHeight="1" x14ac:dyDescent="0.15">
      <c r="A168" s="63" t="s">
        <v>460</v>
      </c>
      <c r="B168" s="63" t="s">
        <v>461</v>
      </c>
      <c r="C168" s="63" t="s">
        <v>618</v>
      </c>
      <c r="D168" s="63" t="s">
        <v>17</v>
      </c>
      <c r="E168" s="63" t="s">
        <v>619</v>
      </c>
      <c r="F168" s="63" t="s">
        <v>18</v>
      </c>
      <c r="G168" s="63" t="s">
        <v>19</v>
      </c>
    </row>
    <row r="169" spans="1:7" ht="19.899999999999999" customHeight="1" x14ac:dyDescent="0.15">
      <c r="A169" s="63" t="s">
        <v>462</v>
      </c>
      <c r="B169" s="63" t="s">
        <v>463</v>
      </c>
      <c r="C169" s="63" t="s">
        <v>618</v>
      </c>
      <c r="D169" s="63" t="s">
        <v>17</v>
      </c>
      <c r="E169" s="63" t="s">
        <v>619</v>
      </c>
      <c r="F169" s="63" t="s">
        <v>18</v>
      </c>
      <c r="G169" s="63" t="s">
        <v>19</v>
      </c>
    </row>
    <row r="170" spans="1:7" ht="19.899999999999999" customHeight="1" x14ac:dyDescent="0.15">
      <c r="A170" s="63" t="s">
        <v>422</v>
      </c>
      <c r="B170" s="63" t="s">
        <v>423</v>
      </c>
      <c r="C170" s="63" t="s">
        <v>618</v>
      </c>
      <c r="D170" s="63" t="s">
        <v>17</v>
      </c>
      <c r="E170" s="63" t="s">
        <v>619</v>
      </c>
      <c r="F170" s="63" t="s">
        <v>18</v>
      </c>
      <c r="G170" s="63" t="s">
        <v>19</v>
      </c>
    </row>
    <row r="171" spans="1:7" ht="19.899999999999999" customHeight="1" x14ac:dyDescent="0.15">
      <c r="A171" s="63" t="s">
        <v>424</v>
      </c>
      <c r="B171" s="63" t="s">
        <v>423</v>
      </c>
      <c r="C171" s="63" t="s">
        <v>618</v>
      </c>
      <c r="D171" s="63" t="s">
        <v>17</v>
      </c>
      <c r="E171" s="63" t="s">
        <v>619</v>
      </c>
      <c r="F171" s="63" t="s">
        <v>18</v>
      </c>
      <c r="G171" s="63" t="s">
        <v>19</v>
      </c>
    </row>
    <row r="172" spans="1:7" ht="19.899999999999999" customHeight="1" x14ac:dyDescent="0.15">
      <c r="A172" s="63" t="s">
        <v>425</v>
      </c>
      <c r="B172" s="63" t="s">
        <v>423</v>
      </c>
      <c r="C172" s="63" t="s">
        <v>618</v>
      </c>
      <c r="D172" s="63" t="s">
        <v>17</v>
      </c>
      <c r="E172" s="63" t="s">
        <v>619</v>
      </c>
      <c r="F172" s="63" t="s">
        <v>18</v>
      </c>
      <c r="G172" s="63" t="s">
        <v>19</v>
      </c>
    </row>
    <row r="173" spans="1:7" ht="19.899999999999999" customHeight="1" x14ac:dyDescent="0.15">
      <c r="A173" s="63" t="s">
        <v>426</v>
      </c>
      <c r="B173" s="63" t="s">
        <v>423</v>
      </c>
      <c r="C173" s="63" t="s">
        <v>618</v>
      </c>
      <c r="D173" s="63" t="s">
        <v>17</v>
      </c>
      <c r="E173" s="63" t="s">
        <v>619</v>
      </c>
      <c r="F173" s="63" t="s">
        <v>18</v>
      </c>
      <c r="G173" s="63" t="s">
        <v>19</v>
      </c>
    </row>
    <row r="174" spans="1:7" ht="19.899999999999999" customHeight="1" x14ac:dyDescent="0.15">
      <c r="A174" s="63" t="s">
        <v>427</v>
      </c>
      <c r="B174" s="63" t="s">
        <v>423</v>
      </c>
      <c r="C174" s="63" t="s">
        <v>618</v>
      </c>
      <c r="D174" s="63" t="s">
        <v>17</v>
      </c>
      <c r="E174" s="63" t="s">
        <v>619</v>
      </c>
      <c r="F174" s="63" t="s">
        <v>18</v>
      </c>
      <c r="G174" s="63" t="s">
        <v>19</v>
      </c>
    </row>
    <row r="175" spans="1:7" ht="19.899999999999999" customHeight="1" x14ac:dyDescent="0.15">
      <c r="A175" s="63" t="s">
        <v>428</v>
      </c>
      <c r="B175" s="63" t="s">
        <v>429</v>
      </c>
      <c r="C175" s="63" t="s">
        <v>618</v>
      </c>
      <c r="D175" s="63" t="s">
        <v>17</v>
      </c>
      <c r="E175" s="63" t="s">
        <v>619</v>
      </c>
      <c r="F175" s="63" t="s">
        <v>18</v>
      </c>
      <c r="G175" s="63" t="s">
        <v>19</v>
      </c>
    </row>
    <row r="176" spans="1:7" ht="19.899999999999999" customHeight="1" x14ac:dyDescent="0.15">
      <c r="A176" s="63" t="s">
        <v>430</v>
      </c>
      <c r="B176" s="63" t="s">
        <v>429</v>
      </c>
      <c r="C176" s="63" t="s">
        <v>618</v>
      </c>
      <c r="D176" s="63" t="s">
        <v>17</v>
      </c>
      <c r="E176" s="63" t="s">
        <v>619</v>
      </c>
      <c r="F176" s="63" t="s">
        <v>18</v>
      </c>
      <c r="G176" s="63" t="s">
        <v>19</v>
      </c>
    </row>
    <row r="177" spans="1:7" ht="19.899999999999999" customHeight="1" x14ac:dyDescent="0.15">
      <c r="A177" s="63" t="s">
        <v>431</v>
      </c>
      <c r="B177" s="63" t="s">
        <v>429</v>
      </c>
      <c r="C177" s="63" t="s">
        <v>618</v>
      </c>
      <c r="D177" s="63" t="s">
        <v>17</v>
      </c>
      <c r="E177" s="63" t="s">
        <v>619</v>
      </c>
      <c r="F177" s="63" t="s">
        <v>18</v>
      </c>
      <c r="G177" s="63" t="s">
        <v>19</v>
      </c>
    </row>
    <row r="178" spans="1:7" ht="19.899999999999999" customHeight="1" x14ac:dyDescent="0.15">
      <c r="A178" s="63" t="s">
        <v>432</v>
      </c>
      <c r="B178" s="63" t="s">
        <v>429</v>
      </c>
      <c r="C178" s="63" t="s">
        <v>618</v>
      </c>
      <c r="D178" s="63" t="s">
        <v>17</v>
      </c>
      <c r="E178" s="63" t="s">
        <v>619</v>
      </c>
      <c r="F178" s="63" t="s">
        <v>18</v>
      </c>
      <c r="G178" s="63" t="s">
        <v>19</v>
      </c>
    </row>
    <row r="179" spans="1:7" ht="30" customHeight="1" x14ac:dyDescent="0.15">
      <c r="A179" s="63" t="s">
        <v>433</v>
      </c>
      <c r="B179" s="63" t="s">
        <v>434</v>
      </c>
      <c r="C179" s="63" t="s">
        <v>618</v>
      </c>
      <c r="D179" s="63" t="s">
        <v>17</v>
      </c>
      <c r="E179" s="63" t="s">
        <v>619</v>
      </c>
      <c r="F179" s="63" t="s">
        <v>18</v>
      </c>
      <c r="G179" s="63" t="s">
        <v>19</v>
      </c>
    </row>
    <row r="180" spans="1:7" ht="30" customHeight="1" x14ac:dyDescent="0.15">
      <c r="A180" s="63" t="s">
        <v>669</v>
      </c>
      <c r="B180" s="63" t="s">
        <v>119</v>
      </c>
      <c r="C180" s="63" t="s">
        <v>618</v>
      </c>
      <c r="D180" s="63" t="s">
        <v>17</v>
      </c>
      <c r="E180" s="63" t="s">
        <v>619</v>
      </c>
      <c r="F180" s="63" t="s">
        <v>18</v>
      </c>
      <c r="G180" s="63" t="s">
        <v>19</v>
      </c>
    </row>
    <row r="181" spans="1:7" ht="30" customHeight="1" x14ac:dyDescent="0.15">
      <c r="A181" s="63" t="s">
        <v>670</v>
      </c>
      <c r="B181" s="63" t="s">
        <v>119</v>
      </c>
      <c r="C181" s="63" t="s">
        <v>618</v>
      </c>
      <c r="D181" s="63" t="s">
        <v>17</v>
      </c>
      <c r="E181" s="63" t="s">
        <v>619</v>
      </c>
      <c r="F181" s="63" t="s">
        <v>18</v>
      </c>
      <c r="G181" s="63" t="s">
        <v>19</v>
      </c>
    </row>
    <row r="182" spans="1:7" ht="30" customHeight="1" x14ac:dyDescent="0.15">
      <c r="A182" s="63" t="s">
        <v>671</v>
      </c>
      <c r="B182" s="63" t="s">
        <v>119</v>
      </c>
      <c r="C182" s="63" t="s">
        <v>618</v>
      </c>
      <c r="D182" s="63" t="s">
        <v>17</v>
      </c>
      <c r="E182" s="63" t="s">
        <v>619</v>
      </c>
      <c r="F182" s="63" t="s">
        <v>18</v>
      </c>
      <c r="G182" s="63" t="s">
        <v>19</v>
      </c>
    </row>
    <row r="183" spans="1:7" ht="30" customHeight="1" x14ac:dyDescent="0.15">
      <c r="A183" s="63" t="s">
        <v>672</v>
      </c>
      <c r="B183" s="63" t="s">
        <v>119</v>
      </c>
      <c r="C183" s="63" t="s">
        <v>618</v>
      </c>
      <c r="D183" s="63" t="s">
        <v>17</v>
      </c>
      <c r="E183" s="63" t="s">
        <v>619</v>
      </c>
      <c r="F183" s="63" t="s">
        <v>18</v>
      </c>
      <c r="G183" s="63" t="s">
        <v>19</v>
      </c>
    </row>
    <row r="184" spans="1:7" ht="30" customHeight="1" x14ac:dyDescent="0.15">
      <c r="A184" s="63" t="s">
        <v>673</v>
      </c>
      <c r="B184" s="63" t="s">
        <v>119</v>
      </c>
      <c r="C184" s="63" t="s">
        <v>618</v>
      </c>
      <c r="D184" s="63" t="s">
        <v>17</v>
      </c>
      <c r="E184" s="63" t="s">
        <v>619</v>
      </c>
      <c r="F184" s="63" t="s">
        <v>18</v>
      </c>
      <c r="G184" s="63" t="s">
        <v>19</v>
      </c>
    </row>
    <row r="185" spans="1:7" ht="30" customHeight="1" x14ac:dyDescent="0.15">
      <c r="A185" s="63" t="s">
        <v>674</v>
      </c>
      <c r="B185" s="63" t="s">
        <v>120</v>
      </c>
      <c r="C185" s="63" t="s">
        <v>618</v>
      </c>
      <c r="D185" s="63" t="s">
        <v>17</v>
      </c>
      <c r="E185" s="63" t="s">
        <v>619</v>
      </c>
      <c r="F185" s="63" t="s">
        <v>18</v>
      </c>
      <c r="G185" s="63" t="s">
        <v>19</v>
      </c>
    </row>
    <row r="186" spans="1:7" ht="30" customHeight="1" x14ac:dyDescent="0.15">
      <c r="A186" s="63" t="s">
        <v>675</v>
      </c>
      <c r="B186" s="63" t="s">
        <v>121</v>
      </c>
      <c r="C186" s="63" t="s">
        <v>618</v>
      </c>
      <c r="D186" s="63" t="s">
        <v>17</v>
      </c>
      <c r="E186" s="63" t="s">
        <v>619</v>
      </c>
      <c r="F186" s="63" t="s">
        <v>18</v>
      </c>
      <c r="G186" s="63" t="s">
        <v>19</v>
      </c>
    </row>
    <row r="187" spans="1:7" ht="30" customHeight="1" x14ac:dyDescent="0.15">
      <c r="A187" s="63" t="s">
        <v>676</v>
      </c>
      <c r="B187" s="63" t="s">
        <v>121</v>
      </c>
      <c r="C187" s="63" t="s">
        <v>618</v>
      </c>
      <c r="D187" s="63" t="s">
        <v>17</v>
      </c>
      <c r="E187" s="63" t="s">
        <v>619</v>
      </c>
      <c r="F187" s="63" t="s">
        <v>18</v>
      </c>
      <c r="G187" s="63" t="s">
        <v>19</v>
      </c>
    </row>
    <row r="188" spans="1:7" ht="30" customHeight="1" x14ac:dyDescent="0.15">
      <c r="A188" s="63" t="s">
        <v>677</v>
      </c>
      <c r="B188" s="63" t="s">
        <v>121</v>
      </c>
      <c r="C188" s="63" t="s">
        <v>618</v>
      </c>
      <c r="D188" s="63" t="s">
        <v>17</v>
      </c>
      <c r="E188" s="63" t="s">
        <v>619</v>
      </c>
      <c r="F188" s="63" t="s">
        <v>18</v>
      </c>
      <c r="G188" s="63" t="s">
        <v>19</v>
      </c>
    </row>
    <row r="189" spans="1:7" ht="30" customHeight="1" x14ac:dyDescent="0.15">
      <c r="A189" s="63" t="s">
        <v>678</v>
      </c>
      <c r="B189" s="63" t="s">
        <v>121</v>
      </c>
      <c r="C189" s="63" t="s">
        <v>618</v>
      </c>
      <c r="D189" s="63" t="s">
        <v>17</v>
      </c>
      <c r="E189" s="63" t="s">
        <v>619</v>
      </c>
      <c r="F189" s="63" t="s">
        <v>18</v>
      </c>
      <c r="G189" s="63" t="s">
        <v>19</v>
      </c>
    </row>
    <row r="190" spans="1:7" ht="60" customHeight="1" x14ac:dyDescent="0.15">
      <c r="A190" s="63" t="s">
        <v>679</v>
      </c>
      <c r="B190" s="63" t="s">
        <v>121</v>
      </c>
      <c r="C190" s="63" t="s">
        <v>618</v>
      </c>
      <c r="D190" s="63" t="s">
        <v>17</v>
      </c>
      <c r="E190" s="63" t="s">
        <v>619</v>
      </c>
      <c r="F190" s="63" t="s">
        <v>18</v>
      </c>
      <c r="G190" s="63" t="s">
        <v>19</v>
      </c>
    </row>
    <row r="191" spans="1:7" ht="60" customHeight="1" x14ac:dyDescent="0.15">
      <c r="A191" s="63" t="s">
        <v>680</v>
      </c>
      <c r="B191" s="63" t="s">
        <v>122</v>
      </c>
      <c r="C191" s="63" t="s">
        <v>618</v>
      </c>
      <c r="D191" s="63" t="s">
        <v>17</v>
      </c>
      <c r="E191" s="63" t="s">
        <v>619</v>
      </c>
      <c r="F191" s="63" t="s">
        <v>18</v>
      </c>
      <c r="G191" s="63" t="s">
        <v>19</v>
      </c>
    </row>
    <row r="192" spans="1:7" ht="19.899999999999999" customHeight="1" x14ac:dyDescent="0.15">
      <c r="A192" s="63" t="s">
        <v>681</v>
      </c>
      <c r="B192" s="63" t="s">
        <v>123</v>
      </c>
      <c r="C192" s="63" t="s">
        <v>618</v>
      </c>
      <c r="D192" s="63" t="s">
        <v>17</v>
      </c>
      <c r="E192" s="63" t="s">
        <v>619</v>
      </c>
      <c r="F192" s="63" t="s">
        <v>18</v>
      </c>
      <c r="G192" s="63" t="s">
        <v>19</v>
      </c>
    </row>
    <row r="193" spans="1:7" ht="19.899999999999999" customHeight="1" x14ac:dyDescent="0.15">
      <c r="A193" s="63" t="s">
        <v>27</v>
      </c>
      <c r="B193" s="63" t="s">
        <v>124</v>
      </c>
      <c r="C193" s="63" t="s">
        <v>618</v>
      </c>
      <c r="D193" s="63" t="s">
        <v>17</v>
      </c>
      <c r="E193" s="63" t="s">
        <v>619</v>
      </c>
      <c r="F193" s="63" t="s">
        <v>18</v>
      </c>
      <c r="G193" s="63" t="s">
        <v>19</v>
      </c>
    </row>
    <row r="194" spans="1:7" ht="30" customHeight="1" x14ac:dyDescent="0.15">
      <c r="A194" s="63" t="s">
        <v>682</v>
      </c>
      <c r="B194" s="63" t="s">
        <v>28</v>
      </c>
      <c r="C194" s="63" t="s">
        <v>618</v>
      </c>
      <c r="D194" s="63" t="s">
        <v>17</v>
      </c>
      <c r="E194" s="63" t="s">
        <v>619</v>
      </c>
      <c r="F194" s="63" t="s">
        <v>18</v>
      </c>
      <c r="G194" s="63" t="s">
        <v>19</v>
      </c>
    </row>
    <row r="195" spans="1:7" ht="40.15" customHeight="1" x14ac:dyDescent="0.15">
      <c r="A195" s="63" t="s">
        <v>683</v>
      </c>
      <c r="B195" s="63" t="s">
        <v>29</v>
      </c>
      <c r="C195" s="63" t="s">
        <v>618</v>
      </c>
      <c r="D195" s="63" t="s">
        <v>17</v>
      </c>
      <c r="E195" s="63" t="s">
        <v>619</v>
      </c>
      <c r="F195" s="63" t="s">
        <v>18</v>
      </c>
      <c r="G195" s="63" t="s">
        <v>19</v>
      </c>
    </row>
    <row r="196" spans="1:7" ht="40.15" customHeight="1" x14ac:dyDescent="0.15">
      <c r="A196" s="63" t="s">
        <v>684</v>
      </c>
      <c r="B196" s="63" t="s">
        <v>125</v>
      </c>
      <c r="C196" s="63" t="s">
        <v>618</v>
      </c>
      <c r="D196" s="63" t="s">
        <v>17</v>
      </c>
      <c r="E196" s="63" t="s">
        <v>619</v>
      </c>
      <c r="F196" s="63" t="s">
        <v>18</v>
      </c>
      <c r="G196" s="63" t="s">
        <v>19</v>
      </c>
    </row>
    <row r="197" spans="1:7" ht="40.15" customHeight="1" x14ac:dyDescent="0.15">
      <c r="A197" s="63" t="s">
        <v>685</v>
      </c>
      <c r="B197" s="63" t="s">
        <v>125</v>
      </c>
      <c r="C197" s="63" t="s">
        <v>618</v>
      </c>
      <c r="D197" s="63" t="s">
        <v>17</v>
      </c>
      <c r="E197" s="63" t="s">
        <v>619</v>
      </c>
      <c r="F197" s="63" t="s">
        <v>18</v>
      </c>
      <c r="G197" s="63" t="s">
        <v>19</v>
      </c>
    </row>
    <row r="198" spans="1:7" ht="40.15" customHeight="1" x14ac:dyDescent="0.15">
      <c r="A198" s="63" t="s">
        <v>686</v>
      </c>
      <c r="B198" s="63" t="s">
        <v>125</v>
      </c>
      <c r="C198" s="63" t="s">
        <v>618</v>
      </c>
      <c r="D198" s="63" t="s">
        <v>17</v>
      </c>
      <c r="E198" s="63" t="s">
        <v>619</v>
      </c>
      <c r="F198" s="63" t="s">
        <v>18</v>
      </c>
      <c r="G198" s="63" t="s">
        <v>19</v>
      </c>
    </row>
    <row r="199" spans="1:7" ht="40.15" customHeight="1" x14ac:dyDescent="0.15">
      <c r="A199" s="63" t="s">
        <v>687</v>
      </c>
      <c r="B199" s="63" t="s">
        <v>125</v>
      </c>
      <c r="C199" s="63" t="s">
        <v>618</v>
      </c>
      <c r="D199" s="63" t="s">
        <v>17</v>
      </c>
      <c r="E199" s="63" t="s">
        <v>619</v>
      </c>
      <c r="F199" s="63" t="s">
        <v>18</v>
      </c>
      <c r="G199" s="63" t="s">
        <v>19</v>
      </c>
    </row>
    <row r="200" spans="1:7" ht="40.15" customHeight="1" x14ac:dyDescent="0.15">
      <c r="A200" s="63" t="s">
        <v>688</v>
      </c>
      <c r="B200" s="63" t="s">
        <v>125</v>
      </c>
      <c r="C200" s="63" t="s">
        <v>618</v>
      </c>
      <c r="D200" s="63" t="s">
        <v>17</v>
      </c>
      <c r="E200" s="63" t="s">
        <v>619</v>
      </c>
      <c r="F200" s="63" t="s">
        <v>18</v>
      </c>
      <c r="G200" s="63" t="s">
        <v>19</v>
      </c>
    </row>
    <row r="201" spans="1:7" ht="40.15" customHeight="1" x14ac:dyDescent="0.15">
      <c r="A201" s="63" t="s">
        <v>689</v>
      </c>
      <c r="B201" s="63" t="s">
        <v>125</v>
      </c>
      <c r="C201" s="63" t="s">
        <v>618</v>
      </c>
      <c r="D201" s="63" t="s">
        <v>17</v>
      </c>
      <c r="E201" s="63" t="s">
        <v>619</v>
      </c>
      <c r="F201" s="63" t="s">
        <v>18</v>
      </c>
      <c r="G201" s="63" t="s">
        <v>19</v>
      </c>
    </row>
    <row r="202" spans="1:7" ht="40.15" customHeight="1" x14ac:dyDescent="0.15">
      <c r="A202" s="63" t="s">
        <v>690</v>
      </c>
      <c r="B202" s="63" t="s">
        <v>125</v>
      </c>
      <c r="C202" s="63" t="s">
        <v>618</v>
      </c>
      <c r="D202" s="63" t="s">
        <v>17</v>
      </c>
      <c r="E202" s="63" t="s">
        <v>619</v>
      </c>
      <c r="F202" s="63" t="s">
        <v>18</v>
      </c>
      <c r="G202" s="63" t="s">
        <v>19</v>
      </c>
    </row>
    <row r="203" spans="1:7" ht="40.15" customHeight="1" x14ac:dyDescent="0.15">
      <c r="A203" s="63" t="s">
        <v>691</v>
      </c>
      <c r="B203" s="63" t="s">
        <v>125</v>
      </c>
      <c r="C203" s="63" t="s">
        <v>618</v>
      </c>
      <c r="D203" s="63" t="s">
        <v>17</v>
      </c>
      <c r="E203" s="63" t="s">
        <v>619</v>
      </c>
      <c r="F203" s="63" t="s">
        <v>18</v>
      </c>
      <c r="G203" s="63" t="s">
        <v>19</v>
      </c>
    </row>
    <row r="204" spans="1:7" ht="40.15" customHeight="1" x14ac:dyDescent="0.15">
      <c r="A204" s="63" t="s">
        <v>692</v>
      </c>
      <c r="B204" s="63" t="s">
        <v>125</v>
      </c>
      <c r="C204" s="63" t="s">
        <v>618</v>
      </c>
      <c r="D204" s="63" t="s">
        <v>17</v>
      </c>
      <c r="E204" s="63" t="s">
        <v>619</v>
      </c>
      <c r="F204" s="63" t="s">
        <v>18</v>
      </c>
      <c r="G204" s="63" t="s">
        <v>19</v>
      </c>
    </row>
    <row r="205" spans="1:7" ht="40.15" customHeight="1" x14ac:dyDescent="0.15">
      <c r="A205" s="63" t="s">
        <v>693</v>
      </c>
      <c r="B205" s="63" t="s">
        <v>125</v>
      </c>
      <c r="C205" s="63" t="s">
        <v>618</v>
      </c>
      <c r="D205" s="63" t="s">
        <v>17</v>
      </c>
      <c r="E205" s="63" t="s">
        <v>619</v>
      </c>
      <c r="F205" s="63" t="s">
        <v>18</v>
      </c>
      <c r="G205" s="63" t="s">
        <v>19</v>
      </c>
    </row>
    <row r="206" spans="1:7" ht="40.15" customHeight="1" x14ac:dyDescent="0.15">
      <c r="A206" s="63" t="s">
        <v>694</v>
      </c>
      <c r="B206" s="63" t="s">
        <v>125</v>
      </c>
      <c r="C206" s="63" t="s">
        <v>618</v>
      </c>
      <c r="D206" s="63" t="s">
        <v>17</v>
      </c>
      <c r="E206" s="63" t="s">
        <v>619</v>
      </c>
      <c r="F206" s="63" t="s">
        <v>18</v>
      </c>
      <c r="G206" s="63" t="s">
        <v>19</v>
      </c>
    </row>
    <row r="207" spans="1:7" ht="40.15" customHeight="1" x14ac:dyDescent="0.15">
      <c r="A207" s="63" t="s">
        <v>695</v>
      </c>
      <c r="B207" s="63" t="s">
        <v>125</v>
      </c>
      <c r="C207" s="63" t="s">
        <v>618</v>
      </c>
      <c r="D207" s="63" t="s">
        <v>17</v>
      </c>
      <c r="E207" s="63" t="s">
        <v>619</v>
      </c>
      <c r="F207" s="63" t="s">
        <v>18</v>
      </c>
      <c r="G207" s="63" t="s">
        <v>19</v>
      </c>
    </row>
    <row r="208" spans="1:7" ht="40.15" customHeight="1" x14ac:dyDescent="0.15">
      <c r="A208" s="63" t="s">
        <v>696</v>
      </c>
      <c r="B208" s="63" t="s">
        <v>125</v>
      </c>
      <c r="C208" s="63" t="s">
        <v>618</v>
      </c>
      <c r="D208" s="63" t="s">
        <v>17</v>
      </c>
      <c r="E208" s="63" t="s">
        <v>619</v>
      </c>
      <c r="F208" s="63" t="s">
        <v>18</v>
      </c>
      <c r="G208" s="63" t="s">
        <v>19</v>
      </c>
    </row>
    <row r="209" spans="1:7" ht="40.15" customHeight="1" x14ac:dyDescent="0.15">
      <c r="A209" s="63" t="s">
        <v>697</v>
      </c>
      <c r="B209" s="63" t="s">
        <v>125</v>
      </c>
      <c r="C209" s="63" t="s">
        <v>618</v>
      </c>
      <c r="D209" s="63" t="s">
        <v>17</v>
      </c>
      <c r="E209" s="63" t="s">
        <v>619</v>
      </c>
      <c r="F209" s="63" t="s">
        <v>18</v>
      </c>
      <c r="G209" s="63" t="s">
        <v>19</v>
      </c>
    </row>
    <row r="210" spans="1:7" ht="40.15" customHeight="1" x14ac:dyDescent="0.15">
      <c r="A210" s="63" t="s">
        <v>698</v>
      </c>
      <c r="B210" s="63" t="s">
        <v>125</v>
      </c>
      <c r="C210" s="63" t="s">
        <v>618</v>
      </c>
      <c r="D210" s="63" t="s">
        <v>17</v>
      </c>
      <c r="E210" s="63" t="s">
        <v>619</v>
      </c>
      <c r="F210" s="63" t="s">
        <v>18</v>
      </c>
      <c r="G210" s="63" t="s">
        <v>19</v>
      </c>
    </row>
    <row r="211" spans="1:7" ht="30" customHeight="1" x14ac:dyDescent="0.15">
      <c r="A211" s="63" t="s">
        <v>699</v>
      </c>
      <c r="B211" s="63" t="s">
        <v>125</v>
      </c>
      <c r="C211" s="63" t="s">
        <v>618</v>
      </c>
      <c r="D211" s="63" t="s">
        <v>17</v>
      </c>
      <c r="E211" s="63" t="s">
        <v>619</v>
      </c>
      <c r="F211" s="63" t="s">
        <v>18</v>
      </c>
      <c r="G211" s="63" t="s">
        <v>19</v>
      </c>
    </row>
    <row r="212" spans="1:7" ht="30" customHeight="1" x14ac:dyDescent="0.15">
      <c r="A212" s="63" t="s">
        <v>700</v>
      </c>
      <c r="B212" s="63" t="s">
        <v>126</v>
      </c>
      <c r="C212" s="63" t="s">
        <v>618</v>
      </c>
      <c r="D212" s="63" t="s">
        <v>17</v>
      </c>
      <c r="E212" s="63" t="s">
        <v>619</v>
      </c>
      <c r="F212" s="63" t="s">
        <v>18</v>
      </c>
      <c r="G212" s="63" t="s">
        <v>19</v>
      </c>
    </row>
    <row r="213" spans="1:7" ht="30" customHeight="1" x14ac:dyDescent="0.15">
      <c r="A213" s="63" t="s">
        <v>701</v>
      </c>
      <c r="B213" s="63" t="s">
        <v>126</v>
      </c>
      <c r="C213" s="63" t="s">
        <v>618</v>
      </c>
      <c r="D213" s="63" t="s">
        <v>17</v>
      </c>
      <c r="E213" s="63" t="s">
        <v>619</v>
      </c>
      <c r="F213" s="63" t="s">
        <v>18</v>
      </c>
      <c r="G213" s="63" t="s">
        <v>19</v>
      </c>
    </row>
    <row r="214" spans="1:7" ht="30" customHeight="1" x14ac:dyDescent="0.15">
      <c r="A214" s="63" t="s">
        <v>702</v>
      </c>
      <c r="B214" s="63" t="s">
        <v>126</v>
      </c>
      <c r="C214" s="63" t="s">
        <v>618</v>
      </c>
      <c r="D214" s="63" t="s">
        <v>17</v>
      </c>
      <c r="E214" s="63" t="s">
        <v>619</v>
      </c>
      <c r="F214" s="63" t="s">
        <v>18</v>
      </c>
      <c r="G214" s="63" t="s">
        <v>19</v>
      </c>
    </row>
    <row r="215" spans="1:7" ht="30" customHeight="1" x14ac:dyDescent="0.15">
      <c r="A215" s="63" t="s">
        <v>703</v>
      </c>
      <c r="B215" s="63" t="s">
        <v>126</v>
      </c>
      <c r="C215" s="63" t="s">
        <v>618</v>
      </c>
      <c r="D215" s="63" t="s">
        <v>17</v>
      </c>
      <c r="E215" s="63" t="s">
        <v>619</v>
      </c>
      <c r="F215" s="63" t="s">
        <v>18</v>
      </c>
      <c r="G215" s="63" t="s">
        <v>19</v>
      </c>
    </row>
    <row r="216" spans="1:7" ht="30" customHeight="1" x14ac:dyDescent="0.15">
      <c r="A216" s="63" t="s">
        <v>704</v>
      </c>
      <c r="B216" s="63" t="s">
        <v>126</v>
      </c>
      <c r="C216" s="63" t="s">
        <v>618</v>
      </c>
      <c r="D216" s="63" t="s">
        <v>17</v>
      </c>
      <c r="E216" s="63" t="s">
        <v>619</v>
      </c>
      <c r="F216" s="63" t="s">
        <v>18</v>
      </c>
      <c r="G216" s="63" t="s">
        <v>19</v>
      </c>
    </row>
    <row r="217" spans="1:7" ht="30" customHeight="1" x14ac:dyDescent="0.15">
      <c r="A217" s="63" t="s">
        <v>705</v>
      </c>
      <c r="B217" s="63" t="s">
        <v>126</v>
      </c>
      <c r="C217" s="63" t="s">
        <v>618</v>
      </c>
      <c r="D217" s="63" t="s">
        <v>17</v>
      </c>
      <c r="E217" s="63" t="s">
        <v>619</v>
      </c>
      <c r="F217" s="63" t="s">
        <v>18</v>
      </c>
      <c r="G217" s="63" t="s">
        <v>19</v>
      </c>
    </row>
    <row r="218" spans="1:7" ht="30" customHeight="1" x14ac:dyDescent="0.15">
      <c r="A218" s="63" t="s">
        <v>706</v>
      </c>
      <c r="B218" s="63" t="s">
        <v>126</v>
      </c>
      <c r="C218" s="63" t="s">
        <v>618</v>
      </c>
      <c r="D218" s="63" t="s">
        <v>17</v>
      </c>
      <c r="E218" s="63" t="s">
        <v>619</v>
      </c>
      <c r="F218" s="63" t="s">
        <v>18</v>
      </c>
      <c r="G218" s="63" t="s">
        <v>19</v>
      </c>
    </row>
    <row r="219" spans="1:7" ht="30" customHeight="1" x14ac:dyDescent="0.15">
      <c r="A219" s="63" t="s">
        <v>707</v>
      </c>
      <c r="B219" s="63" t="s">
        <v>126</v>
      </c>
      <c r="C219" s="63" t="s">
        <v>618</v>
      </c>
      <c r="D219" s="63" t="s">
        <v>17</v>
      </c>
      <c r="E219" s="63" t="s">
        <v>619</v>
      </c>
      <c r="F219" s="63" t="s">
        <v>18</v>
      </c>
      <c r="G219" s="63" t="s">
        <v>19</v>
      </c>
    </row>
    <row r="220" spans="1:7" ht="30" customHeight="1" x14ac:dyDescent="0.15">
      <c r="A220" s="63" t="s">
        <v>708</v>
      </c>
      <c r="B220" s="63" t="s">
        <v>126</v>
      </c>
      <c r="C220" s="63" t="s">
        <v>618</v>
      </c>
      <c r="D220" s="63" t="s">
        <v>17</v>
      </c>
      <c r="E220" s="63" t="s">
        <v>619</v>
      </c>
      <c r="F220" s="63" t="s">
        <v>18</v>
      </c>
      <c r="G220" s="63" t="s">
        <v>19</v>
      </c>
    </row>
    <row r="221" spans="1:7" ht="30" customHeight="1" x14ac:dyDescent="0.15">
      <c r="A221" s="63" t="s">
        <v>709</v>
      </c>
      <c r="B221" s="63" t="s">
        <v>126</v>
      </c>
      <c r="C221" s="63" t="s">
        <v>618</v>
      </c>
      <c r="D221" s="63" t="s">
        <v>17</v>
      </c>
      <c r="E221" s="63" t="s">
        <v>619</v>
      </c>
      <c r="F221" s="63" t="s">
        <v>18</v>
      </c>
      <c r="G221" s="63" t="s">
        <v>19</v>
      </c>
    </row>
    <row r="222" spans="1:7" ht="30" customHeight="1" x14ac:dyDescent="0.15">
      <c r="A222" s="63" t="s">
        <v>710</v>
      </c>
      <c r="B222" s="63" t="s">
        <v>126</v>
      </c>
      <c r="C222" s="63" t="s">
        <v>618</v>
      </c>
      <c r="D222" s="63" t="s">
        <v>17</v>
      </c>
      <c r="E222" s="63" t="s">
        <v>619</v>
      </c>
      <c r="F222" s="63" t="s">
        <v>18</v>
      </c>
      <c r="G222" s="63" t="s">
        <v>19</v>
      </c>
    </row>
    <row r="223" spans="1:7" ht="49.9" customHeight="1" x14ac:dyDescent="0.15">
      <c r="A223" s="63" t="s">
        <v>711</v>
      </c>
      <c r="B223" s="63" t="s">
        <v>126</v>
      </c>
      <c r="C223" s="63" t="s">
        <v>618</v>
      </c>
      <c r="D223" s="63" t="s">
        <v>17</v>
      </c>
      <c r="E223" s="63" t="s">
        <v>619</v>
      </c>
      <c r="F223" s="63" t="s">
        <v>18</v>
      </c>
      <c r="G223" s="63" t="s">
        <v>19</v>
      </c>
    </row>
    <row r="224" spans="1:7" ht="49.9" customHeight="1" x14ac:dyDescent="0.15">
      <c r="A224" s="63" t="s">
        <v>712</v>
      </c>
      <c r="B224" s="63" t="s">
        <v>127</v>
      </c>
      <c r="C224" s="63" t="s">
        <v>618</v>
      </c>
      <c r="D224" s="63" t="s">
        <v>17</v>
      </c>
      <c r="E224" s="63" t="s">
        <v>619</v>
      </c>
      <c r="F224" s="63" t="s">
        <v>18</v>
      </c>
      <c r="G224" s="63" t="s">
        <v>19</v>
      </c>
    </row>
    <row r="225" spans="1:7" ht="49.9" customHeight="1" x14ac:dyDescent="0.15">
      <c r="A225" s="63" t="s">
        <v>713</v>
      </c>
      <c r="B225" s="63" t="s">
        <v>127</v>
      </c>
      <c r="C225" s="63" t="s">
        <v>618</v>
      </c>
      <c r="D225" s="63" t="s">
        <v>17</v>
      </c>
      <c r="E225" s="63" t="s">
        <v>619</v>
      </c>
      <c r="F225" s="63" t="s">
        <v>18</v>
      </c>
      <c r="G225" s="63" t="s">
        <v>19</v>
      </c>
    </row>
    <row r="226" spans="1:7" ht="40.15" customHeight="1" x14ac:dyDescent="0.15">
      <c r="A226" s="63" t="s">
        <v>714</v>
      </c>
      <c r="B226" s="63" t="s">
        <v>127</v>
      </c>
      <c r="C226" s="63" t="s">
        <v>618</v>
      </c>
      <c r="D226" s="63" t="s">
        <v>17</v>
      </c>
      <c r="E226" s="63" t="s">
        <v>619</v>
      </c>
      <c r="F226" s="63" t="s">
        <v>18</v>
      </c>
      <c r="G226" s="63" t="s">
        <v>30</v>
      </c>
    </row>
    <row r="227" spans="1:7" ht="40.15" customHeight="1" x14ac:dyDescent="0.15">
      <c r="A227" s="63" t="s">
        <v>715</v>
      </c>
      <c r="B227" s="63" t="s">
        <v>128</v>
      </c>
      <c r="C227" s="63" t="s">
        <v>618</v>
      </c>
      <c r="D227" s="63" t="s">
        <v>17</v>
      </c>
      <c r="E227" s="63" t="s">
        <v>619</v>
      </c>
      <c r="F227" s="63" t="s">
        <v>18</v>
      </c>
      <c r="G227" s="63" t="s">
        <v>19</v>
      </c>
    </row>
    <row r="228" spans="1:7" ht="40.15" customHeight="1" x14ac:dyDescent="0.15">
      <c r="A228" s="63" t="s">
        <v>716</v>
      </c>
      <c r="B228" s="63" t="s">
        <v>128</v>
      </c>
      <c r="C228" s="63" t="s">
        <v>618</v>
      </c>
      <c r="D228" s="63" t="s">
        <v>17</v>
      </c>
      <c r="E228" s="63" t="s">
        <v>619</v>
      </c>
      <c r="F228" s="63" t="s">
        <v>18</v>
      </c>
      <c r="G228" s="63" t="s">
        <v>19</v>
      </c>
    </row>
    <row r="229" spans="1:7" ht="40.15" customHeight="1" x14ac:dyDescent="0.15">
      <c r="A229" s="63" t="s">
        <v>717</v>
      </c>
      <c r="B229" s="63" t="s">
        <v>128</v>
      </c>
      <c r="C229" s="63" t="s">
        <v>618</v>
      </c>
      <c r="D229" s="63" t="s">
        <v>17</v>
      </c>
      <c r="E229" s="63" t="s">
        <v>619</v>
      </c>
      <c r="F229" s="63" t="s">
        <v>18</v>
      </c>
      <c r="G229" s="63" t="s">
        <v>19</v>
      </c>
    </row>
    <row r="230" spans="1:7" ht="30" customHeight="1" x14ac:dyDescent="0.15">
      <c r="A230" s="63" t="s">
        <v>718</v>
      </c>
      <c r="B230" s="63" t="s">
        <v>128</v>
      </c>
      <c r="C230" s="63" t="s">
        <v>618</v>
      </c>
      <c r="D230" s="63" t="s">
        <v>17</v>
      </c>
      <c r="E230" s="63" t="s">
        <v>619</v>
      </c>
      <c r="F230" s="63" t="s">
        <v>18</v>
      </c>
      <c r="G230" s="63" t="s">
        <v>19</v>
      </c>
    </row>
    <row r="231" spans="1:7" ht="30" customHeight="1" x14ac:dyDescent="0.15">
      <c r="A231" s="63" t="s">
        <v>719</v>
      </c>
      <c r="B231" s="63" t="s">
        <v>129</v>
      </c>
      <c r="C231" s="63" t="s">
        <v>618</v>
      </c>
      <c r="D231" s="63" t="s">
        <v>17</v>
      </c>
      <c r="E231" s="63" t="s">
        <v>619</v>
      </c>
      <c r="F231" s="63" t="s">
        <v>18</v>
      </c>
      <c r="G231" s="63" t="s">
        <v>19</v>
      </c>
    </row>
    <row r="232" spans="1:7" ht="30" customHeight="1" x14ac:dyDescent="0.15">
      <c r="A232" s="63" t="s">
        <v>720</v>
      </c>
      <c r="B232" s="63" t="s">
        <v>129</v>
      </c>
      <c r="C232" s="63" t="s">
        <v>618</v>
      </c>
      <c r="D232" s="63" t="s">
        <v>17</v>
      </c>
      <c r="E232" s="63" t="s">
        <v>619</v>
      </c>
      <c r="F232" s="63" t="s">
        <v>18</v>
      </c>
      <c r="G232" s="63" t="s">
        <v>19</v>
      </c>
    </row>
    <row r="233" spans="1:7" ht="30" customHeight="1" x14ac:dyDescent="0.15">
      <c r="A233" s="63" t="s">
        <v>721</v>
      </c>
      <c r="B233" s="63" t="s">
        <v>129</v>
      </c>
      <c r="C233" s="63" t="s">
        <v>618</v>
      </c>
      <c r="D233" s="63" t="s">
        <v>17</v>
      </c>
      <c r="E233" s="63" t="s">
        <v>619</v>
      </c>
      <c r="F233" s="63" t="s">
        <v>18</v>
      </c>
      <c r="G233" s="63" t="s">
        <v>19</v>
      </c>
    </row>
    <row r="234" spans="1:7" ht="30" customHeight="1" x14ac:dyDescent="0.15">
      <c r="A234" s="63" t="s">
        <v>722</v>
      </c>
      <c r="B234" s="63" t="s">
        <v>129</v>
      </c>
      <c r="C234" s="63" t="s">
        <v>618</v>
      </c>
      <c r="D234" s="63" t="s">
        <v>17</v>
      </c>
      <c r="E234" s="63" t="s">
        <v>619</v>
      </c>
      <c r="F234" s="63" t="s">
        <v>18</v>
      </c>
      <c r="G234" s="63" t="s">
        <v>19</v>
      </c>
    </row>
    <row r="235" spans="1:7" ht="30" customHeight="1" x14ac:dyDescent="0.15">
      <c r="A235" s="63" t="s">
        <v>723</v>
      </c>
      <c r="B235" s="63" t="s">
        <v>129</v>
      </c>
      <c r="C235" s="63" t="s">
        <v>618</v>
      </c>
      <c r="D235" s="63" t="s">
        <v>17</v>
      </c>
      <c r="E235" s="63" t="s">
        <v>619</v>
      </c>
      <c r="F235" s="63" t="s">
        <v>18</v>
      </c>
      <c r="G235" s="63" t="s">
        <v>19</v>
      </c>
    </row>
    <row r="236" spans="1:7" ht="30" customHeight="1" x14ac:dyDescent="0.15">
      <c r="A236" s="63" t="s">
        <v>724</v>
      </c>
      <c r="B236" s="63" t="s">
        <v>130</v>
      </c>
      <c r="C236" s="63" t="s">
        <v>618</v>
      </c>
      <c r="D236" s="63" t="s">
        <v>17</v>
      </c>
      <c r="E236" s="63" t="s">
        <v>619</v>
      </c>
      <c r="F236" s="63" t="s">
        <v>18</v>
      </c>
      <c r="G236" s="63" t="s">
        <v>19</v>
      </c>
    </row>
    <row r="237" spans="1:7" ht="30" customHeight="1" x14ac:dyDescent="0.15">
      <c r="A237" s="63" t="s">
        <v>725</v>
      </c>
      <c r="B237" s="63" t="s">
        <v>130</v>
      </c>
      <c r="C237" s="63" t="s">
        <v>618</v>
      </c>
      <c r="D237" s="63" t="s">
        <v>17</v>
      </c>
      <c r="E237" s="63" t="s">
        <v>619</v>
      </c>
      <c r="F237" s="63" t="s">
        <v>18</v>
      </c>
      <c r="G237" s="63" t="s">
        <v>19</v>
      </c>
    </row>
    <row r="238" spans="1:7" ht="30" customHeight="1" x14ac:dyDescent="0.15">
      <c r="A238" s="63" t="s">
        <v>726</v>
      </c>
      <c r="B238" s="63" t="s">
        <v>130</v>
      </c>
      <c r="C238" s="63" t="s">
        <v>618</v>
      </c>
      <c r="D238" s="63" t="s">
        <v>17</v>
      </c>
      <c r="E238" s="63" t="s">
        <v>619</v>
      </c>
      <c r="F238" s="63" t="s">
        <v>18</v>
      </c>
      <c r="G238" s="63" t="s">
        <v>19</v>
      </c>
    </row>
    <row r="239" spans="1:7" ht="40.15" customHeight="1" x14ac:dyDescent="0.15">
      <c r="A239" s="63" t="s">
        <v>727</v>
      </c>
      <c r="B239" s="63" t="s">
        <v>130</v>
      </c>
      <c r="C239" s="63" t="s">
        <v>618</v>
      </c>
      <c r="D239" s="63" t="s">
        <v>17</v>
      </c>
      <c r="E239" s="63" t="s">
        <v>619</v>
      </c>
      <c r="F239" s="63" t="s">
        <v>18</v>
      </c>
      <c r="G239" s="63" t="s">
        <v>19</v>
      </c>
    </row>
    <row r="240" spans="1:7" ht="40.15" customHeight="1" x14ac:dyDescent="0.15">
      <c r="A240" s="63" t="s">
        <v>728</v>
      </c>
      <c r="B240" s="63" t="s">
        <v>131</v>
      </c>
      <c r="C240" s="63" t="s">
        <v>618</v>
      </c>
      <c r="D240" s="63" t="s">
        <v>17</v>
      </c>
      <c r="E240" s="63" t="s">
        <v>619</v>
      </c>
      <c r="F240" s="63" t="s">
        <v>18</v>
      </c>
      <c r="G240" s="63" t="s">
        <v>19</v>
      </c>
    </row>
    <row r="241" spans="1:7" ht="40.15" customHeight="1" x14ac:dyDescent="0.15">
      <c r="A241" s="63" t="s">
        <v>729</v>
      </c>
      <c r="B241" s="63" t="s">
        <v>131</v>
      </c>
      <c r="C241" s="63" t="s">
        <v>618</v>
      </c>
      <c r="D241" s="63" t="s">
        <v>17</v>
      </c>
      <c r="E241" s="63" t="s">
        <v>619</v>
      </c>
      <c r="F241" s="63" t="s">
        <v>18</v>
      </c>
      <c r="G241" s="63" t="s">
        <v>19</v>
      </c>
    </row>
    <row r="242" spans="1:7" ht="40.15" customHeight="1" x14ac:dyDescent="0.15">
      <c r="A242" s="63" t="s">
        <v>730</v>
      </c>
      <c r="B242" s="63" t="s">
        <v>131</v>
      </c>
      <c r="C242" s="63" t="s">
        <v>618</v>
      </c>
      <c r="D242" s="63" t="s">
        <v>17</v>
      </c>
      <c r="E242" s="63" t="s">
        <v>619</v>
      </c>
      <c r="F242" s="63" t="s">
        <v>18</v>
      </c>
      <c r="G242" s="63" t="s">
        <v>19</v>
      </c>
    </row>
    <row r="243" spans="1:7" ht="30" customHeight="1" x14ac:dyDescent="0.15">
      <c r="A243" s="63" t="s">
        <v>731</v>
      </c>
      <c r="B243" s="63" t="s">
        <v>131</v>
      </c>
      <c r="C243" s="63" t="s">
        <v>618</v>
      </c>
      <c r="D243" s="63" t="s">
        <v>17</v>
      </c>
      <c r="E243" s="63" t="s">
        <v>619</v>
      </c>
      <c r="F243" s="63" t="s">
        <v>18</v>
      </c>
      <c r="G243" s="63" t="s">
        <v>19</v>
      </c>
    </row>
    <row r="244" spans="1:7" ht="30" customHeight="1" x14ac:dyDescent="0.15">
      <c r="A244" s="63" t="s">
        <v>732</v>
      </c>
      <c r="B244" s="63" t="s">
        <v>132</v>
      </c>
      <c r="C244" s="63" t="s">
        <v>618</v>
      </c>
      <c r="D244" s="63" t="s">
        <v>17</v>
      </c>
      <c r="E244" s="63" t="s">
        <v>619</v>
      </c>
      <c r="F244" s="63" t="s">
        <v>18</v>
      </c>
      <c r="G244" s="63" t="s">
        <v>19</v>
      </c>
    </row>
    <row r="245" spans="1:7" ht="30" customHeight="1" x14ac:dyDescent="0.15">
      <c r="A245" s="63" t="s">
        <v>733</v>
      </c>
      <c r="B245" s="63" t="s">
        <v>132</v>
      </c>
      <c r="C245" s="63" t="s">
        <v>618</v>
      </c>
      <c r="D245" s="63" t="s">
        <v>17</v>
      </c>
      <c r="E245" s="63" t="s">
        <v>619</v>
      </c>
      <c r="F245" s="63" t="s">
        <v>18</v>
      </c>
      <c r="G245" s="63" t="s">
        <v>19</v>
      </c>
    </row>
    <row r="246" spans="1:7" ht="40.15" customHeight="1" x14ac:dyDescent="0.15">
      <c r="A246" s="63" t="s">
        <v>734</v>
      </c>
      <c r="B246" s="63" t="s">
        <v>132</v>
      </c>
      <c r="C246" s="63" t="s">
        <v>618</v>
      </c>
      <c r="D246" s="63" t="s">
        <v>17</v>
      </c>
      <c r="E246" s="63" t="s">
        <v>619</v>
      </c>
      <c r="F246" s="63" t="s">
        <v>18</v>
      </c>
      <c r="G246" s="63" t="s">
        <v>19</v>
      </c>
    </row>
    <row r="247" spans="1:7" ht="40.15" customHeight="1" x14ac:dyDescent="0.15">
      <c r="A247" s="63" t="s">
        <v>735</v>
      </c>
      <c r="B247" s="63" t="s">
        <v>133</v>
      </c>
      <c r="C247" s="63" t="s">
        <v>618</v>
      </c>
      <c r="D247" s="63" t="s">
        <v>17</v>
      </c>
      <c r="E247" s="63" t="s">
        <v>619</v>
      </c>
      <c r="F247" s="63" t="s">
        <v>18</v>
      </c>
      <c r="G247" s="63" t="s">
        <v>19</v>
      </c>
    </row>
    <row r="248" spans="1:7" ht="40.15" customHeight="1" x14ac:dyDescent="0.15">
      <c r="A248" s="63" t="s">
        <v>736</v>
      </c>
      <c r="B248" s="63" t="s">
        <v>134</v>
      </c>
      <c r="C248" s="63" t="s">
        <v>618</v>
      </c>
      <c r="D248" s="63" t="s">
        <v>17</v>
      </c>
      <c r="E248" s="63" t="s">
        <v>619</v>
      </c>
      <c r="F248" s="63" t="s">
        <v>18</v>
      </c>
      <c r="G248" s="63" t="s">
        <v>19</v>
      </c>
    </row>
    <row r="249" spans="1:7" ht="40.15" customHeight="1" x14ac:dyDescent="0.15">
      <c r="A249" s="63" t="s">
        <v>737</v>
      </c>
      <c r="B249" s="63" t="s">
        <v>134</v>
      </c>
      <c r="C249" s="63" t="s">
        <v>618</v>
      </c>
      <c r="D249" s="63" t="s">
        <v>17</v>
      </c>
      <c r="E249" s="63" t="s">
        <v>619</v>
      </c>
      <c r="F249" s="63" t="s">
        <v>18</v>
      </c>
      <c r="G249" s="63" t="s">
        <v>19</v>
      </c>
    </row>
    <row r="250" spans="1:7" ht="40.15" customHeight="1" x14ac:dyDescent="0.15">
      <c r="A250" s="63" t="s">
        <v>738</v>
      </c>
      <c r="B250" s="63" t="s">
        <v>134</v>
      </c>
      <c r="C250" s="63" t="s">
        <v>618</v>
      </c>
      <c r="D250" s="63" t="s">
        <v>17</v>
      </c>
      <c r="E250" s="63" t="s">
        <v>619</v>
      </c>
      <c r="F250" s="63" t="s">
        <v>18</v>
      </c>
      <c r="G250" s="63" t="s">
        <v>19</v>
      </c>
    </row>
    <row r="251" spans="1:7" ht="40.15" customHeight="1" x14ac:dyDescent="0.15">
      <c r="A251" s="63" t="s">
        <v>739</v>
      </c>
      <c r="B251" s="63" t="s">
        <v>134</v>
      </c>
      <c r="C251" s="63" t="s">
        <v>618</v>
      </c>
      <c r="D251" s="63" t="s">
        <v>17</v>
      </c>
      <c r="E251" s="63" t="s">
        <v>619</v>
      </c>
      <c r="F251" s="63" t="s">
        <v>18</v>
      </c>
      <c r="G251" s="63" t="s">
        <v>19</v>
      </c>
    </row>
    <row r="252" spans="1:7" ht="40.15" customHeight="1" x14ac:dyDescent="0.15">
      <c r="A252" s="63" t="s">
        <v>740</v>
      </c>
      <c r="B252" s="63" t="s">
        <v>134</v>
      </c>
      <c r="C252" s="63" t="s">
        <v>618</v>
      </c>
      <c r="D252" s="63" t="s">
        <v>17</v>
      </c>
      <c r="E252" s="63" t="s">
        <v>619</v>
      </c>
      <c r="F252" s="63" t="s">
        <v>18</v>
      </c>
      <c r="G252" s="63" t="s">
        <v>19</v>
      </c>
    </row>
    <row r="253" spans="1:7" ht="40.15" customHeight="1" x14ac:dyDescent="0.15">
      <c r="A253" s="63" t="s">
        <v>741</v>
      </c>
      <c r="B253" s="63" t="s">
        <v>134</v>
      </c>
      <c r="C253" s="63" t="s">
        <v>618</v>
      </c>
      <c r="D253" s="63" t="s">
        <v>17</v>
      </c>
      <c r="E253" s="63" t="s">
        <v>619</v>
      </c>
      <c r="F253" s="63" t="s">
        <v>18</v>
      </c>
      <c r="G253" s="63" t="s">
        <v>19</v>
      </c>
    </row>
    <row r="254" spans="1:7" ht="40.15" customHeight="1" x14ac:dyDescent="0.15">
      <c r="A254" s="63" t="s">
        <v>742</v>
      </c>
      <c r="B254" s="63" t="s">
        <v>134</v>
      </c>
      <c r="C254" s="63" t="s">
        <v>618</v>
      </c>
      <c r="D254" s="63" t="s">
        <v>17</v>
      </c>
      <c r="E254" s="63" t="s">
        <v>619</v>
      </c>
      <c r="F254" s="63" t="s">
        <v>18</v>
      </c>
      <c r="G254" s="63" t="s">
        <v>19</v>
      </c>
    </row>
    <row r="255" spans="1:7" ht="30" customHeight="1" x14ac:dyDescent="0.15">
      <c r="A255" s="63" t="s">
        <v>743</v>
      </c>
      <c r="B255" s="63" t="s">
        <v>134</v>
      </c>
      <c r="C255" s="63" t="s">
        <v>618</v>
      </c>
      <c r="D255" s="63" t="s">
        <v>17</v>
      </c>
      <c r="E255" s="63" t="s">
        <v>619</v>
      </c>
      <c r="F255" s="63" t="s">
        <v>18</v>
      </c>
      <c r="G255" s="63" t="s">
        <v>19</v>
      </c>
    </row>
    <row r="256" spans="1:7" ht="30" customHeight="1" x14ac:dyDescent="0.15">
      <c r="A256" s="63" t="s">
        <v>744</v>
      </c>
      <c r="B256" s="63" t="s">
        <v>135</v>
      </c>
      <c r="C256" s="63" t="s">
        <v>618</v>
      </c>
      <c r="D256" s="63" t="s">
        <v>17</v>
      </c>
      <c r="E256" s="63" t="s">
        <v>619</v>
      </c>
      <c r="F256" s="63" t="s">
        <v>18</v>
      </c>
      <c r="G256" s="63" t="s">
        <v>19</v>
      </c>
    </row>
    <row r="257" spans="1:7" ht="30" customHeight="1" x14ac:dyDescent="0.15">
      <c r="A257" s="63" t="s">
        <v>745</v>
      </c>
      <c r="B257" s="63" t="s">
        <v>136</v>
      </c>
      <c r="C257" s="63" t="s">
        <v>618</v>
      </c>
      <c r="D257" s="63" t="s">
        <v>17</v>
      </c>
      <c r="E257" s="63" t="s">
        <v>619</v>
      </c>
      <c r="F257" s="63" t="s">
        <v>18</v>
      </c>
      <c r="G257" s="63" t="s">
        <v>19</v>
      </c>
    </row>
    <row r="258" spans="1:7" ht="30" customHeight="1" x14ac:dyDescent="0.15">
      <c r="A258" s="63" t="s">
        <v>746</v>
      </c>
      <c r="B258" s="63" t="s">
        <v>136</v>
      </c>
      <c r="C258" s="63" t="s">
        <v>618</v>
      </c>
      <c r="D258" s="63" t="s">
        <v>17</v>
      </c>
      <c r="E258" s="63" t="s">
        <v>619</v>
      </c>
      <c r="F258" s="63" t="s">
        <v>18</v>
      </c>
      <c r="G258" s="63" t="s">
        <v>19</v>
      </c>
    </row>
    <row r="259" spans="1:7" ht="30" customHeight="1" x14ac:dyDescent="0.15">
      <c r="A259" s="63" t="s">
        <v>747</v>
      </c>
      <c r="B259" s="63" t="s">
        <v>136</v>
      </c>
      <c r="C259" s="63" t="s">
        <v>618</v>
      </c>
      <c r="D259" s="63" t="s">
        <v>17</v>
      </c>
      <c r="E259" s="63" t="s">
        <v>619</v>
      </c>
      <c r="F259" s="63" t="s">
        <v>18</v>
      </c>
      <c r="G259" s="63" t="s">
        <v>19</v>
      </c>
    </row>
    <row r="260" spans="1:7" ht="30" customHeight="1" x14ac:dyDescent="0.15">
      <c r="A260" s="63" t="s">
        <v>748</v>
      </c>
      <c r="B260" s="63" t="s">
        <v>136</v>
      </c>
      <c r="C260" s="63" t="s">
        <v>618</v>
      </c>
      <c r="D260" s="63" t="s">
        <v>17</v>
      </c>
      <c r="E260" s="63" t="s">
        <v>619</v>
      </c>
      <c r="F260" s="63" t="s">
        <v>18</v>
      </c>
      <c r="G260" s="63" t="s">
        <v>19</v>
      </c>
    </row>
    <row r="261" spans="1:7" ht="30" customHeight="1" x14ac:dyDescent="0.15">
      <c r="A261" s="63" t="s">
        <v>749</v>
      </c>
      <c r="B261" s="63" t="s">
        <v>136</v>
      </c>
      <c r="C261" s="63" t="s">
        <v>618</v>
      </c>
      <c r="D261" s="63" t="s">
        <v>17</v>
      </c>
      <c r="E261" s="63" t="s">
        <v>619</v>
      </c>
      <c r="F261" s="63" t="s">
        <v>18</v>
      </c>
      <c r="G261" s="63" t="s">
        <v>19</v>
      </c>
    </row>
    <row r="262" spans="1:7" ht="30" customHeight="1" x14ac:dyDescent="0.15">
      <c r="A262" s="63" t="s">
        <v>750</v>
      </c>
      <c r="B262" s="63" t="s">
        <v>136</v>
      </c>
      <c r="C262" s="63" t="s">
        <v>618</v>
      </c>
      <c r="D262" s="63" t="s">
        <v>17</v>
      </c>
      <c r="E262" s="63" t="s">
        <v>619</v>
      </c>
      <c r="F262" s="63" t="s">
        <v>18</v>
      </c>
      <c r="G262" s="63" t="s">
        <v>19</v>
      </c>
    </row>
    <row r="263" spans="1:7" ht="30" customHeight="1" x14ac:dyDescent="0.15">
      <c r="A263" s="63" t="s">
        <v>751</v>
      </c>
      <c r="B263" s="63" t="s">
        <v>136</v>
      </c>
      <c r="C263" s="63" t="s">
        <v>618</v>
      </c>
      <c r="D263" s="63" t="s">
        <v>17</v>
      </c>
      <c r="E263" s="63" t="s">
        <v>619</v>
      </c>
      <c r="F263" s="63" t="s">
        <v>18</v>
      </c>
      <c r="G263" s="63" t="s">
        <v>19</v>
      </c>
    </row>
    <row r="264" spans="1:7" ht="30" customHeight="1" x14ac:dyDescent="0.15">
      <c r="A264" s="63" t="s">
        <v>752</v>
      </c>
      <c r="B264" s="63" t="s">
        <v>136</v>
      </c>
      <c r="C264" s="63" t="s">
        <v>618</v>
      </c>
      <c r="D264" s="63" t="s">
        <v>17</v>
      </c>
      <c r="E264" s="63" t="s">
        <v>619</v>
      </c>
      <c r="F264" s="63" t="s">
        <v>18</v>
      </c>
      <c r="G264" s="63" t="s">
        <v>19</v>
      </c>
    </row>
    <row r="265" spans="1:7" ht="30" customHeight="1" x14ac:dyDescent="0.15">
      <c r="A265" s="63" t="s">
        <v>753</v>
      </c>
      <c r="B265" s="63" t="s">
        <v>136</v>
      </c>
      <c r="C265" s="63" t="s">
        <v>618</v>
      </c>
      <c r="D265" s="63" t="s">
        <v>17</v>
      </c>
      <c r="E265" s="63" t="s">
        <v>619</v>
      </c>
      <c r="F265" s="63" t="s">
        <v>18</v>
      </c>
      <c r="G265" s="63" t="s">
        <v>19</v>
      </c>
    </row>
    <row r="266" spans="1:7" ht="30" customHeight="1" x14ac:dyDescent="0.15">
      <c r="A266" s="63" t="s">
        <v>754</v>
      </c>
      <c r="B266" s="63" t="s">
        <v>136</v>
      </c>
      <c r="C266" s="63" t="s">
        <v>618</v>
      </c>
      <c r="D266" s="63" t="s">
        <v>17</v>
      </c>
      <c r="E266" s="63" t="s">
        <v>619</v>
      </c>
      <c r="F266" s="63" t="s">
        <v>18</v>
      </c>
      <c r="G266" s="63" t="s">
        <v>19</v>
      </c>
    </row>
    <row r="267" spans="1:7" ht="30" customHeight="1" x14ac:dyDescent="0.15">
      <c r="A267" s="63" t="s">
        <v>755</v>
      </c>
      <c r="B267" s="63" t="s">
        <v>136</v>
      </c>
      <c r="C267" s="63" t="s">
        <v>618</v>
      </c>
      <c r="D267" s="63" t="s">
        <v>17</v>
      </c>
      <c r="E267" s="63" t="s">
        <v>619</v>
      </c>
      <c r="F267" s="63" t="s">
        <v>18</v>
      </c>
      <c r="G267" s="63" t="s">
        <v>19</v>
      </c>
    </row>
    <row r="268" spans="1:7" ht="30" customHeight="1" x14ac:dyDescent="0.15">
      <c r="A268" s="63" t="s">
        <v>756</v>
      </c>
      <c r="B268" s="63" t="s">
        <v>136</v>
      </c>
      <c r="C268" s="63" t="s">
        <v>618</v>
      </c>
      <c r="D268" s="63" t="s">
        <v>17</v>
      </c>
      <c r="E268" s="63" t="s">
        <v>619</v>
      </c>
      <c r="F268" s="63" t="s">
        <v>18</v>
      </c>
      <c r="G268" s="63" t="s">
        <v>19</v>
      </c>
    </row>
    <row r="269" spans="1:7" ht="30" customHeight="1" x14ac:dyDescent="0.15">
      <c r="A269" s="63" t="s">
        <v>757</v>
      </c>
      <c r="B269" s="63" t="s">
        <v>136</v>
      </c>
      <c r="C269" s="63" t="s">
        <v>618</v>
      </c>
      <c r="D269" s="63" t="s">
        <v>17</v>
      </c>
      <c r="E269" s="63" t="s">
        <v>619</v>
      </c>
      <c r="F269" s="63" t="s">
        <v>18</v>
      </c>
      <c r="G269" s="63" t="s">
        <v>19</v>
      </c>
    </row>
    <row r="270" spans="1:7" ht="30" customHeight="1" x14ac:dyDescent="0.15">
      <c r="A270" s="63" t="s">
        <v>758</v>
      </c>
      <c r="B270" s="63" t="s">
        <v>136</v>
      </c>
      <c r="C270" s="63" t="s">
        <v>618</v>
      </c>
      <c r="D270" s="63" t="s">
        <v>17</v>
      </c>
      <c r="E270" s="63" t="s">
        <v>619</v>
      </c>
      <c r="F270" s="63" t="s">
        <v>18</v>
      </c>
      <c r="G270" s="63" t="s">
        <v>19</v>
      </c>
    </row>
    <row r="271" spans="1:7" ht="30" customHeight="1" x14ac:dyDescent="0.15">
      <c r="A271" s="63" t="s">
        <v>759</v>
      </c>
      <c r="B271" s="63" t="s">
        <v>136</v>
      </c>
      <c r="C271" s="63" t="s">
        <v>618</v>
      </c>
      <c r="D271" s="63" t="s">
        <v>17</v>
      </c>
      <c r="E271" s="63" t="s">
        <v>619</v>
      </c>
      <c r="F271" s="63" t="s">
        <v>18</v>
      </c>
      <c r="G271" s="63" t="s">
        <v>19</v>
      </c>
    </row>
    <row r="272" spans="1:7" ht="30" customHeight="1" x14ac:dyDescent="0.15">
      <c r="A272" s="63" t="s">
        <v>760</v>
      </c>
      <c r="B272" s="63" t="s">
        <v>136</v>
      </c>
      <c r="C272" s="63" t="s">
        <v>618</v>
      </c>
      <c r="D272" s="63" t="s">
        <v>17</v>
      </c>
      <c r="E272" s="63" t="s">
        <v>619</v>
      </c>
      <c r="F272" s="63" t="s">
        <v>18</v>
      </c>
      <c r="G272" s="63" t="s">
        <v>19</v>
      </c>
    </row>
    <row r="273" spans="1:7" ht="30" customHeight="1" x14ac:dyDescent="0.15">
      <c r="A273" s="63" t="s">
        <v>761</v>
      </c>
      <c r="B273" s="63" t="s">
        <v>137</v>
      </c>
      <c r="C273" s="63" t="s">
        <v>618</v>
      </c>
      <c r="D273" s="63" t="s">
        <v>17</v>
      </c>
      <c r="E273" s="63" t="s">
        <v>619</v>
      </c>
      <c r="F273" s="63" t="s">
        <v>18</v>
      </c>
      <c r="G273" s="63" t="s">
        <v>19</v>
      </c>
    </row>
    <row r="274" spans="1:7" ht="30" customHeight="1" x14ac:dyDescent="0.15">
      <c r="A274" s="63" t="s">
        <v>762</v>
      </c>
      <c r="B274" s="63" t="s">
        <v>137</v>
      </c>
      <c r="C274" s="63" t="s">
        <v>618</v>
      </c>
      <c r="D274" s="63" t="s">
        <v>17</v>
      </c>
      <c r="E274" s="63" t="s">
        <v>619</v>
      </c>
      <c r="F274" s="63" t="s">
        <v>18</v>
      </c>
      <c r="G274" s="63" t="s">
        <v>19</v>
      </c>
    </row>
    <row r="275" spans="1:7" ht="30" customHeight="1" x14ac:dyDescent="0.15">
      <c r="A275" s="63" t="s">
        <v>763</v>
      </c>
      <c r="B275" s="63" t="s">
        <v>137</v>
      </c>
      <c r="C275" s="63" t="s">
        <v>618</v>
      </c>
      <c r="D275" s="63" t="s">
        <v>17</v>
      </c>
      <c r="E275" s="63" t="s">
        <v>619</v>
      </c>
      <c r="F275" s="63" t="s">
        <v>18</v>
      </c>
      <c r="G275" s="63" t="s">
        <v>19</v>
      </c>
    </row>
    <row r="276" spans="1:7" ht="30" customHeight="1" x14ac:dyDescent="0.15">
      <c r="A276" s="63" t="s">
        <v>764</v>
      </c>
      <c r="B276" s="63" t="s">
        <v>137</v>
      </c>
      <c r="C276" s="63" t="s">
        <v>618</v>
      </c>
      <c r="D276" s="63" t="s">
        <v>17</v>
      </c>
      <c r="E276" s="63" t="s">
        <v>619</v>
      </c>
      <c r="F276" s="63" t="s">
        <v>18</v>
      </c>
      <c r="G276" s="63" t="s">
        <v>19</v>
      </c>
    </row>
    <row r="277" spans="1:7" ht="30" customHeight="1" x14ac:dyDescent="0.15">
      <c r="A277" s="63" t="s">
        <v>765</v>
      </c>
      <c r="B277" s="63" t="s">
        <v>137</v>
      </c>
      <c r="C277" s="63" t="s">
        <v>618</v>
      </c>
      <c r="D277" s="63" t="s">
        <v>17</v>
      </c>
      <c r="E277" s="63" t="s">
        <v>619</v>
      </c>
      <c r="F277" s="63" t="s">
        <v>18</v>
      </c>
      <c r="G277" s="63" t="s">
        <v>19</v>
      </c>
    </row>
    <row r="278" spans="1:7" ht="30" customHeight="1" x14ac:dyDescent="0.15">
      <c r="A278" s="63" t="s">
        <v>766</v>
      </c>
      <c r="B278" s="63" t="s">
        <v>137</v>
      </c>
      <c r="C278" s="63" t="s">
        <v>618</v>
      </c>
      <c r="D278" s="63" t="s">
        <v>17</v>
      </c>
      <c r="E278" s="63" t="s">
        <v>619</v>
      </c>
      <c r="F278" s="63" t="s">
        <v>18</v>
      </c>
      <c r="G278" s="63" t="s">
        <v>19</v>
      </c>
    </row>
    <row r="279" spans="1:7" ht="30" customHeight="1" x14ac:dyDescent="0.15">
      <c r="A279" s="63" t="s">
        <v>767</v>
      </c>
      <c r="B279" s="63" t="s">
        <v>137</v>
      </c>
      <c r="C279" s="63" t="s">
        <v>618</v>
      </c>
      <c r="D279" s="63" t="s">
        <v>17</v>
      </c>
      <c r="E279" s="63" t="s">
        <v>619</v>
      </c>
      <c r="F279" s="63" t="s">
        <v>18</v>
      </c>
      <c r="G279" s="63" t="s">
        <v>19</v>
      </c>
    </row>
    <row r="280" spans="1:7" ht="30" customHeight="1" x14ac:dyDescent="0.15">
      <c r="A280" s="63" t="s">
        <v>768</v>
      </c>
      <c r="B280" s="63" t="s">
        <v>137</v>
      </c>
      <c r="C280" s="63" t="s">
        <v>618</v>
      </c>
      <c r="D280" s="63" t="s">
        <v>17</v>
      </c>
      <c r="E280" s="63" t="s">
        <v>619</v>
      </c>
      <c r="F280" s="63" t="s">
        <v>18</v>
      </c>
      <c r="G280" s="63" t="s">
        <v>19</v>
      </c>
    </row>
    <row r="281" spans="1:7" ht="30" customHeight="1" x14ac:dyDescent="0.15">
      <c r="A281" s="63" t="s">
        <v>769</v>
      </c>
      <c r="B281" s="63" t="s">
        <v>138</v>
      </c>
      <c r="C281" s="63" t="s">
        <v>618</v>
      </c>
      <c r="D281" s="63" t="s">
        <v>17</v>
      </c>
      <c r="E281" s="63" t="s">
        <v>619</v>
      </c>
      <c r="F281" s="63" t="s">
        <v>18</v>
      </c>
      <c r="G281" s="63" t="s">
        <v>19</v>
      </c>
    </row>
    <row r="282" spans="1:7" ht="30" customHeight="1" x14ac:dyDescent="0.15">
      <c r="A282" s="63" t="s">
        <v>770</v>
      </c>
      <c r="B282" s="63" t="s">
        <v>138</v>
      </c>
      <c r="C282" s="63" t="s">
        <v>618</v>
      </c>
      <c r="D282" s="63" t="s">
        <v>17</v>
      </c>
      <c r="E282" s="63" t="s">
        <v>619</v>
      </c>
      <c r="F282" s="63" t="s">
        <v>18</v>
      </c>
      <c r="G282" s="63" t="s">
        <v>19</v>
      </c>
    </row>
    <row r="283" spans="1:7" ht="30" customHeight="1" x14ac:dyDescent="0.15">
      <c r="A283" s="63" t="s">
        <v>771</v>
      </c>
      <c r="B283" s="63" t="s">
        <v>138</v>
      </c>
      <c r="C283" s="63" t="s">
        <v>618</v>
      </c>
      <c r="D283" s="63" t="s">
        <v>17</v>
      </c>
      <c r="E283" s="63" t="s">
        <v>619</v>
      </c>
      <c r="F283" s="63" t="s">
        <v>18</v>
      </c>
      <c r="G283" s="63" t="s">
        <v>19</v>
      </c>
    </row>
    <row r="284" spans="1:7" ht="30" customHeight="1" x14ac:dyDescent="0.15">
      <c r="A284" s="63" t="s">
        <v>772</v>
      </c>
      <c r="B284" s="63" t="s">
        <v>138</v>
      </c>
      <c r="C284" s="63" t="s">
        <v>618</v>
      </c>
      <c r="D284" s="63" t="s">
        <v>17</v>
      </c>
      <c r="E284" s="63" t="s">
        <v>619</v>
      </c>
      <c r="F284" s="63" t="s">
        <v>18</v>
      </c>
      <c r="G284" s="63" t="s">
        <v>19</v>
      </c>
    </row>
    <row r="285" spans="1:7" ht="30" customHeight="1" x14ac:dyDescent="0.15">
      <c r="A285" s="63" t="s">
        <v>773</v>
      </c>
      <c r="B285" s="63" t="s">
        <v>139</v>
      </c>
      <c r="C285" s="63" t="s">
        <v>618</v>
      </c>
      <c r="D285" s="63" t="s">
        <v>17</v>
      </c>
      <c r="E285" s="63" t="s">
        <v>619</v>
      </c>
      <c r="F285" s="63" t="s">
        <v>18</v>
      </c>
      <c r="G285" s="63" t="s">
        <v>19</v>
      </c>
    </row>
    <row r="286" spans="1:7" ht="30" customHeight="1" x14ac:dyDescent="0.15">
      <c r="A286" s="63" t="s">
        <v>774</v>
      </c>
      <c r="B286" s="63" t="s">
        <v>139</v>
      </c>
      <c r="C286" s="63" t="s">
        <v>618</v>
      </c>
      <c r="D286" s="63" t="s">
        <v>17</v>
      </c>
      <c r="E286" s="63" t="s">
        <v>619</v>
      </c>
      <c r="F286" s="63" t="s">
        <v>18</v>
      </c>
      <c r="G286" s="63" t="s">
        <v>19</v>
      </c>
    </row>
    <row r="287" spans="1:7" ht="30" customHeight="1" x14ac:dyDescent="0.15">
      <c r="A287" s="63" t="s">
        <v>775</v>
      </c>
      <c r="B287" s="63" t="s">
        <v>139</v>
      </c>
      <c r="C287" s="63" t="s">
        <v>618</v>
      </c>
      <c r="D287" s="63" t="s">
        <v>17</v>
      </c>
      <c r="E287" s="63" t="s">
        <v>619</v>
      </c>
      <c r="F287" s="63" t="s">
        <v>18</v>
      </c>
      <c r="G287" s="63" t="s">
        <v>19</v>
      </c>
    </row>
    <row r="288" spans="1:7" ht="30" customHeight="1" x14ac:dyDescent="0.15">
      <c r="A288" s="63" t="s">
        <v>776</v>
      </c>
      <c r="B288" s="63" t="s">
        <v>139</v>
      </c>
      <c r="C288" s="63" t="s">
        <v>618</v>
      </c>
      <c r="D288" s="63" t="s">
        <v>17</v>
      </c>
      <c r="E288" s="63" t="s">
        <v>619</v>
      </c>
      <c r="F288" s="63" t="s">
        <v>18</v>
      </c>
      <c r="G288" s="63" t="s">
        <v>19</v>
      </c>
    </row>
    <row r="289" spans="1:7" ht="30" customHeight="1" x14ac:dyDescent="0.15">
      <c r="A289" s="63" t="s">
        <v>777</v>
      </c>
      <c r="B289" s="63" t="s">
        <v>139</v>
      </c>
      <c r="C289" s="63" t="s">
        <v>618</v>
      </c>
      <c r="D289" s="63" t="s">
        <v>17</v>
      </c>
      <c r="E289" s="63" t="s">
        <v>619</v>
      </c>
      <c r="F289" s="63" t="s">
        <v>18</v>
      </c>
      <c r="G289" s="63" t="s">
        <v>19</v>
      </c>
    </row>
    <row r="290" spans="1:7" ht="30" customHeight="1" x14ac:dyDescent="0.15">
      <c r="A290" s="63" t="s">
        <v>778</v>
      </c>
      <c r="B290" s="63" t="s">
        <v>139</v>
      </c>
      <c r="C290" s="63" t="s">
        <v>618</v>
      </c>
      <c r="D290" s="63" t="s">
        <v>17</v>
      </c>
      <c r="E290" s="63" t="s">
        <v>619</v>
      </c>
      <c r="F290" s="63" t="s">
        <v>18</v>
      </c>
      <c r="G290" s="63" t="s">
        <v>19</v>
      </c>
    </row>
    <row r="291" spans="1:7" ht="30" customHeight="1" x14ac:dyDescent="0.15">
      <c r="A291" s="63" t="s">
        <v>779</v>
      </c>
      <c r="B291" s="63" t="s">
        <v>139</v>
      </c>
      <c r="C291" s="63" t="s">
        <v>618</v>
      </c>
      <c r="D291" s="63" t="s">
        <v>17</v>
      </c>
      <c r="E291" s="63" t="s">
        <v>619</v>
      </c>
      <c r="F291" s="63" t="s">
        <v>18</v>
      </c>
      <c r="G291" s="63" t="s">
        <v>19</v>
      </c>
    </row>
    <row r="292" spans="1:7" ht="30" customHeight="1" x14ac:dyDescent="0.15">
      <c r="A292" s="63" t="s">
        <v>780</v>
      </c>
      <c r="B292" s="63" t="s">
        <v>139</v>
      </c>
      <c r="C292" s="63" t="s">
        <v>618</v>
      </c>
      <c r="D292" s="63" t="s">
        <v>17</v>
      </c>
      <c r="E292" s="63" t="s">
        <v>619</v>
      </c>
      <c r="F292" s="63" t="s">
        <v>18</v>
      </c>
      <c r="G292" s="63" t="s">
        <v>19</v>
      </c>
    </row>
    <row r="293" spans="1:7" ht="30" customHeight="1" x14ac:dyDescent="0.15">
      <c r="A293" s="63" t="s">
        <v>781</v>
      </c>
      <c r="B293" s="63" t="s">
        <v>140</v>
      </c>
      <c r="C293" s="63" t="s">
        <v>618</v>
      </c>
      <c r="D293" s="63" t="s">
        <v>17</v>
      </c>
      <c r="E293" s="63" t="s">
        <v>619</v>
      </c>
      <c r="F293" s="63" t="s">
        <v>18</v>
      </c>
      <c r="G293" s="63" t="s">
        <v>19</v>
      </c>
    </row>
    <row r="294" spans="1:7" ht="30" customHeight="1" x14ac:dyDescent="0.15">
      <c r="A294" s="63" t="s">
        <v>782</v>
      </c>
      <c r="B294" s="63" t="s">
        <v>140</v>
      </c>
      <c r="C294" s="63" t="s">
        <v>618</v>
      </c>
      <c r="D294" s="63" t="s">
        <v>17</v>
      </c>
      <c r="E294" s="63" t="s">
        <v>619</v>
      </c>
      <c r="F294" s="63" t="s">
        <v>18</v>
      </c>
      <c r="G294" s="63" t="s">
        <v>19</v>
      </c>
    </row>
    <row r="295" spans="1:7" ht="30" customHeight="1" x14ac:dyDescent="0.15">
      <c r="A295" s="63" t="s">
        <v>783</v>
      </c>
      <c r="B295" s="63" t="s">
        <v>140</v>
      </c>
      <c r="C295" s="63" t="s">
        <v>618</v>
      </c>
      <c r="D295" s="63" t="s">
        <v>17</v>
      </c>
      <c r="E295" s="63" t="s">
        <v>619</v>
      </c>
      <c r="F295" s="63" t="s">
        <v>18</v>
      </c>
      <c r="G295" s="63" t="s">
        <v>19</v>
      </c>
    </row>
    <row r="296" spans="1:7" ht="40.15" customHeight="1" x14ac:dyDescent="0.15">
      <c r="A296" s="63" t="s">
        <v>784</v>
      </c>
      <c r="B296" s="63" t="s">
        <v>140</v>
      </c>
      <c r="C296" s="63" t="s">
        <v>618</v>
      </c>
      <c r="D296" s="63" t="s">
        <v>17</v>
      </c>
      <c r="E296" s="63" t="s">
        <v>619</v>
      </c>
      <c r="F296" s="63" t="s">
        <v>18</v>
      </c>
      <c r="G296" s="63" t="s">
        <v>19</v>
      </c>
    </row>
    <row r="297" spans="1:7" ht="40.15" customHeight="1" x14ac:dyDescent="0.15">
      <c r="A297" s="63" t="s">
        <v>785</v>
      </c>
      <c r="B297" s="63" t="s">
        <v>141</v>
      </c>
      <c r="C297" s="63" t="s">
        <v>618</v>
      </c>
      <c r="D297" s="63" t="s">
        <v>17</v>
      </c>
      <c r="E297" s="63" t="s">
        <v>619</v>
      </c>
      <c r="F297" s="63" t="s">
        <v>18</v>
      </c>
      <c r="G297" s="63" t="s">
        <v>19</v>
      </c>
    </row>
    <row r="298" spans="1:7" ht="40.15" customHeight="1" x14ac:dyDescent="0.15">
      <c r="A298" s="63" t="s">
        <v>786</v>
      </c>
      <c r="B298" s="63" t="s">
        <v>141</v>
      </c>
      <c r="C298" s="63" t="s">
        <v>618</v>
      </c>
      <c r="D298" s="63" t="s">
        <v>17</v>
      </c>
      <c r="E298" s="63" t="s">
        <v>619</v>
      </c>
      <c r="F298" s="63" t="s">
        <v>18</v>
      </c>
      <c r="G298" s="63" t="s">
        <v>19</v>
      </c>
    </row>
    <row r="299" spans="1:7" ht="40.15" customHeight="1" x14ac:dyDescent="0.15">
      <c r="A299" s="63" t="s">
        <v>787</v>
      </c>
      <c r="B299" s="63" t="s">
        <v>141</v>
      </c>
      <c r="C299" s="63" t="s">
        <v>618</v>
      </c>
      <c r="D299" s="63" t="s">
        <v>17</v>
      </c>
      <c r="E299" s="63" t="s">
        <v>619</v>
      </c>
      <c r="F299" s="63" t="s">
        <v>18</v>
      </c>
      <c r="G299" s="63" t="s">
        <v>19</v>
      </c>
    </row>
    <row r="300" spans="1:7" ht="19.899999999999999" customHeight="1" x14ac:dyDescent="0.15">
      <c r="A300" s="63" t="s">
        <v>788</v>
      </c>
      <c r="B300" s="63" t="s">
        <v>141</v>
      </c>
      <c r="C300" s="63" t="s">
        <v>618</v>
      </c>
      <c r="D300" s="63" t="s">
        <v>17</v>
      </c>
      <c r="E300" s="63" t="s">
        <v>619</v>
      </c>
      <c r="F300" s="63" t="s">
        <v>18</v>
      </c>
      <c r="G300" s="63" t="s">
        <v>19</v>
      </c>
    </row>
    <row r="301" spans="1:7" ht="19.899999999999999" customHeight="1" x14ac:dyDescent="0.15">
      <c r="A301" s="63" t="s">
        <v>789</v>
      </c>
      <c r="B301" s="63" t="s">
        <v>31</v>
      </c>
      <c r="C301" s="63" t="s">
        <v>618</v>
      </c>
      <c r="D301" s="63" t="s">
        <v>17</v>
      </c>
      <c r="E301" s="63" t="s">
        <v>619</v>
      </c>
      <c r="F301" s="63" t="s">
        <v>18</v>
      </c>
      <c r="G301" s="63" t="s">
        <v>19</v>
      </c>
    </row>
    <row r="302" spans="1:7" ht="19.899999999999999" customHeight="1" x14ac:dyDescent="0.15">
      <c r="A302" s="63" t="s">
        <v>790</v>
      </c>
      <c r="B302" s="63" t="s">
        <v>32</v>
      </c>
      <c r="C302" s="63" t="s">
        <v>618</v>
      </c>
      <c r="D302" s="63" t="s">
        <v>17</v>
      </c>
      <c r="E302" s="63" t="s">
        <v>619</v>
      </c>
      <c r="F302" s="63" t="s">
        <v>18</v>
      </c>
      <c r="G302" s="63" t="s">
        <v>19</v>
      </c>
    </row>
    <row r="303" spans="1:7" ht="19.899999999999999" customHeight="1" x14ac:dyDescent="0.15">
      <c r="A303" s="63" t="s">
        <v>791</v>
      </c>
      <c r="B303" s="63" t="s">
        <v>33</v>
      </c>
      <c r="C303" s="63" t="s">
        <v>618</v>
      </c>
      <c r="D303" s="63" t="s">
        <v>17</v>
      </c>
      <c r="E303" s="63" t="s">
        <v>619</v>
      </c>
      <c r="F303" s="63" t="s">
        <v>18</v>
      </c>
      <c r="G303" s="63" t="s">
        <v>19</v>
      </c>
    </row>
    <row r="304" spans="1:7" ht="19.899999999999999" customHeight="1" x14ac:dyDescent="0.15">
      <c r="A304" s="63" t="s">
        <v>792</v>
      </c>
      <c r="B304" s="63" t="s">
        <v>34</v>
      </c>
      <c r="C304" s="63" t="s">
        <v>618</v>
      </c>
      <c r="D304" s="63" t="s">
        <v>17</v>
      </c>
      <c r="E304" s="63" t="s">
        <v>619</v>
      </c>
      <c r="F304" s="63" t="s">
        <v>18</v>
      </c>
      <c r="G304" s="63" t="s">
        <v>19</v>
      </c>
    </row>
    <row r="305" spans="1:7" ht="19.899999999999999" customHeight="1" x14ac:dyDescent="0.15">
      <c r="A305" s="63" t="s">
        <v>793</v>
      </c>
      <c r="B305" s="63" t="s">
        <v>35</v>
      </c>
      <c r="C305" s="63" t="s">
        <v>618</v>
      </c>
      <c r="D305" s="63" t="s">
        <v>17</v>
      </c>
      <c r="E305" s="63" t="s">
        <v>619</v>
      </c>
      <c r="F305" s="63" t="s">
        <v>18</v>
      </c>
      <c r="G305" s="63" t="s">
        <v>19</v>
      </c>
    </row>
    <row r="306" spans="1:7" ht="19.899999999999999" customHeight="1" x14ac:dyDescent="0.15">
      <c r="A306" s="63" t="s">
        <v>794</v>
      </c>
      <c r="B306" s="63" t="s">
        <v>35</v>
      </c>
      <c r="C306" s="63" t="s">
        <v>618</v>
      </c>
      <c r="D306" s="63" t="s">
        <v>17</v>
      </c>
      <c r="E306" s="63" t="s">
        <v>619</v>
      </c>
      <c r="F306" s="63" t="s">
        <v>18</v>
      </c>
      <c r="G306" s="63" t="s">
        <v>19</v>
      </c>
    </row>
    <row r="307" spans="1:7" ht="19.899999999999999" customHeight="1" x14ac:dyDescent="0.15">
      <c r="A307" s="63" t="s">
        <v>795</v>
      </c>
      <c r="B307" s="63" t="s">
        <v>142</v>
      </c>
      <c r="C307" s="63" t="s">
        <v>618</v>
      </c>
      <c r="D307" s="63" t="s">
        <v>17</v>
      </c>
      <c r="E307" s="63" t="s">
        <v>619</v>
      </c>
      <c r="F307" s="63" t="s">
        <v>18</v>
      </c>
      <c r="G307" s="63" t="s">
        <v>19</v>
      </c>
    </row>
    <row r="308" spans="1:7" ht="40.15" customHeight="1" x14ac:dyDescent="0.15">
      <c r="A308" s="63" t="s">
        <v>796</v>
      </c>
      <c r="B308" s="63" t="s">
        <v>142</v>
      </c>
      <c r="C308" s="63" t="s">
        <v>618</v>
      </c>
      <c r="D308" s="63" t="s">
        <v>17</v>
      </c>
      <c r="E308" s="63" t="s">
        <v>619</v>
      </c>
      <c r="F308" s="63" t="s">
        <v>18</v>
      </c>
      <c r="G308" s="63" t="s">
        <v>19</v>
      </c>
    </row>
    <row r="309" spans="1:7" ht="40.15" customHeight="1" x14ac:dyDescent="0.15">
      <c r="A309" s="63" t="s">
        <v>797</v>
      </c>
      <c r="B309" s="63" t="s">
        <v>143</v>
      </c>
      <c r="C309" s="63" t="s">
        <v>618</v>
      </c>
      <c r="D309" s="63" t="s">
        <v>17</v>
      </c>
      <c r="E309" s="63" t="s">
        <v>619</v>
      </c>
      <c r="F309" s="63" t="s">
        <v>18</v>
      </c>
      <c r="G309" s="63" t="s">
        <v>19</v>
      </c>
    </row>
    <row r="310" spans="1:7" ht="40.15" customHeight="1" x14ac:dyDescent="0.15">
      <c r="A310" s="63" t="s">
        <v>798</v>
      </c>
      <c r="B310" s="63" t="s">
        <v>143</v>
      </c>
      <c r="C310" s="63" t="s">
        <v>618</v>
      </c>
      <c r="D310" s="63" t="s">
        <v>17</v>
      </c>
      <c r="E310" s="63" t="s">
        <v>619</v>
      </c>
      <c r="F310" s="63" t="s">
        <v>18</v>
      </c>
      <c r="G310" s="63" t="s">
        <v>19</v>
      </c>
    </row>
    <row r="311" spans="1:7" ht="40.15" customHeight="1" x14ac:dyDescent="0.15">
      <c r="A311" s="63" t="s">
        <v>799</v>
      </c>
      <c r="B311" s="63" t="s">
        <v>143</v>
      </c>
      <c r="C311" s="63" t="s">
        <v>618</v>
      </c>
      <c r="D311" s="63" t="s">
        <v>17</v>
      </c>
      <c r="E311" s="63" t="s">
        <v>619</v>
      </c>
      <c r="F311" s="63" t="s">
        <v>18</v>
      </c>
      <c r="G311" s="63" t="s">
        <v>19</v>
      </c>
    </row>
    <row r="312" spans="1:7" ht="30" customHeight="1" x14ac:dyDescent="0.15">
      <c r="A312" s="63" t="s">
        <v>800</v>
      </c>
      <c r="B312" s="63" t="s">
        <v>143</v>
      </c>
      <c r="C312" s="63" t="s">
        <v>618</v>
      </c>
      <c r="D312" s="63" t="s">
        <v>17</v>
      </c>
      <c r="E312" s="63" t="s">
        <v>619</v>
      </c>
      <c r="F312" s="63" t="s">
        <v>18</v>
      </c>
      <c r="G312" s="63" t="s">
        <v>19</v>
      </c>
    </row>
    <row r="313" spans="1:7" ht="40.15" customHeight="1" x14ac:dyDescent="0.15">
      <c r="A313" s="63" t="s">
        <v>801</v>
      </c>
      <c r="B313" s="63" t="s">
        <v>144</v>
      </c>
      <c r="C313" s="63" t="s">
        <v>618</v>
      </c>
      <c r="D313" s="63" t="s">
        <v>17</v>
      </c>
      <c r="E313" s="63" t="s">
        <v>619</v>
      </c>
      <c r="F313" s="63" t="s">
        <v>18</v>
      </c>
      <c r="G313" s="63" t="s">
        <v>19</v>
      </c>
    </row>
    <row r="314" spans="1:7" ht="40.15" customHeight="1" x14ac:dyDescent="0.15">
      <c r="A314" s="63" t="s">
        <v>802</v>
      </c>
      <c r="B314" s="63" t="s">
        <v>145</v>
      </c>
      <c r="C314" s="63" t="s">
        <v>618</v>
      </c>
      <c r="D314" s="63" t="s">
        <v>17</v>
      </c>
      <c r="E314" s="63" t="s">
        <v>619</v>
      </c>
      <c r="F314" s="63" t="s">
        <v>18</v>
      </c>
      <c r="G314" s="63" t="s">
        <v>19</v>
      </c>
    </row>
    <row r="315" spans="1:7" ht="40.15" customHeight="1" x14ac:dyDescent="0.15">
      <c r="A315" s="63" t="s">
        <v>803</v>
      </c>
      <c r="B315" s="63" t="s">
        <v>145</v>
      </c>
      <c r="C315" s="63" t="s">
        <v>618</v>
      </c>
      <c r="D315" s="63" t="s">
        <v>17</v>
      </c>
      <c r="E315" s="63" t="s">
        <v>619</v>
      </c>
      <c r="F315" s="63" t="s">
        <v>18</v>
      </c>
      <c r="G315" s="63" t="s">
        <v>19</v>
      </c>
    </row>
    <row r="316" spans="1:7" ht="40.15" customHeight="1" x14ac:dyDescent="0.15">
      <c r="A316" s="63" t="s">
        <v>804</v>
      </c>
      <c r="B316" s="63" t="s">
        <v>145</v>
      </c>
      <c r="C316" s="63" t="s">
        <v>618</v>
      </c>
      <c r="D316" s="63" t="s">
        <v>17</v>
      </c>
      <c r="E316" s="63" t="s">
        <v>619</v>
      </c>
      <c r="F316" s="63" t="s">
        <v>18</v>
      </c>
      <c r="G316" s="63" t="s">
        <v>19</v>
      </c>
    </row>
    <row r="317" spans="1:7" ht="40.15" customHeight="1" x14ac:dyDescent="0.15">
      <c r="A317" s="63" t="s">
        <v>805</v>
      </c>
      <c r="B317" s="63" t="s">
        <v>145</v>
      </c>
      <c r="C317" s="63" t="s">
        <v>618</v>
      </c>
      <c r="D317" s="63" t="s">
        <v>17</v>
      </c>
      <c r="E317" s="63" t="s">
        <v>619</v>
      </c>
      <c r="F317" s="63" t="s">
        <v>18</v>
      </c>
      <c r="G317" s="63" t="s">
        <v>19</v>
      </c>
    </row>
    <row r="318" spans="1:7" ht="40.15" customHeight="1" x14ac:dyDescent="0.15">
      <c r="A318" s="63" t="s">
        <v>806</v>
      </c>
      <c r="B318" s="63" t="s">
        <v>145</v>
      </c>
      <c r="C318" s="63" t="s">
        <v>618</v>
      </c>
      <c r="D318" s="63" t="s">
        <v>17</v>
      </c>
      <c r="E318" s="63" t="s">
        <v>619</v>
      </c>
      <c r="F318" s="63" t="s">
        <v>18</v>
      </c>
      <c r="G318" s="63" t="s">
        <v>19</v>
      </c>
    </row>
    <row r="319" spans="1:7" ht="40.15" customHeight="1" x14ac:dyDescent="0.15">
      <c r="A319" s="63" t="s">
        <v>807</v>
      </c>
      <c r="B319" s="63" t="s">
        <v>145</v>
      </c>
      <c r="C319" s="63" t="s">
        <v>618</v>
      </c>
      <c r="D319" s="63" t="s">
        <v>17</v>
      </c>
      <c r="E319" s="63" t="s">
        <v>619</v>
      </c>
      <c r="F319" s="63" t="s">
        <v>18</v>
      </c>
      <c r="G319" s="63" t="s">
        <v>19</v>
      </c>
    </row>
    <row r="320" spans="1:7" ht="40.15" customHeight="1" x14ac:dyDescent="0.15">
      <c r="A320" s="63" t="s">
        <v>808</v>
      </c>
      <c r="B320" s="63" t="s">
        <v>145</v>
      </c>
      <c r="C320" s="63" t="s">
        <v>618</v>
      </c>
      <c r="D320" s="63" t="s">
        <v>17</v>
      </c>
      <c r="E320" s="63" t="s">
        <v>619</v>
      </c>
      <c r="F320" s="63" t="s">
        <v>18</v>
      </c>
      <c r="G320" s="63" t="s">
        <v>19</v>
      </c>
    </row>
    <row r="321" spans="1:7" ht="40.15" customHeight="1" x14ac:dyDescent="0.15">
      <c r="A321" s="63" t="s">
        <v>809</v>
      </c>
      <c r="B321" s="63" t="s">
        <v>145</v>
      </c>
      <c r="C321" s="63" t="s">
        <v>618</v>
      </c>
      <c r="D321" s="63" t="s">
        <v>17</v>
      </c>
      <c r="E321" s="63" t="s">
        <v>619</v>
      </c>
      <c r="F321" s="63" t="s">
        <v>18</v>
      </c>
      <c r="G321" s="63" t="s">
        <v>19</v>
      </c>
    </row>
    <row r="322" spans="1:7" ht="40.15" customHeight="1" x14ac:dyDescent="0.15">
      <c r="A322" s="63" t="s">
        <v>810</v>
      </c>
      <c r="B322" s="63" t="s">
        <v>145</v>
      </c>
      <c r="C322" s="63" t="s">
        <v>618</v>
      </c>
      <c r="D322" s="63" t="s">
        <v>17</v>
      </c>
      <c r="E322" s="63" t="s">
        <v>619</v>
      </c>
      <c r="F322" s="63" t="s">
        <v>18</v>
      </c>
      <c r="G322" s="63" t="s">
        <v>19</v>
      </c>
    </row>
    <row r="323" spans="1:7" ht="40.15" customHeight="1" x14ac:dyDescent="0.15">
      <c r="A323" s="63" t="s">
        <v>811</v>
      </c>
      <c r="B323" s="63" t="s">
        <v>145</v>
      </c>
      <c r="C323" s="63" t="s">
        <v>618</v>
      </c>
      <c r="D323" s="63" t="s">
        <v>17</v>
      </c>
      <c r="E323" s="63" t="s">
        <v>619</v>
      </c>
      <c r="F323" s="63" t="s">
        <v>18</v>
      </c>
      <c r="G323" s="63" t="s">
        <v>19</v>
      </c>
    </row>
    <row r="324" spans="1:7" ht="40.15" customHeight="1" x14ac:dyDescent="0.15">
      <c r="A324" s="63" t="s">
        <v>812</v>
      </c>
      <c r="B324" s="63" t="s">
        <v>145</v>
      </c>
      <c r="C324" s="63" t="s">
        <v>618</v>
      </c>
      <c r="D324" s="63" t="s">
        <v>17</v>
      </c>
      <c r="E324" s="63" t="s">
        <v>619</v>
      </c>
      <c r="F324" s="63" t="s">
        <v>18</v>
      </c>
      <c r="G324" s="63" t="s">
        <v>19</v>
      </c>
    </row>
    <row r="325" spans="1:7" ht="40.15" customHeight="1" x14ac:dyDescent="0.15">
      <c r="A325" s="63" t="s">
        <v>813</v>
      </c>
      <c r="B325" s="63" t="s">
        <v>145</v>
      </c>
      <c r="C325" s="63" t="s">
        <v>618</v>
      </c>
      <c r="D325" s="63" t="s">
        <v>17</v>
      </c>
      <c r="E325" s="63" t="s">
        <v>619</v>
      </c>
      <c r="F325" s="63" t="s">
        <v>18</v>
      </c>
      <c r="G325" s="63" t="s">
        <v>19</v>
      </c>
    </row>
    <row r="326" spans="1:7" ht="40.15" customHeight="1" x14ac:dyDescent="0.15">
      <c r="A326" s="63" t="s">
        <v>814</v>
      </c>
      <c r="B326" s="63" t="s">
        <v>145</v>
      </c>
      <c r="C326" s="63" t="s">
        <v>618</v>
      </c>
      <c r="D326" s="63" t="s">
        <v>17</v>
      </c>
      <c r="E326" s="63" t="s">
        <v>619</v>
      </c>
      <c r="F326" s="63" t="s">
        <v>18</v>
      </c>
      <c r="G326" s="63" t="s">
        <v>19</v>
      </c>
    </row>
    <row r="327" spans="1:7" ht="40.15" customHeight="1" x14ac:dyDescent="0.15">
      <c r="A327" s="63" t="s">
        <v>815</v>
      </c>
      <c r="B327" s="63" t="s">
        <v>145</v>
      </c>
      <c r="C327" s="63" t="s">
        <v>618</v>
      </c>
      <c r="D327" s="63" t="s">
        <v>17</v>
      </c>
      <c r="E327" s="63" t="s">
        <v>619</v>
      </c>
      <c r="F327" s="63" t="s">
        <v>18</v>
      </c>
      <c r="G327" s="63" t="s">
        <v>19</v>
      </c>
    </row>
    <row r="328" spans="1:7" ht="30" customHeight="1" x14ac:dyDescent="0.15">
      <c r="A328" s="63" t="s">
        <v>816</v>
      </c>
      <c r="B328" s="63" t="s">
        <v>145</v>
      </c>
      <c r="C328" s="63" t="s">
        <v>618</v>
      </c>
      <c r="D328" s="63" t="s">
        <v>17</v>
      </c>
      <c r="E328" s="63" t="s">
        <v>619</v>
      </c>
      <c r="F328" s="63" t="s">
        <v>18</v>
      </c>
      <c r="G328" s="63" t="s">
        <v>19</v>
      </c>
    </row>
    <row r="329" spans="1:7" ht="30" customHeight="1" x14ac:dyDescent="0.15">
      <c r="A329" s="63" t="s">
        <v>817</v>
      </c>
      <c r="B329" s="63" t="s">
        <v>146</v>
      </c>
      <c r="C329" s="63" t="s">
        <v>618</v>
      </c>
      <c r="D329" s="63" t="s">
        <v>17</v>
      </c>
      <c r="E329" s="63" t="s">
        <v>619</v>
      </c>
      <c r="F329" s="63" t="s">
        <v>18</v>
      </c>
      <c r="G329" s="63" t="s">
        <v>19</v>
      </c>
    </row>
    <row r="330" spans="1:7" ht="30" customHeight="1" x14ac:dyDescent="0.15">
      <c r="A330" s="63" t="s">
        <v>818</v>
      </c>
      <c r="B330" s="63" t="s">
        <v>146</v>
      </c>
      <c r="C330" s="63" t="s">
        <v>618</v>
      </c>
      <c r="D330" s="63" t="s">
        <v>17</v>
      </c>
      <c r="E330" s="63" t="s">
        <v>619</v>
      </c>
      <c r="F330" s="63" t="s">
        <v>18</v>
      </c>
      <c r="G330" s="63" t="s">
        <v>19</v>
      </c>
    </row>
    <row r="331" spans="1:7" ht="30" customHeight="1" x14ac:dyDescent="0.15">
      <c r="A331" s="63" t="s">
        <v>819</v>
      </c>
      <c r="B331" s="63" t="s">
        <v>146</v>
      </c>
      <c r="C331" s="63" t="s">
        <v>618</v>
      </c>
      <c r="D331" s="63" t="s">
        <v>17</v>
      </c>
      <c r="E331" s="63" t="s">
        <v>619</v>
      </c>
      <c r="F331" s="63" t="s">
        <v>18</v>
      </c>
      <c r="G331" s="63" t="s">
        <v>19</v>
      </c>
    </row>
    <row r="332" spans="1:7" ht="30" customHeight="1" x14ac:dyDescent="0.15">
      <c r="A332" s="63" t="s">
        <v>820</v>
      </c>
      <c r="B332" s="63" t="s">
        <v>146</v>
      </c>
      <c r="C332" s="63" t="s">
        <v>618</v>
      </c>
      <c r="D332" s="63" t="s">
        <v>17</v>
      </c>
      <c r="E332" s="63" t="s">
        <v>619</v>
      </c>
      <c r="F332" s="63" t="s">
        <v>18</v>
      </c>
      <c r="G332" s="63" t="s">
        <v>19</v>
      </c>
    </row>
    <row r="333" spans="1:7" ht="30" customHeight="1" x14ac:dyDescent="0.15">
      <c r="A333" s="63" t="s">
        <v>821</v>
      </c>
      <c r="B333" s="63" t="s">
        <v>146</v>
      </c>
      <c r="C333" s="63" t="s">
        <v>618</v>
      </c>
      <c r="D333" s="63" t="s">
        <v>17</v>
      </c>
      <c r="E333" s="63" t="s">
        <v>619</v>
      </c>
      <c r="F333" s="63" t="s">
        <v>18</v>
      </c>
      <c r="G333" s="63" t="s">
        <v>19</v>
      </c>
    </row>
    <row r="334" spans="1:7" ht="30" customHeight="1" x14ac:dyDescent="0.15">
      <c r="A334" s="63" t="s">
        <v>822</v>
      </c>
      <c r="B334" s="63" t="s">
        <v>146</v>
      </c>
      <c r="C334" s="63" t="s">
        <v>618</v>
      </c>
      <c r="D334" s="63" t="s">
        <v>17</v>
      </c>
      <c r="E334" s="63" t="s">
        <v>619</v>
      </c>
      <c r="F334" s="63" t="s">
        <v>18</v>
      </c>
      <c r="G334" s="63" t="s">
        <v>19</v>
      </c>
    </row>
    <row r="335" spans="1:7" ht="30" customHeight="1" x14ac:dyDescent="0.15">
      <c r="A335" s="63" t="s">
        <v>823</v>
      </c>
      <c r="B335" s="63" t="s">
        <v>146</v>
      </c>
      <c r="C335" s="63" t="s">
        <v>618</v>
      </c>
      <c r="D335" s="63" t="s">
        <v>17</v>
      </c>
      <c r="E335" s="63" t="s">
        <v>619</v>
      </c>
      <c r="F335" s="63" t="s">
        <v>18</v>
      </c>
      <c r="G335" s="63" t="s">
        <v>19</v>
      </c>
    </row>
    <row r="336" spans="1:7" ht="30" customHeight="1" x14ac:dyDescent="0.15">
      <c r="A336" s="63" t="s">
        <v>824</v>
      </c>
      <c r="B336" s="63" t="s">
        <v>146</v>
      </c>
      <c r="C336" s="63" t="s">
        <v>618</v>
      </c>
      <c r="D336" s="63" t="s">
        <v>17</v>
      </c>
      <c r="E336" s="63" t="s">
        <v>619</v>
      </c>
      <c r="F336" s="63" t="s">
        <v>18</v>
      </c>
      <c r="G336" s="63" t="s">
        <v>19</v>
      </c>
    </row>
    <row r="337" spans="1:7" ht="30" customHeight="1" x14ac:dyDescent="0.15">
      <c r="A337" s="63" t="s">
        <v>825</v>
      </c>
      <c r="B337" s="63" t="s">
        <v>146</v>
      </c>
      <c r="C337" s="63" t="s">
        <v>618</v>
      </c>
      <c r="D337" s="63" t="s">
        <v>17</v>
      </c>
      <c r="E337" s="63" t="s">
        <v>619</v>
      </c>
      <c r="F337" s="63" t="s">
        <v>18</v>
      </c>
      <c r="G337" s="63" t="s">
        <v>19</v>
      </c>
    </row>
    <row r="338" spans="1:7" ht="30" customHeight="1" x14ac:dyDescent="0.15">
      <c r="A338" s="63" t="s">
        <v>826</v>
      </c>
      <c r="B338" s="63" t="s">
        <v>146</v>
      </c>
      <c r="C338" s="63" t="s">
        <v>618</v>
      </c>
      <c r="D338" s="63" t="s">
        <v>17</v>
      </c>
      <c r="E338" s="63" t="s">
        <v>619</v>
      </c>
      <c r="F338" s="63" t="s">
        <v>18</v>
      </c>
      <c r="G338" s="63" t="s">
        <v>19</v>
      </c>
    </row>
    <row r="339" spans="1:7" ht="30" customHeight="1" x14ac:dyDescent="0.15">
      <c r="A339" s="63" t="s">
        <v>827</v>
      </c>
      <c r="B339" s="63" t="s">
        <v>146</v>
      </c>
      <c r="C339" s="63" t="s">
        <v>618</v>
      </c>
      <c r="D339" s="63" t="s">
        <v>17</v>
      </c>
      <c r="E339" s="63" t="s">
        <v>619</v>
      </c>
      <c r="F339" s="63" t="s">
        <v>18</v>
      </c>
      <c r="G339" s="63" t="s">
        <v>19</v>
      </c>
    </row>
    <row r="340" spans="1:7" ht="30" customHeight="1" x14ac:dyDescent="0.15">
      <c r="A340" s="63" t="s">
        <v>828</v>
      </c>
      <c r="B340" s="63" t="s">
        <v>146</v>
      </c>
      <c r="C340" s="63" t="s">
        <v>618</v>
      </c>
      <c r="D340" s="63" t="s">
        <v>17</v>
      </c>
      <c r="E340" s="63" t="s">
        <v>619</v>
      </c>
      <c r="F340" s="63" t="s">
        <v>18</v>
      </c>
      <c r="G340" s="63" t="s">
        <v>19</v>
      </c>
    </row>
    <row r="341" spans="1:7" ht="30" customHeight="1" x14ac:dyDescent="0.15">
      <c r="A341" s="63" t="s">
        <v>829</v>
      </c>
      <c r="B341" s="63" t="s">
        <v>146</v>
      </c>
      <c r="C341" s="63" t="s">
        <v>618</v>
      </c>
      <c r="D341" s="63" t="s">
        <v>17</v>
      </c>
      <c r="E341" s="63" t="s">
        <v>619</v>
      </c>
      <c r="F341" s="63" t="s">
        <v>18</v>
      </c>
      <c r="G341" s="63" t="s">
        <v>19</v>
      </c>
    </row>
    <row r="342" spans="1:7" ht="30" customHeight="1" x14ac:dyDescent="0.15">
      <c r="A342" s="63" t="s">
        <v>830</v>
      </c>
      <c r="B342" s="63" t="s">
        <v>146</v>
      </c>
      <c r="C342" s="63" t="s">
        <v>618</v>
      </c>
      <c r="D342" s="63" t="s">
        <v>17</v>
      </c>
      <c r="E342" s="63" t="s">
        <v>619</v>
      </c>
      <c r="F342" s="63" t="s">
        <v>18</v>
      </c>
      <c r="G342" s="63" t="s">
        <v>19</v>
      </c>
    </row>
    <row r="343" spans="1:7" ht="30" customHeight="1" x14ac:dyDescent="0.15">
      <c r="A343" s="63" t="s">
        <v>831</v>
      </c>
      <c r="B343" s="63" t="s">
        <v>146</v>
      </c>
      <c r="C343" s="63" t="s">
        <v>618</v>
      </c>
      <c r="D343" s="63" t="s">
        <v>17</v>
      </c>
      <c r="E343" s="63" t="s">
        <v>619</v>
      </c>
      <c r="F343" s="63" t="s">
        <v>18</v>
      </c>
      <c r="G343" s="63" t="s">
        <v>19</v>
      </c>
    </row>
    <row r="344" spans="1:7" ht="30" customHeight="1" x14ac:dyDescent="0.15">
      <c r="A344" s="63" t="s">
        <v>832</v>
      </c>
      <c r="B344" s="63" t="s">
        <v>146</v>
      </c>
      <c r="C344" s="63" t="s">
        <v>618</v>
      </c>
      <c r="D344" s="63" t="s">
        <v>17</v>
      </c>
      <c r="E344" s="63" t="s">
        <v>619</v>
      </c>
      <c r="F344" s="63" t="s">
        <v>18</v>
      </c>
      <c r="G344" s="63" t="s">
        <v>19</v>
      </c>
    </row>
    <row r="345" spans="1:7" ht="30" customHeight="1" x14ac:dyDescent="0.15">
      <c r="A345" s="63" t="s">
        <v>833</v>
      </c>
      <c r="B345" s="63" t="s">
        <v>147</v>
      </c>
      <c r="C345" s="63" t="s">
        <v>618</v>
      </c>
      <c r="D345" s="63" t="s">
        <v>17</v>
      </c>
      <c r="E345" s="63" t="s">
        <v>619</v>
      </c>
      <c r="F345" s="63" t="s">
        <v>18</v>
      </c>
      <c r="G345" s="63" t="s">
        <v>19</v>
      </c>
    </row>
    <row r="346" spans="1:7" ht="30" customHeight="1" x14ac:dyDescent="0.15">
      <c r="A346" s="63" t="s">
        <v>834</v>
      </c>
      <c r="B346" s="63" t="s">
        <v>147</v>
      </c>
      <c r="C346" s="63" t="s">
        <v>618</v>
      </c>
      <c r="D346" s="63" t="s">
        <v>17</v>
      </c>
      <c r="E346" s="63" t="s">
        <v>619</v>
      </c>
      <c r="F346" s="63" t="s">
        <v>18</v>
      </c>
      <c r="G346" s="63" t="s">
        <v>19</v>
      </c>
    </row>
    <row r="347" spans="1:7" ht="30" customHeight="1" x14ac:dyDescent="0.15">
      <c r="A347" s="63" t="s">
        <v>835</v>
      </c>
      <c r="B347" s="63" t="s">
        <v>147</v>
      </c>
      <c r="C347" s="63" t="s">
        <v>618</v>
      </c>
      <c r="D347" s="63" t="s">
        <v>17</v>
      </c>
      <c r="E347" s="63" t="s">
        <v>619</v>
      </c>
      <c r="F347" s="63" t="s">
        <v>18</v>
      </c>
      <c r="G347" s="63" t="s">
        <v>19</v>
      </c>
    </row>
    <row r="348" spans="1:7" ht="30" customHeight="1" x14ac:dyDescent="0.15">
      <c r="A348" s="63" t="s">
        <v>836</v>
      </c>
      <c r="B348" s="63" t="s">
        <v>147</v>
      </c>
      <c r="C348" s="63" t="s">
        <v>618</v>
      </c>
      <c r="D348" s="63" t="s">
        <v>17</v>
      </c>
      <c r="E348" s="63" t="s">
        <v>619</v>
      </c>
      <c r="F348" s="63" t="s">
        <v>18</v>
      </c>
      <c r="G348" s="63" t="s">
        <v>19</v>
      </c>
    </row>
    <row r="349" spans="1:7" ht="30" customHeight="1" x14ac:dyDescent="0.15">
      <c r="A349" s="63" t="s">
        <v>837</v>
      </c>
      <c r="B349" s="63" t="s">
        <v>148</v>
      </c>
      <c r="C349" s="63" t="s">
        <v>618</v>
      </c>
      <c r="D349" s="63" t="s">
        <v>17</v>
      </c>
      <c r="E349" s="63" t="s">
        <v>619</v>
      </c>
      <c r="F349" s="63" t="s">
        <v>18</v>
      </c>
      <c r="G349" s="63" t="s">
        <v>19</v>
      </c>
    </row>
    <row r="350" spans="1:7" ht="30" customHeight="1" x14ac:dyDescent="0.15">
      <c r="A350" s="63" t="s">
        <v>838</v>
      </c>
      <c r="B350" s="63" t="s">
        <v>148</v>
      </c>
      <c r="C350" s="63" t="s">
        <v>618</v>
      </c>
      <c r="D350" s="63" t="s">
        <v>17</v>
      </c>
      <c r="E350" s="63" t="s">
        <v>619</v>
      </c>
      <c r="F350" s="63" t="s">
        <v>18</v>
      </c>
      <c r="G350" s="63" t="s">
        <v>19</v>
      </c>
    </row>
    <row r="351" spans="1:7" ht="30" customHeight="1" x14ac:dyDescent="0.15">
      <c r="A351" s="63" t="s">
        <v>839</v>
      </c>
      <c r="B351" s="63" t="s">
        <v>148</v>
      </c>
      <c r="C351" s="63" t="s">
        <v>618</v>
      </c>
      <c r="D351" s="63" t="s">
        <v>17</v>
      </c>
      <c r="E351" s="63" t="s">
        <v>619</v>
      </c>
      <c r="F351" s="63" t="s">
        <v>18</v>
      </c>
      <c r="G351" s="63" t="s">
        <v>19</v>
      </c>
    </row>
    <row r="352" spans="1:7" ht="30" customHeight="1" x14ac:dyDescent="0.15">
      <c r="A352" s="63" t="s">
        <v>840</v>
      </c>
      <c r="B352" s="63" t="s">
        <v>148</v>
      </c>
      <c r="C352" s="63" t="s">
        <v>618</v>
      </c>
      <c r="D352" s="63" t="s">
        <v>17</v>
      </c>
      <c r="E352" s="63" t="s">
        <v>619</v>
      </c>
      <c r="F352" s="63" t="s">
        <v>18</v>
      </c>
      <c r="G352" s="63" t="s">
        <v>19</v>
      </c>
    </row>
    <row r="353" spans="1:7" ht="30" customHeight="1" x14ac:dyDescent="0.15">
      <c r="A353" s="63" t="s">
        <v>841</v>
      </c>
      <c r="B353" s="63" t="s">
        <v>149</v>
      </c>
      <c r="C353" s="63" t="s">
        <v>618</v>
      </c>
      <c r="D353" s="63" t="s">
        <v>17</v>
      </c>
      <c r="E353" s="63" t="s">
        <v>619</v>
      </c>
      <c r="F353" s="63" t="s">
        <v>18</v>
      </c>
      <c r="G353" s="63" t="s">
        <v>19</v>
      </c>
    </row>
    <row r="354" spans="1:7" ht="30" customHeight="1" x14ac:dyDescent="0.15">
      <c r="A354" s="63" t="s">
        <v>842</v>
      </c>
      <c r="B354" s="63" t="s">
        <v>149</v>
      </c>
      <c r="C354" s="63" t="s">
        <v>618</v>
      </c>
      <c r="D354" s="63" t="s">
        <v>17</v>
      </c>
      <c r="E354" s="63" t="s">
        <v>619</v>
      </c>
      <c r="F354" s="63" t="s">
        <v>18</v>
      </c>
      <c r="G354" s="63" t="s">
        <v>19</v>
      </c>
    </row>
    <row r="355" spans="1:7" ht="30" customHeight="1" x14ac:dyDescent="0.15">
      <c r="A355" s="63" t="s">
        <v>843</v>
      </c>
      <c r="B355" s="63" t="s">
        <v>149</v>
      </c>
      <c r="C355" s="63" t="s">
        <v>618</v>
      </c>
      <c r="D355" s="63" t="s">
        <v>17</v>
      </c>
      <c r="E355" s="63" t="s">
        <v>619</v>
      </c>
      <c r="F355" s="63" t="s">
        <v>18</v>
      </c>
      <c r="G355" s="63" t="s">
        <v>19</v>
      </c>
    </row>
    <row r="356" spans="1:7" ht="30" customHeight="1" x14ac:dyDescent="0.15">
      <c r="A356" s="63" t="s">
        <v>844</v>
      </c>
      <c r="B356" s="63" t="s">
        <v>150</v>
      </c>
      <c r="C356" s="63" t="s">
        <v>618</v>
      </c>
      <c r="D356" s="63" t="s">
        <v>17</v>
      </c>
      <c r="E356" s="63" t="s">
        <v>619</v>
      </c>
      <c r="F356" s="63" t="s">
        <v>18</v>
      </c>
      <c r="G356" s="63" t="s">
        <v>19</v>
      </c>
    </row>
    <row r="357" spans="1:7" ht="30" customHeight="1" x14ac:dyDescent="0.15">
      <c r="A357" s="63" t="s">
        <v>845</v>
      </c>
      <c r="B357" s="63" t="s">
        <v>150</v>
      </c>
      <c r="C357" s="63" t="s">
        <v>618</v>
      </c>
      <c r="D357" s="63" t="s">
        <v>17</v>
      </c>
      <c r="E357" s="63" t="s">
        <v>619</v>
      </c>
      <c r="F357" s="63" t="s">
        <v>18</v>
      </c>
      <c r="G357" s="63" t="s">
        <v>19</v>
      </c>
    </row>
    <row r="358" spans="1:7" ht="30" customHeight="1" x14ac:dyDescent="0.15">
      <c r="A358" s="63" t="s">
        <v>846</v>
      </c>
      <c r="B358" s="63" t="s">
        <v>150</v>
      </c>
      <c r="C358" s="63" t="s">
        <v>618</v>
      </c>
      <c r="D358" s="63" t="s">
        <v>17</v>
      </c>
      <c r="E358" s="63" t="s">
        <v>619</v>
      </c>
      <c r="F358" s="63" t="s">
        <v>18</v>
      </c>
      <c r="G358" s="63" t="s">
        <v>19</v>
      </c>
    </row>
    <row r="359" spans="1:7" ht="30" customHeight="1" x14ac:dyDescent="0.15">
      <c r="A359" s="63" t="s">
        <v>847</v>
      </c>
      <c r="B359" s="63" t="s">
        <v>150</v>
      </c>
      <c r="C359" s="63" t="s">
        <v>618</v>
      </c>
      <c r="D359" s="63" t="s">
        <v>17</v>
      </c>
      <c r="E359" s="63" t="s">
        <v>619</v>
      </c>
      <c r="F359" s="63" t="s">
        <v>18</v>
      </c>
      <c r="G359" s="63" t="s">
        <v>19</v>
      </c>
    </row>
    <row r="360" spans="1:7" ht="19.899999999999999" customHeight="1" x14ac:dyDescent="0.15">
      <c r="A360" s="63" t="s">
        <v>848</v>
      </c>
      <c r="B360" s="63" t="s">
        <v>150</v>
      </c>
      <c r="C360" s="63" t="s">
        <v>618</v>
      </c>
      <c r="D360" s="63" t="s">
        <v>17</v>
      </c>
      <c r="E360" s="63" t="s">
        <v>619</v>
      </c>
      <c r="F360" s="63" t="s">
        <v>18</v>
      </c>
      <c r="G360" s="63" t="s">
        <v>19</v>
      </c>
    </row>
    <row r="361" spans="1:7" ht="19.899999999999999" customHeight="1" x14ac:dyDescent="0.15">
      <c r="A361" s="63" t="s">
        <v>849</v>
      </c>
      <c r="B361" s="63" t="s">
        <v>151</v>
      </c>
      <c r="C361" s="63" t="s">
        <v>618</v>
      </c>
      <c r="D361" s="63" t="s">
        <v>17</v>
      </c>
      <c r="E361" s="63" t="s">
        <v>619</v>
      </c>
      <c r="F361" s="63" t="s">
        <v>18</v>
      </c>
      <c r="G361" s="63" t="s">
        <v>19</v>
      </c>
    </row>
    <row r="362" spans="1:7" ht="19.899999999999999" customHeight="1" x14ac:dyDescent="0.15">
      <c r="A362" s="63" t="s">
        <v>850</v>
      </c>
      <c r="B362" s="63" t="s">
        <v>152</v>
      </c>
      <c r="C362" s="63" t="s">
        <v>618</v>
      </c>
      <c r="D362" s="63" t="s">
        <v>17</v>
      </c>
      <c r="E362" s="63" t="s">
        <v>619</v>
      </c>
      <c r="F362" s="63" t="s">
        <v>18</v>
      </c>
      <c r="G362" s="63" t="s">
        <v>19</v>
      </c>
    </row>
    <row r="363" spans="1:7" ht="19.899999999999999" customHeight="1" x14ac:dyDescent="0.15">
      <c r="A363" s="63" t="s">
        <v>851</v>
      </c>
      <c r="B363" s="63" t="s">
        <v>153</v>
      </c>
      <c r="C363" s="63" t="s">
        <v>618</v>
      </c>
      <c r="D363" s="63" t="s">
        <v>17</v>
      </c>
      <c r="E363" s="63" t="s">
        <v>619</v>
      </c>
      <c r="F363" s="63" t="s">
        <v>18</v>
      </c>
      <c r="G363" s="63" t="s">
        <v>19</v>
      </c>
    </row>
    <row r="364" spans="1:7" ht="30" customHeight="1" x14ac:dyDescent="0.15">
      <c r="A364" s="63" t="s">
        <v>852</v>
      </c>
      <c r="B364" s="63" t="s">
        <v>154</v>
      </c>
      <c r="C364" s="63" t="s">
        <v>618</v>
      </c>
      <c r="D364" s="63" t="s">
        <v>17</v>
      </c>
      <c r="E364" s="63" t="s">
        <v>619</v>
      </c>
      <c r="F364" s="63" t="s">
        <v>18</v>
      </c>
      <c r="G364" s="63" t="s">
        <v>19</v>
      </c>
    </row>
    <row r="365" spans="1:7" ht="30" customHeight="1" x14ac:dyDescent="0.15">
      <c r="A365" s="63" t="s">
        <v>853</v>
      </c>
      <c r="B365" s="63" t="s">
        <v>155</v>
      </c>
      <c r="C365" s="63" t="s">
        <v>618</v>
      </c>
      <c r="D365" s="63" t="s">
        <v>17</v>
      </c>
      <c r="E365" s="63" t="s">
        <v>619</v>
      </c>
      <c r="F365" s="63" t="s">
        <v>18</v>
      </c>
      <c r="G365" s="63" t="s">
        <v>19</v>
      </c>
    </row>
    <row r="366" spans="1:7" ht="30" customHeight="1" x14ac:dyDescent="0.15">
      <c r="A366" s="63" t="s">
        <v>854</v>
      </c>
      <c r="B366" s="63" t="s">
        <v>155</v>
      </c>
      <c r="C366" s="63" t="s">
        <v>618</v>
      </c>
      <c r="D366" s="63" t="s">
        <v>17</v>
      </c>
      <c r="E366" s="63" t="s">
        <v>619</v>
      </c>
      <c r="F366" s="63" t="s">
        <v>18</v>
      </c>
      <c r="G366" s="63" t="s">
        <v>19</v>
      </c>
    </row>
    <row r="367" spans="1:7" ht="30" customHeight="1" x14ac:dyDescent="0.15">
      <c r="A367" s="63" t="s">
        <v>855</v>
      </c>
      <c r="B367" s="63" t="s">
        <v>155</v>
      </c>
      <c r="C367" s="63" t="s">
        <v>618</v>
      </c>
      <c r="D367" s="63" t="s">
        <v>17</v>
      </c>
      <c r="E367" s="63" t="s">
        <v>619</v>
      </c>
      <c r="F367" s="63" t="s">
        <v>18</v>
      </c>
      <c r="G367" s="63" t="s">
        <v>19</v>
      </c>
    </row>
    <row r="368" spans="1:7" ht="40.15" customHeight="1" x14ac:dyDescent="0.15">
      <c r="A368" s="63" t="s">
        <v>856</v>
      </c>
      <c r="B368" s="63" t="s">
        <v>155</v>
      </c>
      <c r="C368" s="63" t="s">
        <v>618</v>
      </c>
      <c r="D368" s="63" t="s">
        <v>17</v>
      </c>
      <c r="E368" s="63" t="s">
        <v>619</v>
      </c>
      <c r="F368" s="63" t="s">
        <v>18</v>
      </c>
      <c r="G368" s="63" t="s">
        <v>19</v>
      </c>
    </row>
    <row r="369" spans="1:7" ht="40.15" customHeight="1" x14ac:dyDescent="0.15">
      <c r="A369" s="63" t="s">
        <v>857</v>
      </c>
      <c r="B369" s="63" t="s">
        <v>156</v>
      </c>
      <c r="C369" s="63" t="s">
        <v>618</v>
      </c>
      <c r="D369" s="63" t="s">
        <v>17</v>
      </c>
      <c r="E369" s="63" t="s">
        <v>619</v>
      </c>
      <c r="F369" s="63" t="s">
        <v>18</v>
      </c>
      <c r="G369" s="63" t="s">
        <v>19</v>
      </c>
    </row>
    <row r="370" spans="1:7" ht="40.15" customHeight="1" x14ac:dyDescent="0.15">
      <c r="A370" s="63" t="s">
        <v>858</v>
      </c>
      <c r="B370" s="63" t="s">
        <v>156</v>
      </c>
      <c r="C370" s="63" t="s">
        <v>618</v>
      </c>
      <c r="D370" s="63" t="s">
        <v>17</v>
      </c>
      <c r="E370" s="63" t="s">
        <v>619</v>
      </c>
      <c r="F370" s="63" t="s">
        <v>18</v>
      </c>
      <c r="G370" s="63" t="s">
        <v>19</v>
      </c>
    </row>
    <row r="371" spans="1:7" ht="40.15" customHeight="1" x14ac:dyDescent="0.15">
      <c r="A371" s="63" t="s">
        <v>859</v>
      </c>
      <c r="B371" s="63" t="s">
        <v>156</v>
      </c>
      <c r="C371" s="63" t="s">
        <v>618</v>
      </c>
      <c r="D371" s="63" t="s">
        <v>17</v>
      </c>
      <c r="E371" s="63" t="s">
        <v>619</v>
      </c>
      <c r="F371" s="63" t="s">
        <v>18</v>
      </c>
      <c r="G371" s="63" t="s">
        <v>19</v>
      </c>
    </row>
    <row r="372" spans="1:7" ht="30" customHeight="1" x14ac:dyDescent="0.15">
      <c r="A372" s="63" t="s">
        <v>860</v>
      </c>
      <c r="B372" s="63" t="s">
        <v>156</v>
      </c>
      <c r="C372" s="63" t="s">
        <v>618</v>
      </c>
      <c r="D372" s="63" t="s">
        <v>17</v>
      </c>
      <c r="E372" s="63" t="s">
        <v>619</v>
      </c>
      <c r="F372" s="63" t="s">
        <v>18</v>
      </c>
      <c r="G372" s="63" t="s">
        <v>19</v>
      </c>
    </row>
    <row r="373" spans="1:7" ht="30" customHeight="1" x14ac:dyDescent="0.15">
      <c r="A373" s="63" t="s">
        <v>861</v>
      </c>
      <c r="B373" s="63" t="s">
        <v>157</v>
      </c>
      <c r="C373" s="63" t="s">
        <v>618</v>
      </c>
      <c r="D373" s="63" t="s">
        <v>17</v>
      </c>
      <c r="E373" s="63" t="s">
        <v>619</v>
      </c>
      <c r="F373" s="63" t="s">
        <v>18</v>
      </c>
      <c r="G373" s="63" t="s">
        <v>19</v>
      </c>
    </row>
    <row r="374" spans="1:7" ht="30" customHeight="1" x14ac:dyDescent="0.15">
      <c r="A374" s="63" t="s">
        <v>862</v>
      </c>
      <c r="B374" s="63" t="s">
        <v>157</v>
      </c>
      <c r="C374" s="63" t="s">
        <v>618</v>
      </c>
      <c r="D374" s="63" t="s">
        <v>17</v>
      </c>
      <c r="E374" s="63" t="s">
        <v>619</v>
      </c>
      <c r="F374" s="63" t="s">
        <v>18</v>
      </c>
      <c r="G374" s="63" t="s">
        <v>19</v>
      </c>
    </row>
    <row r="375" spans="1:7" ht="30" customHeight="1" x14ac:dyDescent="0.15">
      <c r="A375" s="63" t="s">
        <v>863</v>
      </c>
      <c r="B375" s="63" t="s">
        <v>157</v>
      </c>
      <c r="C375" s="63" t="s">
        <v>618</v>
      </c>
      <c r="D375" s="63" t="s">
        <v>17</v>
      </c>
      <c r="E375" s="63" t="s">
        <v>619</v>
      </c>
      <c r="F375" s="63" t="s">
        <v>18</v>
      </c>
      <c r="G375" s="63" t="s">
        <v>19</v>
      </c>
    </row>
    <row r="376" spans="1:7" ht="30" customHeight="1" x14ac:dyDescent="0.15">
      <c r="A376" s="63" t="s">
        <v>864</v>
      </c>
      <c r="B376" s="63" t="s">
        <v>157</v>
      </c>
      <c r="C376" s="63" t="s">
        <v>618</v>
      </c>
      <c r="D376" s="63" t="s">
        <v>17</v>
      </c>
      <c r="E376" s="63" t="s">
        <v>619</v>
      </c>
      <c r="F376" s="63" t="s">
        <v>18</v>
      </c>
      <c r="G376" s="63" t="s">
        <v>19</v>
      </c>
    </row>
    <row r="377" spans="1:7" ht="30" customHeight="1" x14ac:dyDescent="0.15">
      <c r="A377" s="63" t="s">
        <v>865</v>
      </c>
      <c r="B377" s="63" t="s">
        <v>158</v>
      </c>
      <c r="C377" s="63" t="s">
        <v>618</v>
      </c>
      <c r="D377" s="63" t="s">
        <v>17</v>
      </c>
      <c r="E377" s="63" t="s">
        <v>619</v>
      </c>
      <c r="F377" s="63" t="s">
        <v>18</v>
      </c>
      <c r="G377" s="63" t="s">
        <v>19</v>
      </c>
    </row>
    <row r="378" spans="1:7" ht="30" customHeight="1" x14ac:dyDescent="0.15">
      <c r="A378" s="63" t="s">
        <v>866</v>
      </c>
      <c r="B378" s="63" t="s">
        <v>158</v>
      </c>
      <c r="C378" s="63" t="s">
        <v>618</v>
      </c>
      <c r="D378" s="63" t="s">
        <v>17</v>
      </c>
      <c r="E378" s="63" t="s">
        <v>619</v>
      </c>
      <c r="F378" s="63" t="s">
        <v>18</v>
      </c>
      <c r="G378" s="63" t="s">
        <v>19</v>
      </c>
    </row>
    <row r="379" spans="1:7" ht="30" customHeight="1" x14ac:dyDescent="0.15">
      <c r="A379" s="63" t="s">
        <v>867</v>
      </c>
      <c r="B379" s="63" t="s">
        <v>159</v>
      </c>
      <c r="C379" s="63" t="s">
        <v>618</v>
      </c>
      <c r="D379" s="63" t="s">
        <v>17</v>
      </c>
      <c r="E379" s="63" t="s">
        <v>619</v>
      </c>
      <c r="F379" s="63" t="s">
        <v>18</v>
      </c>
      <c r="G379" s="63" t="s">
        <v>19</v>
      </c>
    </row>
    <row r="380" spans="1:7" ht="30" customHeight="1" x14ac:dyDescent="0.15">
      <c r="A380" s="63" t="s">
        <v>868</v>
      </c>
      <c r="B380" s="63" t="s">
        <v>159</v>
      </c>
      <c r="C380" s="63" t="s">
        <v>618</v>
      </c>
      <c r="D380" s="63" t="s">
        <v>17</v>
      </c>
      <c r="E380" s="63" t="s">
        <v>619</v>
      </c>
      <c r="F380" s="63" t="s">
        <v>18</v>
      </c>
      <c r="G380" s="63" t="s">
        <v>19</v>
      </c>
    </row>
    <row r="381" spans="1:7" ht="30" customHeight="1" x14ac:dyDescent="0.15">
      <c r="A381" s="63" t="s">
        <v>869</v>
      </c>
      <c r="B381" s="63" t="s">
        <v>159</v>
      </c>
      <c r="C381" s="63" t="s">
        <v>618</v>
      </c>
      <c r="D381" s="63" t="s">
        <v>17</v>
      </c>
      <c r="E381" s="63" t="s">
        <v>619</v>
      </c>
      <c r="F381" s="63" t="s">
        <v>18</v>
      </c>
      <c r="G381" s="63" t="s">
        <v>19</v>
      </c>
    </row>
    <row r="382" spans="1:7" ht="30" customHeight="1" x14ac:dyDescent="0.15">
      <c r="A382" s="63" t="s">
        <v>870</v>
      </c>
      <c r="B382" s="63" t="s">
        <v>159</v>
      </c>
      <c r="C382" s="63" t="s">
        <v>618</v>
      </c>
      <c r="D382" s="63" t="s">
        <v>17</v>
      </c>
      <c r="E382" s="63" t="s">
        <v>619</v>
      </c>
      <c r="F382" s="63" t="s">
        <v>18</v>
      </c>
      <c r="G382" s="63" t="s">
        <v>19</v>
      </c>
    </row>
    <row r="383" spans="1:7" ht="30" customHeight="1" x14ac:dyDescent="0.15">
      <c r="A383" s="63" t="s">
        <v>871</v>
      </c>
      <c r="B383" s="63" t="s">
        <v>159</v>
      </c>
      <c r="C383" s="63" t="s">
        <v>618</v>
      </c>
      <c r="D383" s="63" t="s">
        <v>17</v>
      </c>
      <c r="E383" s="63" t="s">
        <v>619</v>
      </c>
      <c r="F383" s="63" t="s">
        <v>18</v>
      </c>
      <c r="G383" s="63" t="s">
        <v>19</v>
      </c>
    </row>
    <row r="384" spans="1:7" ht="30" customHeight="1" x14ac:dyDescent="0.15">
      <c r="A384" s="63" t="s">
        <v>872</v>
      </c>
      <c r="B384" s="63" t="s">
        <v>159</v>
      </c>
      <c r="C384" s="63" t="s">
        <v>618</v>
      </c>
      <c r="D384" s="63" t="s">
        <v>17</v>
      </c>
      <c r="E384" s="63" t="s">
        <v>619</v>
      </c>
      <c r="F384" s="63" t="s">
        <v>18</v>
      </c>
      <c r="G384" s="63" t="s">
        <v>19</v>
      </c>
    </row>
    <row r="385" spans="1:7" ht="30" customHeight="1" x14ac:dyDescent="0.15">
      <c r="A385" s="63" t="s">
        <v>873</v>
      </c>
      <c r="B385" s="63" t="s">
        <v>159</v>
      </c>
      <c r="C385" s="63" t="s">
        <v>618</v>
      </c>
      <c r="D385" s="63" t="s">
        <v>17</v>
      </c>
      <c r="E385" s="63" t="s">
        <v>619</v>
      </c>
      <c r="F385" s="63" t="s">
        <v>18</v>
      </c>
      <c r="G385" s="63" t="s">
        <v>19</v>
      </c>
    </row>
    <row r="386" spans="1:7" ht="30" customHeight="1" x14ac:dyDescent="0.15">
      <c r="A386" s="63" t="s">
        <v>874</v>
      </c>
      <c r="B386" s="63" t="s">
        <v>159</v>
      </c>
      <c r="C386" s="63" t="s">
        <v>618</v>
      </c>
      <c r="D386" s="63" t="s">
        <v>17</v>
      </c>
      <c r="E386" s="63" t="s">
        <v>619</v>
      </c>
      <c r="F386" s="63" t="s">
        <v>18</v>
      </c>
      <c r="G386" s="63" t="s">
        <v>19</v>
      </c>
    </row>
    <row r="387" spans="1:7" ht="30" customHeight="1" x14ac:dyDescent="0.15">
      <c r="A387" s="63" t="s">
        <v>875</v>
      </c>
      <c r="B387" s="63" t="s">
        <v>160</v>
      </c>
      <c r="C387" s="63" t="s">
        <v>618</v>
      </c>
      <c r="D387" s="63" t="s">
        <v>17</v>
      </c>
      <c r="E387" s="63" t="s">
        <v>619</v>
      </c>
      <c r="F387" s="63" t="s">
        <v>18</v>
      </c>
      <c r="G387" s="63" t="s">
        <v>19</v>
      </c>
    </row>
    <row r="388" spans="1:7" ht="19.899999999999999" customHeight="1" x14ac:dyDescent="0.15">
      <c r="A388" s="63" t="s">
        <v>876</v>
      </c>
      <c r="B388" s="63" t="s">
        <v>160</v>
      </c>
      <c r="C388" s="63" t="s">
        <v>618</v>
      </c>
      <c r="D388" s="63" t="s">
        <v>17</v>
      </c>
      <c r="E388" s="63" t="s">
        <v>619</v>
      </c>
      <c r="F388" s="63" t="s">
        <v>18</v>
      </c>
      <c r="G388" s="63" t="s">
        <v>19</v>
      </c>
    </row>
    <row r="389" spans="1:7" ht="30" customHeight="1" x14ac:dyDescent="0.15">
      <c r="A389" s="63" t="s">
        <v>877</v>
      </c>
      <c r="B389" s="63" t="s">
        <v>152</v>
      </c>
      <c r="C389" s="63" t="s">
        <v>618</v>
      </c>
      <c r="D389" s="63" t="s">
        <v>17</v>
      </c>
      <c r="E389" s="63" t="s">
        <v>619</v>
      </c>
      <c r="F389" s="63" t="s">
        <v>18</v>
      </c>
      <c r="G389" s="63" t="s">
        <v>19</v>
      </c>
    </row>
    <row r="390" spans="1:7" ht="30" customHeight="1" x14ac:dyDescent="0.15">
      <c r="A390" s="63" t="s">
        <v>878</v>
      </c>
      <c r="B390" s="63" t="s">
        <v>161</v>
      </c>
      <c r="C390" s="63" t="s">
        <v>618</v>
      </c>
      <c r="D390" s="63" t="s">
        <v>17</v>
      </c>
      <c r="E390" s="63" t="s">
        <v>619</v>
      </c>
      <c r="F390" s="63" t="s">
        <v>18</v>
      </c>
      <c r="G390" s="63" t="s">
        <v>19</v>
      </c>
    </row>
    <row r="391" spans="1:7" ht="30" customHeight="1" x14ac:dyDescent="0.15">
      <c r="A391" s="63" t="s">
        <v>879</v>
      </c>
      <c r="B391" s="63" t="s">
        <v>161</v>
      </c>
      <c r="C391" s="63" t="s">
        <v>618</v>
      </c>
      <c r="D391" s="63" t="s">
        <v>17</v>
      </c>
      <c r="E391" s="63" t="s">
        <v>619</v>
      </c>
      <c r="F391" s="63" t="s">
        <v>18</v>
      </c>
      <c r="G391" s="63" t="s">
        <v>19</v>
      </c>
    </row>
    <row r="392" spans="1:7" ht="30" customHeight="1" x14ac:dyDescent="0.15">
      <c r="A392" s="63" t="s">
        <v>880</v>
      </c>
      <c r="B392" s="63" t="s">
        <v>162</v>
      </c>
      <c r="C392" s="63" t="s">
        <v>618</v>
      </c>
      <c r="D392" s="63" t="s">
        <v>17</v>
      </c>
      <c r="E392" s="63" t="s">
        <v>619</v>
      </c>
      <c r="F392" s="63" t="s">
        <v>18</v>
      </c>
      <c r="G392" s="63" t="s">
        <v>19</v>
      </c>
    </row>
    <row r="393" spans="1:7" ht="30" customHeight="1" x14ac:dyDescent="0.15">
      <c r="A393" s="63" t="s">
        <v>881</v>
      </c>
      <c r="B393" s="63" t="s">
        <v>162</v>
      </c>
      <c r="C393" s="63" t="s">
        <v>618</v>
      </c>
      <c r="D393" s="63" t="s">
        <v>17</v>
      </c>
      <c r="E393" s="63" t="s">
        <v>619</v>
      </c>
      <c r="F393" s="63" t="s">
        <v>18</v>
      </c>
      <c r="G393" s="63" t="s">
        <v>19</v>
      </c>
    </row>
    <row r="394" spans="1:7" ht="30" customHeight="1" x14ac:dyDescent="0.15">
      <c r="A394" s="63" t="s">
        <v>882</v>
      </c>
      <c r="B394" s="63" t="s">
        <v>163</v>
      </c>
      <c r="C394" s="63" t="s">
        <v>618</v>
      </c>
      <c r="D394" s="63" t="s">
        <v>17</v>
      </c>
      <c r="E394" s="63" t="s">
        <v>619</v>
      </c>
      <c r="F394" s="63" t="s">
        <v>18</v>
      </c>
      <c r="G394" s="63" t="s">
        <v>19</v>
      </c>
    </row>
    <row r="395" spans="1:7" ht="19.899999999999999" customHeight="1" x14ac:dyDescent="0.15">
      <c r="A395" s="63" t="s">
        <v>883</v>
      </c>
      <c r="B395" s="63" t="s">
        <v>163</v>
      </c>
      <c r="C395" s="63" t="s">
        <v>618</v>
      </c>
      <c r="D395" s="63" t="s">
        <v>17</v>
      </c>
      <c r="E395" s="63" t="s">
        <v>619</v>
      </c>
      <c r="F395" s="63" t="s">
        <v>18</v>
      </c>
      <c r="G395" s="63" t="s">
        <v>19</v>
      </c>
    </row>
    <row r="396" spans="1:7" ht="19.899999999999999" customHeight="1" x14ac:dyDescent="0.15">
      <c r="A396" s="63" t="s">
        <v>884</v>
      </c>
      <c r="B396" s="63" t="s">
        <v>151</v>
      </c>
      <c r="C396" s="63" t="s">
        <v>618</v>
      </c>
      <c r="D396" s="63" t="s">
        <v>17</v>
      </c>
      <c r="E396" s="63" t="s">
        <v>619</v>
      </c>
      <c r="F396" s="63" t="s">
        <v>18</v>
      </c>
      <c r="G396" s="63" t="s">
        <v>19</v>
      </c>
    </row>
    <row r="397" spans="1:7" ht="19.899999999999999" customHeight="1" x14ac:dyDescent="0.15">
      <c r="A397" s="63" t="s">
        <v>885</v>
      </c>
      <c r="B397" s="63" t="s">
        <v>151</v>
      </c>
      <c r="C397" s="63" t="s">
        <v>618</v>
      </c>
      <c r="D397" s="63" t="s">
        <v>17</v>
      </c>
      <c r="E397" s="63" t="s">
        <v>619</v>
      </c>
      <c r="F397" s="63" t="s">
        <v>18</v>
      </c>
      <c r="G397" s="63" t="s">
        <v>19</v>
      </c>
    </row>
    <row r="398" spans="1:7" ht="30" customHeight="1" x14ac:dyDescent="0.15">
      <c r="A398" s="63" t="s">
        <v>886</v>
      </c>
      <c r="B398" s="63" t="s">
        <v>153</v>
      </c>
      <c r="C398" s="63" t="s">
        <v>618</v>
      </c>
      <c r="D398" s="63" t="s">
        <v>17</v>
      </c>
      <c r="E398" s="63" t="s">
        <v>619</v>
      </c>
      <c r="F398" s="63" t="s">
        <v>18</v>
      </c>
      <c r="G398" s="63" t="s">
        <v>19</v>
      </c>
    </row>
    <row r="399" spans="1:7" ht="30" customHeight="1" x14ac:dyDescent="0.15">
      <c r="A399" s="63" t="s">
        <v>887</v>
      </c>
      <c r="B399" s="63" t="s">
        <v>164</v>
      </c>
      <c r="C399" s="63" t="s">
        <v>618</v>
      </c>
      <c r="D399" s="63" t="s">
        <v>17</v>
      </c>
      <c r="E399" s="63" t="s">
        <v>619</v>
      </c>
      <c r="F399" s="63" t="s">
        <v>18</v>
      </c>
      <c r="G399" s="63" t="s">
        <v>19</v>
      </c>
    </row>
    <row r="400" spans="1:7" ht="19.899999999999999" customHeight="1" x14ac:dyDescent="0.15">
      <c r="A400" s="63" t="s">
        <v>888</v>
      </c>
      <c r="B400" s="63" t="s">
        <v>164</v>
      </c>
      <c r="C400" s="63" t="s">
        <v>618</v>
      </c>
      <c r="D400" s="63" t="s">
        <v>17</v>
      </c>
      <c r="E400" s="63" t="s">
        <v>619</v>
      </c>
      <c r="F400" s="63" t="s">
        <v>18</v>
      </c>
      <c r="G400" s="63" t="s">
        <v>19</v>
      </c>
    </row>
    <row r="401" spans="1:7" ht="19.899999999999999" customHeight="1" x14ac:dyDescent="0.15">
      <c r="A401" s="63" t="s">
        <v>889</v>
      </c>
      <c r="B401" s="63" t="s">
        <v>890</v>
      </c>
      <c r="C401" s="63" t="s">
        <v>618</v>
      </c>
      <c r="D401" s="63" t="s">
        <v>17</v>
      </c>
      <c r="E401" s="63" t="s">
        <v>619</v>
      </c>
      <c r="F401" s="63" t="s">
        <v>18</v>
      </c>
      <c r="G401" s="63" t="s">
        <v>19</v>
      </c>
    </row>
    <row r="402" spans="1:7" ht="19.899999999999999" customHeight="1" x14ac:dyDescent="0.15">
      <c r="A402" s="63" t="s">
        <v>891</v>
      </c>
      <c r="B402" s="63" t="s">
        <v>165</v>
      </c>
      <c r="C402" s="63" t="s">
        <v>618</v>
      </c>
      <c r="D402" s="63" t="s">
        <v>17</v>
      </c>
      <c r="E402" s="63" t="s">
        <v>619</v>
      </c>
      <c r="F402" s="63" t="s">
        <v>18</v>
      </c>
      <c r="G402" s="63" t="s">
        <v>19</v>
      </c>
    </row>
    <row r="403" spans="1:7" ht="19.899999999999999" customHeight="1" x14ac:dyDescent="0.15">
      <c r="A403" s="63" t="s">
        <v>892</v>
      </c>
      <c r="B403" s="63" t="s">
        <v>166</v>
      </c>
      <c r="C403" s="63" t="s">
        <v>618</v>
      </c>
      <c r="D403" s="63" t="s">
        <v>17</v>
      </c>
      <c r="E403" s="63" t="s">
        <v>619</v>
      </c>
      <c r="F403" s="63" t="s">
        <v>18</v>
      </c>
      <c r="G403" s="63" t="s">
        <v>19</v>
      </c>
    </row>
    <row r="404" spans="1:7" ht="19.899999999999999" customHeight="1" x14ac:dyDescent="0.15">
      <c r="A404" s="63" t="s">
        <v>893</v>
      </c>
      <c r="B404" s="63" t="s">
        <v>165</v>
      </c>
      <c r="C404" s="63" t="s">
        <v>618</v>
      </c>
      <c r="D404" s="63" t="s">
        <v>17</v>
      </c>
      <c r="E404" s="63" t="s">
        <v>619</v>
      </c>
      <c r="F404" s="63" t="s">
        <v>18</v>
      </c>
      <c r="G404" s="63" t="s">
        <v>19</v>
      </c>
    </row>
    <row r="405" spans="1:7" ht="19.899999999999999" customHeight="1" x14ac:dyDescent="0.15">
      <c r="A405" s="63" t="s">
        <v>894</v>
      </c>
      <c r="B405" s="63" t="s">
        <v>167</v>
      </c>
      <c r="C405" s="63" t="s">
        <v>618</v>
      </c>
      <c r="D405" s="63" t="s">
        <v>17</v>
      </c>
      <c r="E405" s="63" t="s">
        <v>619</v>
      </c>
      <c r="F405" s="63" t="s">
        <v>18</v>
      </c>
      <c r="G405" s="63" t="s">
        <v>19</v>
      </c>
    </row>
    <row r="406" spans="1:7" ht="30" customHeight="1" x14ac:dyDescent="0.15">
      <c r="A406" s="63" t="s">
        <v>895</v>
      </c>
      <c r="B406" s="63" t="s">
        <v>154</v>
      </c>
      <c r="C406" s="63" t="s">
        <v>618</v>
      </c>
      <c r="D406" s="63" t="s">
        <v>17</v>
      </c>
      <c r="E406" s="63" t="s">
        <v>619</v>
      </c>
      <c r="F406" s="63" t="s">
        <v>18</v>
      </c>
      <c r="G406" s="63" t="s">
        <v>19</v>
      </c>
    </row>
    <row r="407" spans="1:7" ht="19.899999999999999" customHeight="1" x14ac:dyDescent="0.15">
      <c r="A407" s="63" t="s">
        <v>896</v>
      </c>
      <c r="B407" s="63" t="s">
        <v>168</v>
      </c>
      <c r="C407" s="63" t="s">
        <v>618</v>
      </c>
      <c r="D407" s="63" t="s">
        <v>17</v>
      </c>
      <c r="E407" s="63" t="s">
        <v>619</v>
      </c>
      <c r="F407" s="63" t="s">
        <v>18</v>
      </c>
      <c r="G407" s="63" t="s">
        <v>19</v>
      </c>
    </row>
    <row r="408" spans="1:7" ht="19.899999999999999" customHeight="1" x14ac:dyDescent="0.15">
      <c r="A408" s="63" t="s">
        <v>897</v>
      </c>
      <c r="B408" s="63" t="s">
        <v>169</v>
      </c>
      <c r="C408" s="63" t="s">
        <v>618</v>
      </c>
      <c r="D408" s="63" t="s">
        <v>17</v>
      </c>
      <c r="E408" s="63" t="s">
        <v>619</v>
      </c>
      <c r="F408" s="63" t="s">
        <v>18</v>
      </c>
      <c r="G408" s="63" t="s">
        <v>19</v>
      </c>
    </row>
    <row r="409" spans="1:7" ht="19.899999999999999" customHeight="1" x14ac:dyDescent="0.15">
      <c r="A409" s="63" t="s">
        <v>898</v>
      </c>
      <c r="B409" s="63" t="s">
        <v>169</v>
      </c>
      <c r="C409" s="63" t="s">
        <v>618</v>
      </c>
      <c r="D409" s="63" t="s">
        <v>17</v>
      </c>
      <c r="E409" s="63" t="s">
        <v>619</v>
      </c>
      <c r="F409" s="63" t="s">
        <v>18</v>
      </c>
      <c r="G409" s="63" t="s">
        <v>19</v>
      </c>
    </row>
    <row r="410" spans="1:7" ht="19.899999999999999" customHeight="1" x14ac:dyDescent="0.15">
      <c r="A410" s="63" t="s">
        <v>899</v>
      </c>
      <c r="B410" s="63" t="s">
        <v>170</v>
      </c>
      <c r="C410" s="63" t="s">
        <v>618</v>
      </c>
      <c r="D410" s="63" t="s">
        <v>17</v>
      </c>
      <c r="E410" s="63" t="s">
        <v>619</v>
      </c>
      <c r="F410" s="63" t="s">
        <v>18</v>
      </c>
      <c r="G410" s="63" t="s">
        <v>19</v>
      </c>
    </row>
    <row r="411" spans="1:7" ht="19.899999999999999" customHeight="1" x14ac:dyDescent="0.15">
      <c r="A411" s="63" t="s">
        <v>900</v>
      </c>
      <c r="B411" s="63" t="s">
        <v>170</v>
      </c>
      <c r="C411" s="63" t="s">
        <v>618</v>
      </c>
      <c r="D411" s="63" t="s">
        <v>17</v>
      </c>
      <c r="E411" s="63" t="s">
        <v>619</v>
      </c>
      <c r="F411" s="63" t="s">
        <v>18</v>
      </c>
      <c r="G411" s="63" t="s">
        <v>19</v>
      </c>
    </row>
    <row r="412" spans="1:7" ht="19.899999999999999" customHeight="1" x14ac:dyDescent="0.15">
      <c r="A412" s="63" t="s">
        <v>901</v>
      </c>
      <c r="B412" s="63" t="s">
        <v>170</v>
      </c>
      <c r="C412" s="63" t="s">
        <v>618</v>
      </c>
      <c r="D412" s="63" t="s">
        <v>17</v>
      </c>
      <c r="E412" s="63" t="s">
        <v>619</v>
      </c>
      <c r="F412" s="63" t="s">
        <v>18</v>
      </c>
      <c r="G412" s="63" t="s">
        <v>19</v>
      </c>
    </row>
    <row r="413" spans="1:7" ht="19.899999999999999" customHeight="1" x14ac:dyDescent="0.15">
      <c r="A413" s="63" t="s">
        <v>902</v>
      </c>
      <c r="B413" s="63" t="s">
        <v>170</v>
      </c>
      <c r="C413" s="63" t="s">
        <v>618</v>
      </c>
      <c r="D413" s="63" t="s">
        <v>17</v>
      </c>
      <c r="E413" s="63" t="s">
        <v>619</v>
      </c>
      <c r="F413" s="63" t="s">
        <v>18</v>
      </c>
      <c r="G413" s="63" t="s">
        <v>19</v>
      </c>
    </row>
    <row r="414" spans="1:7" ht="19.899999999999999" customHeight="1" x14ac:dyDescent="0.15">
      <c r="A414" s="63" t="s">
        <v>903</v>
      </c>
      <c r="B414" s="63" t="s">
        <v>170</v>
      </c>
      <c r="C414" s="63" t="s">
        <v>618</v>
      </c>
      <c r="D414" s="63" t="s">
        <v>17</v>
      </c>
      <c r="E414" s="63" t="s">
        <v>619</v>
      </c>
      <c r="F414" s="63" t="s">
        <v>18</v>
      </c>
      <c r="G414" s="63" t="s">
        <v>19</v>
      </c>
    </row>
    <row r="415" spans="1:7" ht="30" customHeight="1" x14ac:dyDescent="0.15">
      <c r="A415" s="63" t="s">
        <v>904</v>
      </c>
      <c r="B415" s="63" t="s">
        <v>170</v>
      </c>
      <c r="C415" s="63" t="s">
        <v>618</v>
      </c>
      <c r="D415" s="63" t="s">
        <v>17</v>
      </c>
      <c r="E415" s="63" t="s">
        <v>619</v>
      </c>
      <c r="F415" s="63" t="s">
        <v>18</v>
      </c>
      <c r="G415" s="63" t="s">
        <v>19</v>
      </c>
    </row>
    <row r="416" spans="1:7" ht="30" customHeight="1" x14ac:dyDescent="0.15">
      <c r="A416" s="63" t="s">
        <v>905</v>
      </c>
      <c r="B416" s="63" t="s">
        <v>171</v>
      </c>
      <c r="C416" s="63" t="s">
        <v>618</v>
      </c>
      <c r="D416" s="63" t="s">
        <v>17</v>
      </c>
      <c r="E416" s="63" t="s">
        <v>619</v>
      </c>
      <c r="F416" s="63" t="s">
        <v>18</v>
      </c>
      <c r="G416" s="63" t="s">
        <v>19</v>
      </c>
    </row>
    <row r="417" spans="1:7" ht="30" customHeight="1" x14ac:dyDescent="0.15">
      <c r="A417" s="63" t="s">
        <v>906</v>
      </c>
      <c r="B417" s="63" t="s">
        <v>172</v>
      </c>
      <c r="C417" s="63" t="s">
        <v>618</v>
      </c>
      <c r="D417" s="63" t="s">
        <v>17</v>
      </c>
      <c r="E417" s="63" t="s">
        <v>619</v>
      </c>
      <c r="F417" s="63" t="s">
        <v>18</v>
      </c>
      <c r="G417" s="63" t="s">
        <v>19</v>
      </c>
    </row>
    <row r="418" spans="1:7" ht="19.899999999999999" customHeight="1" x14ac:dyDescent="0.15">
      <c r="A418" s="63" t="s">
        <v>907</v>
      </c>
      <c r="B418" s="63" t="s">
        <v>173</v>
      </c>
      <c r="C418" s="63" t="s">
        <v>618</v>
      </c>
      <c r="D418" s="63" t="s">
        <v>17</v>
      </c>
      <c r="E418" s="63" t="s">
        <v>619</v>
      </c>
      <c r="F418" s="63" t="s">
        <v>18</v>
      </c>
      <c r="G418" s="63" t="s">
        <v>19</v>
      </c>
    </row>
    <row r="419" spans="1:7" ht="30" customHeight="1" x14ac:dyDescent="0.15">
      <c r="A419" s="63" t="s">
        <v>908</v>
      </c>
      <c r="B419" s="63" t="s">
        <v>174</v>
      </c>
      <c r="C419" s="63" t="s">
        <v>618</v>
      </c>
      <c r="D419" s="63" t="s">
        <v>17</v>
      </c>
      <c r="E419" s="63" t="s">
        <v>619</v>
      </c>
      <c r="F419" s="63" t="s">
        <v>18</v>
      </c>
      <c r="G419" s="63" t="s">
        <v>19</v>
      </c>
    </row>
    <row r="420" spans="1:7" ht="19.899999999999999" customHeight="1" x14ac:dyDescent="0.15">
      <c r="A420" s="63" t="s">
        <v>909</v>
      </c>
      <c r="B420" s="63" t="s">
        <v>175</v>
      </c>
      <c r="C420" s="63" t="s">
        <v>618</v>
      </c>
      <c r="D420" s="63" t="s">
        <v>17</v>
      </c>
      <c r="E420" s="63" t="s">
        <v>619</v>
      </c>
      <c r="F420" s="63" t="s">
        <v>18</v>
      </c>
      <c r="G420" s="63" t="s">
        <v>19</v>
      </c>
    </row>
    <row r="421" spans="1:7" ht="19.899999999999999" customHeight="1" x14ac:dyDescent="0.15">
      <c r="A421" s="63" t="s">
        <v>910</v>
      </c>
      <c r="B421" s="63" t="s">
        <v>176</v>
      </c>
      <c r="C421" s="63" t="s">
        <v>618</v>
      </c>
      <c r="D421" s="63" t="s">
        <v>17</v>
      </c>
      <c r="E421" s="63" t="s">
        <v>619</v>
      </c>
      <c r="F421" s="63" t="s">
        <v>18</v>
      </c>
      <c r="G421" s="63" t="s">
        <v>19</v>
      </c>
    </row>
    <row r="422" spans="1:7" ht="19.899999999999999" customHeight="1" x14ac:dyDescent="0.15">
      <c r="A422" s="63" t="s">
        <v>911</v>
      </c>
      <c r="B422" s="63" t="s">
        <v>176</v>
      </c>
      <c r="C422" s="63" t="s">
        <v>618</v>
      </c>
      <c r="D422" s="63" t="s">
        <v>17</v>
      </c>
      <c r="E422" s="63" t="s">
        <v>619</v>
      </c>
      <c r="F422" s="63" t="s">
        <v>18</v>
      </c>
      <c r="G422" s="63" t="s">
        <v>19</v>
      </c>
    </row>
    <row r="423" spans="1:7" ht="19.899999999999999" customHeight="1" x14ac:dyDescent="0.15">
      <c r="A423" s="63" t="s">
        <v>912</v>
      </c>
      <c r="B423" s="63" t="s">
        <v>177</v>
      </c>
      <c r="C423" s="63" t="s">
        <v>618</v>
      </c>
      <c r="D423" s="63" t="s">
        <v>17</v>
      </c>
      <c r="E423" s="63" t="s">
        <v>619</v>
      </c>
      <c r="F423" s="63" t="s">
        <v>18</v>
      </c>
      <c r="G423" s="63" t="s">
        <v>19</v>
      </c>
    </row>
    <row r="424" spans="1:7" ht="30" customHeight="1" x14ac:dyDescent="0.15">
      <c r="A424" s="63" t="s">
        <v>913</v>
      </c>
      <c r="B424" s="63" t="s">
        <v>177</v>
      </c>
      <c r="C424" s="63" t="s">
        <v>618</v>
      </c>
      <c r="D424" s="63" t="s">
        <v>17</v>
      </c>
      <c r="E424" s="63" t="s">
        <v>619</v>
      </c>
      <c r="F424" s="63" t="s">
        <v>18</v>
      </c>
      <c r="G424" s="63" t="s">
        <v>19</v>
      </c>
    </row>
    <row r="425" spans="1:7" ht="30" customHeight="1" x14ac:dyDescent="0.15">
      <c r="A425" s="63" t="s">
        <v>914</v>
      </c>
      <c r="B425" s="63" t="s">
        <v>178</v>
      </c>
      <c r="C425" s="63" t="s">
        <v>618</v>
      </c>
      <c r="D425" s="63" t="s">
        <v>17</v>
      </c>
      <c r="E425" s="63" t="s">
        <v>619</v>
      </c>
      <c r="F425" s="63" t="s">
        <v>18</v>
      </c>
      <c r="G425" s="63" t="s">
        <v>19</v>
      </c>
    </row>
    <row r="426" spans="1:7" ht="30" customHeight="1" x14ac:dyDescent="0.15">
      <c r="A426" s="63" t="s">
        <v>915</v>
      </c>
      <c r="B426" s="63" t="s">
        <v>178</v>
      </c>
      <c r="C426" s="63" t="s">
        <v>618</v>
      </c>
      <c r="D426" s="63" t="s">
        <v>17</v>
      </c>
      <c r="E426" s="63" t="s">
        <v>619</v>
      </c>
      <c r="F426" s="63" t="s">
        <v>18</v>
      </c>
      <c r="G426" s="63" t="s">
        <v>19</v>
      </c>
    </row>
    <row r="427" spans="1:7" ht="30" customHeight="1" x14ac:dyDescent="0.15">
      <c r="A427" s="63" t="s">
        <v>916</v>
      </c>
      <c r="B427" s="63" t="s">
        <v>179</v>
      </c>
      <c r="C427" s="63" t="s">
        <v>618</v>
      </c>
      <c r="D427" s="63" t="s">
        <v>17</v>
      </c>
      <c r="E427" s="63" t="s">
        <v>619</v>
      </c>
      <c r="F427" s="63" t="s">
        <v>18</v>
      </c>
      <c r="G427" s="63" t="s">
        <v>19</v>
      </c>
    </row>
    <row r="428" spans="1:7" ht="30" customHeight="1" x14ac:dyDescent="0.15">
      <c r="A428" s="63" t="s">
        <v>917</v>
      </c>
      <c r="B428" s="63" t="s">
        <v>179</v>
      </c>
      <c r="C428" s="63" t="s">
        <v>618</v>
      </c>
      <c r="D428" s="63" t="s">
        <v>17</v>
      </c>
      <c r="E428" s="63" t="s">
        <v>619</v>
      </c>
      <c r="F428" s="63" t="s">
        <v>18</v>
      </c>
      <c r="G428" s="63" t="s">
        <v>19</v>
      </c>
    </row>
    <row r="429" spans="1:7" ht="19.899999999999999" customHeight="1" x14ac:dyDescent="0.15">
      <c r="A429" s="63" t="s">
        <v>918</v>
      </c>
      <c r="B429" s="63" t="s">
        <v>180</v>
      </c>
      <c r="C429" s="63" t="s">
        <v>618</v>
      </c>
      <c r="D429" s="63" t="s">
        <v>17</v>
      </c>
      <c r="E429" s="63" t="s">
        <v>619</v>
      </c>
      <c r="F429" s="63" t="s">
        <v>18</v>
      </c>
      <c r="G429" s="63" t="s">
        <v>19</v>
      </c>
    </row>
    <row r="430" spans="1:7" ht="19.899999999999999" customHeight="1" x14ac:dyDescent="0.15">
      <c r="A430" s="63" t="s">
        <v>919</v>
      </c>
      <c r="B430" s="63" t="s">
        <v>181</v>
      </c>
      <c r="C430" s="63" t="s">
        <v>618</v>
      </c>
      <c r="D430" s="63" t="s">
        <v>17</v>
      </c>
      <c r="E430" s="63" t="s">
        <v>619</v>
      </c>
      <c r="F430" s="63" t="s">
        <v>18</v>
      </c>
      <c r="G430" s="63" t="s">
        <v>19</v>
      </c>
    </row>
    <row r="431" spans="1:7" ht="30" customHeight="1" x14ac:dyDescent="0.15">
      <c r="A431" s="63" t="s">
        <v>920</v>
      </c>
      <c r="B431" s="63" t="s">
        <v>181</v>
      </c>
      <c r="C431" s="63" t="s">
        <v>618</v>
      </c>
      <c r="D431" s="63" t="s">
        <v>17</v>
      </c>
      <c r="E431" s="63" t="s">
        <v>619</v>
      </c>
      <c r="F431" s="63" t="s">
        <v>18</v>
      </c>
      <c r="G431" s="63" t="s">
        <v>19</v>
      </c>
    </row>
    <row r="432" spans="1:7" ht="30" customHeight="1" x14ac:dyDescent="0.15">
      <c r="A432" s="63" t="s">
        <v>921</v>
      </c>
      <c r="B432" s="63" t="s">
        <v>182</v>
      </c>
      <c r="C432" s="63" t="s">
        <v>618</v>
      </c>
      <c r="D432" s="63" t="s">
        <v>17</v>
      </c>
      <c r="E432" s="63" t="s">
        <v>619</v>
      </c>
      <c r="F432" s="63" t="s">
        <v>18</v>
      </c>
      <c r="G432" s="63" t="s">
        <v>19</v>
      </c>
    </row>
    <row r="433" spans="1:7" ht="30" customHeight="1" x14ac:dyDescent="0.15">
      <c r="A433" s="63" t="s">
        <v>922</v>
      </c>
      <c r="B433" s="63" t="s">
        <v>183</v>
      </c>
      <c r="C433" s="63" t="s">
        <v>618</v>
      </c>
      <c r="D433" s="63" t="s">
        <v>17</v>
      </c>
      <c r="E433" s="63" t="s">
        <v>619</v>
      </c>
      <c r="F433" s="63" t="s">
        <v>18</v>
      </c>
      <c r="G433" s="63" t="s">
        <v>19</v>
      </c>
    </row>
    <row r="434" spans="1:7" ht="30" customHeight="1" x14ac:dyDescent="0.15">
      <c r="A434" s="63" t="s">
        <v>923</v>
      </c>
      <c r="B434" s="63" t="s">
        <v>183</v>
      </c>
      <c r="C434" s="63" t="s">
        <v>618</v>
      </c>
      <c r="D434" s="63" t="s">
        <v>17</v>
      </c>
      <c r="E434" s="63" t="s">
        <v>619</v>
      </c>
      <c r="F434" s="63" t="s">
        <v>18</v>
      </c>
      <c r="G434" s="63" t="s">
        <v>19</v>
      </c>
    </row>
    <row r="435" spans="1:7" ht="30" customHeight="1" x14ac:dyDescent="0.15">
      <c r="A435" s="63" t="s">
        <v>924</v>
      </c>
      <c r="B435" s="63" t="s">
        <v>182</v>
      </c>
      <c r="C435" s="63" t="s">
        <v>618</v>
      </c>
      <c r="D435" s="63" t="s">
        <v>17</v>
      </c>
      <c r="E435" s="63" t="s">
        <v>619</v>
      </c>
      <c r="F435" s="63" t="s">
        <v>18</v>
      </c>
      <c r="G435" s="63" t="s">
        <v>19</v>
      </c>
    </row>
    <row r="436" spans="1:7" ht="30" customHeight="1" x14ac:dyDescent="0.15">
      <c r="A436" s="63" t="s">
        <v>925</v>
      </c>
      <c r="B436" s="63" t="s">
        <v>183</v>
      </c>
      <c r="C436" s="63" t="s">
        <v>618</v>
      </c>
      <c r="D436" s="63" t="s">
        <v>17</v>
      </c>
      <c r="E436" s="63" t="s">
        <v>619</v>
      </c>
      <c r="F436" s="63" t="s">
        <v>18</v>
      </c>
      <c r="G436" s="63" t="s">
        <v>19</v>
      </c>
    </row>
    <row r="437" spans="1:7" ht="30" customHeight="1" x14ac:dyDescent="0.15">
      <c r="A437" s="63" t="s">
        <v>926</v>
      </c>
      <c r="B437" s="63" t="s">
        <v>184</v>
      </c>
      <c r="C437" s="63" t="s">
        <v>618</v>
      </c>
      <c r="D437" s="63" t="s">
        <v>17</v>
      </c>
      <c r="E437" s="63" t="s">
        <v>619</v>
      </c>
      <c r="F437" s="63" t="s">
        <v>18</v>
      </c>
      <c r="G437" s="63" t="s">
        <v>19</v>
      </c>
    </row>
    <row r="438" spans="1:7" ht="30" customHeight="1" x14ac:dyDescent="0.15">
      <c r="A438" s="63" t="s">
        <v>927</v>
      </c>
      <c r="B438" s="63" t="s">
        <v>184</v>
      </c>
      <c r="C438" s="63" t="s">
        <v>618</v>
      </c>
      <c r="D438" s="63" t="s">
        <v>17</v>
      </c>
      <c r="E438" s="63" t="s">
        <v>619</v>
      </c>
      <c r="F438" s="63" t="s">
        <v>18</v>
      </c>
      <c r="G438" s="63" t="s">
        <v>19</v>
      </c>
    </row>
    <row r="439" spans="1:7" ht="30" customHeight="1" x14ac:dyDescent="0.15">
      <c r="A439" s="63" t="s">
        <v>928</v>
      </c>
      <c r="B439" s="63" t="s">
        <v>185</v>
      </c>
      <c r="C439" s="63" t="s">
        <v>618</v>
      </c>
      <c r="D439" s="63" t="s">
        <v>17</v>
      </c>
      <c r="E439" s="63" t="s">
        <v>619</v>
      </c>
      <c r="F439" s="63" t="s">
        <v>18</v>
      </c>
      <c r="G439" s="63" t="s">
        <v>19</v>
      </c>
    </row>
    <row r="440" spans="1:7" ht="30" customHeight="1" x14ac:dyDescent="0.15">
      <c r="A440" s="63" t="s">
        <v>929</v>
      </c>
      <c r="B440" s="63" t="s">
        <v>185</v>
      </c>
      <c r="C440" s="63" t="s">
        <v>618</v>
      </c>
      <c r="D440" s="63" t="s">
        <v>17</v>
      </c>
      <c r="E440" s="63" t="s">
        <v>619</v>
      </c>
      <c r="F440" s="63" t="s">
        <v>18</v>
      </c>
      <c r="G440" s="63" t="s">
        <v>19</v>
      </c>
    </row>
    <row r="441" spans="1:7" ht="30" customHeight="1" x14ac:dyDescent="0.15">
      <c r="A441" s="63" t="s">
        <v>930</v>
      </c>
      <c r="B441" s="63" t="s">
        <v>186</v>
      </c>
      <c r="C441" s="63" t="s">
        <v>618</v>
      </c>
      <c r="D441" s="63" t="s">
        <v>17</v>
      </c>
      <c r="E441" s="63" t="s">
        <v>619</v>
      </c>
      <c r="F441" s="63" t="s">
        <v>18</v>
      </c>
      <c r="G441" s="63" t="s">
        <v>19</v>
      </c>
    </row>
    <row r="442" spans="1:7" ht="30" customHeight="1" x14ac:dyDescent="0.15">
      <c r="A442" s="63" t="s">
        <v>931</v>
      </c>
      <c r="B442" s="63" t="s">
        <v>187</v>
      </c>
      <c r="C442" s="63" t="s">
        <v>618</v>
      </c>
      <c r="D442" s="63" t="s">
        <v>17</v>
      </c>
      <c r="E442" s="63" t="s">
        <v>619</v>
      </c>
      <c r="F442" s="63" t="s">
        <v>18</v>
      </c>
      <c r="G442" s="63" t="s">
        <v>19</v>
      </c>
    </row>
    <row r="443" spans="1:7" ht="30" customHeight="1" x14ac:dyDescent="0.15">
      <c r="A443" s="63" t="s">
        <v>932</v>
      </c>
      <c r="B443" s="63" t="s">
        <v>187</v>
      </c>
      <c r="C443" s="63" t="s">
        <v>618</v>
      </c>
      <c r="D443" s="63" t="s">
        <v>17</v>
      </c>
      <c r="E443" s="63" t="s">
        <v>619</v>
      </c>
      <c r="F443" s="63" t="s">
        <v>18</v>
      </c>
      <c r="G443" s="63" t="s">
        <v>19</v>
      </c>
    </row>
    <row r="444" spans="1:7" ht="30" customHeight="1" x14ac:dyDescent="0.15">
      <c r="A444" s="63" t="s">
        <v>933</v>
      </c>
      <c r="B444" s="63" t="s">
        <v>187</v>
      </c>
      <c r="C444" s="63" t="s">
        <v>618</v>
      </c>
      <c r="D444" s="63" t="s">
        <v>17</v>
      </c>
      <c r="E444" s="63" t="s">
        <v>619</v>
      </c>
      <c r="F444" s="63" t="s">
        <v>18</v>
      </c>
      <c r="G444" s="63" t="s">
        <v>19</v>
      </c>
    </row>
    <row r="445" spans="1:7" ht="30" customHeight="1" x14ac:dyDescent="0.15">
      <c r="A445" s="63" t="s">
        <v>934</v>
      </c>
      <c r="B445" s="63" t="s">
        <v>188</v>
      </c>
      <c r="C445" s="63" t="s">
        <v>618</v>
      </c>
      <c r="D445" s="63" t="s">
        <v>17</v>
      </c>
      <c r="E445" s="63" t="s">
        <v>619</v>
      </c>
      <c r="F445" s="63" t="s">
        <v>18</v>
      </c>
      <c r="G445" s="63" t="s">
        <v>19</v>
      </c>
    </row>
    <row r="446" spans="1:7" ht="19.899999999999999" customHeight="1" x14ac:dyDescent="0.15">
      <c r="A446" s="63" t="s">
        <v>935</v>
      </c>
      <c r="B446" s="63" t="s">
        <v>188</v>
      </c>
      <c r="C446" s="63" t="s">
        <v>618</v>
      </c>
      <c r="D446" s="63" t="s">
        <v>17</v>
      </c>
      <c r="E446" s="63" t="s">
        <v>619</v>
      </c>
      <c r="F446" s="63" t="s">
        <v>18</v>
      </c>
      <c r="G446" s="63" t="s">
        <v>19</v>
      </c>
    </row>
    <row r="447" spans="1:7" ht="19.899999999999999" customHeight="1" x14ac:dyDescent="0.15">
      <c r="A447" s="63" t="s">
        <v>936</v>
      </c>
      <c r="B447" s="63" t="s">
        <v>268</v>
      </c>
      <c r="C447" s="63" t="s">
        <v>618</v>
      </c>
      <c r="D447" s="63" t="s">
        <v>17</v>
      </c>
      <c r="E447" s="63" t="s">
        <v>619</v>
      </c>
      <c r="F447" s="63" t="s">
        <v>18</v>
      </c>
      <c r="G447" s="63" t="s">
        <v>19</v>
      </c>
    </row>
    <row r="448" spans="1:7" ht="19.899999999999999" customHeight="1" x14ac:dyDescent="0.15">
      <c r="A448" s="63" t="s">
        <v>937</v>
      </c>
      <c r="B448" s="63" t="s">
        <v>435</v>
      </c>
      <c r="C448" s="63" t="s">
        <v>618</v>
      </c>
      <c r="D448" s="63" t="s">
        <v>17</v>
      </c>
      <c r="E448" s="63" t="s">
        <v>619</v>
      </c>
      <c r="F448" s="63" t="s">
        <v>18</v>
      </c>
      <c r="G448" s="63" t="s">
        <v>19</v>
      </c>
    </row>
    <row r="449" spans="1:7" ht="19.899999999999999" customHeight="1" x14ac:dyDescent="0.15">
      <c r="A449" s="63" t="s">
        <v>938</v>
      </c>
      <c r="B449" s="63" t="s">
        <v>436</v>
      </c>
      <c r="C449" s="63" t="s">
        <v>618</v>
      </c>
      <c r="D449" s="63" t="s">
        <v>17</v>
      </c>
      <c r="E449" s="63" t="s">
        <v>619</v>
      </c>
      <c r="F449" s="63" t="s">
        <v>18</v>
      </c>
      <c r="G449" s="63" t="s">
        <v>19</v>
      </c>
    </row>
    <row r="450" spans="1:7" ht="19.899999999999999" customHeight="1" x14ac:dyDescent="0.15">
      <c r="A450" s="63" t="s">
        <v>939</v>
      </c>
      <c r="B450" s="63" t="s">
        <v>609</v>
      </c>
      <c r="C450" s="63" t="s">
        <v>618</v>
      </c>
      <c r="D450" s="63" t="s">
        <v>17</v>
      </c>
      <c r="E450" s="63" t="s">
        <v>619</v>
      </c>
      <c r="F450" s="63" t="s">
        <v>18</v>
      </c>
      <c r="G450" s="63" t="s">
        <v>19</v>
      </c>
    </row>
    <row r="451" spans="1:7" ht="19.899999999999999" customHeight="1" x14ac:dyDescent="0.15">
      <c r="A451" s="63" t="s">
        <v>940</v>
      </c>
      <c r="B451" s="63" t="s">
        <v>610</v>
      </c>
      <c r="C451" s="63" t="s">
        <v>618</v>
      </c>
      <c r="D451" s="63" t="s">
        <v>17</v>
      </c>
      <c r="E451" s="63" t="s">
        <v>619</v>
      </c>
      <c r="F451" s="63" t="s">
        <v>18</v>
      </c>
      <c r="G451" s="63" t="s">
        <v>19</v>
      </c>
    </row>
    <row r="452" spans="1:7" ht="19.899999999999999" customHeight="1" x14ac:dyDescent="0.15">
      <c r="A452" s="63" t="s">
        <v>941</v>
      </c>
      <c r="B452" s="63" t="s">
        <v>609</v>
      </c>
      <c r="C452" s="63" t="s">
        <v>618</v>
      </c>
      <c r="D452" s="63" t="s">
        <v>17</v>
      </c>
      <c r="E452" s="63" t="s">
        <v>619</v>
      </c>
      <c r="F452" s="63" t="s">
        <v>18</v>
      </c>
      <c r="G452" s="63" t="s">
        <v>19</v>
      </c>
    </row>
    <row r="453" spans="1:7" ht="19.899999999999999" customHeight="1" x14ac:dyDescent="0.15">
      <c r="A453" s="63" t="s">
        <v>942</v>
      </c>
      <c r="B453" s="63" t="s">
        <v>611</v>
      </c>
      <c r="C453" s="63" t="s">
        <v>618</v>
      </c>
      <c r="D453" s="63" t="s">
        <v>17</v>
      </c>
      <c r="E453" s="63" t="s">
        <v>619</v>
      </c>
      <c r="F453" s="63" t="s">
        <v>18</v>
      </c>
      <c r="G453" s="63" t="s">
        <v>19</v>
      </c>
    </row>
    <row r="454" spans="1:7" ht="19.899999999999999" customHeight="1" x14ac:dyDescent="0.15">
      <c r="A454" s="63" t="s">
        <v>943</v>
      </c>
      <c r="B454" s="63" t="s">
        <v>611</v>
      </c>
      <c r="C454" s="63" t="s">
        <v>618</v>
      </c>
      <c r="D454" s="63" t="s">
        <v>17</v>
      </c>
      <c r="E454" s="63" t="s">
        <v>619</v>
      </c>
      <c r="F454" s="63" t="s">
        <v>18</v>
      </c>
      <c r="G454" s="63" t="s">
        <v>19</v>
      </c>
    </row>
    <row r="455" spans="1:7" ht="19.899999999999999" customHeight="1" x14ac:dyDescent="0.15">
      <c r="A455" s="63" t="s">
        <v>944</v>
      </c>
      <c r="B455" s="63" t="s">
        <v>611</v>
      </c>
      <c r="C455" s="63" t="s">
        <v>618</v>
      </c>
      <c r="D455" s="63" t="s">
        <v>17</v>
      </c>
      <c r="E455" s="63" t="s">
        <v>619</v>
      </c>
      <c r="F455" s="63" t="s">
        <v>18</v>
      </c>
      <c r="G455" s="63" t="s">
        <v>19</v>
      </c>
    </row>
    <row r="456" spans="1:7" ht="19.899999999999999" customHeight="1" x14ac:dyDescent="0.15">
      <c r="A456" s="63" t="s">
        <v>945</v>
      </c>
      <c r="B456" s="63" t="s">
        <v>611</v>
      </c>
      <c r="C456" s="63" t="s">
        <v>618</v>
      </c>
      <c r="D456" s="63" t="s">
        <v>17</v>
      </c>
      <c r="E456" s="63" t="s">
        <v>619</v>
      </c>
      <c r="F456" s="63" t="s">
        <v>18</v>
      </c>
      <c r="G456" s="63" t="s">
        <v>19</v>
      </c>
    </row>
    <row r="457" spans="1:7" ht="19.899999999999999" customHeight="1" x14ac:dyDescent="0.15">
      <c r="A457" s="63" t="s">
        <v>946</v>
      </c>
      <c r="B457" s="63" t="s">
        <v>611</v>
      </c>
      <c r="C457" s="63" t="s">
        <v>618</v>
      </c>
      <c r="D457" s="63" t="s">
        <v>17</v>
      </c>
      <c r="E457" s="63" t="s">
        <v>619</v>
      </c>
      <c r="F457" s="63" t="s">
        <v>18</v>
      </c>
      <c r="G457" s="63" t="s">
        <v>19</v>
      </c>
    </row>
    <row r="458" spans="1:7" ht="19.899999999999999" customHeight="1" x14ac:dyDescent="0.15">
      <c r="A458" s="63" t="s">
        <v>947</v>
      </c>
      <c r="B458" s="63" t="s">
        <v>611</v>
      </c>
      <c r="C458" s="63" t="s">
        <v>618</v>
      </c>
      <c r="D458" s="63" t="s">
        <v>17</v>
      </c>
      <c r="E458" s="63" t="s">
        <v>619</v>
      </c>
      <c r="F458" s="63" t="s">
        <v>18</v>
      </c>
      <c r="G458" s="63" t="s">
        <v>19</v>
      </c>
    </row>
    <row r="459" spans="1:7" ht="19.899999999999999" customHeight="1" x14ac:dyDescent="0.15">
      <c r="A459" s="63" t="s">
        <v>948</v>
      </c>
      <c r="B459" s="63" t="s">
        <v>611</v>
      </c>
      <c r="C459" s="63" t="s">
        <v>618</v>
      </c>
      <c r="D459" s="63" t="s">
        <v>17</v>
      </c>
      <c r="E459" s="63" t="s">
        <v>619</v>
      </c>
      <c r="F459" s="63" t="s">
        <v>18</v>
      </c>
      <c r="G459" s="63" t="s">
        <v>19</v>
      </c>
    </row>
    <row r="460" spans="1:7" ht="19.899999999999999" customHeight="1" x14ac:dyDescent="0.15">
      <c r="A460" s="63" t="s">
        <v>949</v>
      </c>
      <c r="B460" s="63" t="s">
        <v>611</v>
      </c>
      <c r="C460" s="63" t="s">
        <v>618</v>
      </c>
      <c r="D460" s="63" t="s">
        <v>17</v>
      </c>
      <c r="E460" s="63" t="s">
        <v>619</v>
      </c>
      <c r="F460" s="63" t="s">
        <v>18</v>
      </c>
      <c r="G460" s="63" t="s">
        <v>19</v>
      </c>
    </row>
    <row r="461" spans="1:7" ht="19.899999999999999" customHeight="1" x14ac:dyDescent="0.15">
      <c r="A461" s="63" t="s">
        <v>950</v>
      </c>
      <c r="B461" s="63" t="s">
        <v>611</v>
      </c>
      <c r="C461" s="63" t="s">
        <v>618</v>
      </c>
      <c r="D461" s="63" t="s">
        <v>17</v>
      </c>
      <c r="E461" s="63" t="s">
        <v>619</v>
      </c>
      <c r="F461" s="63" t="s">
        <v>18</v>
      </c>
      <c r="G461" s="63" t="s">
        <v>19</v>
      </c>
    </row>
    <row r="462" spans="1:7" ht="19.899999999999999" customHeight="1" x14ac:dyDescent="0.15">
      <c r="A462" s="63" t="s">
        <v>951</v>
      </c>
      <c r="B462" s="63" t="s">
        <v>611</v>
      </c>
      <c r="C462" s="63" t="s">
        <v>618</v>
      </c>
      <c r="D462" s="63" t="s">
        <v>17</v>
      </c>
      <c r="E462" s="63" t="s">
        <v>619</v>
      </c>
      <c r="F462" s="63" t="s">
        <v>18</v>
      </c>
      <c r="G462" s="63" t="s">
        <v>19</v>
      </c>
    </row>
    <row r="463" spans="1:7" ht="19.899999999999999" customHeight="1" x14ac:dyDescent="0.15">
      <c r="A463" s="63" t="s">
        <v>952</v>
      </c>
      <c r="B463" s="63" t="s">
        <v>611</v>
      </c>
      <c r="C463" s="63" t="s">
        <v>618</v>
      </c>
      <c r="D463" s="63" t="s">
        <v>17</v>
      </c>
      <c r="E463" s="63" t="s">
        <v>619</v>
      </c>
      <c r="F463" s="63" t="s">
        <v>18</v>
      </c>
      <c r="G463" s="63" t="s">
        <v>19</v>
      </c>
    </row>
    <row r="464" spans="1:7" ht="19.899999999999999" customHeight="1" x14ac:dyDescent="0.15">
      <c r="A464" s="63" t="s">
        <v>953</v>
      </c>
      <c r="B464" s="63" t="s">
        <v>611</v>
      </c>
      <c r="C464" s="63" t="s">
        <v>618</v>
      </c>
      <c r="D464" s="63" t="s">
        <v>17</v>
      </c>
      <c r="E464" s="63" t="s">
        <v>619</v>
      </c>
      <c r="F464" s="63" t="s">
        <v>18</v>
      </c>
      <c r="G464" s="63" t="s">
        <v>19</v>
      </c>
    </row>
    <row r="465" spans="1:7" ht="19.899999999999999" customHeight="1" x14ac:dyDescent="0.15">
      <c r="A465" s="63" t="s">
        <v>954</v>
      </c>
      <c r="B465" s="63" t="s">
        <v>611</v>
      </c>
      <c r="C465" s="63" t="s">
        <v>618</v>
      </c>
      <c r="D465" s="63" t="s">
        <v>17</v>
      </c>
      <c r="E465" s="63" t="s">
        <v>619</v>
      </c>
      <c r="F465" s="63" t="s">
        <v>18</v>
      </c>
      <c r="G465" s="63" t="s">
        <v>19</v>
      </c>
    </row>
    <row r="466" spans="1:7" ht="19.899999999999999" customHeight="1" x14ac:dyDescent="0.15">
      <c r="A466" s="63" t="s">
        <v>955</v>
      </c>
      <c r="B466" s="63" t="s">
        <v>611</v>
      </c>
      <c r="C466" s="63" t="s">
        <v>618</v>
      </c>
      <c r="D466" s="63" t="s">
        <v>17</v>
      </c>
      <c r="E466" s="63" t="s">
        <v>619</v>
      </c>
      <c r="F466" s="63" t="s">
        <v>18</v>
      </c>
      <c r="G466" s="63" t="s">
        <v>19</v>
      </c>
    </row>
    <row r="467" spans="1:7" ht="19.899999999999999" customHeight="1" x14ac:dyDescent="0.15">
      <c r="A467" s="63" t="s">
        <v>956</v>
      </c>
      <c r="B467" s="63" t="s">
        <v>612</v>
      </c>
      <c r="C467" s="63" t="s">
        <v>618</v>
      </c>
      <c r="D467" s="63" t="s">
        <v>17</v>
      </c>
      <c r="E467" s="63" t="s">
        <v>619</v>
      </c>
      <c r="F467" s="63" t="s">
        <v>18</v>
      </c>
      <c r="G467" s="63" t="s">
        <v>19</v>
      </c>
    </row>
    <row r="468" spans="1:7" ht="19.899999999999999" customHeight="1" x14ac:dyDescent="0.15">
      <c r="A468" s="63" t="s">
        <v>957</v>
      </c>
      <c r="B468" s="63" t="s">
        <v>613</v>
      </c>
      <c r="C468" s="63" t="s">
        <v>618</v>
      </c>
      <c r="D468" s="63" t="s">
        <v>17</v>
      </c>
      <c r="E468" s="63" t="s">
        <v>619</v>
      </c>
      <c r="F468" s="63" t="s">
        <v>18</v>
      </c>
      <c r="G468" s="63" t="s">
        <v>19</v>
      </c>
    </row>
    <row r="469" spans="1:7" ht="19.899999999999999" customHeight="1" x14ac:dyDescent="0.15">
      <c r="A469" s="63" t="s">
        <v>958</v>
      </c>
      <c r="B469" s="63" t="s">
        <v>613</v>
      </c>
      <c r="C469" s="63" t="s">
        <v>618</v>
      </c>
      <c r="D469" s="63" t="s">
        <v>17</v>
      </c>
      <c r="E469" s="63" t="s">
        <v>619</v>
      </c>
      <c r="F469" s="63" t="s">
        <v>18</v>
      </c>
      <c r="G469" s="63" t="s">
        <v>19</v>
      </c>
    </row>
    <row r="470" spans="1:7" ht="19.899999999999999" customHeight="1" x14ac:dyDescent="0.15">
      <c r="A470" s="63" t="s">
        <v>959</v>
      </c>
      <c r="B470" s="63" t="s">
        <v>613</v>
      </c>
      <c r="C470" s="63" t="s">
        <v>618</v>
      </c>
      <c r="D470" s="63" t="s">
        <v>17</v>
      </c>
      <c r="E470" s="63" t="s">
        <v>619</v>
      </c>
      <c r="F470" s="63" t="s">
        <v>18</v>
      </c>
      <c r="G470" s="63" t="s">
        <v>19</v>
      </c>
    </row>
    <row r="471" spans="1:7" ht="19.899999999999999" customHeight="1" x14ac:dyDescent="0.15">
      <c r="A471" s="63" t="s">
        <v>960</v>
      </c>
      <c r="B471" s="63" t="s">
        <v>613</v>
      </c>
      <c r="C471" s="63" t="s">
        <v>618</v>
      </c>
      <c r="D471" s="63" t="s">
        <v>17</v>
      </c>
      <c r="E471" s="63" t="s">
        <v>619</v>
      </c>
      <c r="F471" s="63" t="s">
        <v>18</v>
      </c>
      <c r="G471" s="63" t="s">
        <v>19</v>
      </c>
    </row>
    <row r="472" spans="1:7" ht="19.899999999999999" customHeight="1" x14ac:dyDescent="0.15">
      <c r="A472" s="63" t="s">
        <v>961</v>
      </c>
      <c r="B472" s="63" t="s">
        <v>612</v>
      </c>
      <c r="C472" s="63" t="s">
        <v>618</v>
      </c>
      <c r="D472" s="63" t="s">
        <v>17</v>
      </c>
      <c r="E472" s="63" t="s">
        <v>619</v>
      </c>
      <c r="F472" s="63" t="s">
        <v>18</v>
      </c>
      <c r="G472" s="63" t="s">
        <v>19</v>
      </c>
    </row>
    <row r="473" spans="1:7" ht="19.899999999999999" customHeight="1" x14ac:dyDescent="0.15">
      <c r="A473" s="63" t="s">
        <v>962</v>
      </c>
      <c r="B473" s="63" t="s">
        <v>612</v>
      </c>
      <c r="C473" s="63" t="s">
        <v>618</v>
      </c>
      <c r="D473" s="63" t="s">
        <v>17</v>
      </c>
      <c r="E473" s="63" t="s">
        <v>619</v>
      </c>
      <c r="F473" s="63" t="s">
        <v>18</v>
      </c>
      <c r="G473" s="63" t="s">
        <v>19</v>
      </c>
    </row>
    <row r="474" spans="1:7" ht="19.899999999999999" customHeight="1" x14ac:dyDescent="0.15">
      <c r="A474" s="63" t="s">
        <v>963</v>
      </c>
      <c r="B474" s="63" t="s">
        <v>612</v>
      </c>
      <c r="C474" s="63" t="s">
        <v>618</v>
      </c>
      <c r="D474" s="63" t="s">
        <v>17</v>
      </c>
      <c r="E474" s="63" t="s">
        <v>619</v>
      </c>
      <c r="F474" s="63" t="s">
        <v>18</v>
      </c>
      <c r="G474" s="63" t="s">
        <v>19</v>
      </c>
    </row>
    <row r="475" spans="1:7" ht="19.899999999999999" customHeight="1" x14ac:dyDescent="0.15">
      <c r="A475" s="63" t="s">
        <v>964</v>
      </c>
      <c r="B475" s="63" t="s">
        <v>612</v>
      </c>
      <c r="C475" s="63" t="s">
        <v>618</v>
      </c>
      <c r="D475" s="63" t="s">
        <v>17</v>
      </c>
      <c r="E475" s="63" t="s">
        <v>619</v>
      </c>
      <c r="F475" s="63" t="s">
        <v>18</v>
      </c>
      <c r="G475" s="63" t="s">
        <v>19</v>
      </c>
    </row>
    <row r="476" spans="1:7" ht="19.899999999999999" customHeight="1" x14ac:dyDescent="0.15">
      <c r="A476" s="63" t="s">
        <v>466</v>
      </c>
      <c r="B476" s="63" t="s">
        <v>467</v>
      </c>
      <c r="C476" s="63" t="s">
        <v>618</v>
      </c>
      <c r="D476" s="63" t="s">
        <v>17</v>
      </c>
      <c r="E476" s="63" t="s">
        <v>619</v>
      </c>
      <c r="F476" s="63" t="s">
        <v>18</v>
      </c>
      <c r="G476" s="63" t="s">
        <v>19</v>
      </c>
    </row>
    <row r="477" spans="1:7" ht="19.899999999999999" customHeight="1" x14ac:dyDescent="0.15">
      <c r="A477" s="63" t="s">
        <v>468</v>
      </c>
      <c r="B477" s="63" t="s">
        <v>467</v>
      </c>
      <c r="C477" s="63" t="s">
        <v>618</v>
      </c>
      <c r="D477" s="63" t="s">
        <v>17</v>
      </c>
      <c r="E477" s="63" t="s">
        <v>619</v>
      </c>
      <c r="F477" s="63" t="s">
        <v>18</v>
      </c>
      <c r="G477" s="63" t="s">
        <v>19</v>
      </c>
    </row>
    <row r="478" spans="1:7" ht="19.899999999999999" customHeight="1" x14ac:dyDescent="0.15">
      <c r="A478" s="63" t="s">
        <v>469</v>
      </c>
      <c r="B478" s="63" t="s">
        <v>470</v>
      </c>
      <c r="C478" s="63" t="s">
        <v>618</v>
      </c>
      <c r="D478" s="63" t="s">
        <v>17</v>
      </c>
      <c r="E478" s="63" t="s">
        <v>619</v>
      </c>
      <c r="F478" s="63" t="s">
        <v>18</v>
      </c>
      <c r="G478" s="63" t="s">
        <v>19</v>
      </c>
    </row>
    <row r="479" spans="1:7" ht="19.899999999999999" customHeight="1" x14ac:dyDescent="0.15">
      <c r="A479" s="63" t="s">
        <v>471</v>
      </c>
      <c r="B479" s="63" t="s">
        <v>470</v>
      </c>
      <c r="C479" s="63" t="s">
        <v>618</v>
      </c>
      <c r="D479" s="63" t="s">
        <v>17</v>
      </c>
      <c r="E479" s="63" t="s">
        <v>619</v>
      </c>
      <c r="F479" s="63" t="s">
        <v>18</v>
      </c>
      <c r="G479" s="63" t="s">
        <v>19</v>
      </c>
    </row>
    <row r="480" spans="1:7" ht="19.899999999999999" customHeight="1" x14ac:dyDescent="0.15">
      <c r="A480" s="63" t="s">
        <v>472</v>
      </c>
      <c r="B480" s="63" t="s">
        <v>470</v>
      </c>
      <c r="C480" s="63" t="s">
        <v>618</v>
      </c>
      <c r="D480" s="63" t="s">
        <v>17</v>
      </c>
      <c r="E480" s="63" t="s">
        <v>619</v>
      </c>
      <c r="F480" s="63" t="s">
        <v>18</v>
      </c>
      <c r="G480" s="63" t="s">
        <v>19</v>
      </c>
    </row>
    <row r="481" spans="1:7" ht="19.899999999999999" customHeight="1" x14ac:dyDescent="0.15">
      <c r="A481" s="63" t="s">
        <v>473</v>
      </c>
      <c r="B481" s="63" t="s">
        <v>470</v>
      </c>
      <c r="C481" s="63" t="s">
        <v>618</v>
      </c>
      <c r="D481" s="63" t="s">
        <v>17</v>
      </c>
      <c r="E481" s="63" t="s">
        <v>619</v>
      </c>
      <c r="F481" s="63" t="s">
        <v>18</v>
      </c>
      <c r="G481" s="63" t="s">
        <v>19</v>
      </c>
    </row>
    <row r="482" spans="1:7" ht="19.899999999999999" customHeight="1" x14ac:dyDescent="0.15">
      <c r="A482" s="63" t="s">
        <v>474</v>
      </c>
      <c r="B482" s="63" t="s">
        <v>475</v>
      </c>
      <c r="C482" s="63" t="s">
        <v>618</v>
      </c>
      <c r="D482" s="63" t="s">
        <v>17</v>
      </c>
      <c r="E482" s="63" t="s">
        <v>619</v>
      </c>
      <c r="F482" s="63" t="s">
        <v>18</v>
      </c>
      <c r="G482" s="63" t="s">
        <v>19</v>
      </c>
    </row>
    <row r="483" spans="1:7" ht="19.899999999999999" customHeight="1" x14ac:dyDescent="0.15">
      <c r="A483" s="63" t="s">
        <v>476</v>
      </c>
      <c r="B483" s="63" t="s">
        <v>475</v>
      </c>
      <c r="C483" s="63" t="s">
        <v>618</v>
      </c>
      <c r="D483" s="63" t="s">
        <v>17</v>
      </c>
      <c r="E483" s="63" t="s">
        <v>619</v>
      </c>
      <c r="F483" s="63" t="s">
        <v>18</v>
      </c>
      <c r="G483" s="63" t="s">
        <v>19</v>
      </c>
    </row>
    <row r="484" spans="1:7" ht="19.899999999999999" customHeight="1" x14ac:dyDescent="0.15">
      <c r="A484" s="63" t="s">
        <v>477</v>
      </c>
      <c r="B484" s="63" t="s">
        <v>475</v>
      </c>
      <c r="C484" s="63" t="s">
        <v>618</v>
      </c>
      <c r="D484" s="63" t="s">
        <v>17</v>
      </c>
      <c r="E484" s="63" t="s">
        <v>619</v>
      </c>
      <c r="F484" s="63" t="s">
        <v>18</v>
      </c>
      <c r="G484" s="63" t="s">
        <v>19</v>
      </c>
    </row>
    <row r="485" spans="1:7" ht="19.899999999999999" customHeight="1" x14ac:dyDescent="0.15">
      <c r="A485" s="63" t="s">
        <v>478</v>
      </c>
      <c r="B485" s="63" t="s">
        <v>475</v>
      </c>
      <c r="C485" s="63" t="s">
        <v>618</v>
      </c>
      <c r="D485" s="63" t="s">
        <v>17</v>
      </c>
      <c r="E485" s="63" t="s">
        <v>619</v>
      </c>
      <c r="F485" s="63" t="s">
        <v>18</v>
      </c>
      <c r="G485" s="63" t="s">
        <v>19</v>
      </c>
    </row>
    <row r="486" spans="1:7" ht="19.899999999999999" customHeight="1" x14ac:dyDescent="0.15">
      <c r="A486" s="63" t="s">
        <v>479</v>
      </c>
      <c r="B486" s="63" t="s">
        <v>475</v>
      </c>
      <c r="C486" s="63" t="s">
        <v>618</v>
      </c>
      <c r="D486" s="63" t="s">
        <v>17</v>
      </c>
      <c r="E486" s="63" t="s">
        <v>619</v>
      </c>
      <c r="F486" s="63" t="s">
        <v>18</v>
      </c>
      <c r="G486" s="63" t="s">
        <v>19</v>
      </c>
    </row>
    <row r="487" spans="1:7" ht="19.899999999999999" customHeight="1" x14ac:dyDescent="0.15">
      <c r="A487" s="63" t="s">
        <v>480</v>
      </c>
      <c r="B487" s="63" t="s">
        <v>481</v>
      </c>
      <c r="C487" s="63" t="s">
        <v>618</v>
      </c>
      <c r="D487" s="63" t="s">
        <v>17</v>
      </c>
      <c r="E487" s="63" t="s">
        <v>619</v>
      </c>
      <c r="F487" s="63" t="s">
        <v>18</v>
      </c>
      <c r="G487" s="63" t="s">
        <v>19</v>
      </c>
    </row>
    <row r="488" spans="1:7" ht="19.899999999999999" customHeight="1" x14ac:dyDescent="0.15">
      <c r="A488" s="63" t="s">
        <v>482</v>
      </c>
      <c r="B488" s="63" t="s">
        <v>483</v>
      </c>
      <c r="C488" s="63" t="s">
        <v>618</v>
      </c>
      <c r="D488" s="63" t="s">
        <v>17</v>
      </c>
      <c r="E488" s="63" t="s">
        <v>619</v>
      </c>
      <c r="F488" s="63" t="s">
        <v>18</v>
      </c>
      <c r="G488" s="63" t="s">
        <v>19</v>
      </c>
    </row>
    <row r="489" spans="1:7" ht="19.899999999999999" customHeight="1" x14ac:dyDescent="0.15">
      <c r="A489" s="63" t="s">
        <v>484</v>
      </c>
      <c r="B489" s="63" t="s">
        <v>485</v>
      </c>
      <c r="C489" s="63" t="s">
        <v>618</v>
      </c>
      <c r="D489" s="63" t="s">
        <v>17</v>
      </c>
      <c r="E489" s="63" t="s">
        <v>619</v>
      </c>
      <c r="F489" s="63" t="s">
        <v>18</v>
      </c>
      <c r="G489" s="63" t="s">
        <v>19</v>
      </c>
    </row>
    <row r="490" spans="1:7" ht="19.899999999999999" customHeight="1" x14ac:dyDescent="0.15">
      <c r="A490" s="63" t="s">
        <v>486</v>
      </c>
      <c r="B490" s="63" t="s">
        <v>487</v>
      </c>
      <c r="C490" s="63" t="s">
        <v>618</v>
      </c>
      <c r="D490" s="63" t="s">
        <v>17</v>
      </c>
      <c r="E490" s="63" t="s">
        <v>619</v>
      </c>
      <c r="F490" s="63" t="s">
        <v>18</v>
      </c>
      <c r="G490" s="63" t="s">
        <v>19</v>
      </c>
    </row>
    <row r="491" spans="1:7" ht="19.899999999999999" customHeight="1" x14ac:dyDescent="0.15">
      <c r="A491" s="63" t="s">
        <v>488</v>
      </c>
      <c r="B491" s="63" t="s">
        <v>489</v>
      </c>
      <c r="C491" s="63" t="s">
        <v>618</v>
      </c>
      <c r="D491" s="63" t="s">
        <v>17</v>
      </c>
      <c r="E491" s="63" t="s">
        <v>619</v>
      </c>
      <c r="F491" s="63" t="s">
        <v>18</v>
      </c>
      <c r="G491" s="63" t="s">
        <v>19</v>
      </c>
    </row>
    <row r="492" spans="1:7" ht="19.899999999999999" customHeight="1" x14ac:dyDescent="0.15">
      <c r="A492" s="63" t="s">
        <v>490</v>
      </c>
      <c r="B492" s="63" t="s">
        <v>491</v>
      </c>
      <c r="C492" s="63" t="s">
        <v>618</v>
      </c>
      <c r="D492" s="63" t="s">
        <v>17</v>
      </c>
      <c r="E492" s="63" t="s">
        <v>619</v>
      </c>
      <c r="F492" s="63" t="s">
        <v>18</v>
      </c>
      <c r="G492" s="63" t="s">
        <v>19</v>
      </c>
    </row>
    <row r="493" spans="1:7" ht="19.899999999999999" customHeight="1" x14ac:dyDescent="0.15">
      <c r="A493" s="63" t="s">
        <v>492</v>
      </c>
      <c r="B493" s="63" t="s">
        <v>493</v>
      </c>
      <c r="C493" s="63" t="s">
        <v>618</v>
      </c>
      <c r="D493" s="63" t="s">
        <v>17</v>
      </c>
      <c r="E493" s="63" t="s">
        <v>619</v>
      </c>
      <c r="F493" s="63" t="s">
        <v>18</v>
      </c>
      <c r="G493" s="63" t="s">
        <v>19</v>
      </c>
    </row>
    <row r="494" spans="1:7" ht="19.899999999999999" customHeight="1" x14ac:dyDescent="0.15">
      <c r="A494" s="63" t="s">
        <v>494</v>
      </c>
      <c r="B494" s="63" t="s">
        <v>495</v>
      </c>
      <c r="C494" s="63" t="s">
        <v>618</v>
      </c>
      <c r="D494" s="63" t="s">
        <v>17</v>
      </c>
      <c r="E494" s="63" t="s">
        <v>619</v>
      </c>
      <c r="F494" s="63" t="s">
        <v>18</v>
      </c>
      <c r="G494" s="63" t="s">
        <v>19</v>
      </c>
    </row>
    <row r="495" spans="1:7" ht="19.899999999999999" customHeight="1" x14ac:dyDescent="0.15">
      <c r="A495" s="63" t="s">
        <v>496</v>
      </c>
      <c r="B495" s="63" t="s">
        <v>497</v>
      </c>
      <c r="C495" s="63" t="s">
        <v>618</v>
      </c>
      <c r="D495" s="63" t="s">
        <v>17</v>
      </c>
      <c r="E495" s="63" t="s">
        <v>619</v>
      </c>
      <c r="F495" s="63" t="s">
        <v>18</v>
      </c>
      <c r="G495" s="63" t="s">
        <v>19</v>
      </c>
    </row>
    <row r="496" spans="1:7" ht="19.899999999999999" customHeight="1" x14ac:dyDescent="0.15">
      <c r="A496" s="63" t="s">
        <v>498</v>
      </c>
      <c r="B496" s="63" t="s">
        <v>499</v>
      </c>
      <c r="C496" s="63" t="s">
        <v>618</v>
      </c>
      <c r="D496" s="63" t="s">
        <v>17</v>
      </c>
      <c r="E496" s="63" t="s">
        <v>619</v>
      </c>
      <c r="F496" s="63" t="s">
        <v>18</v>
      </c>
      <c r="G496" s="63" t="s">
        <v>19</v>
      </c>
    </row>
    <row r="497" spans="1:7" ht="19.899999999999999" customHeight="1" x14ac:dyDescent="0.15">
      <c r="A497" s="63" t="s">
        <v>500</v>
      </c>
      <c r="B497" s="63" t="s">
        <v>501</v>
      </c>
      <c r="C497" s="63" t="s">
        <v>618</v>
      </c>
      <c r="D497" s="63" t="s">
        <v>17</v>
      </c>
      <c r="E497" s="63" t="s">
        <v>619</v>
      </c>
      <c r="F497" s="63" t="s">
        <v>18</v>
      </c>
      <c r="G497" s="63" t="s">
        <v>19</v>
      </c>
    </row>
    <row r="498" spans="1:7" ht="19.899999999999999" customHeight="1" x14ac:dyDescent="0.15">
      <c r="A498" s="63" t="s">
        <v>502</v>
      </c>
      <c r="B498" s="63" t="s">
        <v>503</v>
      </c>
      <c r="C498" s="63" t="s">
        <v>618</v>
      </c>
      <c r="D498" s="63" t="s">
        <v>17</v>
      </c>
      <c r="E498" s="63" t="s">
        <v>619</v>
      </c>
      <c r="F498" s="63" t="s">
        <v>18</v>
      </c>
      <c r="G498" s="63" t="s">
        <v>19</v>
      </c>
    </row>
    <row r="499" spans="1:7" ht="30" customHeight="1" x14ac:dyDescent="0.15">
      <c r="A499" s="63" t="s">
        <v>504</v>
      </c>
      <c r="B499" s="63" t="s">
        <v>505</v>
      </c>
      <c r="C499" s="63" t="s">
        <v>618</v>
      </c>
      <c r="D499" s="63" t="s">
        <v>17</v>
      </c>
      <c r="E499" s="63" t="s">
        <v>619</v>
      </c>
      <c r="F499" s="63" t="s">
        <v>18</v>
      </c>
      <c r="G499" s="63" t="s">
        <v>19</v>
      </c>
    </row>
    <row r="500" spans="1:7" ht="19.899999999999999" customHeight="1" x14ac:dyDescent="0.15">
      <c r="A500" s="63" t="s">
        <v>506</v>
      </c>
      <c r="B500" s="63" t="s">
        <v>507</v>
      </c>
      <c r="C500" s="63" t="s">
        <v>618</v>
      </c>
      <c r="D500" s="63" t="s">
        <v>17</v>
      </c>
      <c r="E500" s="63" t="s">
        <v>619</v>
      </c>
      <c r="F500" s="63" t="s">
        <v>18</v>
      </c>
      <c r="G500" s="63" t="s">
        <v>19</v>
      </c>
    </row>
    <row r="501" spans="1:7" ht="19.899999999999999" customHeight="1" x14ac:dyDescent="0.15">
      <c r="A501" s="63" t="s">
        <v>508</v>
      </c>
      <c r="B501" s="63" t="s">
        <v>509</v>
      </c>
      <c r="C501" s="63" t="s">
        <v>618</v>
      </c>
      <c r="D501" s="63" t="s">
        <v>17</v>
      </c>
      <c r="E501" s="63" t="s">
        <v>619</v>
      </c>
      <c r="F501" s="63" t="s">
        <v>18</v>
      </c>
      <c r="G501" s="63" t="s">
        <v>19</v>
      </c>
    </row>
    <row r="502" spans="1:7" ht="19.899999999999999" customHeight="1" x14ac:dyDescent="0.15">
      <c r="A502" s="63" t="s">
        <v>510</v>
      </c>
      <c r="B502" s="63" t="s">
        <v>511</v>
      </c>
      <c r="C502" s="63" t="s">
        <v>618</v>
      </c>
      <c r="D502" s="63" t="s">
        <v>17</v>
      </c>
      <c r="E502" s="63" t="s">
        <v>619</v>
      </c>
      <c r="F502" s="63" t="s">
        <v>18</v>
      </c>
      <c r="G502" s="63" t="s">
        <v>19</v>
      </c>
    </row>
    <row r="503" spans="1:7" ht="30" customHeight="1" x14ac:dyDescent="0.15">
      <c r="A503" s="63" t="s">
        <v>512</v>
      </c>
      <c r="B503" s="63" t="s">
        <v>513</v>
      </c>
      <c r="C503" s="63" t="s">
        <v>618</v>
      </c>
      <c r="D503" s="63" t="s">
        <v>17</v>
      </c>
      <c r="E503" s="63" t="s">
        <v>619</v>
      </c>
      <c r="F503" s="63" t="s">
        <v>18</v>
      </c>
      <c r="G503" s="63" t="s">
        <v>19</v>
      </c>
    </row>
    <row r="504" spans="1:7" ht="19.899999999999999" customHeight="1" x14ac:dyDescent="0.15">
      <c r="A504" s="63" t="s">
        <v>514</v>
      </c>
      <c r="B504" s="63" t="s">
        <v>513</v>
      </c>
      <c r="C504" s="63" t="s">
        <v>618</v>
      </c>
      <c r="D504" s="63" t="s">
        <v>17</v>
      </c>
      <c r="E504" s="63" t="s">
        <v>619</v>
      </c>
      <c r="F504" s="63" t="s">
        <v>18</v>
      </c>
      <c r="G504" s="63" t="s">
        <v>19</v>
      </c>
    </row>
    <row r="505" spans="1:7" ht="19.899999999999999" customHeight="1" x14ac:dyDescent="0.15">
      <c r="A505" s="63" t="s">
        <v>515</v>
      </c>
      <c r="B505" s="63" t="s">
        <v>513</v>
      </c>
      <c r="C505" s="63" t="s">
        <v>618</v>
      </c>
      <c r="D505" s="63" t="s">
        <v>17</v>
      </c>
      <c r="E505" s="63" t="s">
        <v>619</v>
      </c>
      <c r="F505" s="63" t="s">
        <v>18</v>
      </c>
      <c r="G505" s="63" t="s">
        <v>19</v>
      </c>
    </row>
    <row r="506" spans="1:7" ht="19.899999999999999" customHeight="1" x14ac:dyDescent="0.15">
      <c r="A506" s="63" t="s">
        <v>516</v>
      </c>
      <c r="B506" s="63" t="s">
        <v>513</v>
      </c>
      <c r="C506" s="63" t="s">
        <v>618</v>
      </c>
      <c r="D506" s="63" t="s">
        <v>17</v>
      </c>
      <c r="E506" s="63" t="s">
        <v>619</v>
      </c>
      <c r="F506" s="63" t="s">
        <v>18</v>
      </c>
      <c r="G506" s="63" t="s">
        <v>19</v>
      </c>
    </row>
    <row r="507" spans="1:7" ht="19.899999999999999" customHeight="1" x14ac:dyDescent="0.15">
      <c r="A507" s="63" t="s">
        <v>517</v>
      </c>
      <c r="B507" s="63" t="s">
        <v>518</v>
      </c>
      <c r="C507" s="63" t="s">
        <v>618</v>
      </c>
      <c r="D507" s="63" t="s">
        <v>17</v>
      </c>
      <c r="E507" s="63" t="s">
        <v>619</v>
      </c>
      <c r="F507" s="63" t="s">
        <v>18</v>
      </c>
      <c r="G507" s="63" t="s">
        <v>19</v>
      </c>
    </row>
    <row r="508" spans="1:7" ht="19.899999999999999" customHeight="1" x14ac:dyDescent="0.15">
      <c r="A508" s="63" t="s">
        <v>519</v>
      </c>
      <c r="B508" s="63" t="s">
        <v>518</v>
      </c>
      <c r="C508" s="63" t="s">
        <v>618</v>
      </c>
      <c r="D508" s="63" t="s">
        <v>17</v>
      </c>
      <c r="E508" s="63" t="s">
        <v>619</v>
      </c>
      <c r="F508" s="63" t="s">
        <v>18</v>
      </c>
      <c r="G508" s="63" t="s">
        <v>19</v>
      </c>
    </row>
    <row r="509" spans="1:7" ht="19.899999999999999" customHeight="1" x14ac:dyDescent="0.15">
      <c r="A509" s="63" t="s">
        <v>520</v>
      </c>
      <c r="B509" s="63" t="s">
        <v>518</v>
      </c>
      <c r="C509" s="63" t="s">
        <v>618</v>
      </c>
      <c r="D509" s="63" t="s">
        <v>17</v>
      </c>
      <c r="E509" s="63" t="s">
        <v>619</v>
      </c>
      <c r="F509" s="63" t="s">
        <v>18</v>
      </c>
      <c r="G509" s="63" t="s">
        <v>19</v>
      </c>
    </row>
    <row r="510" spans="1:7" ht="30" customHeight="1" x14ac:dyDescent="0.15">
      <c r="A510" s="63" t="s">
        <v>521</v>
      </c>
      <c r="B510" s="63" t="s">
        <v>518</v>
      </c>
      <c r="C510" s="63" t="s">
        <v>618</v>
      </c>
      <c r="D510" s="63" t="s">
        <v>17</v>
      </c>
      <c r="E510" s="63" t="s">
        <v>619</v>
      </c>
      <c r="F510" s="63" t="s">
        <v>18</v>
      </c>
      <c r="G510" s="63" t="s">
        <v>19</v>
      </c>
    </row>
    <row r="511" spans="1:7" ht="40.15" customHeight="1" x14ac:dyDescent="0.15">
      <c r="A511" s="63" t="s">
        <v>522</v>
      </c>
      <c r="B511" s="63" t="s">
        <v>518</v>
      </c>
      <c r="C511" s="63" t="s">
        <v>618</v>
      </c>
      <c r="D511" s="63" t="s">
        <v>17</v>
      </c>
      <c r="E511" s="63" t="s">
        <v>619</v>
      </c>
      <c r="F511" s="63" t="s">
        <v>18</v>
      </c>
      <c r="G511" s="63" t="s">
        <v>19</v>
      </c>
    </row>
    <row r="512" spans="1:7" ht="30" customHeight="1" x14ac:dyDescent="0.15">
      <c r="A512" s="63" t="s">
        <v>523</v>
      </c>
      <c r="B512" s="63" t="s">
        <v>518</v>
      </c>
      <c r="C512" s="63" t="s">
        <v>618</v>
      </c>
      <c r="D512" s="63" t="s">
        <v>17</v>
      </c>
      <c r="E512" s="63" t="s">
        <v>619</v>
      </c>
      <c r="F512" s="63" t="s">
        <v>18</v>
      </c>
      <c r="G512" s="63" t="s">
        <v>19</v>
      </c>
    </row>
    <row r="513" spans="1:7" ht="30" customHeight="1" x14ac:dyDescent="0.15">
      <c r="A513" s="63" t="s">
        <v>524</v>
      </c>
      <c r="B513" s="63" t="s">
        <v>518</v>
      </c>
      <c r="C513" s="63" t="s">
        <v>618</v>
      </c>
      <c r="D513" s="63" t="s">
        <v>17</v>
      </c>
      <c r="E513" s="63" t="s">
        <v>619</v>
      </c>
      <c r="F513" s="63" t="s">
        <v>18</v>
      </c>
      <c r="G513" s="63" t="s">
        <v>19</v>
      </c>
    </row>
    <row r="514" spans="1:7" ht="30" customHeight="1" x14ac:dyDescent="0.15">
      <c r="A514" s="63" t="s">
        <v>525</v>
      </c>
      <c r="B514" s="63" t="s">
        <v>518</v>
      </c>
      <c r="C514" s="63" t="s">
        <v>618</v>
      </c>
      <c r="D514" s="63" t="s">
        <v>17</v>
      </c>
      <c r="E514" s="63" t="s">
        <v>619</v>
      </c>
      <c r="F514" s="63" t="s">
        <v>18</v>
      </c>
      <c r="G514" s="63" t="s">
        <v>19</v>
      </c>
    </row>
    <row r="515" spans="1:7" ht="30" customHeight="1" x14ac:dyDescent="0.15">
      <c r="A515" s="63" t="s">
        <v>526</v>
      </c>
      <c r="B515" s="63" t="s">
        <v>518</v>
      </c>
      <c r="C515" s="63" t="s">
        <v>618</v>
      </c>
      <c r="D515" s="63" t="s">
        <v>17</v>
      </c>
      <c r="E515" s="63" t="s">
        <v>619</v>
      </c>
      <c r="F515" s="63" t="s">
        <v>18</v>
      </c>
      <c r="G515" s="63" t="s">
        <v>19</v>
      </c>
    </row>
    <row r="516" spans="1:7" ht="30" customHeight="1" x14ac:dyDescent="0.15">
      <c r="A516" s="63" t="s">
        <v>527</v>
      </c>
      <c r="B516" s="63" t="s">
        <v>518</v>
      </c>
      <c r="C516" s="63" t="s">
        <v>618</v>
      </c>
      <c r="D516" s="63" t="s">
        <v>17</v>
      </c>
      <c r="E516" s="63" t="s">
        <v>619</v>
      </c>
      <c r="F516" s="63" t="s">
        <v>18</v>
      </c>
      <c r="G516" s="63" t="s">
        <v>19</v>
      </c>
    </row>
    <row r="517" spans="1:7" ht="30" customHeight="1" x14ac:dyDescent="0.15">
      <c r="A517" s="63" t="s">
        <v>528</v>
      </c>
      <c r="B517" s="63" t="s">
        <v>518</v>
      </c>
      <c r="C517" s="63" t="s">
        <v>618</v>
      </c>
      <c r="D517" s="63" t="s">
        <v>17</v>
      </c>
      <c r="E517" s="63" t="s">
        <v>619</v>
      </c>
      <c r="F517" s="63" t="s">
        <v>18</v>
      </c>
      <c r="G517" s="63" t="s">
        <v>19</v>
      </c>
    </row>
    <row r="518" spans="1:7" ht="30" customHeight="1" x14ac:dyDescent="0.15">
      <c r="A518" s="63" t="s">
        <v>529</v>
      </c>
      <c r="B518" s="63" t="s">
        <v>518</v>
      </c>
      <c r="C518" s="63" t="s">
        <v>618</v>
      </c>
      <c r="D518" s="63" t="s">
        <v>17</v>
      </c>
      <c r="E518" s="63" t="s">
        <v>619</v>
      </c>
      <c r="F518" s="63" t="s">
        <v>18</v>
      </c>
      <c r="G518" s="63" t="s">
        <v>19</v>
      </c>
    </row>
    <row r="519" spans="1:7" ht="30" customHeight="1" x14ac:dyDescent="0.15">
      <c r="A519" s="63" t="s">
        <v>530</v>
      </c>
      <c r="B519" s="63" t="s">
        <v>518</v>
      </c>
      <c r="C519" s="63" t="s">
        <v>618</v>
      </c>
      <c r="D519" s="63" t="s">
        <v>17</v>
      </c>
      <c r="E519" s="63" t="s">
        <v>619</v>
      </c>
      <c r="F519" s="63" t="s">
        <v>18</v>
      </c>
      <c r="G519" s="63" t="s">
        <v>19</v>
      </c>
    </row>
    <row r="520" spans="1:7" ht="30" customHeight="1" x14ac:dyDescent="0.15">
      <c r="A520" s="63" t="s">
        <v>531</v>
      </c>
      <c r="B520" s="63" t="s">
        <v>518</v>
      </c>
      <c r="C520" s="63" t="s">
        <v>618</v>
      </c>
      <c r="D520" s="63" t="s">
        <v>17</v>
      </c>
      <c r="E520" s="63" t="s">
        <v>619</v>
      </c>
      <c r="F520" s="63" t="s">
        <v>18</v>
      </c>
      <c r="G520" s="63" t="s">
        <v>19</v>
      </c>
    </row>
    <row r="521" spans="1:7" ht="30" customHeight="1" x14ac:dyDescent="0.15">
      <c r="A521" s="63" t="s">
        <v>532</v>
      </c>
      <c r="B521" s="63" t="s">
        <v>518</v>
      </c>
      <c r="C521" s="63" t="s">
        <v>618</v>
      </c>
      <c r="D521" s="63" t="s">
        <v>17</v>
      </c>
      <c r="E521" s="63" t="s">
        <v>619</v>
      </c>
      <c r="F521" s="63" t="s">
        <v>18</v>
      </c>
      <c r="G521" s="63" t="s">
        <v>19</v>
      </c>
    </row>
    <row r="522" spans="1:7" ht="30" customHeight="1" x14ac:dyDescent="0.15">
      <c r="A522" s="63" t="s">
        <v>533</v>
      </c>
      <c r="B522" s="63" t="s">
        <v>518</v>
      </c>
      <c r="C522" s="63" t="s">
        <v>618</v>
      </c>
      <c r="D522" s="63" t="s">
        <v>17</v>
      </c>
      <c r="E522" s="63" t="s">
        <v>619</v>
      </c>
      <c r="F522" s="63" t="s">
        <v>18</v>
      </c>
      <c r="G522" s="63" t="s">
        <v>19</v>
      </c>
    </row>
    <row r="523" spans="1:7" ht="30" customHeight="1" x14ac:dyDescent="0.15">
      <c r="A523" s="63" t="s">
        <v>534</v>
      </c>
      <c r="B523" s="63" t="s">
        <v>518</v>
      </c>
      <c r="C523" s="63" t="s">
        <v>618</v>
      </c>
      <c r="D523" s="63" t="s">
        <v>17</v>
      </c>
      <c r="E523" s="63" t="s">
        <v>619</v>
      </c>
      <c r="F523" s="63" t="s">
        <v>18</v>
      </c>
      <c r="G523" s="63" t="s">
        <v>19</v>
      </c>
    </row>
    <row r="524" spans="1:7" ht="30" customHeight="1" x14ac:dyDescent="0.15">
      <c r="A524" s="63" t="s">
        <v>535</v>
      </c>
      <c r="B524" s="63" t="s">
        <v>536</v>
      </c>
      <c r="C524" s="63" t="s">
        <v>618</v>
      </c>
      <c r="D524" s="63" t="s">
        <v>17</v>
      </c>
      <c r="E524" s="63" t="s">
        <v>619</v>
      </c>
      <c r="F524" s="63" t="s">
        <v>18</v>
      </c>
      <c r="G524" s="63" t="s">
        <v>19</v>
      </c>
    </row>
    <row r="525" spans="1:7" ht="30" customHeight="1" x14ac:dyDescent="0.15">
      <c r="A525" s="63" t="s">
        <v>537</v>
      </c>
      <c r="B525" s="63" t="s">
        <v>538</v>
      </c>
      <c r="C525" s="63" t="s">
        <v>618</v>
      </c>
      <c r="D525" s="63" t="s">
        <v>17</v>
      </c>
      <c r="E525" s="63" t="s">
        <v>619</v>
      </c>
      <c r="F525" s="63" t="s">
        <v>18</v>
      </c>
      <c r="G525" s="63" t="s">
        <v>19</v>
      </c>
    </row>
    <row r="526" spans="1:7" ht="30" customHeight="1" x14ac:dyDescent="0.15">
      <c r="A526" s="63" t="s">
        <v>539</v>
      </c>
      <c r="B526" s="63" t="s">
        <v>965</v>
      </c>
      <c r="C526" s="63" t="s">
        <v>618</v>
      </c>
      <c r="D526" s="63" t="s">
        <v>17</v>
      </c>
      <c r="E526" s="63" t="s">
        <v>619</v>
      </c>
      <c r="F526" s="63" t="s">
        <v>18</v>
      </c>
      <c r="G526" s="63" t="s">
        <v>19</v>
      </c>
    </row>
    <row r="527" spans="1:7" ht="30" customHeight="1" x14ac:dyDescent="0.15">
      <c r="A527" s="63" t="s">
        <v>540</v>
      </c>
      <c r="B527" s="63" t="s">
        <v>541</v>
      </c>
      <c r="C527" s="63" t="s">
        <v>618</v>
      </c>
      <c r="D527" s="63" t="s">
        <v>17</v>
      </c>
      <c r="E527" s="63" t="s">
        <v>619</v>
      </c>
      <c r="F527" s="63" t="s">
        <v>18</v>
      </c>
      <c r="G527" s="63" t="s">
        <v>19</v>
      </c>
    </row>
    <row r="528" spans="1:7" ht="30" customHeight="1" x14ac:dyDescent="0.15">
      <c r="A528" s="63" t="s">
        <v>542</v>
      </c>
      <c r="B528" s="63" t="s">
        <v>543</v>
      </c>
      <c r="C528" s="63" t="s">
        <v>618</v>
      </c>
      <c r="D528" s="63" t="s">
        <v>17</v>
      </c>
      <c r="E528" s="63" t="s">
        <v>619</v>
      </c>
      <c r="F528" s="63" t="s">
        <v>18</v>
      </c>
      <c r="G528" s="63" t="s">
        <v>19</v>
      </c>
    </row>
    <row r="529" spans="1:7" ht="30" customHeight="1" x14ac:dyDescent="0.15">
      <c r="A529" s="63" t="s">
        <v>544</v>
      </c>
      <c r="B529" s="63" t="s">
        <v>545</v>
      </c>
      <c r="C529" s="63" t="s">
        <v>618</v>
      </c>
      <c r="D529" s="63" t="s">
        <v>17</v>
      </c>
      <c r="E529" s="63" t="s">
        <v>619</v>
      </c>
      <c r="F529" s="63" t="s">
        <v>18</v>
      </c>
      <c r="G529" s="63" t="s">
        <v>19</v>
      </c>
    </row>
    <row r="530" spans="1:7" ht="40.15" customHeight="1" x14ac:dyDescent="0.15">
      <c r="A530" s="63" t="s">
        <v>546</v>
      </c>
      <c r="B530" s="63" t="s">
        <v>966</v>
      </c>
      <c r="C530" s="63" t="s">
        <v>618</v>
      </c>
      <c r="D530" s="63" t="s">
        <v>17</v>
      </c>
      <c r="E530" s="63" t="s">
        <v>619</v>
      </c>
      <c r="F530" s="63" t="s">
        <v>18</v>
      </c>
      <c r="G530" s="63" t="s">
        <v>19</v>
      </c>
    </row>
    <row r="531" spans="1:7" ht="19.899999999999999" customHeight="1" x14ac:dyDescent="0.15">
      <c r="A531" s="63" t="s">
        <v>547</v>
      </c>
      <c r="B531" s="63" t="s">
        <v>548</v>
      </c>
      <c r="C531" s="63" t="s">
        <v>618</v>
      </c>
      <c r="D531" s="63" t="s">
        <v>17</v>
      </c>
      <c r="E531" s="63" t="s">
        <v>619</v>
      </c>
      <c r="F531" s="63" t="s">
        <v>18</v>
      </c>
      <c r="G531" s="63" t="s">
        <v>19</v>
      </c>
    </row>
    <row r="532" spans="1:7" ht="19.899999999999999" customHeight="1" x14ac:dyDescent="0.15">
      <c r="A532" s="63" t="s">
        <v>549</v>
      </c>
      <c r="B532" s="63" t="s">
        <v>550</v>
      </c>
      <c r="C532" s="63" t="s">
        <v>618</v>
      </c>
      <c r="D532" s="63" t="s">
        <v>17</v>
      </c>
      <c r="E532" s="63" t="s">
        <v>619</v>
      </c>
      <c r="F532" s="63" t="s">
        <v>18</v>
      </c>
      <c r="G532" s="63" t="s">
        <v>19</v>
      </c>
    </row>
    <row r="533" spans="1:7" ht="19.899999999999999" customHeight="1" x14ac:dyDescent="0.15">
      <c r="A533" s="63" t="s">
        <v>551</v>
      </c>
      <c r="B533" s="63" t="s">
        <v>552</v>
      </c>
      <c r="C533" s="63" t="s">
        <v>618</v>
      </c>
      <c r="D533" s="63" t="s">
        <v>17</v>
      </c>
      <c r="E533" s="63" t="s">
        <v>619</v>
      </c>
      <c r="F533" s="63" t="s">
        <v>18</v>
      </c>
      <c r="G533" s="63" t="s">
        <v>19</v>
      </c>
    </row>
    <row r="534" spans="1:7" ht="19.899999999999999" customHeight="1" x14ac:dyDescent="0.15">
      <c r="A534" s="63" t="s">
        <v>553</v>
      </c>
      <c r="B534" s="63" t="s">
        <v>554</v>
      </c>
      <c r="C534" s="63" t="s">
        <v>618</v>
      </c>
      <c r="D534" s="63" t="s">
        <v>17</v>
      </c>
      <c r="E534" s="63" t="s">
        <v>619</v>
      </c>
      <c r="F534" s="63" t="s">
        <v>18</v>
      </c>
      <c r="G534" s="63" t="s">
        <v>19</v>
      </c>
    </row>
    <row r="535" spans="1:7" ht="19.899999999999999" customHeight="1" x14ac:dyDescent="0.15">
      <c r="A535" s="63" t="s">
        <v>555</v>
      </c>
      <c r="B535" s="63" t="s">
        <v>556</v>
      </c>
      <c r="C535" s="63" t="s">
        <v>618</v>
      </c>
      <c r="D535" s="63" t="s">
        <v>17</v>
      </c>
      <c r="E535" s="63" t="s">
        <v>619</v>
      </c>
      <c r="F535" s="63" t="s">
        <v>18</v>
      </c>
      <c r="G535" s="63" t="s">
        <v>19</v>
      </c>
    </row>
    <row r="536" spans="1:7" ht="19.899999999999999" customHeight="1" x14ac:dyDescent="0.15">
      <c r="A536" s="63" t="s">
        <v>557</v>
      </c>
      <c r="B536" s="63" t="s">
        <v>558</v>
      </c>
      <c r="C536" s="63" t="s">
        <v>618</v>
      </c>
      <c r="D536" s="63" t="s">
        <v>17</v>
      </c>
      <c r="E536" s="63" t="s">
        <v>619</v>
      </c>
      <c r="F536" s="63" t="s">
        <v>18</v>
      </c>
      <c r="G536" s="63" t="s">
        <v>19</v>
      </c>
    </row>
    <row r="537" spans="1:7" ht="19.899999999999999" customHeight="1" x14ac:dyDescent="0.15">
      <c r="A537" s="63" t="s">
        <v>559</v>
      </c>
      <c r="B537" s="63" t="s">
        <v>560</v>
      </c>
      <c r="C537" s="63" t="s">
        <v>618</v>
      </c>
      <c r="D537" s="63" t="s">
        <v>17</v>
      </c>
      <c r="E537" s="63" t="s">
        <v>619</v>
      </c>
      <c r="F537" s="63" t="s">
        <v>18</v>
      </c>
      <c r="G537" s="63" t="s">
        <v>19</v>
      </c>
    </row>
    <row r="538" spans="1:7" ht="19.899999999999999" customHeight="1" x14ac:dyDescent="0.15">
      <c r="A538" s="63" t="s">
        <v>561</v>
      </c>
      <c r="B538" s="63" t="s">
        <v>562</v>
      </c>
      <c r="C538" s="63" t="s">
        <v>618</v>
      </c>
      <c r="D538" s="63" t="s">
        <v>17</v>
      </c>
      <c r="E538" s="63" t="s">
        <v>619</v>
      </c>
      <c r="F538" s="63" t="s">
        <v>18</v>
      </c>
      <c r="G538" s="63" t="s">
        <v>19</v>
      </c>
    </row>
    <row r="539" spans="1:7" ht="30" x14ac:dyDescent="0.15">
      <c r="A539" s="63" t="s">
        <v>563</v>
      </c>
      <c r="B539" s="63" t="s">
        <v>564</v>
      </c>
      <c r="C539" s="63" t="s">
        <v>618</v>
      </c>
      <c r="D539" s="63" t="s">
        <v>17</v>
      </c>
      <c r="E539" s="63" t="s">
        <v>619</v>
      </c>
      <c r="F539" s="63" t="s">
        <v>18</v>
      </c>
      <c r="G539" s="63" t="s">
        <v>19</v>
      </c>
    </row>
    <row r="540" spans="1:7" ht="30" x14ac:dyDescent="0.15">
      <c r="A540" s="63" t="s">
        <v>565</v>
      </c>
      <c r="B540" s="63" t="s">
        <v>566</v>
      </c>
      <c r="C540" s="63" t="s">
        <v>618</v>
      </c>
      <c r="D540" s="63" t="s">
        <v>17</v>
      </c>
      <c r="E540" s="63" t="s">
        <v>619</v>
      </c>
      <c r="F540" s="63" t="s">
        <v>18</v>
      </c>
      <c r="G540" s="63" t="s">
        <v>19</v>
      </c>
    </row>
    <row r="541" spans="1:7" ht="30" x14ac:dyDescent="0.15">
      <c r="A541" s="63" t="s">
        <v>567</v>
      </c>
      <c r="B541" s="63" t="s">
        <v>568</v>
      </c>
      <c r="C541" s="63" t="s">
        <v>618</v>
      </c>
      <c r="D541" s="63" t="s">
        <v>17</v>
      </c>
      <c r="E541" s="63" t="s">
        <v>619</v>
      </c>
      <c r="F541" s="63" t="s">
        <v>18</v>
      </c>
      <c r="G541" s="63" t="s">
        <v>19</v>
      </c>
    </row>
    <row r="542" spans="1:7" ht="30" x14ac:dyDescent="0.15">
      <c r="A542" s="63" t="s">
        <v>569</v>
      </c>
      <c r="B542" s="63" t="s">
        <v>568</v>
      </c>
      <c r="C542" s="63" t="s">
        <v>618</v>
      </c>
      <c r="D542" s="63" t="s">
        <v>17</v>
      </c>
      <c r="E542" s="63" t="s">
        <v>619</v>
      </c>
      <c r="F542" s="63" t="s">
        <v>18</v>
      </c>
      <c r="G542" s="63" t="s">
        <v>19</v>
      </c>
    </row>
    <row r="543" spans="1:7" ht="30" x14ac:dyDescent="0.15">
      <c r="A543" s="63" t="s">
        <v>570</v>
      </c>
      <c r="B543" s="63" t="s">
        <v>568</v>
      </c>
      <c r="C543" s="63" t="s">
        <v>618</v>
      </c>
      <c r="D543" s="63" t="s">
        <v>17</v>
      </c>
      <c r="E543" s="63" t="s">
        <v>619</v>
      </c>
      <c r="F543" s="63" t="s">
        <v>18</v>
      </c>
      <c r="G543" s="63" t="s">
        <v>19</v>
      </c>
    </row>
    <row r="544" spans="1:7" ht="30" x14ac:dyDescent="0.15">
      <c r="A544" s="63" t="s">
        <v>571</v>
      </c>
      <c r="B544" s="63" t="s">
        <v>568</v>
      </c>
      <c r="C544" s="63" t="s">
        <v>618</v>
      </c>
      <c r="D544" s="63" t="s">
        <v>17</v>
      </c>
      <c r="E544" s="63" t="s">
        <v>619</v>
      </c>
      <c r="F544" s="63" t="s">
        <v>18</v>
      </c>
      <c r="G544" s="63" t="s">
        <v>19</v>
      </c>
    </row>
    <row r="545" spans="1:7" ht="30" x14ac:dyDescent="0.15">
      <c r="A545" s="63" t="s">
        <v>572</v>
      </c>
      <c r="B545" s="63" t="s">
        <v>568</v>
      </c>
      <c r="C545" s="63" t="s">
        <v>618</v>
      </c>
      <c r="D545" s="63" t="s">
        <v>17</v>
      </c>
      <c r="E545" s="63" t="s">
        <v>619</v>
      </c>
      <c r="F545" s="63" t="s">
        <v>18</v>
      </c>
      <c r="G545" s="63" t="s">
        <v>19</v>
      </c>
    </row>
    <row r="546" spans="1:7" ht="30" x14ac:dyDescent="0.15">
      <c r="A546" s="63" t="s">
        <v>573</v>
      </c>
      <c r="B546" s="63" t="s">
        <v>568</v>
      </c>
      <c r="C546" s="63" t="s">
        <v>618</v>
      </c>
      <c r="D546" s="63" t="s">
        <v>17</v>
      </c>
      <c r="E546" s="63" t="s">
        <v>619</v>
      </c>
      <c r="F546" s="63" t="s">
        <v>18</v>
      </c>
      <c r="G546" s="63" t="s">
        <v>19</v>
      </c>
    </row>
    <row r="547" spans="1:7" ht="30" x14ac:dyDescent="0.15">
      <c r="A547" s="63" t="s">
        <v>574</v>
      </c>
      <c r="B547" s="63" t="s">
        <v>568</v>
      </c>
      <c r="C547" s="63" t="s">
        <v>618</v>
      </c>
      <c r="D547" s="63" t="s">
        <v>17</v>
      </c>
      <c r="E547" s="63" t="s">
        <v>619</v>
      </c>
      <c r="F547" s="63" t="s">
        <v>18</v>
      </c>
      <c r="G547" s="63" t="s">
        <v>19</v>
      </c>
    </row>
    <row r="548" spans="1:7" ht="30" x14ac:dyDescent="0.15">
      <c r="A548" s="63" t="s">
        <v>575</v>
      </c>
      <c r="B548" s="63" t="s">
        <v>568</v>
      </c>
      <c r="C548" s="63" t="s">
        <v>618</v>
      </c>
      <c r="D548" s="63" t="s">
        <v>17</v>
      </c>
      <c r="E548" s="63" t="s">
        <v>619</v>
      </c>
      <c r="F548" s="63" t="s">
        <v>18</v>
      </c>
      <c r="G548" s="63" t="s">
        <v>19</v>
      </c>
    </row>
    <row r="549" spans="1:7" ht="30" x14ac:dyDescent="0.15">
      <c r="A549" s="63" t="s">
        <v>576</v>
      </c>
      <c r="B549" s="63" t="s">
        <v>577</v>
      </c>
      <c r="C549" s="63" t="s">
        <v>618</v>
      </c>
      <c r="D549" s="63" t="s">
        <v>17</v>
      </c>
      <c r="E549" s="63" t="s">
        <v>619</v>
      </c>
      <c r="F549" s="63" t="s">
        <v>18</v>
      </c>
      <c r="G549" s="63" t="s">
        <v>19</v>
      </c>
    </row>
    <row r="550" spans="1:7" ht="30" x14ac:dyDescent="0.15">
      <c r="A550" s="63" t="s">
        <v>578</v>
      </c>
      <c r="B550" s="63" t="s">
        <v>577</v>
      </c>
      <c r="C550" s="63" t="s">
        <v>618</v>
      </c>
      <c r="D550" s="63" t="s">
        <v>17</v>
      </c>
      <c r="E550" s="63" t="s">
        <v>619</v>
      </c>
      <c r="F550" s="63" t="s">
        <v>18</v>
      </c>
      <c r="G550" s="63" t="s">
        <v>19</v>
      </c>
    </row>
    <row r="551" spans="1:7" ht="30" x14ac:dyDescent="0.15">
      <c r="A551" s="63" t="s">
        <v>579</v>
      </c>
      <c r="B551" s="63" t="s">
        <v>577</v>
      </c>
      <c r="C551" s="63" t="s">
        <v>618</v>
      </c>
      <c r="D551" s="63" t="s">
        <v>17</v>
      </c>
      <c r="E551" s="63" t="s">
        <v>619</v>
      </c>
      <c r="F551" s="63" t="s">
        <v>18</v>
      </c>
      <c r="G551" s="63" t="s">
        <v>19</v>
      </c>
    </row>
    <row r="552" spans="1:7" ht="30" x14ac:dyDescent="0.15">
      <c r="A552" s="63" t="s">
        <v>580</v>
      </c>
      <c r="B552" s="63" t="s">
        <v>577</v>
      </c>
      <c r="C552" s="63" t="s">
        <v>618</v>
      </c>
      <c r="D552" s="63" t="s">
        <v>17</v>
      </c>
      <c r="E552" s="63" t="s">
        <v>619</v>
      </c>
      <c r="F552" s="63" t="s">
        <v>18</v>
      </c>
      <c r="G552" s="63" t="s">
        <v>19</v>
      </c>
    </row>
    <row r="553" spans="1:7" ht="30" x14ac:dyDescent="0.15">
      <c r="A553" s="63" t="s">
        <v>581</v>
      </c>
      <c r="B553" s="63" t="s">
        <v>582</v>
      </c>
      <c r="C553" s="63" t="s">
        <v>618</v>
      </c>
      <c r="D553" s="63" t="s">
        <v>17</v>
      </c>
      <c r="E553" s="63" t="s">
        <v>619</v>
      </c>
      <c r="F553" s="63" t="s">
        <v>18</v>
      </c>
      <c r="G553" s="63" t="s">
        <v>19</v>
      </c>
    </row>
    <row r="554" spans="1:7" ht="30" x14ac:dyDescent="0.15">
      <c r="A554" s="63" t="s">
        <v>583</v>
      </c>
      <c r="B554" s="63" t="s">
        <v>582</v>
      </c>
      <c r="C554" s="63" t="s">
        <v>618</v>
      </c>
      <c r="D554" s="63" t="s">
        <v>17</v>
      </c>
      <c r="E554" s="63" t="s">
        <v>619</v>
      </c>
      <c r="F554" s="63" t="s">
        <v>18</v>
      </c>
      <c r="G554" s="63" t="s">
        <v>19</v>
      </c>
    </row>
    <row r="555" spans="1:7" ht="30" x14ac:dyDescent="0.15">
      <c r="A555" s="63" t="s">
        <v>584</v>
      </c>
      <c r="B555" s="63" t="s">
        <v>582</v>
      </c>
      <c r="C555" s="63" t="s">
        <v>618</v>
      </c>
      <c r="D555" s="63" t="s">
        <v>17</v>
      </c>
      <c r="E555" s="63" t="s">
        <v>619</v>
      </c>
      <c r="F555" s="63" t="s">
        <v>18</v>
      </c>
      <c r="G555" s="63" t="s">
        <v>19</v>
      </c>
    </row>
    <row r="556" spans="1:7" ht="30" x14ac:dyDescent="0.15">
      <c r="A556" s="63" t="s">
        <v>585</v>
      </c>
      <c r="B556" s="63" t="s">
        <v>582</v>
      </c>
      <c r="C556" s="63" t="s">
        <v>618</v>
      </c>
      <c r="D556" s="63" t="s">
        <v>17</v>
      </c>
      <c r="E556" s="63" t="s">
        <v>619</v>
      </c>
      <c r="F556" s="63" t="s">
        <v>18</v>
      </c>
      <c r="G556" s="63" t="s">
        <v>19</v>
      </c>
    </row>
    <row r="557" spans="1:7" ht="30" x14ac:dyDescent="0.15">
      <c r="A557" s="63" t="s">
        <v>586</v>
      </c>
      <c r="B557" s="63" t="s">
        <v>587</v>
      </c>
      <c r="C557" s="63" t="s">
        <v>618</v>
      </c>
      <c r="D557" s="63" t="s">
        <v>17</v>
      </c>
      <c r="E557" s="63" t="s">
        <v>619</v>
      </c>
      <c r="F557" s="63" t="s">
        <v>18</v>
      </c>
      <c r="G557" s="63" t="s">
        <v>19</v>
      </c>
    </row>
    <row r="558" spans="1:7" ht="20.25" x14ac:dyDescent="0.15">
      <c r="A558" s="63" t="s">
        <v>588</v>
      </c>
      <c r="B558" s="63" t="s">
        <v>589</v>
      </c>
      <c r="C558" s="63" t="s">
        <v>618</v>
      </c>
      <c r="D558" s="63" t="s">
        <v>17</v>
      </c>
      <c r="E558" s="63" t="s">
        <v>619</v>
      </c>
      <c r="F558" s="63" t="s">
        <v>18</v>
      </c>
      <c r="G558" s="63" t="s">
        <v>19</v>
      </c>
    </row>
    <row r="559" spans="1:7" ht="20.25" x14ac:dyDescent="0.15">
      <c r="A559" s="63" t="s">
        <v>590</v>
      </c>
      <c r="B559" s="63" t="s">
        <v>591</v>
      </c>
      <c r="C559" s="63" t="s">
        <v>618</v>
      </c>
      <c r="D559" s="63" t="s">
        <v>17</v>
      </c>
      <c r="E559" s="63" t="s">
        <v>619</v>
      </c>
      <c r="F559" s="63" t="s">
        <v>18</v>
      </c>
      <c r="G559" s="63" t="s">
        <v>19</v>
      </c>
    </row>
    <row r="560" spans="1:7" ht="20.25" x14ac:dyDescent="0.15">
      <c r="A560" s="63" t="s">
        <v>592</v>
      </c>
      <c r="B560" s="63" t="s">
        <v>593</v>
      </c>
      <c r="C560" s="63" t="s">
        <v>618</v>
      </c>
      <c r="D560" s="63" t="s">
        <v>17</v>
      </c>
      <c r="E560" s="63" t="s">
        <v>619</v>
      </c>
      <c r="F560" s="63" t="s">
        <v>18</v>
      </c>
      <c r="G560" s="63" t="s">
        <v>19</v>
      </c>
    </row>
    <row r="561" spans="1:7" ht="20.25" x14ac:dyDescent="0.15">
      <c r="A561" s="63" t="s">
        <v>594</v>
      </c>
      <c r="B561" s="63" t="s">
        <v>595</v>
      </c>
      <c r="C561" s="63" t="s">
        <v>618</v>
      </c>
      <c r="D561" s="63" t="s">
        <v>17</v>
      </c>
      <c r="E561" s="63" t="s">
        <v>619</v>
      </c>
      <c r="F561" s="63" t="s">
        <v>18</v>
      </c>
      <c r="G561" s="63" t="s">
        <v>19</v>
      </c>
    </row>
    <row r="562" spans="1:7" ht="20.25" x14ac:dyDescent="0.15">
      <c r="A562" s="63" t="s">
        <v>602</v>
      </c>
      <c r="B562" s="63" t="s">
        <v>603</v>
      </c>
      <c r="C562" s="63" t="s">
        <v>618</v>
      </c>
      <c r="D562" s="63" t="s">
        <v>17</v>
      </c>
      <c r="E562" s="63" t="s">
        <v>619</v>
      </c>
      <c r="F562" s="63" t="s">
        <v>18</v>
      </c>
      <c r="G562" s="63" t="s">
        <v>19</v>
      </c>
    </row>
    <row r="563" spans="1:7" ht="20.25" x14ac:dyDescent="0.15">
      <c r="A563" s="63" t="s">
        <v>604</v>
      </c>
      <c r="B563" s="63" t="s">
        <v>603</v>
      </c>
      <c r="C563" s="63" t="s">
        <v>618</v>
      </c>
      <c r="D563" s="63" t="s">
        <v>17</v>
      </c>
      <c r="E563" s="63" t="s">
        <v>619</v>
      </c>
      <c r="F563" s="63" t="s">
        <v>18</v>
      </c>
      <c r="G563" s="63" t="s">
        <v>19</v>
      </c>
    </row>
    <row r="564" spans="1:7" ht="20.25" x14ac:dyDescent="0.15">
      <c r="A564" s="63" t="s">
        <v>605</v>
      </c>
      <c r="B564" s="63" t="s">
        <v>603</v>
      </c>
      <c r="C564" s="63" t="s">
        <v>618</v>
      </c>
      <c r="D564" s="63" t="s">
        <v>17</v>
      </c>
      <c r="E564" s="63" t="s">
        <v>619</v>
      </c>
      <c r="F564" s="63" t="s">
        <v>18</v>
      </c>
      <c r="G564" s="63" t="s">
        <v>19</v>
      </c>
    </row>
    <row r="565" spans="1:7" ht="20.25" x14ac:dyDescent="0.15">
      <c r="A565" s="63" t="s">
        <v>606</v>
      </c>
      <c r="B565" s="63" t="s">
        <v>603</v>
      </c>
      <c r="C565" s="63" t="s">
        <v>618</v>
      </c>
      <c r="D565" s="63" t="s">
        <v>17</v>
      </c>
      <c r="E565" s="63" t="s">
        <v>619</v>
      </c>
      <c r="F565" s="63" t="s">
        <v>18</v>
      </c>
      <c r="G565" s="63" t="s">
        <v>19</v>
      </c>
    </row>
  </sheetData>
  <sortState xmlns:xlrd2="http://schemas.microsoft.com/office/spreadsheetml/2017/richdata2" ref="A8:G322">
    <sortCondition ref="A8:A322"/>
  </sortState>
  <mergeCells count="6">
    <mergeCell ref="A6:G6"/>
    <mergeCell ref="A1:E1"/>
    <mergeCell ref="A2:E2"/>
    <mergeCell ref="A3:E3"/>
    <mergeCell ref="A4:G4"/>
    <mergeCell ref="A5:G5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E6E41EC9-8ADB-4230-A5D6-EF8064842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CARGA</vt:lpstr>
      <vt:lpstr>INVENTÁRIOS</vt:lpstr>
      <vt:lpstr>BUSCA</vt:lpstr>
      <vt:lpstr>MOVIMENTAÇÃO</vt:lpstr>
      <vt:lpstr>DADOS</vt:lpstr>
      <vt:lpstr>Lixo</vt:lpstr>
      <vt:lpstr>MOVIMENTAÇÃO!Area_de_impressao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Ricardo Ramos</dc:creator>
  <cp:keywords/>
  <dc:description/>
  <cp:lastModifiedBy>Jose Ricardo Ramos</cp:lastModifiedBy>
  <cp:revision/>
  <cp:lastPrinted>2025-02-24T19:29:12Z</cp:lastPrinted>
  <dcterms:created xsi:type="dcterms:W3CDTF">2023-03-27T14:21:28Z</dcterms:created>
  <dcterms:modified xsi:type="dcterms:W3CDTF">2025-07-15T17:55:31Z</dcterms:modified>
  <cp:category/>
  <cp:contentStatus/>
</cp:coreProperties>
</file>